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FY26 Forecast" sheetId="1" state="visible" r:id="rId3"/>
    <sheet name="2 Data - Finance (June)" sheetId="2" state="visible" r:id="rId4"/>
    <sheet name="3 Data - model" sheetId="3" state="visible" r:id="rId5"/>
    <sheet name="4 Vacancy timing" sheetId="4" state="visible" r:id="rId6"/>
    <sheet name="5 Sources" sheetId="5" state="visible" r:id="rId7"/>
    <sheet name="6 Monthly view" sheetId="6" state="visible" r:id="rId8"/>
    <sheet name="7 Model 3.5" sheetId="7" state="visible" r:id="rId9"/>
    <sheet name="8 Model 3.6" sheetId="8" state="visible" r:id="rId10"/>
    <sheet name="9 Model 3.7 vacancie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<sst xmlns="http://schemas.openxmlformats.org/spreadsheetml/2006/main" count="1700" uniqueCount="562">
  <si>
    <t xml:space="preserve">FY26 people cost</t>
  </si>
  <si>
    <t xml:space="preserve">The model with the vacancy hire months. All in AUD; New Zealand at the live rate.</t>
  </si>
  <si>
    <t xml:space="preserve">Input</t>
  </si>
  <si>
    <t xml:space="preserve">Value</t>
  </si>
  <si>
    <t xml:space="preserve">What it does</t>
  </si>
  <si>
    <t xml:space="preserve">Live NZD to AUD rate</t>
  </si>
  <si>
    <t xml:space="preserve">Converts NZ to AUD</t>
  </si>
  <si>
    <t xml:space="preserve">Operating model adjustment to contingent and personnel ($m)</t>
  </si>
  <si>
    <t xml:space="preserve">Spread one twelfth per month</t>
  </si>
  <si>
    <t xml:space="preserve">Gross</t>
  </si>
  <si>
    <t xml:space="preserve">Actuals to June</t>
  </si>
  <si>
    <t xml:space="preserve">July</t>
  </si>
  <si>
    <t xml:space="preserve">August</t>
  </si>
  <si>
    <t xml:space="preserve">September</t>
  </si>
  <si>
    <t xml:space="preserve">October</t>
  </si>
  <si>
    <t xml:space="preserve">November</t>
  </si>
  <si>
    <t xml:space="preserve">December</t>
  </si>
  <si>
    <t xml:space="preserve">FY26 landing</t>
  </si>
  <si>
    <t xml:space="preserve">Budget</t>
  </si>
  <si>
    <t xml:space="preserve">Over/(under) allocation</t>
  </si>
  <si>
    <t xml:space="preserve">NZ</t>
  </si>
  <si>
    <t xml:space="preserve">AU</t>
  </si>
  <si>
    <t xml:space="preserve">Total</t>
  </si>
  <si>
    <t xml:space="preserve">Gross is the model price of everyone on board. Gross budgets: Australia 62.59 AUD; New Zealand 21.5 NZD at the live rate. NZ actuals are its people cost line.</t>
  </si>
  <si>
    <t xml:space="preserve">TDD Lights on</t>
  </si>
  <si>
    <t xml:space="preserve">New Zealand actuals run in NZD and convert at the live rate; the forecast months are the model AUD figures. Budget columns carry each side share of the 50.5 allocation, 17.5 and 33.0.</t>
  </si>
  <si>
    <t xml:space="preserve">December exit run rate, annualised</t>
  </si>
  <si>
    <t xml:space="preserve">The FY27 model plans</t>
  </si>
  <si>
    <t xml:space="preserve">How the forecast is built</t>
  </si>
  <si>
    <t xml:space="preserve">1  January to June are Finance's closed months: Staff Cost for Australia, People Costs for New Zealand.</t>
  </si>
  <si>
    <t xml:space="preserve">2  July to December price everyone on board each month: the model with everyone at a full year, less the roles not yet hired. Each vacancy joins in its planned hire month on tab 4.</t>
  </si>
  <si>
    <t xml:space="preserve">3  A vacancy counts at its cost times its squad support percentage; EGI-funded roles count zero.</t>
  </si>
  <si>
    <t xml:space="preserve">4  New Zealand actuals to June convert at the live rate in the cream cell; the forecast months are the model AUD figures. The NZ gross budget of 21.5 NZD converts at the live rate.</t>
  </si>
  <si>
    <t xml:space="preserve">5  Gross is the model price of everyone on board. The operating model adjustment spreads one twelfth a month.</t>
  </si>
  <si>
    <t xml:space="preserve">Finance figures from the June report</t>
  </si>
  <si>
    <t xml:space="preserve">Every number below is the value read from the June Finance report file named in the source column. Nothing on this tab is typed by hand and nothing on this tab is a forecast of our own - Finance supplies actuals.</t>
  </si>
  <si>
    <t xml:space="preserve">Line</t>
  </si>
  <si>
    <t xml:space="preserve">Source</t>
  </si>
  <si>
    <t xml:space="preserve">Actual to June</t>
  </si>
  <si>
    <t xml:space="preserve">Budget to June</t>
  </si>
  <si>
    <t xml:space="preserve">Jan actual</t>
  </si>
  <si>
    <t xml:space="preserve">Feb actual</t>
  </si>
  <si>
    <t xml:space="preserve">Mar actual</t>
  </si>
  <si>
    <t xml:space="preserve">Apr actual</t>
  </si>
  <si>
    <t xml:space="preserve">May actual</t>
  </si>
  <si>
    <t xml:space="preserve">Jun actual</t>
  </si>
  <si>
    <t xml:space="preserve">Jul forecast</t>
  </si>
  <si>
    <t xml:space="preserve">Aug forecast</t>
  </si>
  <si>
    <t xml:space="preserve">Sep forecast</t>
  </si>
  <si>
    <t xml:space="preserve">Oct forecast</t>
  </si>
  <si>
    <t xml:space="preserve">Nov forecast</t>
  </si>
  <si>
    <t xml:space="preserve">Dec forecast</t>
  </si>
  <si>
    <t xml:space="preserve">Full year forecast</t>
  </si>
  <si>
    <t xml:space="preserve">Full year budget</t>
  </si>
  <si>
    <t xml:space="preserve">Internal Labor (AUD)</t>
  </si>
  <si>
    <t xml:space="preserve">TDD Pack (2) row 31</t>
  </si>
  <si>
    <t xml:space="preserve">Contingent Labour (AUD)</t>
  </si>
  <si>
    <t xml:space="preserve">TDD Pack (2) row 32</t>
  </si>
  <si>
    <t xml:space="preserve">Personnel Costs (AUD)</t>
  </si>
  <si>
    <t xml:space="preserve">TDD Pack (2) row 33</t>
  </si>
  <si>
    <t xml:space="preserve">Labour Recharge (AUD)</t>
  </si>
  <si>
    <t xml:space="preserve">TDD Pack (2) row 34</t>
  </si>
  <si>
    <t xml:space="preserve">Staff Cost (AUD)</t>
  </si>
  <si>
    <t xml:space="preserve">TDD Pack (2) row 35</t>
  </si>
  <si>
    <t xml:space="preserve">People Costs, New Zealand (NZD)</t>
  </si>
  <si>
    <t xml:space="preserve">TDD Pack (2) row 49</t>
  </si>
  <si>
    <t xml:space="preserve">Actual to June is column O, budget to June column P, the closed months are columns AG to AL, the July to December forecast is columns BE to BJ, the full year forecast is column BK and the full year budget is column X. The six closed months add to the actual to June on every line.</t>
  </si>
  <si>
    <t xml:space="preserve">Lights on for the whole of TDD, AUD</t>
  </si>
  <si>
    <t xml:space="preserve">Australia (TDD Corporate)</t>
  </si>
  <si>
    <t xml:space="preserve">Presentation Pack (2) O21, N5, N21</t>
  </si>
  <si>
    <t xml:space="preserve">New Zealand (Z-Energy)</t>
  </si>
  <si>
    <t xml:space="preserve">Presentation Pack (2) O22, N6, N22</t>
  </si>
  <si>
    <t xml:space="preserve">Total TDD lights on</t>
  </si>
  <si>
    <t xml:space="preserve">The Presentation Pack figures are the lights on run for the whole of TDD and are stated in AUD on both lines. The people cost tracked on tab 1 is the slice of this run that the cost model prices.</t>
  </si>
  <si>
    <t xml:space="preserve">Model figures used by this forecast</t>
  </si>
  <si>
    <t xml:space="preserve">Block A holds the figures read from the FY27 cost model file. When an updated model arrives, retype the block A values against the source cells named beside them and the whole workbook moves. Blocks B, C and D are worked out from block A and tab 4 by formula.</t>
  </si>
  <si>
    <t xml:space="preserve">Block A - current model (refresh these when the updated model arrives)</t>
  </si>
  <si>
    <t xml:space="preserve">Value ($m)</t>
  </si>
  <si>
    <t xml:space="preserve">Source cell</t>
  </si>
  <si>
    <t xml:space="preserve">Total people cost after levers</t>
  </si>
  <si>
    <t xml:space="preserve">Tab 7, the pasted 3.5 total people cost</t>
  </si>
  <si>
    <t xml:space="preserve">Cost to TDD lights on</t>
  </si>
  <si>
    <t xml:space="preserve">Tab 7, the pasted 3.5 cost to TDD lights on</t>
  </si>
  <si>
    <t xml:space="preserve">What TDD pays, Australia</t>
  </si>
  <si>
    <t xml:space="preserve">Tab 8, the pasted 3.6 Australian spend</t>
  </si>
  <si>
    <t xml:space="preserve">What TDD pays, New Zealand, AUD</t>
  </si>
  <si>
    <t xml:space="preserve">Tab 8, the pasted 3.6 New Zealand spend, AUD as the model holds it</t>
  </si>
  <si>
    <t xml:space="preserve">Allocation, total</t>
  </si>
  <si>
    <t xml:space="preserve">0.2 Data Config E27</t>
  </si>
  <si>
    <t xml:space="preserve">Allocation, Australia</t>
  </si>
  <si>
    <t xml:space="preserve">0.2 Data Config C27</t>
  </si>
  <si>
    <t xml:space="preserve">Allocation, New Zealand</t>
  </si>
  <si>
    <t xml:space="preserve">0.2 Data Config D27</t>
  </si>
  <si>
    <t xml:space="preserve">Full budget, total</t>
  </si>
  <si>
    <t xml:space="preserve">0.2 Data Config E28</t>
  </si>
  <si>
    <t xml:space="preserve">Full budget, Australia</t>
  </si>
  <si>
    <t xml:space="preserve">0.2 Data Config C28</t>
  </si>
  <si>
    <t xml:space="preserve">Full budget, New Zealand</t>
  </si>
  <si>
    <t xml:space="preserve">0.2 Data Config D28</t>
  </si>
  <si>
    <t xml:space="preserve">Funded outside</t>
  </si>
  <si>
    <t xml:space="preserve">3.5 TDD Lights On D24</t>
  </si>
  <si>
    <t xml:space="preserve">Support cost</t>
  </si>
  <si>
    <t xml:space="preserve">3.5 TDD Lights On E24</t>
  </si>
  <si>
    <t xml:space="preserve">Overheads inside what TDD pays</t>
  </si>
  <si>
    <t xml:space="preserve">3.5 TDD Lights On K24</t>
  </si>
  <si>
    <t xml:space="preserve">Add back to price the twelve start quarter roles at a full year</t>
  </si>
  <si>
    <t xml:space="preserve">2.1 F84, F86, F87, F88, F89; 2.2 F56, F57; 2.6 F41; 2.7 F30; 2.8 F51; 2.9 F58; 2.13 F45; factors Lists AC14:AD17</t>
  </si>
  <si>
    <t xml:space="preserve">What TDD pays with everyone at a full year, Australia</t>
  </si>
  <si>
    <t xml:space="preserve">Block A what TDD pays for Australia, plus the add back. All twelve roles sit on the Australian side.</t>
  </si>
  <si>
    <t xml:space="preserve">What TDD pays with everyone at a full year, New Zealand, AUD</t>
  </si>
  <si>
    <t xml:space="preserve">Block A what TDD pays for New Zealand, unchanged. No New Zealand role is priced from a start quarter.</t>
  </si>
  <si>
    <t xml:space="preserve">What TDD pays with everyone at a full year, total</t>
  </si>
  <si>
    <t xml:space="preserve">The Australian and New Zealand figures together. Equals 54.1177 plus 0.3113.</t>
  </si>
  <si>
    <t xml:space="preserve">The model prices twelve roles from an FY27 start quarter: 2.1 F84, F86, F87, F88 and F89, 2.2 F56 and F57, 2.6 F41, 2.7 F30, 2.8 F51, 2.9 F58 and 2.13 F45, with the quarter factors on Lists AC14 to AD17. A start quarter is an FY27 idea, so FY26 prices everyone at a full year: each of the twelve comes back at its after lever cost times its support percentage times one less its quarter factor, 0.3113 in all. Checked role by role in the model: all twelve sit on the Australian side, so the whole add back is Australian and the New Zealand figure is unchanged. The two New Zealand priced vacancies both start inside the 2026 half, so no New Zealand role is priced from a start quarter.</t>
  </si>
  <si>
    <t xml:space="preserve">Block B - the Australian second half</t>
  </si>
  <si>
    <t xml:space="preserve">How it is worked out</t>
  </si>
  <si>
    <t xml:space="preserve">What TDD pays for Australia for the year, everyone at a full year</t>
  </si>
  <si>
    <t xml:space="preserve">Block A, the full year Australian figure</t>
  </si>
  <si>
    <t xml:space="preserve">Half a year of that</t>
  </si>
  <si>
    <t xml:space="preserve">The year figure divided by two</t>
  </si>
  <si>
    <t xml:space="preserve">July start halves on the Australian roles</t>
  </si>
  <si>
    <t xml:space="preserve">Tab 4, the Australian July start halves</t>
  </si>
  <si>
    <t xml:space="preserve">Planned months cost on the Australian roles</t>
  </si>
  <si>
    <t xml:space="preserve">Tab 4, the Australian planned months cost</t>
  </si>
  <si>
    <t xml:space="preserve">Second half Staff Cost before the operating model adjustment</t>
  </si>
  <si>
    <t xml:space="preserve">Half a year, less the July start halves, plus the planned months cost</t>
  </si>
  <si>
    <t xml:space="preserve">Staff Cost monthly target before the operating model adjustment</t>
  </si>
  <si>
    <t xml:space="preserve">The second half spread over the six months</t>
  </si>
  <si>
    <t xml:space="preserve">Contingent Labour monthly rate from actuals to June</t>
  </si>
  <si>
    <t xml:space="preserve">Tab 2, actual to June divided by six</t>
  </si>
  <si>
    <t xml:space="preserve">Personnel Costs monthly rate from actuals to June</t>
  </si>
  <si>
    <t xml:space="preserve">Labour Recharge monthly rate from actuals to June</t>
  </si>
  <si>
    <t xml:space="preserve">Internal Labor monthly, the line the operating model drives</t>
  </si>
  <si>
    <t xml:space="preserve">The target less the three lines that run on at the rate they ran to June</t>
  </si>
  <si>
    <t xml:space="preserve">Contingent Labour, Personnel Costs and Labour Recharge run on at the rate they ran to June. Internal Labor carries the operating model: it is set so that, before any operating model adjustment, Staff Cost across the six months equals half a year of what TDD pays for Australia with everyone at a full year, less the July start halves on the Australian vacancies, plus the planned months cost of the same vacancies.</t>
  </si>
  <si>
    <t xml:space="preserve">Block C - the New Zealand second half</t>
  </si>
  <si>
    <t xml:space="preserve">What TDD pays for New Zealand for the year, AUD, at a full year</t>
  </si>
  <si>
    <t xml:space="preserve">Block A, the full year New Zealand figure</t>
  </si>
  <si>
    <t xml:space="preserve">July start halves on the New Zealand roles</t>
  </si>
  <si>
    <t xml:space="preserve">Tab 4, the New Zealand July start halves</t>
  </si>
  <si>
    <t xml:space="preserve">Planned months cost on the New Zealand roles</t>
  </si>
  <si>
    <t xml:space="preserve">Tab 4, the New Zealand planned months cost</t>
  </si>
  <si>
    <t xml:space="preserve">New Zealand second half, AUD</t>
  </si>
  <si>
    <t xml:space="preserve">New Zealand monthly figure, AUD</t>
  </si>
  <si>
    <t xml:space="preserve">New Zealand is held here in AUD, one currency, one cell. The two New Zealand vacancies take the same timing treatment as the Australian roles. Tab 1 shows the New Zealand months in NZD by dividing the AUD monthly figure by the live rate, so a change to the live rate moves one input and nothing else.</t>
  </si>
  <si>
    <t xml:space="preserve">New Zealand forecast months are the model AUD figures and do not move with the rate; only the actuals to June convert.</t>
  </si>
  <si>
    <t xml:space="preserve">Over the 50.5 allocation</t>
  </si>
  <si>
    <t xml:space="preserve">Cost to TDD lights on less the total allocation. The model itself shows 3.6177 at 3.5 TDD Lights On O24.</t>
  </si>
  <si>
    <t xml:space="preserve">Over the full 53.8 budget</t>
  </si>
  <si>
    <t xml:space="preserve">Cost to TDD lights on less the full budget. The model itself shows 0.3177 at 3.5 TDD Lights On O25.</t>
  </si>
  <si>
    <t xml:space="preserve">Gross people cost basis, everyone at a full year ($m)</t>
  </si>
  <si>
    <t xml:space="preserve">Australia</t>
  </si>
  <si>
    <t xml:space="preserve">New Zealand</t>
  </si>
  <si>
    <t xml:space="preserve">Total, the model 3.5 C24 with the 12 start-quarter roles at a full year</t>
  </si>
  <si>
    <t xml:space="preserve">New Zealand is the REVIEW NZ cost 21.0562 less the Z Retail holds 0.6492; Australia is the balance of 99.3562.</t>
  </si>
  <si>
    <t xml:space="preserve">Vacancy timing</t>
  </si>
  <si>
    <t xml:space="preserve">The priced vacancies with their hire months, plus the 17 priced roles with no date, assumed to start January 2027 per the ruling. Holds are holds: they carry zero whatever their dates. NZ roles in NZD; the live rate converts them.</t>
  </si>
  <si>
    <t xml:space="preserve">Role ID</t>
  </si>
  <si>
    <t xml:space="preserve">Hire month</t>
  </si>
  <si>
    <t xml:space="preserve">Country</t>
  </si>
  <si>
    <t xml:space="preserve">Squad</t>
  </si>
  <si>
    <t xml:space="preserve">Annual after lever cost ($m)</t>
  </si>
  <si>
    <t xml:space="preserve">Support percentage</t>
  </si>
  <si>
    <t xml:space="preserve">What TDD pays a year ($m)</t>
  </si>
  <si>
    <t xml:space="preserve">July start half ($m)</t>
  </si>
  <si>
    <t xml:space="preserve">Planned months cost ($m)</t>
  </si>
  <si>
    <t xml:space="preserve">R0360</t>
  </si>
  <si>
    <t xml:space="preserve">2026-09</t>
  </si>
  <si>
    <t xml:space="preserve">Above Store</t>
  </si>
  <si>
    <t xml:space="preserve">R0467</t>
  </si>
  <si>
    <t xml:space="preserve">2026-11</t>
  </si>
  <si>
    <t xml:space="preserve">R0468</t>
  </si>
  <si>
    <t xml:space="preserve">R0235</t>
  </si>
  <si>
    <t xml:space="preserve">2026-10</t>
  </si>
  <si>
    <t xml:space="preserve">Data AU</t>
  </si>
  <si>
    <t xml:space="preserve">R0320</t>
  </si>
  <si>
    <t xml:space="preserve">R0321</t>
  </si>
  <si>
    <t xml:space="preserve">R0322</t>
  </si>
  <si>
    <t xml:space="preserve">R0323</t>
  </si>
  <si>
    <t xml:space="preserve">R0324</t>
  </si>
  <si>
    <t xml:space="preserve">R0396</t>
  </si>
  <si>
    <t xml:space="preserve">Network &amp; QSR</t>
  </si>
  <si>
    <t xml:space="preserve">R0489</t>
  </si>
  <si>
    <t xml:space="preserve">R0255</t>
  </si>
  <si>
    <t xml:space="preserve">POS</t>
  </si>
  <si>
    <t xml:space="preserve">R0381</t>
  </si>
  <si>
    <t xml:space="preserve">2027-05</t>
  </si>
  <si>
    <t xml:space="preserve">R0393</t>
  </si>
  <si>
    <t xml:space="preserve">R0397</t>
  </si>
  <si>
    <t xml:space="preserve">2027-06</t>
  </si>
  <si>
    <t xml:space="preserve">R0477</t>
  </si>
  <si>
    <t xml:space="preserve">R0478</t>
  </si>
  <si>
    <t xml:space="preserve">R0479</t>
  </si>
  <si>
    <t xml:space="preserve">R0486</t>
  </si>
  <si>
    <t xml:space="preserve">R0485</t>
  </si>
  <si>
    <t xml:space="preserve">Payments</t>
  </si>
  <si>
    <t xml:space="preserve">R0394</t>
  </si>
  <si>
    <t xml:space="preserve">Store Operations</t>
  </si>
  <si>
    <t xml:space="preserve">R0016</t>
  </si>
  <si>
    <t xml:space="preserve">Ampol Loyalty &amp; Martech</t>
  </si>
  <si>
    <t xml:space="preserve">R0017</t>
  </si>
  <si>
    <t xml:space="preserve">R0278</t>
  </si>
  <si>
    <t xml:space="preserve">2027-03</t>
  </si>
  <si>
    <t xml:space="preserve">R0279</t>
  </si>
  <si>
    <t xml:space="preserve">R0280</t>
  </si>
  <si>
    <t xml:space="preserve">R0274</t>
  </si>
  <si>
    <t xml:space="preserve">Customer, AI</t>
  </si>
  <si>
    <t xml:space="preserve">R0020</t>
  </si>
  <si>
    <t xml:space="preserve">Digital Operations</t>
  </si>
  <si>
    <t xml:space="preserve">R0021</t>
  </si>
  <si>
    <t xml:space="preserve">R0022</t>
  </si>
  <si>
    <t xml:space="preserve">R0138</t>
  </si>
  <si>
    <t xml:space="preserve">Z Loyalty &amp; Martech</t>
  </si>
  <si>
    <t xml:space="preserve">R0077</t>
  </si>
  <si>
    <t xml:space="preserve">Technology Manager</t>
  </si>
  <si>
    <t xml:space="preserve">R0072</t>
  </si>
  <si>
    <t xml:space="preserve">Programme Management</t>
  </si>
  <si>
    <t xml:space="preserve">R0462</t>
  </si>
  <si>
    <t xml:space="preserve">2026-08</t>
  </si>
  <si>
    <t xml:space="preserve">Data Platforms</t>
  </si>
  <si>
    <t xml:space="preserve">R0292</t>
  </si>
  <si>
    <t xml:space="preserve">Leadership</t>
  </si>
  <si>
    <t xml:space="preserve">R0313</t>
  </si>
  <si>
    <t xml:space="preserve">Cloud, Network &amp; Infra Ops</t>
  </si>
  <si>
    <t xml:space="preserve">R0203</t>
  </si>
  <si>
    <t xml:space="preserve">2027-01</t>
  </si>
  <si>
    <t xml:space="preserve">DevOps &amp; QE</t>
  </si>
  <si>
    <t xml:space="preserve">R0350</t>
  </si>
  <si>
    <t xml:space="preserve">R0353</t>
  </si>
  <si>
    <t xml:space="preserve">R0191</t>
  </si>
  <si>
    <t xml:space="preserve">Integration &amp; Process Automation</t>
  </si>
  <si>
    <t xml:space="preserve">R0045</t>
  </si>
  <si>
    <t xml:space="preserve">R0113</t>
  </si>
  <si>
    <t xml:space="preserve">R0289</t>
  </si>
  <si>
    <t xml:space="preserve">P&amp;C</t>
  </si>
  <si>
    <t xml:space="preserve">R0290</t>
  </si>
  <si>
    <t xml:space="preserve">R0424</t>
  </si>
  <si>
    <t xml:space="preserve">R0228</t>
  </si>
  <si>
    <t xml:space="preserve">P&amp;C RTA</t>
  </si>
  <si>
    <t xml:space="preserve">R0379</t>
  </si>
  <si>
    <t xml:space="preserve">R0425</t>
  </si>
  <si>
    <t xml:space="preserve">R0426</t>
  </si>
  <si>
    <t xml:space="preserve">R0124</t>
  </si>
  <si>
    <t xml:space="preserve">R0227</t>
  </si>
  <si>
    <t xml:space="preserve">NZ Finance</t>
  </si>
  <si>
    <t xml:space="preserve">R0157</t>
  </si>
  <si>
    <t xml:space="preserve">SAP ERP</t>
  </si>
  <si>
    <t xml:space="preserve">R0179</t>
  </si>
  <si>
    <t xml:space="preserve">R0209</t>
  </si>
  <si>
    <t xml:space="preserve">R0229</t>
  </si>
  <si>
    <t xml:space="preserve">R0351</t>
  </si>
  <si>
    <t xml:space="preserve">R0253</t>
  </si>
  <si>
    <t xml:space="preserve">2027-04</t>
  </si>
  <si>
    <t xml:space="preserve">Data &amp; Insights</t>
  </si>
  <si>
    <t xml:space="preserve">R0388</t>
  </si>
  <si>
    <t xml:space="preserve">R0160</t>
  </si>
  <si>
    <t xml:space="preserve">B2B</t>
  </si>
  <si>
    <t xml:space="preserve">R0303</t>
  </si>
  <si>
    <t xml:space="preserve">Energy</t>
  </si>
  <si>
    <t xml:space="preserve">R0304</t>
  </si>
  <si>
    <t xml:space="preserve">R0375</t>
  </si>
  <si>
    <t xml:space="preserve">R0092</t>
  </si>
  <si>
    <t xml:space="preserve">R0222</t>
  </si>
  <si>
    <t xml:space="preserve">Supply</t>
  </si>
  <si>
    <t xml:space="preserve">R0284</t>
  </si>
  <si>
    <t xml:space="preserve">R0387</t>
  </si>
  <si>
    <t xml:space="preserve">R0223</t>
  </si>
  <si>
    <t xml:space="preserve">Trading &amp; Shipping</t>
  </si>
  <si>
    <t xml:space="preserve">R0484</t>
  </si>
  <si>
    <t xml:space="preserve">R0098</t>
  </si>
  <si>
    <t xml:space="preserve">R0299</t>
  </si>
  <si>
    <t xml:space="preserve">Z Retail Backend</t>
  </si>
  <si>
    <t xml:space="preserve">R0434</t>
  </si>
  <si>
    <t xml:space="preserve">Z Supply</t>
  </si>
  <si>
    <t xml:space="preserve">R0117</t>
  </si>
  <si>
    <t xml:space="preserve">R0042</t>
  </si>
  <si>
    <t xml:space="preserve">Commercial</t>
  </si>
  <si>
    <t xml:space="preserve">R0109</t>
  </si>
  <si>
    <t xml:space="preserve">2026-07</t>
  </si>
  <si>
    <t xml:space="preserve">Transformation</t>
  </si>
  <si>
    <t xml:space="preserve">R0214</t>
  </si>
  <si>
    <t xml:space="preserve">R0254</t>
  </si>
  <si>
    <t xml:space="preserve">R0341</t>
  </si>
  <si>
    <t xml:space="preserve">R0463</t>
  </si>
  <si>
    <t xml:space="preserve">R0481</t>
  </si>
  <si>
    <t xml:space="preserve">R0237</t>
  </si>
  <si>
    <t xml:space="preserve">Architecture</t>
  </si>
  <si>
    <t xml:space="preserve">R0238</t>
  </si>
  <si>
    <t xml:space="preserve">R0239</t>
  </si>
  <si>
    <t xml:space="preserve">R0065</t>
  </si>
  <si>
    <t xml:space="preserve">2027-07</t>
  </si>
  <si>
    <t xml:space="preserve">Group Data</t>
  </si>
  <si>
    <t xml:space="preserve">R0054</t>
  </si>
  <si>
    <t xml:space="preserve">R0380</t>
  </si>
  <si>
    <t xml:space="preserve">Technology Strategy &amp; AI Capability</t>
  </si>
  <si>
    <t xml:space="preserve">R0273</t>
  </si>
  <si>
    <t xml:space="preserve">R0309</t>
  </si>
  <si>
    <t xml:space="preserve">Reporting &amp; Analytics</t>
  </si>
  <si>
    <t xml:space="preserve">R0378</t>
  </si>
  <si>
    <t xml:space="preserve">Workplace &amp; Enterprise Tooling</t>
  </si>
  <si>
    <t xml:space="preserve">R0082</t>
  </si>
  <si>
    <t xml:space="preserve">Leadership (overhead)</t>
  </si>
  <si>
    <t xml:space="preserve">R0285</t>
  </si>
  <si>
    <t xml:space="preserve">R0099</t>
  </si>
  <si>
    <t xml:space="preserve">R0067</t>
  </si>
  <si>
    <t xml:space="preserve">R0423</t>
  </si>
  <si>
    <t xml:space="preserve">Service Op &amp; Assurance</t>
  </si>
  <si>
    <t xml:space="preserve">R0118</t>
  </si>
  <si>
    <t xml:space="preserve">R0055</t>
  </si>
  <si>
    <t xml:space="preserve">R0326</t>
  </si>
  <si>
    <t xml:space="preserve">R0111</t>
  </si>
  <si>
    <t xml:space="preserve">R0536</t>
  </si>
  <si>
    <t xml:space="preserve">Cyber Strat &amp; Tech</t>
  </si>
  <si>
    <t xml:space="preserve">R0537</t>
  </si>
  <si>
    <t xml:space="preserve">R0538</t>
  </si>
  <si>
    <t xml:space="preserve">R0539</t>
  </si>
  <si>
    <t xml:space="preserve">Cyber Risk</t>
  </si>
  <si>
    <t xml:space="preserve">R0540</t>
  </si>
  <si>
    <t xml:space="preserve">Sources</t>
  </si>
  <si>
    <t xml:space="preserve">Every figure that came from outside this workbook, where it came from, and what brings it up to date.</t>
  </si>
  <si>
    <t xml:space="preserve">Figure</t>
  </si>
  <si>
    <t xml:space="preserve">Where it came from (file, tab, cell)</t>
  </si>
  <si>
    <t xml:space="preserve">What refreshes it</t>
  </si>
  <si>
    <t xml:space="preserve">Internal Labor: actual to June, budget to June, six closed months, six forecast months, full year forecast, full year budget</t>
  </si>
  <si>
    <t xml:space="preserve">TDD_Finance_Report__Jun2026V1__Short_Version.xlsx, TDD Pack (2), row 31, columns O, P, AG:AL, BE:BJ, BK, X</t>
  </si>
  <si>
    <t xml:space="preserve">The next Finance report</t>
  </si>
  <si>
    <t xml:space="preserve">Contingent Labour: the same seven fields</t>
  </si>
  <si>
    <t xml:space="preserve">TDD_Finance_Report__Jun2026V1__Short_Version.xlsx, TDD Pack (2), row 32, same columns</t>
  </si>
  <si>
    <t xml:space="preserve">Personnel Costs: the same seven fields</t>
  </si>
  <si>
    <t xml:space="preserve">TDD_Finance_Report__Jun2026V1__Short_Version.xlsx, TDD Pack (2), row 33, same columns</t>
  </si>
  <si>
    <t xml:space="preserve">Labour Recharge: the same seven fields</t>
  </si>
  <si>
    <t xml:space="preserve">TDD_Finance_Report__Jun2026V1__Short_Version.xlsx, TDD Pack (2), row 34, same columns</t>
  </si>
  <si>
    <t xml:space="preserve">Staff Cost: the same seven fields</t>
  </si>
  <si>
    <t xml:space="preserve">TDD_Finance_Report__Jun2026V1__Short_Version.xlsx, TDD Pack (2), row 35, same columns</t>
  </si>
  <si>
    <t xml:space="preserve">People Costs, New Zealand (NZD): the same seven fields</t>
  </si>
  <si>
    <t xml:space="preserve">TDD_Finance_Report__Jun2026V1__Short_Version.xlsx, TDD Pack (2), row 49, same columns</t>
  </si>
  <si>
    <t xml:space="preserve">Australia lights on: full year budget, actual to June, full year forecast</t>
  </si>
  <si>
    <t xml:space="preserve">TDD_Finance_Report__Jun2026V1__Short_Version.xlsx, For Presentation Pack (2), O21, N5, N21</t>
  </si>
  <si>
    <t xml:space="preserve">New Zealand lights on: full year budget, actual to June, full year forecast</t>
  </si>
  <si>
    <t xml:space="preserve">TDD_Finance_Report__Jun2026V1__Short_Version.xlsx, For Presentation Pack (2), O22, N6, N22</t>
  </si>
  <si>
    <t xml:space="preserve">TDD_FY27_Cost_Calc_0608.xlsx (1347cab8), 3.5 TDD Lights On C24</t>
  </si>
  <si>
    <t xml:space="preserve">The updated model, retyped into tab 3 block A</t>
  </si>
  <si>
    <t xml:space="preserve">TDD_FY27_Cost_Calc_0608.xlsx (1347cab8), 3.5 TDD Lights On L24</t>
  </si>
  <si>
    <t xml:space="preserve">TDD_FY27_Cost_Calc_0608.xlsx (1347cab8), 3.6 TDD Lights On AU NZ M24</t>
  </si>
  <si>
    <t xml:space="preserve">TDD_FY27_Cost_Calc_0608.xlsx (1347cab8), 3.6 TDD Lights On AU NZ N24</t>
  </si>
  <si>
    <t xml:space="preserve">Allocation: total, Australia, New Zealand</t>
  </si>
  <si>
    <t xml:space="preserve">TDD_FY27_Cost_Calc_0608.xlsx (1347cab8), 0.2 Data Config E27, C27, D27</t>
  </si>
  <si>
    <t xml:space="preserve">Full budget: total, Australia, New Zealand</t>
  </si>
  <si>
    <t xml:space="preserve">TDD_FY27_Cost_Calc_0608.xlsx (1347cab8), 0.2 Data Config E28, C28, D28</t>
  </si>
  <si>
    <t xml:space="preserve">TDD_FY27_Cost_Calc_0608.xlsx (1347cab8), 3.5 TDD Lights On D24</t>
  </si>
  <si>
    <t xml:space="preserve">TDD_FY27_Cost_Calc_0608.xlsx (1347cab8), 3.5 TDD Lights On E24</t>
  </si>
  <si>
    <t xml:space="preserve">TDD_FY27_Cost_Calc_0608.xlsx (1347cab8), 3.5 TDD Lights On K24</t>
  </si>
  <si>
    <t xml:space="preserve">Vacancy roles: role, planned hire month, after lever cost, squad, support percentage</t>
  </si>
  <si>
    <t xml:space="preserve">TDD_FY27_Cost_Calc_0608.xlsx (1347cab8), the 2.x lever tabs, columns Planned hire and Cost after lever, and the squad support percentages in column U of the same tabs; role list checked against 3.7 Vacancy Analysis rows 197 to 245</t>
  </si>
  <si>
    <t xml:space="preserve">The updated model</t>
  </si>
  <si>
    <t xml:space="preserve">Country and squad on each vacancy role</t>
  </si>
  <si>
    <t xml:space="preserve">TDD_FY27_Cost_Calc_0608.xlsx (1347cab8), REVIEW - Complete Role Mapping, columns AR and AJ against the Role ID in column AQ</t>
  </si>
  <si>
    <t xml:space="preserve">Typed on tab 1, cell C6, cream</t>
  </si>
  <si>
    <t xml:space="preserve">Typed - the live rate on the day</t>
  </si>
  <si>
    <t xml:space="preserve">Operating model adjustment to contingent and personnel</t>
  </si>
  <si>
    <t xml:space="preserve">Typed on tab 1, cell C7, cream</t>
  </si>
  <si>
    <t xml:space="preserve">Typed - set when the operating model moves</t>
  </si>
  <si>
    <t xml:space="preserve">The model against the allocation and the budget</t>
  </si>
  <si>
    <t xml:space="preserve">TDD_FY27_Cost_Calc_0608.xlsx (1347cab8), 3.5 TDD Lights On O24 and O25</t>
  </si>
  <si>
    <t xml:space="preserve">Worked out on tab 3 block D from block A</t>
  </si>
  <si>
    <t xml:space="preserve">The everyone at a full year basis: the current anchor and the twelve role add back</t>
  </si>
  <si>
    <t xml:space="preserve">TDD_FY27_Cost_Calc_0608.xlsx (1347cab8), 3.6 TDD Lights On AU NZ M24 and N24 for the anchor by country; the twelve start quarter cells 2.1 F84, F86, F87, F88, F89, 2.2 F56, F57, 2.6 F41, 2.7 F30, 2.8 F51, 2.9 F58, 2.13 F45; factors Lists AC14:AD17</t>
  </si>
  <si>
    <t xml:space="preserve">What TDD pays a year on each vacancy role</t>
  </si>
  <si>
    <t xml:space="preserve">Worked out on tab 4: after lever cost times the squad support percentage; COE and overhead roles carry the whole cost; the two EGI funded roles carry nil; New Zealand converted at the live rate on tab 1 cell C6</t>
  </si>
  <si>
    <t xml:space="preserve">Tab 4, when the role list or the live rate moves</t>
  </si>
  <si>
    <t xml:space="preserve">EGI funded flag on each vacancy role</t>
  </si>
  <si>
    <t xml:space="preserve">TDD_FY27_Cost_Calc_0608.xlsx (1347cab8), REVIEW - Complete Role Mapping, column AM</t>
  </si>
  <si>
    <t xml:space="preserve">FY26 month by month</t>
  </si>
  <si>
    <t xml:space="preserve">Both countries in AUD. July to December move with the hire months.</t>
  </si>
  <si>
    <t xml:space="preserve">Month</t>
  </si>
  <si>
    <t xml:space="preserve">Actual or forecast</t>
  </si>
  <si>
    <t xml:space="preserve">Australia, $m AUD</t>
  </si>
  <si>
    <t xml:space="preserve">New Zealand, $m AUD</t>
  </si>
  <si>
    <t xml:space="preserve">Total, $m AUD</t>
  </si>
  <si>
    <t xml:space="preserve">Running total, $m AUD</t>
  </si>
  <si>
    <t xml:space="preserve">December times twelve, the exit run rate, $m AUD</t>
  </si>
  <si>
    <t xml:space="preserve">Roles joining in the month, from the tab 4 hire months</t>
  </si>
  <si>
    <t xml:space="preserve">Priced roles still to start</t>
  </si>
  <si>
    <t xml:space="preserve">Sources: tab 2 closed months to June; tabs 7, 8 and 9 hold the model data; tabs 3 and 4 build the forecast from them.</t>
  </si>
  <si>
    <t xml:space="preserve">The model, 3.5 TDD Lights On, pasted as values</t>
  </si>
  <si>
    <t xml:space="preserve">Portfolios &amp; COEs &amp; EGI</t>
  </si>
  <si>
    <t xml:space="preserve">Total People cost</t>
  </si>
  <si>
    <t xml:space="preserve">Sig items funded</t>
  </si>
  <si>
    <t xml:space="preserve">Support Cost (this is the % in the 1.x tabs)</t>
  </si>
  <si>
    <t xml:space="preserve">BP allocation</t>
  </si>
  <si>
    <t xml:space="preserve">Domain architect allocation</t>
  </si>
  <si>
    <t xml:space="preserve">GM allocation</t>
  </si>
  <si>
    <t xml:space="preserve">Other overheads (Tech Managers, Delivery Managers, HoT)</t>
  </si>
  <si>
    <t xml:space="preserve">Other overheads toggle</t>
  </si>
  <si>
    <t xml:space="preserve">Amount of overheads charged to TDD </t>
  </si>
  <si>
    <t xml:space="preserve">Total portfolio cost charged to TDD</t>
  </si>
  <si>
    <t xml:space="preserve">TDD Lights On budget</t>
  </si>
  <si>
    <t xml:space="preserve">Over/ (Under) TDD budget</t>
  </si>
  <si>
    <t xml:space="preserve">COE Strategy Architecture</t>
  </si>
  <si>
    <t xml:space="preserve">COE Cyber</t>
  </si>
  <si>
    <t xml:space="preserve">COE Service Ops</t>
  </si>
  <si>
    <t xml:space="preserve">COE Transformation</t>
  </si>
  <si>
    <t xml:space="preserve">COE Business Partnering</t>
  </si>
  <si>
    <t xml:space="preserve">COE Data</t>
  </si>
  <si>
    <t xml:space="preserve">Ampol Retail</t>
  </si>
  <si>
    <t xml:space="preserve">Z Retail</t>
  </si>
  <si>
    <t xml:space="preserve">Ampol Customer</t>
  </si>
  <si>
    <t xml:space="preserve">Z Customer</t>
  </si>
  <si>
    <t xml:space="preserve">Commercial Fuels</t>
  </si>
  <si>
    <t xml:space="preserve">Energy Solutions &amp; B2B</t>
  </si>
  <si>
    <t xml:space="preserve">Infrastructure</t>
  </si>
  <si>
    <t xml:space="preserve">Finance</t>
  </si>
  <si>
    <t xml:space="preserve">TDD Group Functions</t>
  </si>
  <si>
    <t xml:space="preserve">Enterprise Data</t>
  </si>
  <si>
    <t xml:space="preserve">TDD Cyber</t>
  </si>
  <si>
    <t xml:space="preserve">EGI</t>
  </si>
  <si>
    <t xml:space="preserve">Total, over or under the allocations for these rows</t>
  </si>
  <si>
    <t xml:space="preserve">Budget, over or under the full TDD budget</t>
  </si>
  <si>
    <t xml:space="preserve">The model, 3.6 AU and NZ, pasted as values</t>
  </si>
  <si>
    <t xml:space="preserve">Other overheads</t>
  </si>
  <si>
    <t xml:space="preserve">Amount of overheads charged to TDD</t>
  </si>
  <si>
    <t xml:space="preserve">AU spend</t>
  </si>
  <si>
    <t xml:space="preserve">NZ spend</t>
  </si>
  <si>
    <t xml:space="preserve">The model, 3.7 vacancy register, all 132 roles, pasted as values</t>
  </si>
  <si>
    <t xml:space="preserve">Title</t>
  </si>
  <si>
    <t xml:space="preserve">Portfolio</t>
  </si>
  <si>
    <t xml:space="preserve">Squad or overhead line</t>
  </si>
  <si>
    <t xml:space="preserve">Overhead role?</t>
  </si>
  <si>
    <t xml:space="preserve">FTE</t>
  </si>
  <si>
    <t xml:space="preserve">Decision (live from 2.x tab)</t>
  </si>
  <si>
    <t xml:space="preserve">Full cost ($m)</t>
  </si>
  <si>
    <t xml:space="preserve">We plan to spend ($m)</t>
  </si>
  <si>
    <t xml:space="preserve">Engineer - Integration</t>
  </si>
  <si>
    <t xml:space="preserve">No</t>
  </si>
  <si>
    <t xml:space="preserve">Offshore</t>
  </si>
  <si>
    <t xml:space="preserve">R0395</t>
  </si>
  <si>
    <t xml:space="preserve">Business Analyst</t>
  </si>
  <si>
    <t xml:space="preserve">Hold</t>
  </si>
  <si>
    <t xml:space="preserve">Quality Assurance</t>
  </si>
  <si>
    <t xml:space="preserve">Systems Analyst</t>
  </si>
  <si>
    <t xml:space="preserve">Hire</t>
  </si>
  <si>
    <t xml:space="preserve">Delivery Lead</t>
  </si>
  <si>
    <t xml:space="preserve">Data Analyst</t>
  </si>
  <si>
    <t xml:space="preserve">Engineer - Data</t>
  </si>
  <si>
    <t xml:space="preserve">Lead Quality Assurance</t>
  </si>
  <si>
    <t xml:space="preserve">Release &amp; Environments Manager</t>
  </si>
  <si>
    <t xml:space="preserve">Engineer Integration</t>
  </si>
  <si>
    <t xml:space="preserve">Support Analyst -Retail</t>
  </si>
  <si>
    <t xml:space="preserve">QA / Tester / Mid</t>
  </si>
  <si>
    <t xml:space="preserve">Customer</t>
  </si>
  <si>
    <t xml:space="preserve">WIPRO</t>
  </si>
  <si>
    <t xml:space="preserve">Systems Analyst / Mid</t>
  </si>
  <si>
    <t xml:space="preserve">Engineer, Software</t>
  </si>
  <si>
    <t xml:space="preserve">Snr Engineer, Data</t>
  </si>
  <si>
    <t xml:space="preserve">AI Engineer - Front End</t>
  </si>
  <si>
    <t xml:space="preserve">Filled</t>
  </si>
  <si>
    <t xml:space="preserve">AI Engineer - Full Stack </t>
  </si>
  <si>
    <t xml:space="preserve">.NET Back End Developer / Mid</t>
  </si>
  <si>
    <t xml:space="preserve">Solution Architect</t>
  </si>
  <si>
    <t xml:space="preserve">Technology Manager, Engineering</t>
  </si>
  <si>
    <t xml:space="preserve">Yes</t>
  </si>
  <si>
    <t xml:space="preserve">Program Manager</t>
  </si>
  <si>
    <t xml:space="preserve">EGI Customer</t>
  </si>
  <si>
    <t xml:space="preserve">R0305</t>
  </si>
  <si>
    <t xml:space="preserve">Engineer - DevOps</t>
  </si>
  <si>
    <t xml:space="preserve">R0310</t>
  </si>
  <si>
    <t xml:space="preserve">R0340</t>
  </si>
  <si>
    <t xml:space="preserve">R0427</t>
  </si>
  <si>
    <t xml:space="preserve">EGI Ent Data</t>
  </si>
  <si>
    <t xml:space="preserve">Service Transition Lead</t>
  </si>
  <si>
    <t xml:space="preserve">R0335</t>
  </si>
  <si>
    <t xml:space="preserve">Reporting analysts - Strategic Programs</t>
  </si>
  <si>
    <t xml:space="preserve">Infrastructure Operations Lead</t>
  </si>
  <si>
    <t xml:space="preserve">R0314</t>
  </si>
  <si>
    <t xml:space="preserve">Snr BA</t>
  </si>
  <si>
    <t xml:space="preserve">Lead Engineer (Automation Test)</t>
  </si>
  <si>
    <t xml:space="preserve">Environments and Test Data Manager</t>
  </si>
  <si>
    <t xml:space="preserve">Senior Engineer (Automation Test)</t>
  </si>
  <si>
    <t xml:space="preserve">RPA Lead</t>
  </si>
  <si>
    <t xml:space="preserve">R0373</t>
  </si>
  <si>
    <t xml:space="preserve">Business Analyst (Integrations)</t>
  </si>
  <si>
    <t xml:space="preserve">R0333</t>
  </si>
  <si>
    <t xml:space="preserve">Enterprise Systems Specialist</t>
  </si>
  <si>
    <t xml:space="preserve">Business Analyst (Workplace &amp; Enterprise Tooling)</t>
  </si>
  <si>
    <t xml:space="preserve">Head of Technology - TDD &amp; Engineering Capability Lead</t>
  </si>
  <si>
    <t xml:space="preserve">Head of Technology</t>
  </si>
  <si>
    <t xml:space="preserve">Delivery Manager</t>
  </si>
  <si>
    <t xml:space="preserve">R0114</t>
  </si>
  <si>
    <t xml:space="preserve">Technology Manager – Cloud, Network and Infrastructure Operations</t>
  </si>
  <si>
    <t xml:space="preserve">Engineer</t>
  </si>
  <si>
    <t xml:space="preserve">Delivery Lead (RTA)</t>
  </si>
  <si>
    <t xml:space="preserve">R0291</t>
  </si>
  <si>
    <t xml:space="preserve">Business Analyst (P&amp;C RTA)</t>
  </si>
  <si>
    <t xml:space="preserve">Systems Specialist</t>
  </si>
  <si>
    <t xml:space="preserve">Delivery Lead (JDE)</t>
  </si>
  <si>
    <t xml:space="preserve">R0526</t>
  </si>
  <si>
    <t xml:space="preserve">SAP Functional Specialist</t>
  </si>
  <si>
    <t xml:space="preserve">R0186</t>
  </si>
  <si>
    <t xml:space="preserve">R0208</t>
  </si>
  <si>
    <t xml:space="preserve">Solution Architect - Finance</t>
  </si>
  <si>
    <t xml:space="preserve">australia</t>
  </si>
  <si>
    <t xml:space="preserve">Delivery Lead (SAP)</t>
  </si>
  <si>
    <t xml:space="preserve">Integration Specialist (ASAPIO CTRM)</t>
  </si>
  <si>
    <t xml:space="preserve">Lead Data Analyst</t>
  </si>
  <si>
    <t xml:space="preserve">Reporting Analyst</t>
  </si>
  <si>
    <t xml:space="preserve">R0339</t>
  </si>
  <si>
    <t xml:space="preserve">Distribution, Sales &amp; Services</t>
  </si>
  <si>
    <t xml:space="preserve">R0452</t>
  </si>
  <si>
    <t xml:space="preserve">R0174</t>
  </si>
  <si>
    <t xml:space="preserve">Manufacturing Group Projects</t>
  </si>
  <si>
    <t xml:space="preserve">R0446</t>
  </si>
  <si>
    <t xml:space="preserve">Technology Manager Data</t>
  </si>
  <si>
    <t xml:space="preserve">R0297</t>
  </si>
  <si>
    <t xml:space="preserve">Engineer Software</t>
  </si>
  <si>
    <t xml:space="preserve">R0374</t>
  </si>
  <si>
    <t xml:space="preserve">Engineer Automation - Testing</t>
  </si>
  <si>
    <t xml:space="preserve">Snr Engineer Software</t>
  </si>
  <si>
    <t xml:space="preserve">Delivery manager</t>
  </si>
  <si>
    <t xml:space="preserve">System Specialist</t>
  </si>
  <si>
    <t xml:space="preserve">R0504</t>
  </si>
  <si>
    <t xml:space="preserve">Tech Support Technician</t>
  </si>
  <si>
    <t xml:space="preserve">Technology Manager, Data</t>
  </si>
  <si>
    <t xml:space="preserve">R0236</t>
  </si>
  <si>
    <t xml:space="preserve">Data NZ</t>
  </si>
  <si>
    <t xml:space="preserve">R0325</t>
  </si>
  <si>
    <t xml:space="preserve">R0163</t>
  </si>
  <si>
    <t xml:space="preserve">Engineer - Software</t>
  </si>
  <si>
    <t xml:space="preserve">Head of Technology, Z and Group Retail Platforms</t>
  </si>
  <si>
    <t xml:space="preserve">R0329</t>
  </si>
  <si>
    <t xml:space="preserve">Lead – Asset &amp; Configuration</t>
  </si>
  <si>
    <t xml:space="preserve">R0330</t>
  </si>
  <si>
    <t xml:space="preserve">Lead – Service Performance &amp; Insights</t>
  </si>
  <si>
    <t xml:space="preserve">Lead – Service Management, Retail</t>
  </si>
  <si>
    <t xml:space="preserve">R0516</t>
  </si>
  <si>
    <t xml:space="preserve">Commercial Director</t>
  </si>
  <si>
    <t xml:space="preserve">COE BP&amp;T</t>
  </si>
  <si>
    <t xml:space="preserve">Delivery Excellence Manager</t>
  </si>
  <si>
    <t xml:space="preserve">Delivery Assurance Manager</t>
  </si>
  <si>
    <t xml:space="preserve">Business Analysis Practice Lead</t>
  </si>
  <si>
    <t xml:space="preserve">Delivery Capacity &amp; Assurance Lead</t>
  </si>
  <si>
    <t xml:space="preserve">Delivery Systems Analyst</t>
  </si>
  <si>
    <t xml:space="preserve">Portfolio Analyst</t>
  </si>
  <si>
    <t xml:space="preserve">Scrum Master</t>
  </si>
  <si>
    <t xml:space="preserve">R0110</t>
  </si>
  <si>
    <t xml:space="preserve">Enterprise Architect</t>
  </si>
  <si>
    <t xml:space="preserve">COE SA&amp;D</t>
  </si>
  <si>
    <t xml:space="preserve">Domain Architect - Customer &amp; Digital Tech</t>
  </si>
  <si>
    <t xml:space="preserve">Domain Architect - Retail &amp; Z</t>
  </si>
  <si>
    <t xml:space="preserve">Domain Architect - TDD</t>
  </si>
  <si>
    <t xml:space="preserve">Data Governance Lead</t>
  </si>
  <si>
    <t xml:space="preserve">Head of Architecture</t>
  </si>
  <si>
    <t xml:space="preserve">Head of Technology Strategy &amp; AI Capability</t>
  </si>
  <si>
    <t xml:space="preserve">Senior Communications Advisor</t>
  </si>
  <si>
    <t xml:space="preserve">AI Capability Lead</t>
  </si>
  <si>
    <t xml:space="preserve">Enterprise Process Lead</t>
  </si>
  <si>
    <t xml:space="preserve">R0473</t>
  </si>
  <si>
    <t xml:space="preserve">EnterpriseProcess Analyst</t>
  </si>
  <si>
    <t xml:space="preserve">Cyber Architect (backfill for EGI Secondment)</t>
  </si>
  <si>
    <t xml:space="preserve">Operations Analyst</t>
  </si>
  <si>
    <t xml:space="preserve">Data Risk Analyst</t>
  </si>
  <si>
    <t xml:space="preserve">R0474</t>
  </si>
  <si>
    <t xml:space="preserve">Strategy Analyst</t>
  </si>
</sst>
</file>

<file path=xl/styles.xml><?xml version="1.0" encoding="utf-8"?>
<styleSheet xmlns="http://schemas.openxmlformats.org/spreadsheetml/2006/main">
  <numFmts count="8">
    <numFmt numFmtId="164" formatCode="General"/>
    <numFmt numFmtId="165" formatCode="0.00"/>
    <numFmt numFmtId="166" formatCode="#,##0.00;\(#,##0.00\);#,##0.00"/>
    <numFmt numFmtId="167" formatCode="#,##0.00"/>
    <numFmt numFmtId="168" formatCode="0%"/>
    <numFmt numFmtId="169" formatCode="#,##0.0000"/>
    <numFmt numFmtId="170" formatCode="mmm"/>
    <numFmt numFmtId="171" formatCode="#,##0.00;\(#,##0.00\);#,##0.00"/>
  </numFmts>
  <fonts count="9">
    <font>
      <sz val="11"/>
      <color theme="1"/>
      <name val="Calibri"/>
      <family val="2"/>
      <charset val="1"/>
    </font>
    <font>
      <sz val="10"/>
      <name val="Arial"/>
      <family val="0"/>
    </font>
    <font>
      <sz val="10"/>
      <name val="Arial"/>
      <family val="0"/>
    </font>
    <font>
      <sz val="10"/>
      <name val="Arial"/>
      <family val="0"/>
    </font>
    <font>
      <b val="true"/>
      <sz val="16"/>
      <name val="Calibri"/>
      <family val="0"/>
      <charset val="1"/>
    </font>
    <font>
      <sz val="11"/>
      <name val="Calibri"/>
      <family val="0"/>
      <charset val="1"/>
    </font>
    <font>
      <b val="true"/>
      <sz val="11"/>
      <color rgb="FFFFFFFF"/>
      <name val="Calibri"/>
      <family val="0"/>
      <charset val="1"/>
    </font>
    <font>
      <b val="true"/>
      <sz val="11"/>
      <name val="Calibri"/>
      <family val="0"/>
      <charset val="1"/>
    </font>
    <font>
      <sz val="9"/>
      <name val="Calibri"/>
      <family val="0"/>
      <charset val="1"/>
    </font>
  </fonts>
  <fills count="4">
    <fill>
      <patternFill patternType="none"/>
    </fill>
    <fill>
      <patternFill patternType="gray125"/>
    </fill>
    <fill>
      <patternFill patternType="solid">
        <fgColor rgb="FF0F2E52"/>
        <bgColor rgb="FF1F3864"/>
      </patternFill>
    </fill>
    <fill>
      <patternFill patternType="solid">
        <fgColor rgb="FFFFF2CC"/>
        <bgColor rgb="FFFFFFFF"/>
      </patternFill>
    </fill>
  </fills>
  <borders count="3">
    <border diagonalUp="false" diagonalDown="false">
      <left/>
      <right/>
      <top/>
      <bottom/>
      <diagonal/>
    </border>
    <border diagonalUp="false" diagonalDown="false">
      <left/>
      <right/>
      <top style="thin">
        <color rgb="FF1F3864"/>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left" vertical="bottom" textRotation="0" wrapText="true" indent="0" shrinkToFit="false"/>
      <protection locked="true" hidden="false"/>
    </xf>
    <xf numFmtId="164" fontId="6" fillId="2" borderId="0" xfId="0" applyFont="true" applyBorder="true" applyAlignment="true" applyProtection="false">
      <alignment horizontal="left"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false" indent="0" shrinkToFit="false"/>
      <protection locked="true" hidden="false"/>
    </xf>
    <xf numFmtId="165" fontId="5" fillId="3" borderId="0" xfId="0" applyFont="true" applyBorder="fals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1" shrinkToFit="false"/>
      <protection locked="true" hidden="false"/>
    </xf>
    <xf numFmtId="166" fontId="5" fillId="3" borderId="0" xfId="0" applyFont="true" applyBorder="false" applyAlignment="true" applyProtection="false">
      <alignment horizontal="general" vertical="bottom" textRotation="0" wrapText="fals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6" fontId="5" fillId="0" borderId="0" xfId="0" applyFont="true" applyBorder="false" applyAlignment="true" applyProtection="false">
      <alignment horizontal="general" vertical="bottom" textRotation="0" wrapText="false" indent="0" shrinkToFit="false"/>
      <protection locked="true" hidden="false"/>
    </xf>
    <xf numFmtId="167" fontId="5" fillId="0" borderId="0" xfId="0" applyFont="true" applyBorder="false" applyAlignment="tru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6" fontId="7" fillId="0" borderId="0" xfId="0" applyFont="true" applyBorder="false" applyAlignment="true" applyProtection="false">
      <alignment horizontal="general" vertical="bottom" textRotation="0" wrapText="false" indent="0" shrinkToFit="false"/>
      <protection locked="true" hidden="false"/>
    </xf>
    <xf numFmtId="167"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true" indent="0" shrinkToFit="false"/>
      <protection locked="true" hidden="false"/>
    </xf>
    <xf numFmtId="166" fontId="5" fillId="0" borderId="0" xfId="0" applyFont="true" applyBorder="false" applyAlignment="true" applyProtection="false">
      <alignment horizontal="left" vertical="bottom" textRotation="0" wrapText="true" indent="0" shrinkToFit="false"/>
      <protection locked="true" hidden="false"/>
    </xf>
    <xf numFmtId="167" fontId="5" fillId="0" borderId="0" xfId="0" applyFont="true" applyBorder="false" applyAlignment="true" applyProtection="false">
      <alignment horizontal="left" vertical="bottom" textRotation="0" wrapText="true" indent="0" shrinkToFit="false"/>
      <protection locked="true" hidden="false"/>
    </xf>
    <xf numFmtId="164" fontId="8"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1" shrinkToFit="false"/>
      <protection locked="true" hidden="false"/>
    </xf>
    <xf numFmtId="164" fontId="8" fillId="0" borderId="0" xfId="0" applyFont="true" applyBorder="false" applyAlignment="true" applyProtection="false">
      <alignment horizontal="left" vertical="bottom" textRotation="0" wrapText="true" indent="0" shrinkToFit="false"/>
      <protection locked="true" hidden="false"/>
    </xf>
    <xf numFmtId="164" fontId="7" fillId="0" borderId="1" xfId="0" applyFont="true" applyBorder="true" applyAlignment="true" applyProtection="false">
      <alignment horizontal="general" vertical="bottom" textRotation="0" wrapText="false" indent="0" shrinkToFit="false"/>
      <protection locked="true" hidden="false"/>
    </xf>
    <xf numFmtId="164" fontId="0" fillId="0" borderId="1" xfId="0" applyFont="false" applyBorder="true" applyAlignment="true" applyProtection="false">
      <alignment horizontal="general" vertical="bottom" textRotation="0" wrapText="false" indent="0" shrinkToFit="false"/>
      <protection locked="true" hidden="false"/>
    </xf>
    <xf numFmtId="166" fontId="7" fillId="0" borderId="1"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5" fillId="2" borderId="0" xfId="0" applyFont="true" applyBorder="false" applyAlignment="true" applyProtection="false">
      <alignment horizontal="left" vertical="bottom" textRotation="0" wrapText="true" indent="0" shrinkToFit="false"/>
      <protection locked="true" hidden="false"/>
    </xf>
    <xf numFmtId="167" fontId="5" fillId="2" borderId="0" xfId="0" applyFont="true" applyBorder="false" applyAlignment="true" applyProtection="false">
      <alignment horizontal="left" vertical="bottom" textRotation="0" wrapText="true" indent="0" shrinkToFit="false"/>
      <protection locked="true" hidden="false"/>
    </xf>
    <xf numFmtId="168" fontId="5" fillId="0" borderId="0" xfId="0" applyFont="true" applyBorder="false" applyAlignment="true" applyProtection="false">
      <alignment horizontal="general" vertical="bottom" textRotation="0" wrapText="false" indent="0" shrinkToFit="false"/>
      <protection locked="true" hidden="false"/>
    </xf>
    <xf numFmtId="169" fontId="5" fillId="0" borderId="0" xfId="0" applyFont="true" applyBorder="false" applyAlignment="true" applyProtection="false">
      <alignment horizontal="general" vertical="bottom" textRotation="0" wrapText="false" indent="0" shrinkToFit="false"/>
      <protection locked="true" hidden="false"/>
    </xf>
    <xf numFmtId="169" fontId="5" fillId="2" borderId="0" xfId="0" applyFont="true" applyBorder="false" applyAlignment="true" applyProtection="false">
      <alignment horizontal="left" vertical="bottom" textRotation="0" wrapText="true" indent="0" shrinkToFit="false"/>
      <protection locked="true" hidden="false"/>
    </xf>
    <xf numFmtId="169" fontId="7" fillId="0" borderId="0" xfId="0" applyFont="true" applyBorder="false" applyAlignment="true" applyProtection="false">
      <alignment horizontal="general" vertical="bottom" textRotation="0" wrapText="false" indent="0" shrinkToFit="false"/>
      <protection locked="true" hidden="false"/>
    </xf>
    <xf numFmtId="170" fontId="6" fillId="2" borderId="0" xfId="0" applyFont="true" applyBorder="false" applyAlignment="true" applyProtection="false">
      <alignment horizontal="center" vertical="bottom" textRotation="0" wrapText="true" indent="0" shrinkToFit="false"/>
      <protection locked="true" hidden="false"/>
    </xf>
    <xf numFmtId="164" fontId="5" fillId="0" borderId="0" xfId="0" applyFont="true" applyBorder="fals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general" vertical="bottom" textRotation="0" wrapText="false" indent="0" shrinkToFit="false"/>
      <protection locked="true" hidden="false"/>
    </xf>
    <xf numFmtId="166" fontId="7" fillId="0" borderId="2" xfId="0" applyFont="true" applyBorder="true" applyAlignment="tru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F2E52"/>
      <rgbColor rgb="FF339966"/>
      <rgbColor rgb="FF003300"/>
      <rgbColor rgb="FF333300"/>
      <rgbColor rgb="FF993300"/>
      <rgbColor rgb="FF993366"/>
      <rgbColor rgb="FF333399"/>
      <rgbColor rgb="FF1F3864"/>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M36"/>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2"/>
    <col collapsed="false" customWidth="true" hidden="false" outlineLevel="0" max="3" min="3" style="1" width="14"/>
    <col collapsed="false" customWidth="true" hidden="false" outlineLevel="0" max="9" min="4" style="1" width="12"/>
    <col collapsed="false" customWidth="true" hidden="false" outlineLevel="0" max="10" min="10" style="1" width="14"/>
    <col collapsed="false" customWidth="true" hidden="false" outlineLevel="0" max="12" min="11" style="1" width="16"/>
  </cols>
  <sheetData>
    <row r="2" customFormat="false" ht="15.75" hidden="false" customHeight="true" outlineLevel="0" collapsed="false">
      <c r="B2" s="2" t="s">
        <v>0</v>
      </c>
    </row>
    <row r="3" customFormat="false" ht="15.75" hidden="false" customHeight="true" outlineLevel="0" collapsed="false">
      <c r="B3" s="3" t="s">
        <v>1</v>
      </c>
      <c r="C3" s="3"/>
      <c r="D3" s="3"/>
      <c r="E3" s="3"/>
      <c r="F3" s="3"/>
      <c r="G3" s="3"/>
      <c r="H3" s="3"/>
      <c r="I3" s="3"/>
      <c r="J3" s="3"/>
      <c r="K3" s="3"/>
      <c r="L3" s="3"/>
    </row>
    <row r="5" customFormat="false" ht="15" hidden="false" customHeight="true" outlineLevel="0" collapsed="false">
      <c r="B5" s="4" t="s">
        <v>2</v>
      </c>
      <c r="C5" s="4" t="s">
        <v>3</v>
      </c>
      <c r="D5" s="5" t="s">
        <v>4</v>
      </c>
      <c r="E5" s="5"/>
      <c r="F5" s="5"/>
      <c r="G5" s="5"/>
      <c r="H5" s="5"/>
      <c r="I5" s="5"/>
      <c r="J5" s="5"/>
      <c r="K5" s="5"/>
      <c r="L5" s="5"/>
    </row>
    <row r="6" customFormat="false" ht="15" hidden="false" customHeight="true" outlineLevel="0" collapsed="false">
      <c r="B6" s="6" t="s">
        <v>5</v>
      </c>
      <c r="C6" s="7" t="n">
        <v>0.83</v>
      </c>
      <c r="D6" s="8" t="s">
        <v>6</v>
      </c>
      <c r="E6" s="8"/>
      <c r="F6" s="8"/>
      <c r="G6" s="8"/>
      <c r="H6" s="8"/>
      <c r="I6" s="8"/>
      <c r="J6" s="8"/>
      <c r="K6" s="8"/>
      <c r="L6" s="8"/>
    </row>
    <row r="7" customFormat="false" ht="28.5" hidden="false" customHeight="true" outlineLevel="0" collapsed="false">
      <c r="B7" s="6" t="s">
        <v>7</v>
      </c>
      <c r="C7" s="9" t="n">
        <v>0</v>
      </c>
      <c r="D7" s="8" t="s">
        <v>8</v>
      </c>
      <c r="E7" s="8"/>
      <c r="F7" s="8"/>
      <c r="G7" s="8"/>
      <c r="H7" s="8"/>
      <c r="I7" s="8"/>
      <c r="J7" s="8"/>
      <c r="K7" s="8"/>
      <c r="L7" s="8"/>
    </row>
    <row r="9" customFormat="false" ht="43.5" hidden="false" customHeight="true" outlineLevel="0" collapsed="false">
      <c r="B9" s="10" t="s">
        <v>9</v>
      </c>
      <c r="C9" s="10" t="s">
        <v>10</v>
      </c>
      <c r="D9" s="10" t="s">
        <v>11</v>
      </c>
      <c r="E9" s="10" t="s">
        <v>12</v>
      </c>
      <c r="F9" s="10" t="s">
        <v>13</v>
      </c>
      <c r="G9" s="10" t="s">
        <v>14</v>
      </c>
      <c r="H9" s="10" t="s">
        <v>15</v>
      </c>
      <c r="I9" s="10" t="s">
        <v>16</v>
      </c>
      <c r="J9" s="10" t="s">
        <v>17</v>
      </c>
      <c r="K9" s="10" t="s">
        <v>18</v>
      </c>
      <c r="L9" s="10" t="s">
        <v>19</v>
      </c>
      <c r="M9" s="6"/>
    </row>
    <row r="10" customFormat="false" ht="15" hidden="false" customHeight="true" outlineLevel="0" collapsed="false">
      <c r="B10" s="6" t="s">
        <v>20</v>
      </c>
      <c r="C10" s="11" t="n">
        <f aca="false">$C$6*'2 Data - Finance (June)'!D11</f>
        <v>8.4807477554</v>
      </c>
      <c r="D10" s="11" t="n">
        <f aca="false">'3 Data - model'!$C$52/12-SUMPRODUCT(('4 Vacancy timing'!$D$6:$D$107="NZ")*('4 Vacancy timing'!$C$6:$C$107&gt;"2026-07")*'4 Vacancy timing'!$F$6:$F$107)/12</f>
        <v>1.65370141666667</v>
      </c>
      <c r="E10" s="11" t="n">
        <f aca="false">'3 Data - model'!$C$52/12-SUMPRODUCT(('4 Vacancy timing'!$D$6:$D$107="NZ")*('4 Vacancy timing'!$C$6:$C$107&gt;"2026-08")*'4 Vacancy timing'!$F$6:$F$107)/12</f>
        <v>1.65370141666667</v>
      </c>
      <c r="F10" s="11" t="n">
        <f aca="false">'3 Data - model'!$C$52/12-SUMPRODUCT(('4 Vacancy timing'!$D$6:$D$107="NZ")*('4 Vacancy timing'!$C$6:$C$107&gt;"2026-09")*'4 Vacancy timing'!$F$6:$F$107)/12</f>
        <v>1.66579866666667</v>
      </c>
      <c r="G10" s="11" t="n">
        <f aca="false">'3 Data - model'!$C$52/12-SUMPRODUCT(('4 Vacancy timing'!$D$6:$D$107="NZ")*('4 Vacancy timing'!$C$6:$C$107&gt;"2026-10")*'4 Vacancy timing'!$F$6:$F$107)/12</f>
        <v>1.66579866666667</v>
      </c>
      <c r="H10" s="11" t="n">
        <f aca="false">'3 Data - model'!$C$52/12-SUMPRODUCT(('4 Vacancy timing'!$D$6:$D$107="NZ")*('4 Vacancy timing'!$C$6:$C$107&gt;"2026-11")*'4 Vacancy timing'!$F$6:$F$107)/12</f>
        <v>1.67629816666667</v>
      </c>
      <c r="I10" s="11" t="n">
        <f aca="false">'3 Data - model'!$C$52/12-SUMPRODUCT(('4 Vacancy timing'!$D$6:$D$107="NZ")*('4 Vacancy timing'!$C$6:$C$107&gt;"2026-12")*'4 Vacancy timing'!$F$6:$F$107)/12</f>
        <v>1.67629816666667</v>
      </c>
      <c r="J10" s="11" t="n">
        <f aca="false">C10+SUM(D10:I10)</f>
        <v>18.4723442554</v>
      </c>
      <c r="K10" s="12" t="n">
        <f aca="false">21.5*$C$6</f>
        <v>17.845</v>
      </c>
      <c r="L10" s="12" t="n">
        <f aca="false">J10-K10</f>
        <v>0.627344255400001</v>
      </c>
      <c r="M10" s="6"/>
    </row>
    <row r="11" customFormat="false" ht="15" hidden="false" customHeight="true" outlineLevel="0" collapsed="false">
      <c r="B11" s="6" t="s">
        <v>21</v>
      </c>
      <c r="C11" s="11" t="n">
        <f aca="false">'2 Data - Finance (June)'!D6</f>
        <v>30.26172823</v>
      </c>
      <c r="D11" s="11" t="n">
        <f aca="false">'3 Data - model'!$C$51/12-SUMPRODUCT(('4 Vacancy timing'!$D$6:$D$107="AU")*('4 Vacancy timing'!$C$6:$C$107&gt;"2026-07")*'4 Vacancy timing'!$F$6:$F$107)/12</f>
        <v>5.09995916666667</v>
      </c>
      <c r="E11" s="11" t="n">
        <f aca="false">'3 Data - model'!$C$51/12-SUMPRODUCT(('4 Vacancy timing'!$D$6:$D$107="AU")*('4 Vacancy timing'!$C$6:$C$107&gt;"2026-08")*'4 Vacancy timing'!$F$6:$F$107)/12</f>
        <v>5.36003416666667</v>
      </c>
      <c r="F11" s="11" t="n">
        <f aca="false">'3 Data - model'!$C$51/12-SUMPRODUCT(('4 Vacancy timing'!$D$6:$D$107="AU")*('4 Vacancy timing'!$C$6:$C$107&gt;"2026-09")*'4 Vacancy timing'!$F$6:$F$107)/12</f>
        <v>5.88633416666667</v>
      </c>
      <c r="G11" s="11" t="n">
        <f aca="false">'3 Data - model'!$C$51/12-SUMPRODUCT(('4 Vacancy timing'!$D$6:$D$107="AU")*('4 Vacancy timing'!$C$6:$C$107&gt;"2026-10")*'4 Vacancy timing'!$F$6:$F$107)/12</f>
        <v>6.07877583333333</v>
      </c>
      <c r="H11" s="11" t="n">
        <f aca="false">'3 Data - model'!$C$51/12-SUMPRODUCT(('4 Vacancy timing'!$D$6:$D$107="AU")*('4 Vacancy timing'!$C$6:$C$107&gt;"2026-11")*'4 Vacancy timing'!$F$6:$F$107)/12</f>
        <v>6.15242583333333</v>
      </c>
      <c r="I11" s="11" t="n">
        <f aca="false">'3 Data - model'!$C$51/12-SUMPRODUCT(('4 Vacancy timing'!$D$6:$D$107="AU")*('4 Vacancy timing'!$C$6:$C$107&gt;"2026-12")*'4 Vacancy timing'!$F$6:$F$107)/12</f>
        <v>6.15242583333333</v>
      </c>
      <c r="J11" s="11" t="n">
        <f aca="false">C11+SUM(D11:I11)</f>
        <v>64.99168323</v>
      </c>
      <c r="K11" s="11" t="n">
        <v>62.59</v>
      </c>
      <c r="L11" s="12" t="n">
        <f aca="false">J11-K11</f>
        <v>2.40168323</v>
      </c>
      <c r="M11" s="6"/>
    </row>
    <row r="12" customFormat="false" ht="15" hidden="false" customHeight="true" outlineLevel="0" collapsed="false">
      <c r="B12" s="13" t="s">
        <v>22</v>
      </c>
      <c r="C12" s="14" t="n">
        <f aca="false">C10+C11</f>
        <v>38.7424759854</v>
      </c>
      <c r="D12" s="14" t="n">
        <f aca="false">D10+D11</f>
        <v>6.75366058333333</v>
      </c>
      <c r="E12" s="14" t="n">
        <f aca="false">E10+E11</f>
        <v>7.01373558333333</v>
      </c>
      <c r="F12" s="14" t="n">
        <f aca="false">F10+F11</f>
        <v>7.55213283333333</v>
      </c>
      <c r="G12" s="14" t="n">
        <f aca="false">G10+G11</f>
        <v>7.7445745</v>
      </c>
      <c r="H12" s="14" t="n">
        <f aca="false">H10+H11</f>
        <v>7.828724</v>
      </c>
      <c r="I12" s="14" t="n">
        <f aca="false">I10+I11</f>
        <v>7.828724</v>
      </c>
      <c r="J12" s="14" t="n">
        <f aca="false">J10+J11</f>
        <v>83.4640274854</v>
      </c>
      <c r="K12" s="15" t="n">
        <f aca="false">K10+K11</f>
        <v>80.435</v>
      </c>
      <c r="L12" s="15" t="n">
        <f aca="false">J12-K12</f>
        <v>3.02902748540001</v>
      </c>
      <c r="M12" s="6"/>
    </row>
    <row r="13" customFormat="false" ht="15" hidden="false" customHeight="true" outlineLevel="0" collapsed="false">
      <c r="B13" s="16" t="s">
        <v>23</v>
      </c>
      <c r="C13" s="6"/>
      <c r="D13" s="6"/>
      <c r="E13" s="6"/>
      <c r="F13" s="6"/>
      <c r="G13" s="6"/>
      <c r="H13" s="6"/>
      <c r="I13" s="6"/>
      <c r="J13" s="6"/>
      <c r="K13" s="6"/>
      <c r="L13" s="6"/>
      <c r="M13" s="6"/>
    </row>
    <row r="14" customFormat="false" ht="15" hidden="false" customHeight="true" outlineLevel="0" collapsed="false">
      <c r="B14" s="17"/>
      <c r="C14" s="17"/>
      <c r="D14" s="17"/>
      <c r="E14" s="17"/>
      <c r="F14" s="17"/>
      <c r="G14" s="17"/>
      <c r="H14" s="17"/>
      <c r="I14" s="17"/>
      <c r="J14" s="17"/>
      <c r="K14" s="17"/>
      <c r="L14" s="17"/>
      <c r="M14" s="6"/>
    </row>
    <row r="15" customFormat="false" ht="45" hidden="false" customHeight="true" outlineLevel="0" collapsed="false">
      <c r="B15" s="10" t="s">
        <v>24</v>
      </c>
      <c r="C15" s="10" t="s">
        <v>10</v>
      </c>
      <c r="D15" s="10" t="s">
        <v>11</v>
      </c>
      <c r="E15" s="10" t="s">
        <v>12</v>
      </c>
      <c r="F15" s="10" t="s">
        <v>13</v>
      </c>
      <c r="G15" s="10" t="s">
        <v>14</v>
      </c>
      <c r="H15" s="10" t="s">
        <v>15</v>
      </c>
      <c r="I15" s="10" t="s">
        <v>16</v>
      </c>
      <c r="J15" s="10" t="s">
        <v>17</v>
      </c>
      <c r="K15" s="10" t="s">
        <v>18</v>
      </c>
      <c r="L15" s="10" t="s">
        <v>19</v>
      </c>
      <c r="M15" s="6"/>
    </row>
    <row r="16" customFormat="false" ht="15" hidden="false" customHeight="true" outlineLevel="0" collapsed="false">
      <c r="B16" s="6" t="s">
        <v>20</v>
      </c>
      <c r="C16" s="11" t="n">
        <f aca="false">$C$6*'2 Data - Finance (June)'!D11</f>
        <v>8.4807477554</v>
      </c>
      <c r="D16" s="11" t="n">
        <f aca="false">'6 Monthly view'!I8</f>
        <v>1.23001965101918</v>
      </c>
      <c r="E16" s="11" t="n">
        <f aca="false">'6 Monthly view'!J8</f>
        <v>1.23001965101918</v>
      </c>
      <c r="F16" s="11" t="n">
        <f aca="false">'6 Monthly view'!K8</f>
        <v>1.23243910101918</v>
      </c>
      <c r="G16" s="11" t="n">
        <f aca="false">'6 Monthly view'!L8</f>
        <v>1.23243910101918</v>
      </c>
      <c r="H16" s="11" t="n">
        <f aca="false">'6 Monthly view'!M8</f>
        <v>1.24293860101918</v>
      </c>
      <c r="I16" s="11" t="n">
        <f aca="false">'6 Monthly view'!N8</f>
        <v>1.24293860101918</v>
      </c>
      <c r="J16" s="11" t="n">
        <f aca="false">C16+SUM(D16:I16)</f>
        <v>15.8915424615151</v>
      </c>
      <c r="K16" s="12" t="n">
        <v>17.5</v>
      </c>
      <c r="L16" s="11" t="n">
        <f aca="false">J16-K16</f>
        <v>-1.60845753848493</v>
      </c>
      <c r="M16" s="6"/>
    </row>
    <row r="17" customFormat="false" ht="43.5" hidden="false" customHeight="true" outlineLevel="0" collapsed="false">
      <c r="B17" s="18" t="s">
        <v>21</v>
      </c>
      <c r="C17" s="19" t="n">
        <f aca="false">'2 Data - Finance (June)'!D10</f>
        <v>20.01000601</v>
      </c>
      <c r="D17" s="19" t="n">
        <f aca="false">'6 Monthly view'!I7</f>
        <v>2.39077739953684</v>
      </c>
      <c r="E17" s="19" t="n">
        <f aca="false">'6 Monthly view'!J7</f>
        <v>2.50336156620351</v>
      </c>
      <c r="F17" s="19" t="n">
        <f aca="false">'6 Monthly view'!K7</f>
        <v>2.78273864953684</v>
      </c>
      <c r="G17" s="19" t="n">
        <f aca="false">'6 Monthly view'!L7</f>
        <v>2.92159489953684</v>
      </c>
      <c r="H17" s="19" t="n">
        <f aca="false">'6 Monthly view'!M7</f>
        <v>2.99069823287018</v>
      </c>
      <c r="I17" s="19" t="n">
        <f aca="false">'6 Monthly view'!N7</f>
        <v>2.99069823287018</v>
      </c>
      <c r="J17" s="19" t="n">
        <f aca="false">C17+SUM(D17:I17)</f>
        <v>36.5898749905544</v>
      </c>
      <c r="K17" s="20" t="n">
        <v>33</v>
      </c>
      <c r="L17" s="19" t="n">
        <f aca="false">J17-K17</f>
        <v>3.58987499055439</v>
      </c>
      <c r="M17" s="6"/>
    </row>
    <row r="18" customFormat="false" ht="15" hidden="false" customHeight="true" outlineLevel="0" collapsed="false">
      <c r="B18" s="13" t="s">
        <v>22</v>
      </c>
      <c r="C18" s="14" t="n">
        <f aca="false">C16+C17</f>
        <v>28.4907537654</v>
      </c>
      <c r="D18" s="14" t="n">
        <f aca="false">D16+D17</f>
        <v>3.62079705055602</v>
      </c>
      <c r="E18" s="14" t="n">
        <f aca="false">E16+E17</f>
        <v>3.73338121722269</v>
      </c>
      <c r="F18" s="14" t="n">
        <f aca="false">F16+F17</f>
        <v>4.01517775055602</v>
      </c>
      <c r="G18" s="14" t="n">
        <f aca="false">G16+G17</f>
        <v>4.15403400055602</v>
      </c>
      <c r="H18" s="14" t="n">
        <f aca="false">H16+H17</f>
        <v>4.23363683388935</v>
      </c>
      <c r="I18" s="14" t="n">
        <f aca="false">I16+I17</f>
        <v>4.23363683388935</v>
      </c>
      <c r="J18" s="14" t="n">
        <f aca="false">J16+J17</f>
        <v>52.4814174520695</v>
      </c>
      <c r="K18" s="15" t="n">
        <v>50.5</v>
      </c>
      <c r="L18" s="14" t="n">
        <f aca="false">J18-K18</f>
        <v>1.98141745206945</v>
      </c>
      <c r="M18" s="6"/>
    </row>
    <row r="19" customFormat="false" ht="15" hidden="false" customHeight="true" outlineLevel="0" collapsed="false">
      <c r="B19" s="21" t="s">
        <v>25</v>
      </c>
      <c r="C19" s="17"/>
      <c r="D19" s="17"/>
      <c r="E19" s="17"/>
      <c r="F19" s="17"/>
      <c r="G19" s="17"/>
      <c r="H19" s="17"/>
      <c r="I19" s="17"/>
      <c r="J19" s="17"/>
      <c r="K19" s="17"/>
      <c r="L19" s="17"/>
      <c r="M19" s="6"/>
    </row>
    <row r="20" customFormat="false" ht="45" hidden="false" customHeight="true" outlineLevel="0" collapsed="false">
      <c r="B20" s="22"/>
      <c r="C20" s="6"/>
      <c r="D20" s="6"/>
      <c r="E20" s="6"/>
      <c r="F20" s="6"/>
      <c r="G20" s="6"/>
      <c r="H20" s="6"/>
      <c r="I20" s="6"/>
      <c r="J20" s="6"/>
      <c r="K20" s="6"/>
      <c r="L20" s="6"/>
      <c r="M20" s="6"/>
    </row>
    <row r="21" customFormat="false" ht="15" hidden="false" customHeight="true" outlineLevel="0" collapsed="false">
      <c r="B21" s="6" t="s">
        <v>26</v>
      </c>
      <c r="C21" s="6"/>
      <c r="D21" s="6"/>
      <c r="E21" s="6"/>
      <c r="F21" s="6"/>
      <c r="G21" s="6"/>
      <c r="H21" s="6"/>
      <c r="I21" s="6"/>
      <c r="J21" s="11" t="n">
        <f aca="false">'6 Monthly view'!N11</f>
        <v>50.8036420066723</v>
      </c>
      <c r="K21" s="6"/>
      <c r="L21" s="6"/>
      <c r="M21" s="6"/>
    </row>
    <row r="22" customFormat="false" ht="15" hidden="false" customHeight="true" outlineLevel="0" collapsed="false">
      <c r="B22" s="18" t="s">
        <v>27</v>
      </c>
      <c r="C22" s="18"/>
      <c r="D22" s="18"/>
      <c r="E22" s="6"/>
      <c r="F22" s="6"/>
      <c r="G22" s="6"/>
      <c r="H22" s="6"/>
      <c r="I22" s="6"/>
      <c r="J22" s="11" t="n">
        <v>54.12</v>
      </c>
      <c r="K22" s="11" t="n">
        <v>50.5</v>
      </c>
      <c r="L22" s="11" t="n">
        <f aca="false">J22-K22</f>
        <v>3.62</v>
      </c>
      <c r="M22" s="6"/>
    </row>
    <row r="23" customFormat="false" ht="15" hidden="false" customHeight="true" outlineLevel="0" collapsed="false">
      <c r="B23" s="6"/>
      <c r="C23" s="6"/>
      <c r="D23" s="23"/>
      <c r="E23" s="6"/>
      <c r="F23" s="6"/>
      <c r="G23" s="6"/>
      <c r="H23" s="6"/>
      <c r="I23" s="6"/>
      <c r="J23" s="6"/>
      <c r="K23" s="6"/>
      <c r="L23" s="6"/>
      <c r="M23" s="6"/>
    </row>
    <row r="24" customFormat="false" ht="15" hidden="false" customHeight="true" outlineLevel="0" collapsed="false">
      <c r="B24" s="13" t="str">
        <f aca="false">"All checks pass: "&amp;IF(AND(ABS(J18-'6 Monthly view'!N10)&lt;0.01,ABS(J18-(J16+J17))&lt;0.005,ABS(J12-(J10+J11))&lt;0.005,ABS(('3 Data - model'!C51+'3 Data - model'!C52)-99.3562)&lt;0.001),"Yes","No")</f>
        <v>All checks pass: Yes</v>
      </c>
      <c r="C24" s="6"/>
      <c r="D24" s="23"/>
      <c r="E24" s="6"/>
      <c r="F24" s="6"/>
      <c r="G24" s="6"/>
      <c r="H24" s="6"/>
      <c r="I24" s="6"/>
      <c r="J24" s="6"/>
      <c r="K24" s="6"/>
      <c r="L24" s="6"/>
      <c r="M24" s="6"/>
    </row>
    <row r="25" customFormat="false" ht="15" hidden="false" customHeight="true" outlineLevel="0" collapsed="false">
      <c r="B25" s="6"/>
      <c r="C25" s="6"/>
      <c r="D25" s="23"/>
      <c r="E25" s="6"/>
      <c r="F25" s="6"/>
      <c r="G25" s="6"/>
      <c r="H25" s="6"/>
      <c r="I25" s="6"/>
      <c r="J25" s="6"/>
      <c r="K25" s="6"/>
      <c r="L25" s="6"/>
      <c r="M25" s="6"/>
    </row>
    <row r="26" customFormat="false" ht="15" hidden="false" customHeight="true" outlineLevel="0" collapsed="false">
      <c r="B26" s="13" t="s">
        <v>28</v>
      </c>
      <c r="C26" s="6"/>
      <c r="D26" s="23"/>
      <c r="E26" s="6"/>
      <c r="F26" s="6"/>
      <c r="G26" s="6"/>
      <c r="H26" s="6"/>
      <c r="I26" s="6"/>
      <c r="J26" s="6"/>
      <c r="K26" s="6"/>
      <c r="L26" s="6"/>
      <c r="M26" s="6"/>
    </row>
    <row r="27" customFormat="false" ht="15" hidden="false" customHeight="true" outlineLevel="0" collapsed="false">
      <c r="B27" s="16" t="s">
        <v>29</v>
      </c>
      <c r="C27" s="6"/>
      <c r="D27" s="23"/>
      <c r="E27" s="6"/>
      <c r="F27" s="6"/>
      <c r="G27" s="6"/>
      <c r="H27" s="6"/>
      <c r="I27" s="6"/>
      <c r="J27" s="6"/>
      <c r="K27" s="6"/>
      <c r="L27" s="6"/>
      <c r="M27" s="6"/>
    </row>
    <row r="28" customFormat="false" ht="15" hidden="false" customHeight="true" outlineLevel="0" collapsed="false">
      <c r="B28" s="16" t="s">
        <v>30</v>
      </c>
      <c r="C28" s="6"/>
      <c r="D28" s="6"/>
      <c r="E28" s="6"/>
      <c r="F28" s="6"/>
      <c r="G28" s="6"/>
      <c r="H28" s="6"/>
      <c r="I28" s="6"/>
      <c r="J28" s="6"/>
      <c r="K28" s="6"/>
      <c r="L28" s="6"/>
      <c r="M28" s="6"/>
    </row>
    <row r="29" customFormat="false" ht="30" hidden="false" customHeight="true" outlineLevel="0" collapsed="false">
      <c r="B29" s="24" t="s">
        <v>31</v>
      </c>
      <c r="C29" s="6"/>
      <c r="D29" s="6"/>
      <c r="E29" s="6"/>
      <c r="F29" s="6"/>
      <c r="G29" s="6"/>
      <c r="H29" s="6"/>
      <c r="I29" s="6"/>
      <c r="J29" s="18"/>
      <c r="K29" s="18"/>
      <c r="L29" s="18"/>
      <c r="M29" s="6"/>
    </row>
    <row r="30" customFormat="false" ht="15" hidden="false" customHeight="true" outlineLevel="0" collapsed="false">
      <c r="B30" s="16" t="s">
        <v>32</v>
      </c>
      <c r="C30" s="6"/>
      <c r="D30" s="6"/>
      <c r="E30" s="6"/>
      <c r="F30" s="6"/>
      <c r="G30" s="6"/>
      <c r="H30" s="6"/>
      <c r="I30" s="6"/>
      <c r="J30" s="6"/>
      <c r="K30" s="6"/>
      <c r="L30" s="6"/>
      <c r="M30" s="6"/>
    </row>
    <row r="31" customFormat="false" ht="15" hidden="false" customHeight="true" outlineLevel="0" collapsed="false">
      <c r="B31" s="16" t="s">
        <v>33</v>
      </c>
      <c r="C31" s="6"/>
      <c r="D31" s="6"/>
      <c r="E31" s="6"/>
      <c r="F31" s="6"/>
      <c r="G31" s="6"/>
      <c r="H31" s="6"/>
      <c r="I31" s="6"/>
      <c r="J31" s="6"/>
      <c r="K31" s="6"/>
      <c r="L31" s="6"/>
      <c r="M31" s="6"/>
    </row>
    <row r="32" customFormat="false" ht="15" hidden="false" customHeight="true" outlineLevel="0" collapsed="false">
      <c r="B32" s="6"/>
      <c r="C32" s="6"/>
      <c r="D32" s="6"/>
      <c r="E32" s="6"/>
      <c r="F32" s="6"/>
      <c r="G32" s="6"/>
      <c r="H32" s="6"/>
      <c r="I32" s="6"/>
      <c r="J32" s="6"/>
      <c r="K32" s="6"/>
      <c r="L32" s="6"/>
      <c r="M32" s="6"/>
    </row>
    <row r="33" customFormat="false" ht="30" hidden="false" customHeight="true" outlineLevel="0" collapsed="false">
      <c r="B33" s="22"/>
      <c r="C33" s="6"/>
      <c r="D33" s="6"/>
      <c r="E33" s="6"/>
      <c r="F33" s="6"/>
      <c r="G33" s="6"/>
      <c r="H33" s="6"/>
      <c r="I33" s="6"/>
      <c r="J33" s="6"/>
      <c r="K33" s="6"/>
      <c r="L33" s="6"/>
      <c r="M33" s="6"/>
    </row>
    <row r="34" customFormat="false" ht="15" hidden="false" customHeight="true" outlineLevel="0" collapsed="false">
      <c r="B34" s="6"/>
      <c r="C34" s="6"/>
      <c r="D34" s="6"/>
      <c r="E34" s="6"/>
      <c r="F34" s="6"/>
      <c r="G34" s="6"/>
      <c r="H34" s="6"/>
      <c r="I34" s="6"/>
      <c r="J34" s="6"/>
      <c r="K34" s="6"/>
      <c r="L34" s="6"/>
      <c r="M34" s="6"/>
    </row>
    <row r="35" customFormat="false" ht="15.75" hidden="false" customHeight="true" outlineLevel="0" collapsed="false">
      <c r="B35" s="22"/>
      <c r="C35" s="6"/>
      <c r="D35" s="6"/>
      <c r="E35" s="6"/>
      <c r="F35" s="6"/>
      <c r="G35" s="6"/>
      <c r="H35" s="6"/>
      <c r="I35" s="6"/>
      <c r="J35" s="6"/>
      <c r="K35" s="6"/>
      <c r="L35" s="6"/>
      <c r="M35" s="6"/>
    </row>
    <row r="36" customFormat="false" ht="90" hidden="false" customHeight="true" outlineLevel="0" collapsed="false">
      <c r="B36" s="22"/>
      <c r="C36" s="6"/>
      <c r="D36" s="6"/>
      <c r="E36" s="6"/>
      <c r="F36" s="6"/>
      <c r="G36" s="6"/>
      <c r="H36" s="6"/>
      <c r="I36" s="6"/>
      <c r="J36" s="6"/>
      <c r="K36" s="6"/>
      <c r="L36" s="6"/>
      <c r="M36" s="6"/>
    </row>
  </sheetData>
  <mergeCells count="4">
    <mergeCell ref="B3:L3"/>
    <mergeCell ref="D5:L5"/>
    <mergeCell ref="D6:L6"/>
    <mergeCell ref="D7:L7"/>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S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3" min="2" style="1" width="34"/>
    <col collapsed="false" customWidth="true" hidden="false" outlineLevel="0" max="5" min="4" style="1" width="14"/>
    <col collapsed="false" customWidth="true" hidden="false" outlineLevel="0" max="17" min="6" style="1" width="11"/>
    <col collapsed="false" customWidth="true" hidden="false" outlineLevel="0" max="19" min="18" style="1" width="15"/>
  </cols>
  <sheetData>
    <row r="2" customFormat="false" ht="15.75" hidden="false" customHeight="true" outlineLevel="0" collapsed="false">
      <c r="B2" s="2" t="s">
        <v>34</v>
      </c>
    </row>
    <row r="3" customFormat="false" ht="30" hidden="false" customHeight="true" outlineLevel="0" collapsed="false">
      <c r="B3" s="3" t="s">
        <v>35</v>
      </c>
      <c r="C3" s="3"/>
      <c r="D3" s="3"/>
      <c r="E3" s="3"/>
      <c r="F3" s="3"/>
      <c r="G3" s="3"/>
      <c r="H3" s="3"/>
      <c r="I3" s="3"/>
      <c r="J3" s="3"/>
      <c r="K3" s="3"/>
      <c r="L3" s="3"/>
      <c r="M3" s="3"/>
      <c r="N3" s="3"/>
      <c r="O3" s="3"/>
      <c r="P3" s="3"/>
      <c r="Q3" s="3"/>
      <c r="R3" s="3"/>
      <c r="S3" s="3"/>
    </row>
    <row r="5" customFormat="false" ht="30" hidden="false" customHeight="true" outlineLevel="0" collapsed="false">
      <c r="B5" s="4" t="s">
        <v>36</v>
      </c>
      <c r="C5" s="4" t="s">
        <v>37</v>
      </c>
      <c r="D5" s="4" t="s">
        <v>38</v>
      </c>
      <c r="E5" s="4" t="s">
        <v>39</v>
      </c>
      <c r="F5" s="4" t="s">
        <v>40</v>
      </c>
      <c r="G5" s="4" t="s">
        <v>41</v>
      </c>
      <c r="H5" s="4" t="s">
        <v>42</v>
      </c>
      <c r="I5" s="4" t="s">
        <v>43</v>
      </c>
      <c r="J5" s="4" t="s">
        <v>44</v>
      </c>
      <c r="K5" s="4" t="s">
        <v>45</v>
      </c>
      <c r="L5" s="4" t="s">
        <v>46</v>
      </c>
      <c r="M5" s="4" t="s">
        <v>47</v>
      </c>
      <c r="N5" s="4" t="s">
        <v>48</v>
      </c>
      <c r="O5" s="4" t="s">
        <v>49</v>
      </c>
      <c r="P5" s="4" t="s">
        <v>50</v>
      </c>
      <c r="Q5" s="4" t="s">
        <v>51</v>
      </c>
      <c r="R5" s="4" t="s">
        <v>52</v>
      </c>
      <c r="S5" s="4" t="s">
        <v>53</v>
      </c>
    </row>
    <row r="6" customFormat="false" ht="15" hidden="false" customHeight="true" outlineLevel="0" collapsed="false">
      <c r="B6" s="6" t="s">
        <v>54</v>
      </c>
      <c r="C6" s="6" t="s">
        <v>55</v>
      </c>
      <c r="D6" s="11" t="n">
        <v>30.26172823</v>
      </c>
      <c r="E6" s="11" t="n">
        <v>31.43434106</v>
      </c>
      <c r="F6" s="11" t="n">
        <v>4.05046879</v>
      </c>
      <c r="G6" s="11" t="n">
        <v>4.69736935</v>
      </c>
      <c r="H6" s="11" t="n">
        <v>4.69921908</v>
      </c>
      <c r="I6" s="11" t="n">
        <v>5.75964409</v>
      </c>
      <c r="J6" s="11" t="n">
        <v>5.08746985</v>
      </c>
      <c r="K6" s="11" t="n">
        <v>5.96755707</v>
      </c>
      <c r="L6" s="11" t="n">
        <v>4.70419586</v>
      </c>
      <c r="M6" s="11" t="n">
        <v>4.72973537</v>
      </c>
      <c r="N6" s="11" t="n">
        <v>4.76394897</v>
      </c>
      <c r="O6" s="11" t="n">
        <v>4.67399873</v>
      </c>
      <c r="P6" s="11" t="n">
        <v>4.58569169</v>
      </c>
      <c r="Q6" s="11" t="n">
        <v>4.58569168</v>
      </c>
      <c r="R6" s="11" t="n">
        <v>57.04919521</v>
      </c>
      <c r="S6" s="11" t="n">
        <v>62.59325833</v>
      </c>
    </row>
    <row r="7" customFormat="false" ht="15" hidden="false" customHeight="true" outlineLevel="0" collapsed="false">
      <c r="B7" s="6" t="s">
        <v>56</v>
      </c>
      <c r="C7" s="6" t="s">
        <v>57</v>
      </c>
      <c r="D7" s="11" t="n">
        <v>0.5248523</v>
      </c>
      <c r="E7" s="11" t="n">
        <v>0.98497128</v>
      </c>
      <c r="F7" s="11" t="n">
        <v>-0.13004342</v>
      </c>
      <c r="G7" s="11" t="n">
        <v>-0.00368095</v>
      </c>
      <c r="H7" s="11" t="n">
        <v>0.30849969</v>
      </c>
      <c r="I7" s="11" t="n">
        <v>0.10437343</v>
      </c>
      <c r="J7" s="11" t="n">
        <v>0.06358262</v>
      </c>
      <c r="K7" s="11" t="n">
        <v>0.18212093</v>
      </c>
      <c r="L7" s="11" t="n">
        <v>0.21193</v>
      </c>
      <c r="M7" s="11" t="n">
        <v>0.21193</v>
      </c>
      <c r="N7" s="11" t="n">
        <v>0.21193</v>
      </c>
      <c r="O7" s="11" t="n">
        <v>0.21193</v>
      </c>
      <c r="P7" s="11" t="n">
        <v>0.01193</v>
      </c>
      <c r="Q7" s="11" t="n">
        <v>0.01193</v>
      </c>
      <c r="R7" s="11" t="n">
        <v>1.42624137</v>
      </c>
      <c r="S7" s="11" t="n">
        <v>1.81327589</v>
      </c>
    </row>
    <row r="8" customFormat="false" ht="15" hidden="false" customHeight="true" outlineLevel="0" collapsed="false">
      <c r="B8" s="6" t="s">
        <v>58</v>
      </c>
      <c r="C8" s="6" t="s">
        <v>59</v>
      </c>
      <c r="D8" s="11" t="n">
        <v>0.21470203</v>
      </c>
      <c r="E8" s="11" t="n">
        <v>0.408952</v>
      </c>
      <c r="F8" s="11" t="n">
        <v>0.03175936</v>
      </c>
      <c r="G8" s="11" t="n">
        <v>0.03755478</v>
      </c>
      <c r="H8" s="11" t="n">
        <v>0.04625839</v>
      </c>
      <c r="I8" s="11" t="n">
        <v>0.02322646</v>
      </c>
      <c r="J8" s="11" t="n">
        <v>0.03546735</v>
      </c>
      <c r="K8" s="11" t="n">
        <v>0.04043569</v>
      </c>
      <c r="L8" s="11" t="n">
        <v>0.079462</v>
      </c>
      <c r="M8" s="11" t="n">
        <v>0.077262</v>
      </c>
      <c r="N8" s="11" t="n">
        <v>0.079462</v>
      </c>
      <c r="O8" s="11" t="n">
        <v>0.076462</v>
      </c>
      <c r="P8" s="11" t="n">
        <v>0.077262</v>
      </c>
      <c r="Q8" s="11" t="n">
        <v>0.034362</v>
      </c>
      <c r="R8" s="11" t="n">
        <v>0.67500034</v>
      </c>
      <c r="S8" s="11" t="n">
        <v>0.822279</v>
      </c>
    </row>
    <row r="9" customFormat="false" ht="15" hidden="false" customHeight="true" outlineLevel="0" collapsed="false">
      <c r="B9" s="6" t="s">
        <v>60</v>
      </c>
      <c r="C9" s="6" t="s">
        <v>61</v>
      </c>
      <c r="D9" s="11" t="n">
        <v>-10.99127655</v>
      </c>
      <c r="E9" s="11" t="n">
        <v>-14.78913968</v>
      </c>
      <c r="F9" s="11" t="n">
        <v>-0.93222691</v>
      </c>
      <c r="G9" s="11" t="n">
        <v>-1.63422647</v>
      </c>
      <c r="H9" s="11" t="n">
        <v>-2.12664574</v>
      </c>
      <c r="I9" s="11" t="n">
        <v>-1.76232452</v>
      </c>
      <c r="J9" s="11" t="n">
        <v>-2.18223009</v>
      </c>
      <c r="K9" s="11" t="n">
        <v>-2.35362282</v>
      </c>
      <c r="L9" s="11" t="n">
        <v>-2.12133516</v>
      </c>
      <c r="M9" s="11" t="n">
        <v>-2.12910516</v>
      </c>
      <c r="N9" s="11" t="n">
        <v>-2.12392516</v>
      </c>
      <c r="O9" s="11" t="n">
        <v>-2.12651516</v>
      </c>
      <c r="P9" s="11" t="n">
        <v>-2.12651516</v>
      </c>
      <c r="Q9" s="11" t="n">
        <v>-2.13687516</v>
      </c>
      <c r="R9" s="11" t="n">
        <v>-23.54010652</v>
      </c>
      <c r="S9" s="11" t="n">
        <v>-29.9974237</v>
      </c>
    </row>
    <row r="10" customFormat="false" ht="15" hidden="false" customHeight="true" outlineLevel="0" collapsed="false">
      <c r="B10" s="13" t="s">
        <v>62</v>
      </c>
      <c r="C10" s="6" t="s">
        <v>63</v>
      </c>
      <c r="D10" s="14" t="n">
        <v>20.01000601</v>
      </c>
      <c r="E10" s="11" t="n">
        <v>18.03912466</v>
      </c>
      <c r="F10" s="11" t="n">
        <v>3.01995782</v>
      </c>
      <c r="G10" s="11" t="n">
        <v>3.09701671</v>
      </c>
      <c r="H10" s="11" t="n">
        <v>2.92733142</v>
      </c>
      <c r="I10" s="11" t="n">
        <v>4.12491946</v>
      </c>
      <c r="J10" s="11" t="n">
        <v>3.00428973</v>
      </c>
      <c r="K10" s="11" t="n">
        <v>3.83649087</v>
      </c>
      <c r="L10" s="11" t="n">
        <v>2.8742527</v>
      </c>
      <c r="M10" s="11" t="n">
        <v>2.88982221</v>
      </c>
      <c r="N10" s="11" t="n">
        <v>2.93141581</v>
      </c>
      <c r="O10" s="11" t="n">
        <v>2.83587557</v>
      </c>
      <c r="P10" s="11" t="n">
        <v>2.54836853</v>
      </c>
      <c r="Q10" s="11" t="n">
        <v>2.49510852</v>
      </c>
      <c r="R10" s="11" t="n">
        <v>35.6103304</v>
      </c>
      <c r="S10" s="11" t="n">
        <v>35.23138952</v>
      </c>
    </row>
    <row r="11" customFormat="false" ht="15" hidden="false" customHeight="true" outlineLevel="0" collapsed="false">
      <c r="B11" s="13" t="s">
        <v>64</v>
      </c>
      <c r="C11" s="6" t="s">
        <v>65</v>
      </c>
      <c r="D11" s="14" t="n">
        <v>10.21776838</v>
      </c>
      <c r="E11" s="11" t="n">
        <v>10.3202522294119</v>
      </c>
      <c r="F11" s="11" t="n">
        <v>1.42016716</v>
      </c>
      <c r="G11" s="11" t="n">
        <v>1.69345644</v>
      </c>
      <c r="H11" s="11" t="n">
        <v>1.52855877</v>
      </c>
      <c r="I11" s="11" t="n">
        <v>1.36808166</v>
      </c>
      <c r="J11" s="11" t="n">
        <v>1.83525433</v>
      </c>
      <c r="K11" s="11" t="n">
        <v>2.37225002</v>
      </c>
      <c r="L11" s="11" t="n">
        <v>1.780915</v>
      </c>
      <c r="M11" s="11" t="n">
        <v>1.780915</v>
      </c>
      <c r="N11" s="11" t="n">
        <v>1.780915</v>
      </c>
      <c r="O11" s="11" t="n">
        <v>1.780915</v>
      </c>
      <c r="P11" s="11" t="n">
        <v>1.780915</v>
      </c>
      <c r="Q11" s="11" t="n">
        <v>1.780915</v>
      </c>
      <c r="R11" s="11" t="n">
        <v>20.90325838</v>
      </c>
      <c r="S11" s="11" t="n">
        <v>21.5307868351562</v>
      </c>
    </row>
    <row r="13" customFormat="false" ht="30" hidden="false" customHeight="true" outlineLevel="0" collapsed="false">
      <c r="B13" s="3" t="s">
        <v>66</v>
      </c>
      <c r="C13" s="3"/>
      <c r="D13" s="3"/>
      <c r="E13" s="3"/>
      <c r="F13" s="3"/>
      <c r="G13" s="3"/>
      <c r="H13" s="3"/>
      <c r="I13" s="3"/>
      <c r="J13" s="3"/>
      <c r="K13" s="3"/>
      <c r="L13" s="3"/>
      <c r="M13" s="3"/>
      <c r="N13" s="3"/>
      <c r="O13" s="3"/>
      <c r="P13" s="3"/>
      <c r="Q13" s="3"/>
      <c r="R13" s="3"/>
      <c r="S13" s="3"/>
    </row>
    <row r="15" customFormat="false" ht="30" hidden="false" customHeight="true" outlineLevel="0" collapsed="false">
      <c r="B15" s="4" t="s">
        <v>67</v>
      </c>
      <c r="C15" s="4" t="s">
        <v>37</v>
      </c>
      <c r="D15" s="4" t="s">
        <v>53</v>
      </c>
      <c r="E15" s="4" t="s">
        <v>38</v>
      </c>
      <c r="F15" s="4" t="s">
        <v>52</v>
      </c>
    </row>
    <row r="16" customFormat="false" ht="15" hidden="false" customHeight="true" outlineLevel="0" collapsed="false">
      <c r="B16" s="6" t="s">
        <v>68</v>
      </c>
      <c r="C16" s="6" t="s">
        <v>69</v>
      </c>
      <c r="D16" s="11" t="n">
        <v>78.89486321</v>
      </c>
      <c r="E16" s="11" t="n">
        <v>40.97295585</v>
      </c>
      <c r="F16" s="11" t="n">
        <v>79.31043564</v>
      </c>
    </row>
    <row r="17" customFormat="false" ht="15" hidden="false" customHeight="true" outlineLevel="0" collapsed="false">
      <c r="B17" s="6" t="s">
        <v>70</v>
      </c>
      <c r="C17" s="6" t="s">
        <v>71</v>
      </c>
      <c r="D17" s="11" t="n">
        <v>52.2252596190862</v>
      </c>
      <c r="E17" s="11" t="n">
        <v>26.4555130724</v>
      </c>
      <c r="F17" s="11" t="n">
        <v>53.465433886</v>
      </c>
    </row>
    <row r="18" customFormat="false" ht="15" hidden="false" customHeight="true" outlineLevel="0" collapsed="false">
      <c r="B18" s="25" t="s">
        <v>72</v>
      </c>
      <c r="C18" s="26"/>
      <c r="D18" s="27" t="n">
        <f aca="false">SUM(D16:D17)</f>
        <v>131.120122829086</v>
      </c>
      <c r="E18" s="27" t="n">
        <f aca="false">SUM(E16:E17)</f>
        <v>67.4284689224</v>
      </c>
      <c r="F18" s="27" t="n">
        <f aca="false">SUM(F16:F17)</f>
        <v>132.775869526</v>
      </c>
    </row>
    <row r="19" customFormat="false" ht="30" hidden="false" customHeight="true" outlineLevel="0" collapsed="false">
      <c r="B19" s="3" t="s">
        <v>73</v>
      </c>
      <c r="C19" s="3"/>
      <c r="D19" s="3"/>
      <c r="E19" s="3"/>
      <c r="F19" s="3"/>
      <c r="G19" s="3"/>
      <c r="H19" s="3"/>
      <c r="I19" s="3"/>
      <c r="J19" s="3"/>
      <c r="K19" s="3"/>
      <c r="L19" s="3"/>
      <c r="M19" s="3"/>
      <c r="N19" s="3"/>
      <c r="O19" s="3"/>
      <c r="P19" s="3"/>
      <c r="Q19" s="3"/>
      <c r="R19" s="3"/>
      <c r="S19" s="3"/>
    </row>
  </sheetData>
  <mergeCells count="3">
    <mergeCell ref="B3:S3"/>
    <mergeCell ref="B13:S13"/>
    <mergeCell ref="B19:S19"/>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D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62"/>
    <col collapsed="false" customWidth="true" hidden="false" outlineLevel="0" max="3" min="3" style="1" width="16"/>
    <col collapsed="false" customWidth="true" hidden="false" outlineLevel="0" max="4" min="4" style="1" width="62"/>
  </cols>
  <sheetData>
    <row r="2" customFormat="false" ht="15.75" hidden="false" customHeight="true" outlineLevel="0" collapsed="false">
      <c r="B2" s="2" t="s">
        <v>74</v>
      </c>
    </row>
    <row r="3" customFormat="false" ht="30" hidden="false" customHeight="true" outlineLevel="0" collapsed="false">
      <c r="B3" s="28" t="s">
        <v>75</v>
      </c>
      <c r="C3" s="28"/>
      <c r="D3" s="28"/>
    </row>
    <row r="5" customFormat="false" ht="27.75" hidden="false" customHeight="true" outlineLevel="0" collapsed="false">
      <c r="B5" s="4" t="s">
        <v>76</v>
      </c>
      <c r="C5" s="4" t="s">
        <v>77</v>
      </c>
      <c r="D5" s="4" t="s">
        <v>78</v>
      </c>
    </row>
    <row r="6" customFormat="false" ht="15" hidden="false" customHeight="true" outlineLevel="0" collapsed="false">
      <c r="B6" s="6" t="s">
        <v>79</v>
      </c>
      <c r="C6" s="11" t="n">
        <f aca="false">'7 Model 3.5'!C24</f>
        <v>98.8302500162535</v>
      </c>
      <c r="D6" s="6" t="s">
        <v>80</v>
      </c>
    </row>
    <row r="7" customFormat="false" ht="15" hidden="false" customHeight="true" outlineLevel="0" collapsed="false">
      <c r="B7" s="6" t="s">
        <v>81</v>
      </c>
      <c r="C7" s="11" t="n">
        <f aca="false">'7 Model 3.5'!L24</f>
        <v>54.1177216890722</v>
      </c>
      <c r="D7" s="6" t="s">
        <v>82</v>
      </c>
    </row>
    <row r="8" customFormat="false" ht="15" hidden="false" customHeight="true" outlineLevel="0" collapsed="false">
      <c r="B8" s="6" t="s">
        <v>83</v>
      </c>
      <c r="C8" s="11" t="n">
        <f aca="false">'8 Model 3.6'!M24</f>
        <v>38.9110364768421</v>
      </c>
      <c r="D8" s="6" t="s">
        <v>84</v>
      </c>
    </row>
    <row r="9" customFormat="false" ht="15" hidden="false" customHeight="true" outlineLevel="0" collapsed="false">
      <c r="B9" s="6" t="s">
        <v>85</v>
      </c>
      <c r="C9" s="11" t="n">
        <f aca="false">'8 Model 3.6'!N24</f>
        <v>15.2066852122301</v>
      </c>
      <c r="D9" s="6" t="s">
        <v>86</v>
      </c>
    </row>
    <row r="10" customFormat="false" ht="15" hidden="false" customHeight="true" outlineLevel="0" collapsed="false">
      <c r="B10" s="6" t="s">
        <v>87</v>
      </c>
      <c r="C10" s="11" t="n">
        <v>50.5</v>
      </c>
      <c r="D10" s="6" t="s">
        <v>88</v>
      </c>
    </row>
    <row r="11" customFormat="false" ht="15" hidden="false" customHeight="true" outlineLevel="0" collapsed="false">
      <c r="B11" s="6" t="s">
        <v>89</v>
      </c>
      <c r="C11" s="11" t="n">
        <v>33</v>
      </c>
      <c r="D11" s="6" t="s">
        <v>90</v>
      </c>
    </row>
    <row r="12" customFormat="false" ht="15" hidden="false" customHeight="true" outlineLevel="0" collapsed="false">
      <c r="B12" s="6" t="s">
        <v>91</v>
      </c>
      <c r="C12" s="11" t="n">
        <v>17.5</v>
      </c>
      <c r="D12" s="6" t="s">
        <v>92</v>
      </c>
    </row>
    <row r="13" customFormat="false" ht="15" hidden="false" customHeight="true" outlineLevel="0" collapsed="false">
      <c r="B13" s="6" t="s">
        <v>93</v>
      </c>
      <c r="C13" s="11" t="n">
        <v>53.8</v>
      </c>
      <c r="D13" s="6" t="s">
        <v>94</v>
      </c>
    </row>
    <row r="14" customFormat="false" ht="15" hidden="false" customHeight="true" outlineLevel="0" collapsed="false">
      <c r="B14" s="6" t="s">
        <v>95</v>
      </c>
      <c r="C14" s="11" t="n">
        <v>36.2</v>
      </c>
      <c r="D14" s="6" t="s">
        <v>96</v>
      </c>
    </row>
    <row r="15" customFormat="false" ht="15" hidden="false" customHeight="true" outlineLevel="0" collapsed="false">
      <c r="B15" s="6" t="s">
        <v>97</v>
      </c>
      <c r="C15" s="11" t="n">
        <v>17.6</v>
      </c>
      <c r="D15" s="6" t="s">
        <v>98</v>
      </c>
    </row>
    <row r="16" customFormat="false" ht="15" hidden="false" customHeight="true" outlineLevel="0" collapsed="false">
      <c r="B16" s="6" t="s">
        <v>99</v>
      </c>
      <c r="C16" s="11" t="n">
        <v>19.8327</v>
      </c>
      <c r="D16" s="6" t="s">
        <v>100</v>
      </c>
    </row>
    <row r="17" customFormat="false" ht="15" hidden="false" customHeight="true" outlineLevel="0" collapsed="false">
      <c r="B17" s="6" t="s">
        <v>101</v>
      </c>
      <c r="C17" s="11" t="n">
        <v>31.2205</v>
      </c>
      <c r="D17" s="6" t="s">
        <v>102</v>
      </c>
    </row>
    <row r="18" customFormat="false" ht="15" hidden="false" customHeight="true" outlineLevel="0" collapsed="false">
      <c r="B18" s="6" t="s">
        <v>103</v>
      </c>
      <c r="C18" s="11" t="n">
        <v>22.8972</v>
      </c>
      <c r="D18" s="6" t="s">
        <v>104</v>
      </c>
    </row>
    <row r="19" customFormat="false" ht="15" hidden="false" customHeight="true" outlineLevel="0" collapsed="false">
      <c r="B19" s="6" t="s">
        <v>105</v>
      </c>
      <c r="C19" s="11" t="n">
        <v>0.3113</v>
      </c>
      <c r="D19" s="6" t="s">
        <v>106</v>
      </c>
    </row>
    <row r="20" customFormat="false" ht="15" hidden="false" customHeight="true" outlineLevel="0" collapsed="false">
      <c r="B20" s="6" t="s">
        <v>107</v>
      </c>
      <c r="C20" s="11" t="n">
        <f aca="false">C8+C19</f>
        <v>39.2223364768421</v>
      </c>
      <c r="D20" s="6" t="s">
        <v>108</v>
      </c>
    </row>
    <row r="21" customFormat="false" ht="15" hidden="false" customHeight="true" outlineLevel="0" collapsed="false">
      <c r="B21" s="6" t="s">
        <v>109</v>
      </c>
      <c r="C21" s="11" t="n">
        <f aca="false">C9</f>
        <v>15.2066852122301</v>
      </c>
      <c r="D21" s="6" t="s">
        <v>110</v>
      </c>
    </row>
    <row r="22" customFormat="false" ht="15" hidden="false" customHeight="true" outlineLevel="0" collapsed="false">
      <c r="B22" s="6" t="s">
        <v>111</v>
      </c>
      <c r="C22" s="11" t="n">
        <f aca="false">C20+C21</f>
        <v>54.4290216890722</v>
      </c>
      <c r="D22" s="6" t="s">
        <v>112</v>
      </c>
    </row>
    <row r="23" customFormat="false" ht="75" hidden="false" customHeight="true" outlineLevel="0" collapsed="false">
      <c r="B23" s="29" t="s">
        <v>113</v>
      </c>
    </row>
    <row r="25" customFormat="false" ht="15" hidden="false" customHeight="true" outlineLevel="0" collapsed="false">
      <c r="B25" s="4" t="s">
        <v>114</v>
      </c>
      <c r="C25" s="4" t="s">
        <v>77</v>
      </c>
      <c r="D25" s="4" t="s">
        <v>115</v>
      </c>
    </row>
    <row r="26" customFormat="false" ht="15" hidden="false" customHeight="true" outlineLevel="0" collapsed="false">
      <c r="B26" s="6" t="s">
        <v>116</v>
      </c>
      <c r="C26" s="11" t="n">
        <f aca="false">C20</f>
        <v>39.2223364768421</v>
      </c>
      <c r="D26" s="6" t="s">
        <v>117</v>
      </c>
    </row>
    <row r="27" customFormat="false" ht="15" hidden="false" customHeight="true" outlineLevel="0" collapsed="false">
      <c r="B27" s="6" t="s">
        <v>118</v>
      </c>
      <c r="C27" s="11" t="n">
        <f aca="false">C26/2</f>
        <v>19.6111682384211</v>
      </c>
      <c r="D27" s="6" t="s">
        <v>119</v>
      </c>
    </row>
    <row r="28" customFormat="false" ht="15" hidden="false" customHeight="true" outlineLevel="0" collapsed="false">
      <c r="B28" s="6" t="s">
        <v>120</v>
      </c>
      <c r="C28" s="11" t="n">
        <f aca="false">'4 Vacancy timing'!I108</f>
        <v>5.4044038412</v>
      </c>
      <c r="D28" s="6" t="s">
        <v>121</v>
      </c>
    </row>
    <row r="29" customFormat="false" ht="15" hidden="false" customHeight="true" outlineLevel="0" collapsed="false">
      <c r="B29" s="6" t="s">
        <v>122</v>
      </c>
      <c r="C29" s="11" t="n">
        <f aca="false">'4 Vacancy timing'!J108</f>
        <v>2.37310458333333</v>
      </c>
      <c r="D29" s="6" t="s">
        <v>123</v>
      </c>
    </row>
    <row r="30" customFormat="false" ht="15" hidden="false" customHeight="true" outlineLevel="0" collapsed="false">
      <c r="B30" s="6" t="s">
        <v>124</v>
      </c>
      <c r="C30" s="11" t="n">
        <f aca="false">C27-C28+C29</f>
        <v>16.5798689805544</v>
      </c>
      <c r="D30" s="6" t="s">
        <v>125</v>
      </c>
    </row>
    <row r="31" customFormat="false" ht="15" hidden="false" customHeight="true" outlineLevel="0" collapsed="false">
      <c r="B31" s="6" t="s">
        <v>126</v>
      </c>
      <c r="C31" s="11" t="n">
        <f aca="false">C30/6</f>
        <v>2.76331149675906</v>
      </c>
      <c r="D31" s="6" t="s">
        <v>127</v>
      </c>
    </row>
    <row r="32" customFormat="false" ht="15" hidden="false" customHeight="true" outlineLevel="0" collapsed="false">
      <c r="B32" s="6" t="s">
        <v>128</v>
      </c>
      <c r="C32" s="11" t="n">
        <f aca="false">'2 Data - Finance (June)'!D7/6</f>
        <v>0.0874753833333333</v>
      </c>
      <c r="D32" s="6" t="s">
        <v>129</v>
      </c>
    </row>
    <row r="33" customFormat="false" ht="15" hidden="false" customHeight="true" outlineLevel="0" collapsed="false">
      <c r="B33" s="6" t="s">
        <v>130</v>
      </c>
      <c r="C33" s="11" t="n">
        <f aca="false">'2 Data - Finance (June)'!D8/6</f>
        <v>0.0357836716666667</v>
      </c>
      <c r="D33" s="6" t="s">
        <v>129</v>
      </c>
    </row>
    <row r="34" customFormat="false" ht="15" hidden="false" customHeight="true" outlineLevel="0" collapsed="false">
      <c r="B34" s="6" t="s">
        <v>131</v>
      </c>
      <c r="C34" s="11" t="n">
        <f aca="false">'2 Data - Finance (June)'!D9/6</f>
        <v>-1.831879425</v>
      </c>
      <c r="D34" s="6" t="s">
        <v>129</v>
      </c>
    </row>
    <row r="35" customFormat="false" ht="15" hidden="false" customHeight="true" outlineLevel="0" collapsed="false">
      <c r="B35" s="6" t="s">
        <v>132</v>
      </c>
      <c r="C35" s="11" t="n">
        <f aca="false">C31-C32-C33-C34</f>
        <v>4.47193186675906</v>
      </c>
      <c r="D35" s="6" t="s">
        <v>133</v>
      </c>
    </row>
    <row r="36" customFormat="false" ht="45" hidden="false" customHeight="true" outlineLevel="0" collapsed="false">
      <c r="B36" s="29" t="s">
        <v>134</v>
      </c>
    </row>
    <row r="38" customFormat="false" ht="15" hidden="false" customHeight="true" outlineLevel="0" collapsed="false">
      <c r="B38" s="4" t="s">
        <v>135</v>
      </c>
      <c r="C38" s="4" t="s">
        <v>77</v>
      </c>
      <c r="D38" s="4" t="s">
        <v>115</v>
      </c>
    </row>
    <row r="39" customFormat="false" ht="15" hidden="false" customHeight="true" outlineLevel="0" collapsed="false">
      <c r="B39" s="6" t="s">
        <v>136</v>
      </c>
      <c r="C39" s="11" t="n">
        <f aca="false">C21</f>
        <v>15.2066852122301</v>
      </c>
      <c r="D39" s="6" t="s">
        <v>137</v>
      </c>
    </row>
    <row r="40" customFormat="false" ht="15" hidden="false" customHeight="true" outlineLevel="0" collapsed="false">
      <c r="B40" s="6" t="s">
        <v>118</v>
      </c>
      <c r="C40" s="11" t="n">
        <f aca="false">C39/2</f>
        <v>7.60334260611507</v>
      </c>
      <c r="D40" s="6" t="s">
        <v>119</v>
      </c>
    </row>
    <row r="41" customFormat="false" ht="15" hidden="false" customHeight="true" outlineLevel="0" collapsed="false">
      <c r="B41" s="6" t="s">
        <v>138</v>
      </c>
      <c r="C41" s="11" t="n">
        <f aca="false">'4 Vacancy timing'!I109</f>
        <v>0.2232247</v>
      </c>
      <c r="D41" s="6" t="s">
        <v>139</v>
      </c>
    </row>
    <row r="42" customFormat="false" ht="15" hidden="false" customHeight="true" outlineLevel="0" collapsed="false">
      <c r="B42" s="6" t="s">
        <v>140</v>
      </c>
      <c r="C42" s="11" t="n">
        <f aca="false">'4 Vacancy timing'!J109</f>
        <v>0.0306768</v>
      </c>
      <c r="D42" s="6" t="s">
        <v>141</v>
      </c>
    </row>
    <row r="43" customFormat="false" ht="15" hidden="false" customHeight="true" outlineLevel="0" collapsed="false">
      <c r="B43" s="6" t="s">
        <v>142</v>
      </c>
      <c r="C43" s="11" t="n">
        <f aca="false">C40-C41+C42</f>
        <v>7.41079470611507</v>
      </c>
      <c r="D43" s="6" t="s">
        <v>125</v>
      </c>
    </row>
    <row r="44" customFormat="false" ht="15" hidden="false" customHeight="true" outlineLevel="0" collapsed="false">
      <c r="B44" s="6" t="s">
        <v>143</v>
      </c>
      <c r="C44" s="11" t="n">
        <f aca="false">C43/6</f>
        <v>1.23513245101918</v>
      </c>
      <c r="D44" s="6" t="s">
        <v>127</v>
      </c>
    </row>
    <row r="45" customFormat="false" ht="30" hidden="false" customHeight="true" outlineLevel="0" collapsed="false">
      <c r="B45" s="29" t="s">
        <v>144</v>
      </c>
    </row>
    <row r="46" customFormat="false" ht="15" hidden="false" customHeight="true" outlineLevel="0" collapsed="false">
      <c r="B46" s="6" t="s">
        <v>145</v>
      </c>
      <c r="C46" s="12"/>
    </row>
    <row r="47" customFormat="false" ht="15" hidden="false" customHeight="true" outlineLevel="0" collapsed="false">
      <c r="B47" s="30"/>
      <c r="C47" s="31"/>
      <c r="D47" s="4"/>
    </row>
    <row r="48" customFormat="false" ht="15" hidden="false" customHeight="true" outlineLevel="0" collapsed="false">
      <c r="B48" s="6" t="s">
        <v>146</v>
      </c>
      <c r="C48" s="11" t="n">
        <f aca="false">C7-C10</f>
        <v>3.61772168907224</v>
      </c>
      <c r="D48" s="6" t="s">
        <v>147</v>
      </c>
    </row>
    <row r="49" customFormat="false" ht="15" hidden="false" customHeight="true" outlineLevel="0" collapsed="false">
      <c r="B49" s="6" t="s">
        <v>148</v>
      </c>
      <c r="C49" s="11" t="n">
        <f aca="false">C7-C13</f>
        <v>0.317721689072243</v>
      </c>
      <c r="D49" s="6" t="s">
        <v>149</v>
      </c>
    </row>
    <row r="50" customFormat="false" ht="15" hidden="false" customHeight="true" outlineLevel="0" collapsed="false">
      <c r="B50" s="13" t="s">
        <v>150</v>
      </c>
    </row>
    <row r="51" customFormat="false" ht="15" hidden="false" customHeight="true" outlineLevel="0" collapsed="false">
      <c r="B51" s="6" t="s">
        <v>151</v>
      </c>
      <c r="C51" s="11" t="n">
        <v>78.9492</v>
      </c>
    </row>
    <row r="52" customFormat="false" ht="15" hidden="false" customHeight="true" outlineLevel="0" collapsed="false">
      <c r="B52" s="6" t="s">
        <v>152</v>
      </c>
      <c r="C52" s="11" t="n">
        <v>20.407</v>
      </c>
    </row>
    <row r="53" customFormat="false" ht="15" hidden="false" customHeight="true" outlineLevel="0" collapsed="false">
      <c r="B53" s="6" t="s">
        <v>153</v>
      </c>
      <c r="C53" s="11" t="n">
        <f aca="false">C51+C52</f>
        <v>99.3562</v>
      </c>
    </row>
    <row r="54" customFormat="false" ht="15" hidden="false" customHeight="true" outlineLevel="0" collapsed="false">
      <c r="B54" s="1" t="s">
        <v>154</v>
      </c>
    </row>
  </sheetData>
  <mergeCells count="1">
    <mergeCell ref="B3:D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J1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11"/>
    <col collapsed="false" customWidth="true" hidden="false" outlineLevel="0" max="3" min="3" style="1" width="13"/>
    <col collapsed="false" customWidth="true" hidden="false" outlineLevel="0" max="4" min="4" style="1" width="10"/>
    <col collapsed="false" customWidth="true" hidden="false" outlineLevel="0" max="5" min="5" style="1" width="30"/>
    <col collapsed="false" customWidth="true" hidden="false" outlineLevel="0" max="6" min="6" style="1" width="13"/>
    <col collapsed="false" customWidth="true" hidden="false" outlineLevel="0" max="7" min="7" style="1" width="12"/>
    <col collapsed="false" customWidth="true" hidden="false" outlineLevel="0" max="8" min="8" style="1" width="14"/>
    <col collapsed="false" customWidth="true" hidden="false" outlineLevel="0" max="9" min="9" style="1" width="13"/>
    <col collapsed="false" customWidth="true" hidden="false" outlineLevel="0" max="10" min="10" style="1" width="15"/>
  </cols>
  <sheetData>
    <row r="2" customFormat="false" ht="15.75" hidden="false" customHeight="true" outlineLevel="0" collapsed="false">
      <c r="B2" s="2" t="s">
        <v>155</v>
      </c>
    </row>
    <row r="3" customFormat="false" ht="75" hidden="false" customHeight="true" outlineLevel="0" collapsed="false">
      <c r="B3" s="28" t="s">
        <v>156</v>
      </c>
      <c r="C3" s="28"/>
      <c r="D3" s="28"/>
      <c r="E3" s="28"/>
      <c r="F3" s="28"/>
      <c r="G3" s="28"/>
      <c r="H3" s="28"/>
      <c r="I3" s="28"/>
      <c r="J3" s="28"/>
    </row>
    <row r="5" customFormat="false" ht="45.75" hidden="false" customHeight="true" outlineLevel="0" collapsed="false">
      <c r="B5" s="4" t="s">
        <v>157</v>
      </c>
      <c r="C5" s="4" t="s">
        <v>158</v>
      </c>
      <c r="D5" s="4" t="s">
        <v>159</v>
      </c>
      <c r="E5" s="4" t="s">
        <v>160</v>
      </c>
      <c r="F5" s="4" t="s">
        <v>161</v>
      </c>
      <c r="G5" s="4" t="s">
        <v>162</v>
      </c>
      <c r="H5" s="4" t="s">
        <v>163</v>
      </c>
      <c r="I5" s="4" t="s">
        <v>164</v>
      </c>
      <c r="J5" s="4" t="s">
        <v>165</v>
      </c>
    </row>
    <row r="6" customFormat="false" ht="15" hidden="false" customHeight="true" outlineLevel="0" collapsed="false">
      <c r="B6" s="6" t="s">
        <v>166</v>
      </c>
      <c r="C6" s="6" t="s">
        <v>167</v>
      </c>
      <c r="D6" s="6" t="s">
        <v>21</v>
      </c>
      <c r="E6" s="6" t="s">
        <v>168</v>
      </c>
      <c r="F6" s="11" t="n">
        <v>0.0682</v>
      </c>
      <c r="G6" s="32" t="n">
        <v>0.2</v>
      </c>
      <c r="H6" s="11" t="n">
        <v>0.01364</v>
      </c>
      <c r="I6" s="11" t="n">
        <f aca="false">H6/2</f>
        <v>0.00682</v>
      </c>
      <c r="J6" s="11" t="n">
        <f aca="false">H6*IF(VALUE(LEFT(C6,4))=2026,MAX(0,MIN(6,13-VALUE(RIGHT(C6,2)))),0)/12</f>
        <v>0.00454666666666667</v>
      </c>
    </row>
    <row r="7" customFormat="false" ht="15" hidden="false" customHeight="true" outlineLevel="0" collapsed="false">
      <c r="B7" s="6" t="s">
        <v>169</v>
      </c>
      <c r="C7" s="6" t="s">
        <v>170</v>
      </c>
      <c r="D7" s="6" t="s">
        <v>21</v>
      </c>
      <c r="E7" s="6" t="s">
        <v>168</v>
      </c>
      <c r="F7" s="11" t="n">
        <v>0.0682</v>
      </c>
      <c r="G7" s="32" t="n">
        <v>0.2</v>
      </c>
      <c r="H7" s="11" t="n">
        <v>0.01364</v>
      </c>
      <c r="I7" s="11" t="n">
        <f aca="false">H7/2</f>
        <v>0.00682</v>
      </c>
      <c r="J7" s="11" t="n">
        <f aca="false">H7*IF(VALUE(LEFT(C7,4))=2026,MAX(0,MIN(6,13-VALUE(RIGHT(C7,2)))),0)/12</f>
        <v>0.00227333333333333</v>
      </c>
    </row>
    <row r="8" customFormat="false" ht="15" hidden="false" customHeight="true" outlineLevel="0" collapsed="false">
      <c r="B8" s="6" t="s">
        <v>171</v>
      </c>
      <c r="C8" s="6" t="s">
        <v>167</v>
      </c>
      <c r="D8" s="6" t="s">
        <v>21</v>
      </c>
      <c r="E8" s="6" t="s">
        <v>168</v>
      </c>
      <c r="F8" s="11" t="n">
        <v>0.2016</v>
      </c>
      <c r="G8" s="32" t="n">
        <v>0.2</v>
      </c>
      <c r="H8" s="11" t="n">
        <v>0.04032</v>
      </c>
      <c r="I8" s="11" t="n">
        <f aca="false">H8/2</f>
        <v>0.02016</v>
      </c>
      <c r="J8" s="11" t="n">
        <f aca="false">H8*IF(VALUE(LEFT(C8,4))=2026,MAX(0,MIN(6,13-VALUE(RIGHT(C8,2)))),0)/12</f>
        <v>0.01344</v>
      </c>
    </row>
    <row r="9" customFormat="false" ht="15" hidden="false" customHeight="true" outlineLevel="0" collapsed="false">
      <c r="B9" s="6" t="s">
        <v>172</v>
      </c>
      <c r="C9" s="6" t="s">
        <v>173</v>
      </c>
      <c r="D9" s="6" t="s">
        <v>21</v>
      </c>
      <c r="E9" s="6" t="s">
        <v>174</v>
      </c>
      <c r="F9" s="11" t="n">
        <v>0.0811</v>
      </c>
      <c r="G9" s="32" t="n">
        <v>0.9</v>
      </c>
      <c r="H9" s="11" t="n">
        <v>0.07299</v>
      </c>
      <c r="I9" s="11" t="n">
        <f aca="false">H9/2</f>
        <v>0.036495</v>
      </c>
      <c r="J9" s="11" t="n">
        <f aca="false">H9*IF(VALUE(LEFT(C9,4))=2026,MAX(0,MIN(6,13-VALUE(RIGHT(C9,2)))),0)/12</f>
        <v>0.0182475</v>
      </c>
    </row>
    <row r="10" customFormat="false" ht="15" hidden="false" customHeight="true" outlineLevel="0" collapsed="false">
      <c r="B10" s="6" t="s">
        <v>175</v>
      </c>
      <c r="C10" s="6" t="s">
        <v>173</v>
      </c>
      <c r="D10" s="6" t="s">
        <v>21</v>
      </c>
      <c r="E10" s="6" t="s">
        <v>174</v>
      </c>
      <c r="F10" s="11" t="n">
        <v>0.0806</v>
      </c>
      <c r="G10" s="32" t="n">
        <v>0.9</v>
      </c>
      <c r="H10" s="11" t="n">
        <v>0.07254</v>
      </c>
      <c r="I10" s="11" t="n">
        <f aca="false">H10/2</f>
        <v>0.03627</v>
      </c>
      <c r="J10" s="11" t="n">
        <f aca="false">H10*IF(VALUE(LEFT(C10,4))=2026,MAX(0,MIN(6,13-VALUE(RIGHT(C10,2)))),0)/12</f>
        <v>0.018135</v>
      </c>
    </row>
    <row r="11" customFormat="false" ht="15" hidden="false" customHeight="true" outlineLevel="0" collapsed="false">
      <c r="B11" s="6" t="s">
        <v>176</v>
      </c>
      <c r="C11" s="6" t="s">
        <v>173</v>
      </c>
      <c r="D11" s="6" t="s">
        <v>21</v>
      </c>
      <c r="E11" s="6" t="s">
        <v>174</v>
      </c>
      <c r="F11" s="11" t="n">
        <v>0.0927</v>
      </c>
      <c r="G11" s="32" t="n">
        <v>0.9</v>
      </c>
      <c r="H11" s="11" t="n">
        <v>0.08343</v>
      </c>
      <c r="I11" s="11" t="n">
        <f aca="false">H11/2</f>
        <v>0.041715</v>
      </c>
      <c r="J11" s="11" t="n">
        <f aca="false">H11*IF(VALUE(LEFT(C11,4))=2026,MAX(0,MIN(6,13-VALUE(RIGHT(C11,2)))),0)/12</f>
        <v>0.0208575</v>
      </c>
    </row>
    <row r="12" customFormat="false" ht="15" hidden="false" customHeight="true" outlineLevel="0" collapsed="false">
      <c r="B12" s="6" t="s">
        <v>177</v>
      </c>
      <c r="C12" s="6" t="s">
        <v>173</v>
      </c>
      <c r="D12" s="6" t="s">
        <v>21</v>
      </c>
      <c r="E12" s="6" t="s">
        <v>174</v>
      </c>
      <c r="F12" s="11" t="n">
        <v>0.0811</v>
      </c>
      <c r="G12" s="32" t="n">
        <v>0.9</v>
      </c>
      <c r="H12" s="11" t="n">
        <v>0.07299</v>
      </c>
      <c r="I12" s="11" t="n">
        <f aca="false">H12/2</f>
        <v>0.036495</v>
      </c>
      <c r="J12" s="11" t="n">
        <f aca="false">H12*IF(VALUE(LEFT(C12,4))=2026,MAX(0,MIN(6,13-VALUE(RIGHT(C12,2)))),0)/12</f>
        <v>0.0182475</v>
      </c>
    </row>
    <row r="13" customFormat="false" ht="15" hidden="false" customHeight="true" outlineLevel="0" collapsed="false">
      <c r="B13" s="6" t="s">
        <v>178</v>
      </c>
      <c r="C13" s="6" t="s">
        <v>173</v>
      </c>
      <c r="D13" s="6" t="s">
        <v>21</v>
      </c>
      <c r="E13" s="6" t="s">
        <v>174</v>
      </c>
      <c r="F13" s="11" t="n">
        <v>0.0811</v>
      </c>
      <c r="G13" s="32" t="n">
        <v>0.9</v>
      </c>
      <c r="H13" s="11" t="n">
        <v>0.07299</v>
      </c>
      <c r="I13" s="11" t="n">
        <f aca="false">H13/2</f>
        <v>0.036495</v>
      </c>
      <c r="J13" s="11" t="n">
        <f aca="false">H13*IF(VALUE(LEFT(C13,4))=2026,MAX(0,MIN(6,13-VALUE(RIGHT(C13,2)))),0)/12</f>
        <v>0.0182475</v>
      </c>
    </row>
    <row r="14" customFormat="false" ht="15" hidden="false" customHeight="true" outlineLevel="0" collapsed="false">
      <c r="B14" s="6" t="s">
        <v>179</v>
      </c>
      <c r="C14" s="6" t="s">
        <v>173</v>
      </c>
      <c r="D14" s="6" t="s">
        <v>21</v>
      </c>
      <c r="E14" s="6" t="s">
        <v>174</v>
      </c>
      <c r="F14" s="11" t="n">
        <v>0.0682</v>
      </c>
      <c r="G14" s="32" t="n">
        <v>0.9</v>
      </c>
      <c r="H14" s="11" t="n">
        <v>0.06138</v>
      </c>
      <c r="I14" s="11" t="n">
        <f aca="false">H14/2</f>
        <v>0.03069</v>
      </c>
      <c r="J14" s="11" t="n">
        <f aca="false">H14*IF(VALUE(LEFT(C14,4))=2026,MAX(0,MIN(6,13-VALUE(RIGHT(C14,2)))),0)/12</f>
        <v>0.015345</v>
      </c>
    </row>
    <row r="15" customFormat="false" ht="15" hidden="false" customHeight="true" outlineLevel="0" collapsed="false">
      <c r="B15" s="6" t="s">
        <v>180</v>
      </c>
      <c r="C15" s="6" t="s">
        <v>167</v>
      </c>
      <c r="D15" s="6" t="s">
        <v>21</v>
      </c>
      <c r="E15" s="6" t="s">
        <v>181</v>
      </c>
      <c r="F15" s="11" t="n">
        <v>0.2029</v>
      </c>
      <c r="G15" s="32" t="n">
        <v>0.2</v>
      </c>
      <c r="H15" s="11" t="n">
        <v>0.04058</v>
      </c>
      <c r="I15" s="11" t="n">
        <f aca="false">H15/2</f>
        <v>0.02029</v>
      </c>
      <c r="J15" s="11" t="n">
        <f aca="false">H15*IF(VALUE(LEFT(C15,4))=2026,MAX(0,MIN(6,13-VALUE(RIGHT(C15,2)))),0)/12</f>
        <v>0.0135266666666667</v>
      </c>
    </row>
    <row r="16" customFormat="false" ht="15" hidden="false" customHeight="true" outlineLevel="0" collapsed="false">
      <c r="B16" s="6" t="s">
        <v>182</v>
      </c>
      <c r="C16" s="6" t="s">
        <v>167</v>
      </c>
      <c r="D16" s="6" t="s">
        <v>21</v>
      </c>
      <c r="E16" s="6" t="s">
        <v>181</v>
      </c>
      <c r="F16" s="11" t="n">
        <v>0.2317</v>
      </c>
      <c r="G16" s="32" t="n">
        <v>0.2</v>
      </c>
      <c r="H16" s="11" t="n">
        <v>0.04634</v>
      </c>
      <c r="I16" s="11" t="n">
        <f aca="false">H16/2</f>
        <v>0.02317</v>
      </c>
      <c r="J16" s="11" t="n">
        <f aca="false">H16*IF(VALUE(LEFT(C16,4))=2026,MAX(0,MIN(6,13-VALUE(RIGHT(C16,2)))),0)/12</f>
        <v>0.0154466666666667</v>
      </c>
    </row>
    <row r="17" customFormat="false" ht="15" hidden="false" customHeight="true" outlineLevel="0" collapsed="false">
      <c r="B17" s="6" t="s">
        <v>183</v>
      </c>
      <c r="C17" s="6" t="s">
        <v>167</v>
      </c>
      <c r="D17" s="6" t="s">
        <v>21</v>
      </c>
      <c r="E17" s="6" t="s">
        <v>184</v>
      </c>
      <c r="F17" s="11" t="n">
        <v>0.2245</v>
      </c>
      <c r="G17" s="32" t="n">
        <v>0.65</v>
      </c>
      <c r="H17" s="11" t="n">
        <v>0.145925</v>
      </c>
      <c r="I17" s="11" t="n">
        <f aca="false">H17/2</f>
        <v>0.0729625</v>
      </c>
      <c r="J17" s="11" t="n">
        <f aca="false">H17*IF(VALUE(LEFT(C17,4))=2026,MAX(0,MIN(6,13-VALUE(RIGHT(C17,2)))),0)/12</f>
        <v>0.0486416666666667</v>
      </c>
    </row>
    <row r="18" customFormat="false" ht="15" hidden="false" customHeight="true" outlineLevel="0" collapsed="false">
      <c r="B18" s="6" t="s">
        <v>185</v>
      </c>
      <c r="C18" s="6" t="s">
        <v>186</v>
      </c>
      <c r="D18" s="6" t="s">
        <v>21</v>
      </c>
      <c r="E18" s="6" t="s">
        <v>184</v>
      </c>
      <c r="F18" s="11" t="n">
        <v>0.0811</v>
      </c>
      <c r="G18" s="32" t="n">
        <v>0.65</v>
      </c>
      <c r="H18" s="11" t="n">
        <v>0.052715</v>
      </c>
      <c r="I18" s="11" t="n">
        <f aca="false">H18/2</f>
        <v>0.0263575</v>
      </c>
      <c r="J18" s="11" t="n">
        <f aca="false">H18*IF(VALUE(LEFT(C18,4))=2026,MAX(0,MIN(6,13-VALUE(RIGHT(C18,2)))),0)/12</f>
        <v>0</v>
      </c>
    </row>
    <row r="19" customFormat="false" ht="15" hidden="false" customHeight="true" outlineLevel="0" collapsed="false">
      <c r="B19" s="6" t="s">
        <v>187</v>
      </c>
      <c r="C19" s="6" t="s">
        <v>167</v>
      </c>
      <c r="D19" s="6" t="s">
        <v>21</v>
      </c>
      <c r="E19" s="6" t="s">
        <v>184</v>
      </c>
      <c r="F19" s="11" t="n">
        <v>0.0927</v>
      </c>
      <c r="G19" s="32" t="n">
        <v>0.65</v>
      </c>
      <c r="H19" s="11" t="n">
        <v>0.060255</v>
      </c>
      <c r="I19" s="11" t="n">
        <f aca="false">H19/2</f>
        <v>0.0301275</v>
      </c>
      <c r="J19" s="11" t="n">
        <f aca="false">H19*IF(VALUE(LEFT(C19,4))=2026,MAX(0,MIN(6,13-VALUE(RIGHT(C19,2)))),0)/12</f>
        <v>0.020085</v>
      </c>
    </row>
    <row r="20" customFormat="false" ht="15" hidden="false" customHeight="true" outlineLevel="0" collapsed="false">
      <c r="B20" s="6" t="s">
        <v>188</v>
      </c>
      <c r="C20" s="6" t="s">
        <v>189</v>
      </c>
      <c r="D20" s="6" t="s">
        <v>21</v>
      </c>
      <c r="E20" s="6" t="s">
        <v>184</v>
      </c>
      <c r="F20" s="11" t="n">
        <v>0.1705</v>
      </c>
      <c r="G20" s="32" t="n">
        <v>0.65</v>
      </c>
      <c r="H20" s="11" t="n">
        <v>0.110825</v>
      </c>
      <c r="I20" s="11" t="n">
        <f aca="false">H20/2</f>
        <v>0.0554125</v>
      </c>
      <c r="J20" s="11" t="n">
        <f aca="false">H20*IF(VALUE(LEFT(C20,4))=2026,MAX(0,MIN(6,13-VALUE(RIGHT(C20,2)))),0)/12</f>
        <v>0</v>
      </c>
    </row>
    <row r="21" customFormat="false" ht="15" hidden="false" customHeight="true" outlineLevel="0" collapsed="false">
      <c r="B21" s="6" t="s">
        <v>190</v>
      </c>
      <c r="C21" s="6" t="s">
        <v>186</v>
      </c>
      <c r="D21" s="6" t="s">
        <v>21</v>
      </c>
      <c r="E21" s="6" t="s">
        <v>184</v>
      </c>
      <c r="F21" s="11" t="n">
        <v>0.0682</v>
      </c>
      <c r="G21" s="32" t="n">
        <v>0.65</v>
      </c>
      <c r="H21" s="11" t="n">
        <v>0.04433</v>
      </c>
      <c r="I21" s="11" t="n">
        <f aca="false">H21/2</f>
        <v>0.022165</v>
      </c>
      <c r="J21" s="11" t="n">
        <f aca="false">H21*IF(VALUE(LEFT(C21,4))=2026,MAX(0,MIN(6,13-VALUE(RIGHT(C21,2)))),0)/12</f>
        <v>0</v>
      </c>
    </row>
    <row r="22" customFormat="false" ht="15" hidden="false" customHeight="true" outlineLevel="0" collapsed="false">
      <c r="B22" s="6" t="s">
        <v>191</v>
      </c>
      <c r="C22" s="6" t="s">
        <v>186</v>
      </c>
      <c r="D22" s="6" t="s">
        <v>21</v>
      </c>
      <c r="E22" s="6" t="s">
        <v>184</v>
      </c>
      <c r="F22" s="11" t="n">
        <v>0.0682</v>
      </c>
      <c r="G22" s="32" t="n">
        <v>0.65</v>
      </c>
      <c r="H22" s="11" t="n">
        <v>0.04433</v>
      </c>
      <c r="I22" s="11" t="n">
        <f aca="false">H22/2</f>
        <v>0.022165</v>
      </c>
      <c r="J22" s="11" t="n">
        <f aca="false">H22*IF(VALUE(LEFT(C22,4))=2026,MAX(0,MIN(6,13-VALUE(RIGHT(C22,2)))),0)/12</f>
        <v>0</v>
      </c>
    </row>
    <row r="23" customFormat="false" ht="15" hidden="false" customHeight="true" outlineLevel="0" collapsed="false">
      <c r="B23" s="6" t="s">
        <v>192</v>
      </c>
      <c r="C23" s="6" t="s">
        <v>186</v>
      </c>
      <c r="D23" s="6" t="s">
        <v>21</v>
      </c>
      <c r="E23" s="6" t="s">
        <v>184</v>
      </c>
      <c r="F23" s="11" t="n">
        <v>0.0811</v>
      </c>
      <c r="G23" s="32" t="n">
        <v>0.65</v>
      </c>
      <c r="H23" s="11" t="n">
        <v>0.052715</v>
      </c>
      <c r="I23" s="11" t="n">
        <f aca="false">H23/2</f>
        <v>0.0263575</v>
      </c>
      <c r="J23" s="11" t="n">
        <f aca="false">H23*IF(VALUE(LEFT(C23,4))=2026,MAX(0,MIN(6,13-VALUE(RIGHT(C23,2)))),0)/12</f>
        <v>0</v>
      </c>
    </row>
    <row r="24" customFormat="false" ht="15" hidden="false" customHeight="true" outlineLevel="0" collapsed="false">
      <c r="B24" s="6" t="s">
        <v>193</v>
      </c>
      <c r="C24" s="6" t="s">
        <v>167</v>
      </c>
      <c r="D24" s="6" t="s">
        <v>21</v>
      </c>
      <c r="E24" s="6" t="s">
        <v>184</v>
      </c>
      <c r="F24" s="11" t="n">
        <v>0.2029</v>
      </c>
      <c r="G24" s="32" t="n">
        <v>0.65</v>
      </c>
      <c r="H24" s="11" t="n">
        <v>0.131885</v>
      </c>
      <c r="I24" s="11" t="n">
        <f aca="false">H24/2</f>
        <v>0.0659425</v>
      </c>
      <c r="J24" s="11" t="n">
        <f aca="false">H24*IF(VALUE(LEFT(C24,4))=2026,MAX(0,MIN(6,13-VALUE(RIGHT(C24,2)))),0)/12</f>
        <v>0.0439616666666667</v>
      </c>
    </row>
    <row r="25" customFormat="false" ht="15" hidden="false" customHeight="true" outlineLevel="0" collapsed="false">
      <c r="B25" s="6" t="s">
        <v>194</v>
      </c>
      <c r="C25" s="6" t="s">
        <v>167</v>
      </c>
      <c r="D25" s="6" t="s">
        <v>21</v>
      </c>
      <c r="E25" s="6" t="s">
        <v>195</v>
      </c>
      <c r="F25" s="11" t="n">
        <v>0.1705</v>
      </c>
      <c r="G25" s="32" t="n">
        <v>0.15</v>
      </c>
      <c r="H25" s="11" t="n">
        <v>0.025575</v>
      </c>
      <c r="I25" s="11" t="n">
        <f aca="false">H25/2</f>
        <v>0.0127875</v>
      </c>
      <c r="J25" s="11" t="n">
        <f aca="false">H25*IF(VALUE(LEFT(C25,4))=2026,MAX(0,MIN(6,13-VALUE(RIGHT(C25,2)))),0)/12</f>
        <v>0.008525</v>
      </c>
    </row>
    <row r="26" customFormat="false" ht="15" hidden="false" customHeight="true" outlineLevel="0" collapsed="false">
      <c r="B26" s="6" t="s">
        <v>196</v>
      </c>
      <c r="C26" s="6" t="s">
        <v>167</v>
      </c>
      <c r="D26" s="6" t="s">
        <v>21</v>
      </c>
      <c r="E26" s="6" t="s">
        <v>197</v>
      </c>
      <c r="F26" s="11" t="n">
        <v>0.1705</v>
      </c>
      <c r="G26" s="32" t="n">
        <v>1</v>
      </c>
      <c r="H26" s="11" t="n">
        <v>0.1705</v>
      </c>
      <c r="I26" s="11" t="n">
        <f aca="false">H26/2</f>
        <v>0.08525</v>
      </c>
      <c r="J26" s="11" t="n">
        <f aca="false">H26*IF(VALUE(LEFT(C26,4))=2026,MAX(0,MIN(6,13-VALUE(RIGHT(C26,2)))),0)/12</f>
        <v>0.0568333333333333</v>
      </c>
    </row>
    <row r="27" customFormat="false" ht="15" hidden="false" customHeight="true" outlineLevel="0" collapsed="false">
      <c r="B27" s="6" t="s">
        <v>198</v>
      </c>
      <c r="C27" s="6" t="s">
        <v>173</v>
      </c>
      <c r="D27" s="6" t="s">
        <v>21</v>
      </c>
      <c r="E27" s="6" t="s">
        <v>199</v>
      </c>
      <c r="F27" s="11" t="n">
        <v>0.0733</v>
      </c>
      <c r="G27" s="32" t="n">
        <v>0.2</v>
      </c>
      <c r="H27" s="11" t="n">
        <v>0.01466</v>
      </c>
      <c r="I27" s="11" t="n">
        <f aca="false">H27/2</f>
        <v>0.00733</v>
      </c>
      <c r="J27" s="11" t="n">
        <f aca="false">H27*IF(VALUE(LEFT(C27,4))=2026,MAX(0,MIN(6,13-VALUE(RIGHT(C27,2)))),0)/12</f>
        <v>0.003665</v>
      </c>
    </row>
    <row r="28" customFormat="false" ht="15" hidden="false" customHeight="true" outlineLevel="0" collapsed="false">
      <c r="B28" s="6" t="s">
        <v>200</v>
      </c>
      <c r="C28" s="6" t="s">
        <v>173</v>
      </c>
      <c r="D28" s="6" t="s">
        <v>21</v>
      </c>
      <c r="E28" s="6" t="s">
        <v>199</v>
      </c>
      <c r="F28" s="11" t="n">
        <v>0.0733</v>
      </c>
      <c r="G28" s="32" t="n">
        <v>0.2</v>
      </c>
      <c r="H28" s="11" t="n">
        <v>0.01466</v>
      </c>
      <c r="I28" s="11" t="n">
        <f aca="false">H28/2</f>
        <v>0.00733</v>
      </c>
      <c r="J28" s="11" t="n">
        <f aca="false">H28*IF(VALUE(LEFT(C28,4))=2026,MAX(0,MIN(6,13-VALUE(RIGHT(C28,2)))),0)/12</f>
        <v>0.003665</v>
      </c>
    </row>
    <row r="29" customFormat="false" ht="15" hidden="false" customHeight="true" outlineLevel="0" collapsed="false">
      <c r="B29" s="6" t="s">
        <v>201</v>
      </c>
      <c r="C29" s="6" t="s">
        <v>202</v>
      </c>
      <c r="D29" s="6" t="s">
        <v>21</v>
      </c>
      <c r="E29" s="6" t="s">
        <v>199</v>
      </c>
      <c r="F29" s="11" t="n">
        <v>0.1948</v>
      </c>
      <c r="G29" s="32" t="n">
        <v>0.2</v>
      </c>
      <c r="H29" s="11" t="n">
        <v>0.03896</v>
      </c>
      <c r="I29" s="11" t="n">
        <f aca="false">H29/2</f>
        <v>0.01948</v>
      </c>
      <c r="J29" s="11" t="n">
        <f aca="false">H29*IF(VALUE(LEFT(C29,4))=2026,MAX(0,MIN(6,13-VALUE(RIGHT(C29,2)))),0)/12</f>
        <v>0</v>
      </c>
    </row>
    <row r="30" customFormat="false" ht="15" hidden="false" customHeight="true" outlineLevel="0" collapsed="false">
      <c r="B30" s="6" t="s">
        <v>203</v>
      </c>
      <c r="C30" s="6" t="s">
        <v>202</v>
      </c>
      <c r="D30" s="6" t="s">
        <v>21</v>
      </c>
      <c r="E30" s="6" t="s">
        <v>199</v>
      </c>
      <c r="F30" s="11" t="n">
        <v>0.1948</v>
      </c>
      <c r="G30" s="32" t="n">
        <v>0.2</v>
      </c>
      <c r="H30" s="11" t="n">
        <v>0.03896</v>
      </c>
      <c r="I30" s="11" t="n">
        <f aca="false">H30/2</f>
        <v>0.01948</v>
      </c>
      <c r="J30" s="11" t="n">
        <f aca="false">H30*IF(VALUE(LEFT(C30,4))=2026,MAX(0,MIN(6,13-VALUE(RIGHT(C30,2)))),0)/12</f>
        <v>0</v>
      </c>
    </row>
    <row r="31" customFormat="false" ht="15" hidden="false" customHeight="true" outlineLevel="0" collapsed="false">
      <c r="B31" s="6" t="s">
        <v>204</v>
      </c>
      <c r="C31" s="6" t="s">
        <v>167</v>
      </c>
      <c r="D31" s="6" t="s">
        <v>21</v>
      </c>
      <c r="E31" s="6" t="s">
        <v>199</v>
      </c>
      <c r="F31" s="11" t="n">
        <v>0.1948</v>
      </c>
      <c r="G31" s="32" t="n">
        <v>0.2</v>
      </c>
      <c r="H31" s="11" t="n">
        <v>0.03896</v>
      </c>
      <c r="I31" s="11" t="n">
        <f aca="false">H31/2</f>
        <v>0.01948</v>
      </c>
      <c r="J31" s="11" t="n">
        <f aca="false">H31*IF(VALUE(LEFT(C31,4))=2026,MAX(0,MIN(6,13-VALUE(RIGHT(C31,2)))),0)/12</f>
        <v>0.0129866666666667</v>
      </c>
    </row>
    <row r="32" customFormat="false" ht="15" hidden="false" customHeight="true" outlineLevel="0" collapsed="false">
      <c r="B32" s="6" t="s">
        <v>205</v>
      </c>
      <c r="C32" s="6" t="s">
        <v>167</v>
      </c>
      <c r="D32" s="6" t="s">
        <v>21</v>
      </c>
      <c r="E32" s="6" t="s">
        <v>206</v>
      </c>
      <c r="F32" s="11" t="n">
        <v>0.1948</v>
      </c>
      <c r="G32" s="32" t="n">
        <v>0</v>
      </c>
      <c r="H32" s="11" t="n">
        <v>0</v>
      </c>
      <c r="I32" s="11" t="n">
        <f aca="false">H32/2</f>
        <v>0</v>
      </c>
      <c r="J32" s="11" t="n">
        <f aca="false">H32*IF(VALUE(LEFT(C32,4))=2026,MAX(0,MIN(6,13-VALUE(RIGHT(C32,2)))),0)/12</f>
        <v>0</v>
      </c>
    </row>
    <row r="33" customFormat="false" ht="15" hidden="false" customHeight="true" outlineLevel="0" collapsed="false">
      <c r="B33" s="6" t="s">
        <v>207</v>
      </c>
      <c r="C33" s="6" t="s">
        <v>173</v>
      </c>
      <c r="D33" s="6" t="s">
        <v>21</v>
      </c>
      <c r="E33" s="6" t="s">
        <v>208</v>
      </c>
      <c r="F33" s="11" t="n">
        <v>0.0733</v>
      </c>
      <c r="G33" s="32" t="n">
        <v>1</v>
      </c>
      <c r="H33" s="11" t="n">
        <v>0.0733</v>
      </c>
      <c r="I33" s="11" t="n">
        <f aca="false">H33/2</f>
        <v>0.03665</v>
      </c>
      <c r="J33" s="11" t="n">
        <f aca="false">H33*IF(VALUE(LEFT(C33,4))=2026,MAX(0,MIN(6,13-VALUE(RIGHT(C33,2)))),0)/12</f>
        <v>0.018325</v>
      </c>
    </row>
    <row r="34" customFormat="false" ht="15" hidden="false" customHeight="true" outlineLevel="0" collapsed="false">
      <c r="B34" s="6" t="s">
        <v>209</v>
      </c>
      <c r="C34" s="6" t="s">
        <v>173</v>
      </c>
      <c r="D34" s="6" t="s">
        <v>21</v>
      </c>
      <c r="E34" s="6" t="s">
        <v>208</v>
      </c>
      <c r="F34" s="11" t="n">
        <v>0.0733</v>
      </c>
      <c r="G34" s="32" t="n">
        <v>1</v>
      </c>
      <c r="H34" s="11" t="n">
        <v>0.0733</v>
      </c>
      <c r="I34" s="11" t="n">
        <f aca="false">H34/2</f>
        <v>0.03665</v>
      </c>
      <c r="J34" s="11" t="n">
        <f aca="false">H34*IF(VALUE(LEFT(C34,4))=2026,MAX(0,MIN(6,13-VALUE(RIGHT(C34,2)))),0)/12</f>
        <v>0.018325</v>
      </c>
    </row>
    <row r="35" customFormat="false" ht="15" hidden="false" customHeight="true" outlineLevel="0" collapsed="false">
      <c r="B35" s="6" t="s">
        <v>210</v>
      </c>
      <c r="C35" s="6" t="s">
        <v>173</v>
      </c>
      <c r="D35" s="6" t="s">
        <v>21</v>
      </c>
      <c r="E35" s="6" t="s">
        <v>208</v>
      </c>
      <c r="F35" s="11" t="n">
        <v>0.0733</v>
      </c>
      <c r="G35" s="32" t="n">
        <v>1</v>
      </c>
      <c r="H35" s="11" t="n">
        <v>0.0733</v>
      </c>
      <c r="I35" s="11" t="n">
        <f aca="false">H35/2</f>
        <v>0.03665</v>
      </c>
      <c r="J35" s="11" t="n">
        <f aca="false">H35*IF(VALUE(LEFT(C35,4))=2026,MAX(0,MIN(6,13-VALUE(RIGHT(C35,2)))),0)/12</f>
        <v>0.018325</v>
      </c>
    </row>
    <row r="36" customFormat="false" ht="15" hidden="false" customHeight="true" outlineLevel="0" collapsed="false">
      <c r="B36" s="6" t="s">
        <v>211</v>
      </c>
      <c r="C36" s="6" t="s">
        <v>167</v>
      </c>
      <c r="D36" s="6" t="s">
        <v>21</v>
      </c>
      <c r="E36" s="6" t="s">
        <v>212</v>
      </c>
      <c r="F36" s="11" t="n">
        <v>0.2353</v>
      </c>
      <c r="G36" s="32" t="n">
        <v>0.7</v>
      </c>
      <c r="H36" s="11" t="n">
        <v>0.16471</v>
      </c>
      <c r="I36" s="11" t="n">
        <f aca="false">H36/2</f>
        <v>0.082355</v>
      </c>
      <c r="J36" s="11" t="n">
        <f aca="false">H36*IF(VALUE(LEFT(C36,4))=2026,MAX(0,MIN(6,13-VALUE(RIGHT(C36,2)))),0)/12</f>
        <v>0.0549033333333333</v>
      </c>
    </row>
    <row r="37" customFormat="false" ht="15" hidden="false" customHeight="true" outlineLevel="0" collapsed="false">
      <c r="B37" s="6" t="s">
        <v>213</v>
      </c>
      <c r="C37" s="6" t="s">
        <v>167</v>
      </c>
      <c r="D37" s="6" t="s">
        <v>21</v>
      </c>
      <c r="E37" s="6" t="s">
        <v>214</v>
      </c>
      <c r="F37" s="11" t="n">
        <v>0.3049</v>
      </c>
      <c r="G37" s="32" t="n">
        <v>1</v>
      </c>
      <c r="H37" s="11" t="n">
        <v>0.3049</v>
      </c>
      <c r="I37" s="11" t="n">
        <f aca="false">H37/2</f>
        <v>0.15245</v>
      </c>
      <c r="J37" s="11" t="n">
        <f aca="false">H37*IF(VALUE(LEFT(C37,4))=2026,MAX(0,MIN(6,13-VALUE(RIGHT(C37,2)))),0)/12</f>
        <v>0.101633333333333</v>
      </c>
    </row>
    <row r="38" customFormat="false" ht="15" hidden="false" customHeight="true" outlineLevel="0" collapsed="false">
      <c r="B38" s="6" t="s">
        <v>215</v>
      </c>
      <c r="C38" s="6" t="s">
        <v>167</v>
      </c>
      <c r="D38" s="6" t="s">
        <v>21</v>
      </c>
      <c r="E38" s="6" t="s">
        <v>216</v>
      </c>
      <c r="F38" s="11" t="n">
        <v>0.3049</v>
      </c>
      <c r="G38" s="32" t="n">
        <v>0</v>
      </c>
      <c r="H38" s="11" t="n">
        <v>0</v>
      </c>
      <c r="I38" s="11" t="n">
        <f aca="false">H38/2</f>
        <v>0</v>
      </c>
      <c r="J38" s="11" t="n">
        <f aca="false">H38*IF(VALUE(LEFT(C38,4))=2026,MAX(0,MIN(6,13-VALUE(RIGHT(C38,2)))),0)/12</f>
        <v>0</v>
      </c>
    </row>
    <row r="39" customFormat="false" ht="15" hidden="false" customHeight="true" outlineLevel="0" collapsed="false">
      <c r="B39" s="6" t="s">
        <v>217</v>
      </c>
      <c r="C39" s="6" t="s">
        <v>218</v>
      </c>
      <c r="D39" s="6" t="s">
        <v>21</v>
      </c>
      <c r="E39" s="6" t="s">
        <v>219</v>
      </c>
      <c r="F39" s="11" t="n">
        <v>0.1705</v>
      </c>
      <c r="G39" s="32" t="n">
        <v>0.8</v>
      </c>
      <c r="H39" s="11" t="n">
        <v>0</v>
      </c>
      <c r="I39" s="11" t="n">
        <f aca="false">H39/2</f>
        <v>0</v>
      </c>
      <c r="J39" s="11" t="n">
        <f aca="false">H39*IF(VALUE(LEFT(C39,4))=2026,MAX(0,MIN(6,13-VALUE(RIGHT(C39,2)))),0)/12</f>
        <v>0</v>
      </c>
    </row>
    <row r="40" customFormat="false" ht="15" hidden="false" customHeight="true" outlineLevel="0" collapsed="false">
      <c r="B40" s="6" t="s">
        <v>220</v>
      </c>
      <c r="C40" s="6" t="s">
        <v>173</v>
      </c>
      <c r="D40" s="6" t="s">
        <v>21</v>
      </c>
      <c r="E40" s="6" t="s">
        <v>221</v>
      </c>
      <c r="F40" s="11" t="n">
        <v>0.2029</v>
      </c>
      <c r="G40" s="32" t="n">
        <v>1</v>
      </c>
      <c r="H40" s="11" t="n">
        <v>0.2029</v>
      </c>
      <c r="I40" s="11" t="n">
        <f aca="false">H40/2</f>
        <v>0.10145</v>
      </c>
      <c r="J40" s="11" t="n">
        <f aca="false">H40*IF(VALUE(LEFT(C40,4))=2026,MAX(0,MIN(6,13-VALUE(RIGHT(C40,2)))),0)/12</f>
        <v>0.050725</v>
      </c>
    </row>
    <row r="41" customFormat="false" ht="15" hidden="false" customHeight="true" outlineLevel="0" collapsed="false">
      <c r="B41" s="6" t="s">
        <v>222</v>
      </c>
      <c r="C41" s="6" t="s">
        <v>218</v>
      </c>
      <c r="D41" s="6" t="s">
        <v>21</v>
      </c>
      <c r="E41" s="6" t="s">
        <v>223</v>
      </c>
      <c r="F41" s="11" t="n">
        <v>0.2029</v>
      </c>
      <c r="G41" s="32" t="n">
        <v>0.5</v>
      </c>
      <c r="H41" s="11" t="n">
        <v>0.10145</v>
      </c>
      <c r="I41" s="11" t="n">
        <f aca="false">H41/2</f>
        <v>0.050725</v>
      </c>
      <c r="J41" s="11" t="n">
        <f aca="false">H41*IF(VALUE(LEFT(C41,4))=2026,MAX(0,MIN(6,13-VALUE(RIGHT(C41,2)))),0)/12</f>
        <v>0.0422708333333333</v>
      </c>
    </row>
    <row r="42" customFormat="false" ht="15" hidden="false" customHeight="true" outlineLevel="0" collapsed="false">
      <c r="B42" s="6" t="s">
        <v>224</v>
      </c>
      <c r="C42" s="6" t="s">
        <v>225</v>
      </c>
      <c r="D42" s="6" t="s">
        <v>21</v>
      </c>
      <c r="E42" s="6" t="s">
        <v>226</v>
      </c>
      <c r="F42" s="11" t="n">
        <v>0.0927</v>
      </c>
      <c r="G42" s="32" t="n">
        <v>1</v>
      </c>
      <c r="H42" s="11" t="n">
        <v>0.0927</v>
      </c>
      <c r="I42" s="11" t="n">
        <f aca="false">H42/2</f>
        <v>0.04635</v>
      </c>
      <c r="J42" s="11" t="n">
        <f aca="false">H42*IF(VALUE(LEFT(C42,4))=2026,MAX(0,MIN(6,13-VALUE(RIGHT(C42,2)))),0)/12</f>
        <v>0</v>
      </c>
    </row>
    <row r="43" customFormat="false" ht="15" hidden="false" customHeight="true" outlineLevel="0" collapsed="false">
      <c r="B43" s="6" t="s">
        <v>227</v>
      </c>
      <c r="C43" s="6" t="s">
        <v>225</v>
      </c>
      <c r="D43" s="6" t="s">
        <v>21</v>
      </c>
      <c r="E43" s="6" t="s">
        <v>226</v>
      </c>
      <c r="F43" s="11" t="n">
        <v>0.0811</v>
      </c>
      <c r="G43" s="32" t="n">
        <v>1</v>
      </c>
      <c r="H43" s="11" t="n">
        <v>0.0811</v>
      </c>
      <c r="I43" s="11" t="n">
        <f aca="false">H43/2</f>
        <v>0.04055</v>
      </c>
      <c r="J43" s="11" t="n">
        <f aca="false">H43*IF(VALUE(LEFT(C43,4))=2026,MAX(0,MIN(6,13-VALUE(RIGHT(C43,2)))),0)/12</f>
        <v>0</v>
      </c>
    </row>
    <row r="44" customFormat="false" ht="15" hidden="false" customHeight="true" outlineLevel="0" collapsed="false">
      <c r="B44" s="6" t="s">
        <v>228</v>
      </c>
      <c r="C44" s="6" t="s">
        <v>225</v>
      </c>
      <c r="D44" s="6" t="s">
        <v>21</v>
      </c>
      <c r="E44" s="6" t="s">
        <v>226</v>
      </c>
      <c r="F44" s="11" t="n">
        <v>0.0811</v>
      </c>
      <c r="G44" s="32" t="n">
        <v>1</v>
      </c>
      <c r="H44" s="11" t="n">
        <v>0.0811</v>
      </c>
      <c r="I44" s="11" t="n">
        <f aca="false">H44/2</f>
        <v>0.04055</v>
      </c>
      <c r="J44" s="11" t="n">
        <f aca="false">H44*IF(VALUE(LEFT(C44,4))=2026,MAX(0,MIN(6,13-VALUE(RIGHT(C44,2)))),0)/12</f>
        <v>0</v>
      </c>
    </row>
    <row r="45" customFormat="false" ht="15" hidden="false" customHeight="true" outlineLevel="0" collapsed="false">
      <c r="B45" s="6" t="s">
        <v>229</v>
      </c>
      <c r="C45" s="6" t="s">
        <v>167</v>
      </c>
      <c r="D45" s="6" t="s">
        <v>21</v>
      </c>
      <c r="E45" s="6" t="s">
        <v>230</v>
      </c>
      <c r="F45" s="11" t="n">
        <v>0.2317</v>
      </c>
      <c r="G45" s="32" t="n">
        <v>0.5</v>
      </c>
      <c r="H45" s="11" t="n">
        <v>0.11585</v>
      </c>
      <c r="I45" s="11" t="n">
        <f aca="false">H45/2</f>
        <v>0.057925</v>
      </c>
      <c r="J45" s="11" t="n">
        <f aca="false">H45*IF(VALUE(LEFT(C45,4))=2026,MAX(0,MIN(6,13-VALUE(RIGHT(C45,2)))),0)/12</f>
        <v>0.0386166666666667</v>
      </c>
    </row>
    <row r="46" customFormat="false" ht="15" hidden="false" customHeight="true" outlineLevel="0" collapsed="false">
      <c r="B46" s="6" t="s">
        <v>231</v>
      </c>
      <c r="C46" s="6" t="s">
        <v>218</v>
      </c>
      <c r="D46" s="6" t="s">
        <v>21</v>
      </c>
      <c r="E46" s="6" t="s">
        <v>221</v>
      </c>
      <c r="F46" s="11" t="n">
        <v>0.333</v>
      </c>
      <c r="G46" s="32" t="n">
        <v>1</v>
      </c>
      <c r="H46" s="11" t="n">
        <v>0.333</v>
      </c>
      <c r="I46" s="11" t="n">
        <f aca="false">H46/2</f>
        <v>0.1665</v>
      </c>
      <c r="J46" s="11" t="n">
        <f aca="false">H46*IF(VALUE(LEFT(C46,4))=2026,MAX(0,MIN(6,13-VALUE(RIGHT(C46,2)))),0)/12</f>
        <v>0.13875</v>
      </c>
    </row>
    <row r="47" customFormat="false" ht="15" hidden="false" customHeight="true" outlineLevel="0" collapsed="false">
      <c r="B47" s="6" t="s">
        <v>232</v>
      </c>
      <c r="C47" s="6" t="s">
        <v>218</v>
      </c>
      <c r="D47" s="6" t="s">
        <v>21</v>
      </c>
      <c r="E47" s="6" t="s">
        <v>221</v>
      </c>
      <c r="F47" s="11" t="n">
        <v>0.2758</v>
      </c>
      <c r="G47" s="32" t="n">
        <v>1</v>
      </c>
      <c r="H47" s="11" t="n">
        <v>0.2758</v>
      </c>
      <c r="I47" s="11" t="n">
        <f aca="false">H47/2</f>
        <v>0.1379</v>
      </c>
      <c r="J47" s="11" t="n">
        <f aca="false">H47*IF(VALUE(LEFT(C47,4))=2026,MAX(0,MIN(6,13-VALUE(RIGHT(C47,2)))),0)/12</f>
        <v>0.114916666666667</v>
      </c>
    </row>
    <row r="48" customFormat="false" ht="15" hidden="false" customHeight="true" outlineLevel="0" collapsed="false">
      <c r="B48" s="6" t="s">
        <v>233</v>
      </c>
      <c r="C48" s="6" t="s">
        <v>218</v>
      </c>
      <c r="D48" s="6" t="s">
        <v>21</v>
      </c>
      <c r="E48" s="6" t="s">
        <v>234</v>
      </c>
      <c r="F48" s="11" t="n">
        <v>0.2029</v>
      </c>
      <c r="G48" s="32" t="n">
        <v>0.2</v>
      </c>
      <c r="H48" s="11" t="n">
        <v>0.04058</v>
      </c>
      <c r="I48" s="11" t="n">
        <f aca="false">H48/2</f>
        <v>0.02029</v>
      </c>
      <c r="J48" s="11" t="n">
        <f aca="false">H48*IF(VALUE(LEFT(C48,4))=2026,MAX(0,MIN(6,13-VALUE(RIGHT(C48,2)))),0)/12</f>
        <v>0.0169083333333333</v>
      </c>
    </row>
    <row r="49" customFormat="false" ht="15" hidden="false" customHeight="true" outlineLevel="0" collapsed="false">
      <c r="B49" s="6" t="s">
        <v>235</v>
      </c>
      <c r="C49" s="6" t="s">
        <v>167</v>
      </c>
      <c r="D49" s="6" t="s">
        <v>21</v>
      </c>
      <c r="E49" s="6" t="s">
        <v>234</v>
      </c>
      <c r="F49" s="11" t="n">
        <v>0.2029</v>
      </c>
      <c r="G49" s="32" t="n">
        <v>0.2</v>
      </c>
      <c r="H49" s="11" t="n">
        <v>0.04058</v>
      </c>
      <c r="I49" s="11" t="n">
        <f aca="false">H49/2</f>
        <v>0.02029</v>
      </c>
      <c r="J49" s="11" t="n">
        <f aca="false">H49*IF(VALUE(LEFT(C49,4))=2026,MAX(0,MIN(6,13-VALUE(RIGHT(C49,2)))),0)/12</f>
        <v>0.0135266666666667</v>
      </c>
    </row>
    <row r="50" customFormat="false" ht="15" hidden="false" customHeight="true" outlineLevel="0" collapsed="false">
      <c r="B50" s="6" t="s">
        <v>236</v>
      </c>
      <c r="C50" s="6" t="s">
        <v>173</v>
      </c>
      <c r="D50" s="6" t="s">
        <v>21</v>
      </c>
      <c r="E50" s="6" t="s">
        <v>234</v>
      </c>
      <c r="F50" s="11" t="n">
        <v>0.0682</v>
      </c>
      <c r="G50" s="32" t="n">
        <v>0.2</v>
      </c>
      <c r="H50" s="11" t="n">
        <v>0.01364</v>
      </c>
      <c r="I50" s="11" t="n">
        <f aca="false">H50/2</f>
        <v>0.00682</v>
      </c>
      <c r="J50" s="11" t="n">
        <f aca="false">H50*IF(VALUE(LEFT(C50,4))=2026,MAX(0,MIN(6,13-VALUE(RIGHT(C50,2)))),0)/12</f>
        <v>0.00341</v>
      </c>
    </row>
    <row r="51" customFormat="false" ht="15" hidden="false" customHeight="true" outlineLevel="0" collapsed="false">
      <c r="B51" s="6" t="s">
        <v>237</v>
      </c>
      <c r="C51" s="6" t="s">
        <v>218</v>
      </c>
      <c r="D51" s="6" t="s">
        <v>21</v>
      </c>
      <c r="E51" s="6" t="s">
        <v>238</v>
      </c>
      <c r="F51" s="11" t="n">
        <v>0.2317</v>
      </c>
      <c r="G51" s="32" t="n">
        <v>0</v>
      </c>
      <c r="H51" s="11" t="n">
        <v>0</v>
      </c>
      <c r="I51" s="11" t="n">
        <f aca="false">H51/2</f>
        <v>0</v>
      </c>
      <c r="J51" s="11" t="n">
        <f aca="false">H51*IF(VALUE(LEFT(C51,4))=2026,MAX(0,MIN(6,13-VALUE(RIGHT(C51,2)))),0)/12</f>
        <v>0</v>
      </c>
    </row>
    <row r="52" customFormat="false" ht="15" hidden="false" customHeight="true" outlineLevel="0" collapsed="false">
      <c r="B52" s="6" t="s">
        <v>239</v>
      </c>
      <c r="C52" s="6" t="s">
        <v>218</v>
      </c>
      <c r="D52" s="6" t="s">
        <v>21</v>
      </c>
      <c r="E52" s="6" t="s">
        <v>238</v>
      </c>
      <c r="F52" s="11" t="n">
        <v>0.2016</v>
      </c>
      <c r="G52" s="32" t="n">
        <v>0</v>
      </c>
      <c r="H52" s="11" t="n">
        <v>0</v>
      </c>
      <c r="I52" s="11" t="n">
        <f aca="false">H52/2</f>
        <v>0</v>
      </c>
      <c r="J52" s="11" t="n">
        <f aca="false">H52*IF(VALUE(LEFT(C52,4))=2026,MAX(0,MIN(6,13-VALUE(RIGHT(C52,2)))),0)/12</f>
        <v>0</v>
      </c>
    </row>
    <row r="53" customFormat="false" ht="15" hidden="false" customHeight="true" outlineLevel="0" collapsed="false">
      <c r="B53" s="6" t="s">
        <v>240</v>
      </c>
      <c r="C53" s="6" t="s">
        <v>218</v>
      </c>
      <c r="D53" s="6" t="s">
        <v>21</v>
      </c>
      <c r="E53" s="6" t="s">
        <v>238</v>
      </c>
      <c r="F53" s="11" t="n">
        <v>0.0682</v>
      </c>
      <c r="G53" s="32" t="n">
        <v>0</v>
      </c>
      <c r="H53" s="11" t="n">
        <v>0</v>
      </c>
      <c r="I53" s="11" t="n">
        <f aca="false">H53/2</f>
        <v>0</v>
      </c>
      <c r="J53" s="11" t="n">
        <f aca="false">H53*IF(VALUE(LEFT(C53,4))=2026,MAX(0,MIN(6,13-VALUE(RIGHT(C53,2)))),0)/12</f>
        <v>0</v>
      </c>
    </row>
    <row r="54" customFormat="false" ht="15" hidden="false" customHeight="true" outlineLevel="0" collapsed="false">
      <c r="B54" s="6" t="s">
        <v>241</v>
      </c>
      <c r="C54" s="6" t="s">
        <v>167</v>
      </c>
      <c r="D54" s="6" t="s">
        <v>21</v>
      </c>
      <c r="E54" s="6" t="s">
        <v>238</v>
      </c>
      <c r="F54" s="11" t="n">
        <v>0.18</v>
      </c>
      <c r="G54" s="32" t="n">
        <v>0</v>
      </c>
      <c r="H54" s="11" t="n">
        <v>0</v>
      </c>
      <c r="I54" s="11" t="n">
        <f aca="false">H54/2</f>
        <v>0</v>
      </c>
      <c r="J54" s="11" t="n">
        <f aca="false">H54*IF(VALUE(LEFT(C54,4))=2026,MAX(0,MIN(6,13-VALUE(RIGHT(C54,2)))),0)/12</f>
        <v>0</v>
      </c>
    </row>
    <row r="55" customFormat="false" ht="15" hidden="false" customHeight="true" outlineLevel="0" collapsed="false">
      <c r="B55" s="6" t="s">
        <v>242</v>
      </c>
      <c r="C55" s="6" t="s">
        <v>218</v>
      </c>
      <c r="D55" s="6" t="s">
        <v>21</v>
      </c>
      <c r="E55" s="6" t="s">
        <v>221</v>
      </c>
      <c r="F55" s="11" t="n">
        <v>0.2758</v>
      </c>
      <c r="G55" s="32" t="n">
        <v>1</v>
      </c>
      <c r="H55" s="11" t="n">
        <v>0.2758</v>
      </c>
      <c r="I55" s="11" t="n">
        <f aca="false">H55/2</f>
        <v>0.1379</v>
      </c>
      <c r="J55" s="11" t="n">
        <f aca="false">H55*IF(VALUE(LEFT(C55,4))=2026,MAX(0,MIN(6,13-VALUE(RIGHT(C55,2)))),0)/12</f>
        <v>0.114916666666667</v>
      </c>
    </row>
    <row r="56" customFormat="false" ht="15" hidden="false" customHeight="true" outlineLevel="0" collapsed="false">
      <c r="B56" s="6" t="s">
        <v>243</v>
      </c>
      <c r="C56" s="6" t="s">
        <v>218</v>
      </c>
      <c r="D56" s="6" t="s">
        <v>21</v>
      </c>
      <c r="E56" s="6" t="s">
        <v>244</v>
      </c>
      <c r="F56" s="11" t="n">
        <v>0.2317</v>
      </c>
      <c r="G56" s="32" t="n">
        <v>0.8</v>
      </c>
      <c r="H56" s="11" t="n">
        <v>0.18536</v>
      </c>
      <c r="I56" s="11" t="n">
        <f aca="false">H56/2</f>
        <v>0.09268</v>
      </c>
      <c r="J56" s="11" t="n">
        <f aca="false">H56*IF(VALUE(LEFT(C56,4))=2026,MAX(0,MIN(6,13-VALUE(RIGHT(C56,2)))),0)/12</f>
        <v>0.0772333333333333</v>
      </c>
    </row>
    <row r="57" customFormat="false" ht="15" hidden="false" customHeight="true" outlineLevel="0" collapsed="false">
      <c r="B57" s="6" t="s">
        <v>245</v>
      </c>
      <c r="C57" s="6" t="s">
        <v>218</v>
      </c>
      <c r="D57" s="6" t="s">
        <v>21</v>
      </c>
      <c r="E57" s="6" t="s">
        <v>246</v>
      </c>
      <c r="F57" s="11" t="n">
        <v>0.2317</v>
      </c>
      <c r="G57" s="32" t="n">
        <v>0.2</v>
      </c>
      <c r="H57" s="11" t="n">
        <v>0.04634</v>
      </c>
      <c r="I57" s="11" t="n">
        <f aca="false">H57/2</f>
        <v>0.02317</v>
      </c>
      <c r="J57" s="11" t="n">
        <f aca="false">H57*IF(VALUE(LEFT(C57,4))=2026,MAX(0,MIN(6,13-VALUE(RIGHT(C57,2)))),0)/12</f>
        <v>0.0193083333333333</v>
      </c>
    </row>
    <row r="58" customFormat="false" ht="15" hidden="false" customHeight="true" outlineLevel="0" collapsed="false">
      <c r="B58" s="6" t="s">
        <v>247</v>
      </c>
      <c r="C58" s="6" t="s">
        <v>218</v>
      </c>
      <c r="D58" s="6" t="s">
        <v>21</v>
      </c>
      <c r="E58" s="6" t="s">
        <v>246</v>
      </c>
      <c r="F58" s="11" t="n">
        <v>0.2317</v>
      </c>
      <c r="G58" s="32" t="n">
        <v>0.2</v>
      </c>
      <c r="H58" s="11" t="n">
        <v>0.04634</v>
      </c>
      <c r="I58" s="11" t="n">
        <f aca="false">H58/2</f>
        <v>0.02317</v>
      </c>
      <c r="J58" s="11" t="n">
        <f aca="false">H58*IF(VALUE(LEFT(C58,4))=2026,MAX(0,MIN(6,13-VALUE(RIGHT(C58,2)))),0)/12</f>
        <v>0.0193083333333333</v>
      </c>
    </row>
    <row r="59" customFormat="false" ht="15" hidden="false" customHeight="true" outlineLevel="0" collapsed="false">
      <c r="B59" s="6" t="s">
        <v>248</v>
      </c>
      <c r="C59" s="6" t="s">
        <v>225</v>
      </c>
      <c r="D59" s="6" t="s">
        <v>21</v>
      </c>
      <c r="E59" s="6" t="s">
        <v>246</v>
      </c>
      <c r="F59" s="11" t="n">
        <v>0.2317</v>
      </c>
      <c r="G59" s="32" t="n">
        <v>0.2</v>
      </c>
      <c r="H59" s="11" t="n">
        <v>0.04634</v>
      </c>
      <c r="I59" s="11" t="n">
        <f aca="false">H59/2</f>
        <v>0.02317</v>
      </c>
      <c r="J59" s="11" t="n">
        <f aca="false">H59*IF(VALUE(LEFT(C59,4))=2026,MAX(0,MIN(6,13-VALUE(RIGHT(C59,2)))),0)/12</f>
        <v>0</v>
      </c>
    </row>
    <row r="60" customFormat="false" ht="15" hidden="false" customHeight="true" outlineLevel="0" collapsed="false">
      <c r="B60" s="6" t="s">
        <v>249</v>
      </c>
      <c r="C60" s="6" t="s">
        <v>218</v>
      </c>
      <c r="D60" s="6" t="s">
        <v>21</v>
      </c>
      <c r="E60" s="6" t="s">
        <v>246</v>
      </c>
      <c r="F60" s="11" t="n">
        <v>0.2317</v>
      </c>
      <c r="G60" s="32" t="n">
        <v>0.2</v>
      </c>
      <c r="H60" s="11" t="n">
        <v>0.04634</v>
      </c>
      <c r="I60" s="11" t="n">
        <f aca="false">H60/2</f>
        <v>0.02317</v>
      </c>
      <c r="J60" s="11" t="n">
        <f aca="false">H60*IF(VALUE(LEFT(C60,4))=2026,MAX(0,MIN(6,13-VALUE(RIGHT(C60,2)))),0)/12</f>
        <v>0.0193083333333333</v>
      </c>
    </row>
    <row r="61" customFormat="false" ht="15" hidden="false" customHeight="true" outlineLevel="0" collapsed="false">
      <c r="B61" s="6" t="s">
        <v>250</v>
      </c>
      <c r="C61" s="6" t="s">
        <v>167</v>
      </c>
      <c r="D61" s="6" t="s">
        <v>20</v>
      </c>
      <c r="E61" s="6" t="s">
        <v>246</v>
      </c>
      <c r="F61" s="11" t="n">
        <v>0.145167</v>
      </c>
      <c r="G61" s="32" t="n">
        <v>0.2</v>
      </c>
      <c r="H61" s="11" t="n">
        <f aca="false">F61*G61</f>
        <v>0.0290334</v>
      </c>
      <c r="I61" s="11" t="n">
        <f aca="false">H61/2</f>
        <v>0.0145167</v>
      </c>
      <c r="J61" s="11" t="n">
        <f aca="false">H61*IF(VALUE(LEFT(C61,4))=2026,MAX(0,MIN(6,13-VALUE(RIGHT(C61,2)))),0)/12</f>
        <v>0.0096778</v>
      </c>
    </row>
    <row r="62" customFormat="false" ht="15" hidden="false" customHeight="true" outlineLevel="0" collapsed="false">
      <c r="B62" s="6" t="s">
        <v>251</v>
      </c>
      <c r="C62" s="6" t="s">
        <v>252</v>
      </c>
      <c r="D62" s="6" t="s">
        <v>21</v>
      </c>
      <c r="E62" s="6" t="s">
        <v>253</v>
      </c>
      <c r="F62" s="11" t="n">
        <v>0.0927</v>
      </c>
      <c r="G62" s="32" t="n">
        <v>0.2</v>
      </c>
      <c r="H62" s="11" t="n">
        <v>0.01854</v>
      </c>
      <c r="I62" s="11" t="n">
        <f aca="false">H62/2</f>
        <v>0.00927</v>
      </c>
      <c r="J62" s="11" t="n">
        <f aca="false">H62*IF(VALUE(LEFT(C62,4))=2026,MAX(0,MIN(6,13-VALUE(RIGHT(C62,2)))),0)/12</f>
        <v>0</v>
      </c>
    </row>
    <row r="63" customFormat="false" ht="15" hidden="false" customHeight="true" outlineLevel="0" collapsed="false">
      <c r="B63" s="6" t="s">
        <v>254</v>
      </c>
      <c r="C63" s="6" t="s">
        <v>173</v>
      </c>
      <c r="D63" s="6" t="s">
        <v>21</v>
      </c>
      <c r="E63" s="6" t="s">
        <v>253</v>
      </c>
      <c r="F63" s="11" t="n">
        <v>0.0811</v>
      </c>
      <c r="G63" s="32" t="n">
        <v>0.2</v>
      </c>
      <c r="H63" s="11" t="n">
        <v>0.01622</v>
      </c>
      <c r="I63" s="11" t="n">
        <f aca="false">H63/2</f>
        <v>0.00811</v>
      </c>
      <c r="J63" s="11" t="n">
        <f aca="false">H63*IF(VALUE(LEFT(C63,4))=2026,MAX(0,MIN(6,13-VALUE(RIGHT(C63,2)))),0)/12</f>
        <v>0.004055</v>
      </c>
    </row>
    <row r="64" customFormat="false" ht="15" hidden="false" customHeight="true" outlineLevel="0" collapsed="false">
      <c r="B64" s="6" t="s">
        <v>255</v>
      </c>
      <c r="C64" s="6" t="s">
        <v>167</v>
      </c>
      <c r="D64" s="6" t="s">
        <v>21</v>
      </c>
      <c r="E64" s="6" t="s">
        <v>256</v>
      </c>
      <c r="F64" s="11" t="n">
        <v>0.2317</v>
      </c>
      <c r="G64" s="32" t="n">
        <v>0.1</v>
      </c>
      <c r="H64" s="11" t="n">
        <v>0.02317</v>
      </c>
      <c r="I64" s="11" t="n">
        <f aca="false">H64/2</f>
        <v>0.011585</v>
      </c>
      <c r="J64" s="11" t="n">
        <f aca="false">H64*IF(VALUE(LEFT(C64,4))=2026,MAX(0,MIN(6,13-VALUE(RIGHT(C64,2)))),0)/12</f>
        <v>0.00772333333333333</v>
      </c>
    </row>
    <row r="65" customFormat="false" ht="15" hidden="false" customHeight="true" outlineLevel="0" collapsed="false">
      <c r="B65" s="6" t="s">
        <v>257</v>
      </c>
      <c r="C65" s="6" t="s">
        <v>252</v>
      </c>
      <c r="D65" s="6" t="s">
        <v>21</v>
      </c>
      <c r="E65" s="6" t="s">
        <v>258</v>
      </c>
      <c r="F65" s="11" t="n">
        <v>0.2029</v>
      </c>
      <c r="G65" s="32" t="n">
        <v>0.15</v>
      </c>
      <c r="H65" s="11" t="n">
        <v>0.030435</v>
      </c>
      <c r="I65" s="11" t="n">
        <f aca="false">H65/2</f>
        <v>0.0152175</v>
      </c>
      <c r="J65" s="11" t="n">
        <f aca="false">H65*IF(VALUE(LEFT(C65,4))=2026,MAX(0,MIN(6,13-VALUE(RIGHT(C65,2)))),0)/12</f>
        <v>0</v>
      </c>
    </row>
    <row r="66" customFormat="false" ht="15" hidden="false" customHeight="true" outlineLevel="0" collapsed="false">
      <c r="B66" s="6" t="s">
        <v>259</v>
      </c>
      <c r="C66" s="6" t="s">
        <v>173</v>
      </c>
      <c r="D66" s="6" t="s">
        <v>21</v>
      </c>
      <c r="E66" s="6" t="s">
        <v>258</v>
      </c>
      <c r="F66" s="11" t="n">
        <v>0.2029</v>
      </c>
      <c r="G66" s="32" t="n">
        <v>0.15</v>
      </c>
      <c r="H66" s="11" t="n">
        <v>0.030435</v>
      </c>
      <c r="I66" s="11" t="n">
        <f aca="false">H66/2</f>
        <v>0.0152175</v>
      </c>
      <c r="J66" s="11" t="n">
        <f aca="false">H66*IF(VALUE(LEFT(C66,4))=2026,MAX(0,MIN(6,13-VALUE(RIGHT(C66,2)))),0)/12</f>
        <v>0.00760875</v>
      </c>
    </row>
    <row r="67" customFormat="false" ht="15" hidden="false" customHeight="true" outlineLevel="0" collapsed="false">
      <c r="B67" s="6" t="s">
        <v>260</v>
      </c>
      <c r="C67" s="6" t="s">
        <v>167</v>
      </c>
      <c r="D67" s="6" t="s">
        <v>21</v>
      </c>
      <c r="E67" s="6" t="s">
        <v>258</v>
      </c>
      <c r="F67" s="11" t="n">
        <v>0.2029</v>
      </c>
      <c r="G67" s="32" t="n">
        <v>0.15</v>
      </c>
      <c r="H67" s="11" t="n">
        <v>0.030435</v>
      </c>
      <c r="I67" s="11" t="n">
        <f aca="false">H67/2</f>
        <v>0.0152175</v>
      </c>
      <c r="J67" s="11" t="n">
        <f aca="false">H67*IF(VALUE(LEFT(C67,4))=2026,MAX(0,MIN(6,13-VALUE(RIGHT(C67,2)))),0)/12</f>
        <v>0.010145</v>
      </c>
    </row>
    <row r="68" customFormat="false" ht="15" hidden="false" customHeight="true" outlineLevel="0" collapsed="false">
      <c r="B68" s="6" t="s">
        <v>261</v>
      </c>
      <c r="C68" s="6" t="s">
        <v>167</v>
      </c>
      <c r="D68" s="6" t="s">
        <v>21</v>
      </c>
      <c r="E68" s="6" t="s">
        <v>221</v>
      </c>
      <c r="F68" s="11" t="n">
        <v>0.2758</v>
      </c>
      <c r="G68" s="32" t="n">
        <v>1</v>
      </c>
      <c r="H68" s="11" t="n">
        <v>0.2758</v>
      </c>
      <c r="I68" s="11" t="n">
        <f aca="false">H68/2</f>
        <v>0.1379</v>
      </c>
      <c r="J68" s="11" t="n">
        <f aca="false">H68*IF(VALUE(LEFT(C68,4))=2026,MAX(0,MIN(6,13-VALUE(RIGHT(C68,2)))),0)/12</f>
        <v>0.0919333333333333</v>
      </c>
    </row>
    <row r="69" customFormat="false" ht="15" hidden="false" customHeight="true" outlineLevel="0" collapsed="false">
      <c r="B69" s="6" t="s">
        <v>262</v>
      </c>
      <c r="C69" s="6" t="s">
        <v>218</v>
      </c>
      <c r="D69" s="6" t="s">
        <v>21</v>
      </c>
      <c r="E69" s="6" t="s">
        <v>263</v>
      </c>
      <c r="F69" s="11" t="n">
        <v>0.2317</v>
      </c>
      <c r="G69" s="32" t="n">
        <v>0</v>
      </c>
      <c r="H69" s="11" t="n">
        <v>0</v>
      </c>
      <c r="I69" s="11" t="n">
        <f aca="false">H69/2</f>
        <v>0</v>
      </c>
      <c r="J69" s="11" t="n">
        <f aca="false">H69*IF(VALUE(LEFT(C69,4))=2026,MAX(0,MIN(6,13-VALUE(RIGHT(C69,2)))),0)/12</f>
        <v>0</v>
      </c>
    </row>
    <row r="70" customFormat="false" ht="15" hidden="false" customHeight="true" outlineLevel="0" collapsed="false">
      <c r="B70" s="6" t="s">
        <v>264</v>
      </c>
      <c r="C70" s="6" t="s">
        <v>167</v>
      </c>
      <c r="D70" s="6" t="s">
        <v>21</v>
      </c>
      <c r="E70" s="6" t="s">
        <v>263</v>
      </c>
      <c r="F70" s="11" t="n">
        <v>0.2029</v>
      </c>
      <c r="G70" s="32" t="n">
        <v>0</v>
      </c>
      <c r="H70" s="11" t="n">
        <v>0</v>
      </c>
      <c r="I70" s="11" t="n">
        <f aca="false">H70/2</f>
        <v>0</v>
      </c>
      <c r="J70" s="11" t="n">
        <f aca="false">H70*IF(VALUE(LEFT(C70,4))=2026,MAX(0,MIN(6,13-VALUE(RIGHT(C70,2)))),0)/12</f>
        <v>0</v>
      </c>
    </row>
    <row r="71" customFormat="false" ht="15" hidden="false" customHeight="true" outlineLevel="0" collapsed="false">
      <c r="B71" s="6" t="s">
        <v>265</v>
      </c>
      <c r="C71" s="6" t="s">
        <v>167</v>
      </c>
      <c r="D71" s="6" t="s">
        <v>21</v>
      </c>
      <c r="E71" s="6" t="s">
        <v>263</v>
      </c>
      <c r="F71" s="11" t="n">
        <v>0.2029</v>
      </c>
      <c r="G71" s="32" t="n">
        <v>0</v>
      </c>
      <c r="H71" s="11" t="n">
        <v>0</v>
      </c>
      <c r="I71" s="11" t="n">
        <f aca="false">H71/2</f>
        <v>0</v>
      </c>
      <c r="J71" s="11" t="n">
        <f aca="false">H71*IF(VALUE(LEFT(C71,4))=2026,MAX(0,MIN(6,13-VALUE(RIGHT(C71,2)))),0)/12</f>
        <v>0</v>
      </c>
    </row>
    <row r="72" customFormat="false" ht="15" hidden="false" customHeight="true" outlineLevel="0" collapsed="false">
      <c r="B72" s="6" t="s">
        <v>266</v>
      </c>
      <c r="C72" s="6" t="s">
        <v>173</v>
      </c>
      <c r="D72" s="6" t="s">
        <v>21</v>
      </c>
      <c r="E72" s="6" t="s">
        <v>267</v>
      </c>
      <c r="F72" s="11" t="n">
        <v>0.2317</v>
      </c>
      <c r="G72" s="32" t="n">
        <v>0.2</v>
      </c>
      <c r="H72" s="11" t="n">
        <v>0.04634</v>
      </c>
      <c r="I72" s="11" t="n">
        <f aca="false">H72/2</f>
        <v>0.02317</v>
      </c>
      <c r="J72" s="11" t="n">
        <f aca="false">H72*IF(VALUE(LEFT(C72,4))=2026,MAX(0,MIN(6,13-VALUE(RIGHT(C72,2)))),0)/12</f>
        <v>0.011585</v>
      </c>
    </row>
    <row r="73" customFormat="false" ht="15" hidden="false" customHeight="true" outlineLevel="0" collapsed="false">
      <c r="B73" s="6" t="s">
        <v>268</v>
      </c>
      <c r="C73" s="6" t="s">
        <v>252</v>
      </c>
      <c r="D73" s="6" t="s">
        <v>21</v>
      </c>
      <c r="E73" s="6" t="s">
        <v>267</v>
      </c>
      <c r="F73" s="11" t="n">
        <v>0.1705</v>
      </c>
      <c r="G73" s="32" t="n">
        <v>0.2</v>
      </c>
      <c r="H73" s="11" t="n">
        <v>0.0341</v>
      </c>
      <c r="I73" s="11" t="n">
        <f aca="false">H73/2</f>
        <v>0.01705</v>
      </c>
      <c r="J73" s="11" t="n">
        <f aca="false">H73*IF(VALUE(LEFT(C73,4))=2026,MAX(0,MIN(6,13-VALUE(RIGHT(C73,2)))),0)/12</f>
        <v>0</v>
      </c>
    </row>
    <row r="74" customFormat="false" ht="15" hidden="false" customHeight="true" outlineLevel="0" collapsed="false">
      <c r="B74" s="6" t="s">
        <v>269</v>
      </c>
      <c r="C74" s="6" t="s">
        <v>167</v>
      </c>
      <c r="D74" s="6" t="s">
        <v>21</v>
      </c>
      <c r="E74" s="6" t="s">
        <v>221</v>
      </c>
      <c r="F74" s="11" t="n">
        <v>0.2758</v>
      </c>
      <c r="G74" s="32" t="n">
        <v>1</v>
      </c>
      <c r="H74" s="11" t="n">
        <v>0.2758</v>
      </c>
      <c r="I74" s="11" t="n">
        <f aca="false">H74/2</f>
        <v>0.1379</v>
      </c>
      <c r="J74" s="11" t="n">
        <f aca="false">H74*IF(VALUE(LEFT(C74,4))=2026,MAX(0,MIN(6,13-VALUE(RIGHT(C74,2)))),0)/12</f>
        <v>0.0919333333333333</v>
      </c>
    </row>
    <row r="75" customFormat="false" ht="15" hidden="false" customHeight="true" outlineLevel="0" collapsed="false">
      <c r="B75" s="6" t="s">
        <v>270</v>
      </c>
      <c r="C75" s="6" t="s">
        <v>167</v>
      </c>
      <c r="D75" s="6" t="s">
        <v>21</v>
      </c>
      <c r="E75" s="6" t="s">
        <v>271</v>
      </c>
      <c r="F75" s="11" t="n">
        <v>0.2317</v>
      </c>
      <c r="G75" s="32" t="n">
        <v>0.8</v>
      </c>
      <c r="H75" s="11" t="n">
        <v>0.18536</v>
      </c>
      <c r="I75" s="11" t="n">
        <f aca="false">H75/2</f>
        <v>0.09268</v>
      </c>
      <c r="J75" s="11" t="n">
        <f aca="false">H75*IF(VALUE(LEFT(C75,4))=2026,MAX(0,MIN(6,13-VALUE(RIGHT(C75,2)))),0)/12</f>
        <v>0.0617866666666667</v>
      </c>
    </row>
    <row r="76" customFormat="false" ht="15" hidden="false" customHeight="true" outlineLevel="0" collapsed="false">
      <c r="B76" s="6" t="s">
        <v>272</v>
      </c>
      <c r="C76" s="6" t="s">
        <v>167</v>
      </c>
      <c r="D76" s="6" t="s">
        <v>21</v>
      </c>
      <c r="E76" s="6" t="s">
        <v>273</v>
      </c>
      <c r="F76" s="11" t="n">
        <v>0.2758</v>
      </c>
      <c r="G76" s="32" t="n">
        <v>0.8</v>
      </c>
      <c r="H76" s="11" t="n">
        <v>0.22064</v>
      </c>
      <c r="I76" s="11" t="n">
        <f aca="false">H76/2</f>
        <v>0.11032</v>
      </c>
      <c r="J76" s="11" t="n">
        <f aca="false">H76*IF(VALUE(LEFT(C76,4))=2026,MAX(0,MIN(6,13-VALUE(RIGHT(C76,2)))),0)/12</f>
        <v>0.0735466666666667</v>
      </c>
    </row>
    <row r="77" customFormat="false" ht="15" hidden="false" customHeight="true" outlineLevel="0" collapsed="false">
      <c r="B77" s="6" t="s">
        <v>274</v>
      </c>
      <c r="C77" s="6" t="s">
        <v>167</v>
      </c>
      <c r="D77" s="6" t="s">
        <v>21</v>
      </c>
      <c r="E77" s="6" t="s">
        <v>221</v>
      </c>
      <c r="F77" s="11" t="n">
        <v>0.2029</v>
      </c>
      <c r="G77" s="32" t="n">
        <v>1</v>
      </c>
      <c r="H77" s="11" t="n">
        <v>0.2029</v>
      </c>
      <c r="I77" s="11" t="n">
        <f aca="false">H77/2</f>
        <v>0.10145</v>
      </c>
      <c r="J77" s="11" t="n">
        <f aca="false">H77*IF(VALUE(LEFT(C77,4))=2026,MAX(0,MIN(6,13-VALUE(RIGHT(C77,2)))),0)/12</f>
        <v>0.0676333333333333</v>
      </c>
    </row>
    <row r="78" customFormat="false" ht="15" hidden="false" customHeight="true" outlineLevel="0" collapsed="false">
      <c r="B78" s="6" t="s">
        <v>275</v>
      </c>
      <c r="C78" s="6" t="s">
        <v>173</v>
      </c>
      <c r="D78" s="6" t="s">
        <v>21</v>
      </c>
      <c r="E78" s="6" t="s">
        <v>276</v>
      </c>
      <c r="F78" s="11" t="n">
        <v>0.4395</v>
      </c>
      <c r="G78" s="32" t="n">
        <v>1</v>
      </c>
      <c r="H78" s="11" t="n">
        <v>0.4395</v>
      </c>
      <c r="I78" s="11" t="n">
        <f aca="false">H78/2</f>
        <v>0.21975</v>
      </c>
      <c r="J78" s="11" t="n">
        <f aca="false">H78*IF(VALUE(LEFT(C78,4))=2026,MAX(0,MIN(6,13-VALUE(RIGHT(C78,2)))),0)/12</f>
        <v>0.109875</v>
      </c>
    </row>
    <row r="79" customFormat="false" ht="15" hidden="false" customHeight="true" outlineLevel="0" collapsed="false">
      <c r="B79" s="6" t="s">
        <v>277</v>
      </c>
      <c r="C79" s="6" t="s">
        <v>278</v>
      </c>
      <c r="D79" s="6" t="s">
        <v>21</v>
      </c>
      <c r="E79" s="6" t="s">
        <v>279</v>
      </c>
      <c r="F79" s="11" t="n">
        <v>0.2758</v>
      </c>
      <c r="G79" s="32" t="n">
        <v>1</v>
      </c>
      <c r="H79" s="11" t="n">
        <v>0.2758</v>
      </c>
      <c r="I79" s="11" t="n">
        <f aca="false">H79/2</f>
        <v>0.1379</v>
      </c>
      <c r="J79" s="11" t="n">
        <f aca="false">H79*IF(VALUE(LEFT(C79,4))=2026,MAX(0,MIN(6,13-VALUE(RIGHT(C79,2)))),0)/12</f>
        <v>0.1379</v>
      </c>
    </row>
    <row r="80" customFormat="false" ht="15" hidden="false" customHeight="true" outlineLevel="0" collapsed="false">
      <c r="B80" s="6" t="s">
        <v>280</v>
      </c>
      <c r="C80" s="6" t="s">
        <v>170</v>
      </c>
      <c r="D80" s="6" t="s">
        <v>21</v>
      </c>
      <c r="E80" s="6" t="s">
        <v>279</v>
      </c>
      <c r="F80" s="11" t="n">
        <v>0.2317</v>
      </c>
      <c r="G80" s="32" t="n">
        <v>1</v>
      </c>
      <c r="H80" s="11" t="n">
        <v>0.2317</v>
      </c>
      <c r="I80" s="11" t="n">
        <f aca="false">H80/2</f>
        <v>0.11585</v>
      </c>
      <c r="J80" s="11" t="n">
        <f aca="false">H80*IF(VALUE(LEFT(C80,4))=2026,MAX(0,MIN(6,13-VALUE(RIGHT(C80,2)))),0)/12</f>
        <v>0.0386166666666667</v>
      </c>
    </row>
    <row r="81" customFormat="false" ht="15" hidden="false" customHeight="true" outlineLevel="0" collapsed="false">
      <c r="B81" s="6" t="s">
        <v>281</v>
      </c>
      <c r="C81" s="6" t="s">
        <v>170</v>
      </c>
      <c r="D81" s="6" t="s">
        <v>21</v>
      </c>
      <c r="E81" s="6" t="s">
        <v>279</v>
      </c>
      <c r="F81" s="11" t="n">
        <v>0.2317</v>
      </c>
      <c r="G81" s="32" t="n">
        <v>1</v>
      </c>
      <c r="H81" s="11" t="n">
        <v>0.2317</v>
      </c>
      <c r="I81" s="11" t="n">
        <f aca="false">H81/2</f>
        <v>0.11585</v>
      </c>
      <c r="J81" s="11" t="n">
        <f aca="false">H81*IF(VALUE(LEFT(C81,4))=2026,MAX(0,MIN(6,13-VALUE(RIGHT(C81,2)))),0)/12</f>
        <v>0.0386166666666667</v>
      </c>
    </row>
    <row r="82" customFormat="false" ht="15" hidden="false" customHeight="true" outlineLevel="0" collapsed="false">
      <c r="B82" s="6" t="s">
        <v>282</v>
      </c>
      <c r="C82" s="6" t="s">
        <v>170</v>
      </c>
      <c r="D82" s="6" t="s">
        <v>21</v>
      </c>
      <c r="E82" s="6" t="s">
        <v>279</v>
      </c>
      <c r="F82" s="11" t="n">
        <v>0.0811</v>
      </c>
      <c r="G82" s="32" t="n">
        <v>1</v>
      </c>
      <c r="H82" s="11" t="n">
        <v>0.0811</v>
      </c>
      <c r="I82" s="11" t="n">
        <f aca="false">H82/2</f>
        <v>0.04055</v>
      </c>
      <c r="J82" s="11" t="n">
        <f aca="false">H82*IF(VALUE(LEFT(C82,4))=2026,MAX(0,MIN(6,13-VALUE(RIGHT(C82,2)))),0)/12</f>
        <v>0.0135166666666667</v>
      </c>
    </row>
    <row r="83" customFormat="false" ht="15" hidden="false" customHeight="true" outlineLevel="0" collapsed="false">
      <c r="B83" s="6" t="s">
        <v>283</v>
      </c>
      <c r="C83" s="6" t="s">
        <v>170</v>
      </c>
      <c r="D83" s="6" t="s">
        <v>21</v>
      </c>
      <c r="E83" s="6" t="s">
        <v>279</v>
      </c>
      <c r="F83" s="11" t="n">
        <v>0.0682</v>
      </c>
      <c r="G83" s="32" t="n">
        <v>1</v>
      </c>
      <c r="H83" s="11" t="n">
        <v>0.0682</v>
      </c>
      <c r="I83" s="11" t="n">
        <f aca="false">H83/2</f>
        <v>0.0341</v>
      </c>
      <c r="J83" s="11" t="n">
        <f aca="false">H83*IF(VALUE(LEFT(C83,4))=2026,MAX(0,MIN(6,13-VALUE(RIGHT(C83,2)))),0)/12</f>
        <v>0.0113666666666667</v>
      </c>
    </row>
    <row r="84" customFormat="false" ht="15" hidden="false" customHeight="true" outlineLevel="0" collapsed="false">
      <c r="B84" s="6" t="s">
        <v>284</v>
      </c>
      <c r="C84" s="6" t="s">
        <v>170</v>
      </c>
      <c r="D84" s="6" t="s">
        <v>20</v>
      </c>
      <c r="E84" s="6" t="s">
        <v>279</v>
      </c>
      <c r="F84" s="11" t="n">
        <v>0.125994</v>
      </c>
      <c r="G84" s="32" t="n">
        <v>1</v>
      </c>
      <c r="H84" s="11" t="n">
        <f aca="false">F84*G84</f>
        <v>0.125994</v>
      </c>
      <c r="I84" s="11" t="n">
        <f aca="false">H84/2</f>
        <v>0.062997</v>
      </c>
      <c r="J84" s="11" t="n">
        <f aca="false">H84*IF(VALUE(LEFT(C84,4))=2026,MAX(0,MIN(6,13-VALUE(RIGHT(C84,2)))),0)/12</f>
        <v>0.020999</v>
      </c>
    </row>
    <row r="85" customFormat="false" ht="15" hidden="false" customHeight="true" outlineLevel="0" collapsed="false">
      <c r="B85" s="6" t="s">
        <v>285</v>
      </c>
      <c r="C85" s="6" t="s">
        <v>167</v>
      </c>
      <c r="D85" s="6" t="s">
        <v>21</v>
      </c>
      <c r="E85" s="6" t="s">
        <v>286</v>
      </c>
      <c r="F85" s="11" t="n">
        <v>0.2317</v>
      </c>
      <c r="G85" s="32" t="n">
        <v>1</v>
      </c>
      <c r="H85" s="11" t="n">
        <v>0.2317</v>
      </c>
      <c r="I85" s="11" t="n">
        <f aca="false">H85/2</f>
        <v>0.11585</v>
      </c>
      <c r="J85" s="11" t="n">
        <f aca="false">H85*IF(VALUE(LEFT(C85,4))=2026,MAX(0,MIN(6,13-VALUE(RIGHT(C85,2)))),0)/12</f>
        <v>0.0772333333333333</v>
      </c>
    </row>
    <row r="86" customFormat="false" ht="15" hidden="false" customHeight="true" outlineLevel="0" collapsed="false">
      <c r="B86" s="6" t="s">
        <v>287</v>
      </c>
      <c r="C86" s="6" t="s">
        <v>167</v>
      </c>
      <c r="D86" s="6" t="s">
        <v>21</v>
      </c>
      <c r="E86" s="6" t="s">
        <v>286</v>
      </c>
      <c r="F86" s="11" t="n">
        <v>0.2317</v>
      </c>
      <c r="G86" s="32" t="n">
        <v>1</v>
      </c>
      <c r="H86" s="11" t="n">
        <v>0.2317</v>
      </c>
      <c r="I86" s="11" t="n">
        <f aca="false">H86/2</f>
        <v>0.11585</v>
      </c>
      <c r="J86" s="11" t="n">
        <f aca="false">H86*IF(VALUE(LEFT(C86,4))=2026,MAX(0,MIN(6,13-VALUE(RIGHT(C86,2)))),0)/12</f>
        <v>0.0772333333333333</v>
      </c>
    </row>
    <row r="87" customFormat="false" ht="15" hidden="false" customHeight="true" outlineLevel="0" collapsed="false">
      <c r="B87" s="6" t="s">
        <v>288</v>
      </c>
      <c r="C87" s="6" t="s">
        <v>173</v>
      </c>
      <c r="D87" s="6" t="s">
        <v>21</v>
      </c>
      <c r="E87" s="6" t="s">
        <v>286</v>
      </c>
      <c r="F87" s="11" t="n">
        <v>0.2317</v>
      </c>
      <c r="G87" s="32" t="n">
        <v>1</v>
      </c>
      <c r="H87" s="11" t="n">
        <v>0.2317</v>
      </c>
      <c r="I87" s="11" t="n">
        <f aca="false">H87/2</f>
        <v>0.11585</v>
      </c>
      <c r="J87" s="11" t="n">
        <f aca="false">H87*IF(VALUE(LEFT(C87,4))=2026,MAX(0,MIN(6,13-VALUE(RIGHT(C87,2)))),0)/12</f>
        <v>0.057925</v>
      </c>
    </row>
    <row r="88" customFormat="false" ht="15" hidden="false" customHeight="true" outlineLevel="0" collapsed="false">
      <c r="B88" s="6" t="s">
        <v>289</v>
      </c>
      <c r="C88" s="6" t="s">
        <v>290</v>
      </c>
      <c r="D88" s="6" t="s">
        <v>21</v>
      </c>
      <c r="E88" s="6" t="s">
        <v>291</v>
      </c>
      <c r="F88" s="11" t="n">
        <v>0.3896</v>
      </c>
      <c r="G88" s="32" t="n">
        <v>1</v>
      </c>
      <c r="H88" s="11" t="n">
        <v>0.3896</v>
      </c>
      <c r="I88" s="11" t="n">
        <f aca="false">H88/2</f>
        <v>0.1948</v>
      </c>
      <c r="J88" s="11" t="n">
        <f aca="false">H88*IF(VALUE(LEFT(C88,4))=2026,MAX(0,MIN(6,13-VALUE(RIGHT(C88,2)))),0)/12</f>
        <v>0</v>
      </c>
    </row>
    <row r="89" customFormat="false" ht="15" hidden="false" customHeight="true" outlineLevel="0" collapsed="false">
      <c r="B89" s="6" t="s">
        <v>292</v>
      </c>
      <c r="C89" s="6" t="s">
        <v>167</v>
      </c>
      <c r="D89" s="6" t="s">
        <v>21</v>
      </c>
      <c r="E89" s="6" t="s">
        <v>221</v>
      </c>
      <c r="F89" s="11" t="n">
        <v>0.335</v>
      </c>
      <c r="G89" s="32" t="n">
        <v>1</v>
      </c>
      <c r="H89" s="11" t="n">
        <v>0.335</v>
      </c>
      <c r="I89" s="11" t="n">
        <f aca="false">H89/2</f>
        <v>0.1675</v>
      </c>
      <c r="J89" s="11" t="n">
        <f aca="false">H89*IF(VALUE(LEFT(C89,4))=2026,MAX(0,MIN(6,13-VALUE(RIGHT(C89,2)))),0)/12</f>
        <v>0.111666666666667</v>
      </c>
    </row>
    <row r="90" customFormat="false" ht="15" hidden="false" customHeight="true" outlineLevel="0" collapsed="false">
      <c r="B90" s="6" t="s">
        <v>293</v>
      </c>
      <c r="C90" s="6" t="s">
        <v>170</v>
      </c>
      <c r="D90" s="6" t="s">
        <v>21</v>
      </c>
      <c r="E90" s="6" t="s">
        <v>294</v>
      </c>
      <c r="F90" s="11" t="n">
        <v>0.2029</v>
      </c>
      <c r="G90" s="32" t="n">
        <v>1</v>
      </c>
      <c r="H90" s="11" t="n">
        <v>0.2029</v>
      </c>
      <c r="I90" s="11" t="n">
        <f aca="false">H90/2</f>
        <v>0.10145</v>
      </c>
      <c r="J90" s="11" t="n">
        <f aca="false">H90*IF(VALUE(LEFT(C90,4))=2026,MAX(0,MIN(6,13-VALUE(RIGHT(C90,2)))),0)/12</f>
        <v>0.0338166666666667</v>
      </c>
    </row>
    <row r="91" customFormat="false" ht="15" hidden="false" customHeight="true" outlineLevel="0" collapsed="false">
      <c r="B91" s="6" t="s">
        <v>295</v>
      </c>
      <c r="C91" s="6" t="s">
        <v>225</v>
      </c>
      <c r="D91" s="6" t="s">
        <v>21</v>
      </c>
      <c r="E91" s="6" t="s">
        <v>206</v>
      </c>
      <c r="F91" s="33" t="n">
        <v>0.19479</v>
      </c>
      <c r="G91" s="32" t="n">
        <v>0</v>
      </c>
      <c r="H91" s="33" t="n">
        <f aca="false">F91*G91</f>
        <v>0</v>
      </c>
      <c r="I91" s="33" t="n">
        <f aca="false">H91/2</f>
        <v>0</v>
      </c>
      <c r="J91" s="33" t="n">
        <f aca="false">H91*IF(VALUE(LEFT(C91,4))=2026,MAX(0,MIN(6,13-VALUE(RIGHT(C91,2)))),0)/12</f>
        <v>0</v>
      </c>
    </row>
    <row r="92" customFormat="false" ht="15" hidden="false" customHeight="true" outlineLevel="0" collapsed="false">
      <c r="B92" s="6" t="s">
        <v>296</v>
      </c>
      <c r="C92" s="6" t="s">
        <v>225</v>
      </c>
      <c r="D92" s="6" t="s">
        <v>21</v>
      </c>
      <c r="E92" s="6" t="s">
        <v>297</v>
      </c>
      <c r="F92" s="33" t="n">
        <v>0.202853</v>
      </c>
      <c r="G92" s="32" t="n">
        <v>0.7</v>
      </c>
      <c r="H92" s="33" t="n">
        <f aca="false">F92*G92</f>
        <v>0.1419971</v>
      </c>
      <c r="I92" s="33" t="n">
        <f aca="false">H92/2</f>
        <v>0.07099855</v>
      </c>
      <c r="J92" s="33" t="n">
        <f aca="false">H92*IF(VALUE(LEFT(C92,4))=2026,MAX(0,MIN(6,13-VALUE(RIGHT(C92,2)))),0)/12</f>
        <v>0</v>
      </c>
    </row>
    <row r="93" customFormat="false" ht="15" hidden="false" customHeight="true" outlineLevel="0" collapsed="false">
      <c r="B93" s="6" t="s">
        <v>298</v>
      </c>
      <c r="C93" s="6" t="s">
        <v>225</v>
      </c>
      <c r="D93" s="6" t="s">
        <v>21</v>
      </c>
      <c r="E93" s="6" t="s">
        <v>299</v>
      </c>
      <c r="F93" s="33" t="n">
        <v>0.201585</v>
      </c>
      <c r="G93" s="32" t="n">
        <v>1</v>
      </c>
      <c r="H93" s="33" t="n">
        <f aca="false">F93*G93</f>
        <v>0.201585</v>
      </c>
      <c r="I93" s="33" t="n">
        <f aca="false">H93/2</f>
        <v>0.1007925</v>
      </c>
      <c r="J93" s="33" t="n">
        <f aca="false">H93*IF(VALUE(LEFT(C93,4))=2026,MAX(0,MIN(6,13-VALUE(RIGHT(C93,2)))),0)/12</f>
        <v>0</v>
      </c>
    </row>
    <row r="94" customFormat="false" ht="15" hidden="false" customHeight="true" outlineLevel="0" collapsed="false">
      <c r="B94" s="6" t="s">
        <v>300</v>
      </c>
      <c r="C94" s="6" t="s">
        <v>225</v>
      </c>
      <c r="D94" s="6" t="s">
        <v>21</v>
      </c>
      <c r="E94" s="6" t="s">
        <v>301</v>
      </c>
      <c r="F94" s="33" t="n">
        <v>0.27581</v>
      </c>
      <c r="G94" s="32" t="n">
        <v>1</v>
      </c>
      <c r="H94" s="33" t="n">
        <f aca="false">F94*G94</f>
        <v>0.27581</v>
      </c>
      <c r="I94" s="33" t="n">
        <f aca="false">H94/2</f>
        <v>0.137905</v>
      </c>
      <c r="J94" s="33" t="n">
        <f aca="false">H94*IF(VALUE(LEFT(C94,4))=2026,MAX(0,MIN(6,13-VALUE(RIGHT(C94,2)))),0)/12</f>
        <v>0</v>
      </c>
    </row>
    <row r="95" customFormat="false" ht="15" hidden="false" customHeight="true" outlineLevel="0" collapsed="false">
      <c r="B95" s="30" t="s">
        <v>302</v>
      </c>
      <c r="C95" s="6" t="s">
        <v>225</v>
      </c>
      <c r="D95" s="6" t="s">
        <v>21</v>
      </c>
      <c r="E95" s="6" t="s">
        <v>263</v>
      </c>
      <c r="F95" s="33" t="n">
        <v>0.202853</v>
      </c>
      <c r="G95" s="32" t="n">
        <v>0</v>
      </c>
      <c r="H95" s="34" t="n">
        <f aca="false">F95*G95</f>
        <v>0</v>
      </c>
      <c r="I95" s="33" t="n">
        <f aca="false">H95/2</f>
        <v>0</v>
      </c>
      <c r="J95" s="33" t="n">
        <f aca="false">H95*IF(VALUE(LEFT(C95,4))=2026,MAX(0,MIN(6,13-VALUE(RIGHT(C95,2)))),0)/12</f>
        <v>0</v>
      </c>
    </row>
    <row r="96" customFormat="false" ht="15" hidden="false" customHeight="true" outlineLevel="0" collapsed="false">
      <c r="B96" s="6" t="s">
        <v>303</v>
      </c>
      <c r="C96" s="6" t="s">
        <v>225</v>
      </c>
      <c r="D96" s="6" t="s">
        <v>21</v>
      </c>
      <c r="E96" s="6" t="s">
        <v>301</v>
      </c>
      <c r="F96" s="33" t="n">
        <v>0.27581</v>
      </c>
      <c r="G96" s="32" t="n">
        <v>1</v>
      </c>
      <c r="H96" s="33" t="n">
        <f aca="false">F96*G96</f>
        <v>0.27581</v>
      </c>
      <c r="I96" s="33" t="n">
        <f aca="false">H96/2</f>
        <v>0.137905</v>
      </c>
      <c r="J96" s="33" t="n">
        <f aca="false">H96*IF(VALUE(LEFT(C96,4))=2026,MAX(0,MIN(6,13-VALUE(RIGHT(C96,2)))),0)/12</f>
        <v>0</v>
      </c>
    </row>
    <row r="97" customFormat="false" ht="15" hidden="false" customHeight="true" outlineLevel="0" collapsed="false">
      <c r="B97" s="6" t="s">
        <v>304</v>
      </c>
      <c r="C97" s="6" t="s">
        <v>225</v>
      </c>
      <c r="D97" s="6" t="s">
        <v>20</v>
      </c>
      <c r="E97" s="6" t="s">
        <v>301</v>
      </c>
      <c r="F97" s="33" t="n">
        <v>0.291422</v>
      </c>
      <c r="G97" s="32" t="n">
        <v>1</v>
      </c>
      <c r="H97" s="33" t="n">
        <f aca="false">F97*G97</f>
        <v>0.291422</v>
      </c>
      <c r="I97" s="33" t="n">
        <f aca="false">H97/2</f>
        <v>0.145711</v>
      </c>
      <c r="J97" s="33" t="n">
        <f aca="false">H97*IF(VALUE(LEFT(C97,4))=2026,MAX(0,MIN(6,13-VALUE(RIGHT(C97,2)))),0)/12</f>
        <v>0</v>
      </c>
    </row>
    <row r="98" customFormat="false" ht="15" hidden="false" customHeight="true" outlineLevel="0" collapsed="false">
      <c r="B98" s="6" t="s">
        <v>305</v>
      </c>
      <c r="C98" s="6" t="s">
        <v>225</v>
      </c>
      <c r="D98" s="6" t="s">
        <v>21</v>
      </c>
      <c r="E98" s="6" t="s">
        <v>306</v>
      </c>
      <c r="F98" s="33" t="n">
        <v>0.17049</v>
      </c>
      <c r="G98" s="32" t="n">
        <v>0.6455</v>
      </c>
      <c r="H98" s="33" t="n">
        <f aca="false">F98*G98</f>
        <v>0.110051295</v>
      </c>
      <c r="I98" s="33" t="n">
        <f aca="false">H98/2</f>
        <v>0.0550256475</v>
      </c>
      <c r="J98" s="33" t="n">
        <f aca="false">H98*IF(VALUE(LEFT(C98,4))=2026,MAX(0,MIN(6,13-VALUE(RIGHT(C98,2)))),0)/12</f>
        <v>0</v>
      </c>
    </row>
    <row r="99" customFormat="false" ht="15" hidden="false" customHeight="true" outlineLevel="0" collapsed="false">
      <c r="B99" s="6" t="s">
        <v>307</v>
      </c>
      <c r="C99" s="6" t="s">
        <v>225</v>
      </c>
      <c r="D99" s="6" t="s">
        <v>21</v>
      </c>
      <c r="E99" s="6" t="s">
        <v>279</v>
      </c>
      <c r="F99" s="33" t="n">
        <v>0.27581</v>
      </c>
      <c r="G99" s="32" t="n">
        <v>0.9279</v>
      </c>
      <c r="H99" s="33" t="n">
        <f aca="false">F99*G99</f>
        <v>0.255924099</v>
      </c>
      <c r="I99" s="33" t="n">
        <f aca="false">H99/2</f>
        <v>0.1279620495</v>
      </c>
      <c r="J99" s="33" t="n">
        <f aca="false">H99*IF(VALUE(LEFT(C99,4))=2026,MAX(0,MIN(6,13-VALUE(RIGHT(C99,2)))),0)/12</f>
        <v>0</v>
      </c>
    </row>
    <row r="100" customFormat="false" ht="15" hidden="false" customHeight="true" outlineLevel="0" collapsed="false">
      <c r="B100" s="6" t="s">
        <v>308</v>
      </c>
      <c r="C100" s="6" t="s">
        <v>225</v>
      </c>
      <c r="D100" s="6" t="s">
        <v>21</v>
      </c>
      <c r="E100" s="6" t="s">
        <v>301</v>
      </c>
      <c r="F100" s="33" t="n">
        <v>0.33302</v>
      </c>
      <c r="G100" s="32" t="n">
        <v>1</v>
      </c>
      <c r="H100" s="33" t="n">
        <f aca="false">F100*G100</f>
        <v>0.33302</v>
      </c>
      <c r="I100" s="33" t="n">
        <f aca="false">H100/2</f>
        <v>0.16651</v>
      </c>
      <c r="J100" s="33" t="n">
        <f aca="false">H100*IF(VALUE(LEFT(C100,4))=2026,MAX(0,MIN(6,13-VALUE(RIGHT(C100,2)))),0)/12</f>
        <v>0</v>
      </c>
    </row>
    <row r="101" customFormat="false" ht="15" hidden="false" customHeight="true" outlineLevel="0" collapsed="false">
      <c r="B101" s="6" t="s">
        <v>309</v>
      </c>
      <c r="C101" s="6" t="s">
        <v>225</v>
      </c>
      <c r="D101" s="6" t="s">
        <v>21</v>
      </c>
      <c r="E101" s="6" t="s">
        <v>301</v>
      </c>
      <c r="F101" s="33" t="n">
        <v>0.1869</v>
      </c>
      <c r="G101" s="32" t="n">
        <v>1</v>
      </c>
      <c r="H101" s="33" t="n">
        <f aca="false">F101*G101</f>
        <v>0.1869</v>
      </c>
      <c r="I101" s="33" t="n">
        <f aca="false">H101/2</f>
        <v>0.09345</v>
      </c>
      <c r="J101" s="33" t="n">
        <f aca="false">H101*IF(VALUE(LEFT(C101,4))=2026,MAX(0,MIN(6,13-VALUE(RIGHT(C101,2)))),0)/12</f>
        <v>0</v>
      </c>
    </row>
    <row r="102" customFormat="false" ht="45" hidden="false" customHeight="true" outlineLevel="0" collapsed="false">
      <c r="B102" s="29" t="s">
        <v>310</v>
      </c>
      <c r="C102" s="6" t="s">
        <v>225</v>
      </c>
      <c r="D102" s="6" t="s">
        <v>21</v>
      </c>
      <c r="E102" s="6" t="s">
        <v>294</v>
      </c>
      <c r="F102" s="33" t="n">
        <v>0.27581</v>
      </c>
      <c r="G102" s="32" t="n">
        <v>0.6813</v>
      </c>
      <c r="H102" s="33" t="n">
        <f aca="false">F102*G102</f>
        <v>0.187909353</v>
      </c>
      <c r="I102" s="33" t="n">
        <f aca="false">H102/2</f>
        <v>0.0939546765</v>
      </c>
      <c r="J102" s="33" t="n">
        <f aca="false">H102*IF(VALUE(LEFT(C102,4))=2026,MAX(0,MIN(6,13-VALUE(RIGHT(C102,2)))),0)/12</f>
        <v>0</v>
      </c>
    </row>
    <row r="103" customFormat="false" ht="45" hidden="false" customHeight="true" outlineLevel="0" collapsed="false">
      <c r="B103" s="29" t="s">
        <v>311</v>
      </c>
      <c r="C103" s="6" t="s">
        <v>225</v>
      </c>
      <c r="D103" s="6" t="s">
        <v>21</v>
      </c>
      <c r="E103" s="6" t="s">
        <v>312</v>
      </c>
      <c r="F103" s="33" t="n">
        <v>0.2136</v>
      </c>
      <c r="G103" s="32" t="n">
        <v>0.6443</v>
      </c>
      <c r="H103" s="33" t="n">
        <f aca="false">F103*G103</f>
        <v>0.13762248</v>
      </c>
      <c r="I103" s="33" t="n">
        <f aca="false">H103/2</f>
        <v>0.06881124</v>
      </c>
      <c r="J103" s="33" t="n">
        <f aca="false">H103*IF(VALUE(LEFT(C103,4))=2026,MAX(0,MIN(6,13-VALUE(RIGHT(C103,2)))),0)/12</f>
        <v>0</v>
      </c>
    </row>
    <row r="104" customFormat="false" ht="15" hidden="false" customHeight="true" outlineLevel="0" collapsed="false">
      <c r="B104" s="6" t="s">
        <v>313</v>
      </c>
      <c r="C104" s="6" t="s">
        <v>225</v>
      </c>
      <c r="D104" s="6" t="s">
        <v>21</v>
      </c>
      <c r="E104" s="6" t="s">
        <v>306</v>
      </c>
      <c r="F104" s="33" t="n">
        <v>0.017049</v>
      </c>
      <c r="G104" s="32" t="n">
        <v>0.6455</v>
      </c>
      <c r="H104" s="33" t="n">
        <f aca="false">F104*G104</f>
        <v>0.0110051295</v>
      </c>
      <c r="I104" s="33" t="n">
        <f aca="false">H104/2</f>
        <v>0.00550256475</v>
      </c>
      <c r="J104" s="33" t="n">
        <f aca="false">H104*IF(VALUE(LEFT(C104,4))=2026,MAX(0,MIN(6,13-VALUE(RIGHT(C104,2)))),0)/12</f>
        <v>0</v>
      </c>
    </row>
    <row r="105" customFormat="false" ht="15" hidden="false" customHeight="true" outlineLevel="0" collapsed="false">
      <c r="B105" s="6" t="s">
        <v>314</v>
      </c>
      <c r="C105" s="6" t="s">
        <v>225</v>
      </c>
      <c r="D105" s="6" t="s">
        <v>21</v>
      </c>
      <c r="E105" s="6" t="s">
        <v>306</v>
      </c>
      <c r="F105" s="33" t="n">
        <v>0.017049</v>
      </c>
      <c r="G105" s="32" t="n">
        <v>0.6455</v>
      </c>
      <c r="H105" s="33" t="n">
        <f aca="false">F105*G105</f>
        <v>0.0110051295</v>
      </c>
      <c r="I105" s="33" t="n">
        <f aca="false">H105/2</f>
        <v>0.00550256475</v>
      </c>
      <c r="J105" s="33" t="n">
        <f aca="false">H105*IF(VALUE(LEFT(C105,4))=2026,MAX(0,MIN(6,13-VALUE(RIGHT(C105,2)))),0)/12</f>
        <v>0</v>
      </c>
    </row>
    <row r="106" customFormat="false" ht="15" hidden="false" customHeight="true" outlineLevel="0" collapsed="false">
      <c r="B106" s="6" t="s">
        <v>315</v>
      </c>
      <c r="C106" s="6" t="s">
        <v>225</v>
      </c>
      <c r="D106" s="6" t="s">
        <v>21</v>
      </c>
      <c r="E106" s="6" t="s">
        <v>316</v>
      </c>
      <c r="F106" s="33" t="n">
        <v>0.051147</v>
      </c>
      <c r="G106" s="32" t="n">
        <v>0.6402</v>
      </c>
      <c r="H106" s="33" t="n">
        <f aca="false">F106*G106</f>
        <v>0.0327443094</v>
      </c>
      <c r="I106" s="33" t="n">
        <f aca="false">H106/2</f>
        <v>0.0163721547</v>
      </c>
      <c r="J106" s="33" t="n">
        <f aca="false">H106*IF(VALUE(LEFT(C106,4))=2026,MAX(0,MIN(6,13-VALUE(RIGHT(C106,2)))),0)/12</f>
        <v>0</v>
      </c>
    </row>
    <row r="107" customFormat="false" ht="15" hidden="false" customHeight="true" outlineLevel="0" collapsed="false">
      <c r="B107" s="6" t="s">
        <v>317</v>
      </c>
      <c r="C107" s="6" t="s">
        <v>225</v>
      </c>
      <c r="D107" s="6" t="s">
        <v>21</v>
      </c>
      <c r="E107" s="6" t="s">
        <v>306</v>
      </c>
      <c r="F107" s="33" t="n">
        <v>0.024514</v>
      </c>
      <c r="G107" s="32" t="n">
        <v>0.6455</v>
      </c>
      <c r="H107" s="33" t="n">
        <f aca="false">F107*G107</f>
        <v>0.015823787</v>
      </c>
      <c r="I107" s="33" t="n">
        <f aca="false">H107/2</f>
        <v>0.0079118935</v>
      </c>
      <c r="J107" s="33" t="n">
        <f aca="false">H107*IF(VALUE(LEFT(C107,4))=2026,MAX(0,MIN(6,13-VALUE(RIGHT(C107,2)))),0)/12</f>
        <v>0</v>
      </c>
    </row>
    <row r="108" customFormat="false" ht="15" hidden="false" customHeight="true" outlineLevel="0" collapsed="false">
      <c r="B108" s="13" t="s">
        <v>151</v>
      </c>
      <c r="F108" s="35" t="n">
        <f aca="false">SUMIF($D$6:$D$107,"AU",F$6:F$107)</f>
        <v>18.02549</v>
      </c>
      <c r="H108" s="35" t="n">
        <f aca="false">SUMIF($D$6:$D$107,"AU",H$6:H$107)</f>
        <v>10.8088076824</v>
      </c>
      <c r="I108" s="35" t="n">
        <f aca="false">SUMIF($D$6:$D$107,"AU",I$6:I$107)</f>
        <v>5.4044038412</v>
      </c>
      <c r="J108" s="35" t="n">
        <f aca="false">SUMIF($D$6:$D$107,"AU",J$6:J$107)</f>
        <v>2.37310458333333</v>
      </c>
    </row>
    <row r="109" customFormat="false" ht="15" hidden="false" customHeight="true" outlineLevel="0" collapsed="false">
      <c r="B109" s="13" t="s">
        <v>152</v>
      </c>
      <c r="F109" s="35" t="n">
        <f aca="false">SUMIF($D$6:$D$107,"NZ",F$6:F$107)</f>
        <v>0.562583</v>
      </c>
      <c r="H109" s="35" t="n">
        <f aca="false">SUMIF($D$6:$D$107,"NZ",H$6:H$107)</f>
        <v>0.4464494</v>
      </c>
      <c r="I109" s="35" t="n">
        <f aca="false">SUMIF($D$6:$D$107,"NZ",I$6:I$107)</f>
        <v>0.2232247</v>
      </c>
      <c r="J109" s="35" t="n">
        <f aca="false">SUMIF($D$6:$D$107,"NZ",J$6:J$107)</f>
        <v>0.0306768</v>
      </c>
    </row>
    <row r="110" customFormat="false" ht="15" hidden="false" customHeight="true" outlineLevel="0" collapsed="false">
      <c r="B110" s="13" t="s">
        <v>22</v>
      </c>
      <c r="F110" s="35" t="n">
        <f aca="false">SUM(F6:F107)</f>
        <v>18.588073</v>
      </c>
      <c r="H110" s="35" t="n">
        <f aca="false">SUM(H6:H107)</f>
        <v>11.2552570824</v>
      </c>
      <c r="I110" s="35" t="n">
        <f aca="false">SUM(I6:I107)</f>
        <v>5.6276285412</v>
      </c>
      <c r="J110" s="35" t="n">
        <f aca="false">SUM(J6:J107)</f>
        <v>2.40378138333333</v>
      </c>
    </row>
  </sheetData>
  <mergeCells count="1">
    <mergeCell ref="B3:J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D3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56"/>
    <col collapsed="false" customWidth="true" hidden="false" outlineLevel="0" max="3" min="3" style="1" width="62"/>
    <col collapsed="false" customWidth="true" hidden="false" outlineLevel="0" max="4" min="4" style="1" width="40"/>
  </cols>
  <sheetData>
    <row r="2" customFormat="false" ht="15.75" hidden="false" customHeight="true" outlineLevel="0" collapsed="false">
      <c r="B2" s="2" t="s">
        <v>318</v>
      </c>
    </row>
    <row r="3" customFormat="false" ht="15.75" hidden="false" customHeight="true" outlineLevel="0" collapsed="false">
      <c r="B3" s="3" t="s">
        <v>319</v>
      </c>
      <c r="C3" s="3"/>
      <c r="D3" s="3"/>
    </row>
    <row r="5" customFormat="false" ht="30" hidden="false" customHeight="true" outlineLevel="0" collapsed="false">
      <c r="B5" s="4" t="s">
        <v>320</v>
      </c>
      <c r="C5" s="4" t="s">
        <v>321</v>
      </c>
      <c r="D5" s="4" t="s">
        <v>322</v>
      </c>
    </row>
    <row r="6" customFormat="false" ht="30" hidden="false" customHeight="true" outlineLevel="0" collapsed="false">
      <c r="B6" s="22" t="s">
        <v>323</v>
      </c>
      <c r="C6" s="22" t="s">
        <v>324</v>
      </c>
      <c r="D6" s="22" t="s">
        <v>325</v>
      </c>
    </row>
    <row r="7" customFormat="false" ht="30" hidden="false" customHeight="true" outlineLevel="0" collapsed="false">
      <c r="B7" s="22" t="s">
        <v>326</v>
      </c>
      <c r="C7" s="22" t="s">
        <v>327</v>
      </c>
      <c r="D7" s="22" t="s">
        <v>325</v>
      </c>
    </row>
    <row r="8" customFormat="false" ht="30" hidden="false" customHeight="true" outlineLevel="0" collapsed="false">
      <c r="B8" s="22" t="s">
        <v>328</v>
      </c>
      <c r="C8" s="22" t="s">
        <v>329</v>
      </c>
      <c r="D8" s="22" t="s">
        <v>325</v>
      </c>
    </row>
    <row r="9" customFormat="false" ht="30" hidden="false" customHeight="true" outlineLevel="0" collapsed="false">
      <c r="B9" s="22" t="s">
        <v>330</v>
      </c>
      <c r="C9" s="22" t="s">
        <v>331</v>
      </c>
      <c r="D9" s="22" t="s">
        <v>325</v>
      </c>
    </row>
    <row r="10" customFormat="false" ht="30" hidden="false" customHeight="true" outlineLevel="0" collapsed="false">
      <c r="B10" s="22" t="s">
        <v>332</v>
      </c>
      <c r="C10" s="22" t="s">
        <v>333</v>
      </c>
      <c r="D10" s="22" t="s">
        <v>325</v>
      </c>
    </row>
    <row r="11" customFormat="false" ht="30" hidden="false" customHeight="true" outlineLevel="0" collapsed="false">
      <c r="B11" s="22" t="s">
        <v>334</v>
      </c>
      <c r="C11" s="22" t="s">
        <v>335</v>
      </c>
      <c r="D11" s="22" t="s">
        <v>325</v>
      </c>
    </row>
    <row r="12" customFormat="false" ht="30" hidden="false" customHeight="true" outlineLevel="0" collapsed="false">
      <c r="B12" s="22" t="s">
        <v>336</v>
      </c>
      <c r="C12" s="22" t="s">
        <v>337</v>
      </c>
      <c r="D12" s="22" t="s">
        <v>325</v>
      </c>
    </row>
    <row r="13" customFormat="false" ht="30" hidden="false" customHeight="true" outlineLevel="0" collapsed="false">
      <c r="B13" s="22" t="s">
        <v>338</v>
      </c>
      <c r="C13" s="22" t="s">
        <v>339</v>
      </c>
      <c r="D13" s="22" t="s">
        <v>325</v>
      </c>
    </row>
    <row r="14" customFormat="false" ht="30" hidden="false" customHeight="true" outlineLevel="0" collapsed="false">
      <c r="B14" s="22" t="s">
        <v>79</v>
      </c>
      <c r="C14" s="22" t="s">
        <v>340</v>
      </c>
      <c r="D14" s="22" t="s">
        <v>341</v>
      </c>
    </row>
    <row r="15" customFormat="false" ht="30" hidden="false" customHeight="true" outlineLevel="0" collapsed="false">
      <c r="B15" s="22" t="s">
        <v>81</v>
      </c>
      <c r="C15" s="22" t="s">
        <v>342</v>
      </c>
      <c r="D15" s="22" t="s">
        <v>341</v>
      </c>
    </row>
    <row r="16" customFormat="false" ht="30" hidden="false" customHeight="true" outlineLevel="0" collapsed="false">
      <c r="B16" s="22" t="s">
        <v>83</v>
      </c>
      <c r="C16" s="22" t="s">
        <v>343</v>
      </c>
      <c r="D16" s="22" t="s">
        <v>341</v>
      </c>
    </row>
    <row r="17" customFormat="false" ht="30" hidden="false" customHeight="true" outlineLevel="0" collapsed="false">
      <c r="B17" s="22" t="s">
        <v>85</v>
      </c>
      <c r="C17" s="22" t="s">
        <v>344</v>
      </c>
      <c r="D17" s="22" t="s">
        <v>341</v>
      </c>
    </row>
    <row r="18" customFormat="false" ht="30" hidden="false" customHeight="true" outlineLevel="0" collapsed="false">
      <c r="B18" s="22" t="s">
        <v>345</v>
      </c>
      <c r="C18" s="22" t="s">
        <v>346</v>
      </c>
      <c r="D18" s="22" t="s">
        <v>341</v>
      </c>
    </row>
    <row r="19" customFormat="false" ht="30" hidden="false" customHeight="true" outlineLevel="0" collapsed="false">
      <c r="B19" s="22" t="s">
        <v>347</v>
      </c>
      <c r="C19" s="22" t="s">
        <v>348</v>
      </c>
      <c r="D19" s="22" t="s">
        <v>341</v>
      </c>
    </row>
    <row r="20" customFormat="false" ht="30" hidden="false" customHeight="true" outlineLevel="0" collapsed="false">
      <c r="B20" s="22" t="s">
        <v>99</v>
      </c>
      <c r="C20" s="22" t="s">
        <v>349</v>
      </c>
      <c r="D20" s="22" t="s">
        <v>341</v>
      </c>
    </row>
    <row r="21" customFormat="false" ht="30" hidden="false" customHeight="true" outlineLevel="0" collapsed="false">
      <c r="B21" s="22" t="s">
        <v>101</v>
      </c>
      <c r="C21" s="22" t="s">
        <v>350</v>
      </c>
      <c r="D21" s="22" t="s">
        <v>341</v>
      </c>
    </row>
    <row r="22" customFormat="false" ht="30" hidden="false" customHeight="true" outlineLevel="0" collapsed="false">
      <c r="B22" s="22" t="s">
        <v>103</v>
      </c>
      <c r="C22" s="22" t="s">
        <v>351</v>
      </c>
      <c r="D22" s="22" t="s">
        <v>341</v>
      </c>
    </row>
    <row r="23" customFormat="false" ht="30" hidden="false" customHeight="true" outlineLevel="0" collapsed="false">
      <c r="B23" s="22" t="s">
        <v>352</v>
      </c>
      <c r="C23" s="22" t="s">
        <v>353</v>
      </c>
      <c r="D23" s="22" t="s">
        <v>354</v>
      </c>
    </row>
    <row r="24" customFormat="false" ht="30" hidden="false" customHeight="true" outlineLevel="0" collapsed="false">
      <c r="B24" s="22" t="s">
        <v>355</v>
      </c>
      <c r="C24" s="22" t="s">
        <v>356</v>
      </c>
      <c r="D24" s="22" t="s">
        <v>354</v>
      </c>
    </row>
    <row r="25" customFormat="false" ht="30" hidden="false" customHeight="true" outlineLevel="0" collapsed="false">
      <c r="B25" s="22" t="s">
        <v>5</v>
      </c>
      <c r="C25" s="22" t="s">
        <v>357</v>
      </c>
      <c r="D25" s="22" t="s">
        <v>358</v>
      </c>
    </row>
    <row r="26" customFormat="false" ht="30" hidden="false" customHeight="true" outlineLevel="0" collapsed="false">
      <c r="B26" s="22" t="s">
        <v>359</v>
      </c>
      <c r="C26" s="22" t="s">
        <v>360</v>
      </c>
      <c r="D26" s="22" t="s">
        <v>361</v>
      </c>
    </row>
    <row r="27" customFormat="false" ht="30" hidden="false" customHeight="true" outlineLevel="0" collapsed="false">
      <c r="B27" s="29" t="s">
        <v>362</v>
      </c>
      <c r="C27" s="29" t="s">
        <v>363</v>
      </c>
      <c r="D27" s="29" t="s">
        <v>364</v>
      </c>
    </row>
    <row r="28" customFormat="false" ht="75" hidden="false" customHeight="true" outlineLevel="0" collapsed="false">
      <c r="B28" s="29" t="s">
        <v>365</v>
      </c>
      <c r="C28" s="29" t="s">
        <v>366</v>
      </c>
      <c r="D28" s="29" t="s">
        <v>341</v>
      </c>
    </row>
    <row r="29" customFormat="false" ht="60" hidden="false" customHeight="true" outlineLevel="0" collapsed="false">
      <c r="B29" s="29" t="s">
        <v>367</v>
      </c>
      <c r="C29" s="29" t="s">
        <v>368</v>
      </c>
      <c r="D29" s="29" t="s">
        <v>369</v>
      </c>
    </row>
    <row r="30" customFormat="false" ht="30" hidden="false" customHeight="true" outlineLevel="0" collapsed="false">
      <c r="B30" s="29" t="s">
        <v>370</v>
      </c>
      <c r="C30" s="29" t="s">
        <v>371</v>
      </c>
      <c r="D30" s="29" t="s">
        <v>354</v>
      </c>
    </row>
  </sheetData>
  <mergeCells count="1">
    <mergeCell ref="B3:D3"/>
  </mergeCells>
  <printOptions headings="false" gridLines="false" gridLinesSet="true" horizontalCentered="false" verticalCentered="false"/>
  <pageMargins left="0.4" right="0.4" top="0.5" bottom="0.5"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N1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1" width="2"/>
    <col collapsed="false" customWidth="true" hidden="false" outlineLevel="0" max="2" min="2" style="1" width="38"/>
    <col collapsed="false" customWidth="true" hidden="false" outlineLevel="0" max="14" min="3" style="1" width="9.5"/>
  </cols>
  <sheetData>
    <row r="2" customFormat="false" ht="15.75" hidden="false" customHeight="true" outlineLevel="0" collapsed="false">
      <c r="B2" s="2" t="s">
        <v>372</v>
      </c>
    </row>
    <row r="3" customFormat="false" ht="60" hidden="false" customHeight="true" outlineLevel="0" collapsed="false">
      <c r="B3" s="28" t="s">
        <v>373</v>
      </c>
      <c r="C3" s="28"/>
      <c r="D3" s="28"/>
      <c r="E3" s="28"/>
      <c r="F3" s="28"/>
      <c r="G3" s="28"/>
      <c r="H3" s="28"/>
      <c r="I3" s="28"/>
      <c r="J3" s="28"/>
      <c r="K3" s="28"/>
      <c r="L3" s="28"/>
      <c r="M3" s="28"/>
      <c r="N3" s="28"/>
    </row>
    <row r="5" customFormat="false" ht="15" hidden="false" customHeight="true" outlineLevel="0" collapsed="false">
      <c r="B5" s="4" t="s">
        <v>374</v>
      </c>
      <c r="C5" s="36" t="n">
        <v>46023</v>
      </c>
      <c r="D5" s="36" t="n">
        <v>46054</v>
      </c>
      <c r="E5" s="36" t="n">
        <v>46082</v>
      </c>
      <c r="F5" s="36" t="n">
        <v>46113</v>
      </c>
      <c r="G5" s="36" t="n">
        <v>46143</v>
      </c>
      <c r="H5" s="36" t="n">
        <v>46174</v>
      </c>
      <c r="I5" s="36" t="n">
        <v>46204</v>
      </c>
      <c r="J5" s="36" t="n">
        <v>46235</v>
      </c>
      <c r="K5" s="36" t="n">
        <v>46266</v>
      </c>
      <c r="L5" s="36" t="n">
        <v>46296</v>
      </c>
      <c r="M5" s="36" t="n">
        <v>46327</v>
      </c>
      <c r="N5" s="36" t="n">
        <v>46357</v>
      </c>
    </row>
    <row r="6" customFormat="false" ht="15" hidden="false" customHeight="true" outlineLevel="0" collapsed="false">
      <c r="B6" s="6" t="s">
        <v>375</v>
      </c>
      <c r="C6" s="37" t="str">
        <f aca="false">IF(MONTH(C$5)&lt;=6,"Actual","Forecast")</f>
        <v>Actual</v>
      </c>
      <c r="D6" s="37" t="str">
        <f aca="false">IF(MONTH(D$5)&lt;=6,"Actual","Forecast")</f>
        <v>Actual</v>
      </c>
      <c r="E6" s="37" t="str">
        <f aca="false">IF(MONTH(E$5)&lt;=6,"Actual","Forecast")</f>
        <v>Actual</v>
      </c>
      <c r="F6" s="37" t="str">
        <f aca="false">IF(MONTH(F$5)&lt;=6,"Actual","Forecast")</f>
        <v>Actual</v>
      </c>
      <c r="G6" s="37" t="str">
        <f aca="false">IF(MONTH(G$5)&lt;=6,"Actual","Forecast")</f>
        <v>Actual</v>
      </c>
      <c r="H6" s="37" t="str">
        <f aca="false">IF(MONTH(H$5)&lt;=6,"Actual","Forecast")</f>
        <v>Actual</v>
      </c>
      <c r="I6" s="37" t="str">
        <f aca="false">IF(MONTH(I$5)&lt;=6,"Actual","Forecast")</f>
        <v>Forecast</v>
      </c>
      <c r="J6" s="37" t="str">
        <f aca="false">IF(MONTH(J$5)&lt;=6,"Actual","Forecast")</f>
        <v>Forecast</v>
      </c>
      <c r="K6" s="37" t="str">
        <f aca="false">IF(MONTH(K$5)&lt;=6,"Actual","Forecast")</f>
        <v>Forecast</v>
      </c>
      <c r="L6" s="37" t="str">
        <f aca="false">IF(MONTH(L$5)&lt;=6,"Actual","Forecast")</f>
        <v>Forecast</v>
      </c>
      <c r="M6" s="37" t="str">
        <f aca="false">IF(MONTH(M$5)&lt;=6,"Actual","Forecast")</f>
        <v>Forecast</v>
      </c>
      <c r="N6" s="37" t="str">
        <f aca="false">IF(MONTH(N$5)&lt;=6,"Actual","Forecast")</f>
        <v>Forecast</v>
      </c>
    </row>
    <row r="7" customFormat="false" ht="15" hidden="false" customHeight="true" outlineLevel="0" collapsed="false">
      <c r="B7" s="6" t="s">
        <v>376</v>
      </c>
      <c r="C7" s="11" t="n">
        <f aca="false">'2 Data - Finance (June)'!F10</f>
        <v>3.01995782</v>
      </c>
      <c r="D7" s="11" t="n">
        <f aca="false">'2 Data - Finance (June)'!G10</f>
        <v>3.09701671</v>
      </c>
      <c r="E7" s="11" t="n">
        <f aca="false">'2 Data - Finance (June)'!H10</f>
        <v>2.92733142</v>
      </c>
      <c r="F7" s="11" t="n">
        <f aca="false">'2 Data - Finance (June)'!I10</f>
        <v>4.12491946</v>
      </c>
      <c r="G7" s="11" t="n">
        <f aca="false">'2 Data - Finance (June)'!J10</f>
        <v>3.00428973</v>
      </c>
      <c r="H7" s="11" t="n">
        <f aca="false">'2 Data - Finance (June)'!K10</f>
        <v>3.83649087</v>
      </c>
      <c r="I7" s="11" t="n">
        <f aca="false">'3 Data - model'!$C$26/12-SUMPRODUCT(('4 Vacancy timing'!$D$6:$D$107="AU")*('4 Vacancy timing'!$C$6:$C$107&gt;TEXT(I$5,"YYYY-MM"))*'4 Vacancy timing'!$H$6:$H$107)/12+'1 FY26 Forecast'!$C$7/6</f>
        <v>2.39077739953684</v>
      </c>
      <c r="J7" s="11" t="n">
        <f aca="false">'3 Data - model'!$C$26/12-SUMPRODUCT(('4 Vacancy timing'!$D$6:$D$107="AU")*('4 Vacancy timing'!$C$6:$C$107&gt;TEXT(J$5,"YYYY-MM"))*'4 Vacancy timing'!$H$6:$H$107)/12+'1 FY26 Forecast'!$C$7/6</f>
        <v>2.50336156620351</v>
      </c>
      <c r="K7" s="11" t="n">
        <f aca="false">'3 Data - model'!$C$26/12-SUMPRODUCT(('4 Vacancy timing'!$D$6:$D$107="AU")*('4 Vacancy timing'!$C$6:$C$107&gt;TEXT(K$5,"YYYY-MM"))*'4 Vacancy timing'!$H$6:$H$107)/12+'1 FY26 Forecast'!$C$7/6</f>
        <v>2.78273864953684</v>
      </c>
      <c r="L7" s="11" t="n">
        <f aca="false">'3 Data - model'!$C$26/12-SUMPRODUCT(('4 Vacancy timing'!$D$6:$D$107="AU")*('4 Vacancy timing'!$C$6:$C$107&gt;TEXT(L$5,"YYYY-MM"))*'4 Vacancy timing'!$H$6:$H$107)/12+'1 FY26 Forecast'!$C$7/6</f>
        <v>2.92159489953684</v>
      </c>
      <c r="M7" s="11" t="n">
        <f aca="false">'3 Data - model'!$C$26/12-SUMPRODUCT(('4 Vacancy timing'!$D$6:$D$107="AU")*('4 Vacancy timing'!$C$6:$C$107&gt;TEXT(M$5,"YYYY-MM"))*'4 Vacancy timing'!$H$6:$H$107)/12+'1 FY26 Forecast'!$C$7/6</f>
        <v>2.99069823287018</v>
      </c>
      <c r="N7" s="11" t="n">
        <f aca="false">'3 Data - model'!$C$26/12-SUMPRODUCT(('4 Vacancy timing'!$D$6:$D$107="AU")*('4 Vacancy timing'!$C$6:$C$107&gt;TEXT(N$5,"YYYY-MM"))*'4 Vacancy timing'!$H$6:$H$107)/12+'1 FY26 Forecast'!$C$7/6</f>
        <v>2.99069823287018</v>
      </c>
    </row>
    <row r="8" customFormat="false" ht="15" hidden="false" customHeight="true" outlineLevel="0" collapsed="false">
      <c r="B8" s="6" t="s">
        <v>377</v>
      </c>
      <c r="C8" s="11" t="n">
        <f aca="false">'2 Data - Finance (June)'!F11*'1 FY26 Forecast'!$C$6</f>
        <v>1.1787387428</v>
      </c>
      <c r="D8" s="11" t="n">
        <f aca="false">'2 Data - Finance (June)'!G11*'1 FY26 Forecast'!$C$6</f>
        <v>1.4055688452</v>
      </c>
      <c r="E8" s="11" t="n">
        <f aca="false">'2 Data - Finance (June)'!H11*'1 FY26 Forecast'!$C$6</f>
        <v>1.2687037791</v>
      </c>
      <c r="F8" s="11" t="n">
        <f aca="false">'2 Data - Finance (June)'!I11*'1 FY26 Forecast'!$C$6</f>
        <v>1.1355077778</v>
      </c>
      <c r="G8" s="11" t="n">
        <f aca="false">'2 Data - Finance (June)'!J11*'1 FY26 Forecast'!$C$6</f>
        <v>1.5232610939</v>
      </c>
      <c r="H8" s="11" t="n">
        <f aca="false">'2 Data - Finance (June)'!K11*'1 FY26 Forecast'!$C$6</f>
        <v>1.9689675166</v>
      </c>
      <c r="I8" s="11" t="n">
        <f aca="false">'3 Data - model'!$C$39/12-SUMPRODUCT(('4 Vacancy timing'!$D$6:$D$107="NZ")*('4 Vacancy timing'!$C$6:$C$107&gt;TEXT(I$5,"YYYY-MM"))*'4 Vacancy timing'!$H$6:$H$107)/12</f>
        <v>1.23001965101918</v>
      </c>
      <c r="J8" s="11" t="n">
        <f aca="false">'3 Data - model'!$C$39/12-SUMPRODUCT(('4 Vacancy timing'!$D$6:$D$107="NZ")*('4 Vacancy timing'!$C$6:$C$107&gt;TEXT(J$5,"YYYY-MM"))*'4 Vacancy timing'!$H$6:$H$107)/12</f>
        <v>1.23001965101918</v>
      </c>
      <c r="K8" s="11" t="n">
        <f aca="false">'3 Data - model'!$C$39/12-SUMPRODUCT(('4 Vacancy timing'!$D$6:$D$107="NZ")*('4 Vacancy timing'!$C$6:$C$107&gt;TEXT(K$5,"YYYY-MM"))*'4 Vacancy timing'!$H$6:$H$107)/12</f>
        <v>1.23243910101918</v>
      </c>
      <c r="L8" s="11" t="n">
        <f aca="false">'3 Data - model'!$C$39/12-SUMPRODUCT(('4 Vacancy timing'!$D$6:$D$107="NZ")*('4 Vacancy timing'!$C$6:$C$107&gt;TEXT(L$5,"YYYY-MM"))*'4 Vacancy timing'!$H$6:$H$107)/12</f>
        <v>1.23243910101918</v>
      </c>
      <c r="M8" s="11" t="n">
        <f aca="false">'3 Data - model'!$C$39/12-SUMPRODUCT(('4 Vacancy timing'!$D$6:$D$107="NZ")*('4 Vacancy timing'!$C$6:$C$107&gt;TEXT(M$5,"YYYY-MM"))*'4 Vacancy timing'!$H$6:$H$107)/12</f>
        <v>1.24293860101918</v>
      </c>
      <c r="N8" s="11" t="n">
        <f aca="false">'3 Data - model'!$C$39/12-SUMPRODUCT(('4 Vacancy timing'!$D$6:$D$107="NZ")*('4 Vacancy timing'!$C$6:$C$107&gt;TEXT(N$5,"YYYY-MM"))*'4 Vacancy timing'!$H$6:$H$107)/12</f>
        <v>1.24293860101918</v>
      </c>
    </row>
    <row r="9" customFormat="false" ht="15" hidden="false" customHeight="true" outlineLevel="0" collapsed="false">
      <c r="B9" s="38" t="s">
        <v>378</v>
      </c>
      <c r="C9" s="39" t="n">
        <f aca="false">C7+C8</f>
        <v>4.1986965628</v>
      </c>
      <c r="D9" s="39" t="n">
        <f aca="false">D7+D8</f>
        <v>4.5025855552</v>
      </c>
      <c r="E9" s="39" t="n">
        <f aca="false">E7+E8</f>
        <v>4.1960351991</v>
      </c>
      <c r="F9" s="39" t="n">
        <f aca="false">F7+F8</f>
        <v>5.2604272378</v>
      </c>
      <c r="G9" s="39" t="n">
        <f aca="false">G7+G8</f>
        <v>4.5275508239</v>
      </c>
      <c r="H9" s="39" t="n">
        <f aca="false">H7+H8</f>
        <v>5.8054583866</v>
      </c>
      <c r="I9" s="39" t="n">
        <f aca="false">I7+I8</f>
        <v>3.62079705055602</v>
      </c>
      <c r="J9" s="39" t="n">
        <f aca="false">J7+J8</f>
        <v>3.73338121722269</v>
      </c>
      <c r="K9" s="39" t="n">
        <f aca="false">K7+K8</f>
        <v>4.01517775055602</v>
      </c>
      <c r="L9" s="39" t="n">
        <f aca="false">L7+L8</f>
        <v>4.15403400055602</v>
      </c>
      <c r="M9" s="39" t="n">
        <f aca="false">M7+M8</f>
        <v>4.23363683388935</v>
      </c>
      <c r="N9" s="39" t="n">
        <f aca="false">N7+N8</f>
        <v>4.23363683388935</v>
      </c>
    </row>
    <row r="10" customFormat="false" ht="15" hidden="false" customHeight="true" outlineLevel="0" collapsed="false">
      <c r="B10" s="13" t="s">
        <v>379</v>
      </c>
      <c r="C10" s="14" t="n">
        <f aca="false">C9</f>
        <v>4.1986965628</v>
      </c>
      <c r="D10" s="14" t="n">
        <f aca="false">C10+D9</f>
        <v>8.701282118</v>
      </c>
      <c r="E10" s="14" t="n">
        <f aca="false">D10+E9</f>
        <v>12.8973173171</v>
      </c>
      <c r="F10" s="14" t="n">
        <f aca="false">E10+F9</f>
        <v>18.1577445549</v>
      </c>
      <c r="G10" s="14" t="n">
        <f aca="false">F10+G9</f>
        <v>22.6852953788</v>
      </c>
      <c r="H10" s="14" t="n">
        <f aca="false">G10+H9</f>
        <v>28.4907537654</v>
      </c>
      <c r="I10" s="14" t="n">
        <f aca="false">H10+I9</f>
        <v>32.111550815956</v>
      </c>
      <c r="J10" s="14" t="n">
        <f aca="false">I10+J9</f>
        <v>35.8449320331787</v>
      </c>
      <c r="K10" s="14" t="n">
        <f aca="false">J10+K9</f>
        <v>39.8601097837347</v>
      </c>
      <c r="L10" s="14" t="n">
        <f aca="false">K10+L9</f>
        <v>44.0141437842908</v>
      </c>
      <c r="M10" s="14" t="n">
        <f aca="false">L10+M9</f>
        <v>48.2477806181801</v>
      </c>
      <c r="N10" s="14" t="n">
        <f aca="false">M10+N9</f>
        <v>52.4814174520695</v>
      </c>
    </row>
    <row r="11" customFormat="false" ht="15" hidden="false" customHeight="true" outlineLevel="0" collapsed="false">
      <c r="B11" s="13" t="s">
        <v>380</v>
      </c>
      <c r="N11" s="14" t="n">
        <f aca="false">N9*12</f>
        <v>50.8036420066723</v>
      </c>
    </row>
    <row r="12" customFormat="false" ht="15.75" hidden="false" customHeight="true" outlineLevel="0" collapsed="false">
      <c r="B12" s="29"/>
    </row>
    <row r="13" customFormat="false" ht="15" hidden="false" customHeight="false" outlineLevel="0" collapsed="false">
      <c r="B13" s="40" t="s">
        <v>381</v>
      </c>
      <c r="I13" s="40" t="n">
        <f aca="false">COUNTIF('4 Vacancy timing'!$C$6:$C$107,"2026-07")</f>
        <v>1</v>
      </c>
      <c r="J13" s="40" t="n">
        <f aca="false">COUNTIF('4 Vacancy timing'!$C$6:$C$107,"2026-08")</f>
        <v>14</v>
      </c>
      <c r="K13" s="40" t="n">
        <f aca="false">COUNTIF('4 Vacancy timing'!$C$6:$C$107,"2026-09")</f>
        <v>30</v>
      </c>
      <c r="L13" s="40" t="n">
        <f aca="false">COUNTIF('4 Vacancy timing'!$C$6:$C$107,"2026-10")</f>
        <v>18</v>
      </c>
      <c r="M13" s="40" t="n">
        <f aca="false">COUNTIF('4 Vacancy timing'!$C$6:$C$107,"2026-11")</f>
        <v>7</v>
      </c>
      <c r="N13" s="40" t="n">
        <f aca="false">COUNTIF('4 Vacancy timing'!$C$6:$C$107,"2026-12")</f>
        <v>0</v>
      </c>
    </row>
    <row r="14" customFormat="false" ht="105" hidden="false" customHeight="true" outlineLevel="0" collapsed="false">
      <c r="B14" s="29" t="s">
        <v>382</v>
      </c>
      <c r="I14" s="40" t="n">
        <f aca="false">COUNTIF('4 Vacancy timing'!$C$6:$C$107,"&gt;"&amp;"2026-07")</f>
        <v>101</v>
      </c>
      <c r="J14" s="40" t="n">
        <f aca="false">COUNTIF('4 Vacancy timing'!$C$6:$C$107,"&gt;"&amp;"2026-08")</f>
        <v>87</v>
      </c>
      <c r="K14" s="40" t="n">
        <f aca="false">COUNTIF('4 Vacancy timing'!$C$6:$C$107,"&gt;"&amp;"2026-09")</f>
        <v>57</v>
      </c>
      <c r="L14" s="40" t="n">
        <f aca="false">COUNTIF('4 Vacancy timing'!$C$6:$C$107,"&gt;"&amp;"2026-10")</f>
        <v>39</v>
      </c>
      <c r="M14" s="40" t="n">
        <f aca="false">COUNTIF('4 Vacancy timing'!$C$6:$C$107,"&gt;"&amp;"2026-11")</f>
        <v>32</v>
      </c>
      <c r="N14" s="40" t="n">
        <f aca="false">COUNTIF('4 Vacancy timing'!$C$6:$C$107,"&gt;"&amp;"2026-12")</f>
        <v>32</v>
      </c>
    </row>
    <row r="16" customFormat="false" ht="15" hidden="false" customHeight="false" outlineLevel="0" collapsed="false">
      <c r="B16" s="41" t="s">
        <v>383</v>
      </c>
    </row>
  </sheetData>
  <mergeCells count="1">
    <mergeCell ref="B3:N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2" style="0" width="30"/>
    <col collapsed="false" customWidth="true" hidden="false" outlineLevel="0" max="15" min="3" style="0" width="13"/>
  </cols>
  <sheetData>
    <row r="2" customFormat="false" ht="19.7" hidden="false" customHeight="false" outlineLevel="0" collapsed="false">
      <c r="B2" s="42" t="s">
        <v>384</v>
      </c>
    </row>
    <row r="4" customFormat="false" ht="95.5" hidden="false" customHeight="false" outlineLevel="0" collapsed="false">
      <c r="B4" s="10" t="s">
        <v>385</v>
      </c>
      <c r="C4" s="10" t="s">
        <v>386</v>
      </c>
      <c r="D4" s="10" t="s">
        <v>387</v>
      </c>
      <c r="E4" s="10" t="s">
        <v>388</v>
      </c>
      <c r="F4" s="10" t="s">
        <v>389</v>
      </c>
      <c r="G4" s="10" t="s">
        <v>390</v>
      </c>
      <c r="H4" s="10" t="s">
        <v>391</v>
      </c>
      <c r="I4" s="10" t="s">
        <v>392</v>
      </c>
      <c r="J4" s="10" t="s">
        <v>393</v>
      </c>
      <c r="K4" s="10" t="s">
        <v>394</v>
      </c>
      <c r="L4" s="10" t="s">
        <v>395</v>
      </c>
      <c r="M4" s="10" t="s">
        <v>396</v>
      </c>
      <c r="N4" s="10"/>
      <c r="O4" s="10" t="s">
        <v>397</v>
      </c>
    </row>
    <row r="5" customFormat="false" ht="15" hidden="false" customHeight="false" outlineLevel="0" collapsed="false">
      <c r="B5" s="40" t="s">
        <v>398</v>
      </c>
      <c r="C5" s="43" t="n">
        <v>3.341827336</v>
      </c>
      <c r="D5" s="40" t="n">
        <v>0</v>
      </c>
      <c r="E5" s="43" t="n">
        <v>0.91580925</v>
      </c>
      <c r="F5" s="40" t="n">
        <v>0</v>
      </c>
      <c r="G5" s="40" t="n">
        <v>0</v>
      </c>
      <c r="H5" s="40"/>
      <c r="I5" s="43" t="n">
        <v>1.0370818</v>
      </c>
      <c r="J5" s="40" t="n">
        <v>1</v>
      </c>
      <c r="K5" s="43" t="n">
        <v>1.0370818</v>
      </c>
      <c r="L5" s="43" t="n">
        <v>1.95289105</v>
      </c>
      <c r="M5" s="40" t="n">
        <v>2</v>
      </c>
      <c r="N5" s="40"/>
      <c r="O5" s="43" t="n">
        <v>-0.0471089499999999</v>
      </c>
    </row>
    <row r="6" customFormat="false" ht="15" hidden="false" customHeight="false" outlineLevel="0" collapsed="false">
      <c r="B6" s="40" t="s">
        <v>399</v>
      </c>
      <c r="C6" s="43" t="n">
        <v>3.15605997348</v>
      </c>
      <c r="D6" s="43" t="n">
        <v>0.49481945</v>
      </c>
      <c r="E6" s="43" t="n">
        <v>2.46994667348</v>
      </c>
      <c r="F6" s="40" t="n">
        <v>0</v>
      </c>
      <c r="G6" s="40" t="n">
        <v>0</v>
      </c>
      <c r="H6" s="40"/>
      <c r="I6" s="43" t="n">
        <v>0.19129385</v>
      </c>
      <c r="J6" s="40" t="n">
        <v>1</v>
      </c>
      <c r="K6" s="43" t="n">
        <v>0.19129385</v>
      </c>
      <c r="L6" s="43" t="n">
        <v>2.66124052348</v>
      </c>
      <c r="M6" s="43" t="n">
        <v>1.5</v>
      </c>
      <c r="N6" s="40"/>
      <c r="O6" s="43" t="n">
        <v>1.16124052348</v>
      </c>
    </row>
    <row r="7" customFormat="false" ht="15" hidden="false" customHeight="false" outlineLevel="0" collapsed="false">
      <c r="B7" s="40" t="s">
        <v>400</v>
      </c>
      <c r="C7" s="43" t="n">
        <v>2.8319503024</v>
      </c>
      <c r="D7" s="40" t="n">
        <v>0</v>
      </c>
      <c r="E7" s="43" t="n">
        <v>2.4312789024</v>
      </c>
      <c r="F7" s="40" t="n">
        <v>0</v>
      </c>
      <c r="G7" s="40" t="n">
        <v>0</v>
      </c>
      <c r="H7" s="40"/>
      <c r="I7" s="43" t="n">
        <v>0.4006714</v>
      </c>
      <c r="J7" s="40" t="n">
        <v>1</v>
      </c>
      <c r="K7" s="43" t="n">
        <v>0.4006714</v>
      </c>
      <c r="L7" s="43" t="n">
        <v>2.8319503024</v>
      </c>
      <c r="M7" s="43" t="n">
        <v>0.5</v>
      </c>
      <c r="N7" s="40"/>
      <c r="O7" s="43" t="n">
        <v>2.3319503024</v>
      </c>
    </row>
    <row r="8" customFormat="false" ht="15" hidden="false" customHeight="false" outlineLevel="0" collapsed="false">
      <c r="B8" s="40" t="s">
        <v>401</v>
      </c>
      <c r="C8" s="43" t="n">
        <v>2.88399343</v>
      </c>
      <c r="D8" s="40" t="n">
        <v>0</v>
      </c>
      <c r="E8" s="43" t="n">
        <v>1.96447293</v>
      </c>
      <c r="F8" s="40" t="n">
        <v>0</v>
      </c>
      <c r="G8" s="40" t="n">
        <v>0</v>
      </c>
      <c r="H8" s="40"/>
      <c r="I8" s="43" t="n">
        <v>0.9195205</v>
      </c>
      <c r="J8" s="40" t="n">
        <v>1</v>
      </c>
      <c r="K8" s="43" t="n">
        <v>0.9195205</v>
      </c>
      <c r="L8" s="43" t="n">
        <v>2.88399343</v>
      </c>
      <c r="M8" s="40" t="n">
        <v>2</v>
      </c>
      <c r="N8" s="40"/>
      <c r="O8" s="43" t="n">
        <v>0.88399343</v>
      </c>
    </row>
    <row r="9" customFormat="false" ht="15" hidden="false" customHeight="false" outlineLevel="0" collapsed="false">
      <c r="B9" s="40" t="s">
        <v>402</v>
      </c>
      <c r="C9" s="43" t="n">
        <v>3.292562592</v>
      </c>
      <c r="D9" s="40" t="n">
        <v>0</v>
      </c>
      <c r="E9" s="43" t="n">
        <v>0.979014192</v>
      </c>
      <c r="F9" s="40" t="n">
        <v>0</v>
      </c>
      <c r="G9" s="40" t="n">
        <v>0</v>
      </c>
      <c r="H9" s="40"/>
      <c r="I9" s="40" t="n">
        <v>0</v>
      </c>
      <c r="J9" s="40"/>
      <c r="K9" s="40" t="n">
        <v>0</v>
      </c>
      <c r="L9" s="43" t="n">
        <v>0.979014192</v>
      </c>
      <c r="M9" s="40" t="n">
        <v>2</v>
      </c>
      <c r="N9" s="40"/>
      <c r="O9" s="43" t="n">
        <v>-1.020985808</v>
      </c>
    </row>
    <row r="10" customFormat="false" ht="15" hidden="false" customHeight="false" outlineLevel="0" collapsed="false">
      <c r="B10" s="40" t="s">
        <v>403</v>
      </c>
      <c r="C10" s="43" t="n">
        <v>1.628177866</v>
      </c>
      <c r="D10" s="40" t="n">
        <v>0</v>
      </c>
      <c r="E10" s="43" t="n">
        <v>1.628177866</v>
      </c>
      <c r="F10" s="40" t="n">
        <v>0</v>
      </c>
      <c r="G10" s="40" t="n">
        <v>0</v>
      </c>
      <c r="H10" s="40"/>
      <c r="I10" s="40" t="n">
        <v>0</v>
      </c>
      <c r="J10" s="40"/>
      <c r="K10" s="40" t="n">
        <v>0</v>
      </c>
      <c r="L10" s="43" t="n">
        <v>1.628177866</v>
      </c>
      <c r="M10" s="40" t="n">
        <v>2</v>
      </c>
      <c r="N10" s="40"/>
      <c r="O10" s="43" t="n">
        <v>-0.371822134</v>
      </c>
    </row>
    <row r="11" customFormat="false" ht="15" hidden="false" customHeight="false" outlineLevel="0" collapsed="false">
      <c r="B11" s="40" t="s">
        <v>404</v>
      </c>
      <c r="C11" s="43" t="n">
        <v>11.73636277195</v>
      </c>
      <c r="D11" s="43" t="n">
        <v>2.5862355812</v>
      </c>
      <c r="E11" s="43" t="n">
        <v>3.2910163685375</v>
      </c>
      <c r="F11" s="43" t="n">
        <v>0.210322581818182</v>
      </c>
      <c r="G11" s="43" t="n">
        <v>0.126266935090909</v>
      </c>
      <c r="H11" s="43" t="n">
        <v>0.463636363636364</v>
      </c>
      <c r="I11" s="43" t="n">
        <v>1.164734758</v>
      </c>
      <c r="J11" s="40" t="n">
        <v>1</v>
      </c>
      <c r="K11" s="43" t="n">
        <v>1.96496063854546</v>
      </c>
      <c r="L11" s="43" t="n">
        <v>5.25597700708296</v>
      </c>
      <c r="M11" s="43" t="n">
        <v>5.5</v>
      </c>
      <c r="N11" s="40"/>
      <c r="O11" s="43" t="n">
        <v>-0.244022992917045</v>
      </c>
    </row>
    <row r="12" customFormat="false" ht="15" hidden="false" customHeight="false" outlineLevel="0" collapsed="false">
      <c r="B12" s="40" t="s">
        <v>405</v>
      </c>
      <c r="C12" s="43" t="n">
        <v>6.666290208</v>
      </c>
      <c r="D12" s="40" t="n">
        <v>0</v>
      </c>
      <c r="E12" s="43" t="n">
        <v>4.4511559334</v>
      </c>
      <c r="F12" s="43" t="n">
        <v>0.210322581818182</v>
      </c>
      <c r="G12" s="43" t="n">
        <v>0.126266935090909</v>
      </c>
      <c r="H12" s="43" t="n">
        <v>0.463636363636364</v>
      </c>
      <c r="I12" s="43" t="n">
        <v>1.195492774</v>
      </c>
      <c r="J12" s="40" t="n">
        <v>1</v>
      </c>
      <c r="K12" s="43" t="n">
        <v>1.99571865454545</v>
      </c>
      <c r="L12" s="43" t="n">
        <v>6.44687458794546</v>
      </c>
      <c r="M12" s="43" t="n">
        <v>6.5</v>
      </c>
      <c r="N12" s="40"/>
      <c r="O12" s="43" t="n">
        <v>-0.0531254120545448</v>
      </c>
    </row>
    <row r="13" customFormat="false" ht="15" hidden="false" customHeight="false" outlineLevel="0" collapsed="false">
      <c r="B13" s="40" t="s">
        <v>406</v>
      </c>
      <c r="C13" s="43" t="n">
        <v>9.10507024025868</v>
      </c>
      <c r="D13" s="43" t="n">
        <v>2.85985905</v>
      </c>
      <c r="E13" s="43" t="n">
        <v>1.400638952644</v>
      </c>
      <c r="F13" s="43" t="n">
        <v>0.0799924695208312</v>
      </c>
      <c r="G13" s="43" t="n">
        <v>0.048023392778051</v>
      </c>
      <c r="H13" s="43" t="n">
        <v>0.231818181818182</v>
      </c>
      <c r="I13" s="43" t="n">
        <v>0.813629409418295</v>
      </c>
      <c r="J13" s="40" t="n">
        <v>1</v>
      </c>
      <c r="K13" s="43" t="n">
        <v>1.17346345353536</v>
      </c>
      <c r="L13" s="43" t="n">
        <v>2.57410240617936</v>
      </c>
      <c r="M13" s="43" t="n">
        <v>2.5</v>
      </c>
      <c r="N13" s="40"/>
      <c r="O13" s="43" t="n">
        <v>0.0741024061793589</v>
      </c>
    </row>
    <row r="14" customFormat="false" ht="15" hidden="false" customHeight="false" outlineLevel="0" collapsed="false">
      <c r="B14" s="40" t="s">
        <v>407</v>
      </c>
      <c r="C14" s="43" t="n">
        <v>4.61957496722132</v>
      </c>
      <c r="D14" s="40" t="n">
        <v>0</v>
      </c>
      <c r="E14" s="43" t="n">
        <v>2.282032709824</v>
      </c>
      <c r="F14" s="43" t="n">
        <v>0.130330112297351</v>
      </c>
      <c r="G14" s="43" t="n">
        <v>0.0782435423128581</v>
      </c>
      <c r="H14" s="43" t="n">
        <v>0.231818181818182</v>
      </c>
      <c r="I14" s="43" t="n">
        <v>1.32562993658171</v>
      </c>
      <c r="J14" s="40" t="n">
        <v>1</v>
      </c>
      <c r="K14" s="43" t="n">
        <v>1.7660217730101</v>
      </c>
      <c r="L14" s="43" t="n">
        <v>4.0480544828341</v>
      </c>
      <c r="M14" s="40" t="n">
        <v>4</v>
      </c>
      <c r="N14" s="40"/>
      <c r="O14" s="43" t="n">
        <v>0.0480544828340959</v>
      </c>
    </row>
    <row r="15" customFormat="false" ht="15" hidden="false" customHeight="false" outlineLevel="0" collapsed="false">
      <c r="B15" s="40" t="s">
        <v>408</v>
      </c>
      <c r="C15" s="43" t="n">
        <v>8.9409346318</v>
      </c>
      <c r="D15" s="43" t="n">
        <v>3.8</v>
      </c>
      <c r="E15" s="43" t="n">
        <v>0.50278987484</v>
      </c>
      <c r="F15" s="43" t="n">
        <v>0.210322581818182</v>
      </c>
      <c r="G15" s="43" t="n">
        <v>0.126266935090909</v>
      </c>
      <c r="H15" s="43" t="n">
        <v>0.463636363636364</v>
      </c>
      <c r="I15" s="43" t="n">
        <v>1.131342336</v>
      </c>
      <c r="J15" s="40" t="n">
        <v>1</v>
      </c>
      <c r="K15" s="43" t="n">
        <v>1.93156821654545</v>
      </c>
      <c r="L15" s="43" t="n">
        <v>2.43435809138545</v>
      </c>
      <c r="M15" s="43" t="n">
        <v>2.5</v>
      </c>
      <c r="N15" s="40"/>
      <c r="O15" s="43" t="n">
        <v>-0.0656419086145457</v>
      </c>
    </row>
    <row r="16" customFormat="false" ht="15" hidden="false" customHeight="false" outlineLevel="0" collapsed="false">
      <c r="B16" s="40" t="s">
        <v>409</v>
      </c>
      <c r="C16" s="43" t="n">
        <v>5.8851998495</v>
      </c>
      <c r="D16" s="40" t="n">
        <v>0</v>
      </c>
      <c r="E16" s="43" t="n">
        <v>0.615332180325</v>
      </c>
      <c r="F16" s="43" t="n">
        <v>0.210322581818182</v>
      </c>
      <c r="G16" s="43" t="n">
        <v>0.126266935090909</v>
      </c>
      <c r="H16" s="43" t="n">
        <v>0.463636363636364</v>
      </c>
      <c r="I16" s="43" t="n">
        <v>1.053717124</v>
      </c>
      <c r="J16" s="40" t="n">
        <v>1</v>
      </c>
      <c r="K16" s="43" t="n">
        <v>1.85394300454545</v>
      </c>
      <c r="L16" s="43" t="n">
        <v>2.46927518487046</v>
      </c>
      <c r="M16" s="43" t="n">
        <v>2.5</v>
      </c>
      <c r="N16" s="40"/>
      <c r="O16" s="43" t="n">
        <v>-0.0307248151295454</v>
      </c>
    </row>
    <row r="17" customFormat="false" ht="15" hidden="false" customHeight="false" outlineLevel="0" collapsed="false">
      <c r="B17" s="40" t="s">
        <v>410</v>
      </c>
      <c r="C17" s="43" t="n">
        <v>6.346248615</v>
      </c>
      <c r="D17" s="40" t="n">
        <v>0</v>
      </c>
      <c r="E17" s="43" t="n">
        <v>1.170643127</v>
      </c>
      <c r="F17" s="43" t="n">
        <v>0.210322581818182</v>
      </c>
      <c r="G17" s="43" t="n">
        <v>0.126266935090909</v>
      </c>
      <c r="H17" s="43" t="n">
        <v>0.463636363636364</v>
      </c>
      <c r="I17" s="43" t="n">
        <v>1.20525785</v>
      </c>
      <c r="J17" s="40" t="n">
        <v>1</v>
      </c>
      <c r="K17" s="43" t="n">
        <v>2.00548373054545</v>
      </c>
      <c r="L17" s="43" t="n">
        <v>3.17612685754545</v>
      </c>
      <c r="M17" s="43" t="n">
        <v>2.5</v>
      </c>
      <c r="N17" s="40"/>
      <c r="O17" s="43" t="n">
        <v>0.676126857545454</v>
      </c>
    </row>
    <row r="18" customFormat="false" ht="15" hidden="false" customHeight="false" outlineLevel="0" collapsed="false">
      <c r="B18" s="40" t="s">
        <v>234</v>
      </c>
      <c r="C18" s="43" t="n">
        <v>3.28109028</v>
      </c>
      <c r="D18" s="43" t="n">
        <v>0.238965</v>
      </c>
      <c r="E18" s="43" t="n">
        <v>0.332644816</v>
      </c>
      <c r="F18" s="43" t="n">
        <v>0.210322581818182</v>
      </c>
      <c r="G18" s="43" t="n">
        <v>0.126266935090909</v>
      </c>
      <c r="H18" s="43" t="n">
        <v>0.463636363636364</v>
      </c>
      <c r="I18" s="43" t="n">
        <v>0.93642515</v>
      </c>
      <c r="J18" s="40" t="n">
        <v>1</v>
      </c>
      <c r="K18" s="43" t="n">
        <v>1.73665103054545</v>
      </c>
      <c r="L18" s="43" t="n">
        <v>2.06929584654546</v>
      </c>
      <c r="M18" s="40" t="n">
        <v>2</v>
      </c>
      <c r="N18" s="40"/>
      <c r="O18" s="43" t="n">
        <v>0.0692958465454545</v>
      </c>
    </row>
    <row r="19" customFormat="false" ht="15" hidden="false" customHeight="false" outlineLevel="0" collapsed="false">
      <c r="B19" s="40" t="s">
        <v>411</v>
      </c>
      <c r="C19" s="43" t="n">
        <v>3.021533848</v>
      </c>
      <c r="D19" s="43" t="n">
        <v>0.24172845</v>
      </c>
      <c r="E19" s="43" t="n">
        <v>1.0316317164</v>
      </c>
      <c r="F19" s="43" t="n">
        <v>0.210322581818182</v>
      </c>
      <c r="G19" s="43" t="n">
        <v>0.126266935090909</v>
      </c>
      <c r="H19" s="43" t="n">
        <v>0.463636363636364</v>
      </c>
      <c r="I19" s="43" t="n">
        <v>0.32356045</v>
      </c>
      <c r="J19" s="40" t="n">
        <v>1</v>
      </c>
      <c r="K19" s="43" t="n">
        <v>1.12378633054546</v>
      </c>
      <c r="L19" s="43" t="n">
        <v>2.15541804694546</v>
      </c>
      <c r="M19" s="40" t="n">
        <v>2</v>
      </c>
      <c r="N19" s="40"/>
      <c r="O19" s="43" t="n">
        <v>0.155418046945455</v>
      </c>
    </row>
    <row r="20" customFormat="false" ht="15" hidden="false" customHeight="false" outlineLevel="0" collapsed="false">
      <c r="B20" s="40" t="s">
        <v>412</v>
      </c>
      <c r="C20" s="43" t="n">
        <v>8.11065089864348</v>
      </c>
      <c r="D20" s="43" t="n">
        <v>1.32454851</v>
      </c>
      <c r="E20" s="43" t="n">
        <v>3.45259504492174</v>
      </c>
      <c r="F20" s="43" t="n">
        <v>0.210322581818182</v>
      </c>
      <c r="G20" s="43" t="n">
        <v>0.126266935090909</v>
      </c>
      <c r="H20" s="43" t="n">
        <v>0.463636363636364</v>
      </c>
      <c r="I20" s="43" t="n">
        <v>1.33534929</v>
      </c>
      <c r="J20" s="40" t="n">
        <v>1</v>
      </c>
      <c r="K20" s="43" t="n">
        <v>2.13557517054545</v>
      </c>
      <c r="L20" s="43" t="n">
        <v>5.58817021546719</v>
      </c>
      <c r="M20" s="43" t="n">
        <v>5.5</v>
      </c>
      <c r="N20" s="40"/>
      <c r="O20" s="43" t="n">
        <v>0.0881702154671933</v>
      </c>
    </row>
    <row r="21" customFormat="false" ht="15" hidden="false" customHeight="false" outlineLevel="0" collapsed="false">
      <c r="B21" s="40" t="s">
        <v>413</v>
      </c>
      <c r="C21" s="43" t="n">
        <v>6.693706156</v>
      </c>
      <c r="D21" s="43" t="n">
        <v>1.83595565</v>
      </c>
      <c r="E21" s="43" t="n">
        <v>1.6307552673</v>
      </c>
      <c r="F21" s="43" t="n">
        <v>0.210322581818182</v>
      </c>
      <c r="G21" s="43" t="n">
        <v>0.126266935090909</v>
      </c>
      <c r="H21" s="43" t="n">
        <v>0.463636363636364</v>
      </c>
      <c r="I21" s="43" t="n">
        <v>1.06103445</v>
      </c>
      <c r="J21" s="40" t="n">
        <v>1</v>
      </c>
      <c r="K21" s="43" t="n">
        <v>1.86126033054545</v>
      </c>
      <c r="L21" s="43" t="n">
        <v>3.49201559784545</v>
      </c>
      <c r="M21" s="43" t="n">
        <v>3.5</v>
      </c>
      <c r="N21" s="40"/>
      <c r="O21" s="43" t="n">
        <v>-0.00798440215454566</v>
      </c>
    </row>
    <row r="22" customFormat="false" ht="15" hidden="false" customHeight="false" outlineLevel="0" collapsed="false">
      <c r="B22" s="40" t="s">
        <v>414</v>
      </c>
      <c r="C22" s="43" t="n">
        <v>2.1381967</v>
      </c>
      <c r="D22" s="43" t="n">
        <v>1.2998</v>
      </c>
      <c r="E22" s="43" t="n">
        <v>0.67056012</v>
      </c>
      <c r="F22" s="43" t="n">
        <v>0.210322581818182</v>
      </c>
      <c r="G22" s="43" t="n">
        <v>0.126266935090909</v>
      </c>
      <c r="H22" s="43" t="n">
        <v>0.463636363636364</v>
      </c>
      <c r="I22" s="40" t="n">
        <v>0</v>
      </c>
      <c r="J22" s="40"/>
      <c r="K22" s="43" t="n">
        <v>0.800225880545455</v>
      </c>
      <c r="L22" s="43" t="n">
        <v>1.47078600054546</v>
      </c>
      <c r="M22" s="43" t="n">
        <v>1.5</v>
      </c>
      <c r="N22" s="40"/>
      <c r="O22" s="43" t="n">
        <v>-0.0292139994545453</v>
      </c>
    </row>
    <row r="23" customFormat="false" ht="15" hidden="false" customHeight="false" outlineLevel="0" collapsed="false">
      <c r="B23" s="40" t="s">
        <v>415</v>
      </c>
      <c r="C23" s="43" t="n">
        <v>5.15081935</v>
      </c>
      <c r="D23" s="43" t="n">
        <v>5.15081935</v>
      </c>
      <c r="E23" s="40" t="n">
        <v>0</v>
      </c>
      <c r="F23" s="40" t="n">
        <v>0</v>
      </c>
      <c r="G23" s="40" t="n">
        <v>0</v>
      </c>
      <c r="H23" s="40" t="n">
        <v>0</v>
      </c>
      <c r="I23" s="40" t="n">
        <v>0</v>
      </c>
      <c r="J23" s="40"/>
      <c r="K23" s="40" t="n">
        <v>0</v>
      </c>
      <c r="L23" s="40" t="n">
        <v>0</v>
      </c>
      <c r="M23" s="40" t="n">
        <v>0</v>
      </c>
      <c r="N23" s="40"/>
      <c r="O23" s="40" t="n">
        <v>0</v>
      </c>
    </row>
    <row r="24" customFormat="false" ht="15" hidden="false" customHeight="false" outlineLevel="0" collapsed="false">
      <c r="B24" s="40" t="s">
        <v>416</v>
      </c>
      <c r="C24" s="43" t="n">
        <v>98.8302500162535</v>
      </c>
      <c r="D24" s="43" t="n">
        <v>19.8327310412</v>
      </c>
      <c r="E24" s="43" t="n">
        <v>31.2204959250722</v>
      </c>
      <c r="F24" s="43" t="n">
        <v>2.3135484</v>
      </c>
      <c r="G24" s="43" t="n">
        <v>1.388936286</v>
      </c>
      <c r="H24" s="43" t="n">
        <v>5.1</v>
      </c>
      <c r="I24" s="43" t="n">
        <v>14.094741078</v>
      </c>
      <c r="J24" s="40"/>
      <c r="K24" s="43" t="n">
        <v>22.897225764</v>
      </c>
      <c r="L24" s="43" t="n">
        <v>54.1177216890722</v>
      </c>
      <c r="M24" s="43" t="n">
        <v>50.5</v>
      </c>
      <c r="N24" s="40"/>
      <c r="O24" s="43" t="n">
        <v>3.61772168907224</v>
      </c>
    </row>
    <row r="25" customFormat="false" ht="15" hidden="false" customHeight="false" outlineLevel="0" collapsed="false">
      <c r="B25" s="40" t="s">
        <v>417</v>
      </c>
      <c r="C25" s="40"/>
      <c r="D25" s="40"/>
      <c r="E25" s="40"/>
      <c r="F25" s="40"/>
      <c r="G25" s="40"/>
      <c r="H25" s="40"/>
      <c r="I25" s="40"/>
      <c r="J25" s="40"/>
      <c r="K25" s="40"/>
      <c r="L25" s="40"/>
      <c r="M25" s="43" t="n">
        <v>53.8</v>
      </c>
      <c r="N25" s="40"/>
      <c r="O25" s="43" t="n">
        <v>0.317721689072236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O2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2" style="0" width="30"/>
    <col collapsed="false" customWidth="true" hidden="false" outlineLevel="0" max="15" min="3" style="0" width="13"/>
  </cols>
  <sheetData>
    <row r="2" customFormat="false" ht="19.7" hidden="false" customHeight="false" outlineLevel="0" collapsed="false">
      <c r="B2" s="42" t="s">
        <v>418</v>
      </c>
    </row>
    <row r="4" customFormat="false" ht="55.2" hidden="false" customHeight="false" outlineLevel="0" collapsed="false">
      <c r="B4" s="10" t="s">
        <v>385</v>
      </c>
      <c r="C4" s="10" t="s">
        <v>386</v>
      </c>
      <c r="D4" s="10" t="s">
        <v>387</v>
      </c>
      <c r="E4" s="10" t="s">
        <v>388</v>
      </c>
      <c r="F4" s="10" t="s">
        <v>389</v>
      </c>
      <c r="G4" s="10" t="s">
        <v>390</v>
      </c>
      <c r="H4" s="10" t="s">
        <v>391</v>
      </c>
      <c r="I4" s="10" t="s">
        <v>419</v>
      </c>
      <c r="J4" s="10" t="s">
        <v>393</v>
      </c>
      <c r="K4" s="10" t="s">
        <v>420</v>
      </c>
      <c r="L4" s="10" t="s">
        <v>395</v>
      </c>
      <c r="M4" s="10" t="s">
        <v>421</v>
      </c>
      <c r="N4" s="10" t="s">
        <v>422</v>
      </c>
      <c r="O4" s="10" t="s">
        <v>22</v>
      </c>
    </row>
    <row r="5" customFormat="false" ht="15" hidden="false" customHeight="false" outlineLevel="0" collapsed="false">
      <c r="B5" s="40" t="s">
        <v>398</v>
      </c>
      <c r="C5" s="43" t="n">
        <v>3.341827336</v>
      </c>
      <c r="D5" s="40" t="n">
        <v>0</v>
      </c>
      <c r="E5" s="43" t="n">
        <v>0.91580925</v>
      </c>
      <c r="F5" s="40" t="n">
        <v>0</v>
      </c>
      <c r="G5" s="40" t="n">
        <v>0</v>
      </c>
      <c r="H5" s="40"/>
      <c r="I5" s="43" t="n">
        <v>1.0370818</v>
      </c>
      <c r="J5" s="40" t="n">
        <v>1</v>
      </c>
      <c r="K5" s="43" t="n">
        <v>1.0370818</v>
      </c>
      <c r="L5" s="43" t="n">
        <v>1.95289105</v>
      </c>
      <c r="M5" s="43" t="n">
        <v>1.95289105</v>
      </c>
      <c r="N5" s="40" t="n">
        <v>0</v>
      </c>
      <c r="O5" s="43" t="n">
        <v>1.95289105</v>
      </c>
    </row>
    <row r="6" customFormat="false" ht="15" hidden="false" customHeight="false" outlineLevel="0" collapsed="false">
      <c r="B6" s="40" t="s">
        <v>399</v>
      </c>
      <c r="C6" s="43" t="n">
        <v>3.15605997348</v>
      </c>
      <c r="D6" s="43" t="n">
        <v>0.49481945</v>
      </c>
      <c r="E6" s="43" t="n">
        <v>2.46994667348</v>
      </c>
      <c r="F6" s="40" t="n">
        <v>0</v>
      </c>
      <c r="G6" s="40" t="n">
        <v>0</v>
      </c>
      <c r="H6" s="40"/>
      <c r="I6" s="43" t="n">
        <v>0.19129385</v>
      </c>
      <c r="J6" s="40" t="n">
        <v>1</v>
      </c>
      <c r="K6" s="43" t="n">
        <v>0.19129385</v>
      </c>
      <c r="L6" s="43" t="n">
        <v>2.66124052348</v>
      </c>
      <c r="M6" s="43" t="n">
        <v>2.272926835</v>
      </c>
      <c r="N6" s="43" t="n">
        <v>0.38831368848</v>
      </c>
      <c r="O6" s="43" t="n">
        <v>2.66124052348</v>
      </c>
    </row>
    <row r="7" customFormat="false" ht="15" hidden="false" customHeight="false" outlineLevel="0" collapsed="false">
      <c r="B7" s="40" t="s">
        <v>400</v>
      </c>
      <c r="C7" s="43" t="n">
        <v>2.8319503024</v>
      </c>
      <c r="D7" s="40" t="n">
        <v>0</v>
      </c>
      <c r="E7" s="43" t="n">
        <v>2.4312789024</v>
      </c>
      <c r="F7" s="40" t="n">
        <v>0</v>
      </c>
      <c r="G7" s="40" t="n">
        <v>0</v>
      </c>
      <c r="H7" s="40"/>
      <c r="I7" s="43" t="n">
        <v>0.4006714</v>
      </c>
      <c r="J7" s="40" t="n">
        <v>1</v>
      </c>
      <c r="K7" s="43" t="n">
        <v>0.4006714</v>
      </c>
      <c r="L7" s="43" t="n">
        <v>2.8319503024</v>
      </c>
      <c r="M7" s="43" t="n">
        <v>2.5689646</v>
      </c>
      <c r="N7" s="43" t="n">
        <v>0.2629857024</v>
      </c>
      <c r="O7" s="43" t="n">
        <v>2.8319503024</v>
      </c>
    </row>
    <row r="8" customFormat="false" ht="15" hidden="false" customHeight="false" outlineLevel="0" collapsed="false">
      <c r="B8" s="40" t="s">
        <v>401</v>
      </c>
      <c r="C8" s="43" t="n">
        <v>2.88399343</v>
      </c>
      <c r="D8" s="40" t="n">
        <v>0</v>
      </c>
      <c r="E8" s="43" t="n">
        <v>1.96447293</v>
      </c>
      <c r="F8" s="40" t="n">
        <v>0</v>
      </c>
      <c r="G8" s="40" t="n">
        <v>0</v>
      </c>
      <c r="H8" s="40"/>
      <c r="I8" s="43" t="n">
        <v>0.9195205</v>
      </c>
      <c r="J8" s="40" t="n">
        <v>1</v>
      </c>
      <c r="K8" s="43" t="n">
        <v>0.9195205</v>
      </c>
      <c r="L8" s="43" t="n">
        <v>2.88399343</v>
      </c>
      <c r="M8" s="43" t="n">
        <v>2.58446665</v>
      </c>
      <c r="N8" s="43" t="n">
        <v>0.29952678</v>
      </c>
      <c r="O8" s="43" t="n">
        <v>2.88399343</v>
      </c>
    </row>
    <row r="9" customFormat="false" ht="15" hidden="false" customHeight="false" outlineLevel="0" collapsed="false">
      <c r="B9" s="40" t="s">
        <v>402</v>
      </c>
      <c r="C9" s="43" t="n">
        <v>3.292562592</v>
      </c>
      <c r="D9" s="40" t="n">
        <v>0</v>
      </c>
      <c r="E9" s="43" t="n">
        <v>0.979014192</v>
      </c>
      <c r="F9" s="40" t="n">
        <v>0</v>
      </c>
      <c r="G9" s="40" t="n">
        <v>0</v>
      </c>
      <c r="H9" s="40"/>
      <c r="I9" s="40" t="n">
        <v>0</v>
      </c>
      <c r="J9" s="40"/>
      <c r="K9" s="40" t="n">
        <v>0</v>
      </c>
      <c r="L9" s="43" t="n">
        <v>0.979014192</v>
      </c>
      <c r="M9" s="43" t="n">
        <v>0.8280117</v>
      </c>
      <c r="N9" s="43" t="n">
        <v>0.151002492</v>
      </c>
      <c r="O9" s="43" t="n">
        <v>0.979014192</v>
      </c>
    </row>
    <row r="10" customFormat="false" ht="15" hidden="false" customHeight="false" outlineLevel="0" collapsed="false">
      <c r="B10" s="40" t="s">
        <v>403</v>
      </c>
      <c r="C10" s="43" t="n">
        <v>1.628177866</v>
      </c>
      <c r="D10" s="40" t="n">
        <v>0</v>
      </c>
      <c r="E10" s="43" t="n">
        <v>1.628177866</v>
      </c>
      <c r="F10" s="40" t="n">
        <v>0</v>
      </c>
      <c r="G10" s="40" t="n">
        <v>0</v>
      </c>
      <c r="H10" s="40"/>
      <c r="I10" s="40" t="n">
        <v>0</v>
      </c>
      <c r="J10" s="40"/>
      <c r="K10" s="40" t="n">
        <v>0</v>
      </c>
      <c r="L10" s="43" t="n">
        <v>1.628177866</v>
      </c>
      <c r="M10" s="43" t="n">
        <v>1.47843145</v>
      </c>
      <c r="N10" s="43" t="n">
        <v>0.149746416</v>
      </c>
      <c r="O10" s="43" t="n">
        <v>1.628177866</v>
      </c>
    </row>
    <row r="11" customFormat="false" ht="15" hidden="false" customHeight="false" outlineLevel="0" collapsed="false">
      <c r="B11" s="40" t="s">
        <v>404</v>
      </c>
      <c r="C11" s="43" t="n">
        <v>11.73636277195</v>
      </c>
      <c r="D11" s="43" t="n">
        <v>2.5862355812</v>
      </c>
      <c r="E11" s="43" t="n">
        <v>3.2910163685375</v>
      </c>
      <c r="F11" s="43" t="n">
        <v>0.210322581818182</v>
      </c>
      <c r="G11" s="43" t="n">
        <v>0.126266935090909</v>
      </c>
      <c r="H11" s="43" t="n">
        <v>0.463636363636364</v>
      </c>
      <c r="I11" s="43" t="n">
        <v>1.164734758</v>
      </c>
      <c r="J11" s="40" t="n">
        <v>1</v>
      </c>
      <c r="K11" s="43" t="n">
        <v>1.96496063854546</v>
      </c>
      <c r="L11" s="43" t="n">
        <v>5.25597700708296</v>
      </c>
      <c r="M11" s="43" t="n">
        <v>5.0712457206171</v>
      </c>
      <c r="N11" s="43" t="n">
        <v>0.184731286465855</v>
      </c>
      <c r="O11" s="43" t="n">
        <v>5.25597700708296</v>
      </c>
    </row>
    <row r="12" customFormat="false" ht="15" hidden="false" customHeight="false" outlineLevel="0" collapsed="false">
      <c r="B12" s="40" t="s">
        <v>405</v>
      </c>
      <c r="C12" s="43" t="n">
        <v>6.666290208</v>
      </c>
      <c r="D12" s="40" t="n">
        <v>0</v>
      </c>
      <c r="E12" s="43" t="n">
        <v>4.4511559334</v>
      </c>
      <c r="F12" s="43" t="n">
        <v>0.210322581818182</v>
      </c>
      <c r="G12" s="43" t="n">
        <v>0.126266935090909</v>
      </c>
      <c r="H12" s="43" t="n">
        <v>0.463636363636364</v>
      </c>
      <c r="I12" s="43" t="n">
        <v>1.195492774</v>
      </c>
      <c r="J12" s="40" t="n">
        <v>1</v>
      </c>
      <c r="K12" s="43" t="n">
        <v>1.99571865454545</v>
      </c>
      <c r="L12" s="43" t="n">
        <v>6.44687458794546</v>
      </c>
      <c r="M12" s="43" t="n">
        <v>1.4785454440796</v>
      </c>
      <c r="N12" s="43" t="n">
        <v>4.96832914386586</v>
      </c>
      <c r="O12" s="43" t="n">
        <v>6.44687458794546</v>
      </c>
    </row>
    <row r="13" customFormat="false" ht="15" hidden="false" customHeight="false" outlineLevel="0" collapsed="false">
      <c r="B13" s="40" t="s">
        <v>406</v>
      </c>
      <c r="C13" s="43" t="n">
        <v>9.10507024025868</v>
      </c>
      <c r="D13" s="43" t="n">
        <v>2.85985905</v>
      </c>
      <c r="E13" s="43" t="n">
        <v>1.400638952644</v>
      </c>
      <c r="F13" s="43" t="n">
        <v>0.0799924695208312</v>
      </c>
      <c r="G13" s="43" t="n">
        <v>0.048023392778051</v>
      </c>
      <c r="H13" s="43" t="n">
        <v>0.231818181818182</v>
      </c>
      <c r="I13" s="43" t="n">
        <v>0.813629409418295</v>
      </c>
      <c r="J13" s="40" t="n">
        <v>1</v>
      </c>
      <c r="K13" s="43" t="n">
        <v>1.17346345353536</v>
      </c>
      <c r="L13" s="43" t="n">
        <v>2.57410240617936</v>
      </c>
      <c r="M13" s="43" t="n">
        <v>1.99419061990675</v>
      </c>
      <c r="N13" s="43" t="n">
        <v>0.57991178627261</v>
      </c>
      <c r="O13" s="43" t="n">
        <v>2.57410240617936</v>
      </c>
    </row>
    <row r="14" customFormat="false" ht="15" hidden="false" customHeight="false" outlineLevel="0" collapsed="false">
      <c r="B14" s="40" t="s">
        <v>407</v>
      </c>
      <c r="C14" s="43" t="n">
        <v>4.61957496722132</v>
      </c>
      <c r="D14" s="40" t="n">
        <v>0</v>
      </c>
      <c r="E14" s="43" t="n">
        <v>2.282032709824</v>
      </c>
      <c r="F14" s="43" t="n">
        <v>0.130330112297351</v>
      </c>
      <c r="G14" s="43" t="n">
        <v>0.0782435423128581</v>
      </c>
      <c r="H14" s="43" t="n">
        <v>0.231818181818182</v>
      </c>
      <c r="I14" s="43" t="n">
        <v>1.32562993658171</v>
      </c>
      <c r="J14" s="40" t="n">
        <v>1</v>
      </c>
      <c r="K14" s="43" t="n">
        <v>1.7660217730101</v>
      </c>
      <c r="L14" s="43" t="n">
        <v>4.0480544828341</v>
      </c>
      <c r="M14" s="43" t="n">
        <v>1.06647874113685</v>
      </c>
      <c r="N14" s="43" t="n">
        <v>2.98157574169724</v>
      </c>
      <c r="O14" s="43" t="n">
        <v>4.0480544828341</v>
      </c>
    </row>
    <row r="15" customFormat="false" ht="15" hidden="false" customHeight="false" outlineLevel="0" collapsed="false">
      <c r="B15" s="40" t="s">
        <v>408</v>
      </c>
      <c r="C15" s="43" t="n">
        <v>8.9409346318</v>
      </c>
      <c r="D15" s="43" t="n">
        <v>3.8</v>
      </c>
      <c r="E15" s="43" t="n">
        <v>0.50278987484</v>
      </c>
      <c r="F15" s="43" t="n">
        <v>0.210322581818182</v>
      </c>
      <c r="G15" s="43" t="n">
        <v>0.126266935090909</v>
      </c>
      <c r="H15" s="43" t="n">
        <v>0.463636363636364</v>
      </c>
      <c r="I15" s="43" t="n">
        <v>1.131342336</v>
      </c>
      <c r="J15" s="40" t="n">
        <v>1</v>
      </c>
      <c r="K15" s="43" t="n">
        <v>1.93156821654545</v>
      </c>
      <c r="L15" s="43" t="n">
        <v>2.43435809138545</v>
      </c>
      <c r="M15" s="43" t="n">
        <v>1.9571920689196</v>
      </c>
      <c r="N15" s="43" t="n">
        <v>0.477166022465855</v>
      </c>
      <c r="O15" s="43" t="n">
        <v>2.43435809138545</v>
      </c>
    </row>
    <row r="16" customFormat="false" ht="15" hidden="false" customHeight="false" outlineLevel="0" collapsed="false">
      <c r="B16" s="40" t="s">
        <v>409</v>
      </c>
      <c r="C16" s="43" t="n">
        <v>5.8851998495</v>
      </c>
      <c r="D16" s="40" t="n">
        <v>0</v>
      </c>
      <c r="E16" s="43" t="n">
        <v>0.615332180325</v>
      </c>
      <c r="F16" s="43" t="n">
        <v>0.210322581818182</v>
      </c>
      <c r="G16" s="43" t="n">
        <v>0.126266935090909</v>
      </c>
      <c r="H16" s="43" t="n">
        <v>0.463636363636364</v>
      </c>
      <c r="I16" s="43" t="n">
        <v>1.053717124</v>
      </c>
      <c r="J16" s="40" t="n">
        <v>1</v>
      </c>
      <c r="K16" s="43" t="n">
        <v>1.85394300454545</v>
      </c>
      <c r="L16" s="43" t="n">
        <v>2.46927518487046</v>
      </c>
      <c r="M16" s="43" t="n">
        <v>1.5946209872046</v>
      </c>
      <c r="N16" s="43" t="n">
        <v>0.874654197665855</v>
      </c>
      <c r="O16" s="43" t="n">
        <v>2.46927518487046</v>
      </c>
    </row>
    <row r="17" customFormat="false" ht="15" hidden="false" customHeight="false" outlineLevel="0" collapsed="false">
      <c r="B17" s="40" t="s">
        <v>410</v>
      </c>
      <c r="C17" s="43" t="n">
        <v>6.346248615</v>
      </c>
      <c r="D17" s="40" t="n">
        <v>0</v>
      </c>
      <c r="E17" s="43" t="n">
        <v>1.170643127</v>
      </c>
      <c r="F17" s="43" t="n">
        <v>0.210322581818182</v>
      </c>
      <c r="G17" s="43" t="n">
        <v>0.126266935090909</v>
      </c>
      <c r="H17" s="43" t="n">
        <v>0.463636363636364</v>
      </c>
      <c r="I17" s="43" t="n">
        <v>1.20525785</v>
      </c>
      <c r="J17" s="40" t="n">
        <v>1</v>
      </c>
      <c r="K17" s="43" t="n">
        <v>2.00548373054545</v>
      </c>
      <c r="L17" s="43" t="n">
        <v>3.17612685754545</v>
      </c>
      <c r="M17" s="43" t="n">
        <v>2.9913955710796</v>
      </c>
      <c r="N17" s="43" t="n">
        <v>0.184731286465855</v>
      </c>
      <c r="O17" s="43" t="n">
        <v>3.17612685754546</v>
      </c>
    </row>
    <row r="18" customFormat="false" ht="15" hidden="false" customHeight="false" outlineLevel="0" collapsed="false">
      <c r="B18" s="40" t="s">
        <v>234</v>
      </c>
      <c r="C18" s="43" t="n">
        <v>3.28109028</v>
      </c>
      <c r="D18" s="43" t="n">
        <v>0.238965</v>
      </c>
      <c r="E18" s="43" t="n">
        <v>0.332644816</v>
      </c>
      <c r="F18" s="43" t="n">
        <v>0.210322581818182</v>
      </c>
      <c r="G18" s="43" t="n">
        <v>0.126266935090909</v>
      </c>
      <c r="H18" s="43" t="n">
        <v>0.463636363636364</v>
      </c>
      <c r="I18" s="43" t="n">
        <v>0.93642515</v>
      </c>
      <c r="J18" s="40" t="n">
        <v>1</v>
      </c>
      <c r="K18" s="43" t="n">
        <v>1.73665103054545</v>
      </c>
      <c r="L18" s="43" t="n">
        <v>2.06929584654546</v>
      </c>
      <c r="M18" s="43" t="n">
        <v>1.8458929040796</v>
      </c>
      <c r="N18" s="43" t="n">
        <v>0.223402942465855</v>
      </c>
      <c r="O18" s="43" t="n">
        <v>2.06929584654546</v>
      </c>
    </row>
    <row r="19" customFormat="false" ht="15" hidden="false" customHeight="false" outlineLevel="0" collapsed="false">
      <c r="B19" s="40" t="s">
        <v>411</v>
      </c>
      <c r="C19" s="43" t="n">
        <v>3.021533848</v>
      </c>
      <c r="D19" s="43" t="n">
        <v>0.24172845</v>
      </c>
      <c r="E19" s="43" t="n">
        <v>1.0316317164</v>
      </c>
      <c r="F19" s="43" t="n">
        <v>0.210322581818182</v>
      </c>
      <c r="G19" s="43" t="n">
        <v>0.126266935090909</v>
      </c>
      <c r="H19" s="43" t="n">
        <v>0.463636363636364</v>
      </c>
      <c r="I19" s="43" t="n">
        <v>0.32356045</v>
      </c>
      <c r="J19" s="40" t="n">
        <v>1</v>
      </c>
      <c r="K19" s="43" t="n">
        <v>1.12378633054546</v>
      </c>
      <c r="L19" s="43" t="n">
        <v>2.15541804694546</v>
      </c>
      <c r="M19" s="43" t="n">
        <v>1.4005565340796</v>
      </c>
      <c r="N19" s="43" t="n">
        <v>0.754861512865855</v>
      </c>
      <c r="O19" s="43" t="n">
        <v>2.15541804694546</v>
      </c>
    </row>
    <row r="20" customFormat="false" ht="15" hidden="false" customHeight="false" outlineLevel="0" collapsed="false">
      <c r="B20" s="40" t="s">
        <v>412</v>
      </c>
      <c r="C20" s="43" t="n">
        <v>8.11065089864348</v>
      </c>
      <c r="D20" s="43" t="n">
        <v>1.32454851</v>
      </c>
      <c r="E20" s="43" t="n">
        <v>3.45259504492174</v>
      </c>
      <c r="F20" s="43" t="n">
        <v>0.210322581818182</v>
      </c>
      <c r="G20" s="43" t="n">
        <v>0.126266935090909</v>
      </c>
      <c r="H20" s="43" t="n">
        <v>0.463636363636364</v>
      </c>
      <c r="I20" s="43" t="n">
        <v>1.33534929</v>
      </c>
      <c r="J20" s="40" t="n">
        <v>1</v>
      </c>
      <c r="K20" s="43" t="n">
        <v>2.13557517054545</v>
      </c>
      <c r="L20" s="43" t="n">
        <v>5.58817021546719</v>
      </c>
      <c r="M20" s="43" t="n">
        <v>3.8923058240796</v>
      </c>
      <c r="N20" s="43" t="n">
        <v>1.69586439138759</v>
      </c>
      <c r="O20" s="43" t="n">
        <v>5.58817021546719</v>
      </c>
    </row>
    <row r="21" customFormat="false" ht="15" hidden="false" customHeight="false" outlineLevel="0" collapsed="false">
      <c r="B21" s="40" t="s">
        <v>413</v>
      </c>
      <c r="C21" s="43" t="n">
        <v>6.693706156</v>
      </c>
      <c r="D21" s="43" t="n">
        <v>1.83595565</v>
      </c>
      <c r="E21" s="43" t="n">
        <v>1.6307552673</v>
      </c>
      <c r="F21" s="43" t="n">
        <v>0.210322581818182</v>
      </c>
      <c r="G21" s="43" t="n">
        <v>0.126266935090909</v>
      </c>
      <c r="H21" s="43" t="n">
        <v>0.463636363636364</v>
      </c>
      <c r="I21" s="43" t="n">
        <v>1.06103445</v>
      </c>
      <c r="J21" s="40" t="n">
        <v>1</v>
      </c>
      <c r="K21" s="43" t="n">
        <v>1.86126033054545</v>
      </c>
      <c r="L21" s="43" t="n">
        <v>3.49201559784545</v>
      </c>
      <c r="M21" s="43" t="n">
        <v>2.6468650625796</v>
      </c>
      <c r="N21" s="43" t="n">
        <v>0.845150535265855</v>
      </c>
      <c r="O21" s="43" t="n">
        <v>3.49201559784546</v>
      </c>
    </row>
    <row r="22" customFormat="false" ht="15" hidden="false" customHeight="false" outlineLevel="0" collapsed="false">
      <c r="B22" s="40" t="s">
        <v>414</v>
      </c>
      <c r="C22" s="43" t="n">
        <v>2.1381967</v>
      </c>
      <c r="D22" s="43" t="n">
        <v>1.2998</v>
      </c>
      <c r="E22" s="43" t="n">
        <v>0.67056012</v>
      </c>
      <c r="F22" s="43" t="n">
        <v>0.210322581818182</v>
      </c>
      <c r="G22" s="43" t="n">
        <v>0.126266935090909</v>
      </c>
      <c r="H22" s="43" t="n">
        <v>0.463636363636364</v>
      </c>
      <c r="I22" s="40" t="n">
        <v>0</v>
      </c>
      <c r="J22" s="40"/>
      <c r="K22" s="43" t="n">
        <v>0.800225880545455</v>
      </c>
      <c r="L22" s="43" t="n">
        <v>1.47078600054546</v>
      </c>
      <c r="M22" s="43" t="n">
        <v>1.2860547140796</v>
      </c>
      <c r="N22" s="43" t="n">
        <v>0.184731286465855</v>
      </c>
      <c r="O22" s="43" t="n">
        <v>1.47078600054546</v>
      </c>
    </row>
    <row r="23" customFormat="false" ht="15" hidden="false" customHeight="false" outlineLevel="0" collapsed="false">
      <c r="B23" s="40" t="s">
        <v>415</v>
      </c>
      <c r="C23" s="43" t="n">
        <v>5.15081935</v>
      </c>
      <c r="D23" s="43" t="n">
        <v>5.15081935</v>
      </c>
      <c r="E23" s="40" t="n">
        <v>0</v>
      </c>
      <c r="F23" s="40" t="n">
        <v>0</v>
      </c>
      <c r="G23" s="40" t="n">
        <v>0</v>
      </c>
      <c r="H23" s="40" t="n">
        <v>0</v>
      </c>
      <c r="I23" s="40" t="n">
        <v>0</v>
      </c>
      <c r="J23" s="40"/>
      <c r="K23" s="40" t="n">
        <v>0</v>
      </c>
      <c r="L23" s="40" t="n">
        <v>0</v>
      </c>
      <c r="M23" s="40" t="n">
        <v>0</v>
      </c>
      <c r="N23" s="40" t="n">
        <v>0</v>
      </c>
      <c r="O23" s="40" t="n">
        <v>0</v>
      </c>
    </row>
    <row r="24" customFormat="false" ht="15" hidden="false" customHeight="false" outlineLevel="0" collapsed="false">
      <c r="B24" s="40" t="s">
        <v>416</v>
      </c>
      <c r="C24" s="43" t="n">
        <v>98.8302500162535</v>
      </c>
      <c r="D24" s="43" t="n">
        <v>19.8327310412</v>
      </c>
      <c r="E24" s="43" t="n">
        <v>31.2204959250722</v>
      </c>
      <c r="F24" s="43" t="n">
        <v>2.3135484</v>
      </c>
      <c r="G24" s="43" t="n">
        <v>1.388936286</v>
      </c>
      <c r="H24" s="43" t="n">
        <v>5.1</v>
      </c>
      <c r="I24" s="43" t="n">
        <v>14.094741078</v>
      </c>
      <c r="J24" s="40"/>
      <c r="K24" s="43" t="n">
        <v>22.897225764</v>
      </c>
      <c r="L24" s="43" t="n">
        <v>54.1177216890722</v>
      </c>
      <c r="M24" s="43" t="n">
        <v>38.9110364768421</v>
      </c>
      <c r="N24" s="43" t="n">
        <v>15.2066852122301</v>
      </c>
      <c r="O24" s="43" t="n">
        <v>54.1177216890723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K136"/>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2" min="2" style="0" width="30"/>
    <col collapsed="false" customWidth="true" hidden="false" outlineLevel="0" max="11" min="3" style="0" width="13"/>
  </cols>
  <sheetData>
    <row r="2" customFormat="false" ht="19.7" hidden="false" customHeight="false" outlineLevel="0" collapsed="false">
      <c r="B2" s="42" t="s">
        <v>423</v>
      </c>
    </row>
    <row r="4" customFormat="false" ht="41.75" hidden="false" customHeight="false" outlineLevel="0" collapsed="false">
      <c r="B4" s="10" t="s">
        <v>157</v>
      </c>
      <c r="C4" s="10" t="s">
        <v>424</v>
      </c>
      <c r="D4" s="10" t="s">
        <v>425</v>
      </c>
      <c r="E4" s="10" t="s">
        <v>426</v>
      </c>
      <c r="F4" s="10" t="s">
        <v>427</v>
      </c>
      <c r="G4" s="10" t="s">
        <v>159</v>
      </c>
      <c r="H4" s="10" t="s">
        <v>428</v>
      </c>
      <c r="I4" s="10" t="s">
        <v>429</v>
      </c>
      <c r="J4" s="10" t="s">
        <v>430</v>
      </c>
      <c r="K4" s="10" t="s">
        <v>431</v>
      </c>
    </row>
    <row r="5" customFormat="false" ht="15" hidden="false" customHeight="false" outlineLevel="0" collapsed="false">
      <c r="B5" s="40" t="s">
        <v>166</v>
      </c>
      <c r="C5" s="40" t="s">
        <v>432</v>
      </c>
      <c r="D5" s="40" t="s">
        <v>404</v>
      </c>
      <c r="E5" s="40" t="s">
        <v>168</v>
      </c>
      <c r="F5" s="40" t="s">
        <v>433</v>
      </c>
      <c r="G5" s="40" t="s">
        <v>151</v>
      </c>
      <c r="H5" s="40" t="n">
        <v>1</v>
      </c>
      <c r="I5" s="40" t="s">
        <v>434</v>
      </c>
      <c r="J5" s="43" t="n">
        <v>0.17048975</v>
      </c>
      <c r="K5" s="43" t="n">
        <v>0.0681959</v>
      </c>
    </row>
    <row r="6" customFormat="false" ht="15" hidden="false" customHeight="false" outlineLevel="0" collapsed="false">
      <c r="B6" s="40" t="s">
        <v>435</v>
      </c>
      <c r="C6" s="40" t="s">
        <v>436</v>
      </c>
      <c r="D6" s="40" t="s">
        <v>404</v>
      </c>
      <c r="E6" s="40" t="s">
        <v>168</v>
      </c>
      <c r="F6" s="40" t="s">
        <v>433</v>
      </c>
      <c r="G6" s="40" t="s">
        <v>151</v>
      </c>
      <c r="H6" s="40" t="n">
        <v>1</v>
      </c>
      <c r="I6" s="40" t="s">
        <v>437</v>
      </c>
      <c r="J6" s="43" t="n">
        <v>0.20285325</v>
      </c>
      <c r="K6" s="40" t="n">
        <v>0</v>
      </c>
    </row>
    <row r="7" customFormat="false" ht="15" hidden="false" customHeight="false" outlineLevel="0" collapsed="false">
      <c r="B7" s="40" t="s">
        <v>169</v>
      </c>
      <c r="C7" s="40" t="s">
        <v>438</v>
      </c>
      <c r="D7" s="40" t="s">
        <v>404</v>
      </c>
      <c r="E7" s="40" t="s">
        <v>168</v>
      </c>
      <c r="F7" s="40" t="s">
        <v>433</v>
      </c>
      <c r="G7" s="40" t="s">
        <v>151</v>
      </c>
      <c r="H7" s="40" t="n">
        <v>1</v>
      </c>
      <c r="I7" s="40" t="s">
        <v>434</v>
      </c>
      <c r="J7" s="43" t="n">
        <v>0.170501585</v>
      </c>
      <c r="K7" s="43" t="n">
        <v>0.068200634</v>
      </c>
    </row>
    <row r="8" customFormat="false" ht="15" hidden="false" customHeight="false" outlineLevel="0" collapsed="false">
      <c r="B8" s="40" t="s">
        <v>171</v>
      </c>
      <c r="C8" s="40" t="s">
        <v>439</v>
      </c>
      <c r="D8" s="40" t="s">
        <v>404</v>
      </c>
      <c r="E8" s="40" t="s">
        <v>168</v>
      </c>
      <c r="F8" s="40" t="s">
        <v>433</v>
      </c>
      <c r="G8" s="40" t="s">
        <v>151</v>
      </c>
      <c r="H8" s="40" t="n">
        <v>1</v>
      </c>
      <c r="I8" s="40" t="s">
        <v>440</v>
      </c>
      <c r="J8" s="43" t="n">
        <v>0.201585</v>
      </c>
      <c r="K8" s="43" t="n">
        <v>0.201585</v>
      </c>
    </row>
    <row r="9" customFormat="false" ht="15" hidden="false" customHeight="false" outlineLevel="0" collapsed="false">
      <c r="B9" s="40" t="s">
        <v>172</v>
      </c>
      <c r="C9" s="40" t="s">
        <v>441</v>
      </c>
      <c r="D9" s="40" t="s">
        <v>404</v>
      </c>
      <c r="E9" s="40" t="s">
        <v>174</v>
      </c>
      <c r="F9" s="40" t="s">
        <v>433</v>
      </c>
      <c r="G9" s="40" t="s">
        <v>151</v>
      </c>
      <c r="H9" s="40" t="n">
        <v>1</v>
      </c>
      <c r="I9" s="40" t="s">
        <v>434</v>
      </c>
      <c r="J9" s="43" t="n">
        <v>0.20285325</v>
      </c>
      <c r="K9" s="43" t="n">
        <v>0.0811413</v>
      </c>
    </row>
    <row r="10" customFormat="false" ht="15" hidden="false" customHeight="false" outlineLevel="0" collapsed="false">
      <c r="B10" s="40" t="s">
        <v>175</v>
      </c>
      <c r="C10" s="40" t="s">
        <v>442</v>
      </c>
      <c r="D10" s="40" t="s">
        <v>404</v>
      </c>
      <c r="E10" s="40" t="s">
        <v>174</v>
      </c>
      <c r="F10" s="40" t="s">
        <v>433</v>
      </c>
      <c r="G10" s="40" t="s">
        <v>151</v>
      </c>
      <c r="H10" s="40" t="n">
        <v>1</v>
      </c>
      <c r="I10" s="40" t="s">
        <v>434</v>
      </c>
      <c r="J10" s="43" t="n">
        <v>0.201585</v>
      </c>
      <c r="K10" s="43" t="n">
        <v>0.080634</v>
      </c>
    </row>
    <row r="11" customFormat="false" ht="15" hidden="false" customHeight="false" outlineLevel="0" collapsed="false">
      <c r="B11" s="40" t="s">
        <v>176</v>
      </c>
      <c r="C11" s="40" t="s">
        <v>442</v>
      </c>
      <c r="D11" s="40" t="s">
        <v>404</v>
      </c>
      <c r="E11" s="40" t="s">
        <v>174</v>
      </c>
      <c r="F11" s="40" t="s">
        <v>433</v>
      </c>
      <c r="G11" s="40" t="s">
        <v>151</v>
      </c>
      <c r="H11" s="40" t="n">
        <v>1</v>
      </c>
      <c r="I11" s="40" t="s">
        <v>434</v>
      </c>
      <c r="J11" s="43" t="n">
        <v>0.23168925</v>
      </c>
      <c r="K11" s="43" t="n">
        <v>0.0926757</v>
      </c>
    </row>
    <row r="12" customFormat="false" ht="15" hidden="false" customHeight="false" outlineLevel="0" collapsed="false">
      <c r="B12" s="40" t="s">
        <v>177</v>
      </c>
      <c r="C12" s="40" t="s">
        <v>443</v>
      </c>
      <c r="D12" s="40" t="s">
        <v>404</v>
      </c>
      <c r="E12" s="40" t="s">
        <v>174</v>
      </c>
      <c r="F12" s="40" t="s">
        <v>433</v>
      </c>
      <c r="G12" s="40" t="s">
        <v>151</v>
      </c>
      <c r="H12" s="40" t="n">
        <v>1</v>
      </c>
      <c r="I12" s="40" t="s">
        <v>434</v>
      </c>
      <c r="J12" s="43" t="n">
        <v>0.20285325</v>
      </c>
      <c r="K12" s="43" t="n">
        <v>0.0811413</v>
      </c>
    </row>
    <row r="13" customFormat="false" ht="15" hidden="false" customHeight="false" outlineLevel="0" collapsed="false">
      <c r="B13" s="40" t="s">
        <v>178</v>
      </c>
      <c r="C13" s="40" t="s">
        <v>443</v>
      </c>
      <c r="D13" s="40" t="s">
        <v>404</v>
      </c>
      <c r="E13" s="40" t="s">
        <v>174</v>
      </c>
      <c r="F13" s="40" t="s">
        <v>433</v>
      </c>
      <c r="G13" s="40" t="s">
        <v>151</v>
      </c>
      <c r="H13" s="40" t="n">
        <v>1</v>
      </c>
      <c r="I13" s="40" t="s">
        <v>434</v>
      </c>
      <c r="J13" s="43" t="n">
        <v>0.20285325</v>
      </c>
      <c r="K13" s="43" t="n">
        <v>0.0811413</v>
      </c>
    </row>
    <row r="14" customFormat="false" ht="15" hidden="false" customHeight="false" outlineLevel="0" collapsed="false">
      <c r="B14" s="40" t="s">
        <v>179</v>
      </c>
      <c r="C14" s="40" t="s">
        <v>443</v>
      </c>
      <c r="D14" s="40" t="s">
        <v>404</v>
      </c>
      <c r="E14" s="40" t="s">
        <v>174</v>
      </c>
      <c r="F14" s="40" t="s">
        <v>433</v>
      </c>
      <c r="G14" s="40" t="s">
        <v>151</v>
      </c>
      <c r="H14" s="40" t="n">
        <v>1</v>
      </c>
      <c r="I14" s="40" t="s">
        <v>434</v>
      </c>
      <c r="J14" s="43" t="n">
        <v>0.17048975</v>
      </c>
      <c r="K14" s="43" t="n">
        <v>0.0681959</v>
      </c>
    </row>
    <row r="15" customFormat="false" ht="15" hidden="false" customHeight="false" outlineLevel="0" collapsed="false">
      <c r="B15" s="40" t="s">
        <v>180</v>
      </c>
      <c r="C15" s="40" t="s">
        <v>436</v>
      </c>
      <c r="D15" s="40" t="s">
        <v>404</v>
      </c>
      <c r="E15" s="40" t="s">
        <v>181</v>
      </c>
      <c r="F15" s="40" t="s">
        <v>433</v>
      </c>
      <c r="G15" s="40" t="s">
        <v>151</v>
      </c>
      <c r="H15" s="40" t="n">
        <v>1</v>
      </c>
      <c r="I15" s="40" t="s">
        <v>440</v>
      </c>
      <c r="J15" s="43" t="n">
        <v>0.20285325</v>
      </c>
      <c r="K15" s="43" t="n">
        <v>0.20285325</v>
      </c>
    </row>
    <row r="16" customFormat="false" ht="15" hidden="false" customHeight="false" outlineLevel="0" collapsed="false">
      <c r="B16" s="40" t="s">
        <v>182</v>
      </c>
      <c r="C16" s="40" t="s">
        <v>439</v>
      </c>
      <c r="D16" s="40" t="s">
        <v>404</v>
      </c>
      <c r="E16" s="40" t="s">
        <v>181</v>
      </c>
      <c r="F16" s="40" t="s">
        <v>433</v>
      </c>
      <c r="G16" s="40" t="s">
        <v>151</v>
      </c>
      <c r="H16" s="40" t="n">
        <v>1</v>
      </c>
      <c r="I16" s="40" t="s">
        <v>440</v>
      </c>
      <c r="J16" s="43" t="n">
        <v>0.23168925</v>
      </c>
      <c r="K16" s="43" t="n">
        <v>0.23168925</v>
      </c>
    </row>
    <row r="17" customFormat="false" ht="15" hidden="false" customHeight="false" outlineLevel="0" collapsed="false">
      <c r="B17" s="40" t="s">
        <v>183</v>
      </c>
      <c r="C17" s="40" t="s">
        <v>444</v>
      </c>
      <c r="D17" s="40" t="s">
        <v>404</v>
      </c>
      <c r="E17" s="40" t="s">
        <v>184</v>
      </c>
      <c r="F17" s="40" t="s">
        <v>433</v>
      </c>
      <c r="G17" s="40" t="s">
        <v>151</v>
      </c>
      <c r="H17" s="40" t="n">
        <v>1</v>
      </c>
      <c r="I17" s="40" t="s">
        <v>440</v>
      </c>
      <c r="J17" s="43" t="n">
        <v>0.2244936</v>
      </c>
      <c r="K17" s="43" t="n">
        <v>0.2244936</v>
      </c>
    </row>
    <row r="18" customFormat="false" ht="15" hidden="false" customHeight="false" outlineLevel="0" collapsed="false">
      <c r="B18" s="40" t="s">
        <v>185</v>
      </c>
      <c r="C18" s="40" t="s">
        <v>445</v>
      </c>
      <c r="D18" s="40" t="s">
        <v>404</v>
      </c>
      <c r="E18" s="40" t="s">
        <v>184</v>
      </c>
      <c r="F18" s="40" t="s">
        <v>433</v>
      </c>
      <c r="G18" s="40" t="s">
        <v>151</v>
      </c>
      <c r="H18" s="40" t="n">
        <v>1</v>
      </c>
      <c r="I18" s="40" t="s">
        <v>434</v>
      </c>
      <c r="J18" s="43" t="n">
        <v>0.20285325</v>
      </c>
      <c r="K18" s="43" t="n">
        <v>0.060855975</v>
      </c>
    </row>
    <row r="19" customFormat="false" ht="15" hidden="false" customHeight="false" outlineLevel="0" collapsed="false">
      <c r="B19" s="40" t="s">
        <v>187</v>
      </c>
      <c r="C19" s="40" t="s">
        <v>446</v>
      </c>
      <c r="D19" s="40" t="s">
        <v>404</v>
      </c>
      <c r="E19" s="40" t="s">
        <v>184</v>
      </c>
      <c r="F19" s="40" t="s">
        <v>433</v>
      </c>
      <c r="G19" s="40" t="s">
        <v>151</v>
      </c>
      <c r="H19" s="40" t="n">
        <v>1</v>
      </c>
      <c r="I19" s="40" t="s">
        <v>434</v>
      </c>
      <c r="J19" s="43" t="n">
        <v>0.23168925</v>
      </c>
      <c r="K19" s="43" t="n">
        <v>0.0926757</v>
      </c>
    </row>
    <row r="20" customFormat="false" ht="15" hidden="false" customHeight="false" outlineLevel="0" collapsed="false">
      <c r="B20" s="40" t="s">
        <v>188</v>
      </c>
      <c r="C20" s="40" t="s">
        <v>436</v>
      </c>
      <c r="D20" s="40" t="s">
        <v>404</v>
      </c>
      <c r="E20" s="40" t="s">
        <v>184</v>
      </c>
      <c r="F20" s="40" t="s">
        <v>433</v>
      </c>
      <c r="G20" s="40" t="s">
        <v>151</v>
      </c>
      <c r="H20" s="40" t="n">
        <v>1</v>
      </c>
      <c r="I20" s="40" t="s">
        <v>440</v>
      </c>
      <c r="J20" s="43" t="n">
        <v>0.170501585</v>
      </c>
      <c r="K20" s="43" t="n">
        <v>0.12787618875</v>
      </c>
    </row>
    <row r="21" customFormat="false" ht="15" hidden="false" customHeight="false" outlineLevel="0" collapsed="false">
      <c r="B21" s="40" t="s">
        <v>190</v>
      </c>
      <c r="C21" s="40" t="s">
        <v>438</v>
      </c>
      <c r="D21" s="40" t="s">
        <v>404</v>
      </c>
      <c r="E21" s="40" t="s">
        <v>184</v>
      </c>
      <c r="F21" s="40" t="s">
        <v>433</v>
      </c>
      <c r="G21" s="40" t="s">
        <v>151</v>
      </c>
      <c r="H21" s="40" t="n">
        <v>1</v>
      </c>
      <c r="I21" s="40" t="s">
        <v>434</v>
      </c>
      <c r="J21" s="43" t="n">
        <v>0.17048975</v>
      </c>
      <c r="K21" s="43" t="n">
        <v>0.051146925</v>
      </c>
    </row>
    <row r="22" customFormat="false" ht="15" hidden="false" customHeight="false" outlineLevel="0" collapsed="false">
      <c r="B22" s="40" t="s">
        <v>191</v>
      </c>
      <c r="C22" s="40" t="s">
        <v>438</v>
      </c>
      <c r="D22" s="40" t="s">
        <v>404</v>
      </c>
      <c r="E22" s="40" t="s">
        <v>184</v>
      </c>
      <c r="F22" s="40" t="s">
        <v>433</v>
      </c>
      <c r="G22" s="40" t="s">
        <v>151</v>
      </c>
      <c r="H22" s="40" t="n">
        <v>1</v>
      </c>
      <c r="I22" s="40" t="s">
        <v>434</v>
      </c>
      <c r="J22" s="43" t="n">
        <v>0.17048975</v>
      </c>
      <c r="K22" s="43" t="n">
        <v>0.051146925</v>
      </c>
    </row>
    <row r="23" customFormat="false" ht="15" hidden="false" customHeight="false" outlineLevel="0" collapsed="false">
      <c r="B23" s="40" t="s">
        <v>192</v>
      </c>
      <c r="C23" s="40" t="s">
        <v>438</v>
      </c>
      <c r="D23" s="40" t="s">
        <v>404</v>
      </c>
      <c r="E23" s="40" t="s">
        <v>184</v>
      </c>
      <c r="F23" s="40" t="s">
        <v>433</v>
      </c>
      <c r="G23" s="40" t="s">
        <v>151</v>
      </c>
      <c r="H23" s="40" t="n">
        <v>1</v>
      </c>
      <c r="I23" s="40" t="s">
        <v>434</v>
      </c>
      <c r="J23" s="43" t="n">
        <v>0.20285325</v>
      </c>
      <c r="K23" s="43" t="n">
        <v>0.060855975</v>
      </c>
    </row>
    <row r="24" customFormat="false" ht="15" hidden="false" customHeight="false" outlineLevel="0" collapsed="false">
      <c r="B24" s="40" t="s">
        <v>193</v>
      </c>
      <c r="C24" s="40" t="s">
        <v>439</v>
      </c>
      <c r="D24" s="40" t="s">
        <v>404</v>
      </c>
      <c r="E24" s="40" t="s">
        <v>184</v>
      </c>
      <c r="F24" s="40" t="s">
        <v>433</v>
      </c>
      <c r="G24" s="40" t="s">
        <v>151</v>
      </c>
      <c r="H24" s="40" t="n">
        <v>1</v>
      </c>
      <c r="I24" s="40" t="s">
        <v>440</v>
      </c>
      <c r="J24" s="43" t="n">
        <v>0.20285325</v>
      </c>
      <c r="K24" s="43" t="n">
        <v>0.20285325</v>
      </c>
    </row>
    <row r="25" customFormat="false" ht="15" hidden="false" customHeight="false" outlineLevel="0" collapsed="false">
      <c r="B25" s="40" t="s">
        <v>194</v>
      </c>
      <c r="C25" s="40" t="s">
        <v>439</v>
      </c>
      <c r="D25" s="40" t="s">
        <v>404</v>
      </c>
      <c r="E25" s="40" t="s">
        <v>195</v>
      </c>
      <c r="F25" s="40" t="s">
        <v>433</v>
      </c>
      <c r="G25" s="40" t="s">
        <v>151</v>
      </c>
      <c r="H25" s="40" t="n">
        <v>1</v>
      </c>
      <c r="I25" s="40" t="s">
        <v>440</v>
      </c>
      <c r="J25" s="43" t="n">
        <v>0.170501585</v>
      </c>
      <c r="K25" s="43" t="n">
        <v>0.170501585</v>
      </c>
    </row>
    <row r="26" customFormat="false" ht="15" hidden="false" customHeight="false" outlineLevel="0" collapsed="false">
      <c r="B26" s="40" t="s">
        <v>196</v>
      </c>
      <c r="C26" s="40" t="s">
        <v>447</v>
      </c>
      <c r="D26" s="40" t="s">
        <v>404</v>
      </c>
      <c r="E26" s="40" t="s">
        <v>197</v>
      </c>
      <c r="F26" s="40" t="s">
        <v>433</v>
      </c>
      <c r="G26" s="40" t="s">
        <v>151</v>
      </c>
      <c r="H26" s="40" t="n">
        <v>1</v>
      </c>
      <c r="I26" s="40" t="s">
        <v>440</v>
      </c>
      <c r="J26" s="43" t="n">
        <v>0.170501585</v>
      </c>
      <c r="K26" s="43" t="n">
        <v>0.170501585</v>
      </c>
    </row>
    <row r="27" customFormat="false" ht="15" hidden="false" customHeight="false" outlineLevel="0" collapsed="false">
      <c r="B27" s="40" t="s">
        <v>198</v>
      </c>
      <c r="C27" s="40" t="s">
        <v>448</v>
      </c>
      <c r="D27" s="40" t="s">
        <v>449</v>
      </c>
      <c r="E27" s="40" t="s">
        <v>199</v>
      </c>
      <c r="F27" s="40" t="s">
        <v>433</v>
      </c>
      <c r="G27" s="40" t="s">
        <v>450</v>
      </c>
      <c r="H27" s="40" t="n">
        <v>1</v>
      </c>
      <c r="I27" s="40" t="s">
        <v>434</v>
      </c>
      <c r="J27" s="43" t="n">
        <v>0.07326</v>
      </c>
      <c r="K27" s="43" t="n">
        <v>0.07326</v>
      </c>
    </row>
    <row r="28" customFormat="false" ht="15" hidden="false" customHeight="false" outlineLevel="0" collapsed="false">
      <c r="B28" s="40" t="s">
        <v>200</v>
      </c>
      <c r="C28" s="40" t="s">
        <v>451</v>
      </c>
      <c r="D28" s="40" t="s">
        <v>449</v>
      </c>
      <c r="E28" s="40" t="s">
        <v>199</v>
      </c>
      <c r="F28" s="40" t="s">
        <v>433</v>
      </c>
      <c r="G28" s="40" t="s">
        <v>450</v>
      </c>
      <c r="H28" s="40" t="n">
        <v>1</v>
      </c>
      <c r="I28" s="40" t="s">
        <v>434</v>
      </c>
      <c r="J28" s="43" t="n">
        <v>0.07326</v>
      </c>
      <c r="K28" s="43" t="n">
        <v>0.07326</v>
      </c>
    </row>
    <row r="29" customFormat="false" ht="15" hidden="false" customHeight="false" outlineLevel="0" collapsed="false">
      <c r="B29" s="40" t="s">
        <v>201</v>
      </c>
      <c r="C29" s="40" t="s">
        <v>442</v>
      </c>
      <c r="D29" s="40" t="s">
        <v>449</v>
      </c>
      <c r="E29" s="40" t="s">
        <v>199</v>
      </c>
      <c r="F29" s="40" t="s">
        <v>433</v>
      </c>
      <c r="G29" s="40" t="s">
        <v>151</v>
      </c>
      <c r="H29" s="40" t="n">
        <v>1</v>
      </c>
      <c r="I29" s="40" t="s">
        <v>440</v>
      </c>
      <c r="J29" s="43" t="n">
        <v>0.19478985</v>
      </c>
      <c r="K29" s="43" t="n">
        <v>0.1460923875</v>
      </c>
    </row>
    <row r="30" customFormat="false" ht="15" hidden="false" customHeight="false" outlineLevel="0" collapsed="false">
      <c r="B30" s="40" t="s">
        <v>203</v>
      </c>
      <c r="C30" s="40" t="s">
        <v>452</v>
      </c>
      <c r="D30" s="40" t="s">
        <v>449</v>
      </c>
      <c r="E30" s="40" t="s">
        <v>199</v>
      </c>
      <c r="F30" s="40" t="s">
        <v>433</v>
      </c>
      <c r="G30" s="40" t="s">
        <v>151</v>
      </c>
      <c r="H30" s="40" t="n">
        <v>1</v>
      </c>
      <c r="I30" s="40" t="s">
        <v>440</v>
      </c>
      <c r="J30" s="43" t="n">
        <v>0.19478985</v>
      </c>
      <c r="K30" s="43" t="n">
        <v>0.1460923875</v>
      </c>
    </row>
    <row r="31" customFormat="false" ht="15" hidden="false" customHeight="false" outlineLevel="0" collapsed="false">
      <c r="B31" s="40" t="s">
        <v>204</v>
      </c>
      <c r="C31" s="40" t="s">
        <v>453</v>
      </c>
      <c r="D31" s="40" t="s">
        <v>449</v>
      </c>
      <c r="E31" s="40" t="s">
        <v>199</v>
      </c>
      <c r="F31" s="40" t="s">
        <v>433</v>
      </c>
      <c r="G31" s="40" t="s">
        <v>151</v>
      </c>
      <c r="H31" s="40" t="n">
        <v>1</v>
      </c>
      <c r="I31" s="40" t="s">
        <v>440</v>
      </c>
      <c r="J31" s="43" t="n">
        <v>0.19478985</v>
      </c>
      <c r="K31" s="43" t="n">
        <v>0.19478985</v>
      </c>
    </row>
    <row r="32" customFormat="false" ht="15" hidden="false" customHeight="false" outlineLevel="0" collapsed="false">
      <c r="B32" s="40" t="s">
        <v>295</v>
      </c>
      <c r="C32" s="40" t="s">
        <v>454</v>
      </c>
      <c r="D32" s="40" t="s">
        <v>449</v>
      </c>
      <c r="E32" s="40" t="s">
        <v>206</v>
      </c>
      <c r="F32" s="40" t="s">
        <v>433</v>
      </c>
      <c r="G32" s="40" t="s">
        <v>151</v>
      </c>
      <c r="H32" s="40" t="n">
        <v>1</v>
      </c>
      <c r="I32" s="40" t="s">
        <v>455</v>
      </c>
      <c r="J32" s="43" t="n">
        <v>0.19478985</v>
      </c>
      <c r="K32" s="43" t="n">
        <v>0.19478985</v>
      </c>
    </row>
    <row r="33" customFormat="false" ht="15" hidden="false" customHeight="false" outlineLevel="0" collapsed="false">
      <c r="B33" s="40" t="s">
        <v>205</v>
      </c>
      <c r="C33" s="40" t="s">
        <v>456</v>
      </c>
      <c r="D33" s="40" t="s">
        <v>449</v>
      </c>
      <c r="E33" s="40" t="s">
        <v>206</v>
      </c>
      <c r="F33" s="40" t="s">
        <v>433</v>
      </c>
      <c r="G33" s="40" t="s">
        <v>151</v>
      </c>
      <c r="H33" s="40" t="n">
        <v>1</v>
      </c>
      <c r="I33" s="40" t="s">
        <v>440</v>
      </c>
      <c r="J33" s="43" t="n">
        <v>0.19478985</v>
      </c>
      <c r="K33" s="43" t="n">
        <v>0.19478985</v>
      </c>
    </row>
    <row r="34" customFormat="false" ht="15" hidden="false" customHeight="false" outlineLevel="0" collapsed="false">
      <c r="B34" s="40" t="s">
        <v>207</v>
      </c>
      <c r="C34" s="40" t="s">
        <v>457</v>
      </c>
      <c r="D34" s="40" t="s">
        <v>449</v>
      </c>
      <c r="E34" s="40" t="s">
        <v>208</v>
      </c>
      <c r="F34" s="40" t="s">
        <v>433</v>
      </c>
      <c r="G34" s="40" t="s">
        <v>450</v>
      </c>
      <c r="H34" s="40" t="n">
        <v>1</v>
      </c>
      <c r="I34" s="40" t="s">
        <v>434</v>
      </c>
      <c r="J34" s="43" t="n">
        <v>0.07326</v>
      </c>
      <c r="K34" s="43" t="n">
        <v>0.07326</v>
      </c>
    </row>
    <row r="35" customFormat="false" ht="15" hidden="false" customHeight="false" outlineLevel="0" collapsed="false">
      <c r="B35" s="40" t="s">
        <v>209</v>
      </c>
      <c r="C35" s="40" t="s">
        <v>457</v>
      </c>
      <c r="D35" s="40" t="s">
        <v>449</v>
      </c>
      <c r="E35" s="40" t="s">
        <v>208</v>
      </c>
      <c r="F35" s="40" t="s">
        <v>433</v>
      </c>
      <c r="G35" s="40" t="s">
        <v>450</v>
      </c>
      <c r="H35" s="40" t="n">
        <v>1</v>
      </c>
      <c r="I35" s="40" t="s">
        <v>434</v>
      </c>
      <c r="J35" s="43" t="n">
        <v>0.07326</v>
      </c>
      <c r="K35" s="43" t="n">
        <v>0.07326</v>
      </c>
    </row>
    <row r="36" customFormat="false" ht="15" hidden="false" customHeight="false" outlineLevel="0" collapsed="false">
      <c r="B36" s="40" t="s">
        <v>210</v>
      </c>
      <c r="C36" s="40" t="s">
        <v>448</v>
      </c>
      <c r="D36" s="40" t="s">
        <v>449</v>
      </c>
      <c r="E36" s="40" t="s">
        <v>208</v>
      </c>
      <c r="F36" s="40" t="s">
        <v>433</v>
      </c>
      <c r="G36" s="40" t="s">
        <v>450</v>
      </c>
      <c r="H36" s="40" t="n">
        <v>1</v>
      </c>
      <c r="I36" s="40" t="s">
        <v>434</v>
      </c>
      <c r="J36" s="43" t="n">
        <v>0.07326</v>
      </c>
      <c r="K36" s="43" t="n">
        <v>0.07326</v>
      </c>
    </row>
    <row r="37" customFormat="false" ht="15" hidden="false" customHeight="false" outlineLevel="0" collapsed="false">
      <c r="B37" s="40" t="s">
        <v>211</v>
      </c>
      <c r="C37" s="40" t="s">
        <v>458</v>
      </c>
      <c r="D37" s="40" t="s">
        <v>449</v>
      </c>
      <c r="E37" s="40" t="s">
        <v>212</v>
      </c>
      <c r="F37" s="40" t="s">
        <v>433</v>
      </c>
      <c r="G37" s="40" t="s">
        <v>151</v>
      </c>
      <c r="H37" s="40" t="n">
        <v>1</v>
      </c>
      <c r="I37" s="40" t="s">
        <v>440</v>
      </c>
      <c r="J37" s="43" t="n">
        <v>0.2353338</v>
      </c>
      <c r="K37" s="43" t="n">
        <v>0.2353338</v>
      </c>
    </row>
    <row r="38" customFormat="false" ht="15" hidden="false" customHeight="false" outlineLevel="0" collapsed="false">
      <c r="B38" s="40" t="s">
        <v>213</v>
      </c>
      <c r="C38" s="40" t="s">
        <v>459</v>
      </c>
      <c r="D38" s="40" t="s">
        <v>449</v>
      </c>
      <c r="E38" s="40" t="s">
        <v>214</v>
      </c>
      <c r="F38" s="40" t="s">
        <v>460</v>
      </c>
      <c r="G38" s="40" t="s">
        <v>151</v>
      </c>
      <c r="H38" s="40" t="n">
        <v>1</v>
      </c>
      <c r="I38" s="40" t="s">
        <v>440</v>
      </c>
      <c r="J38" s="43" t="n">
        <v>0.3049021</v>
      </c>
      <c r="K38" s="43" t="n">
        <v>0.3049021</v>
      </c>
    </row>
    <row r="39" customFormat="false" ht="15" hidden="false" customHeight="false" outlineLevel="0" collapsed="false">
      <c r="B39" s="40" t="s">
        <v>215</v>
      </c>
      <c r="C39" s="40" t="s">
        <v>461</v>
      </c>
      <c r="D39" s="40" t="s">
        <v>449</v>
      </c>
      <c r="E39" s="40" t="s">
        <v>462</v>
      </c>
      <c r="F39" s="40" t="s">
        <v>433</v>
      </c>
      <c r="G39" s="40" t="s">
        <v>151</v>
      </c>
      <c r="H39" s="40" t="n">
        <v>1</v>
      </c>
      <c r="I39" s="40" t="s">
        <v>440</v>
      </c>
      <c r="J39" s="43" t="n">
        <v>0.3049021</v>
      </c>
      <c r="K39" s="43" t="n">
        <v>0.3049021</v>
      </c>
    </row>
    <row r="40" customFormat="false" ht="15" hidden="false" customHeight="false" outlineLevel="0" collapsed="false">
      <c r="B40" s="40" t="s">
        <v>463</v>
      </c>
      <c r="C40" s="40" t="s">
        <v>464</v>
      </c>
      <c r="D40" s="40" t="s">
        <v>413</v>
      </c>
      <c r="E40" s="40" t="s">
        <v>219</v>
      </c>
      <c r="F40" s="40" t="s">
        <v>433</v>
      </c>
      <c r="G40" s="40" t="s">
        <v>151</v>
      </c>
      <c r="H40" s="40" t="n">
        <v>1</v>
      </c>
      <c r="I40" s="40" t="s">
        <v>437</v>
      </c>
      <c r="J40" s="43" t="n">
        <v>0.20285325</v>
      </c>
      <c r="K40" s="40" t="n">
        <v>0</v>
      </c>
    </row>
    <row r="41" customFormat="false" ht="15" hidden="false" customHeight="false" outlineLevel="0" collapsed="false">
      <c r="B41" s="40" t="s">
        <v>465</v>
      </c>
      <c r="C41" s="40" t="s">
        <v>436</v>
      </c>
      <c r="D41" s="40" t="s">
        <v>413</v>
      </c>
      <c r="E41" s="40" t="s">
        <v>219</v>
      </c>
      <c r="F41" s="40" t="s">
        <v>433</v>
      </c>
      <c r="G41" s="40" t="s">
        <v>151</v>
      </c>
      <c r="H41" s="40" t="n">
        <v>1</v>
      </c>
      <c r="I41" s="40" t="s">
        <v>437</v>
      </c>
      <c r="J41" s="43" t="n">
        <v>0.20285325</v>
      </c>
      <c r="K41" s="40" t="n">
        <v>0</v>
      </c>
    </row>
    <row r="42" customFormat="false" ht="15" hidden="false" customHeight="false" outlineLevel="0" collapsed="false">
      <c r="B42" s="40" t="s">
        <v>466</v>
      </c>
      <c r="C42" s="40" t="s">
        <v>443</v>
      </c>
      <c r="D42" s="40" t="s">
        <v>413</v>
      </c>
      <c r="E42" s="40" t="s">
        <v>219</v>
      </c>
      <c r="F42" s="40" t="s">
        <v>433</v>
      </c>
      <c r="G42" s="40" t="s">
        <v>151</v>
      </c>
      <c r="H42" s="40" t="n">
        <v>1</v>
      </c>
      <c r="I42" s="40" t="s">
        <v>437</v>
      </c>
      <c r="J42" s="43" t="n">
        <v>0.20285325</v>
      </c>
      <c r="K42" s="40" t="n">
        <v>0</v>
      </c>
    </row>
    <row r="43" customFormat="false" ht="15" hidden="false" customHeight="false" outlineLevel="0" collapsed="false">
      <c r="B43" s="40" t="s">
        <v>467</v>
      </c>
      <c r="C43" s="40" t="s">
        <v>438</v>
      </c>
      <c r="D43" s="40" t="s">
        <v>413</v>
      </c>
      <c r="E43" s="40" t="s">
        <v>219</v>
      </c>
      <c r="F43" s="40" t="s">
        <v>433</v>
      </c>
      <c r="G43" s="40" t="s">
        <v>151</v>
      </c>
      <c r="H43" s="40" t="n">
        <v>1</v>
      </c>
      <c r="I43" s="40" t="s">
        <v>437</v>
      </c>
      <c r="J43" s="43" t="n">
        <v>0.17048975</v>
      </c>
      <c r="K43" s="40" t="n">
        <v>0</v>
      </c>
    </row>
    <row r="44" customFormat="false" ht="15" hidden="false" customHeight="false" outlineLevel="0" collapsed="false">
      <c r="B44" s="40" t="s">
        <v>296</v>
      </c>
      <c r="C44" s="40" t="s">
        <v>436</v>
      </c>
      <c r="D44" s="40" t="s">
        <v>413</v>
      </c>
      <c r="E44" s="40" t="s">
        <v>468</v>
      </c>
      <c r="F44" s="40" t="s">
        <v>433</v>
      </c>
      <c r="G44" s="40" t="s">
        <v>151</v>
      </c>
      <c r="H44" s="40" t="n">
        <v>1</v>
      </c>
      <c r="I44" s="40" t="s">
        <v>440</v>
      </c>
      <c r="J44" s="43" t="n">
        <v>0.20285325</v>
      </c>
      <c r="K44" s="43" t="n">
        <v>0.20285325</v>
      </c>
    </row>
    <row r="45" customFormat="false" ht="15" hidden="false" customHeight="false" outlineLevel="0" collapsed="false">
      <c r="B45" s="40" t="s">
        <v>217</v>
      </c>
      <c r="C45" s="40" t="s">
        <v>438</v>
      </c>
      <c r="D45" s="40" t="s">
        <v>413</v>
      </c>
      <c r="E45" s="40" t="s">
        <v>468</v>
      </c>
      <c r="F45" s="40" t="s">
        <v>433</v>
      </c>
      <c r="G45" s="40" t="s">
        <v>151</v>
      </c>
      <c r="H45" s="40" t="n">
        <v>1</v>
      </c>
      <c r="I45" s="40" t="s">
        <v>440</v>
      </c>
      <c r="J45" s="43" t="n">
        <v>0.17048975</v>
      </c>
      <c r="K45" s="43" t="n">
        <v>0.17048975</v>
      </c>
    </row>
    <row r="46" customFormat="false" ht="15" hidden="false" customHeight="false" outlineLevel="0" collapsed="false">
      <c r="B46" s="40" t="s">
        <v>220</v>
      </c>
      <c r="C46" s="40" t="s">
        <v>469</v>
      </c>
      <c r="D46" s="40" t="s">
        <v>413</v>
      </c>
      <c r="E46" s="40" t="s">
        <v>221</v>
      </c>
      <c r="F46" s="40" t="s">
        <v>433</v>
      </c>
      <c r="G46" s="40" t="s">
        <v>151</v>
      </c>
      <c r="H46" s="40" t="n">
        <v>1</v>
      </c>
      <c r="I46" s="40" t="s">
        <v>440</v>
      </c>
      <c r="J46" s="43" t="n">
        <v>0.20285325</v>
      </c>
      <c r="K46" s="43" t="n">
        <v>0.20285325</v>
      </c>
    </row>
    <row r="47" customFormat="false" ht="15" hidden="false" customHeight="false" outlineLevel="0" collapsed="false">
      <c r="B47" s="40" t="s">
        <v>470</v>
      </c>
      <c r="C47" s="40" t="s">
        <v>471</v>
      </c>
      <c r="D47" s="40" t="s">
        <v>413</v>
      </c>
      <c r="E47" s="40" t="s">
        <v>297</v>
      </c>
      <c r="F47" s="40" t="s">
        <v>433</v>
      </c>
      <c r="G47" s="40" t="s">
        <v>151</v>
      </c>
      <c r="H47" s="40" t="n">
        <v>1</v>
      </c>
      <c r="I47" s="40" t="s">
        <v>437</v>
      </c>
      <c r="J47" s="43" t="n">
        <v>0.20285325</v>
      </c>
      <c r="K47" s="40" t="n">
        <v>0</v>
      </c>
    </row>
    <row r="48" customFormat="false" ht="15" hidden="false" customHeight="false" outlineLevel="0" collapsed="false">
      <c r="B48" s="40" t="s">
        <v>222</v>
      </c>
      <c r="C48" s="40" t="s">
        <v>472</v>
      </c>
      <c r="D48" s="40" t="s">
        <v>412</v>
      </c>
      <c r="E48" s="40" t="s">
        <v>223</v>
      </c>
      <c r="F48" s="40" t="s">
        <v>433</v>
      </c>
      <c r="G48" s="40" t="s">
        <v>151</v>
      </c>
      <c r="H48" s="40" t="n">
        <v>1</v>
      </c>
      <c r="I48" s="40" t="s">
        <v>440</v>
      </c>
      <c r="J48" s="43" t="n">
        <v>0.20285325</v>
      </c>
      <c r="K48" s="43" t="n">
        <v>0.20285325</v>
      </c>
    </row>
    <row r="49" customFormat="false" ht="15" hidden="false" customHeight="false" outlineLevel="0" collapsed="false">
      <c r="B49" s="40" t="s">
        <v>473</v>
      </c>
      <c r="C49" s="40" t="s">
        <v>474</v>
      </c>
      <c r="D49" s="40" t="s">
        <v>412</v>
      </c>
      <c r="E49" s="40" t="s">
        <v>223</v>
      </c>
      <c r="F49" s="40" t="s">
        <v>433</v>
      </c>
      <c r="G49" s="40" t="s">
        <v>151</v>
      </c>
      <c r="H49" s="40" t="n">
        <v>1</v>
      </c>
      <c r="I49" s="40" t="s">
        <v>437</v>
      </c>
      <c r="J49" s="43" t="n">
        <v>0.20285325</v>
      </c>
      <c r="K49" s="40" t="n">
        <v>0</v>
      </c>
    </row>
    <row r="50" customFormat="false" ht="15" hidden="false" customHeight="false" outlineLevel="0" collapsed="false">
      <c r="B50" s="40" t="s">
        <v>224</v>
      </c>
      <c r="C50" s="40" t="s">
        <v>475</v>
      </c>
      <c r="D50" s="40" t="s">
        <v>412</v>
      </c>
      <c r="E50" s="40" t="s">
        <v>226</v>
      </c>
      <c r="F50" s="40" t="s">
        <v>433</v>
      </c>
      <c r="G50" s="40" t="s">
        <v>151</v>
      </c>
      <c r="H50" s="40" t="n">
        <v>1</v>
      </c>
      <c r="I50" s="40" t="s">
        <v>434</v>
      </c>
      <c r="J50" s="43" t="n">
        <v>0.23168925</v>
      </c>
      <c r="K50" s="43" t="n">
        <v>0.0926757</v>
      </c>
    </row>
    <row r="51" customFormat="false" ht="15" hidden="false" customHeight="false" outlineLevel="0" collapsed="false">
      <c r="B51" s="40" t="s">
        <v>227</v>
      </c>
      <c r="C51" s="40" t="s">
        <v>476</v>
      </c>
      <c r="D51" s="40" t="s">
        <v>412</v>
      </c>
      <c r="E51" s="40" t="s">
        <v>226</v>
      </c>
      <c r="F51" s="40" t="s">
        <v>433</v>
      </c>
      <c r="G51" s="40" t="s">
        <v>151</v>
      </c>
      <c r="H51" s="40" t="n">
        <v>1</v>
      </c>
      <c r="I51" s="40" t="s">
        <v>434</v>
      </c>
      <c r="J51" s="43" t="n">
        <v>0.20285325</v>
      </c>
      <c r="K51" s="43" t="n">
        <v>0.0811413</v>
      </c>
    </row>
    <row r="52" customFormat="false" ht="15" hidden="false" customHeight="false" outlineLevel="0" collapsed="false">
      <c r="B52" s="40" t="s">
        <v>228</v>
      </c>
      <c r="C52" s="40" t="s">
        <v>477</v>
      </c>
      <c r="D52" s="40" t="s">
        <v>412</v>
      </c>
      <c r="E52" s="40" t="s">
        <v>226</v>
      </c>
      <c r="F52" s="40" t="s">
        <v>433</v>
      </c>
      <c r="G52" s="40" t="s">
        <v>151</v>
      </c>
      <c r="H52" s="40" t="n">
        <v>1</v>
      </c>
      <c r="I52" s="40" t="s">
        <v>434</v>
      </c>
      <c r="J52" s="43" t="n">
        <v>0.20285325</v>
      </c>
      <c r="K52" s="43" t="n">
        <v>0.0811413</v>
      </c>
    </row>
    <row r="53" customFormat="false" ht="15" hidden="false" customHeight="false" outlineLevel="0" collapsed="false">
      <c r="B53" s="40" t="s">
        <v>229</v>
      </c>
      <c r="C53" s="40" t="s">
        <v>478</v>
      </c>
      <c r="D53" s="40" t="s">
        <v>412</v>
      </c>
      <c r="E53" s="40" t="s">
        <v>230</v>
      </c>
      <c r="F53" s="40" t="s">
        <v>433</v>
      </c>
      <c r="G53" s="40" t="s">
        <v>151</v>
      </c>
      <c r="H53" s="40" t="n">
        <v>1</v>
      </c>
      <c r="I53" s="40" t="s">
        <v>440</v>
      </c>
      <c r="J53" s="43" t="n">
        <v>0.23168925</v>
      </c>
      <c r="K53" s="43" t="n">
        <v>0.23168925</v>
      </c>
    </row>
    <row r="54" customFormat="false" ht="15" hidden="false" customHeight="false" outlineLevel="0" collapsed="false">
      <c r="B54" s="40" t="s">
        <v>479</v>
      </c>
      <c r="C54" s="40" t="s">
        <v>480</v>
      </c>
      <c r="D54" s="40" t="s">
        <v>412</v>
      </c>
      <c r="E54" s="40" t="s">
        <v>230</v>
      </c>
      <c r="F54" s="40" t="s">
        <v>433</v>
      </c>
      <c r="G54" s="40" t="s">
        <v>151</v>
      </c>
      <c r="H54" s="40" t="n">
        <v>1</v>
      </c>
      <c r="I54" s="40" t="s">
        <v>437</v>
      </c>
      <c r="J54" s="43" t="n">
        <v>0.201585</v>
      </c>
      <c r="K54" s="40" t="n">
        <v>0</v>
      </c>
    </row>
    <row r="55" customFormat="false" ht="15" hidden="false" customHeight="false" outlineLevel="0" collapsed="false">
      <c r="B55" s="40" t="s">
        <v>481</v>
      </c>
      <c r="C55" s="40" t="s">
        <v>482</v>
      </c>
      <c r="D55" s="40" t="s">
        <v>412</v>
      </c>
      <c r="E55" s="40" t="s">
        <v>299</v>
      </c>
      <c r="F55" s="40" t="s">
        <v>433</v>
      </c>
      <c r="G55" s="40" t="s">
        <v>151</v>
      </c>
      <c r="H55" s="40" t="n">
        <v>1</v>
      </c>
      <c r="I55" s="40" t="s">
        <v>437</v>
      </c>
      <c r="J55" s="43" t="n">
        <v>0.20285325</v>
      </c>
      <c r="K55" s="40" t="n">
        <v>0</v>
      </c>
    </row>
    <row r="56" customFormat="false" ht="15" hidden="false" customHeight="false" outlineLevel="0" collapsed="false">
      <c r="B56" s="40" t="s">
        <v>298</v>
      </c>
      <c r="C56" s="40" t="s">
        <v>483</v>
      </c>
      <c r="D56" s="40" t="s">
        <v>412</v>
      </c>
      <c r="E56" s="40" t="s">
        <v>299</v>
      </c>
      <c r="F56" s="40" t="s">
        <v>433</v>
      </c>
      <c r="G56" s="40" t="s">
        <v>151</v>
      </c>
      <c r="H56" s="40" t="n">
        <v>1</v>
      </c>
      <c r="I56" s="40" t="s">
        <v>455</v>
      </c>
      <c r="J56" s="43" t="n">
        <v>0.201585</v>
      </c>
      <c r="K56" s="43" t="n">
        <v>0.201585</v>
      </c>
    </row>
    <row r="57" customFormat="false" ht="15" hidden="false" customHeight="false" outlineLevel="0" collapsed="false">
      <c r="B57" s="40" t="s">
        <v>231</v>
      </c>
      <c r="C57" s="40" t="s">
        <v>484</v>
      </c>
      <c r="D57" s="40" t="s">
        <v>412</v>
      </c>
      <c r="E57" s="40" t="s">
        <v>485</v>
      </c>
      <c r="F57" s="40" t="s">
        <v>460</v>
      </c>
      <c r="G57" s="40" t="s">
        <v>151</v>
      </c>
      <c r="H57" s="40" t="n">
        <v>1</v>
      </c>
      <c r="I57" s="40" t="s">
        <v>440</v>
      </c>
      <c r="J57" s="43" t="n">
        <v>0.33302025</v>
      </c>
      <c r="K57" s="43" t="n">
        <v>0.33302025</v>
      </c>
    </row>
    <row r="58" customFormat="false" ht="15" hidden="false" customHeight="false" outlineLevel="0" collapsed="false">
      <c r="B58" s="40" t="s">
        <v>232</v>
      </c>
      <c r="C58" s="40" t="s">
        <v>486</v>
      </c>
      <c r="D58" s="40" t="s">
        <v>412</v>
      </c>
      <c r="E58" s="40" t="s">
        <v>486</v>
      </c>
      <c r="F58" s="40" t="s">
        <v>460</v>
      </c>
      <c r="G58" s="40" t="s">
        <v>151</v>
      </c>
      <c r="H58" s="40" t="n">
        <v>1</v>
      </c>
      <c r="I58" s="40" t="s">
        <v>440</v>
      </c>
      <c r="J58" s="43" t="n">
        <v>0.27581025</v>
      </c>
      <c r="K58" s="43" t="n">
        <v>0.27581025</v>
      </c>
    </row>
    <row r="59" customFormat="false" ht="15" hidden="false" customHeight="false" outlineLevel="0" collapsed="false">
      <c r="B59" s="40" t="s">
        <v>487</v>
      </c>
      <c r="C59" s="40" t="s">
        <v>488</v>
      </c>
      <c r="D59" s="40" t="s">
        <v>412</v>
      </c>
      <c r="E59" s="40" t="s">
        <v>214</v>
      </c>
      <c r="F59" s="40" t="s">
        <v>460</v>
      </c>
      <c r="G59" s="40" t="s">
        <v>151</v>
      </c>
      <c r="H59" s="40" t="n">
        <v>1</v>
      </c>
      <c r="I59" s="40" t="s">
        <v>437</v>
      </c>
      <c r="J59" s="43" t="n">
        <v>0.27581025</v>
      </c>
      <c r="K59" s="40" t="n">
        <v>0</v>
      </c>
    </row>
    <row r="60" customFormat="false" ht="15" hidden="false" customHeight="false" outlineLevel="0" collapsed="false">
      <c r="B60" s="40" t="s">
        <v>233</v>
      </c>
      <c r="C60" s="40" t="s">
        <v>489</v>
      </c>
      <c r="D60" s="40" t="s">
        <v>234</v>
      </c>
      <c r="E60" s="40" t="s">
        <v>234</v>
      </c>
      <c r="F60" s="40" t="s">
        <v>433</v>
      </c>
      <c r="G60" s="40" t="s">
        <v>151</v>
      </c>
      <c r="H60" s="40" t="n">
        <v>1</v>
      </c>
      <c r="I60" s="40" t="s">
        <v>440</v>
      </c>
      <c r="J60" s="43" t="n">
        <v>0.20285325</v>
      </c>
      <c r="K60" s="43" t="n">
        <v>0.20285325</v>
      </c>
    </row>
    <row r="61" customFormat="false" ht="15" hidden="false" customHeight="false" outlineLevel="0" collapsed="false">
      <c r="B61" s="40" t="s">
        <v>235</v>
      </c>
      <c r="C61" s="40" t="s">
        <v>489</v>
      </c>
      <c r="D61" s="40" t="s">
        <v>234</v>
      </c>
      <c r="E61" s="40" t="s">
        <v>234</v>
      </c>
      <c r="F61" s="40" t="s">
        <v>433</v>
      </c>
      <c r="G61" s="40" t="s">
        <v>151</v>
      </c>
      <c r="H61" s="40" t="n">
        <v>1</v>
      </c>
      <c r="I61" s="40" t="s">
        <v>440</v>
      </c>
      <c r="J61" s="43" t="n">
        <v>0.20285325</v>
      </c>
      <c r="K61" s="43" t="n">
        <v>0.20285325</v>
      </c>
    </row>
    <row r="62" customFormat="false" ht="15" hidden="false" customHeight="false" outlineLevel="0" collapsed="false">
      <c r="B62" s="40" t="s">
        <v>236</v>
      </c>
      <c r="C62" s="40" t="s">
        <v>438</v>
      </c>
      <c r="D62" s="40" t="s">
        <v>234</v>
      </c>
      <c r="E62" s="40" t="s">
        <v>234</v>
      </c>
      <c r="F62" s="40" t="s">
        <v>433</v>
      </c>
      <c r="G62" s="40" t="s">
        <v>151</v>
      </c>
      <c r="H62" s="40" t="n">
        <v>1</v>
      </c>
      <c r="I62" s="40" t="s">
        <v>434</v>
      </c>
      <c r="J62" s="43" t="n">
        <v>0.17048975</v>
      </c>
      <c r="K62" s="43" t="n">
        <v>0.0681959</v>
      </c>
    </row>
    <row r="63" customFormat="false" ht="15" hidden="false" customHeight="false" outlineLevel="0" collapsed="false">
      <c r="B63" s="40" t="s">
        <v>237</v>
      </c>
      <c r="C63" s="40" t="s">
        <v>490</v>
      </c>
      <c r="D63" s="40" t="s">
        <v>234</v>
      </c>
      <c r="E63" s="40" t="s">
        <v>238</v>
      </c>
      <c r="F63" s="40" t="s">
        <v>433</v>
      </c>
      <c r="G63" s="40" t="s">
        <v>151</v>
      </c>
      <c r="H63" s="40" t="n">
        <v>1</v>
      </c>
      <c r="I63" s="40" t="s">
        <v>440</v>
      </c>
      <c r="J63" s="43" t="n">
        <v>0.23168925</v>
      </c>
      <c r="K63" s="43" t="n">
        <v>0.23168925</v>
      </c>
    </row>
    <row r="64" customFormat="false" ht="15" hidden="false" customHeight="false" outlineLevel="0" collapsed="false">
      <c r="B64" s="40" t="s">
        <v>491</v>
      </c>
      <c r="C64" s="40" t="s">
        <v>489</v>
      </c>
      <c r="D64" s="40" t="s">
        <v>234</v>
      </c>
      <c r="E64" s="40" t="s">
        <v>238</v>
      </c>
      <c r="F64" s="40" t="s">
        <v>433</v>
      </c>
      <c r="G64" s="40" t="s">
        <v>151</v>
      </c>
      <c r="H64" s="40" t="n">
        <v>1</v>
      </c>
      <c r="I64" s="40" t="s">
        <v>437</v>
      </c>
      <c r="J64" s="43" t="n">
        <v>0.20285325</v>
      </c>
      <c r="K64" s="40" t="n">
        <v>0</v>
      </c>
    </row>
    <row r="65" customFormat="false" ht="15" hidden="false" customHeight="false" outlineLevel="0" collapsed="false">
      <c r="B65" s="40" t="s">
        <v>239</v>
      </c>
      <c r="C65" s="40" t="s">
        <v>492</v>
      </c>
      <c r="D65" s="40" t="s">
        <v>234</v>
      </c>
      <c r="E65" s="40" t="s">
        <v>238</v>
      </c>
      <c r="F65" s="40" t="s">
        <v>433</v>
      </c>
      <c r="G65" s="40" t="s">
        <v>151</v>
      </c>
      <c r="H65" s="40" t="n">
        <v>1</v>
      </c>
      <c r="I65" s="40" t="s">
        <v>440</v>
      </c>
      <c r="J65" s="43" t="n">
        <v>0.201585</v>
      </c>
      <c r="K65" s="43" t="n">
        <v>0.201585</v>
      </c>
    </row>
    <row r="66" customFormat="false" ht="15" hidden="false" customHeight="false" outlineLevel="0" collapsed="false">
      <c r="B66" s="40" t="s">
        <v>240</v>
      </c>
      <c r="C66" s="40" t="s">
        <v>438</v>
      </c>
      <c r="D66" s="40" t="s">
        <v>234</v>
      </c>
      <c r="E66" s="40" t="s">
        <v>238</v>
      </c>
      <c r="F66" s="40" t="s">
        <v>433</v>
      </c>
      <c r="G66" s="40" t="s">
        <v>151</v>
      </c>
      <c r="H66" s="40" t="n">
        <v>1</v>
      </c>
      <c r="I66" s="40" t="s">
        <v>434</v>
      </c>
      <c r="J66" s="43" t="n">
        <v>0.17048975</v>
      </c>
      <c r="K66" s="43" t="n">
        <v>0.0681959</v>
      </c>
    </row>
    <row r="67" customFormat="false" ht="15" hidden="false" customHeight="false" outlineLevel="0" collapsed="false">
      <c r="B67" s="40" t="s">
        <v>241</v>
      </c>
      <c r="C67" s="40" t="s">
        <v>493</v>
      </c>
      <c r="D67" s="40" t="s">
        <v>234</v>
      </c>
      <c r="E67" s="40" t="s">
        <v>238</v>
      </c>
      <c r="F67" s="40" t="s">
        <v>433</v>
      </c>
      <c r="G67" s="40" t="s">
        <v>151</v>
      </c>
      <c r="H67" s="40" t="n">
        <v>1</v>
      </c>
      <c r="I67" s="40" t="s">
        <v>440</v>
      </c>
      <c r="J67" s="43" t="n">
        <v>0.1799709</v>
      </c>
      <c r="K67" s="43" t="n">
        <v>0.1799709</v>
      </c>
    </row>
    <row r="68" customFormat="false" ht="15" hidden="false" customHeight="false" outlineLevel="0" collapsed="false">
      <c r="B68" s="40" t="s">
        <v>242</v>
      </c>
      <c r="C68" s="40" t="s">
        <v>486</v>
      </c>
      <c r="D68" s="40" t="s">
        <v>234</v>
      </c>
      <c r="E68" s="40" t="s">
        <v>486</v>
      </c>
      <c r="F68" s="40" t="s">
        <v>460</v>
      </c>
      <c r="G68" s="40" t="s">
        <v>151</v>
      </c>
      <c r="H68" s="40" t="n">
        <v>1</v>
      </c>
      <c r="I68" s="40" t="s">
        <v>440</v>
      </c>
      <c r="J68" s="43" t="n">
        <v>0.27581025</v>
      </c>
      <c r="K68" s="43" t="n">
        <v>0.27581025</v>
      </c>
    </row>
    <row r="69" customFormat="false" ht="15" hidden="false" customHeight="false" outlineLevel="0" collapsed="false">
      <c r="B69" s="40" t="s">
        <v>243</v>
      </c>
      <c r="C69" s="40" t="s">
        <v>494</v>
      </c>
      <c r="D69" s="40" t="s">
        <v>411</v>
      </c>
      <c r="E69" s="40" t="s">
        <v>244</v>
      </c>
      <c r="F69" s="40" t="s">
        <v>433</v>
      </c>
      <c r="G69" s="40" t="s">
        <v>151</v>
      </c>
      <c r="H69" s="40" t="n">
        <v>1</v>
      </c>
      <c r="I69" s="40" t="s">
        <v>440</v>
      </c>
      <c r="J69" s="43" t="n">
        <v>0.23168925</v>
      </c>
      <c r="K69" s="43" t="n">
        <v>0.23168925</v>
      </c>
    </row>
    <row r="70" customFormat="false" ht="15" hidden="false" customHeight="false" outlineLevel="0" collapsed="false">
      <c r="B70" s="40" t="s">
        <v>495</v>
      </c>
      <c r="C70" s="40" t="s">
        <v>458</v>
      </c>
      <c r="D70" s="40" t="s">
        <v>411</v>
      </c>
      <c r="E70" s="40" t="s">
        <v>244</v>
      </c>
      <c r="F70" s="40" t="s">
        <v>433</v>
      </c>
      <c r="G70" s="40" t="s">
        <v>151</v>
      </c>
      <c r="H70" s="43" t="n">
        <v>0.5</v>
      </c>
      <c r="I70" s="40" t="s">
        <v>437</v>
      </c>
      <c r="J70" s="43" t="n">
        <v>0.0579223125</v>
      </c>
      <c r="K70" s="40" t="n">
        <v>0</v>
      </c>
    </row>
    <row r="71" customFormat="false" ht="15" hidden="false" customHeight="false" outlineLevel="0" collapsed="false">
      <c r="B71" s="40" t="s">
        <v>245</v>
      </c>
      <c r="C71" s="40" t="s">
        <v>496</v>
      </c>
      <c r="D71" s="40" t="s">
        <v>411</v>
      </c>
      <c r="E71" s="40" t="s">
        <v>246</v>
      </c>
      <c r="F71" s="40" t="s">
        <v>433</v>
      </c>
      <c r="G71" s="40" t="s">
        <v>151</v>
      </c>
      <c r="H71" s="40" t="n">
        <v>1</v>
      </c>
      <c r="I71" s="40" t="s">
        <v>440</v>
      </c>
      <c r="J71" s="43" t="n">
        <v>0.23168925</v>
      </c>
      <c r="K71" s="43" t="n">
        <v>0.23168925</v>
      </c>
    </row>
    <row r="72" customFormat="false" ht="15" hidden="false" customHeight="false" outlineLevel="0" collapsed="false">
      <c r="B72" s="40" t="s">
        <v>247</v>
      </c>
      <c r="C72" s="40" t="s">
        <v>496</v>
      </c>
      <c r="D72" s="40" t="s">
        <v>411</v>
      </c>
      <c r="E72" s="40" t="s">
        <v>246</v>
      </c>
      <c r="F72" s="40" t="s">
        <v>433</v>
      </c>
      <c r="G72" s="40" t="s">
        <v>151</v>
      </c>
      <c r="H72" s="40" t="n">
        <v>1</v>
      </c>
      <c r="I72" s="40" t="s">
        <v>440</v>
      </c>
      <c r="J72" s="43" t="n">
        <v>0.23168925</v>
      </c>
      <c r="K72" s="43" t="n">
        <v>0.23168925</v>
      </c>
    </row>
    <row r="73" customFormat="false" ht="15" hidden="false" customHeight="false" outlineLevel="0" collapsed="false">
      <c r="B73" s="40" t="s">
        <v>497</v>
      </c>
      <c r="C73" s="40" t="s">
        <v>496</v>
      </c>
      <c r="D73" s="40" t="s">
        <v>411</v>
      </c>
      <c r="E73" s="40" t="s">
        <v>246</v>
      </c>
      <c r="F73" s="40" t="s">
        <v>433</v>
      </c>
      <c r="G73" s="40" t="s">
        <v>151</v>
      </c>
      <c r="H73" s="40" t="n">
        <v>1</v>
      </c>
      <c r="I73" s="40" t="s">
        <v>437</v>
      </c>
      <c r="J73" s="43" t="n">
        <v>0.23168925</v>
      </c>
      <c r="K73" s="40" t="n">
        <v>0</v>
      </c>
    </row>
    <row r="74" customFormat="false" ht="15" hidden="false" customHeight="false" outlineLevel="0" collapsed="false">
      <c r="B74" s="40" t="s">
        <v>498</v>
      </c>
      <c r="C74" s="40" t="s">
        <v>496</v>
      </c>
      <c r="D74" s="40" t="s">
        <v>411</v>
      </c>
      <c r="E74" s="40" t="s">
        <v>246</v>
      </c>
      <c r="F74" s="40" t="s">
        <v>433</v>
      </c>
      <c r="G74" s="40" t="s">
        <v>151</v>
      </c>
      <c r="H74" s="40" t="n">
        <v>1</v>
      </c>
      <c r="I74" s="40" t="s">
        <v>437</v>
      </c>
      <c r="J74" s="43" t="n">
        <v>0.23168925</v>
      </c>
      <c r="K74" s="40" t="n">
        <v>0</v>
      </c>
    </row>
    <row r="75" customFormat="false" ht="15" hidden="false" customHeight="false" outlineLevel="0" collapsed="false">
      <c r="B75" s="40" t="s">
        <v>248</v>
      </c>
      <c r="C75" s="40" t="s">
        <v>499</v>
      </c>
      <c r="D75" s="40" t="s">
        <v>411</v>
      </c>
      <c r="E75" s="40" t="s">
        <v>246</v>
      </c>
      <c r="F75" s="40" t="s">
        <v>433</v>
      </c>
      <c r="G75" s="40" t="s">
        <v>500</v>
      </c>
      <c r="H75" s="40" t="n">
        <v>1</v>
      </c>
      <c r="I75" s="40" t="s">
        <v>440</v>
      </c>
      <c r="J75" s="43" t="n">
        <v>0.23168925</v>
      </c>
      <c r="K75" s="43" t="n">
        <v>0.23168925</v>
      </c>
    </row>
    <row r="76" customFormat="false" ht="15" hidden="false" customHeight="false" outlineLevel="0" collapsed="false">
      <c r="B76" s="40" t="s">
        <v>249</v>
      </c>
      <c r="C76" s="40" t="s">
        <v>501</v>
      </c>
      <c r="D76" s="40" t="s">
        <v>411</v>
      </c>
      <c r="E76" s="40" t="s">
        <v>246</v>
      </c>
      <c r="F76" s="40" t="s">
        <v>433</v>
      </c>
      <c r="G76" s="40" t="s">
        <v>151</v>
      </c>
      <c r="H76" s="40" t="n">
        <v>1</v>
      </c>
      <c r="I76" s="40" t="s">
        <v>440</v>
      </c>
      <c r="J76" s="43" t="n">
        <v>0.23168925</v>
      </c>
      <c r="K76" s="43" t="n">
        <v>0.23168925</v>
      </c>
    </row>
    <row r="77" customFormat="false" ht="15" hidden="false" customHeight="false" outlineLevel="0" collapsed="false">
      <c r="B77" s="40" t="s">
        <v>250</v>
      </c>
      <c r="C77" s="40" t="s">
        <v>502</v>
      </c>
      <c r="D77" s="40" t="s">
        <v>411</v>
      </c>
      <c r="E77" s="40" t="s">
        <v>246</v>
      </c>
      <c r="F77" s="40" t="s">
        <v>433</v>
      </c>
      <c r="G77" s="40" t="s">
        <v>20</v>
      </c>
      <c r="H77" s="40" t="n">
        <v>1</v>
      </c>
      <c r="I77" s="40" t="s">
        <v>440</v>
      </c>
      <c r="J77" s="43" t="n">
        <v>0.17485662</v>
      </c>
      <c r="K77" s="43" t="n">
        <v>0.17485662</v>
      </c>
    </row>
    <row r="78" customFormat="false" ht="15" hidden="false" customHeight="false" outlineLevel="0" collapsed="false">
      <c r="B78" s="40" t="s">
        <v>251</v>
      </c>
      <c r="C78" s="40" t="s">
        <v>503</v>
      </c>
      <c r="D78" s="40" t="s">
        <v>410</v>
      </c>
      <c r="E78" s="40" t="s">
        <v>253</v>
      </c>
      <c r="F78" s="40" t="s">
        <v>433</v>
      </c>
      <c r="G78" s="40" t="s">
        <v>151</v>
      </c>
      <c r="H78" s="40" t="n">
        <v>1</v>
      </c>
      <c r="I78" s="40" t="s">
        <v>434</v>
      </c>
      <c r="J78" s="43" t="n">
        <v>0.23168925</v>
      </c>
      <c r="K78" s="43" t="n">
        <v>0.069506775</v>
      </c>
    </row>
    <row r="79" customFormat="false" ht="15" hidden="false" customHeight="false" outlineLevel="0" collapsed="false">
      <c r="B79" s="40" t="s">
        <v>254</v>
      </c>
      <c r="C79" s="40" t="s">
        <v>504</v>
      </c>
      <c r="D79" s="40" t="s">
        <v>410</v>
      </c>
      <c r="E79" s="40" t="s">
        <v>253</v>
      </c>
      <c r="F79" s="40" t="s">
        <v>433</v>
      </c>
      <c r="G79" s="40" t="s">
        <v>151</v>
      </c>
      <c r="H79" s="40" t="n">
        <v>1</v>
      </c>
      <c r="I79" s="40" t="s">
        <v>434</v>
      </c>
      <c r="J79" s="43" t="n">
        <v>0.20285325</v>
      </c>
      <c r="K79" s="43" t="n">
        <v>0.0811413</v>
      </c>
    </row>
    <row r="80" customFormat="false" ht="15" hidden="false" customHeight="false" outlineLevel="0" collapsed="false">
      <c r="B80" s="40" t="s">
        <v>505</v>
      </c>
      <c r="C80" s="40" t="s">
        <v>436</v>
      </c>
      <c r="D80" s="40" t="s">
        <v>410</v>
      </c>
      <c r="E80" s="40" t="s">
        <v>506</v>
      </c>
      <c r="F80" s="40" t="s">
        <v>433</v>
      </c>
      <c r="G80" s="40" t="s">
        <v>151</v>
      </c>
      <c r="H80" s="40" t="n">
        <v>1</v>
      </c>
      <c r="I80" s="40" t="s">
        <v>437</v>
      </c>
      <c r="J80" s="43" t="n">
        <v>0.20285325</v>
      </c>
      <c r="K80" s="40" t="n">
        <v>0</v>
      </c>
    </row>
    <row r="81" customFormat="false" ht="15" hidden="false" customHeight="false" outlineLevel="0" collapsed="false">
      <c r="B81" s="40" t="s">
        <v>507</v>
      </c>
      <c r="C81" s="40" t="s">
        <v>438</v>
      </c>
      <c r="D81" s="40" t="s">
        <v>410</v>
      </c>
      <c r="E81" s="40" t="s">
        <v>506</v>
      </c>
      <c r="F81" s="40" t="s">
        <v>433</v>
      </c>
      <c r="G81" s="40" t="s">
        <v>151</v>
      </c>
      <c r="H81" s="40" t="n">
        <v>1</v>
      </c>
      <c r="I81" s="40" t="s">
        <v>437</v>
      </c>
      <c r="J81" s="43" t="n">
        <v>0.17048975</v>
      </c>
      <c r="K81" s="40" t="n">
        <v>0</v>
      </c>
    </row>
    <row r="82" customFormat="false" ht="15" hidden="false" customHeight="false" outlineLevel="0" collapsed="false">
      <c r="B82" s="40" t="s">
        <v>508</v>
      </c>
      <c r="C82" s="40" t="s">
        <v>458</v>
      </c>
      <c r="D82" s="40" t="s">
        <v>410</v>
      </c>
      <c r="E82" s="40" t="s">
        <v>509</v>
      </c>
      <c r="F82" s="40" t="s">
        <v>433</v>
      </c>
      <c r="G82" s="40" t="s">
        <v>500</v>
      </c>
      <c r="H82" s="40" t="n">
        <v>1</v>
      </c>
      <c r="I82" s="40" t="s">
        <v>437</v>
      </c>
      <c r="J82" s="43" t="n">
        <v>0.23168925</v>
      </c>
      <c r="K82" s="40" t="n">
        <v>0</v>
      </c>
    </row>
    <row r="83" customFormat="false" ht="15" hidden="false" customHeight="false" outlineLevel="0" collapsed="false">
      <c r="B83" s="40" t="s">
        <v>510</v>
      </c>
      <c r="C83" s="40" t="s">
        <v>438</v>
      </c>
      <c r="D83" s="40" t="s">
        <v>410</v>
      </c>
      <c r="E83" s="40" t="s">
        <v>509</v>
      </c>
      <c r="F83" s="40" t="s">
        <v>433</v>
      </c>
      <c r="G83" s="40" t="s">
        <v>151</v>
      </c>
      <c r="H83" s="40" t="n">
        <v>1</v>
      </c>
      <c r="I83" s="40" t="s">
        <v>437</v>
      </c>
      <c r="J83" s="43" t="n">
        <v>0.17048975</v>
      </c>
      <c r="K83" s="40" t="n">
        <v>0</v>
      </c>
    </row>
    <row r="84" customFormat="false" ht="15" hidden="false" customHeight="false" outlineLevel="0" collapsed="false">
      <c r="B84" s="40" t="s">
        <v>300</v>
      </c>
      <c r="C84" s="40" t="s">
        <v>511</v>
      </c>
      <c r="D84" s="40" t="s">
        <v>410</v>
      </c>
      <c r="E84" s="40" t="s">
        <v>214</v>
      </c>
      <c r="F84" s="40" t="s">
        <v>460</v>
      </c>
      <c r="G84" s="40" t="s">
        <v>151</v>
      </c>
      <c r="H84" s="40" t="n">
        <v>1</v>
      </c>
      <c r="I84" s="40" t="s">
        <v>440</v>
      </c>
      <c r="J84" s="43" t="n">
        <v>0.27581025</v>
      </c>
      <c r="K84" s="43" t="n">
        <v>0.27581025</v>
      </c>
    </row>
    <row r="85" customFormat="false" ht="15" hidden="false" customHeight="false" outlineLevel="0" collapsed="false">
      <c r="B85" s="40" t="s">
        <v>255</v>
      </c>
      <c r="C85" s="40" t="s">
        <v>458</v>
      </c>
      <c r="D85" s="40" t="s">
        <v>409</v>
      </c>
      <c r="E85" s="40" t="s">
        <v>256</v>
      </c>
      <c r="F85" s="40" t="s">
        <v>433</v>
      </c>
      <c r="G85" s="40" t="s">
        <v>500</v>
      </c>
      <c r="H85" s="40" t="n">
        <v>1</v>
      </c>
      <c r="I85" s="40" t="s">
        <v>440</v>
      </c>
      <c r="J85" s="43" t="n">
        <v>0.23168925</v>
      </c>
      <c r="K85" s="43" t="n">
        <v>0.23168925</v>
      </c>
    </row>
    <row r="86" customFormat="false" ht="15" hidden="false" customHeight="false" outlineLevel="0" collapsed="false">
      <c r="B86" s="40" t="s">
        <v>512</v>
      </c>
      <c r="C86" s="40" t="s">
        <v>513</v>
      </c>
      <c r="D86" s="40" t="s">
        <v>409</v>
      </c>
      <c r="E86" s="40" t="s">
        <v>256</v>
      </c>
      <c r="F86" s="40" t="s">
        <v>433</v>
      </c>
      <c r="G86" s="40" t="s">
        <v>151</v>
      </c>
      <c r="H86" s="40" t="n">
        <v>1</v>
      </c>
      <c r="I86" s="40" t="s">
        <v>437</v>
      </c>
      <c r="J86" s="43" t="n">
        <v>0.20285325</v>
      </c>
      <c r="K86" s="40" t="n">
        <v>0</v>
      </c>
    </row>
    <row r="87" customFormat="false" ht="15" hidden="false" customHeight="false" outlineLevel="0" collapsed="false">
      <c r="B87" s="40" t="s">
        <v>514</v>
      </c>
      <c r="C87" s="40" t="s">
        <v>436</v>
      </c>
      <c r="D87" s="40" t="s">
        <v>409</v>
      </c>
      <c r="E87" s="40" t="s">
        <v>256</v>
      </c>
      <c r="F87" s="40" t="s">
        <v>433</v>
      </c>
      <c r="G87" s="40" t="s">
        <v>151</v>
      </c>
      <c r="H87" s="40" t="n">
        <v>1</v>
      </c>
      <c r="I87" s="40" t="s">
        <v>437</v>
      </c>
      <c r="J87" s="43" t="n">
        <v>0.20285325</v>
      </c>
      <c r="K87" s="40" t="n">
        <v>0</v>
      </c>
    </row>
    <row r="88" customFormat="false" ht="15" hidden="false" customHeight="false" outlineLevel="0" collapsed="false">
      <c r="B88" s="40" t="s">
        <v>257</v>
      </c>
      <c r="C88" s="40" t="s">
        <v>515</v>
      </c>
      <c r="D88" s="40" t="s">
        <v>409</v>
      </c>
      <c r="E88" s="40" t="s">
        <v>258</v>
      </c>
      <c r="F88" s="40" t="s">
        <v>433</v>
      </c>
      <c r="G88" s="40" t="s">
        <v>151</v>
      </c>
      <c r="H88" s="40" t="n">
        <v>1</v>
      </c>
      <c r="I88" s="40" t="s">
        <v>440</v>
      </c>
      <c r="J88" s="43" t="n">
        <v>0.20285325</v>
      </c>
      <c r="K88" s="43" t="n">
        <v>0.1521399375</v>
      </c>
    </row>
    <row r="89" customFormat="false" ht="15" hidden="false" customHeight="false" outlineLevel="0" collapsed="false">
      <c r="B89" s="40" t="s">
        <v>259</v>
      </c>
      <c r="C89" s="40" t="s">
        <v>516</v>
      </c>
      <c r="D89" s="40" t="s">
        <v>409</v>
      </c>
      <c r="E89" s="40" t="s">
        <v>258</v>
      </c>
      <c r="F89" s="40" t="s">
        <v>433</v>
      </c>
      <c r="G89" s="40" t="s">
        <v>151</v>
      </c>
      <c r="H89" s="40" t="n">
        <v>1</v>
      </c>
      <c r="I89" s="40" t="s">
        <v>440</v>
      </c>
      <c r="J89" s="43" t="n">
        <v>0.20285325</v>
      </c>
      <c r="K89" s="43" t="n">
        <v>0.20285325</v>
      </c>
    </row>
    <row r="90" customFormat="false" ht="15" hidden="false" customHeight="false" outlineLevel="0" collapsed="false">
      <c r="B90" s="40" t="s">
        <v>260</v>
      </c>
      <c r="C90" s="40" t="s">
        <v>436</v>
      </c>
      <c r="D90" s="40" t="s">
        <v>409</v>
      </c>
      <c r="E90" s="40" t="s">
        <v>258</v>
      </c>
      <c r="F90" s="40" t="s">
        <v>433</v>
      </c>
      <c r="G90" s="40" t="s">
        <v>151</v>
      </c>
      <c r="H90" s="40" t="n">
        <v>1</v>
      </c>
      <c r="I90" s="40" t="s">
        <v>440</v>
      </c>
      <c r="J90" s="43" t="n">
        <v>0.20285325</v>
      </c>
      <c r="K90" s="43" t="n">
        <v>0.20285325</v>
      </c>
    </row>
    <row r="91" customFormat="false" ht="15" hidden="false" customHeight="false" outlineLevel="0" collapsed="false">
      <c r="B91" s="40" t="s">
        <v>261</v>
      </c>
      <c r="C91" s="40" t="s">
        <v>517</v>
      </c>
      <c r="D91" s="40" t="s">
        <v>409</v>
      </c>
      <c r="E91" s="40" t="s">
        <v>486</v>
      </c>
      <c r="F91" s="40" t="s">
        <v>460</v>
      </c>
      <c r="G91" s="40" t="s">
        <v>151</v>
      </c>
      <c r="H91" s="40" t="n">
        <v>1</v>
      </c>
      <c r="I91" s="40" t="s">
        <v>440</v>
      </c>
      <c r="J91" s="43" t="n">
        <v>0.27581025</v>
      </c>
      <c r="K91" s="43" t="n">
        <v>0.27581025</v>
      </c>
    </row>
    <row r="92" customFormat="false" ht="15" hidden="false" customHeight="false" outlineLevel="0" collapsed="false">
      <c r="B92" s="40" t="s">
        <v>262</v>
      </c>
      <c r="C92" s="40" t="s">
        <v>441</v>
      </c>
      <c r="D92" s="40" t="s">
        <v>408</v>
      </c>
      <c r="E92" s="40" t="s">
        <v>263</v>
      </c>
      <c r="F92" s="40" t="s">
        <v>433</v>
      </c>
      <c r="G92" s="40" t="s">
        <v>151</v>
      </c>
      <c r="H92" s="40" t="n">
        <v>1</v>
      </c>
      <c r="I92" s="40" t="s">
        <v>440</v>
      </c>
      <c r="J92" s="43" t="n">
        <v>0.23168925</v>
      </c>
      <c r="K92" s="43" t="n">
        <v>0.23168925</v>
      </c>
    </row>
    <row r="93" customFormat="false" ht="15" hidden="false" customHeight="false" outlineLevel="0" collapsed="false">
      <c r="B93" s="40" t="s">
        <v>264</v>
      </c>
      <c r="C93" s="40" t="s">
        <v>518</v>
      </c>
      <c r="D93" s="40" t="s">
        <v>408</v>
      </c>
      <c r="E93" s="40" t="s">
        <v>263</v>
      </c>
      <c r="F93" s="40" t="s">
        <v>433</v>
      </c>
      <c r="G93" s="40" t="s">
        <v>151</v>
      </c>
      <c r="H93" s="40" t="n">
        <v>1</v>
      </c>
      <c r="I93" s="40" t="s">
        <v>440</v>
      </c>
      <c r="J93" s="43" t="n">
        <v>0.20285325</v>
      </c>
      <c r="K93" s="43" t="n">
        <v>0.20285325</v>
      </c>
    </row>
    <row r="94" customFormat="false" ht="15" hidden="false" customHeight="false" outlineLevel="0" collapsed="false">
      <c r="B94" s="40" t="s">
        <v>302</v>
      </c>
      <c r="C94" s="40" t="s">
        <v>518</v>
      </c>
      <c r="D94" s="40" t="s">
        <v>408</v>
      </c>
      <c r="E94" s="40" t="s">
        <v>263</v>
      </c>
      <c r="F94" s="40" t="s">
        <v>433</v>
      </c>
      <c r="G94" s="40" t="s">
        <v>151</v>
      </c>
      <c r="H94" s="40" t="n">
        <v>1</v>
      </c>
      <c r="I94" s="40" t="s">
        <v>440</v>
      </c>
      <c r="J94" s="43" t="n">
        <v>0.20285325</v>
      </c>
      <c r="K94" s="43" t="n">
        <v>0.20285325</v>
      </c>
    </row>
    <row r="95" customFormat="false" ht="15" hidden="false" customHeight="false" outlineLevel="0" collapsed="false">
      <c r="B95" s="40" t="s">
        <v>265</v>
      </c>
      <c r="C95" s="40" t="s">
        <v>513</v>
      </c>
      <c r="D95" s="40" t="s">
        <v>408</v>
      </c>
      <c r="E95" s="40" t="s">
        <v>263</v>
      </c>
      <c r="F95" s="40" t="s">
        <v>433</v>
      </c>
      <c r="G95" s="40" t="s">
        <v>151</v>
      </c>
      <c r="H95" s="40" t="n">
        <v>1</v>
      </c>
      <c r="I95" s="40" t="s">
        <v>440</v>
      </c>
      <c r="J95" s="43" t="n">
        <v>0.20285325</v>
      </c>
      <c r="K95" s="43" t="n">
        <v>0.20285325</v>
      </c>
    </row>
    <row r="96" customFormat="false" ht="15" hidden="false" customHeight="false" outlineLevel="0" collapsed="false">
      <c r="B96" s="40" t="s">
        <v>266</v>
      </c>
      <c r="C96" s="40" t="s">
        <v>441</v>
      </c>
      <c r="D96" s="40" t="s">
        <v>408</v>
      </c>
      <c r="E96" s="40" t="s">
        <v>267</v>
      </c>
      <c r="F96" s="40" t="s">
        <v>433</v>
      </c>
      <c r="G96" s="40" t="s">
        <v>151</v>
      </c>
      <c r="H96" s="40" t="n">
        <v>1</v>
      </c>
      <c r="I96" s="40" t="s">
        <v>440</v>
      </c>
      <c r="J96" s="43" t="n">
        <v>0.23168925</v>
      </c>
      <c r="K96" s="43" t="n">
        <v>0.23168925</v>
      </c>
    </row>
    <row r="97" customFormat="false" ht="15" hidden="false" customHeight="false" outlineLevel="0" collapsed="false">
      <c r="B97" s="40" t="s">
        <v>268</v>
      </c>
      <c r="C97" s="40" t="s">
        <v>438</v>
      </c>
      <c r="D97" s="40" t="s">
        <v>408</v>
      </c>
      <c r="E97" s="40" t="s">
        <v>267</v>
      </c>
      <c r="F97" s="40" t="s">
        <v>433</v>
      </c>
      <c r="G97" s="40" t="s">
        <v>151</v>
      </c>
      <c r="H97" s="40" t="n">
        <v>1</v>
      </c>
      <c r="I97" s="40" t="s">
        <v>440</v>
      </c>
      <c r="J97" s="43" t="n">
        <v>0.17048975</v>
      </c>
      <c r="K97" s="43" t="n">
        <v>0.1278673125</v>
      </c>
    </row>
    <row r="98" customFormat="false" ht="15" hidden="false" customHeight="false" outlineLevel="0" collapsed="false">
      <c r="B98" s="40" t="s">
        <v>519</v>
      </c>
      <c r="C98" s="40" t="s">
        <v>520</v>
      </c>
      <c r="D98" s="40" t="s">
        <v>408</v>
      </c>
      <c r="E98" s="40" t="s">
        <v>267</v>
      </c>
      <c r="F98" s="40" t="s">
        <v>433</v>
      </c>
      <c r="G98" s="40" t="s">
        <v>151</v>
      </c>
      <c r="H98" s="40" t="n">
        <v>1</v>
      </c>
      <c r="I98" s="40" t="s">
        <v>437</v>
      </c>
      <c r="J98" s="43" t="n">
        <v>0.12257175</v>
      </c>
      <c r="K98" s="40" t="n">
        <v>0</v>
      </c>
    </row>
    <row r="99" customFormat="false" ht="15" hidden="false" customHeight="false" outlineLevel="0" collapsed="false">
      <c r="B99" s="40" t="s">
        <v>269</v>
      </c>
      <c r="C99" s="40" t="s">
        <v>486</v>
      </c>
      <c r="D99" s="40" t="s">
        <v>408</v>
      </c>
      <c r="E99" s="40" t="s">
        <v>486</v>
      </c>
      <c r="F99" s="40" t="s">
        <v>460</v>
      </c>
      <c r="G99" s="40" t="s">
        <v>151</v>
      </c>
      <c r="H99" s="40" t="n">
        <v>1</v>
      </c>
      <c r="I99" s="40" t="s">
        <v>440</v>
      </c>
      <c r="J99" s="43" t="n">
        <v>0.27581025</v>
      </c>
      <c r="K99" s="43" t="n">
        <v>0.27581025</v>
      </c>
    </row>
    <row r="100" customFormat="false" ht="15" hidden="false" customHeight="false" outlineLevel="0" collapsed="false">
      <c r="B100" s="40" t="s">
        <v>303</v>
      </c>
      <c r="C100" s="40" t="s">
        <v>521</v>
      </c>
      <c r="D100" s="40" t="s">
        <v>408</v>
      </c>
      <c r="E100" s="40" t="s">
        <v>214</v>
      </c>
      <c r="F100" s="40" t="s">
        <v>460</v>
      </c>
      <c r="G100" s="40" t="s">
        <v>151</v>
      </c>
      <c r="H100" s="40" t="n">
        <v>1</v>
      </c>
      <c r="I100" s="40" t="s">
        <v>440</v>
      </c>
      <c r="J100" s="43" t="n">
        <v>0.27581025</v>
      </c>
      <c r="K100" s="43" t="n">
        <v>0.27581025</v>
      </c>
    </row>
    <row r="101" customFormat="false" ht="15" hidden="false" customHeight="false" outlineLevel="0" collapsed="false">
      <c r="B101" s="40" t="s">
        <v>522</v>
      </c>
      <c r="C101" s="40" t="s">
        <v>441</v>
      </c>
      <c r="D101" s="40" t="s">
        <v>405</v>
      </c>
      <c r="E101" s="40" t="s">
        <v>523</v>
      </c>
      <c r="F101" s="40" t="s">
        <v>433</v>
      </c>
      <c r="G101" s="40" t="s">
        <v>151</v>
      </c>
      <c r="H101" s="40" t="n">
        <v>1</v>
      </c>
      <c r="I101" s="40" t="s">
        <v>437</v>
      </c>
      <c r="J101" s="43" t="n">
        <v>0.27581025</v>
      </c>
      <c r="K101" s="40" t="n">
        <v>0</v>
      </c>
    </row>
    <row r="102" customFormat="false" ht="15" hidden="false" customHeight="false" outlineLevel="0" collapsed="false">
      <c r="B102" s="40" t="s">
        <v>524</v>
      </c>
      <c r="C102" s="40" t="s">
        <v>443</v>
      </c>
      <c r="D102" s="40" t="s">
        <v>405</v>
      </c>
      <c r="E102" s="40" t="s">
        <v>523</v>
      </c>
      <c r="F102" s="40" t="s">
        <v>433</v>
      </c>
      <c r="G102" s="40" t="s">
        <v>151</v>
      </c>
      <c r="H102" s="40" t="n">
        <v>1</v>
      </c>
      <c r="I102" s="40" t="s">
        <v>437</v>
      </c>
      <c r="J102" s="43" t="n">
        <v>0.20285325</v>
      </c>
      <c r="K102" s="40" t="n">
        <v>0</v>
      </c>
    </row>
    <row r="103" customFormat="false" ht="15" hidden="false" customHeight="false" outlineLevel="0" collapsed="false">
      <c r="B103" s="40" t="s">
        <v>525</v>
      </c>
      <c r="C103" s="40" t="s">
        <v>444</v>
      </c>
      <c r="D103" s="40" t="s">
        <v>405</v>
      </c>
      <c r="E103" s="40" t="s">
        <v>271</v>
      </c>
      <c r="F103" s="40" t="s">
        <v>433</v>
      </c>
      <c r="G103" s="40" t="s">
        <v>151</v>
      </c>
      <c r="H103" s="40" t="n">
        <v>1</v>
      </c>
      <c r="I103" s="40" t="s">
        <v>437</v>
      </c>
      <c r="J103" s="43" t="n">
        <v>0.17048975</v>
      </c>
      <c r="K103" s="40" t="n">
        <v>0</v>
      </c>
    </row>
    <row r="104" customFormat="false" ht="15" hidden="false" customHeight="false" outlineLevel="0" collapsed="false">
      <c r="B104" s="40" t="s">
        <v>270</v>
      </c>
      <c r="C104" s="40" t="s">
        <v>526</v>
      </c>
      <c r="D104" s="40" t="s">
        <v>405</v>
      </c>
      <c r="E104" s="40" t="s">
        <v>271</v>
      </c>
      <c r="F104" s="40" t="s">
        <v>433</v>
      </c>
      <c r="G104" s="40" t="s">
        <v>500</v>
      </c>
      <c r="H104" s="40" t="n">
        <v>1</v>
      </c>
      <c r="I104" s="40" t="s">
        <v>440</v>
      </c>
      <c r="J104" s="43" t="n">
        <v>0.23168925</v>
      </c>
      <c r="K104" s="43" t="n">
        <v>0.23168925</v>
      </c>
    </row>
    <row r="105" customFormat="false" ht="15" hidden="false" customHeight="false" outlineLevel="0" collapsed="false">
      <c r="B105" s="40" t="s">
        <v>272</v>
      </c>
      <c r="C105" s="40" t="s">
        <v>438</v>
      </c>
      <c r="D105" s="40" t="s">
        <v>405</v>
      </c>
      <c r="E105" s="40" t="s">
        <v>273</v>
      </c>
      <c r="F105" s="40" t="s">
        <v>433</v>
      </c>
      <c r="G105" s="40" t="s">
        <v>151</v>
      </c>
      <c r="H105" s="40" t="n">
        <v>1</v>
      </c>
      <c r="I105" s="40" t="s">
        <v>440</v>
      </c>
      <c r="J105" s="43" t="n">
        <v>0.27581025</v>
      </c>
      <c r="K105" s="43" t="n">
        <v>0.27581025</v>
      </c>
    </row>
    <row r="106" customFormat="false" ht="15" hidden="false" customHeight="false" outlineLevel="0" collapsed="false">
      <c r="B106" s="40" t="s">
        <v>304</v>
      </c>
      <c r="C106" s="40" t="s">
        <v>527</v>
      </c>
      <c r="D106" s="40" t="s">
        <v>405</v>
      </c>
      <c r="E106" s="40" t="s">
        <v>485</v>
      </c>
      <c r="F106" s="40" t="s">
        <v>460</v>
      </c>
      <c r="G106" s="40" t="s">
        <v>20</v>
      </c>
      <c r="H106" s="40" t="n">
        <v>1</v>
      </c>
      <c r="I106" s="40" t="s">
        <v>455</v>
      </c>
      <c r="J106" s="43" t="n">
        <v>0.291422</v>
      </c>
      <c r="K106" s="43" t="n">
        <v>0.291422</v>
      </c>
    </row>
    <row r="107" customFormat="false" ht="15" hidden="false" customHeight="false" outlineLevel="0" collapsed="false">
      <c r="B107" s="40" t="s">
        <v>274</v>
      </c>
      <c r="C107" s="40" t="s">
        <v>486</v>
      </c>
      <c r="D107" s="40" t="s">
        <v>405</v>
      </c>
      <c r="E107" s="40" t="s">
        <v>486</v>
      </c>
      <c r="F107" s="40" t="s">
        <v>460</v>
      </c>
      <c r="G107" s="40" t="s">
        <v>151</v>
      </c>
      <c r="H107" s="40" t="n">
        <v>1</v>
      </c>
      <c r="I107" s="40" t="s">
        <v>440</v>
      </c>
      <c r="J107" s="43" t="n">
        <v>0.20285325</v>
      </c>
      <c r="K107" s="43" t="n">
        <v>0.20285325</v>
      </c>
    </row>
    <row r="108" customFormat="false" ht="15" hidden="false" customHeight="false" outlineLevel="0" collapsed="false">
      <c r="B108" s="40" t="s">
        <v>528</v>
      </c>
      <c r="C108" s="40" t="s">
        <v>529</v>
      </c>
      <c r="D108" s="40" t="s">
        <v>400</v>
      </c>
      <c r="E108" s="40" t="s">
        <v>306</v>
      </c>
      <c r="F108" s="40" t="s">
        <v>433</v>
      </c>
      <c r="G108" s="40" t="s">
        <v>151</v>
      </c>
      <c r="H108" s="40" t="n">
        <v>1</v>
      </c>
      <c r="I108" s="40" t="s">
        <v>437</v>
      </c>
      <c r="J108" s="43" t="n">
        <v>0.20285325</v>
      </c>
      <c r="K108" s="40" t="n">
        <v>0</v>
      </c>
    </row>
    <row r="109" customFormat="false" ht="15" hidden="false" customHeight="false" outlineLevel="0" collapsed="false">
      <c r="B109" s="40" t="s">
        <v>530</v>
      </c>
      <c r="C109" s="40" t="s">
        <v>531</v>
      </c>
      <c r="D109" s="40" t="s">
        <v>400</v>
      </c>
      <c r="E109" s="40" t="s">
        <v>306</v>
      </c>
      <c r="F109" s="40" t="s">
        <v>433</v>
      </c>
      <c r="G109" s="40" t="s">
        <v>151</v>
      </c>
      <c r="H109" s="40" t="n">
        <v>1</v>
      </c>
      <c r="I109" s="40" t="s">
        <v>437</v>
      </c>
      <c r="J109" s="43" t="n">
        <v>0.20285325</v>
      </c>
      <c r="K109" s="40" t="n">
        <v>0</v>
      </c>
    </row>
    <row r="110" customFormat="false" ht="15" hidden="false" customHeight="false" outlineLevel="0" collapsed="false">
      <c r="B110" s="40" t="s">
        <v>305</v>
      </c>
      <c r="C110" s="40" t="s">
        <v>532</v>
      </c>
      <c r="D110" s="40" t="s">
        <v>400</v>
      </c>
      <c r="E110" s="40" t="s">
        <v>306</v>
      </c>
      <c r="F110" s="40" t="s">
        <v>433</v>
      </c>
      <c r="G110" s="40" t="s">
        <v>151</v>
      </c>
      <c r="H110" s="40" t="n">
        <v>1</v>
      </c>
      <c r="I110" s="40" t="s">
        <v>440</v>
      </c>
      <c r="J110" s="43" t="n">
        <v>0.17048975</v>
      </c>
      <c r="K110" s="43" t="n">
        <v>0.17048975</v>
      </c>
    </row>
    <row r="111" customFormat="false" ht="15" hidden="false" customHeight="false" outlineLevel="0" collapsed="false">
      <c r="B111" s="40" t="s">
        <v>533</v>
      </c>
      <c r="C111" s="40" t="s">
        <v>520</v>
      </c>
      <c r="D111" s="40" t="s">
        <v>400</v>
      </c>
      <c r="E111" s="40" t="s">
        <v>306</v>
      </c>
      <c r="F111" s="40" t="s">
        <v>433</v>
      </c>
      <c r="G111" s="40" t="s">
        <v>151</v>
      </c>
      <c r="H111" s="40" t="n">
        <v>1</v>
      </c>
      <c r="I111" s="40" t="s">
        <v>437</v>
      </c>
      <c r="J111" s="43" t="n">
        <v>0.12257175</v>
      </c>
      <c r="K111" s="40" t="n">
        <v>0</v>
      </c>
    </row>
    <row r="112" customFormat="false" ht="15" hidden="false" customHeight="false" outlineLevel="0" collapsed="false">
      <c r="B112" s="40" t="s">
        <v>275</v>
      </c>
      <c r="C112" s="40" t="s">
        <v>534</v>
      </c>
      <c r="D112" s="40" t="s">
        <v>535</v>
      </c>
      <c r="E112" s="40" t="s">
        <v>276</v>
      </c>
      <c r="F112" s="40" t="s">
        <v>433</v>
      </c>
      <c r="G112" s="40" t="s">
        <v>151</v>
      </c>
      <c r="H112" s="40" t="n">
        <v>1</v>
      </c>
      <c r="I112" s="40" t="s">
        <v>440</v>
      </c>
      <c r="J112" s="43" t="n">
        <v>0.4395</v>
      </c>
      <c r="K112" s="43" t="n">
        <v>0.4395</v>
      </c>
    </row>
    <row r="113" customFormat="false" ht="15" hidden="false" customHeight="false" outlineLevel="0" collapsed="false">
      <c r="B113" s="40" t="s">
        <v>277</v>
      </c>
      <c r="C113" s="40" t="s">
        <v>536</v>
      </c>
      <c r="D113" s="40" t="s">
        <v>535</v>
      </c>
      <c r="E113" s="40" t="s">
        <v>279</v>
      </c>
      <c r="F113" s="40" t="s">
        <v>460</v>
      </c>
      <c r="G113" s="40" t="s">
        <v>151</v>
      </c>
      <c r="H113" s="40" t="n">
        <v>1</v>
      </c>
      <c r="I113" s="40" t="s">
        <v>440</v>
      </c>
      <c r="J113" s="43" t="n">
        <v>0.27581025</v>
      </c>
      <c r="K113" s="43" t="n">
        <v>0.27581025</v>
      </c>
    </row>
    <row r="114" customFormat="false" ht="15" hidden="false" customHeight="false" outlineLevel="0" collapsed="false">
      <c r="B114" s="40" t="s">
        <v>307</v>
      </c>
      <c r="C114" s="40" t="s">
        <v>537</v>
      </c>
      <c r="D114" s="40" t="s">
        <v>535</v>
      </c>
      <c r="E114" s="40" t="s">
        <v>279</v>
      </c>
      <c r="F114" s="40" t="s">
        <v>460</v>
      </c>
      <c r="G114" s="40" t="s">
        <v>151</v>
      </c>
      <c r="H114" s="40" t="n">
        <v>1</v>
      </c>
      <c r="I114" s="40" t="s">
        <v>440</v>
      </c>
      <c r="J114" s="43" t="n">
        <v>0.27581025</v>
      </c>
      <c r="K114" s="43" t="n">
        <v>0.27581025</v>
      </c>
    </row>
    <row r="115" customFormat="false" ht="15" hidden="false" customHeight="false" outlineLevel="0" collapsed="false">
      <c r="B115" s="40" t="s">
        <v>280</v>
      </c>
      <c r="C115" s="40" t="s">
        <v>538</v>
      </c>
      <c r="D115" s="40" t="s">
        <v>535</v>
      </c>
      <c r="E115" s="40" t="s">
        <v>279</v>
      </c>
      <c r="F115" s="40" t="s">
        <v>433</v>
      </c>
      <c r="G115" s="40" t="s">
        <v>151</v>
      </c>
      <c r="H115" s="40" t="n">
        <v>1</v>
      </c>
      <c r="I115" s="40" t="s">
        <v>440</v>
      </c>
      <c r="J115" s="43" t="n">
        <v>0.23168925</v>
      </c>
      <c r="K115" s="43" t="n">
        <v>0.23168925</v>
      </c>
    </row>
    <row r="116" customFormat="false" ht="15" hidden="false" customHeight="false" outlineLevel="0" collapsed="false">
      <c r="B116" s="40" t="s">
        <v>281</v>
      </c>
      <c r="C116" s="40" t="s">
        <v>539</v>
      </c>
      <c r="D116" s="40" t="s">
        <v>535</v>
      </c>
      <c r="E116" s="40" t="s">
        <v>279</v>
      </c>
      <c r="F116" s="40" t="s">
        <v>433</v>
      </c>
      <c r="G116" s="40" t="s">
        <v>151</v>
      </c>
      <c r="H116" s="40" t="n">
        <v>1</v>
      </c>
      <c r="I116" s="40" t="s">
        <v>440</v>
      </c>
      <c r="J116" s="43" t="n">
        <v>0.23168925</v>
      </c>
      <c r="K116" s="43" t="n">
        <v>0.23168925</v>
      </c>
    </row>
    <row r="117" customFormat="false" ht="15" hidden="false" customHeight="false" outlineLevel="0" collapsed="false">
      <c r="B117" s="40" t="s">
        <v>282</v>
      </c>
      <c r="C117" s="40" t="s">
        <v>540</v>
      </c>
      <c r="D117" s="40" t="s">
        <v>535</v>
      </c>
      <c r="E117" s="40" t="s">
        <v>279</v>
      </c>
      <c r="F117" s="40" t="s">
        <v>433</v>
      </c>
      <c r="G117" s="40" t="s">
        <v>151</v>
      </c>
      <c r="H117" s="40" t="n">
        <v>1</v>
      </c>
      <c r="I117" s="40" t="s">
        <v>434</v>
      </c>
      <c r="J117" s="43" t="n">
        <v>0.20285325</v>
      </c>
      <c r="K117" s="43" t="n">
        <v>0.0811413</v>
      </c>
    </row>
    <row r="118" customFormat="false" ht="15" hidden="false" customHeight="false" outlineLevel="0" collapsed="false">
      <c r="B118" s="40" t="s">
        <v>283</v>
      </c>
      <c r="C118" s="40" t="s">
        <v>541</v>
      </c>
      <c r="D118" s="40" t="s">
        <v>535</v>
      </c>
      <c r="E118" s="40" t="s">
        <v>279</v>
      </c>
      <c r="F118" s="40" t="s">
        <v>433</v>
      </c>
      <c r="G118" s="40" t="s">
        <v>151</v>
      </c>
      <c r="H118" s="40" t="n">
        <v>1</v>
      </c>
      <c r="I118" s="40" t="s">
        <v>434</v>
      </c>
      <c r="J118" s="43" t="n">
        <v>0.17048975</v>
      </c>
      <c r="K118" s="43" t="n">
        <v>0.0681959</v>
      </c>
    </row>
    <row r="119" customFormat="false" ht="15" hidden="false" customHeight="false" outlineLevel="0" collapsed="false">
      <c r="B119" s="40" t="s">
        <v>284</v>
      </c>
      <c r="C119" s="40" t="s">
        <v>542</v>
      </c>
      <c r="D119" s="40" t="s">
        <v>535</v>
      </c>
      <c r="E119" s="40" t="s">
        <v>279</v>
      </c>
      <c r="F119" s="40" t="s">
        <v>433</v>
      </c>
      <c r="G119" s="40" t="s">
        <v>20</v>
      </c>
      <c r="H119" s="40" t="n">
        <v>1</v>
      </c>
      <c r="I119" s="40" t="s">
        <v>440</v>
      </c>
      <c r="J119" s="43" t="n">
        <v>0.15177198</v>
      </c>
      <c r="K119" s="43" t="n">
        <v>0.15177198</v>
      </c>
    </row>
    <row r="120" customFormat="false" ht="15" hidden="false" customHeight="false" outlineLevel="0" collapsed="false">
      <c r="B120" s="40" t="s">
        <v>543</v>
      </c>
      <c r="C120" s="40" t="s">
        <v>544</v>
      </c>
      <c r="D120" s="40" t="s">
        <v>545</v>
      </c>
      <c r="E120" s="40" t="s">
        <v>286</v>
      </c>
      <c r="F120" s="40" t="s">
        <v>460</v>
      </c>
      <c r="G120" s="40" t="s">
        <v>151</v>
      </c>
      <c r="H120" s="40" t="n">
        <v>1</v>
      </c>
      <c r="I120" s="40" t="s">
        <v>437</v>
      </c>
      <c r="J120" s="43" t="n">
        <v>0.27581025</v>
      </c>
      <c r="K120" s="40" t="n">
        <v>0</v>
      </c>
    </row>
    <row r="121" customFormat="false" ht="15" hidden="false" customHeight="false" outlineLevel="0" collapsed="false">
      <c r="B121" s="40" t="s">
        <v>285</v>
      </c>
      <c r="C121" s="40" t="s">
        <v>546</v>
      </c>
      <c r="D121" s="40" t="s">
        <v>545</v>
      </c>
      <c r="E121" s="40" t="s">
        <v>286</v>
      </c>
      <c r="F121" s="40" t="s">
        <v>460</v>
      </c>
      <c r="G121" s="40" t="s">
        <v>151</v>
      </c>
      <c r="H121" s="40" t="n">
        <v>1</v>
      </c>
      <c r="I121" s="40" t="s">
        <v>440</v>
      </c>
      <c r="J121" s="43" t="n">
        <v>0.23168925</v>
      </c>
      <c r="K121" s="43" t="n">
        <v>0.23168925</v>
      </c>
    </row>
    <row r="122" customFormat="false" ht="15" hidden="false" customHeight="false" outlineLevel="0" collapsed="false">
      <c r="B122" s="40" t="s">
        <v>287</v>
      </c>
      <c r="C122" s="40" t="s">
        <v>547</v>
      </c>
      <c r="D122" s="40" t="s">
        <v>545</v>
      </c>
      <c r="E122" s="40" t="s">
        <v>286</v>
      </c>
      <c r="F122" s="40" t="s">
        <v>460</v>
      </c>
      <c r="G122" s="40" t="s">
        <v>151</v>
      </c>
      <c r="H122" s="40" t="n">
        <v>1</v>
      </c>
      <c r="I122" s="40" t="s">
        <v>440</v>
      </c>
      <c r="J122" s="43" t="n">
        <v>0.23168925</v>
      </c>
      <c r="K122" s="43" t="n">
        <v>0.23168925</v>
      </c>
    </row>
    <row r="123" customFormat="false" ht="15" hidden="false" customHeight="false" outlineLevel="0" collapsed="false">
      <c r="B123" s="40" t="s">
        <v>288</v>
      </c>
      <c r="C123" s="40" t="s">
        <v>548</v>
      </c>
      <c r="D123" s="40" t="s">
        <v>545</v>
      </c>
      <c r="E123" s="40" t="s">
        <v>286</v>
      </c>
      <c r="F123" s="40" t="s">
        <v>460</v>
      </c>
      <c r="G123" s="40" t="s">
        <v>151</v>
      </c>
      <c r="H123" s="40" t="n">
        <v>1</v>
      </c>
      <c r="I123" s="40" t="s">
        <v>440</v>
      </c>
      <c r="J123" s="43" t="n">
        <v>0.23168925</v>
      </c>
      <c r="K123" s="43" t="n">
        <v>0.23168925</v>
      </c>
    </row>
    <row r="124" customFormat="false" ht="15" hidden="false" customHeight="false" outlineLevel="0" collapsed="false">
      <c r="B124" s="40" t="s">
        <v>289</v>
      </c>
      <c r="C124" s="40" t="s">
        <v>549</v>
      </c>
      <c r="D124" s="40" t="s">
        <v>545</v>
      </c>
      <c r="E124" s="40" t="s">
        <v>291</v>
      </c>
      <c r="F124" s="40" t="s">
        <v>433</v>
      </c>
      <c r="G124" s="40" t="s">
        <v>500</v>
      </c>
      <c r="H124" s="40" t="n">
        <v>1</v>
      </c>
      <c r="I124" s="40" t="s">
        <v>440</v>
      </c>
      <c r="J124" s="43" t="n">
        <v>0.3896061</v>
      </c>
      <c r="K124" s="43" t="n">
        <v>0.19480305</v>
      </c>
    </row>
    <row r="125" customFormat="false" ht="15" hidden="false" customHeight="false" outlineLevel="0" collapsed="false">
      <c r="B125" s="40" t="s">
        <v>292</v>
      </c>
      <c r="C125" s="40" t="s">
        <v>550</v>
      </c>
      <c r="D125" s="40" t="s">
        <v>545</v>
      </c>
      <c r="E125" s="40" t="s">
        <v>221</v>
      </c>
      <c r="F125" s="40" t="s">
        <v>460</v>
      </c>
      <c r="G125" s="40" t="s">
        <v>151</v>
      </c>
      <c r="H125" s="40" t="n">
        <v>1</v>
      </c>
      <c r="I125" s="40" t="s">
        <v>440</v>
      </c>
      <c r="J125" s="43" t="n">
        <v>0.33497295</v>
      </c>
      <c r="K125" s="43" t="n">
        <v>0.33497295</v>
      </c>
    </row>
    <row r="126" customFormat="false" ht="15" hidden="false" customHeight="false" outlineLevel="0" collapsed="false">
      <c r="B126" s="40" t="s">
        <v>308</v>
      </c>
      <c r="C126" s="40" t="s">
        <v>551</v>
      </c>
      <c r="D126" s="40" t="s">
        <v>545</v>
      </c>
      <c r="E126" s="40" t="s">
        <v>221</v>
      </c>
      <c r="F126" s="40" t="s">
        <v>460</v>
      </c>
      <c r="G126" s="40" t="s">
        <v>151</v>
      </c>
      <c r="H126" s="40" t="n">
        <v>1</v>
      </c>
      <c r="I126" s="40" t="s">
        <v>455</v>
      </c>
      <c r="J126" s="43" t="n">
        <v>0.33302025</v>
      </c>
      <c r="K126" s="43" t="n">
        <v>0.33302025</v>
      </c>
    </row>
    <row r="127" customFormat="false" ht="15" hidden="false" customHeight="false" outlineLevel="0" collapsed="false">
      <c r="B127" s="40" t="s">
        <v>309</v>
      </c>
      <c r="C127" s="40" t="s">
        <v>552</v>
      </c>
      <c r="D127" s="40" t="s">
        <v>545</v>
      </c>
      <c r="E127" s="40" t="s">
        <v>221</v>
      </c>
      <c r="F127" s="40" t="s">
        <v>433</v>
      </c>
      <c r="G127" s="40" t="s">
        <v>151</v>
      </c>
      <c r="H127" s="40" t="n">
        <v>1</v>
      </c>
      <c r="I127" s="40" t="s">
        <v>455</v>
      </c>
      <c r="J127" s="43" t="n">
        <v>0.1869</v>
      </c>
      <c r="K127" s="43" t="n">
        <v>0.1869</v>
      </c>
    </row>
    <row r="128" customFormat="false" ht="15" hidden="false" customHeight="false" outlineLevel="0" collapsed="false">
      <c r="B128" s="40" t="s">
        <v>310</v>
      </c>
      <c r="C128" s="40" t="s">
        <v>553</v>
      </c>
      <c r="D128" s="40" t="s">
        <v>545</v>
      </c>
      <c r="E128" s="40" t="s">
        <v>294</v>
      </c>
      <c r="F128" s="40" t="s">
        <v>433</v>
      </c>
      <c r="G128" s="40" t="s">
        <v>151</v>
      </c>
      <c r="H128" s="40" t="n">
        <v>1</v>
      </c>
      <c r="I128" s="40" t="s">
        <v>440</v>
      </c>
      <c r="J128" s="43" t="n">
        <v>0.27581025</v>
      </c>
      <c r="K128" s="43" t="n">
        <v>0.27581025</v>
      </c>
    </row>
    <row r="129" customFormat="false" ht="15" hidden="false" customHeight="false" outlineLevel="0" collapsed="false">
      <c r="B129" s="40" t="s">
        <v>293</v>
      </c>
      <c r="C129" s="40" t="s">
        <v>554</v>
      </c>
      <c r="D129" s="40" t="s">
        <v>545</v>
      </c>
      <c r="E129" s="40" t="s">
        <v>294</v>
      </c>
      <c r="F129" s="40" t="s">
        <v>433</v>
      </c>
      <c r="G129" s="40" t="s">
        <v>151</v>
      </c>
      <c r="H129" s="40" t="n">
        <v>1</v>
      </c>
      <c r="I129" s="40" t="s">
        <v>440</v>
      </c>
      <c r="J129" s="43" t="n">
        <v>0.20285325</v>
      </c>
      <c r="K129" s="43" t="n">
        <v>0.20285325</v>
      </c>
    </row>
    <row r="130" customFormat="false" ht="15" hidden="false" customHeight="false" outlineLevel="0" collapsed="false">
      <c r="B130" s="40" t="s">
        <v>555</v>
      </c>
      <c r="C130" s="40" t="s">
        <v>556</v>
      </c>
      <c r="D130" s="40" t="s">
        <v>545</v>
      </c>
      <c r="E130" s="40" t="s">
        <v>294</v>
      </c>
      <c r="F130" s="40" t="s">
        <v>433</v>
      </c>
      <c r="G130" s="40" t="s">
        <v>151</v>
      </c>
      <c r="H130" s="40" t="n">
        <v>1</v>
      </c>
      <c r="I130" s="40" t="s">
        <v>437</v>
      </c>
      <c r="J130" s="43" t="n">
        <v>0.17048975</v>
      </c>
      <c r="K130" s="40" t="n">
        <v>0</v>
      </c>
    </row>
    <row r="131" customFormat="false" ht="15" hidden="false" customHeight="false" outlineLevel="0" collapsed="false">
      <c r="B131" s="40" t="s">
        <v>311</v>
      </c>
      <c r="C131" s="40" t="s">
        <v>557</v>
      </c>
      <c r="D131" s="40" t="s">
        <v>399</v>
      </c>
      <c r="E131" s="40" t="s">
        <v>312</v>
      </c>
      <c r="F131" s="40" t="s">
        <v>433</v>
      </c>
      <c r="G131" s="40" t="s">
        <v>151</v>
      </c>
      <c r="H131" s="40" t="n">
        <v>1</v>
      </c>
      <c r="I131" s="40" t="s">
        <v>440</v>
      </c>
      <c r="J131" s="43" t="n">
        <v>0.2136</v>
      </c>
      <c r="K131" s="43" t="n">
        <v>0.2136</v>
      </c>
    </row>
    <row r="132" customFormat="false" ht="15" hidden="false" customHeight="false" outlineLevel="0" collapsed="false">
      <c r="B132" s="40" t="s">
        <v>313</v>
      </c>
      <c r="C132" s="40" t="s">
        <v>558</v>
      </c>
      <c r="D132" s="40" t="s">
        <v>400</v>
      </c>
      <c r="E132" s="40" t="s">
        <v>306</v>
      </c>
      <c r="F132" s="40" t="s">
        <v>433</v>
      </c>
      <c r="G132" s="40" t="s">
        <v>151</v>
      </c>
      <c r="H132" s="40" t="n">
        <v>1</v>
      </c>
      <c r="I132" s="40" t="s">
        <v>434</v>
      </c>
      <c r="J132" s="43" t="n">
        <v>0.17048975</v>
      </c>
      <c r="K132" s="43" t="n">
        <v>0.017048975</v>
      </c>
    </row>
    <row r="133" customFormat="false" ht="15" hidden="false" customHeight="false" outlineLevel="0" collapsed="false">
      <c r="B133" s="40" t="s">
        <v>314</v>
      </c>
      <c r="C133" s="40" t="s">
        <v>558</v>
      </c>
      <c r="D133" s="40" t="s">
        <v>400</v>
      </c>
      <c r="E133" s="40" t="s">
        <v>306</v>
      </c>
      <c r="F133" s="40" t="s">
        <v>433</v>
      </c>
      <c r="G133" s="40" t="s">
        <v>151</v>
      </c>
      <c r="H133" s="40" t="n">
        <v>1</v>
      </c>
      <c r="I133" s="40" t="s">
        <v>434</v>
      </c>
      <c r="J133" s="43" t="n">
        <v>0.17048975</v>
      </c>
      <c r="K133" s="43" t="n">
        <v>0.017048975</v>
      </c>
    </row>
    <row r="134" customFormat="false" ht="15" hidden="false" customHeight="false" outlineLevel="0" collapsed="false">
      <c r="B134" s="40" t="s">
        <v>315</v>
      </c>
      <c r="C134" s="40" t="s">
        <v>559</v>
      </c>
      <c r="D134" s="40" t="s">
        <v>399</v>
      </c>
      <c r="E134" s="40" t="s">
        <v>316</v>
      </c>
      <c r="F134" s="40" t="s">
        <v>433</v>
      </c>
      <c r="G134" s="40" t="s">
        <v>151</v>
      </c>
      <c r="H134" s="40" t="n">
        <v>1</v>
      </c>
      <c r="I134" s="40" t="s">
        <v>434</v>
      </c>
      <c r="J134" s="43" t="n">
        <v>0.17048975</v>
      </c>
      <c r="K134" s="43" t="n">
        <v>0.051146925</v>
      </c>
    </row>
    <row r="135" customFormat="false" ht="15" hidden="false" customHeight="false" outlineLevel="0" collapsed="false">
      <c r="B135" s="40" t="s">
        <v>317</v>
      </c>
      <c r="C135" s="40" t="s">
        <v>520</v>
      </c>
      <c r="D135" s="40" t="s">
        <v>400</v>
      </c>
      <c r="E135" s="40" t="s">
        <v>306</v>
      </c>
      <c r="F135" s="40" t="s">
        <v>433</v>
      </c>
      <c r="G135" s="40" t="s">
        <v>151</v>
      </c>
      <c r="H135" s="40" t="n">
        <v>1</v>
      </c>
      <c r="I135" s="40" t="s">
        <v>434</v>
      </c>
      <c r="J135" s="43" t="n">
        <v>0.12257175</v>
      </c>
      <c r="K135" s="43" t="n">
        <v>0.02451435</v>
      </c>
    </row>
    <row r="136" customFormat="false" ht="15" hidden="false" customHeight="false" outlineLevel="0" collapsed="false">
      <c r="B136" s="40" t="s">
        <v>560</v>
      </c>
      <c r="C136" s="40" t="s">
        <v>561</v>
      </c>
      <c r="D136" s="40" t="s">
        <v>545</v>
      </c>
      <c r="E136" s="40" t="s">
        <v>294</v>
      </c>
      <c r="F136" s="40" t="s">
        <v>433</v>
      </c>
      <c r="G136" s="40" t="s">
        <v>151</v>
      </c>
      <c r="H136" s="40" t="n">
        <v>1</v>
      </c>
      <c r="I136" s="40" t="s">
        <v>437</v>
      </c>
      <c r="J136" s="43" t="n">
        <v>0.17048975</v>
      </c>
      <c r="K136" s="40" t="n">
        <v>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2026-08-10T12:52:23Z</dcterms:created>
  <dc:creator>openpyxl</dc:creator>
  <dc:description/>
  <dc:language>en-US</dc:language>
  <cp:lastModifiedBy/>
  <dcterms:modified xsi:type="dcterms:W3CDTF">2026-08-11T01:42:04Z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