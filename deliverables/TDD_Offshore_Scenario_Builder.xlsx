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Start here" sheetId="1" state="visible" r:id="rId3"/>
    <sheet name="2 Pick roles" sheetId="2" state="visible" r:id="rId4"/>
    <sheet name="3 Compare" sheetId="3" state="visible" r:id="rId5"/>
    <sheet name="4 Lists" sheetId="4" state="hidden" r:id="rId6"/>
  </sheets>
  <definedNames>
    <definedName function="false" hidden="true" localSheetId="1" name="_xlnm._FilterDatabase" vbProcedure="false">'2 Pick roles'!$B$4:$O$544</definedName>
    <definedName function="false" hidden="false" name="MonthList" vbProcedure="false">'4 Lists'!$B$2:$B$19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<sst xmlns="http://schemas.openxmlformats.org/spreadsheetml/2006/main" count="4949" uniqueCount="1029">
  <si>
    <t xml:space="preserve">Offshore scenario builder</t>
  </si>
  <si>
    <t xml:space="preserve">Pick which roles move offshore and when. Compare up to three lists side by side and see the cost come out, month by month.</t>
  </si>
  <si>
    <t xml:space="preserve">Example</t>
  </si>
  <si>
    <t xml:space="preserve">List B</t>
  </si>
  <si>
    <t xml:space="preserve">List C</t>
  </si>
  <si>
    <t xml:space="preserve">Type over a yellow title to rename that list. The Example list holds a worked example - clear it on the Pick roles tab and make your own.</t>
  </si>
  <si>
    <t xml:space="preserve">Ten biggest roles you've picked ($m a year)</t>
  </si>
  <si>
    <t xml:space="preserve">Role</t>
  </si>
  <si>
    <t xml:space="preserve">Portfolio</t>
  </si>
  <si>
    <t xml:space="preserve">Lists</t>
  </si>
  <si>
    <t xml:space="preserve">$m / yr</t>
  </si>
  <si>
    <t xml:space="preserve">How to use it</t>
  </si>
  <si>
    <t xml:space="preserve">1.  Open the Pick roles tab and use the filter arrows to find the roles you want.</t>
  </si>
  <si>
    <t xml:space="preserve">2.  Set a role to Yes in List A, B or C, and choose the month it moves. It can sit in more than one list.</t>
  </si>
  <si>
    <t xml:space="preserve">3.  A role set to Yes turns green. If it has no month it flags red until you choose one.</t>
  </si>
  <si>
    <t xml:space="preserve">4.  This page and the Compare tab move as you go.</t>
  </si>
  <si>
    <t xml:space="preserve">How the money works</t>
  </si>
  <si>
    <t xml:space="preserve">A role that moves offshore costs 40% of its full onshore cost. What comes out is today's cost less that 40%.</t>
  </si>
  <si>
    <t xml:space="preserve">Roles on vendor day rates stay as they are. A held role costs nothing today, so moving it shows as added cost.</t>
  </si>
  <si>
    <t xml:space="preserve">The year is the calendar year (Ampol's December year-end). The horizon runs Jul-2026 to Dec-2027.</t>
  </si>
  <si>
    <t xml:space="preserve">Figures are A$ millions. NZ roles are converted at the planning rate.</t>
  </si>
  <si>
    <t xml:space="preserve">The tabs are locked so the sums can't break. Only the yellow cells take typing. Password to unlock: Tdd123.</t>
  </si>
  <si>
    <t xml:space="preserve">Built from the role mapping in TDD_FY27_Cost_Calc_0608 (11 August 2026), copied in full on the hidden data tab.</t>
  </si>
  <si>
    <t xml:space="preserve">Pick roles</t>
  </si>
  <si>
    <t xml:space="preserve">Filter to find a role, set it to Yes in List A, B or C, and choose the month it moves. A role can sit in more than one list.</t>
  </si>
  <si>
    <t xml:space="preserve">Role ID</t>
  </si>
  <si>
    <t xml:space="preserve">Squad or line</t>
  </si>
  <si>
    <t xml:space="preserve">AU / NZ</t>
  </si>
  <si>
    <t xml:space="preserve">Status</t>
  </si>
  <si>
    <t xml:space="preserve">FTE</t>
  </si>
  <si>
    <t xml:space="preserve">Cost today $m</t>
  </si>
  <si>
    <t xml:space="preserve">In A?</t>
  </si>
  <si>
    <t xml:space="preserve">A month</t>
  </si>
  <si>
    <t xml:space="preserve">In B?</t>
  </si>
  <si>
    <t xml:space="preserve">B month</t>
  </si>
  <si>
    <t xml:space="preserve">In C?</t>
  </si>
  <si>
    <t xml:space="preserve">C month</t>
  </si>
  <si>
    <t xml:space="preserve">Full onshore $m</t>
  </si>
  <si>
    <t xml:space="preserve">Taken out A $m/yr</t>
  </si>
  <si>
    <t xml:space="preserve">pos A</t>
  </si>
  <si>
    <t xml:space="preserve">2026 A $m</t>
  </si>
  <si>
    <t xml:space="preserve">2027 A $m</t>
  </si>
  <si>
    <t xml:space="preserve">Taken out B $m/yr</t>
  </si>
  <si>
    <t xml:space="preserve">pos B</t>
  </si>
  <si>
    <t xml:space="preserve">2026 B $m</t>
  </si>
  <si>
    <t xml:space="preserve">2027 B $m</t>
  </si>
  <si>
    <t xml:space="preserve">Taken out C $m/yr</t>
  </si>
  <si>
    <t xml:space="preserve">pos C</t>
  </si>
  <si>
    <t xml:space="preserve">2026 C $m</t>
  </si>
  <si>
    <t xml:space="preserve">2027 C $m</t>
  </si>
  <si>
    <t xml:space="preserve">In any list?</t>
  </si>
  <si>
    <t xml:space="preserve">Best taken out $m/yr</t>
  </si>
  <si>
    <t xml:space="preserve">rank</t>
  </si>
  <si>
    <t xml:space="preserve">R0001</t>
  </si>
  <si>
    <t xml:space="preserve">Delivery Lead</t>
  </si>
  <si>
    <t xml:space="preserve">EGI Integration</t>
  </si>
  <si>
    <t xml:space="preserve">EGI Customer</t>
  </si>
  <si>
    <t xml:space="preserve">AU</t>
  </si>
  <si>
    <t xml:space="preserve">Filled</t>
  </si>
  <si>
    <t xml:space="preserve">No</t>
  </si>
  <si>
    <t xml:space="preserve">R0002</t>
  </si>
  <si>
    <t xml:space="preserve">Snr Business Analyst</t>
  </si>
  <si>
    <t xml:space="preserve">Ampol Customer</t>
  </si>
  <si>
    <t xml:space="preserve">Ampol Web</t>
  </si>
  <si>
    <t xml:space="preserve">Yes</t>
  </si>
  <si>
    <t xml:space="preserve">Oct-2026</t>
  </si>
  <si>
    <t xml:space="preserve">R0003</t>
  </si>
  <si>
    <t xml:space="preserve">Ampol App</t>
  </si>
  <si>
    <t xml:space="preserve">R0004</t>
  </si>
  <si>
    <t xml:space="preserve">Business Analyst (SAP Payroll)</t>
  </si>
  <si>
    <t xml:space="preserve">EGI</t>
  </si>
  <si>
    <t xml:space="preserve">R0005</t>
  </si>
  <si>
    <t xml:space="preserve">Project Manager (PEP13-EGI-UKG)</t>
  </si>
  <si>
    <t xml:space="preserve">R0006</t>
  </si>
  <si>
    <t xml:space="preserve">Program Architect</t>
  </si>
  <si>
    <t xml:space="preserve">R0007</t>
  </si>
  <si>
    <t xml:space="preserve">TDD Strategic Delivery</t>
  </si>
  <si>
    <t xml:space="preserve">R0008</t>
  </si>
  <si>
    <t xml:space="preserve">Strategic Delivery Consultant</t>
  </si>
  <si>
    <t xml:space="preserve">R0009</t>
  </si>
  <si>
    <t xml:space="preserve">Program Manager (PEP13-EGI-UKG)</t>
  </si>
  <si>
    <t xml:space="preserve">R0010</t>
  </si>
  <si>
    <t xml:space="preserve">Program Manager Tech &amp; P&amp;C</t>
  </si>
  <si>
    <t xml:space="preserve">R0011</t>
  </si>
  <si>
    <t xml:space="preserve">Project Manager Retail</t>
  </si>
  <si>
    <t xml:space="preserve">R0012</t>
  </si>
  <si>
    <t xml:space="preserve">R0013</t>
  </si>
  <si>
    <t xml:space="preserve">R0014</t>
  </si>
  <si>
    <t xml:space="preserve">Project Manager Deployment</t>
  </si>
  <si>
    <t xml:space="preserve">R0015</t>
  </si>
  <si>
    <t xml:space="preserve">Reporting Analyst</t>
  </si>
  <si>
    <t xml:space="preserve">Infrastructure</t>
  </si>
  <si>
    <t xml:space="preserve">Data &amp; Insights</t>
  </si>
  <si>
    <t xml:space="preserve">R0016</t>
  </si>
  <si>
    <t xml:space="preserve">QA / Tester / Mid</t>
  </si>
  <si>
    <t xml:space="preserve">Ampol Loyalty &amp; Martech</t>
  </si>
  <si>
    <t xml:space="preserve">Vendor day rates</t>
  </si>
  <si>
    <t xml:space="preserve">R0017</t>
  </si>
  <si>
    <t xml:space="preserve">Systems Analyst / Mid</t>
  </si>
  <si>
    <t xml:space="preserve">R0018</t>
  </si>
  <si>
    <t xml:space="preserve">Data Migration Lead</t>
  </si>
  <si>
    <t xml:space="preserve">EGI TDD</t>
  </si>
  <si>
    <t xml:space="preserve">R0019</t>
  </si>
  <si>
    <t xml:space="preserve">.NET Back End Developer / Mid</t>
  </si>
  <si>
    <t xml:space="preserve">Digital Operations</t>
  </si>
  <si>
    <t xml:space="preserve">R0020</t>
  </si>
  <si>
    <t xml:space="preserve">R0021</t>
  </si>
  <si>
    <t xml:space="preserve">R0022</t>
  </si>
  <si>
    <t xml:space="preserve">R0023</t>
  </si>
  <si>
    <t xml:space="preserve">Integration Architect (C) - Boomi</t>
  </si>
  <si>
    <t xml:space="preserve">R0024</t>
  </si>
  <si>
    <t xml:space="preserve">Integration Architect (C)</t>
  </si>
  <si>
    <t xml:space="preserve">NZ</t>
  </si>
  <si>
    <t xml:space="preserve">R0025</t>
  </si>
  <si>
    <t xml:space="preserve">Engineer - Mobile</t>
  </si>
  <si>
    <t xml:space="preserve">R0026</t>
  </si>
  <si>
    <t xml:space="preserve">Solution Architect</t>
  </si>
  <si>
    <t xml:space="preserve">R0027</t>
  </si>
  <si>
    <t xml:space="preserve">Business Analyst Digital</t>
  </si>
  <si>
    <t xml:space="preserve">R0028</t>
  </si>
  <si>
    <t xml:space="preserve">Quality Assurance</t>
  </si>
  <si>
    <t xml:space="preserve">Already at the offshore rate</t>
  </si>
  <si>
    <t xml:space="preserve">R0029</t>
  </si>
  <si>
    <t xml:space="preserve">Lead Engineer - Mobile</t>
  </si>
  <si>
    <t xml:space="preserve">R0030</t>
  </si>
  <si>
    <t xml:space="preserve">R0031</t>
  </si>
  <si>
    <t xml:space="preserve">R0032</t>
  </si>
  <si>
    <t xml:space="preserve">Delivery Lead - Integration</t>
  </si>
  <si>
    <t xml:space="preserve">R0033</t>
  </si>
  <si>
    <t xml:space="preserve">SAP Solution Architect</t>
  </si>
  <si>
    <t xml:space="preserve">SAP ERP</t>
  </si>
  <si>
    <t xml:space="preserve">R0034</t>
  </si>
  <si>
    <t xml:space="preserve">Project Manger</t>
  </si>
  <si>
    <t xml:space="preserve">R0035</t>
  </si>
  <si>
    <t xml:space="preserve">strategic program architect</t>
  </si>
  <si>
    <t xml:space="preserve">R0036</t>
  </si>
  <si>
    <t xml:space="preserve">Engineer - BE</t>
  </si>
  <si>
    <t xml:space="preserve">R0037</t>
  </si>
  <si>
    <t xml:space="preserve">R0038</t>
  </si>
  <si>
    <t xml:space="preserve">R0039</t>
  </si>
  <si>
    <t xml:space="preserve">R0040</t>
  </si>
  <si>
    <t xml:space="preserve">Business Analyst</t>
  </si>
  <si>
    <t xml:space="preserve">EGI Retail</t>
  </si>
  <si>
    <t xml:space="preserve">R0041</t>
  </si>
  <si>
    <t xml:space="preserve">DeveloperSAP ECC</t>
  </si>
  <si>
    <t xml:space="preserve">R0042</t>
  </si>
  <si>
    <t xml:space="preserve">Commercial Director</t>
  </si>
  <si>
    <t xml:space="preserve">NA</t>
  </si>
  <si>
    <t xml:space="preserve">Commercial</t>
  </si>
  <si>
    <t xml:space="preserve">Vacant, hire planned</t>
  </si>
  <si>
    <t xml:space="preserve">R0043</t>
  </si>
  <si>
    <t xml:space="preserve">Head of Technology, Loyalty &amp; Mart</t>
  </si>
  <si>
    <t xml:space="preserve">Z ENERGY (DIGITAL)</t>
  </si>
  <si>
    <t xml:space="preserve">Head of Technology</t>
  </si>
  <si>
    <t xml:space="preserve">R0044</t>
  </si>
  <si>
    <t xml:space="preserve">Head of Technology - Digital</t>
  </si>
  <si>
    <t xml:space="preserve">R0045</t>
  </si>
  <si>
    <t xml:space="preserve">Head of Technology - TDD &amp; Enginee</t>
  </si>
  <si>
    <t xml:space="preserve">TDD</t>
  </si>
  <si>
    <t xml:space="preserve">R0046</t>
  </si>
  <si>
    <t xml:space="preserve">Head of Technology - P&amp;C, Finance </t>
  </si>
  <si>
    <t xml:space="preserve">P&amp;C, Finance &amp; Legal</t>
  </si>
  <si>
    <t xml:space="preserve">R0047</t>
  </si>
  <si>
    <t xml:space="preserve">Head of Cyber Strategy &amp; Technolog</t>
  </si>
  <si>
    <t xml:space="preserve">Cyber Strat &amp; Tech</t>
  </si>
  <si>
    <t xml:space="preserve">R0048</t>
  </si>
  <si>
    <t xml:space="preserve">Head of Service Operations &amp; Assur</t>
  </si>
  <si>
    <t xml:space="preserve">Service Op &amp; Assurance</t>
  </si>
  <si>
    <t xml:space="preserve">R0049</t>
  </si>
  <si>
    <t xml:space="preserve">Portfolio Mnager</t>
  </si>
  <si>
    <t xml:space="preserve">R0050</t>
  </si>
  <si>
    <t xml:space="preserve">Technology Manager, Data Engineeri</t>
  </si>
  <si>
    <t xml:space="preserve">Enterprise Data</t>
  </si>
  <si>
    <t xml:space="preserve">Technology Manager</t>
  </si>
  <si>
    <t xml:space="preserve">R0051</t>
  </si>
  <si>
    <t xml:space="preserve">Principal, Data Architecture &amp; Gov</t>
  </si>
  <si>
    <t xml:space="preserve">Group Data</t>
  </si>
  <si>
    <t xml:space="preserve">R0052</t>
  </si>
  <si>
    <t xml:space="preserve">Head of Technology,  Group Data</t>
  </si>
  <si>
    <t xml:space="preserve">R0053</t>
  </si>
  <si>
    <t xml:space="preserve">Delivery Manager, Strategy, Archit</t>
  </si>
  <si>
    <t xml:space="preserve">Leadership</t>
  </si>
  <si>
    <t xml:space="preserve">R0054</t>
  </si>
  <si>
    <t xml:space="preserve">Head of Architecture</t>
  </si>
  <si>
    <t xml:space="preserve">R0055</t>
  </si>
  <si>
    <t xml:space="preserve">Head of Technology Strategy &amp; AI C</t>
  </si>
  <si>
    <t xml:space="preserve">R0056</t>
  </si>
  <si>
    <t xml:space="preserve">TDD BP - Infrastructure</t>
  </si>
  <si>
    <t xml:space="preserve">TDD Business Partner</t>
  </si>
  <si>
    <t xml:space="preserve">R0057</t>
  </si>
  <si>
    <t xml:space="preserve">TDD BP - T&amp;S</t>
  </si>
  <si>
    <t xml:space="preserve">R0058</t>
  </si>
  <si>
    <t xml:space="preserve">TDD BP - Z</t>
  </si>
  <si>
    <t xml:space="preserve">R0059</t>
  </si>
  <si>
    <t xml:space="preserve">TDD BP - Retail &amp; Customer - Store</t>
  </si>
  <si>
    <t xml:space="preserve">R0060</t>
  </si>
  <si>
    <t xml:space="preserve">TDD BP - ES</t>
  </si>
  <si>
    <t xml:space="preserve">R0061</t>
  </si>
  <si>
    <t xml:space="preserve">Head of Transformation</t>
  </si>
  <si>
    <t xml:space="preserve">Transformation</t>
  </si>
  <si>
    <t xml:space="preserve">R0062</t>
  </si>
  <si>
    <t xml:space="preserve">Head of Technology, Fuel Infrastru</t>
  </si>
  <si>
    <t xml:space="preserve">R0063</t>
  </si>
  <si>
    <t xml:space="preserve">Head of Technology, Commercial Fue</t>
  </si>
  <si>
    <t xml:space="preserve">Commercial Fuels</t>
  </si>
  <si>
    <t xml:space="preserve">R0064</t>
  </si>
  <si>
    <t xml:space="preserve">Head of Technology, B2B &amp; Energy S</t>
  </si>
  <si>
    <t xml:space="preserve">B2B &amp; Energy Solutions</t>
  </si>
  <si>
    <t xml:space="preserve">R0065</t>
  </si>
  <si>
    <t xml:space="preserve">Data Governance Lead</t>
  </si>
  <si>
    <t xml:space="preserve">R0066</t>
  </si>
  <si>
    <t xml:space="preserve">Head of Technology, AU Retail</t>
  </si>
  <si>
    <t xml:space="preserve">Retail</t>
  </si>
  <si>
    <t xml:space="preserve">R0067</t>
  </si>
  <si>
    <t xml:space="preserve">Head of Technology, Z and Group Re</t>
  </si>
  <si>
    <t xml:space="preserve">Z</t>
  </si>
  <si>
    <t xml:space="preserve">R0068</t>
  </si>
  <si>
    <t xml:space="preserve">Delivery Manager</t>
  </si>
  <si>
    <t xml:space="preserve">R0069</t>
  </si>
  <si>
    <t xml:space="preserve">Technology Manager – Data &amp; Engine</t>
  </si>
  <si>
    <t xml:space="preserve">R0070</t>
  </si>
  <si>
    <t xml:space="preserve">Technology Manager - Loyalty &amp; Mar</t>
  </si>
  <si>
    <t xml:space="preserve">R0071</t>
  </si>
  <si>
    <t xml:space="preserve">Head of AI enablement</t>
  </si>
  <si>
    <t xml:space="preserve">Customer, AI</t>
  </si>
  <si>
    <t xml:space="preserve">R0072</t>
  </si>
  <si>
    <t xml:space="preserve">Program Manager</t>
  </si>
  <si>
    <t xml:space="preserve">R0073</t>
  </si>
  <si>
    <t xml:space="preserve">R0074</t>
  </si>
  <si>
    <t xml:space="preserve">Design Manager</t>
  </si>
  <si>
    <t xml:space="preserve">Z App and Web</t>
  </si>
  <si>
    <t xml:space="preserve">R0075</t>
  </si>
  <si>
    <t xml:space="preserve">Technology Manager - Digital</t>
  </si>
  <si>
    <t xml:space="preserve">R0076</t>
  </si>
  <si>
    <t xml:space="preserve">Principal Engineer</t>
  </si>
  <si>
    <t xml:space="preserve">R0077</t>
  </si>
  <si>
    <t xml:space="preserve">Technology Manager, Engineering</t>
  </si>
  <si>
    <t xml:space="preserve">R0078</t>
  </si>
  <si>
    <t xml:space="preserve">Senior Systems Analyst</t>
  </si>
  <si>
    <t xml:space="preserve">Manufacturing Group Projects</t>
  </si>
  <si>
    <t xml:space="preserve">R0079</t>
  </si>
  <si>
    <t xml:space="preserve">Delivery manager</t>
  </si>
  <si>
    <t xml:space="preserve">R0080</t>
  </si>
  <si>
    <t xml:space="preserve">B2B &amp; Energy+B452:I452</t>
  </si>
  <si>
    <t xml:space="preserve">R0081</t>
  </si>
  <si>
    <t xml:space="preserve">Technology Manager, Future Infrast</t>
  </si>
  <si>
    <t xml:space="preserve">R0082</t>
  </si>
  <si>
    <t xml:space="preserve">Technology Manager Data</t>
  </si>
  <si>
    <t xml:space="preserve">R0083</t>
  </si>
  <si>
    <t xml:space="preserve">Manager Risk &amp; Resilience</t>
  </si>
  <si>
    <t xml:space="preserve">Cyber Risk</t>
  </si>
  <si>
    <t xml:space="preserve">R0084</t>
  </si>
  <si>
    <t xml:space="preserve">Manager Cyber Security GRC</t>
  </si>
  <si>
    <t xml:space="preserve">Cyber GRC</t>
  </si>
  <si>
    <t xml:space="preserve">R0085</t>
  </si>
  <si>
    <t xml:space="preserve">Manager Cyber Security Operations</t>
  </si>
  <si>
    <t xml:space="preserve">Cyber Sec Ops</t>
  </si>
  <si>
    <t xml:space="preserve">R0086</t>
  </si>
  <si>
    <t xml:space="preserve">Portfolio Manager Cyber Security</t>
  </si>
  <si>
    <t xml:space="preserve">Cyber Uplift</t>
  </si>
  <si>
    <t xml:space="preserve">R0087</t>
  </si>
  <si>
    <t xml:space="preserve">Data Operations Manager</t>
  </si>
  <si>
    <t xml:space="preserve">R0088</t>
  </si>
  <si>
    <t xml:space="preserve">Technology Manager  Data Science</t>
  </si>
  <si>
    <t xml:space="preserve">R0089</t>
  </si>
  <si>
    <t xml:space="preserve">Data Platforms</t>
  </si>
  <si>
    <t xml:space="preserve">R0090</t>
  </si>
  <si>
    <t xml:space="preserve">Technology Manager, Energy Solutio</t>
  </si>
  <si>
    <t xml:space="preserve">R0091</t>
  </si>
  <si>
    <t xml:space="preserve">Technology Manager - B2B</t>
  </si>
  <si>
    <t xml:space="preserve">R0092</t>
  </si>
  <si>
    <t xml:space="preserve">R0093</t>
  </si>
  <si>
    <t xml:space="preserve">Technology Manager, Merchandising </t>
  </si>
  <si>
    <t xml:space="preserve">R0094</t>
  </si>
  <si>
    <t xml:space="preserve">R0095</t>
  </si>
  <si>
    <t xml:space="preserve">Technology Manager, Retail</t>
  </si>
  <si>
    <t xml:space="preserve">R0096</t>
  </si>
  <si>
    <t xml:space="preserve">TDD BP, Group Functions</t>
  </si>
  <si>
    <t xml:space="preserve">R0097</t>
  </si>
  <si>
    <t xml:space="preserve">Technology Manager - T&amp;S</t>
  </si>
  <si>
    <t xml:space="preserve">R0098</t>
  </si>
  <si>
    <t xml:space="preserve">R0099</t>
  </si>
  <si>
    <t xml:space="preserve">Technology Manager, Data</t>
  </si>
  <si>
    <t xml:space="preserve">R0100</t>
  </si>
  <si>
    <t xml:space="preserve">Manager, Service Performance &amp; Ass</t>
  </si>
  <si>
    <t xml:space="preserve">R0101</t>
  </si>
  <si>
    <t xml:space="preserve">Program Manager - CTRM</t>
  </si>
  <si>
    <t xml:space="preserve">CTRM</t>
  </si>
  <si>
    <t xml:space="preserve">R0102</t>
  </si>
  <si>
    <t xml:space="preserve">Domain Architect - Group Functions</t>
  </si>
  <si>
    <t xml:space="preserve">Architecture</t>
  </si>
  <si>
    <t xml:space="preserve">R0103</t>
  </si>
  <si>
    <t xml:space="preserve">Enterprise Architect</t>
  </si>
  <si>
    <t xml:space="preserve">R0104</t>
  </si>
  <si>
    <t xml:space="preserve">Domain Architect - CFE &amp; Infrastru</t>
  </si>
  <si>
    <t xml:space="preserve">R0105</t>
  </si>
  <si>
    <t xml:space="preserve">Technology Manager, Enterprise Too</t>
  </si>
  <si>
    <t xml:space="preserve">R0106</t>
  </si>
  <si>
    <t xml:space="preserve">Technology Manager – DevOps and Qu</t>
  </si>
  <si>
    <t xml:space="preserve">R0107</t>
  </si>
  <si>
    <t xml:space="preserve">R0108</t>
  </si>
  <si>
    <t xml:space="preserve">R0109</t>
  </si>
  <si>
    <t xml:space="preserve">Delivery Excellence Manager</t>
  </si>
  <si>
    <t xml:space="preserve">R0110</t>
  </si>
  <si>
    <t xml:space="preserve">Held today</t>
  </si>
  <si>
    <t xml:space="preserve">R0111</t>
  </si>
  <si>
    <t xml:space="preserve">AI Capability Lead</t>
  </si>
  <si>
    <t xml:space="preserve">Technology Strategy &amp; AI Cap</t>
  </si>
  <si>
    <t xml:space="preserve">R0112</t>
  </si>
  <si>
    <t xml:space="preserve">Technology Manager, Integration &amp; </t>
  </si>
  <si>
    <t xml:space="preserve">R0113</t>
  </si>
  <si>
    <t xml:space="preserve">R0114</t>
  </si>
  <si>
    <t xml:space="preserve">Technology Manager – Cloud, Networ</t>
  </si>
  <si>
    <t xml:space="preserve">R0115</t>
  </si>
  <si>
    <t xml:space="preserve">Technology Manager, Store Platform</t>
  </si>
  <si>
    <t xml:space="preserve">R0116</t>
  </si>
  <si>
    <t xml:space="preserve">Technology Manager, Site Systems</t>
  </si>
  <si>
    <t xml:space="preserve">R0117</t>
  </si>
  <si>
    <t xml:space="preserve">R0118</t>
  </si>
  <si>
    <t xml:space="preserve">Delivery Assurance Manager</t>
  </si>
  <si>
    <t xml:space="preserve">R0119</t>
  </si>
  <si>
    <t xml:space="preserve">Portfolio Reporting Manager</t>
  </si>
  <si>
    <t xml:space="preserve">R0120</t>
  </si>
  <si>
    <t xml:space="preserve">R0121</t>
  </si>
  <si>
    <t xml:space="preserve">Program Manager POS</t>
  </si>
  <si>
    <t xml:space="preserve">AmPOS</t>
  </si>
  <si>
    <t xml:space="preserve">R0122</t>
  </si>
  <si>
    <t xml:space="preserve">Technology Manager – P&amp;C Platforms</t>
  </si>
  <si>
    <t xml:space="preserve">P&amp;C</t>
  </si>
  <si>
    <t xml:space="preserve">R0123</t>
  </si>
  <si>
    <t xml:space="preserve">Technology Manger - Finance Platfo</t>
  </si>
  <si>
    <t xml:space="preserve">Finance</t>
  </si>
  <si>
    <t xml:space="preserve">R0124</t>
  </si>
  <si>
    <t xml:space="preserve">R0125</t>
  </si>
  <si>
    <t xml:space="preserve">Program Manager </t>
  </si>
  <si>
    <t xml:space="preserve">R0126</t>
  </si>
  <si>
    <t xml:space="preserve">R0127</t>
  </si>
  <si>
    <t xml:space="preserve">R0128</t>
  </si>
  <si>
    <t xml:space="preserve">R0129</t>
  </si>
  <si>
    <t xml:space="preserve">Principal Experience Designer</t>
  </si>
  <si>
    <t xml:space="preserve">R0130</t>
  </si>
  <si>
    <t xml:space="preserve">Experience Designer</t>
  </si>
  <si>
    <t xml:space="preserve">R0131</t>
  </si>
  <si>
    <t xml:space="preserve">R0132</t>
  </si>
  <si>
    <t xml:space="preserve">R0133</t>
  </si>
  <si>
    <t xml:space="preserve">Martech Lead - Dynamics</t>
  </si>
  <si>
    <t xml:space="preserve">R0134</t>
  </si>
  <si>
    <t xml:space="preserve">Z Loyalty &amp; Martech</t>
  </si>
  <si>
    <t xml:space="preserve">R0135</t>
  </si>
  <si>
    <t xml:space="preserve">Marketing Technology Lead</t>
  </si>
  <si>
    <t xml:space="preserve">R0136</t>
  </si>
  <si>
    <t xml:space="preserve">Lead Quality Assurance</t>
  </si>
  <si>
    <t xml:space="preserve">R0137</t>
  </si>
  <si>
    <t xml:space="preserve">R0138</t>
  </si>
  <si>
    <t xml:space="preserve">R0139</t>
  </si>
  <si>
    <t xml:space="preserve">Digital Support Manager (AU)</t>
  </si>
  <si>
    <t xml:space="preserve">R0140</t>
  </si>
  <si>
    <t xml:space="preserve">Digital Support Manager - NZ</t>
  </si>
  <si>
    <t xml:space="preserve">R0141</t>
  </si>
  <si>
    <t xml:space="preserve">Project Manager</t>
  </si>
  <si>
    <t xml:space="preserve">R0142</t>
  </si>
  <si>
    <t xml:space="preserve">Lead Engineer - BE</t>
  </si>
  <si>
    <t xml:space="preserve">R0143</t>
  </si>
  <si>
    <t xml:space="preserve">R0144</t>
  </si>
  <si>
    <t xml:space="preserve">System Analyst</t>
  </si>
  <si>
    <t xml:space="preserve">Trading &amp; Shipping</t>
  </si>
  <si>
    <t xml:space="preserve">R0145</t>
  </si>
  <si>
    <t xml:space="preserve">Engineer Applications</t>
  </si>
  <si>
    <t xml:space="preserve">R0146</t>
  </si>
  <si>
    <t xml:space="preserve">R0147</t>
  </si>
  <si>
    <t xml:space="preserve">R0148</t>
  </si>
  <si>
    <t xml:space="preserve">Risk &amp; Resilience Lead</t>
  </si>
  <si>
    <t xml:space="preserve">R0149</t>
  </si>
  <si>
    <t xml:space="preserve">Site Systems</t>
  </si>
  <si>
    <t xml:space="preserve">R0150</t>
  </si>
  <si>
    <t xml:space="preserve">Z Retail Backend</t>
  </si>
  <si>
    <t xml:space="preserve">R0151</t>
  </si>
  <si>
    <t xml:space="preserve">R0152</t>
  </si>
  <si>
    <t xml:space="preserve">R0153</t>
  </si>
  <si>
    <t xml:space="preserve">Lead P&amp;C Platforms</t>
  </si>
  <si>
    <t xml:space="preserve">R0154</t>
  </si>
  <si>
    <t xml:space="preserve">R0155</t>
  </si>
  <si>
    <t xml:space="preserve">SAP HR Specialist</t>
  </si>
  <si>
    <t xml:space="preserve">R0156</t>
  </si>
  <si>
    <t xml:space="preserve">Senior Cyber GRC Specialist</t>
  </si>
  <si>
    <t xml:space="preserve">R0157</t>
  </si>
  <si>
    <t xml:space="preserve">SAP Functional Specialist</t>
  </si>
  <si>
    <t xml:space="preserve">R0158</t>
  </si>
  <si>
    <t xml:space="preserve">B2B</t>
  </si>
  <si>
    <t xml:space="preserve">R0159</t>
  </si>
  <si>
    <t xml:space="preserve">Senior Systems Analyst Card</t>
  </si>
  <si>
    <t xml:space="preserve">R0160</t>
  </si>
  <si>
    <t xml:space="preserve">R0161</t>
  </si>
  <si>
    <t xml:space="preserve">Lead Engineer - Software</t>
  </si>
  <si>
    <t xml:space="preserve">Z Supply</t>
  </si>
  <si>
    <t xml:space="preserve">R0162</t>
  </si>
  <si>
    <t xml:space="preserve">Lead  Engineer - Software</t>
  </si>
  <si>
    <t xml:space="preserve">R0163</t>
  </si>
  <si>
    <t xml:space="preserve">R0164</t>
  </si>
  <si>
    <t xml:space="preserve">Senior PM PEP1, PEP18</t>
  </si>
  <si>
    <t xml:space="preserve">R0165</t>
  </si>
  <si>
    <t xml:space="preserve">Energy</t>
  </si>
  <si>
    <t xml:space="preserve">R0166</t>
  </si>
  <si>
    <t xml:space="preserve">Lead Engineer Software</t>
  </si>
  <si>
    <t xml:space="preserve">EVCI</t>
  </si>
  <si>
    <t xml:space="preserve">R0167</t>
  </si>
  <si>
    <t xml:space="preserve">Energy Platforms Lead</t>
  </si>
  <si>
    <t xml:space="preserve">R0168</t>
  </si>
  <si>
    <t xml:space="preserve">Manager Identity &amp; Access Manageme</t>
  </si>
  <si>
    <t xml:space="preserve">Identity</t>
  </si>
  <si>
    <t xml:space="preserve">R0169</t>
  </si>
  <si>
    <t xml:space="preserve">Cyber Architecture Lead</t>
  </si>
  <si>
    <t xml:space="preserve">R0170</t>
  </si>
  <si>
    <t xml:space="preserve">Lead Reporting &amp; Insights</t>
  </si>
  <si>
    <t xml:space="preserve">Reporting &amp; Analytics</t>
  </si>
  <si>
    <t xml:space="preserve">R0171</t>
  </si>
  <si>
    <t xml:space="preserve">Lead Engineer</t>
  </si>
  <si>
    <t xml:space="preserve">R0172</t>
  </si>
  <si>
    <t xml:space="preserve">Application &amp; Analytics Manager</t>
  </si>
  <si>
    <t xml:space="preserve">EGI Ent Data</t>
  </si>
  <si>
    <t xml:space="preserve">R0173</t>
  </si>
  <si>
    <t xml:space="preserve">Data Architect</t>
  </si>
  <si>
    <t xml:space="preserve">R0174</t>
  </si>
  <si>
    <t xml:space="preserve">R0175</t>
  </si>
  <si>
    <t xml:space="preserve">R0176</t>
  </si>
  <si>
    <t xml:space="preserve">Senior Business Analyst</t>
  </si>
  <si>
    <t xml:space="preserve">R0177</t>
  </si>
  <si>
    <t xml:space="preserve">Senior Data Scientist</t>
  </si>
  <si>
    <t xml:space="preserve">Data Science</t>
  </si>
  <si>
    <t xml:space="preserve">R0178</t>
  </si>
  <si>
    <t xml:space="preserve">R0179</t>
  </si>
  <si>
    <t xml:space="preserve">R0180</t>
  </si>
  <si>
    <t xml:space="preserve">Distribution, Sales &amp; Servic</t>
  </si>
  <si>
    <t xml:space="preserve">R0181</t>
  </si>
  <si>
    <t xml:space="preserve">Cyber Offensive Security Lead</t>
  </si>
  <si>
    <t xml:space="preserve">R0182</t>
  </si>
  <si>
    <t xml:space="preserve">Cyber Security Architect</t>
  </si>
  <si>
    <t xml:space="preserve">R0183</t>
  </si>
  <si>
    <t xml:space="preserve">R0184</t>
  </si>
  <si>
    <t xml:space="preserve">JDE Senior Systems Specialist</t>
  </si>
  <si>
    <t xml:space="preserve">NZ Finance</t>
  </si>
  <si>
    <t xml:space="preserve">R0185</t>
  </si>
  <si>
    <t xml:space="preserve">R0186</t>
  </si>
  <si>
    <t xml:space="preserve">R0187</t>
  </si>
  <si>
    <t xml:space="preserve">Lead – Service Assurance</t>
  </si>
  <si>
    <t xml:space="preserve">R0188</t>
  </si>
  <si>
    <t xml:space="preserve">Integration Architect - Boomi</t>
  </si>
  <si>
    <t xml:space="preserve">Integration &amp; Process Automa</t>
  </si>
  <si>
    <t xml:space="preserve">R0189</t>
  </si>
  <si>
    <t xml:space="preserve">R0190</t>
  </si>
  <si>
    <t xml:space="preserve">R0191</t>
  </si>
  <si>
    <t xml:space="preserve">RPA Lead</t>
  </si>
  <si>
    <t xml:space="preserve">R0192</t>
  </si>
  <si>
    <t xml:space="preserve">Servicenow Platform Specialist</t>
  </si>
  <si>
    <t xml:space="preserve">Workplace &amp; Enterprise Tooli</t>
  </si>
  <si>
    <t xml:space="preserve">R0193</t>
  </si>
  <si>
    <t xml:space="preserve">R0194</t>
  </si>
  <si>
    <t xml:space="preserve">RETAIL</t>
  </si>
  <si>
    <t xml:space="preserve">R0195</t>
  </si>
  <si>
    <t xml:space="preserve">R0196</t>
  </si>
  <si>
    <t xml:space="preserve">Manager, Service Management &amp; Majo</t>
  </si>
  <si>
    <t xml:space="preserve">R0197</t>
  </si>
  <si>
    <t xml:space="preserve">Manager, Customer Support Operatio</t>
  </si>
  <si>
    <t xml:space="preserve">R0198</t>
  </si>
  <si>
    <t xml:space="preserve">Platform Architect</t>
  </si>
  <si>
    <t xml:space="preserve">R0199</t>
  </si>
  <si>
    <t xml:space="preserve">Snr Data Governance Specialist</t>
  </si>
  <si>
    <t xml:space="preserve">R0200</t>
  </si>
  <si>
    <t xml:space="preserve">Lead Engineer - Devops</t>
  </si>
  <si>
    <t xml:space="preserve">DevOps &amp; QE</t>
  </si>
  <si>
    <t xml:space="preserve">R0201</t>
  </si>
  <si>
    <t xml:space="preserve">Lead Engineer - Automation Test</t>
  </si>
  <si>
    <t xml:space="preserve">R0202</t>
  </si>
  <si>
    <t xml:space="preserve">Lead Engineer, Devops</t>
  </si>
  <si>
    <t xml:space="preserve">R0203</t>
  </si>
  <si>
    <t xml:space="preserve">Lead Engineer (Automation Test)</t>
  </si>
  <si>
    <t xml:space="preserve">Offshore hire planned</t>
  </si>
  <si>
    <t xml:space="preserve">R0204</t>
  </si>
  <si>
    <t xml:space="preserve">SAP ERP Application Lead</t>
  </si>
  <si>
    <t xml:space="preserve">EGI Finance</t>
  </si>
  <si>
    <t xml:space="preserve">R0205</t>
  </si>
  <si>
    <t xml:space="preserve">R0206</t>
  </si>
  <si>
    <t xml:space="preserve">Lead JDE Systems Specialist</t>
  </si>
  <si>
    <t xml:space="preserve">R0207</t>
  </si>
  <si>
    <t xml:space="preserve">R0208</t>
  </si>
  <si>
    <t xml:space="preserve">R0209</t>
  </si>
  <si>
    <t xml:space="preserve">Solution Architect - Finance</t>
  </si>
  <si>
    <t xml:space="preserve">R0210</t>
  </si>
  <si>
    <t xml:space="preserve">Cyber Security Operations Lead</t>
  </si>
  <si>
    <t xml:space="preserve">R0211</t>
  </si>
  <si>
    <t xml:space="preserve">Cloud Solutions Architect</t>
  </si>
  <si>
    <t xml:space="preserve">Cloud, Network &amp; Infra Ops</t>
  </si>
  <si>
    <t xml:space="preserve">R0212</t>
  </si>
  <si>
    <t xml:space="preserve">R0213</t>
  </si>
  <si>
    <t xml:space="preserve">R0214</t>
  </si>
  <si>
    <t xml:space="preserve">Business Analysis Practice Lead</t>
  </si>
  <si>
    <t xml:space="preserve">R0215</t>
  </si>
  <si>
    <t xml:space="preserve">R0216</t>
  </si>
  <si>
    <t xml:space="preserve">Delivery Lead (Cloud &amp; Network)</t>
  </si>
  <si>
    <t xml:space="preserve">R0217</t>
  </si>
  <si>
    <t xml:space="preserve">R0218</t>
  </si>
  <si>
    <t xml:space="preserve">Delivery Lead (Integrations)</t>
  </si>
  <si>
    <t xml:space="preserve">R0219</t>
  </si>
  <si>
    <t xml:space="preserve">R0220</t>
  </si>
  <si>
    <t xml:space="preserve">Lead Business Analyst</t>
  </si>
  <si>
    <t xml:space="preserve">R0221</t>
  </si>
  <si>
    <t xml:space="preserve">R0222</t>
  </si>
  <si>
    <t xml:space="preserve">Supply</t>
  </si>
  <si>
    <t xml:space="preserve">R0223</t>
  </si>
  <si>
    <t xml:space="preserve">R0224</t>
  </si>
  <si>
    <t xml:space="preserve">R0225</t>
  </si>
  <si>
    <t xml:space="preserve">R0226</t>
  </si>
  <si>
    <t xml:space="preserve">Delivery Lead - (P&amp;C)</t>
  </si>
  <si>
    <t xml:space="preserve">R0227</t>
  </si>
  <si>
    <t xml:space="preserve">Delivery Lead (JDE)</t>
  </si>
  <si>
    <t xml:space="preserve">R0228</t>
  </si>
  <si>
    <t xml:space="preserve">Delivery Lead (RTA)</t>
  </si>
  <si>
    <t xml:space="preserve">P&amp;C RTA</t>
  </si>
  <si>
    <t xml:space="preserve">R0229</t>
  </si>
  <si>
    <t xml:space="preserve">Delivery Lead (SAP)</t>
  </si>
  <si>
    <t xml:space="preserve">R0230</t>
  </si>
  <si>
    <t xml:space="preserve">Delivery Lead, EGI</t>
  </si>
  <si>
    <t xml:space="preserve">EGI P&amp;C</t>
  </si>
  <si>
    <t xml:space="preserve">R0231</t>
  </si>
  <si>
    <t xml:space="preserve">R0232</t>
  </si>
  <si>
    <t xml:space="preserve">R0233</t>
  </si>
  <si>
    <t xml:space="preserve">R0234</t>
  </si>
  <si>
    <t xml:space="preserve">R0235</t>
  </si>
  <si>
    <t xml:space="preserve">Data AU</t>
  </si>
  <si>
    <t xml:space="preserve">R0236</t>
  </si>
  <si>
    <t xml:space="preserve">Data NZ</t>
  </si>
  <si>
    <t xml:space="preserve">R0237</t>
  </si>
  <si>
    <t xml:space="preserve">Domain Architect - Customer &amp; Digi</t>
  </si>
  <si>
    <t xml:space="preserve">R0238</t>
  </si>
  <si>
    <t xml:space="preserve">Domain Architect - Retail &amp; Z</t>
  </si>
  <si>
    <t xml:space="preserve">R0239</t>
  </si>
  <si>
    <t xml:space="preserve">Domain Architect - TDD</t>
  </si>
  <si>
    <t xml:space="preserve">R0240</t>
  </si>
  <si>
    <t xml:space="preserve">Architect (AI Innovation)</t>
  </si>
  <si>
    <t xml:space="preserve">R0241</t>
  </si>
  <si>
    <t xml:space="preserve">FinOps Manager</t>
  </si>
  <si>
    <t xml:space="preserve">R0242</t>
  </si>
  <si>
    <t xml:space="preserve">Manager - Infrastructure Operation</t>
  </si>
  <si>
    <t xml:space="preserve">R0243</t>
  </si>
  <si>
    <t xml:space="preserve">Nework Architect</t>
  </si>
  <si>
    <t xml:space="preserve">R0244</t>
  </si>
  <si>
    <t xml:space="preserve">R0245</t>
  </si>
  <si>
    <t xml:space="preserve">Trading &amp; Shipping Data</t>
  </si>
  <si>
    <t xml:space="preserve">R0246</t>
  </si>
  <si>
    <t xml:space="preserve">R0247</t>
  </si>
  <si>
    <t xml:space="preserve">Lead engineer Data</t>
  </si>
  <si>
    <t xml:space="preserve">R0248</t>
  </si>
  <si>
    <t xml:space="preserve">Data Application Specialist </t>
  </si>
  <si>
    <t xml:space="preserve">R0249</t>
  </si>
  <si>
    <t xml:space="preserve">R0250</t>
  </si>
  <si>
    <t xml:space="preserve">R0251</t>
  </si>
  <si>
    <t xml:space="preserve">Integration Architect   </t>
  </si>
  <si>
    <t xml:space="preserve">R0252</t>
  </si>
  <si>
    <t xml:space="preserve">R0253</t>
  </si>
  <si>
    <t xml:space="preserve">Lead Data Analyst</t>
  </si>
  <si>
    <t xml:space="preserve">R0254</t>
  </si>
  <si>
    <t xml:space="preserve">Delivery Capacity &amp; Assurance Lead</t>
  </si>
  <si>
    <t xml:space="preserve">R0255</t>
  </si>
  <si>
    <t xml:space="preserve">POS</t>
  </si>
  <si>
    <t xml:space="preserve">R0256</t>
  </si>
  <si>
    <t xml:space="preserve">R0257</t>
  </si>
  <si>
    <t xml:space="preserve">R0258</t>
  </si>
  <si>
    <t xml:space="preserve">Manager - AU Retail Operations</t>
  </si>
  <si>
    <t xml:space="preserve">Store Operations</t>
  </si>
  <si>
    <t xml:space="preserve">R0259</t>
  </si>
  <si>
    <t xml:space="preserve">Release &amp; Deployment Manager</t>
  </si>
  <si>
    <t xml:space="preserve">Deployment</t>
  </si>
  <si>
    <t xml:space="preserve">R0260</t>
  </si>
  <si>
    <t xml:space="preserve">R0261</t>
  </si>
  <si>
    <t xml:space="preserve">R0262</t>
  </si>
  <si>
    <t xml:space="preserve">Above Store</t>
  </si>
  <si>
    <t xml:space="preserve">R0263</t>
  </si>
  <si>
    <t xml:space="preserve">Senior Cyber Project Manager</t>
  </si>
  <si>
    <t xml:space="preserve">R0264</t>
  </si>
  <si>
    <t xml:space="preserve">R0265</t>
  </si>
  <si>
    <t xml:space="preserve">Snr Engineer - BE</t>
  </si>
  <si>
    <t xml:space="preserve">R0266</t>
  </si>
  <si>
    <t xml:space="preserve">Senior Engineer - BE</t>
  </si>
  <si>
    <t xml:space="preserve">R0267</t>
  </si>
  <si>
    <t xml:space="preserve">Senior Quality Assurance</t>
  </si>
  <si>
    <t xml:space="preserve">R0268</t>
  </si>
  <si>
    <t xml:space="preserve">Snr Engineer - FE</t>
  </si>
  <si>
    <t xml:space="preserve">R0269</t>
  </si>
  <si>
    <t xml:space="preserve">Engineer - Mobile (ios)</t>
  </si>
  <si>
    <t xml:space="preserve">R0270</t>
  </si>
  <si>
    <t xml:space="preserve">R0271</t>
  </si>
  <si>
    <t xml:space="preserve">Engineer - Mobile (Android)</t>
  </si>
  <si>
    <t xml:space="preserve">R0272</t>
  </si>
  <si>
    <t xml:space="preserve">Engineer - Mobile (iOS)</t>
  </si>
  <si>
    <t xml:space="preserve">R0273</t>
  </si>
  <si>
    <t xml:space="preserve">AI Engineer - Front End</t>
  </si>
  <si>
    <t xml:space="preserve">R0274</t>
  </si>
  <si>
    <t xml:space="preserve">AI Engineer - Full Stack </t>
  </si>
  <si>
    <t xml:space="preserve">R0275</t>
  </si>
  <si>
    <t xml:space="preserve">R0276</t>
  </si>
  <si>
    <t xml:space="preserve">Engineer Data (Snowflake)</t>
  </si>
  <si>
    <t xml:space="preserve">R0277</t>
  </si>
  <si>
    <t xml:space="preserve">Data Analyst</t>
  </si>
  <si>
    <t xml:space="preserve">R0278</t>
  </si>
  <si>
    <t xml:space="preserve">R0279</t>
  </si>
  <si>
    <t xml:space="preserve">Engineer, Software</t>
  </si>
  <si>
    <t xml:space="preserve">R0280</t>
  </si>
  <si>
    <t xml:space="preserve">Snr Engineer, Data</t>
  </si>
  <si>
    <t xml:space="preserve">R0281</t>
  </si>
  <si>
    <t xml:space="preserve">Lead Engineer (Snowflake)</t>
  </si>
  <si>
    <t xml:space="preserve">R0282</t>
  </si>
  <si>
    <t xml:space="preserve">Systems Analyst</t>
  </si>
  <si>
    <t xml:space="preserve">R0283</t>
  </si>
  <si>
    <t xml:space="preserve">Lead Engineer Applications</t>
  </si>
  <si>
    <t xml:space="preserve">R0284</t>
  </si>
  <si>
    <t xml:space="preserve">System Specialist</t>
  </si>
  <si>
    <t xml:space="preserve">R0285</t>
  </si>
  <si>
    <t xml:space="preserve">R0286</t>
  </si>
  <si>
    <t xml:space="preserve">Lead – Service Desk</t>
  </si>
  <si>
    <t xml:space="preserve">R0287</t>
  </si>
  <si>
    <t xml:space="preserve">Lead – Technology Support</t>
  </si>
  <si>
    <t xml:space="preserve">R0288</t>
  </si>
  <si>
    <t xml:space="preserve">Lead – Change &amp; Release Management</t>
  </si>
  <si>
    <t xml:space="preserve">R0289</t>
  </si>
  <si>
    <t xml:space="preserve">Engineer</t>
  </si>
  <si>
    <t xml:space="preserve">R0290</t>
  </si>
  <si>
    <t xml:space="preserve">R0291</t>
  </si>
  <si>
    <t xml:space="preserve">R0292</t>
  </si>
  <si>
    <t xml:space="preserve">Service Transition Lead</t>
  </si>
  <si>
    <t xml:space="preserve">R0293</t>
  </si>
  <si>
    <t xml:space="preserve">Engineer Data  </t>
  </si>
  <si>
    <t xml:space="preserve">R0294</t>
  </si>
  <si>
    <t xml:space="preserve">Cyber GRC Analyst</t>
  </si>
  <si>
    <t xml:space="preserve">R0295</t>
  </si>
  <si>
    <t xml:space="preserve">R0296</t>
  </si>
  <si>
    <t xml:space="preserve">Senior Systems Analyst - Card</t>
  </si>
  <si>
    <t xml:space="preserve">R0297</t>
  </si>
  <si>
    <t xml:space="preserve">Engineer Software</t>
  </si>
  <si>
    <t xml:space="preserve">R0298</t>
  </si>
  <si>
    <t xml:space="preserve">Senior Engineer - Software</t>
  </si>
  <si>
    <t xml:space="preserve">R0299</t>
  </si>
  <si>
    <t xml:space="preserve">Engineer - Software</t>
  </si>
  <si>
    <t xml:space="preserve">R0300</t>
  </si>
  <si>
    <t xml:space="preserve">Snr Engineer Software</t>
  </si>
  <si>
    <t xml:space="preserve">R0301</t>
  </si>
  <si>
    <t xml:space="preserve">R0302</t>
  </si>
  <si>
    <t xml:space="preserve">R0303</t>
  </si>
  <si>
    <t xml:space="preserve">Engineer Automation - Testing</t>
  </si>
  <si>
    <t xml:space="preserve">R0304</t>
  </si>
  <si>
    <t xml:space="preserve">R0305</t>
  </si>
  <si>
    <t xml:space="preserve">Engineer - DevOps</t>
  </si>
  <si>
    <t xml:space="preserve">R0306</t>
  </si>
  <si>
    <t xml:space="preserve">R0307</t>
  </si>
  <si>
    <t xml:space="preserve">R0308</t>
  </si>
  <si>
    <t xml:space="preserve">Engineer - IDAM</t>
  </si>
  <si>
    <t xml:space="preserve">R0309</t>
  </si>
  <si>
    <t xml:space="preserve">R0310</t>
  </si>
  <si>
    <t xml:space="preserve">R0311</t>
  </si>
  <si>
    <t xml:space="preserve">Cloud Operations Engineer</t>
  </si>
  <si>
    <t xml:space="preserve">R0312</t>
  </si>
  <si>
    <t xml:space="preserve">Network Operations Engineer</t>
  </si>
  <si>
    <t xml:space="preserve">R0313</t>
  </si>
  <si>
    <t xml:space="preserve">Infrastructure Operations Lead</t>
  </si>
  <si>
    <t xml:space="preserve">R0314</t>
  </si>
  <si>
    <t xml:space="preserve">Snr BA</t>
  </si>
  <si>
    <t xml:space="preserve">R0315</t>
  </si>
  <si>
    <t xml:space="preserve">Data Scientist</t>
  </si>
  <si>
    <t xml:space="preserve">R0316</t>
  </si>
  <si>
    <t xml:space="preserve">R0317</t>
  </si>
  <si>
    <t xml:space="preserve">R0318</t>
  </si>
  <si>
    <t xml:space="preserve">Senior Engineer</t>
  </si>
  <si>
    <t xml:space="preserve">R0319</t>
  </si>
  <si>
    <t xml:space="preserve">R0320</t>
  </si>
  <si>
    <t xml:space="preserve">R0321</t>
  </si>
  <si>
    <t xml:space="preserve">R0322</t>
  </si>
  <si>
    <t xml:space="preserve">Engineer - Data</t>
  </si>
  <si>
    <t xml:space="preserve">R0323</t>
  </si>
  <si>
    <t xml:space="preserve">R0324</t>
  </si>
  <si>
    <t xml:space="preserve">R0325</t>
  </si>
  <si>
    <t xml:space="preserve">R0326</t>
  </si>
  <si>
    <t xml:space="preserve">Senior Communications Advisor</t>
  </si>
  <si>
    <t xml:space="preserve">R0327</t>
  </si>
  <si>
    <t xml:space="preserve">Deployment Lead</t>
  </si>
  <si>
    <t xml:space="preserve">R0328</t>
  </si>
  <si>
    <t xml:space="preserve">Project Manager – Deployments</t>
  </si>
  <si>
    <t xml:space="preserve">R0329</t>
  </si>
  <si>
    <t xml:space="preserve">Lead – Asset &amp; Configuration</t>
  </si>
  <si>
    <t xml:space="preserve">R0330</t>
  </si>
  <si>
    <t xml:space="preserve">Lead – Service Performance &amp; Insig</t>
  </si>
  <si>
    <t xml:space="preserve">R0331</t>
  </si>
  <si>
    <t xml:space="preserve">Snr Engineer - Boomi</t>
  </si>
  <si>
    <t xml:space="preserve">R0332</t>
  </si>
  <si>
    <t xml:space="preserve">Workplace Tooling Specialist</t>
  </si>
  <si>
    <t xml:space="preserve">R0333</t>
  </si>
  <si>
    <t xml:space="preserve">Enterprise Systems Specialist</t>
  </si>
  <si>
    <t xml:space="preserve">R0334</t>
  </si>
  <si>
    <t xml:space="preserve">R0335</t>
  </si>
  <si>
    <t xml:space="preserve">Reporting analysts - Strategic Pro</t>
  </si>
  <si>
    <t xml:space="preserve">R0336</t>
  </si>
  <si>
    <t xml:space="preserve">R0337</t>
  </si>
  <si>
    <t xml:space="preserve">R0338</t>
  </si>
  <si>
    <t xml:space="preserve">R0339</t>
  </si>
  <si>
    <t xml:space="preserve">R0340</t>
  </si>
  <si>
    <t xml:space="preserve">R0341</t>
  </si>
  <si>
    <t xml:space="preserve">Delivery Systems Analyst</t>
  </si>
  <si>
    <t xml:space="preserve">R0342</t>
  </si>
  <si>
    <t xml:space="preserve">Applications Specialist - Demand P</t>
  </si>
  <si>
    <t xml:space="preserve">R0343</t>
  </si>
  <si>
    <t xml:space="preserve">Applications Specialist</t>
  </si>
  <si>
    <t xml:space="preserve">R0344</t>
  </si>
  <si>
    <t xml:space="preserve">R0345</t>
  </si>
  <si>
    <t xml:space="preserve">Applications Specialist - Strategi</t>
  </si>
  <si>
    <t xml:space="preserve">R0346</t>
  </si>
  <si>
    <t xml:space="preserve">Project Finance Lead</t>
  </si>
  <si>
    <t xml:space="preserve">R0347</t>
  </si>
  <si>
    <t xml:space="preserve">Data Governance Specialist</t>
  </si>
  <si>
    <t xml:space="preserve">R0348</t>
  </si>
  <si>
    <t xml:space="preserve">Data Enablement Lead</t>
  </si>
  <si>
    <t xml:space="preserve">R0349</t>
  </si>
  <si>
    <t xml:space="preserve">Data Adoption Specialist</t>
  </si>
  <si>
    <t xml:space="preserve">R0350</t>
  </si>
  <si>
    <t xml:space="preserve">Environments and Test Data Manager</t>
  </si>
  <si>
    <t xml:space="preserve">R0351</t>
  </si>
  <si>
    <t xml:space="preserve">Integration Specialist (ASAPIO CTR</t>
  </si>
  <si>
    <t xml:space="preserve">Jan-2027</t>
  </si>
  <si>
    <t xml:space="preserve">R0352</t>
  </si>
  <si>
    <t xml:space="preserve">Senior Engineer (Automation Test)</t>
  </si>
  <si>
    <t xml:space="preserve">R0353</t>
  </si>
  <si>
    <t xml:space="preserve">R0354</t>
  </si>
  <si>
    <t xml:space="preserve">Cyber Security Analyst</t>
  </si>
  <si>
    <t xml:space="preserve">R0355</t>
  </si>
  <si>
    <t xml:space="preserve">R0356</t>
  </si>
  <si>
    <t xml:space="preserve">R0357</t>
  </si>
  <si>
    <t xml:space="preserve">R0358</t>
  </si>
  <si>
    <t xml:space="preserve">R0359</t>
  </si>
  <si>
    <t xml:space="preserve">R0360</t>
  </si>
  <si>
    <t xml:space="preserve">Engineer - Integration</t>
  </si>
  <si>
    <t xml:space="preserve">R0361</t>
  </si>
  <si>
    <t xml:space="preserve">R0362</t>
  </si>
  <si>
    <t xml:space="preserve">R0363</t>
  </si>
  <si>
    <t xml:space="preserve">R0364</t>
  </si>
  <si>
    <t xml:space="preserve">R0365</t>
  </si>
  <si>
    <t xml:space="preserve">Senior Engineer Data</t>
  </si>
  <si>
    <t xml:space="preserve">R0366</t>
  </si>
  <si>
    <t xml:space="preserve">Engineer Data</t>
  </si>
  <si>
    <t xml:space="preserve">R0367</t>
  </si>
  <si>
    <t xml:space="preserve">Service &amp; Contract Specialist AU</t>
  </si>
  <si>
    <t xml:space="preserve">R0368</t>
  </si>
  <si>
    <t xml:space="preserve">Software Asset Specialist</t>
  </si>
  <si>
    <t xml:space="preserve">R0369</t>
  </si>
  <si>
    <t xml:space="preserve">R0370</t>
  </si>
  <si>
    <t xml:space="preserve">R0371</t>
  </si>
  <si>
    <t xml:space="preserve">R0372</t>
  </si>
  <si>
    <t xml:space="preserve">R0373</t>
  </si>
  <si>
    <t xml:space="preserve">Business Analyst (Integrations)</t>
  </si>
  <si>
    <t xml:space="preserve">R0374</t>
  </si>
  <si>
    <t xml:space="preserve">R0375</t>
  </si>
  <si>
    <t xml:space="preserve">R0376</t>
  </si>
  <si>
    <t xml:space="preserve">Delivery Lead - EGI</t>
  </si>
  <si>
    <t xml:space="preserve">R0377</t>
  </si>
  <si>
    <t xml:space="preserve">R0378</t>
  </si>
  <si>
    <t xml:space="preserve">Business Analyst (Workplace &amp; Ente</t>
  </si>
  <si>
    <t xml:space="preserve">R0379</t>
  </si>
  <si>
    <t xml:space="preserve">Business Analyst (P&amp;C RTA)</t>
  </si>
  <si>
    <t xml:space="preserve">R0380</t>
  </si>
  <si>
    <t xml:space="preserve">Enterprise Process Lead</t>
  </si>
  <si>
    <t xml:space="preserve">R0381</t>
  </si>
  <si>
    <t xml:space="preserve">Release &amp; Environments Manager</t>
  </si>
  <si>
    <t xml:space="preserve">R0382</t>
  </si>
  <si>
    <t xml:space="preserve">Snr Engineer</t>
  </si>
  <si>
    <t xml:space="preserve">R0383</t>
  </si>
  <si>
    <t xml:space="preserve">Data Engineer Analyst</t>
  </si>
  <si>
    <t xml:space="preserve">R0384</t>
  </si>
  <si>
    <t xml:space="preserve">R0385</t>
  </si>
  <si>
    <t xml:space="preserve">R0386</t>
  </si>
  <si>
    <t xml:space="preserve">Senior Engineer Automation Testing</t>
  </si>
  <si>
    <t xml:space="preserve">R0387</t>
  </si>
  <si>
    <t xml:space="preserve">R0388</t>
  </si>
  <si>
    <t xml:space="preserve">R0389</t>
  </si>
  <si>
    <t xml:space="preserve">Lead - AU Retail Operations</t>
  </si>
  <si>
    <t xml:space="preserve">R0390</t>
  </si>
  <si>
    <t xml:space="preserve">R0391</t>
  </si>
  <si>
    <t xml:space="preserve">R0392</t>
  </si>
  <si>
    <t xml:space="preserve">Payments</t>
  </si>
  <si>
    <t xml:space="preserve">R0393</t>
  </si>
  <si>
    <t xml:space="preserve">Engineer Integration</t>
  </si>
  <si>
    <t xml:space="preserve">R0394</t>
  </si>
  <si>
    <t xml:space="preserve">Support Analyst -Retail</t>
  </si>
  <si>
    <t xml:space="preserve">R0395</t>
  </si>
  <si>
    <t xml:space="preserve">R0396</t>
  </si>
  <si>
    <t xml:space="preserve">Network &amp; QSR</t>
  </si>
  <si>
    <t xml:space="preserve">R0397</t>
  </si>
  <si>
    <t xml:space="preserve">R0398</t>
  </si>
  <si>
    <t xml:space="preserve">R0399</t>
  </si>
  <si>
    <t xml:space="preserve">R0400</t>
  </si>
  <si>
    <t xml:space="preserve">Technology &amp; Lab Specialist Stores</t>
  </si>
  <si>
    <t xml:space="preserve">R0401</t>
  </si>
  <si>
    <t xml:space="preserve">R0402</t>
  </si>
  <si>
    <t xml:space="preserve">R0403</t>
  </si>
  <si>
    <t xml:space="preserve">Cyber Technical Business Analyst</t>
  </si>
  <si>
    <t xml:space="preserve">R0404</t>
  </si>
  <si>
    <t xml:space="preserve">Cyber Business Analyst</t>
  </si>
  <si>
    <t xml:space="preserve">R0405</t>
  </si>
  <si>
    <t xml:space="preserve">Associate Experience Designer</t>
  </si>
  <si>
    <t xml:space="preserve">R0406</t>
  </si>
  <si>
    <t xml:space="preserve">R0407</t>
  </si>
  <si>
    <t xml:space="preserve">R0408</t>
  </si>
  <si>
    <t xml:space="preserve">Associate Engineer - BE</t>
  </si>
  <si>
    <t xml:space="preserve">R0409</t>
  </si>
  <si>
    <t xml:space="preserve">R0410</t>
  </si>
  <si>
    <t xml:space="preserve">Martech Specialist</t>
  </si>
  <si>
    <t xml:space="preserve">R0411</t>
  </si>
  <si>
    <t xml:space="preserve">R0412</t>
  </si>
  <si>
    <t xml:space="preserve">R0413</t>
  </si>
  <si>
    <t xml:space="preserve">Service Delivery Lead</t>
  </si>
  <si>
    <t xml:space="preserve">R0414</t>
  </si>
  <si>
    <t xml:space="preserve">R0415</t>
  </si>
  <si>
    <t xml:space="preserve">R0416</t>
  </si>
  <si>
    <t xml:space="preserve">R0417</t>
  </si>
  <si>
    <t xml:space="preserve">Technology Support Engineer</t>
  </si>
  <si>
    <t xml:space="preserve">R0418</t>
  </si>
  <si>
    <t xml:space="preserve">R0419</t>
  </si>
  <si>
    <t xml:space="preserve">Lead Technology Support  </t>
  </si>
  <si>
    <t xml:space="preserve">R0420</t>
  </si>
  <si>
    <t xml:space="preserve">R0421</t>
  </si>
  <si>
    <t xml:space="preserve">Senior Quality Assurance </t>
  </si>
  <si>
    <t xml:space="preserve">R0422</t>
  </si>
  <si>
    <t xml:space="preserve">Senior Site Systems Analyst</t>
  </si>
  <si>
    <t xml:space="preserve">R0423</t>
  </si>
  <si>
    <t xml:space="preserve">Lead – Service Management, Retail</t>
  </si>
  <si>
    <t xml:space="preserve">R0424</t>
  </si>
  <si>
    <t xml:space="preserve">R0425</t>
  </si>
  <si>
    <t xml:space="preserve">R0426</t>
  </si>
  <si>
    <t xml:space="preserve">Systems Specialist</t>
  </si>
  <si>
    <t xml:space="preserve">R0427</t>
  </si>
  <si>
    <t xml:space="preserve">R0428</t>
  </si>
  <si>
    <t xml:space="preserve">R0429</t>
  </si>
  <si>
    <t xml:space="preserve">System Analyst Card</t>
  </si>
  <si>
    <t xml:space="preserve">R0430</t>
  </si>
  <si>
    <t xml:space="preserve">R0431</t>
  </si>
  <si>
    <t xml:space="preserve">Senior Engineer - DevOps</t>
  </si>
  <si>
    <t xml:space="preserve">R0432</t>
  </si>
  <si>
    <t xml:space="preserve">R0433</t>
  </si>
  <si>
    <t xml:space="preserve">R0434</t>
  </si>
  <si>
    <t xml:space="preserve">R0435</t>
  </si>
  <si>
    <t xml:space="preserve">Field Systems Operations Lead - VI</t>
  </si>
  <si>
    <t xml:space="preserve">R0436</t>
  </si>
  <si>
    <t xml:space="preserve">Field Systems Operations Lead - NS</t>
  </si>
  <si>
    <t xml:space="preserve">R0437</t>
  </si>
  <si>
    <t xml:space="preserve">Field Systems Operations Lead - QL</t>
  </si>
  <si>
    <t xml:space="preserve">R0438</t>
  </si>
  <si>
    <t xml:space="preserve">Field Systems Operations Lead - WA</t>
  </si>
  <si>
    <t xml:space="preserve">R0439</t>
  </si>
  <si>
    <t xml:space="preserve">Support Analyst - Field Operations</t>
  </si>
  <si>
    <t xml:space="preserve">R0440</t>
  </si>
  <si>
    <t xml:space="preserve">Technology Support Engineer - Infr</t>
  </si>
  <si>
    <t xml:space="preserve">Technology Support</t>
  </si>
  <si>
    <t xml:space="preserve">R0441</t>
  </si>
  <si>
    <t xml:space="preserve">R0442</t>
  </si>
  <si>
    <t xml:space="preserve">R0443</t>
  </si>
  <si>
    <t xml:space="preserve">Snr Quality Assurance</t>
  </si>
  <si>
    <t xml:space="preserve">R0444</t>
  </si>
  <si>
    <t xml:space="preserve">Lead Technology Support - Infrastr</t>
  </si>
  <si>
    <t xml:space="preserve">R0445</t>
  </si>
  <si>
    <t xml:space="preserve">R0446</t>
  </si>
  <si>
    <t xml:space="preserve">R0447</t>
  </si>
  <si>
    <t xml:space="preserve">R0448</t>
  </si>
  <si>
    <t xml:space="preserve">R0449</t>
  </si>
  <si>
    <t xml:space="preserve">Infrastructure Engineer</t>
  </si>
  <si>
    <t xml:space="preserve">R0450</t>
  </si>
  <si>
    <t xml:space="preserve">R0451</t>
  </si>
  <si>
    <t xml:space="preserve">R0452</t>
  </si>
  <si>
    <t xml:space="preserve">R0453</t>
  </si>
  <si>
    <t xml:space="preserve">Configuration Analyst</t>
  </si>
  <si>
    <t xml:space="preserve">R0454</t>
  </si>
  <si>
    <t xml:space="preserve">Senior QA Analyst</t>
  </si>
  <si>
    <t xml:space="preserve">R0455</t>
  </si>
  <si>
    <t xml:space="preserve">R0456</t>
  </si>
  <si>
    <t xml:space="preserve">R0457</t>
  </si>
  <si>
    <t xml:space="preserve">R0458</t>
  </si>
  <si>
    <t xml:space="preserve">R0459</t>
  </si>
  <si>
    <t xml:space="preserve">R0460</t>
  </si>
  <si>
    <t xml:space="preserve">Engineer - Modern Workplaces</t>
  </si>
  <si>
    <t xml:space="preserve">R0461</t>
  </si>
  <si>
    <t xml:space="preserve">R0462</t>
  </si>
  <si>
    <t xml:space="preserve">R0463</t>
  </si>
  <si>
    <t xml:space="preserve">Portfolio Analyst</t>
  </si>
  <si>
    <t xml:space="preserve">R0464</t>
  </si>
  <si>
    <t xml:space="preserve">Technology Finance Analyst</t>
  </si>
  <si>
    <t xml:space="preserve">R0465</t>
  </si>
  <si>
    <t xml:space="preserve">R0466</t>
  </si>
  <si>
    <t xml:space="preserve">R0467</t>
  </si>
  <si>
    <t xml:space="preserve">R0468</t>
  </si>
  <si>
    <t xml:space="preserve">R0469</t>
  </si>
  <si>
    <t xml:space="preserve">Service &amp; Contract Specialist NZ</t>
  </si>
  <si>
    <t xml:space="preserve">R0470</t>
  </si>
  <si>
    <t xml:space="preserve">Lead, Service Management</t>
  </si>
  <si>
    <t xml:space="preserve">R0471</t>
  </si>
  <si>
    <t xml:space="preserve">R0472</t>
  </si>
  <si>
    <t xml:space="preserve">R0473</t>
  </si>
  <si>
    <t xml:space="preserve">EnterpriseProcess Analyst</t>
  </si>
  <si>
    <t xml:space="preserve">R0474</t>
  </si>
  <si>
    <t xml:space="preserve">Strategy Analyst</t>
  </si>
  <si>
    <t xml:space="preserve">R0475</t>
  </si>
  <si>
    <t xml:space="preserve">Asset Analyst</t>
  </si>
  <si>
    <t xml:space="preserve">R0476</t>
  </si>
  <si>
    <t xml:space="preserve">R0477</t>
  </si>
  <si>
    <t xml:space="preserve">R0478</t>
  </si>
  <si>
    <t xml:space="preserve">R0479</t>
  </si>
  <si>
    <t xml:space="preserve">R0480</t>
  </si>
  <si>
    <t xml:space="preserve">Scrum Master</t>
  </si>
  <si>
    <t xml:space="preserve">R0481</t>
  </si>
  <si>
    <t xml:space="preserve">R0482</t>
  </si>
  <si>
    <t xml:space="preserve">R0483</t>
  </si>
  <si>
    <t xml:space="preserve">Senior Engineer Software</t>
  </si>
  <si>
    <t xml:space="preserve">R0484</t>
  </si>
  <si>
    <t xml:space="preserve">R0485</t>
  </si>
  <si>
    <t xml:space="preserve">R0486</t>
  </si>
  <si>
    <t xml:space="preserve">R0487</t>
  </si>
  <si>
    <t xml:space="preserve">R0488</t>
  </si>
  <si>
    <t xml:space="preserve">R0489</t>
  </si>
  <si>
    <t xml:space="preserve">R0490</t>
  </si>
  <si>
    <t xml:space="preserve">R0491</t>
  </si>
  <si>
    <t xml:space="preserve">Intermediate Quality Assurance</t>
  </si>
  <si>
    <t xml:space="preserve">R0492</t>
  </si>
  <si>
    <t xml:space="preserve">R0493</t>
  </si>
  <si>
    <t xml:space="preserve">Site Systems Analyst</t>
  </si>
  <si>
    <t xml:space="preserve">R0494</t>
  </si>
  <si>
    <t xml:space="preserve">R0495</t>
  </si>
  <si>
    <t xml:space="preserve">R0496</t>
  </si>
  <si>
    <t xml:space="preserve">Tech Support Technician</t>
  </si>
  <si>
    <t xml:space="preserve">R0497</t>
  </si>
  <si>
    <t xml:space="preserve">Deployment Coordinator</t>
  </si>
  <si>
    <t xml:space="preserve">R0498</t>
  </si>
  <si>
    <t xml:space="preserve">Snr Finance Support Administrator</t>
  </si>
  <si>
    <t xml:space="preserve">R0499</t>
  </si>
  <si>
    <t xml:space="preserve">R0500</t>
  </si>
  <si>
    <t xml:space="preserve">Project Coordinator</t>
  </si>
  <si>
    <t xml:space="preserve">R0501</t>
  </si>
  <si>
    <t xml:space="preserve">QA Analyst</t>
  </si>
  <si>
    <t xml:space="preserve">R0502</t>
  </si>
  <si>
    <t xml:space="preserve">Engineer, Sotware</t>
  </si>
  <si>
    <t xml:space="preserve">R0503</t>
  </si>
  <si>
    <t xml:space="preserve">Engineer, Dev Ops</t>
  </si>
  <si>
    <t xml:space="preserve">R0504</t>
  </si>
  <si>
    <t xml:space="preserve">R0505</t>
  </si>
  <si>
    <t xml:space="preserve">R0506</t>
  </si>
  <si>
    <t xml:space="preserve">Associate Engineer - Automation Te</t>
  </si>
  <si>
    <t xml:space="preserve">R0507</t>
  </si>
  <si>
    <t xml:space="preserve">Graduate</t>
  </si>
  <si>
    <t xml:space="preserve">R0508</t>
  </si>
  <si>
    <t xml:space="preserve">R0509</t>
  </si>
  <si>
    <t xml:space="preserve">R0510</t>
  </si>
  <si>
    <t xml:space="preserve">R0511</t>
  </si>
  <si>
    <t xml:space="preserve">JDE Systems Specialist</t>
  </si>
  <si>
    <t xml:space="preserve">R0512</t>
  </si>
  <si>
    <t xml:space="preserve">R0513</t>
  </si>
  <si>
    <t xml:space="preserve">R0514</t>
  </si>
  <si>
    <t xml:space="preserve">R0515</t>
  </si>
  <si>
    <t xml:space="preserve">R0516</t>
  </si>
  <si>
    <t xml:space="preserve">R0517</t>
  </si>
  <si>
    <t xml:space="preserve">R0518</t>
  </si>
  <si>
    <t xml:space="preserve">R0519</t>
  </si>
  <si>
    <t xml:space="preserve">R0520</t>
  </si>
  <si>
    <t xml:space="preserve">Associate Engineer - Software</t>
  </si>
  <si>
    <t xml:space="preserve">R0521</t>
  </si>
  <si>
    <t xml:space="preserve">R0522</t>
  </si>
  <si>
    <t xml:space="preserve">Associate Engineer- Software</t>
  </si>
  <si>
    <t xml:space="preserve">R0523</t>
  </si>
  <si>
    <t xml:space="preserve">Associate Engineer Software</t>
  </si>
  <si>
    <t xml:space="preserve">R0524</t>
  </si>
  <si>
    <t xml:space="preserve">Senior Data Analyst</t>
  </si>
  <si>
    <t xml:space="preserve">R0525</t>
  </si>
  <si>
    <t xml:space="preserve">R0526</t>
  </si>
  <si>
    <t xml:space="preserve">R0527</t>
  </si>
  <si>
    <t xml:space="preserve">Data Engineer (Offshore)</t>
  </si>
  <si>
    <t xml:space="preserve">Enterprise Data Delivery</t>
  </si>
  <si>
    <t xml:space="preserve">R0528</t>
  </si>
  <si>
    <t xml:space="preserve">R0529</t>
  </si>
  <si>
    <t xml:space="preserve">R0530</t>
  </si>
  <si>
    <t xml:space="preserve">R0531</t>
  </si>
  <si>
    <t xml:space="preserve">R0532</t>
  </si>
  <si>
    <t xml:space="preserve">R0533</t>
  </si>
  <si>
    <t xml:space="preserve">R0534</t>
  </si>
  <si>
    <t xml:space="preserve">R0535</t>
  </si>
  <si>
    <t xml:space="preserve">R0536</t>
  </si>
  <si>
    <t xml:space="preserve">Cyber Architect (backfill for EGI </t>
  </si>
  <si>
    <t xml:space="preserve">R0537</t>
  </si>
  <si>
    <t xml:space="preserve">Operations Analyst</t>
  </si>
  <si>
    <t xml:space="preserve">R0538</t>
  </si>
  <si>
    <t xml:space="preserve">R0539</t>
  </si>
  <si>
    <t xml:space="preserve">Data Risk Analyst</t>
  </si>
  <si>
    <t xml:space="preserve">R0540</t>
  </si>
  <si>
    <t xml:space="preserve">Compare your three lists</t>
  </si>
  <si>
    <t xml:space="preserve">Everything here moves the moment you set a role to Yes on the Pick roles tab. All figures are A$ millions.</t>
  </si>
  <si>
    <t xml:space="preserve">Measure</t>
  </si>
  <si>
    <t xml:space="preserve">Month</t>
  </si>
  <si>
    <t xml:space="preserve">Roles moved</t>
  </si>
  <si>
    <t xml:space="preserve">People (FTE)</t>
  </si>
  <si>
    <t xml:space="preserve">Cost today</t>
  </si>
  <si>
    <t xml:space="preserve">Cost at the offshore rate</t>
  </si>
  <si>
    <t xml:space="preserve">Cost taken out, full year</t>
  </si>
  <si>
    <t xml:space="preserve">Taken out in 2026</t>
  </si>
  <si>
    <t xml:space="preserve">Taken out in 2027</t>
  </si>
  <si>
    <t xml:space="preserve">Cost taken out by portfolio, full year</t>
  </si>
  <si>
    <t xml:space="preserve">Cost taken out by year</t>
  </si>
  <si>
    <t xml:space="preserve">Year</t>
  </si>
  <si>
    <t xml:space="preserve">2026</t>
  </si>
  <si>
    <t xml:space="preserve">2027</t>
  </si>
  <si>
    <t xml:space="preserve">Not mapped</t>
  </si>
  <si>
    <t xml:space="preserve">Total</t>
  </si>
  <si>
    <t xml:space="preserve">Check against full year (0 = ties)</t>
  </si>
  <si>
    <t xml:space="preserve">Month list, used by the dropdowns. Do not change.</t>
  </si>
  <si>
    <t xml:space="preserve">Jul-2026</t>
  </si>
  <si>
    <t xml:space="preserve">Aug-2026</t>
  </si>
  <si>
    <t xml:space="preserve">Sep-2026</t>
  </si>
  <si>
    <t xml:space="preserve">Nov-2026</t>
  </si>
  <si>
    <t xml:space="preserve">Dec-2026</t>
  </si>
  <si>
    <t xml:space="preserve">Feb-2027</t>
  </si>
  <si>
    <t xml:space="preserve">Mar-2027</t>
  </si>
  <si>
    <t xml:space="preserve">Apr-2027</t>
  </si>
  <si>
    <t xml:space="preserve">May-2027</t>
  </si>
  <si>
    <t xml:space="preserve">Jun-2027</t>
  </si>
  <si>
    <t xml:space="preserve">Jul-2027</t>
  </si>
  <si>
    <t xml:space="preserve">Aug-2027</t>
  </si>
  <si>
    <t xml:space="preserve">Sep-2027</t>
  </si>
  <si>
    <t xml:space="preserve">Oct-2027</t>
  </si>
  <si>
    <t xml:space="preserve">Nov-2027</t>
  </si>
  <si>
    <t xml:space="preserve">Dec-2027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</si>
</sst>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\m"/>
    <numFmt numFmtId="166" formatCode="#,##0.00;\(#,##0.00\);&quot;&quot;"/>
    <numFmt numFmtId="167" formatCode="#,##0.0;\(#,##0.0\);&quot;&quot;"/>
    <numFmt numFmtId="168" formatCode="General"/>
    <numFmt numFmtId="169" formatCode="#,##0;;&quot;&quot;"/>
    <numFmt numFmtId="170" formatCode="0.00;\(0.00\);&quot;0.00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sz val="11"/>
      <color rgb="FF667085"/>
      <name val="Calibri"/>
      <family val="0"/>
      <charset val="1"/>
    </font>
    <font>
      <b val="true"/>
      <sz val="12"/>
      <color rgb="FF0F2E52"/>
      <name val="Calibri"/>
      <family val="0"/>
      <charset val="1"/>
    </font>
    <font>
      <b val="true"/>
      <sz val="26"/>
      <color rgb="FF0F2E52"/>
      <name val="Calibri"/>
      <family val="0"/>
      <charset val="1"/>
    </font>
    <font>
      <sz val="9"/>
      <color rgb="FF66708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D2939"/>
      <name val="Calibri"/>
      <family val="0"/>
      <charset val="1"/>
    </font>
    <font>
      <b val="true"/>
      <sz val="11"/>
      <color rgb="FF1B4B87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0F2E52"/>
      <name val="Calibri"/>
      <family val="0"/>
      <charset val="1"/>
    </font>
    <font>
      <b val="true"/>
      <sz val="11"/>
      <color rgb="FF1D293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2E52"/>
        <bgColor rgb="FF1D2939"/>
      </patternFill>
    </fill>
    <fill>
      <patternFill patternType="solid">
        <fgColor rgb="FFFAFBFD"/>
        <bgColor rgb="FFF6F8FB"/>
      </patternFill>
    </fill>
    <fill>
      <patternFill patternType="solid">
        <fgColor rgb="FFFFF4CC"/>
        <bgColor rgb="FFFDE7E7"/>
      </patternFill>
    </fill>
    <fill>
      <patternFill patternType="solid">
        <fgColor rgb="FFF6F8FB"/>
        <bgColor rgb="FFFAFBFD"/>
      </patternFill>
    </fill>
    <fill>
      <patternFill patternType="solid">
        <fgColor rgb="FFE8EEF6"/>
        <bgColor rgb="FFDCF3E4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2E52"/>
      </bottom>
      <diagonal/>
    </border>
    <border diagonalUp="false" diagonalDown="false">
      <left style="thin">
        <color rgb="FFE3B505"/>
      </left>
      <right style="thin">
        <color rgb="FFE3B505"/>
      </right>
      <top style="thin">
        <color rgb="FFE3B505"/>
      </top>
      <bottom style="thin">
        <color rgb="FFE3B505"/>
      </bottom>
      <diagonal/>
    </border>
    <border diagonalUp="false" diagonalDown="false">
      <left/>
      <right/>
      <top style="thin">
        <color rgb="FF0F2E52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5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F2E52"/>
          <bgColor rgb="FF000000"/>
        </patternFill>
      </fill>
    </dxf>
    <dxf>
      <fill>
        <patternFill patternType="solid">
          <fgColor rgb="FFF6F8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D293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3E4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067647"/>
          <bgColor rgb="FF000000"/>
        </patternFill>
      </fill>
    </dxf>
    <dxf>
      <fill>
        <patternFill>
          <bgColor rgb="FFF6F8FB"/>
        </patternFill>
      </fill>
    </dxf>
    <dxf>
      <font>
        <name val="Calibri"/>
        <charset val="1"/>
        <family val="0"/>
        <b val="1"/>
        <color rgb="FF067647"/>
        <sz val="11"/>
      </font>
      <fill>
        <patternFill>
          <bgColor rgb="FFDCF3E4"/>
        </patternFill>
      </fill>
    </dxf>
    <dxf>
      <font>
        <name val="Calibri"/>
        <charset val="1"/>
        <family val="0"/>
        <b val="1"/>
        <color rgb="FFB42318"/>
        <sz val="11"/>
      </font>
      <fill>
        <patternFill>
          <bgColor rgb="FFFDE7E7"/>
        </patternFill>
      </fill>
    </dxf>
    <dxf>
      <font>
        <name val="Calibri"/>
        <charset val="1"/>
        <family val="0"/>
        <b val="1"/>
        <color rgb="FF0F2E52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7647"/>
      <rgbColor rgb="FFC0C0C0"/>
      <rgbColor rgb="FF878787"/>
      <rgbColor rgb="FF9999FF"/>
      <rgbColor rgb="FF993366"/>
      <rgbColor rgb="FFFFF4CC"/>
      <rgbColor rgb="FFE8EEF6"/>
      <rgbColor rgb="FF660066"/>
      <rgbColor rgb="FFFF8080"/>
      <rgbColor rgb="FF0066CC"/>
      <rgbColor rgb="FFFAFB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8FB"/>
      <rgbColor rgb="FFDCF3E4"/>
      <rgbColor rgb="FFFDE7E7"/>
      <rgbColor rgb="FF99CCFF"/>
      <rgbColor rgb="FFFF99CC"/>
      <rgbColor rgb="FFCC99FF"/>
      <rgbColor rgb="FFFFCC99"/>
      <rgbColor rgb="FF3366FF"/>
      <rgbColor rgb="FF33CCCC"/>
      <rgbColor rgb="FF99CC00"/>
      <rgbColor rgb="FFE3B505"/>
      <rgbColor rgb="FFD98A00"/>
      <rgbColor rgb="FFFF6600"/>
      <rgbColor rgb="FF667085"/>
      <rgbColor rgb="FF969696"/>
      <rgbColor rgb="FF0F2E52"/>
      <rgbColor rgb="FF1E8E5A"/>
      <rgbColor rgb="FF003300"/>
      <rgbColor rgb="FF333300"/>
      <rgbColor rgb="FFB42318"/>
      <rgbColor rgb="FF993366"/>
      <rgbColor rgb="FF1B4B87"/>
      <rgbColor rgb="FF1D29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taken out, run rate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'3 Compare'!I4</c:f>
              <c:strCache>
                <c:ptCount val="1"/>
                <c:pt idx="0">
                  <c:v>Example</c:v>
                </c:pt>
              </c:strCache>
            </c:strRef>
          </c:tx>
          <c:spPr>
            <a:solidFill>
              <a:srgbClr val="0f2e52"/>
            </a:solidFill>
            <a:ln w="31680">
              <a:solidFill>
                <a:srgbClr val="0f2e5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Compare'!$H$5:$H$22</c:f>
              <c:strCache>
                <c:ptCount val="18"/>
                <c:pt idx="0">
                  <c:v>Jul-2026</c:v>
                </c:pt>
                <c:pt idx="1">
                  <c:v>Aug-2026</c:v>
                </c:pt>
                <c:pt idx="2">
                  <c:v>Sep-2026</c:v>
                </c:pt>
                <c:pt idx="3">
                  <c:v>Oct-2026</c:v>
                </c:pt>
                <c:pt idx="4">
                  <c:v>Nov-2026</c:v>
                </c:pt>
                <c:pt idx="5">
                  <c:v>Dec-2026</c:v>
                </c:pt>
                <c:pt idx="6">
                  <c:v>Jan-2027</c:v>
                </c:pt>
                <c:pt idx="7">
                  <c:v>Feb-2027</c:v>
                </c:pt>
                <c:pt idx="8">
                  <c:v>Mar-2027</c:v>
                </c:pt>
                <c:pt idx="9">
                  <c:v>Apr-2027</c:v>
                </c:pt>
                <c:pt idx="10">
                  <c:v>May-2027</c:v>
                </c:pt>
                <c:pt idx="11">
                  <c:v>Jun-2027</c:v>
                </c:pt>
                <c:pt idx="12">
                  <c:v>Jul-2027</c:v>
                </c:pt>
                <c:pt idx="13">
                  <c:v>Aug-2027</c:v>
                </c:pt>
                <c:pt idx="14">
                  <c:v>Sep-2027</c:v>
                </c:pt>
                <c:pt idx="15">
                  <c:v>Oct-2027</c:v>
                </c:pt>
                <c:pt idx="16">
                  <c:v>Nov-2027</c:v>
                </c:pt>
                <c:pt idx="17">
                  <c:v>Dec-2027</c:v>
                </c:pt>
              </c:strCache>
            </c:strRef>
          </c:cat>
          <c:val>
            <c:numRef>
              <c:f>'3 Compare'!$I$5:$I$22</c:f>
              <c:numCache>
                <c:formatCode>#,##0.00;\(#,##0.00\);""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0.28472</c:v>
                </c:pt>
                <c:pt idx="4">
                  <c:v>0.28472</c:v>
                </c:pt>
                <c:pt idx="5">
                  <c:v>0.28472</c:v>
                </c:pt>
                <c:pt idx="6">
                  <c:v>0.38966</c:v>
                </c:pt>
                <c:pt idx="7">
                  <c:v>0.38966</c:v>
                </c:pt>
                <c:pt idx="8">
                  <c:v>0.38966</c:v>
                </c:pt>
                <c:pt idx="9">
                  <c:v>0.38966</c:v>
                </c:pt>
                <c:pt idx="10">
                  <c:v>0.38966</c:v>
                </c:pt>
                <c:pt idx="11">
                  <c:v>0.38966</c:v>
                </c:pt>
                <c:pt idx="12">
                  <c:v>0.38966</c:v>
                </c:pt>
                <c:pt idx="13">
                  <c:v>0.38966</c:v>
                </c:pt>
                <c:pt idx="14">
                  <c:v>0.38966</c:v>
                </c:pt>
                <c:pt idx="15">
                  <c:v>0.38966</c:v>
                </c:pt>
                <c:pt idx="16">
                  <c:v>0.38966</c:v>
                </c:pt>
                <c:pt idx="17">
                  <c:v>0.38966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'3 Compare'!J4</c:f>
              <c:strCache>
                <c:ptCount val="1"/>
                <c:pt idx="0">
                  <c:v>List B</c:v>
                </c:pt>
              </c:strCache>
            </c:strRef>
          </c:tx>
          <c:spPr>
            <a:solidFill>
              <a:srgbClr val="d98a00"/>
            </a:solidFill>
            <a:ln w="31680">
              <a:solidFill>
                <a:srgbClr val="d98a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Compare'!$H$5:$H$22</c:f>
              <c:strCache>
                <c:ptCount val="18"/>
                <c:pt idx="0">
                  <c:v>Jul-2026</c:v>
                </c:pt>
                <c:pt idx="1">
                  <c:v>Aug-2026</c:v>
                </c:pt>
                <c:pt idx="2">
                  <c:v>Sep-2026</c:v>
                </c:pt>
                <c:pt idx="3">
                  <c:v>Oct-2026</c:v>
                </c:pt>
                <c:pt idx="4">
                  <c:v>Nov-2026</c:v>
                </c:pt>
                <c:pt idx="5">
                  <c:v>Dec-2026</c:v>
                </c:pt>
                <c:pt idx="6">
                  <c:v>Jan-2027</c:v>
                </c:pt>
                <c:pt idx="7">
                  <c:v>Feb-2027</c:v>
                </c:pt>
                <c:pt idx="8">
                  <c:v>Mar-2027</c:v>
                </c:pt>
                <c:pt idx="9">
                  <c:v>Apr-2027</c:v>
                </c:pt>
                <c:pt idx="10">
                  <c:v>May-2027</c:v>
                </c:pt>
                <c:pt idx="11">
                  <c:v>Jun-2027</c:v>
                </c:pt>
                <c:pt idx="12">
                  <c:v>Jul-2027</c:v>
                </c:pt>
                <c:pt idx="13">
                  <c:v>Aug-2027</c:v>
                </c:pt>
                <c:pt idx="14">
                  <c:v>Sep-2027</c:v>
                </c:pt>
                <c:pt idx="15">
                  <c:v>Oct-2027</c:v>
                </c:pt>
                <c:pt idx="16">
                  <c:v>Nov-2027</c:v>
                </c:pt>
                <c:pt idx="17">
                  <c:v>Dec-2027</c:v>
                </c:pt>
              </c:strCache>
            </c:strRef>
          </c:cat>
          <c:val>
            <c:numRef>
              <c:f>'3 Compare'!$J$5:$J$22</c:f>
              <c:numCache>
                <c:formatCode>#,##0.00;\(#,##0.00\);""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 Compare'!K4</c:f>
              <c:strCache>
                <c:ptCount val="1"/>
                <c:pt idx="0">
                  <c:v>List C</c:v>
                </c:pt>
              </c:strCache>
            </c:strRef>
          </c:tx>
          <c:spPr>
            <a:solidFill>
              <a:srgbClr val="1e8e5a"/>
            </a:solidFill>
            <a:ln w="31680">
              <a:solidFill>
                <a:srgbClr val="1e8e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Compare'!$H$5:$H$22</c:f>
              <c:strCache>
                <c:ptCount val="18"/>
                <c:pt idx="0">
                  <c:v>Jul-2026</c:v>
                </c:pt>
                <c:pt idx="1">
                  <c:v>Aug-2026</c:v>
                </c:pt>
                <c:pt idx="2">
                  <c:v>Sep-2026</c:v>
                </c:pt>
                <c:pt idx="3">
                  <c:v>Oct-2026</c:v>
                </c:pt>
                <c:pt idx="4">
                  <c:v>Nov-2026</c:v>
                </c:pt>
                <c:pt idx="5">
                  <c:v>Dec-2026</c:v>
                </c:pt>
                <c:pt idx="6">
                  <c:v>Jan-2027</c:v>
                </c:pt>
                <c:pt idx="7">
                  <c:v>Feb-2027</c:v>
                </c:pt>
                <c:pt idx="8">
                  <c:v>Mar-2027</c:v>
                </c:pt>
                <c:pt idx="9">
                  <c:v>Apr-2027</c:v>
                </c:pt>
                <c:pt idx="10">
                  <c:v>May-2027</c:v>
                </c:pt>
                <c:pt idx="11">
                  <c:v>Jun-2027</c:v>
                </c:pt>
                <c:pt idx="12">
                  <c:v>Jul-2027</c:v>
                </c:pt>
                <c:pt idx="13">
                  <c:v>Aug-2027</c:v>
                </c:pt>
                <c:pt idx="14">
                  <c:v>Sep-2027</c:v>
                </c:pt>
                <c:pt idx="15">
                  <c:v>Oct-2027</c:v>
                </c:pt>
                <c:pt idx="16">
                  <c:v>Nov-2027</c:v>
                </c:pt>
                <c:pt idx="17">
                  <c:v>Dec-2027</c:v>
                </c:pt>
              </c:strCache>
            </c:strRef>
          </c:cat>
          <c:val>
            <c:numRef>
              <c:f>'3 Compare'!$K$5:$K$22</c:f>
              <c:numCache>
                <c:formatCode>#,##0.00;\(#,##0.00\);""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018566"/>
        <c:axId val="90767658"/>
      </c:lineChart>
      <c:catAx>
        <c:axId val="380185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67658"/>
        <c:crosses val="autoZero"/>
        <c:auto val="1"/>
        <c:lblAlgn val="ctr"/>
        <c:lblOffset val="100"/>
        <c:noMultiLvlLbl val="0"/>
      </c:catAx>
      <c:valAx>
        <c:axId val="9076765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A$m/yr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18566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taken out, run rate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'3 Compare'!I4</c:f>
              <c:strCache>
                <c:ptCount val="1"/>
                <c:pt idx="0">
                  <c:v>Example</c:v>
                </c:pt>
              </c:strCache>
            </c:strRef>
          </c:tx>
          <c:spPr>
            <a:solidFill>
              <a:srgbClr val="0f2e52"/>
            </a:solidFill>
            <a:ln w="31680">
              <a:solidFill>
                <a:srgbClr val="0f2e5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Compare'!$H$5:$H$22</c:f>
              <c:strCache>
                <c:ptCount val="18"/>
                <c:pt idx="0">
                  <c:v>Jul-2026</c:v>
                </c:pt>
                <c:pt idx="1">
                  <c:v>Aug-2026</c:v>
                </c:pt>
                <c:pt idx="2">
                  <c:v>Sep-2026</c:v>
                </c:pt>
                <c:pt idx="3">
                  <c:v>Oct-2026</c:v>
                </c:pt>
                <c:pt idx="4">
                  <c:v>Nov-2026</c:v>
                </c:pt>
                <c:pt idx="5">
                  <c:v>Dec-2026</c:v>
                </c:pt>
                <c:pt idx="6">
                  <c:v>Jan-2027</c:v>
                </c:pt>
                <c:pt idx="7">
                  <c:v>Feb-2027</c:v>
                </c:pt>
                <c:pt idx="8">
                  <c:v>Mar-2027</c:v>
                </c:pt>
                <c:pt idx="9">
                  <c:v>Apr-2027</c:v>
                </c:pt>
                <c:pt idx="10">
                  <c:v>May-2027</c:v>
                </c:pt>
                <c:pt idx="11">
                  <c:v>Jun-2027</c:v>
                </c:pt>
                <c:pt idx="12">
                  <c:v>Jul-2027</c:v>
                </c:pt>
                <c:pt idx="13">
                  <c:v>Aug-2027</c:v>
                </c:pt>
                <c:pt idx="14">
                  <c:v>Sep-2027</c:v>
                </c:pt>
                <c:pt idx="15">
                  <c:v>Oct-2027</c:v>
                </c:pt>
                <c:pt idx="16">
                  <c:v>Nov-2027</c:v>
                </c:pt>
                <c:pt idx="17">
                  <c:v>Dec-2027</c:v>
                </c:pt>
              </c:strCache>
            </c:strRef>
          </c:cat>
          <c:val>
            <c:numRef>
              <c:f>'3 Compare'!$I$5:$I$22</c:f>
              <c:numCache>
                <c:formatCode>#,##0.00;\(#,##0.00\);""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0.28472</c:v>
                </c:pt>
                <c:pt idx="4">
                  <c:v>0.28472</c:v>
                </c:pt>
                <c:pt idx="5">
                  <c:v>0.28472</c:v>
                </c:pt>
                <c:pt idx="6">
                  <c:v>0.38966</c:v>
                </c:pt>
                <c:pt idx="7">
                  <c:v>0.38966</c:v>
                </c:pt>
                <c:pt idx="8">
                  <c:v>0.38966</c:v>
                </c:pt>
                <c:pt idx="9">
                  <c:v>0.38966</c:v>
                </c:pt>
                <c:pt idx="10">
                  <c:v>0.38966</c:v>
                </c:pt>
                <c:pt idx="11">
                  <c:v>0.38966</c:v>
                </c:pt>
                <c:pt idx="12">
                  <c:v>0.38966</c:v>
                </c:pt>
                <c:pt idx="13">
                  <c:v>0.38966</c:v>
                </c:pt>
                <c:pt idx="14">
                  <c:v>0.38966</c:v>
                </c:pt>
                <c:pt idx="15">
                  <c:v>0.38966</c:v>
                </c:pt>
                <c:pt idx="16">
                  <c:v>0.38966</c:v>
                </c:pt>
                <c:pt idx="17">
                  <c:v>0.38966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'3 Compare'!J4</c:f>
              <c:strCache>
                <c:ptCount val="1"/>
                <c:pt idx="0">
                  <c:v>List B</c:v>
                </c:pt>
              </c:strCache>
            </c:strRef>
          </c:tx>
          <c:spPr>
            <a:solidFill>
              <a:srgbClr val="d98a00"/>
            </a:solidFill>
            <a:ln w="31680">
              <a:solidFill>
                <a:srgbClr val="d98a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Compare'!$H$5:$H$22</c:f>
              <c:strCache>
                <c:ptCount val="18"/>
                <c:pt idx="0">
                  <c:v>Jul-2026</c:v>
                </c:pt>
                <c:pt idx="1">
                  <c:v>Aug-2026</c:v>
                </c:pt>
                <c:pt idx="2">
                  <c:v>Sep-2026</c:v>
                </c:pt>
                <c:pt idx="3">
                  <c:v>Oct-2026</c:v>
                </c:pt>
                <c:pt idx="4">
                  <c:v>Nov-2026</c:v>
                </c:pt>
                <c:pt idx="5">
                  <c:v>Dec-2026</c:v>
                </c:pt>
                <c:pt idx="6">
                  <c:v>Jan-2027</c:v>
                </c:pt>
                <c:pt idx="7">
                  <c:v>Feb-2027</c:v>
                </c:pt>
                <c:pt idx="8">
                  <c:v>Mar-2027</c:v>
                </c:pt>
                <c:pt idx="9">
                  <c:v>Apr-2027</c:v>
                </c:pt>
                <c:pt idx="10">
                  <c:v>May-2027</c:v>
                </c:pt>
                <c:pt idx="11">
                  <c:v>Jun-2027</c:v>
                </c:pt>
                <c:pt idx="12">
                  <c:v>Jul-2027</c:v>
                </c:pt>
                <c:pt idx="13">
                  <c:v>Aug-2027</c:v>
                </c:pt>
                <c:pt idx="14">
                  <c:v>Sep-2027</c:v>
                </c:pt>
                <c:pt idx="15">
                  <c:v>Oct-2027</c:v>
                </c:pt>
                <c:pt idx="16">
                  <c:v>Nov-2027</c:v>
                </c:pt>
                <c:pt idx="17">
                  <c:v>Dec-2027</c:v>
                </c:pt>
              </c:strCache>
            </c:strRef>
          </c:cat>
          <c:val>
            <c:numRef>
              <c:f>'3 Compare'!$J$5:$J$22</c:f>
              <c:numCache>
                <c:formatCode>#,##0.00;\(#,##0.00\);""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 Compare'!K4</c:f>
              <c:strCache>
                <c:ptCount val="1"/>
                <c:pt idx="0">
                  <c:v>List C</c:v>
                </c:pt>
              </c:strCache>
            </c:strRef>
          </c:tx>
          <c:spPr>
            <a:solidFill>
              <a:srgbClr val="1e8e5a"/>
            </a:solidFill>
            <a:ln w="31680">
              <a:solidFill>
                <a:srgbClr val="1e8e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Compare'!$H$5:$H$22</c:f>
              <c:strCache>
                <c:ptCount val="18"/>
                <c:pt idx="0">
                  <c:v>Jul-2026</c:v>
                </c:pt>
                <c:pt idx="1">
                  <c:v>Aug-2026</c:v>
                </c:pt>
                <c:pt idx="2">
                  <c:v>Sep-2026</c:v>
                </c:pt>
                <c:pt idx="3">
                  <c:v>Oct-2026</c:v>
                </c:pt>
                <c:pt idx="4">
                  <c:v>Nov-2026</c:v>
                </c:pt>
                <c:pt idx="5">
                  <c:v>Dec-2026</c:v>
                </c:pt>
                <c:pt idx="6">
                  <c:v>Jan-2027</c:v>
                </c:pt>
                <c:pt idx="7">
                  <c:v>Feb-2027</c:v>
                </c:pt>
                <c:pt idx="8">
                  <c:v>Mar-2027</c:v>
                </c:pt>
                <c:pt idx="9">
                  <c:v>Apr-2027</c:v>
                </c:pt>
                <c:pt idx="10">
                  <c:v>May-2027</c:v>
                </c:pt>
                <c:pt idx="11">
                  <c:v>Jun-2027</c:v>
                </c:pt>
                <c:pt idx="12">
                  <c:v>Jul-2027</c:v>
                </c:pt>
                <c:pt idx="13">
                  <c:v>Aug-2027</c:v>
                </c:pt>
                <c:pt idx="14">
                  <c:v>Sep-2027</c:v>
                </c:pt>
                <c:pt idx="15">
                  <c:v>Oct-2027</c:v>
                </c:pt>
                <c:pt idx="16">
                  <c:v>Nov-2027</c:v>
                </c:pt>
                <c:pt idx="17">
                  <c:v>Dec-2027</c:v>
                </c:pt>
              </c:strCache>
            </c:strRef>
          </c:cat>
          <c:val>
            <c:numRef>
              <c:f>'3 Compare'!$K$5:$K$22</c:f>
              <c:numCache>
                <c:formatCode>#,##0.00;\(#,##0.00\);""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58143"/>
        <c:axId val="62572448"/>
      </c:lineChart>
      <c:catAx>
        <c:axId val="655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72448"/>
        <c:crosses val="autoZero"/>
        <c:auto val="1"/>
        <c:lblAlgn val="ctr"/>
        <c:lblOffset val="100"/>
        <c:noMultiLvlLbl val="0"/>
      </c:catAx>
      <c:valAx>
        <c:axId val="6257244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A$m/yr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8143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taken out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 Compare'!I25</c:f>
              <c:strCache>
                <c:ptCount val="1"/>
                <c:pt idx="0">
                  <c:v>Example</c:v>
                </c:pt>
              </c:strCache>
            </c:strRef>
          </c:tx>
          <c:spPr>
            <a:solidFill>
              <a:srgbClr val="0f2e5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Compare'!$H$26:$H$27</c:f>
              <c:strCache>
                <c:ptCount val="2"/>
                <c:pt idx="0">
                  <c:v>2026</c:v>
                </c:pt>
                <c:pt idx="1">
                  <c:v>2027</c:v>
                </c:pt>
              </c:strCache>
            </c:strRef>
          </c:cat>
          <c:val>
            <c:numRef>
              <c:f>'3 Compare'!$I$26:$I$27</c:f>
              <c:numCache>
                <c:formatCode>#,##0.00;\(#,##0.00\);""</c:formatCode>
                <c:ptCount val="2"/>
                <c:pt idx="0">
                  <c:v>0.07118</c:v>
                </c:pt>
                <c:pt idx="1">
                  <c:v>0.38966</c:v>
                </c:pt>
              </c:numCache>
            </c:numRef>
          </c:val>
        </c:ser>
        <c:ser>
          <c:idx val="1"/>
          <c:order val="1"/>
          <c:tx>
            <c:strRef>
              <c:f>'3 Compare'!J25</c:f>
              <c:strCache>
                <c:ptCount val="1"/>
                <c:pt idx="0">
                  <c:v>List B</c:v>
                </c:pt>
              </c:strCache>
            </c:strRef>
          </c:tx>
          <c:spPr>
            <a:solidFill>
              <a:srgbClr val="d98a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Compare'!$H$26:$H$27</c:f>
              <c:strCache>
                <c:ptCount val="2"/>
                <c:pt idx="0">
                  <c:v>2026</c:v>
                </c:pt>
                <c:pt idx="1">
                  <c:v>2027</c:v>
                </c:pt>
              </c:strCache>
            </c:strRef>
          </c:cat>
          <c:val>
            <c:numRef>
              <c:f>'3 Compare'!$J$26:$J$27</c:f>
              <c:numCache>
                <c:formatCode>#,##0.00;\(#,##0.00\);""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strRef>
              <c:f>'3 Compare'!K25</c:f>
              <c:strCache>
                <c:ptCount val="1"/>
                <c:pt idx="0">
                  <c:v>List C</c:v>
                </c:pt>
              </c:strCache>
            </c:strRef>
          </c:tx>
          <c:spPr>
            <a:solidFill>
              <a:srgbClr val="1e8e5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Compare'!$H$26:$H$27</c:f>
              <c:strCache>
                <c:ptCount val="2"/>
                <c:pt idx="0">
                  <c:v>2026</c:v>
                </c:pt>
                <c:pt idx="1">
                  <c:v>2027</c:v>
                </c:pt>
              </c:strCache>
            </c:strRef>
          </c:cat>
          <c:val>
            <c:numRef>
              <c:f>'3 Compare'!$K$26:$K$27</c:f>
              <c:numCache>
                <c:formatCode>#,##0.00;\(#,##0.00\);""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gapWidth val="80"/>
        <c:overlap val="0"/>
        <c:axId val="43512154"/>
        <c:axId val="35540394"/>
      </c:barChart>
      <c:catAx>
        <c:axId val="435121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40394"/>
        <c:crosses val="autoZero"/>
        <c:auto val="1"/>
        <c:lblAlgn val="ctr"/>
        <c:lblOffset val="100"/>
        <c:noMultiLvlLbl val="0"/>
      </c:catAx>
      <c:valAx>
        <c:axId val="3554039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12154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14</xdr:row>
      <xdr:rowOff>0</xdr:rowOff>
    </xdr:from>
    <xdr:to>
      <xdr:col>19</xdr:col>
      <xdr:colOff>424080</xdr:colOff>
      <xdr:row>31</xdr:row>
      <xdr:rowOff>73080</xdr:rowOff>
    </xdr:to>
    <xdr:graphicFrame>
      <xdr:nvGraphicFramePr>
        <xdr:cNvPr id="0" name="Chart 1"/>
        <xdr:cNvGraphicFramePr/>
      </xdr:nvGraphicFramePr>
      <xdr:xfrm>
        <a:off x="7334280" y="2876400"/>
        <a:ext cx="719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34</xdr:row>
      <xdr:rowOff>131040</xdr:rowOff>
    </xdr:from>
    <xdr:to>
      <xdr:col>4</xdr:col>
      <xdr:colOff>1510200</xdr:colOff>
      <xdr:row>52</xdr:row>
      <xdr:rowOff>13680</xdr:rowOff>
    </xdr:to>
    <xdr:graphicFrame>
      <xdr:nvGraphicFramePr>
        <xdr:cNvPr id="1" name="Chart 1"/>
        <xdr:cNvGraphicFramePr/>
      </xdr:nvGraphicFramePr>
      <xdr:xfrm>
        <a:off x="177840" y="6810480"/>
        <a:ext cx="719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34</xdr:row>
      <xdr:rowOff>131040</xdr:rowOff>
    </xdr:from>
    <xdr:to>
      <xdr:col>10</xdr:col>
      <xdr:colOff>1292400</xdr:colOff>
      <xdr:row>52</xdr:row>
      <xdr:rowOff>13680</xdr:rowOff>
    </xdr:to>
    <xdr:graphicFrame>
      <xdr:nvGraphicFramePr>
        <xdr:cNvPr id="2" name="Chart 2"/>
        <xdr:cNvGraphicFramePr/>
      </xdr:nvGraphicFramePr>
      <xdr:xfrm>
        <a:off x="9874080" y="6810480"/>
        <a:ext cx="395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1.5"/>
    <col collapsed="false" customWidth="true" hidden="false" outlineLevel="0" max="11" min="11" style="0" width="2"/>
    <col collapsed="false" customWidth="true" hidden="true" outlineLevel="0" max="15" min="14" style="0" width="13"/>
  </cols>
  <sheetData>
    <row r="2" customFormat="false" ht="19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9.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B4" s="2" t="s">
        <v>1</v>
      </c>
    </row>
    <row r="6" customFormat="false" ht="6" hidden="false" customHeight="true" outlineLevel="0" collapsed="false">
      <c r="B6" s="3"/>
      <c r="C6" s="3"/>
      <c r="D6" s="3"/>
      <c r="E6" s="3"/>
      <c r="F6" s="3"/>
      <c r="G6" s="3"/>
      <c r="H6" s="3"/>
      <c r="I6" s="3"/>
      <c r="J6" s="3"/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B8" s="5" t="s">
        <v>2</v>
      </c>
      <c r="C8" s="5"/>
      <c r="D8" s="5"/>
      <c r="E8" s="5" t="s">
        <v>3</v>
      </c>
      <c r="F8" s="5"/>
      <c r="G8" s="5"/>
      <c r="H8" s="5" t="s">
        <v>4</v>
      </c>
      <c r="I8" s="5"/>
      <c r="J8" s="5"/>
    </row>
    <row r="9" customFormat="false" ht="15" hidden="false" customHeight="false" outlineLevel="0" collapsed="false">
      <c r="B9" s="4"/>
      <c r="C9" s="4"/>
      <c r="D9" s="4"/>
      <c r="E9" s="4"/>
      <c r="F9" s="4"/>
      <c r="G9" s="4"/>
      <c r="H9" s="4"/>
      <c r="I9" s="4"/>
      <c r="J9" s="4"/>
    </row>
    <row r="10" customFormat="false" ht="31.5" hidden="false" customHeight="true" outlineLevel="0" collapsed="false">
      <c r="B10" s="6" t="n">
        <f aca="false">'3 Compare'!C9</f>
        <v>0.38966</v>
      </c>
      <c r="C10" s="6"/>
      <c r="D10" s="6"/>
      <c r="E10" s="6" t="n">
        <f aca="false">'3 Compare'!D9</f>
        <v>0</v>
      </c>
      <c r="F10" s="6"/>
      <c r="G10" s="6"/>
      <c r="H10" s="6" t="n">
        <f aca="false">'3 Compare'!E9</f>
        <v>0</v>
      </c>
      <c r="I10" s="6"/>
      <c r="J10" s="6"/>
    </row>
    <row r="11" customFormat="false" ht="15" hidden="false" customHeight="false" outlineLevel="0" collapsed="false">
      <c r="B11" s="7" t="str">
        <f aca="false">TEXT('3 Compare'!C5,"0")&amp;" roles · "&amp;TEXT('3 Compare'!C6,"0.0")&amp;" FTE · 2026 $"&amp;TEXT('3 Compare'!C10,"0.00")&amp;"m"</f>
        <v>4 roles · 4.0 FTE · 2026 $0.07m</v>
      </c>
      <c r="C11" s="7"/>
      <c r="D11" s="7"/>
      <c r="E11" s="7" t="str">
        <f aca="false">TEXT('3 Compare'!D5,"0")&amp;" roles · "&amp;TEXT('3 Compare'!D6,"0.0")&amp;" FTE · 2026 $"&amp;TEXT('3 Compare'!D10,"0.00")&amp;"m"</f>
        <v>0 roles · 0.0 FTE · 2026 $0.00m</v>
      </c>
      <c r="F11" s="7"/>
      <c r="G11" s="7"/>
      <c r="H11" s="7" t="str">
        <f aca="false">TEXT('3 Compare'!E5,"0")&amp;" roles · "&amp;TEXT('3 Compare'!E6,"0.0")&amp;" FTE · 2026 $"&amp;TEXT('3 Compare'!E10,"0.00")&amp;"m"</f>
        <v>0 roles · 0.0 FTE · 2026 $0.00m</v>
      </c>
      <c r="I11" s="7"/>
      <c r="J11" s="7"/>
    </row>
    <row r="12" customFormat="false" ht="15" hidden="false" customHeight="false" outlineLevel="0" collapsed="false">
      <c r="B12" s="7" t="str">
        <f aca="false">TEXT(IFERROR('3 Compare'!C9/'3 Compare'!C7,0),"0%")&amp;" of what these roles cost today"</f>
        <v>51% of what these roles cost today</v>
      </c>
      <c r="C12" s="7"/>
      <c r="D12" s="7"/>
      <c r="E12" s="7" t="str">
        <f aca="false">TEXT(IFERROR('3 Compare'!D9/'3 Compare'!D7,0),"0%")&amp;" of what these roles cost today"</f>
        <v>0% of what these roles cost today</v>
      </c>
      <c r="F12" s="7"/>
      <c r="G12" s="7"/>
      <c r="H12" s="7" t="str">
        <f aca="false">TEXT(IFERROR('3 Compare'!E9/'3 Compare'!E7,0),"0%")&amp;" of what these roles cost today"</f>
        <v>0% of what these roles cost today</v>
      </c>
      <c r="I12" s="7"/>
      <c r="J12" s="7"/>
    </row>
    <row r="13" customFormat="false" ht="15" hidden="false" customHeight="false" outlineLevel="0" collapsed="false">
      <c r="B13" s="8" t="s">
        <v>5</v>
      </c>
    </row>
    <row r="15" customFormat="false" ht="15" hidden="false" customHeight="false" outlineLevel="0" collapsed="false">
      <c r="B15" s="9" t="s">
        <v>6</v>
      </c>
    </row>
    <row r="16" customFormat="false" ht="15" hidden="false" customHeight="true" outlineLevel="0" collapsed="false">
      <c r="B16" s="10" t="s">
        <v>7</v>
      </c>
      <c r="C16" s="10"/>
      <c r="D16" s="10"/>
      <c r="E16" s="10" t="s">
        <v>8</v>
      </c>
      <c r="F16" s="10"/>
      <c r="G16" s="11" t="s">
        <v>9</v>
      </c>
      <c r="H16" s="11" t="s">
        <v>10</v>
      </c>
    </row>
    <row r="17" customFormat="false" ht="15" hidden="false" customHeight="false" outlineLevel="0" collapsed="false">
      <c r="B17" s="12" t="str">
        <f aca="false">IF($N17&lt;0.00001,"",INDEX('2 Pick roles'!$C$5:$C$544,$O17))</f>
        <v>Snr Business Analyst</v>
      </c>
      <c r="C17" s="12"/>
      <c r="D17" s="12"/>
      <c r="E17" s="12" t="str">
        <f aca="false">IF($N17&lt;0.00001,"",INDEX('2 Pick roles'!$D$5:$D$544,$O17))</f>
        <v>Ampol Customer</v>
      </c>
      <c r="F17" s="12"/>
      <c r="G17" s="13" t="str">
        <f aca="false">IF($N17&lt;0.00001,"",INDEX('2 Pick roles'!$AF$5:$AF$544,$O17))</f>
        <v>A</v>
      </c>
      <c r="H17" s="14" t="n">
        <f aca="false">IF($N17&lt;0.00001,"",INDEX('2 Pick roles'!$AD$5:$AD$544,$O17))</f>
        <v>0.16374</v>
      </c>
      <c r="N17" s="0" t="n">
        <f aca="false">IFERROR(LARGE('2 Pick roles'!$AE$5:$AE$544,1),0)</f>
        <v>0.163740006</v>
      </c>
      <c r="O17" s="0" t="n">
        <f aca="false">IFERROR(MATCH($N17,'2 Pick roles'!$AE$5:$AE$544,0),0)</f>
        <v>2</v>
      </c>
    </row>
    <row r="18" customFormat="false" ht="15" hidden="false" customHeight="false" outlineLevel="0" collapsed="false">
      <c r="B18" s="15" t="str">
        <f aca="false">IF($N18&lt;0.00001,"",INDEX('2 Pick roles'!$C$5:$C$544,$O18))</f>
        <v>Systems Analyst</v>
      </c>
      <c r="C18" s="15"/>
      <c r="D18" s="15"/>
      <c r="E18" s="15" t="str">
        <f aca="false">IF($N18&lt;0.00001,"",INDEX('2 Pick roles'!$D$5:$D$544,$O18))</f>
        <v>Retail</v>
      </c>
      <c r="F18" s="15"/>
      <c r="G18" s="16" t="str">
        <f aca="false">IF($N18&lt;0.00001,"",INDEX('2 Pick roles'!$AF$5:$AF$544,$O18))</f>
        <v>A</v>
      </c>
      <c r="H18" s="17" t="n">
        <f aca="false">IF($N18&lt;0.00001,"",INDEX('2 Pick roles'!$AD$5:$AD$544,$O18))</f>
        <v>0.12096</v>
      </c>
      <c r="N18" s="0" t="n">
        <f aca="false">IFERROR(LARGE('2 Pick roles'!$AE$5:$AE$544,2),0)</f>
        <v>0.120960472</v>
      </c>
      <c r="O18" s="0" t="n">
        <f aca="false">IFERROR(MATCH($N18,'2 Pick roles'!$AE$5:$AE$544,0),0)</f>
        <v>468</v>
      </c>
    </row>
    <row r="19" customFormat="false" ht="15" hidden="false" customHeight="false" outlineLevel="0" collapsed="false">
      <c r="B19" s="12" t="str">
        <f aca="false">IF($N19&lt;0.00001,"",INDEX('2 Pick roles'!$C$5:$C$544,$O19))</f>
        <v>Integration Specialist (ASAPIO CTR</v>
      </c>
      <c r="C19" s="12"/>
      <c r="D19" s="12"/>
      <c r="E19" s="12" t="str">
        <f aca="false">IF($N19&lt;0.00001,"",INDEX('2 Pick roles'!$D$5:$D$544,$O19))</f>
        <v>Finance</v>
      </c>
      <c r="F19" s="12"/>
      <c r="G19" s="13" t="str">
        <f aca="false">IF($N19&lt;0.00001,"",INDEX('2 Pick roles'!$AF$5:$AF$544,$O19))</f>
        <v>A</v>
      </c>
      <c r="H19" s="14" t="n">
        <f aca="false">IF($N19&lt;0.00001,"",INDEX('2 Pick roles'!$AD$5:$AD$544,$O19))</f>
        <v>0.10494</v>
      </c>
      <c r="N19" s="0" t="n">
        <f aca="false">IFERROR(LARGE('2 Pick roles'!$AE$5:$AE$544,3),0)</f>
        <v>0.104940355</v>
      </c>
      <c r="O19" s="0" t="n">
        <f aca="false">IFERROR(MATCH($N19,'2 Pick roles'!$AE$5:$AE$544,0),0)</f>
        <v>351</v>
      </c>
    </row>
    <row r="20" customFormat="false" ht="15" hidden="false" customHeight="false" outlineLevel="0" collapsed="false">
      <c r="B20" s="15" t="str">
        <f aca="false">IF($N20&lt;0.00001,"",INDEX('2 Pick roles'!$C$5:$C$544,$O20))</f>
        <v>Lead Engineer - Mobile</v>
      </c>
      <c r="C20" s="15"/>
      <c r="D20" s="15"/>
      <c r="E20" s="15" t="str">
        <f aca="false">IF($N20&lt;0.00001,"",INDEX('2 Pick roles'!$D$5:$D$544,$O20))</f>
        <v>Ampol Customer</v>
      </c>
      <c r="F20" s="15"/>
      <c r="G20" s="16" t="str">
        <f aca="false">IF($N20&lt;0.00001,"",INDEX('2 Pick roles'!$AF$5:$AF$544,$O20))</f>
        <v>A</v>
      </c>
      <c r="H20" s="17" t="n">
        <f aca="false">IF($N20&lt;0.00001,"",INDEX('2 Pick roles'!$AD$5:$AD$544,$O20))</f>
        <v>1.99999999999922E-005</v>
      </c>
      <c r="N20" s="0" t="n">
        <f aca="false">IFERROR(LARGE('2 Pick roles'!$AE$5:$AE$544,4),0)</f>
        <v>2.00329999999922E-005</v>
      </c>
      <c r="O20" s="0" t="n">
        <f aca="false">IFERROR(MATCH($N20,'2 Pick roles'!$AE$5:$AE$544,0),0)</f>
        <v>29</v>
      </c>
    </row>
    <row r="21" customFormat="false" ht="15" hidden="false" customHeight="false" outlineLevel="0" collapsed="false">
      <c r="B21" s="12" t="str">
        <f aca="false">IF($N21&lt;0.00001,"",INDEX('2 Pick roles'!$C$5:$C$544,$O21))</f>
        <v/>
      </c>
      <c r="C21" s="12"/>
      <c r="D21" s="12"/>
      <c r="E21" s="12" t="str">
        <f aca="false">IF($N21&lt;0.00001,"",INDEX('2 Pick roles'!$D$5:$D$544,$O21))</f>
        <v/>
      </c>
      <c r="F21" s="12"/>
      <c r="G21" s="13" t="str">
        <f aca="false">IF($N21&lt;0.00001,"",INDEX('2 Pick roles'!$AF$5:$AF$544,$O21))</f>
        <v/>
      </c>
      <c r="H21" s="14" t="str">
        <f aca="false">IF($N21&lt;0.00001,"",INDEX('2 Pick roles'!$AD$5:$AD$544,$O21))</f>
        <v/>
      </c>
      <c r="N21" s="0" t="n">
        <f aca="false">IFERROR(LARGE('2 Pick roles'!$AE$5:$AE$544,5),0)</f>
        <v>5.44E-007</v>
      </c>
      <c r="O21" s="0" t="n">
        <f aca="false">IFERROR(MATCH($N21,'2 Pick roles'!$AE$5:$AE$544,0),0)</f>
        <v>540</v>
      </c>
    </row>
    <row r="22" customFormat="false" ht="15" hidden="false" customHeight="false" outlineLevel="0" collapsed="false">
      <c r="B22" s="15" t="str">
        <f aca="false">IF($N22&lt;0.00001,"",INDEX('2 Pick roles'!$C$5:$C$544,$O22))</f>
        <v/>
      </c>
      <c r="C22" s="15"/>
      <c r="D22" s="15"/>
      <c r="E22" s="15" t="str">
        <f aca="false">IF($N22&lt;0.00001,"",INDEX('2 Pick roles'!$D$5:$D$544,$O22))</f>
        <v/>
      </c>
      <c r="F22" s="15"/>
      <c r="G22" s="16" t="str">
        <f aca="false">IF($N22&lt;0.00001,"",INDEX('2 Pick roles'!$AF$5:$AF$544,$O22))</f>
        <v/>
      </c>
      <c r="H22" s="17" t="str">
        <f aca="false">IF($N22&lt;0.00001,"",INDEX('2 Pick roles'!$AD$5:$AD$544,$O22))</f>
        <v/>
      </c>
      <c r="N22" s="0" t="n">
        <f aca="false">IFERROR(LARGE('2 Pick roles'!$AE$5:$AE$544,6),0)</f>
        <v>5.43E-007</v>
      </c>
      <c r="O22" s="0" t="n">
        <f aca="false">IFERROR(MATCH($N22,'2 Pick roles'!$AE$5:$AE$544,0),0)</f>
        <v>539</v>
      </c>
    </row>
    <row r="23" customFormat="false" ht="15" hidden="false" customHeight="false" outlineLevel="0" collapsed="false">
      <c r="B23" s="12" t="str">
        <f aca="false">IF($N23&lt;0.00001,"",INDEX('2 Pick roles'!$C$5:$C$544,$O23))</f>
        <v/>
      </c>
      <c r="C23" s="12"/>
      <c r="D23" s="12"/>
      <c r="E23" s="12" t="str">
        <f aca="false">IF($N23&lt;0.00001,"",INDEX('2 Pick roles'!$D$5:$D$544,$O23))</f>
        <v/>
      </c>
      <c r="F23" s="12"/>
      <c r="G23" s="13" t="str">
        <f aca="false">IF($N23&lt;0.00001,"",INDEX('2 Pick roles'!$AF$5:$AF$544,$O23))</f>
        <v/>
      </c>
      <c r="H23" s="14" t="str">
        <f aca="false">IF($N23&lt;0.00001,"",INDEX('2 Pick roles'!$AD$5:$AD$544,$O23))</f>
        <v/>
      </c>
      <c r="N23" s="0" t="n">
        <f aca="false">IFERROR(LARGE('2 Pick roles'!$AE$5:$AE$544,7),0)</f>
        <v>5.42E-007</v>
      </c>
      <c r="O23" s="0" t="n">
        <f aca="false">IFERROR(MATCH($N23,'2 Pick roles'!$AE$5:$AE$544,0),0)</f>
        <v>538</v>
      </c>
    </row>
    <row r="24" customFormat="false" ht="15" hidden="false" customHeight="false" outlineLevel="0" collapsed="false">
      <c r="B24" s="15" t="str">
        <f aca="false">IF($N24&lt;0.00001,"",INDEX('2 Pick roles'!$C$5:$C$544,$O24))</f>
        <v/>
      </c>
      <c r="C24" s="15"/>
      <c r="D24" s="15"/>
      <c r="E24" s="15" t="str">
        <f aca="false">IF($N24&lt;0.00001,"",INDEX('2 Pick roles'!$D$5:$D$544,$O24))</f>
        <v/>
      </c>
      <c r="F24" s="15"/>
      <c r="G24" s="16" t="str">
        <f aca="false">IF($N24&lt;0.00001,"",INDEX('2 Pick roles'!$AF$5:$AF$544,$O24))</f>
        <v/>
      </c>
      <c r="H24" s="17" t="str">
        <f aca="false">IF($N24&lt;0.00001,"",INDEX('2 Pick roles'!$AD$5:$AD$544,$O24))</f>
        <v/>
      </c>
      <c r="N24" s="0" t="n">
        <f aca="false">IFERROR(LARGE('2 Pick roles'!$AE$5:$AE$544,8),0)</f>
        <v>5.41E-007</v>
      </c>
      <c r="O24" s="0" t="n">
        <f aca="false">IFERROR(MATCH($N24,'2 Pick roles'!$AE$5:$AE$544,0),0)</f>
        <v>537</v>
      </c>
    </row>
    <row r="25" customFormat="false" ht="15" hidden="false" customHeight="false" outlineLevel="0" collapsed="false">
      <c r="B25" s="12" t="str">
        <f aca="false">IF($N25&lt;0.00001,"",INDEX('2 Pick roles'!$C$5:$C$544,$O25))</f>
        <v/>
      </c>
      <c r="C25" s="12"/>
      <c r="D25" s="12"/>
      <c r="E25" s="12" t="str">
        <f aca="false">IF($N25&lt;0.00001,"",INDEX('2 Pick roles'!$D$5:$D$544,$O25))</f>
        <v/>
      </c>
      <c r="F25" s="12"/>
      <c r="G25" s="13" t="str">
        <f aca="false">IF($N25&lt;0.00001,"",INDEX('2 Pick roles'!$AF$5:$AF$544,$O25))</f>
        <v/>
      </c>
      <c r="H25" s="14" t="str">
        <f aca="false">IF($N25&lt;0.00001,"",INDEX('2 Pick roles'!$AD$5:$AD$544,$O25))</f>
        <v/>
      </c>
      <c r="N25" s="0" t="n">
        <f aca="false">IFERROR(LARGE('2 Pick roles'!$AE$5:$AE$544,9),0)</f>
        <v>5.4E-007</v>
      </c>
      <c r="O25" s="0" t="n">
        <f aca="false">IFERROR(MATCH($N25,'2 Pick roles'!$AE$5:$AE$544,0),0)</f>
        <v>536</v>
      </c>
    </row>
    <row r="26" customFormat="false" ht="15" hidden="false" customHeight="false" outlineLevel="0" collapsed="false">
      <c r="B26" s="15" t="str">
        <f aca="false">IF($N26&lt;0.00001,"",INDEX('2 Pick roles'!$C$5:$C$544,$O26))</f>
        <v/>
      </c>
      <c r="C26" s="15"/>
      <c r="D26" s="15"/>
      <c r="E26" s="15" t="str">
        <f aca="false">IF($N26&lt;0.00001,"",INDEX('2 Pick roles'!$D$5:$D$544,$O26))</f>
        <v/>
      </c>
      <c r="F26" s="15"/>
      <c r="G26" s="16" t="str">
        <f aca="false">IF($N26&lt;0.00001,"",INDEX('2 Pick roles'!$AF$5:$AF$544,$O26))</f>
        <v/>
      </c>
      <c r="H26" s="17" t="str">
        <f aca="false">IF($N26&lt;0.00001,"",INDEX('2 Pick roles'!$AD$5:$AD$544,$O26))</f>
        <v/>
      </c>
      <c r="N26" s="0" t="n">
        <f aca="false">IFERROR(LARGE('2 Pick roles'!$AE$5:$AE$544,10),0)</f>
        <v>5.39E-007</v>
      </c>
      <c r="O26" s="0" t="n">
        <f aca="false">IFERROR(MATCH($N26,'2 Pick roles'!$AE$5:$AE$544,0),0)</f>
        <v>535</v>
      </c>
    </row>
    <row r="29" customFormat="false" ht="15" hidden="false" customHeight="false" outlineLevel="0" collapsed="false">
      <c r="B29" s="9" t="s">
        <v>11</v>
      </c>
    </row>
    <row r="30" customFormat="false" ht="15" hidden="false" customHeight="false" outlineLevel="0" collapsed="false">
      <c r="B30" s="18" t="s">
        <v>12</v>
      </c>
    </row>
    <row r="31" customFormat="false" ht="15" hidden="false" customHeight="false" outlineLevel="0" collapsed="false">
      <c r="B31" s="18" t="s">
        <v>13</v>
      </c>
    </row>
    <row r="32" customFormat="false" ht="15" hidden="false" customHeight="false" outlineLevel="0" collapsed="false">
      <c r="B32" s="18" t="s">
        <v>14</v>
      </c>
    </row>
    <row r="33" customFormat="false" ht="15" hidden="false" customHeight="false" outlineLevel="0" collapsed="false">
      <c r="B33" s="18" t="s">
        <v>15</v>
      </c>
    </row>
    <row r="35" customFormat="false" ht="15" hidden="false" customHeight="false" outlineLevel="0" collapsed="false">
      <c r="B35" s="9" t="s">
        <v>16</v>
      </c>
    </row>
    <row r="36" customFormat="false" ht="15" hidden="false" customHeight="false" outlineLevel="0" collapsed="false">
      <c r="B36" s="18" t="s">
        <v>17</v>
      </c>
    </row>
    <row r="37" customFormat="false" ht="15" hidden="false" customHeight="false" outlineLevel="0" collapsed="false">
      <c r="B37" s="18" t="s">
        <v>18</v>
      </c>
    </row>
    <row r="38" customFormat="false" ht="15" hidden="false" customHeight="false" outlineLevel="0" collapsed="false">
      <c r="B38" s="18" t="s">
        <v>19</v>
      </c>
    </row>
    <row r="39" customFormat="false" ht="15" hidden="false" customHeight="false" outlineLevel="0" collapsed="false">
      <c r="B39" s="18" t="s">
        <v>20</v>
      </c>
    </row>
    <row r="40" customFormat="false" ht="15" hidden="false" customHeight="false" outlineLevel="0" collapsed="false">
      <c r="B40" s="18" t="s">
        <v>21</v>
      </c>
    </row>
    <row r="41" customFormat="false" ht="15" hidden="false" customHeight="false" outlineLevel="0" collapsed="false">
      <c r="B41" s="18" t="s">
        <v>22</v>
      </c>
    </row>
  </sheetData>
  <sheetProtection sheet="true" password="c5c5"/>
  <mergeCells count="35">
    <mergeCell ref="B2:J3"/>
    <mergeCell ref="B8:D8"/>
    <mergeCell ref="E8:G8"/>
    <mergeCell ref="H8:J8"/>
    <mergeCell ref="B10:D10"/>
    <mergeCell ref="E10:G10"/>
    <mergeCell ref="H10:J10"/>
    <mergeCell ref="B11:D11"/>
    <mergeCell ref="E11:G11"/>
    <mergeCell ref="H11:J11"/>
    <mergeCell ref="B12:D12"/>
    <mergeCell ref="E12:G12"/>
    <mergeCell ref="H12:J12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</mergeCells>
  <conditionalFormatting sqref="H17:H26">
    <cfRule type="dataBar" priority="2">
      <dataBar showValue="1" minLength="10" maxLength="90">
        <cfvo type="num" val="0"/>
        <cfvo type="max" val="0"/>
        <color rgb="FF1B4B87"/>
      </dataBar>
      <extLst>
        <ext xmlns:x14="http://schemas.microsoft.com/office/spreadsheetml/2009/9/main" uri="{B025F937-C7B1-47D3-B67F-A62EFF666E3E}">
          <x14:id>{BB14CE74-4B41-44D4-9119-44CF86B7B37C}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14CE74-4B41-44D4-9119-44CF86B7B37C}">
            <x14:dataBar minLength="10" maxLength="90" axisPosition="none" gradient="true">
              <x14:cfvo type="num">
                <xm:f>0</xm:f>
              </x14:cfvo>
              <x14:cfvo type="max"/>
              <x14:negativeFillColor rgb="FF1B4B87"/>
              <x14:axisColor rgb="FF000000"/>
            </x14:dataBar>
          </x14:cfRule>
          <xm:sqref>H17:H26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F5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4" min="4" style="0" width="19"/>
    <col collapsed="false" customWidth="true" hidden="false" outlineLevel="0" max="5" min="5" style="0" width="23"/>
    <col collapsed="false" customWidth="true" hidden="false" outlineLevel="0" max="6" min="6" style="0" width="8"/>
    <col collapsed="false" customWidth="true" hidden="false" outlineLevel="0" max="7" min="7" style="0" width="21"/>
    <col collapsed="false" customWidth="true" hidden="false" outlineLevel="0" max="8" min="8" style="0" width="6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true" outlineLevel="0" max="17" min="16" style="0" width="12"/>
    <col collapsed="false" customWidth="true" hidden="true" outlineLevel="0" max="18" min="18" style="0" width="6"/>
    <col collapsed="false" customWidth="true" hidden="true" outlineLevel="0" max="20" min="19" style="0" width="10"/>
    <col collapsed="false" customWidth="true" hidden="true" outlineLevel="0" max="21" min="21" style="0" width="12"/>
    <col collapsed="false" customWidth="true" hidden="true" outlineLevel="0" max="22" min="22" style="0" width="6"/>
    <col collapsed="false" customWidth="true" hidden="true" outlineLevel="0" max="24" min="23" style="0" width="10"/>
    <col collapsed="false" customWidth="true" hidden="true" outlineLevel="0" max="25" min="25" style="0" width="12"/>
    <col collapsed="false" customWidth="true" hidden="true" outlineLevel="0" max="26" min="26" style="0" width="6"/>
    <col collapsed="false" customWidth="true" hidden="true" outlineLevel="0" max="28" min="27" style="0" width="10"/>
    <col collapsed="false" customWidth="true" hidden="true" outlineLevel="0" max="31" min="29" style="0" width="12"/>
    <col collapsed="false" customWidth="true" hidden="true" outlineLevel="0" max="32" min="32" style="0" width="8"/>
  </cols>
  <sheetData>
    <row r="1" customFormat="false" ht="19.7" hidden="false" customHeight="false" outlineLevel="0" collapsed="false">
      <c r="B1" s="19" t="s">
        <v>23</v>
      </c>
    </row>
    <row r="2" customFormat="false" ht="15" hidden="false" customHeight="false" outlineLevel="0" collapsed="false">
      <c r="B2" s="2" t="s">
        <v>24</v>
      </c>
    </row>
    <row r="4" customFormat="false" ht="30" hidden="false" customHeight="true" outlineLevel="0" collapsed="false">
      <c r="B4" s="20" t="s">
        <v>25</v>
      </c>
      <c r="C4" s="21" t="s">
        <v>7</v>
      </c>
      <c r="D4" s="21" t="s">
        <v>8</v>
      </c>
      <c r="E4" s="21" t="s">
        <v>26</v>
      </c>
      <c r="F4" s="20" t="s">
        <v>27</v>
      </c>
      <c r="G4" s="21" t="s">
        <v>28</v>
      </c>
      <c r="H4" s="20" t="s">
        <v>29</v>
      </c>
      <c r="I4" s="20" t="s">
        <v>30</v>
      </c>
      <c r="J4" s="20" t="s">
        <v>31</v>
      </c>
      <c r="K4" s="20" t="s">
        <v>32</v>
      </c>
      <c r="L4" s="20" t="s">
        <v>33</v>
      </c>
      <c r="M4" s="20" t="s">
        <v>34</v>
      </c>
      <c r="N4" s="20" t="s">
        <v>35</v>
      </c>
      <c r="O4" s="20" t="s">
        <v>36</v>
      </c>
      <c r="P4" s="20" t="s">
        <v>37</v>
      </c>
      <c r="Q4" s="20" t="s">
        <v>38</v>
      </c>
      <c r="R4" s="20" t="s">
        <v>39</v>
      </c>
      <c r="S4" s="20" t="s">
        <v>40</v>
      </c>
      <c r="T4" s="20" t="s">
        <v>41</v>
      </c>
      <c r="U4" s="20" t="s">
        <v>42</v>
      </c>
      <c r="V4" s="20" t="s">
        <v>43</v>
      </c>
      <c r="W4" s="20" t="s">
        <v>44</v>
      </c>
      <c r="X4" s="20" t="s">
        <v>45</v>
      </c>
      <c r="Y4" s="20" t="s">
        <v>46</v>
      </c>
      <c r="Z4" s="20" t="s">
        <v>47</v>
      </c>
      <c r="AA4" s="20" t="s">
        <v>48</v>
      </c>
      <c r="AB4" s="20" t="s">
        <v>49</v>
      </c>
      <c r="AC4" s="20" t="s">
        <v>50</v>
      </c>
      <c r="AD4" s="20" t="s">
        <v>51</v>
      </c>
      <c r="AE4" s="20" t="s">
        <v>52</v>
      </c>
      <c r="AF4" s="20" t="s">
        <v>9</v>
      </c>
    </row>
    <row r="5" customFormat="false" ht="15" hidden="false" customHeight="false" outlineLevel="0" collapsed="false">
      <c r="B5" s="22" t="s">
        <v>53</v>
      </c>
      <c r="C5" s="23" t="s">
        <v>54</v>
      </c>
      <c r="D5" s="23" t="s">
        <v>55</v>
      </c>
      <c r="E5" s="23" t="s">
        <v>56</v>
      </c>
      <c r="F5" s="22" t="s">
        <v>57</v>
      </c>
      <c r="G5" s="23" t="s">
        <v>58</v>
      </c>
      <c r="H5" s="24" t="n">
        <v>1</v>
      </c>
      <c r="I5" s="14" t="n">
        <v>0.2642</v>
      </c>
      <c r="J5" s="25" t="s">
        <v>59</v>
      </c>
      <c r="K5" s="25"/>
      <c r="L5" s="25" t="s">
        <v>59</v>
      </c>
      <c r="M5" s="25"/>
      <c r="N5" s="25" t="s">
        <v>59</v>
      </c>
      <c r="O5" s="25"/>
      <c r="P5" s="14" t="n">
        <v>0.2642</v>
      </c>
      <c r="Q5" s="14" t="n">
        <f aca="false">IF(AND($J5="Yes",$G5&lt;&gt;"Vendor day rates"),$I5-0.4*$P5,0)</f>
        <v>0</v>
      </c>
      <c r="R5" s="26" t="n">
        <f aca="false">IFERROR(MATCH($K5,MonthList,0),0)</f>
        <v>0</v>
      </c>
      <c r="S5" s="14" t="n">
        <f aca="false">IF(OR($J5&lt;&gt;"Yes",$K5=""),0,$Q5*MAX(0,7-$R5)/12)</f>
        <v>0</v>
      </c>
      <c r="T5" s="14" t="n">
        <f aca="false">IF(OR($J5&lt;&gt;"Yes",$K5=""),0,$Q5*IF($R5&lt;=7,12,19-$R5)/12)</f>
        <v>0</v>
      </c>
      <c r="U5" s="14" t="n">
        <f aca="false">IF(AND($L5="Yes",$G5&lt;&gt;"Vendor day rates"),$I5-0.4*$P5,0)</f>
        <v>0</v>
      </c>
      <c r="V5" s="26" t="n">
        <f aca="false">IFERROR(MATCH($M5,MonthList,0),0)</f>
        <v>0</v>
      </c>
      <c r="W5" s="14" t="n">
        <f aca="false">IF(OR($L5&lt;&gt;"Yes",$M5=""),0,$U5*MAX(0,7-$V5)/12)</f>
        <v>0</v>
      </c>
      <c r="X5" s="14" t="n">
        <f aca="false">IF(OR($L5&lt;&gt;"Yes",$M5=""),0,$U5*IF($V5&lt;=7,12,19-$V5)/12)</f>
        <v>0</v>
      </c>
      <c r="Y5" s="14" t="n">
        <f aca="false">IF(AND($N5="Yes",$G5&lt;&gt;"Vendor day rates"),$I5-0.4*$P5,0)</f>
        <v>0</v>
      </c>
      <c r="Z5" s="26" t="n">
        <f aca="false">IFERROR(MATCH($O5,MonthList,0),0)</f>
        <v>0</v>
      </c>
      <c r="AA5" s="14" t="n">
        <f aca="false">IF(OR($N5&lt;&gt;"Yes",$O5=""),0,$Y5*MAX(0,7-$Z5)/12)</f>
        <v>0</v>
      </c>
      <c r="AB5" s="14" t="n">
        <f aca="false">IF(OR($N5&lt;&gt;"Yes",$O5=""),0,$Y5*IF($Z5&lt;=7,12,19-$Z5)/12)</f>
        <v>0</v>
      </c>
      <c r="AC5" s="26" t="str">
        <f aca="false">IF(OR($J5="Yes",$L5="Yes",$N5="Yes"),"Yes","No")</f>
        <v>No</v>
      </c>
      <c r="AD5" s="14" t="n">
        <f aca="false">MAX($Q5,$U5,$Y5)</f>
        <v>0</v>
      </c>
      <c r="AE5" s="26" t="n">
        <f aca="false">$AD5+ROW()*0.000000001</f>
        <v>5E-009</v>
      </c>
      <c r="AF5" s="26" t="str">
        <f aca="false">IF($J5="Yes","A","")&amp;IF($L5="Yes","B","")&amp;IF($N5="Yes","C","")</f>
        <v/>
      </c>
    </row>
    <row r="6" customFormat="false" ht="15" hidden="false" customHeight="false" outlineLevel="0" collapsed="false">
      <c r="B6" s="22" t="s">
        <v>60</v>
      </c>
      <c r="C6" s="23" t="s">
        <v>61</v>
      </c>
      <c r="D6" s="23" t="s">
        <v>62</v>
      </c>
      <c r="E6" s="23" t="s">
        <v>63</v>
      </c>
      <c r="F6" s="22" t="s">
        <v>57</v>
      </c>
      <c r="G6" s="23" t="s">
        <v>58</v>
      </c>
      <c r="H6" s="24" t="n">
        <v>1</v>
      </c>
      <c r="I6" s="14" t="n">
        <v>0.2729</v>
      </c>
      <c r="J6" s="25" t="s">
        <v>64</v>
      </c>
      <c r="K6" s="25" t="s">
        <v>65</v>
      </c>
      <c r="L6" s="25" t="s">
        <v>59</v>
      </c>
      <c r="M6" s="25"/>
      <c r="N6" s="25" t="s">
        <v>59</v>
      </c>
      <c r="O6" s="25"/>
      <c r="P6" s="14" t="n">
        <v>0.2729</v>
      </c>
      <c r="Q6" s="14" t="n">
        <f aca="false">IF(AND($J6="Yes",$G6&lt;&gt;"Vendor day rates"),$I6-0.4*$P6,0)</f>
        <v>0.16374</v>
      </c>
      <c r="R6" s="26" t="n">
        <f aca="false">IFERROR(MATCH($K6,MonthList,0),0)</f>
        <v>4</v>
      </c>
      <c r="S6" s="14" t="n">
        <f aca="false">IF(OR($J6&lt;&gt;"Yes",$K6=""),0,$Q6*MAX(0,7-$R6)/12)</f>
        <v>0.040935</v>
      </c>
      <c r="T6" s="14" t="n">
        <f aca="false">IF(OR($J6&lt;&gt;"Yes",$K6=""),0,$Q6*IF($R6&lt;=7,12,19-$R6)/12)</f>
        <v>0.16374</v>
      </c>
      <c r="U6" s="14" t="n">
        <f aca="false">IF(AND($L6="Yes",$G6&lt;&gt;"Vendor day rates"),$I6-0.4*$P6,0)</f>
        <v>0</v>
      </c>
      <c r="V6" s="26" t="n">
        <f aca="false">IFERROR(MATCH($M6,MonthList,0),0)</f>
        <v>0</v>
      </c>
      <c r="W6" s="14" t="n">
        <f aca="false">IF(OR($L6&lt;&gt;"Yes",$M6=""),0,$U6*MAX(0,7-$V6)/12)</f>
        <v>0</v>
      </c>
      <c r="X6" s="14" t="n">
        <f aca="false">IF(OR($L6&lt;&gt;"Yes",$M6=""),0,$U6*IF($V6&lt;=7,12,19-$V6)/12)</f>
        <v>0</v>
      </c>
      <c r="Y6" s="14" t="n">
        <f aca="false">IF(AND($N6="Yes",$G6&lt;&gt;"Vendor day rates"),$I6-0.4*$P6,0)</f>
        <v>0</v>
      </c>
      <c r="Z6" s="26" t="n">
        <f aca="false">IFERROR(MATCH($O6,MonthList,0),0)</f>
        <v>0</v>
      </c>
      <c r="AA6" s="14" t="n">
        <f aca="false">IF(OR($N6&lt;&gt;"Yes",$O6=""),0,$Y6*MAX(0,7-$Z6)/12)</f>
        <v>0</v>
      </c>
      <c r="AB6" s="14" t="n">
        <f aca="false">IF(OR($N6&lt;&gt;"Yes",$O6=""),0,$Y6*IF($Z6&lt;=7,12,19-$Z6)/12)</f>
        <v>0</v>
      </c>
      <c r="AC6" s="26" t="str">
        <f aca="false">IF(OR($J6="Yes",$L6="Yes",$N6="Yes"),"Yes","No")</f>
        <v>Yes</v>
      </c>
      <c r="AD6" s="14" t="n">
        <f aca="false">MAX($Q6,$U6,$Y6)</f>
        <v>0.16374</v>
      </c>
      <c r="AE6" s="26" t="n">
        <f aca="false">$AD6+ROW()*0.000000001</f>
        <v>0.163740006</v>
      </c>
      <c r="AF6" s="26" t="str">
        <f aca="false">IF($J6="Yes","A","")&amp;IF($L6="Yes","B","")&amp;IF($N6="Yes","C","")</f>
        <v>A</v>
      </c>
    </row>
    <row r="7" customFormat="false" ht="15" hidden="false" customHeight="false" outlineLevel="0" collapsed="false">
      <c r="B7" s="22" t="s">
        <v>66</v>
      </c>
      <c r="C7" s="23" t="s">
        <v>61</v>
      </c>
      <c r="D7" s="23" t="s">
        <v>62</v>
      </c>
      <c r="E7" s="23" t="s">
        <v>67</v>
      </c>
      <c r="F7" s="22" t="s">
        <v>57</v>
      </c>
      <c r="G7" s="23" t="s">
        <v>58</v>
      </c>
      <c r="H7" s="24" t="n">
        <v>1</v>
      </c>
      <c r="I7" s="14" t="n">
        <v>0.2591</v>
      </c>
      <c r="J7" s="25" t="s">
        <v>59</v>
      </c>
      <c r="K7" s="25"/>
      <c r="L7" s="25" t="s">
        <v>59</v>
      </c>
      <c r="M7" s="25"/>
      <c r="N7" s="25" t="s">
        <v>59</v>
      </c>
      <c r="O7" s="25"/>
      <c r="P7" s="14" t="n">
        <v>0.2591</v>
      </c>
      <c r="Q7" s="14" t="n">
        <f aca="false">IF(AND($J7="Yes",$G7&lt;&gt;"Vendor day rates"),$I7-0.4*$P7,0)</f>
        <v>0</v>
      </c>
      <c r="R7" s="26" t="n">
        <f aca="false">IFERROR(MATCH($K7,MonthList,0),0)</f>
        <v>0</v>
      </c>
      <c r="S7" s="14" t="n">
        <f aca="false">IF(OR($J7&lt;&gt;"Yes",$K7=""),0,$Q7*MAX(0,7-$R7)/12)</f>
        <v>0</v>
      </c>
      <c r="T7" s="14" t="n">
        <f aca="false">IF(OR($J7&lt;&gt;"Yes",$K7=""),0,$Q7*IF($R7&lt;=7,12,19-$R7)/12)</f>
        <v>0</v>
      </c>
      <c r="U7" s="14" t="n">
        <f aca="false">IF(AND($L7="Yes",$G7&lt;&gt;"Vendor day rates"),$I7-0.4*$P7,0)</f>
        <v>0</v>
      </c>
      <c r="V7" s="26" t="n">
        <f aca="false">IFERROR(MATCH($M7,MonthList,0),0)</f>
        <v>0</v>
      </c>
      <c r="W7" s="14" t="n">
        <f aca="false">IF(OR($L7&lt;&gt;"Yes",$M7=""),0,$U7*MAX(0,7-$V7)/12)</f>
        <v>0</v>
      </c>
      <c r="X7" s="14" t="n">
        <f aca="false">IF(OR($L7&lt;&gt;"Yes",$M7=""),0,$U7*IF($V7&lt;=7,12,19-$V7)/12)</f>
        <v>0</v>
      </c>
      <c r="Y7" s="14" t="n">
        <f aca="false">IF(AND($N7="Yes",$G7&lt;&gt;"Vendor day rates"),$I7-0.4*$P7,0)</f>
        <v>0</v>
      </c>
      <c r="Z7" s="26" t="n">
        <f aca="false">IFERROR(MATCH($O7,MonthList,0),0)</f>
        <v>0</v>
      </c>
      <c r="AA7" s="14" t="n">
        <f aca="false">IF(OR($N7&lt;&gt;"Yes",$O7=""),0,$Y7*MAX(0,7-$Z7)/12)</f>
        <v>0</v>
      </c>
      <c r="AB7" s="14" t="n">
        <f aca="false">IF(OR($N7&lt;&gt;"Yes",$O7=""),0,$Y7*IF($Z7&lt;=7,12,19-$Z7)/12)</f>
        <v>0</v>
      </c>
      <c r="AC7" s="26" t="str">
        <f aca="false">IF(OR($J7="Yes",$L7="Yes",$N7="Yes"),"Yes","No")</f>
        <v>No</v>
      </c>
      <c r="AD7" s="14" t="n">
        <f aca="false">MAX($Q7,$U7,$Y7)</f>
        <v>0</v>
      </c>
      <c r="AE7" s="26" t="n">
        <f aca="false">$AD7+ROW()*0.000000001</f>
        <v>7E-009</v>
      </c>
      <c r="AF7" s="26" t="str">
        <f aca="false">IF($J7="Yes","A","")&amp;IF($L7="Yes","B","")&amp;IF($N7="Yes","C","")</f>
        <v/>
      </c>
    </row>
    <row r="8" customFormat="false" ht="15" hidden="false" customHeight="false" outlineLevel="0" collapsed="false">
      <c r="B8" s="22" t="s">
        <v>68</v>
      </c>
      <c r="C8" s="23" t="s">
        <v>69</v>
      </c>
      <c r="D8" s="23" t="s">
        <v>70</v>
      </c>
      <c r="E8" s="23" t="s">
        <v>70</v>
      </c>
      <c r="F8" s="22" t="s">
        <v>57</v>
      </c>
      <c r="G8" s="23" t="s">
        <v>58</v>
      </c>
      <c r="H8" s="24" t="n">
        <v>1</v>
      </c>
      <c r="I8" s="14" t="n">
        <v>0.2442</v>
      </c>
      <c r="J8" s="25" t="s">
        <v>59</v>
      </c>
      <c r="K8" s="25"/>
      <c r="L8" s="25" t="s">
        <v>59</v>
      </c>
      <c r="M8" s="25"/>
      <c r="N8" s="25" t="s">
        <v>59</v>
      </c>
      <c r="O8" s="25"/>
      <c r="P8" s="14" t="n">
        <v>0.2442</v>
      </c>
      <c r="Q8" s="14" t="n">
        <f aca="false">IF(AND($J8="Yes",$G8&lt;&gt;"Vendor day rates"),$I8-0.4*$P8,0)</f>
        <v>0</v>
      </c>
      <c r="R8" s="26" t="n">
        <f aca="false">IFERROR(MATCH($K8,MonthList,0),0)</f>
        <v>0</v>
      </c>
      <c r="S8" s="14" t="n">
        <f aca="false">IF(OR($J8&lt;&gt;"Yes",$K8=""),0,$Q8*MAX(0,7-$R8)/12)</f>
        <v>0</v>
      </c>
      <c r="T8" s="14" t="n">
        <f aca="false">IF(OR($J8&lt;&gt;"Yes",$K8=""),0,$Q8*IF($R8&lt;=7,12,19-$R8)/12)</f>
        <v>0</v>
      </c>
      <c r="U8" s="14" t="n">
        <f aca="false">IF(AND($L8="Yes",$G8&lt;&gt;"Vendor day rates"),$I8-0.4*$P8,0)</f>
        <v>0</v>
      </c>
      <c r="V8" s="26" t="n">
        <f aca="false">IFERROR(MATCH($M8,MonthList,0),0)</f>
        <v>0</v>
      </c>
      <c r="W8" s="14" t="n">
        <f aca="false">IF(OR($L8&lt;&gt;"Yes",$M8=""),0,$U8*MAX(0,7-$V8)/12)</f>
        <v>0</v>
      </c>
      <c r="X8" s="14" t="n">
        <f aca="false">IF(OR($L8&lt;&gt;"Yes",$M8=""),0,$U8*IF($V8&lt;=7,12,19-$V8)/12)</f>
        <v>0</v>
      </c>
      <c r="Y8" s="14" t="n">
        <f aca="false">IF(AND($N8="Yes",$G8&lt;&gt;"Vendor day rates"),$I8-0.4*$P8,0)</f>
        <v>0</v>
      </c>
      <c r="Z8" s="26" t="n">
        <f aca="false">IFERROR(MATCH($O8,MonthList,0),0)</f>
        <v>0</v>
      </c>
      <c r="AA8" s="14" t="n">
        <f aca="false">IF(OR($N8&lt;&gt;"Yes",$O8=""),0,$Y8*MAX(0,7-$Z8)/12)</f>
        <v>0</v>
      </c>
      <c r="AB8" s="14" t="n">
        <f aca="false">IF(OR($N8&lt;&gt;"Yes",$O8=""),0,$Y8*IF($Z8&lt;=7,12,19-$Z8)/12)</f>
        <v>0</v>
      </c>
      <c r="AC8" s="26" t="str">
        <f aca="false">IF(OR($J8="Yes",$L8="Yes",$N8="Yes"),"Yes","No")</f>
        <v>No</v>
      </c>
      <c r="AD8" s="14" t="n">
        <f aca="false">MAX($Q8,$U8,$Y8)</f>
        <v>0</v>
      </c>
      <c r="AE8" s="26" t="n">
        <f aca="false">$AD8+ROW()*0.000000001</f>
        <v>8E-009</v>
      </c>
      <c r="AF8" s="26" t="str">
        <f aca="false">IF($J8="Yes","A","")&amp;IF($L8="Yes","B","")&amp;IF($N8="Yes","C","")</f>
        <v/>
      </c>
    </row>
    <row r="9" customFormat="false" ht="15" hidden="false" customHeight="false" outlineLevel="0" collapsed="false">
      <c r="B9" s="22" t="s">
        <v>71</v>
      </c>
      <c r="C9" s="23" t="s">
        <v>72</v>
      </c>
      <c r="D9" s="23" t="s">
        <v>70</v>
      </c>
      <c r="E9" s="23" t="s">
        <v>70</v>
      </c>
      <c r="F9" s="22" t="s">
        <v>57</v>
      </c>
      <c r="G9" s="23" t="s">
        <v>58</v>
      </c>
      <c r="H9" s="24" t="n">
        <v>1</v>
      </c>
      <c r="I9" s="14" t="n">
        <v>0.2442</v>
      </c>
      <c r="J9" s="25" t="s">
        <v>59</v>
      </c>
      <c r="K9" s="25"/>
      <c r="L9" s="25" t="s">
        <v>59</v>
      </c>
      <c r="M9" s="25"/>
      <c r="N9" s="25" t="s">
        <v>59</v>
      </c>
      <c r="O9" s="25"/>
      <c r="P9" s="14" t="n">
        <v>0.2442</v>
      </c>
      <c r="Q9" s="14" t="n">
        <f aca="false">IF(AND($J9="Yes",$G9&lt;&gt;"Vendor day rates"),$I9-0.4*$P9,0)</f>
        <v>0</v>
      </c>
      <c r="R9" s="26" t="n">
        <f aca="false">IFERROR(MATCH($K9,MonthList,0),0)</f>
        <v>0</v>
      </c>
      <c r="S9" s="14" t="n">
        <f aca="false">IF(OR($J9&lt;&gt;"Yes",$K9=""),0,$Q9*MAX(0,7-$R9)/12)</f>
        <v>0</v>
      </c>
      <c r="T9" s="14" t="n">
        <f aca="false">IF(OR($J9&lt;&gt;"Yes",$K9=""),0,$Q9*IF($R9&lt;=7,12,19-$R9)/12)</f>
        <v>0</v>
      </c>
      <c r="U9" s="14" t="n">
        <f aca="false">IF(AND($L9="Yes",$G9&lt;&gt;"Vendor day rates"),$I9-0.4*$P9,0)</f>
        <v>0</v>
      </c>
      <c r="V9" s="26" t="n">
        <f aca="false">IFERROR(MATCH($M9,MonthList,0),0)</f>
        <v>0</v>
      </c>
      <c r="W9" s="14" t="n">
        <f aca="false">IF(OR($L9&lt;&gt;"Yes",$M9=""),0,$U9*MAX(0,7-$V9)/12)</f>
        <v>0</v>
      </c>
      <c r="X9" s="14" t="n">
        <f aca="false">IF(OR($L9&lt;&gt;"Yes",$M9=""),0,$U9*IF($V9&lt;=7,12,19-$V9)/12)</f>
        <v>0</v>
      </c>
      <c r="Y9" s="14" t="n">
        <f aca="false">IF(AND($N9="Yes",$G9&lt;&gt;"Vendor day rates"),$I9-0.4*$P9,0)</f>
        <v>0</v>
      </c>
      <c r="Z9" s="26" t="n">
        <f aca="false">IFERROR(MATCH($O9,MonthList,0),0)</f>
        <v>0</v>
      </c>
      <c r="AA9" s="14" t="n">
        <f aca="false">IF(OR($N9&lt;&gt;"Yes",$O9=""),0,$Y9*MAX(0,7-$Z9)/12)</f>
        <v>0</v>
      </c>
      <c r="AB9" s="14" t="n">
        <f aca="false">IF(OR($N9&lt;&gt;"Yes",$O9=""),0,$Y9*IF($Z9&lt;=7,12,19-$Z9)/12)</f>
        <v>0</v>
      </c>
      <c r="AC9" s="26" t="str">
        <f aca="false">IF(OR($J9="Yes",$L9="Yes",$N9="Yes"),"Yes","No")</f>
        <v>No</v>
      </c>
      <c r="AD9" s="14" t="n">
        <f aca="false">MAX($Q9,$U9,$Y9)</f>
        <v>0</v>
      </c>
      <c r="AE9" s="26" t="n">
        <f aca="false">$AD9+ROW()*0.000000001</f>
        <v>9E-009</v>
      </c>
      <c r="AF9" s="26" t="str">
        <f aca="false">IF($J9="Yes","A","")&amp;IF($L9="Yes","B","")&amp;IF($N9="Yes","C","")</f>
        <v/>
      </c>
    </row>
    <row r="10" customFormat="false" ht="15" hidden="false" customHeight="false" outlineLevel="0" collapsed="false">
      <c r="B10" s="22" t="s">
        <v>73</v>
      </c>
      <c r="C10" s="23" t="s">
        <v>74</v>
      </c>
      <c r="D10" s="23" t="s">
        <v>70</v>
      </c>
      <c r="E10" s="23" t="s">
        <v>70</v>
      </c>
      <c r="F10" s="22" t="s">
        <v>57</v>
      </c>
      <c r="G10" s="23" t="s">
        <v>58</v>
      </c>
      <c r="H10" s="24" t="n">
        <v>1</v>
      </c>
      <c r="I10" s="14" t="n">
        <v>0.3108</v>
      </c>
      <c r="J10" s="25" t="s">
        <v>59</v>
      </c>
      <c r="K10" s="25"/>
      <c r="L10" s="25" t="s">
        <v>59</v>
      </c>
      <c r="M10" s="25"/>
      <c r="N10" s="25" t="s">
        <v>59</v>
      </c>
      <c r="O10" s="25"/>
      <c r="P10" s="14" t="n">
        <v>0.3108</v>
      </c>
      <c r="Q10" s="14" t="n">
        <f aca="false">IF(AND($J10="Yes",$G10&lt;&gt;"Vendor day rates"),$I10-0.4*$P10,0)</f>
        <v>0</v>
      </c>
      <c r="R10" s="26" t="n">
        <f aca="false">IFERROR(MATCH($K10,MonthList,0),0)</f>
        <v>0</v>
      </c>
      <c r="S10" s="14" t="n">
        <f aca="false">IF(OR($J10&lt;&gt;"Yes",$K10=""),0,$Q10*MAX(0,7-$R10)/12)</f>
        <v>0</v>
      </c>
      <c r="T10" s="14" t="n">
        <f aca="false">IF(OR($J10&lt;&gt;"Yes",$K10=""),0,$Q10*IF($R10&lt;=7,12,19-$R10)/12)</f>
        <v>0</v>
      </c>
      <c r="U10" s="14" t="n">
        <f aca="false">IF(AND($L10="Yes",$G10&lt;&gt;"Vendor day rates"),$I10-0.4*$P10,0)</f>
        <v>0</v>
      </c>
      <c r="V10" s="26" t="n">
        <f aca="false">IFERROR(MATCH($M10,MonthList,0),0)</f>
        <v>0</v>
      </c>
      <c r="W10" s="14" t="n">
        <f aca="false">IF(OR($L10&lt;&gt;"Yes",$M10=""),0,$U10*MAX(0,7-$V10)/12)</f>
        <v>0</v>
      </c>
      <c r="X10" s="14" t="n">
        <f aca="false">IF(OR($L10&lt;&gt;"Yes",$M10=""),0,$U10*IF($V10&lt;=7,12,19-$V10)/12)</f>
        <v>0</v>
      </c>
      <c r="Y10" s="14" t="n">
        <f aca="false">IF(AND($N10="Yes",$G10&lt;&gt;"Vendor day rates"),$I10-0.4*$P10,0)</f>
        <v>0</v>
      </c>
      <c r="Z10" s="26" t="n">
        <f aca="false">IFERROR(MATCH($O10,MonthList,0),0)</f>
        <v>0</v>
      </c>
      <c r="AA10" s="14" t="n">
        <f aca="false">IF(OR($N10&lt;&gt;"Yes",$O10=""),0,$Y10*MAX(0,7-$Z10)/12)</f>
        <v>0</v>
      </c>
      <c r="AB10" s="14" t="n">
        <f aca="false">IF(OR($N10&lt;&gt;"Yes",$O10=""),0,$Y10*IF($Z10&lt;=7,12,19-$Z10)/12)</f>
        <v>0</v>
      </c>
      <c r="AC10" s="26" t="str">
        <f aca="false">IF(OR($J10="Yes",$L10="Yes",$N10="Yes"),"Yes","No")</f>
        <v>No</v>
      </c>
      <c r="AD10" s="14" t="n">
        <f aca="false">MAX($Q10,$U10,$Y10)</f>
        <v>0</v>
      </c>
      <c r="AE10" s="26" t="n">
        <f aca="false">$AD10+ROW()*0.000000001</f>
        <v>1E-008</v>
      </c>
      <c r="AF10" s="26" t="str">
        <f aca="false">IF($J10="Yes","A","")&amp;IF($L10="Yes","B","")&amp;IF($N10="Yes","C","")</f>
        <v/>
      </c>
    </row>
    <row r="11" customFormat="false" ht="15" hidden="false" customHeight="false" outlineLevel="0" collapsed="false">
      <c r="B11" s="22" t="s">
        <v>75</v>
      </c>
      <c r="C11" s="23" t="s">
        <v>76</v>
      </c>
      <c r="D11" s="23" t="s">
        <v>70</v>
      </c>
      <c r="E11" s="23" t="s">
        <v>70</v>
      </c>
      <c r="F11" s="22" t="s">
        <v>57</v>
      </c>
      <c r="G11" s="23" t="s">
        <v>58</v>
      </c>
      <c r="H11" s="24" t="n">
        <v>1</v>
      </c>
      <c r="I11" s="14" t="n">
        <v>0.2775</v>
      </c>
      <c r="J11" s="25" t="s">
        <v>59</v>
      </c>
      <c r="K11" s="25"/>
      <c r="L11" s="25" t="s">
        <v>59</v>
      </c>
      <c r="M11" s="25"/>
      <c r="N11" s="25" t="s">
        <v>59</v>
      </c>
      <c r="O11" s="25"/>
      <c r="P11" s="14" t="n">
        <v>0.2775</v>
      </c>
      <c r="Q11" s="14" t="n">
        <f aca="false">IF(AND($J11="Yes",$G11&lt;&gt;"Vendor day rates"),$I11-0.4*$P11,0)</f>
        <v>0</v>
      </c>
      <c r="R11" s="26" t="n">
        <f aca="false">IFERROR(MATCH($K11,MonthList,0),0)</f>
        <v>0</v>
      </c>
      <c r="S11" s="14" t="n">
        <f aca="false">IF(OR($J11&lt;&gt;"Yes",$K11=""),0,$Q11*MAX(0,7-$R11)/12)</f>
        <v>0</v>
      </c>
      <c r="T11" s="14" t="n">
        <f aca="false">IF(OR($J11&lt;&gt;"Yes",$K11=""),0,$Q11*IF($R11&lt;=7,12,19-$R11)/12)</f>
        <v>0</v>
      </c>
      <c r="U11" s="14" t="n">
        <f aca="false">IF(AND($L11="Yes",$G11&lt;&gt;"Vendor day rates"),$I11-0.4*$P11,0)</f>
        <v>0</v>
      </c>
      <c r="V11" s="26" t="n">
        <f aca="false">IFERROR(MATCH($M11,MonthList,0),0)</f>
        <v>0</v>
      </c>
      <c r="W11" s="14" t="n">
        <f aca="false">IF(OR($L11&lt;&gt;"Yes",$M11=""),0,$U11*MAX(0,7-$V11)/12)</f>
        <v>0</v>
      </c>
      <c r="X11" s="14" t="n">
        <f aca="false">IF(OR($L11&lt;&gt;"Yes",$M11=""),0,$U11*IF($V11&lt;=7,12,19-$V11)/12)</f>
        <v>0</v>
      </c>
      <c r="Y11" s="14" t="n">
        <f aca="false">IF(AND($N11="Yes",$G11&lt;&gt;"Vendor day rates"),$I11-0.4*$P11,0)</f>
        <v>0</v>
      </c>
      <c r="Z11" s="26" t="n">
        <f aca="false">IFERROR(MATCH($O11,MonthList,0),0)</f>
        <v>0</v>
      </c>
      <c r="AA11" s="14" t="n">
        <f aca="false">IF(OR($N11&lt;&gt;"Yes",$O11=""),0,$Y11*MAX(0,7-$Z11)/12)</f>
        <v>0</v>
      </c>
      <c r="AB11" s="14" t="n">
        <f aca="false">IF(OR($N11&lt;&gt;"Yes",$O11=""),0,$Y11*IF($Z11&lt;=7,12,19-$Z11)/12)</f>
        <v>0</v>
      </c>
      <c r="AC11" s="26" t="str">
        <f aca="false">IF(OR($J11="Yes",$L11="Yes",$N11="Yes"),"Yes","No")</f>
        <v>No</v>
      </c>
      <c r="AD11" s="14" t="n">
        <f aca="false">MAX($Q11,$U11,$Y11)</f>
        <v>0</v>
      </c>
      <c r="AE11" s="26" t="n">
        <f aca="false">$AD11+ROW()*0.000000001</f>
        <v>1.1E-008</v>
      </c>
      <c r="AF11" s="26" t="str">
        <f aca="false">IF($J11="Yes","A","")&amp;IF($L11="Yes","B","")&amp;IF($N11="Yes","C","")</f>
        <v/>
      </c>
    </row>
    <row r="12" customFormat="false" ht="15" hidden="false" customHeight="false" outlineLevel="0" collapsed="false">
      <c r="B12" s="22" t="s">
        <v>77</v>
      </c>
      <c r="C12" s="23" t="s">
        <v>78</v>
      </c>
      <c r="D12" s="23" t="s">
        <v>70</v>
      </c>
      <c r="E12" s="23" t="s">
        <v>70</v>
      </c>
      <c r="F12" s="22" t="s">
        <v>57</v>
      </c>
      <c r="G12" s="23" t="s">
        <v>58</v>
      </c>
      <c r="H12" s="24" t="n">
        <v>1</v>
      </c>
      <c r="I12" s="14" t="n">
        <v>0.3013</v>
      </c>
      <c r="J12" s="25" t="s">
        <v>59</v>
      </c>
      <c r="K12" s="25"/>
      <c r="L12" s="25" t="s">
        <v>59</v>
      </c>
      <c r="M12" s="25"/>
      <c r="N12" s="25" t="s">
        <v>59</v>
      </c>
      <c r="O12" s="25"/>
      <c r="P12" s="14" t="n">
        <v>0.3013</v>
      </c>
      <c r="Q12" s="14" t="n">
        <f aca="false">IF(AND($J12="Yes",$G12&lt;&gt;"Vendor day rates"),$I12-0.4*$P12,0)</f>
        <v>0</v>
      </c>
      <c r="R12" s="26" t="n">
        <f aca="false">IFERROR(MATCH($K12,MonthList,0),0)</f>
        <v>0</v>
      </c>
      <c r="S12" s="14" t="n">
        <f aca="false">IF(OR($J12&lt;&gt;"Yes",$K12=""),0,$Q12*MAX(0,7-$R12)/12)</f>
        <v>0</v>
      </c>
      <c r="T12" s="14" t="n">
        <f aca="false">IF(OR($J12&lt;&gt;"Yes",$K12=""),0,$Q12*IF($R12&lt;=7,12,19-$R12)/12)</f>
        <v>0</v>
      </c>
      <c r="U12" s="14" t="n">
        <f aca="false">IF(AND($L12="Yes",$G12&lt;&gt;"Vendor day rates"),$I12-0.4*$P12,0)</f>
        <v>0</v>
      </c>
      <c r="V12" s="26" t="n">
        <f aca="false">IFERROR(MATCH($M12,MonthList,0),0)</f>
        <v>0</v>
      </c>
      <c r="W12" s="14" t="n">
        <f aca="false">IF(OR($L12&lt;&gt;"Yes",$M12=""),0,$U12*MAX(0,7-$V12)/12)</f>
        <v>0</v>
      </c>
      <c r="X12" s="14" t="n">
        <f aca="false">IF(OR($L12&lt;&gt;"Yes",$M12=""),0,$U12*IF($V12&lt;=7,12,19-$V12)/12)</f>
        <v>0</v>
      </c>
      <c r="Y12" s="14" t="n">
        <f aca="false">IF(AND($N12="Yes",$G12&lt;&gt;"Vendor day rates"),$I12-0.4*$P12,0)</f>
        <v>0</v>
      </c>
      <c r="Z12" s="26" t="n">
        <f aca="false">IFERROR(MATCH($O12,MonthList,0),0)</f>
        <v>0</v>
      </c>
      <c r="AA12" s="14" t="n">
        <f aca="false">IF(OR($N12&lt;&gt;"Yes",$O12=""),0,$Y12*MAX(0,7-$Z12)/12)</f>
        <v>0</v>
      </c>
      <c r="AB12" s="14" t="n">
        <f aca="false">IF(OR($N12&lt;&gt;"Yes",$O12=""),0,$Y12*IF($Z12&lt;=7,12,19-$Z12)/12)</f>
        <v>0</v>
      </c>
      <c r="AC12" s="26" t="str">
        <f aca="false">IF(OR($J12="Yes",$L12="Yes",$N12="Yes"),"Yes","No")</f>
        <v>No</v>
      </c>
      <c r="AD12" s="14" t="n">
        <f aca="false">MAX($Q12,$U12,$Y12)</f>
        <v>0</v>
      </c>
      <c r="AE12" s="26" t="n">
        <f aca="false">$AD12+ROW()*0.000000001</f>
        <v>1.2E-008</v>
      </c>
      <c r="AF12" s="26" t="str">
        <f aca="false">IF($J12="Yes","A","")&amp;IF($L12="Yes","B","")&amp;IF($N12="Yes","C","")</f>
        <v/>
      </c>
    </row>
    <row r="13" customFormat="false" ht="15" hidden="false" customHeight="false" outlineLevel="0" collapsed="false">
      <c r="B13" s="22" t="s">
        <v>79</v>
      </c>
      <c r="C13" s="23" t="s">
        <v>80</v>
      </c>
      <c r="D13" s="23" t="s">
        <v>70</v>
      </c>
      <c r="E13" s="23" t="s">
        <v>70</v>
      </c>
      <c r="F13" s="22" t="s">
        <v>57</v>
      </c>
      <c r="G13" s="23" t="s">
        <v>58</v>
      </c>
      <c r="H13" s="24" t="n">
        <v>1</v>
      </c>
      <c r="I13" s="14" t="n">
        <v>0.3432</v>
      </c>
      <c r="J13" s="25" t="s">
        <v>59</v>
      </c>
      <c r="K13" s="25"/>
      <c r="L13" s="25" t="s">
        <v>59</v>
      </c>
      <c r="M13" s="25"/>
      <c r="N13" s="25" t="s">
        <v>59</v>
      </c>
      <c r="O13" s="25"/>
      <c r="P13" s="14" t="n">
        <v>0.3432</v>
      </c>
      <c r="Q13" s="14" t="n">
        <f aca="false">IF(AND($J13="Yes",$G13&lt;&gt;"Vendor day rates"),$I13-0.4*$P13,0)</f>
        <v>0</v>
      </c>
      <c r="R13" s="26" t="n">
        <f aca="false">IFERROR(MATCH($K13,MonthList,0),0)</f>
        <v>0</v>
      </c>
      <c r="S13" s="14" t="n">
        <f aca="false">IF(OR($J13&lt;&gt;"Yes",$K13=""),0,$Q13*MAX(0,7-$R13)/12)</f>
        <v>0</v>
      </c>
      <c r="T13" s="14" t="n">
        <f aca="false">IF(OR($J13&lt;&gt;"Yes",$K13=""),0,$Q13*IF($R13&lt;=7,12,19-$R13)/12)</f>
        <v>0</v>
      </c>
      <c r="U13" s="14" t="n">
        <f aca="false">IF(AND($L13="Yes",$G13&lt;&gt;"Vendor day rates"),$I13-0.4*$P13,0)</f>
        <v>0</v>
      </c>
      <c r="V13" s="26" t="n">
        <f aca="false">IFERROR(MATCH($M13,MonthList,0),0)</f>
        <v>0</v>
      </c>
      <c r="W13" s="14" t="n">
        <f aca="false">IF(OR($L13&lt;&gt;"Yes",$M13=""),0,$U13*MAX(0,7-$V13)/12)</f>
        <v>0</v>
      </c>
      <c r="X13" s="14" t="n">
        <f aca="false">IF(OR($L13&lt;&gt;"Yes",$M13=""),0,$U13*IF($V13&lt;=7,12,19-$V13)/12)</f>
        <v>0</v>
      </c>
      <c r="Y13" s="14" t="n">
        <f aca="false">IF(AND($N13="Yes",$G13&lt;&gt;"Vendor day rates"),$I13-0.4*$P13,0)</f>
        <v>0</v>
      </c>
      <c r="Z13" s="26" t="n">
        <f aca="false">IFERROR(MATCH($O13,MonthList,0),0)</f>
        <v>0</v>
      </c>
      <c r="AA13" s="14" t="n">
        <f aca="false">IF(OR($N13&lt;&gt;"Yes",$O13=""),0,$Y13*MAX(0,7-$Z13)/12)</f>
        <v>0</v>
      </c>
      <c r="AB13" s="14" t="n">
        <f aca="false">IF(OR($N13&lt;&gt;"Yes",$O13=""),0,$Y13*IF($Z13&lt;=7,12,19-$Z13)/12)</f>
        <v>0</v>
      </c>
      <c r="AC13" s="26" t="str">
        <f aca="false">IF(OR($J13="Yes",$L13="Yes",$N13="Yes"),"Yes","No")</f>
        <v>No</v>
      </c>
      <c r="AD13" s="14" t="n">
        <f aca="false">MAX($Q13,$U13,$Y13)</f>
        <v>0</v>
      </c>
      <c r="AE13" s="26" t="n">
        <f aca="false">$AD13+ROW()*0.000000001</f>
        <v>1.3E-008</v>
      </c>
      <c r="AF13" s="26" t="str">
        <f aca="false">IF($J13="Yes","A","")&amp;IF($L13="Yes","B","")&amp;IF($N13="Yes","C","")</f>
        <v/>
      </c>
    </row>
    <row r="14" customFormat="false" ht="15" hidden="false" customHeight="false" outlineLevel="0" collapsed="false">
      <c r="B14" s="22" t="s">
        <v>81</v>
      </c>
      <c r="C14" s="23" t="s">
        <v>82</v>
      </c>
      <c r="D14" s="23" t="s">
        <v>70</v>
      </c>
      <c r="E14" s="23" t="s">
        <v>70</v>
      </c>
      <c r="F14" s="22" t="s">
        <v>57</v>
      </c>
      <c r="G14" s="23" t="s">
        <v>58</v>
      </c>
      <c r="H14" s="24" t="n">
        <v>1</v>
      </c>
      <c r="I14" s="14" t="n">
        <v>0.2664</v>
      </c>
      <c r="J14" s="25" t="s">
        <v>59</v>
      </c>
      <c r="K14" s="25"/>
      <c r="L14" s="25" t="s">
        <v>59</v>
      </c>
      <c r="M14" s="25"/>
      <c r="N14" s="25" t="s">
        <v>59</v>
      </c>
      <c r="O14" s="25"/>
      <c r="P14" s="14" t="n">
        <v>0.2664</v>
      </c>
      <c r="Q14" s="14" t="n">
        <f aca="false">IF(AND($J14="Yes",$G14&lt;&gt;"Vendor day rates"),$I14-0.4*$P14,0)</f>
        <v>0</v>
      </c>
      <c r="R14" s="26" t="n">
        <f aca="false">IFERROR(MATCH($K14,MonthList,0),0)</f>
        <v>0</v>
      </c>
      <c r="S14" s="14" t="n">
        <f aca="false">IF(OR($J14&lt;&gt;"Yes",$K14=""),0,$Q14*MAX(0,7-$R14)/12)</f>
        <v>0</v>
      </c>
      <c r="T14" s="14" t="n">
        <f aca="false">IF(OR($J14&lt;&gt;"Yes",$K14=""),0,$Q14*IF($R14&lt;=7,12,19-$R14)/12)</f>
        <v>0</v>
      </c>
      <c r="U14" s="14" t="n">
        <f aca="false">IF(AND($L14="Yes",$G14&lt;&gt;"Vendor day rates"),$I14-0.4*$P14,0)</f>
        <v>0</v>
      </c>
      <c r="V14" s="26" t="n">
        <f aca="false">IFERROR(MATCH($M14,MonthList,0),0)</f>
        <v>0</v>
      </c>
      <c r="W14" s="14" t="n">
        <f aca="false">IF(OR($L14&lt;&gt;"Yes",$M14=""),0,$U14*MAX(0,7-$V14)/12)</f>
        <v>0</v>
      </c>
      <c r="X14" s="14" t="n">
        <f aca="false">IF(OR($L14&lt;&gt;"Yes",$M14=""),0,$U14*IF($V14&lt;=7,12,19-$V14)/12)</f>
        <v>0</v>
      </c>
      <c r="Y14" s="14" t="n">
        <f aca="false">IF(AND($N14="Yes",$G14&lt;&gt;"Vendor day rates"),$I14-0.4*$P14,0)</f>
        <v>0</v>
      </c>
      <c r="Z14" s="26" t="n">
        <f aca="false">IFERROR(MATCH($O14,MonthList,0),0)</f>
        <v>0</v>
      </c>
      <c r="AA14" s="14" t="n">
        <f aca="false">IF(OR($N14&lt;&gt;"Yes",$O14=""),0,$Y14*MAX(0,7-$Z14)/12)</f>
        <v>0</v>
      </c>
      <c r="AB14" s="14" t="n">
        <f aca="false">IF(OR($N14&lt;&gt;"Yes",$O14=""),0,$Y14*IF($Z14&lt;=7,12,19-$Z14)/12)</f>
        <v>0</v>
      </c>
      <c r="AC14" s="26" t="str">
        <f aca="false">IF(OR($J14="Yes",$L14="Yes",$N14="Yes"),"Yes","No")</f>
        <v>No</v>
      </c>
      <c r="AD14" s="14" t="n">
        <f aca="false">MAX($Q14,$U14,$Y14)</f>
        <v>0</v>
      </c>
      <c r="AE14" s="26" t="n">
        <f aca="false">$AD14+ROW()*0.000000001</f>
        <v>1.4E-008</v>
      </c>
      <c r="AF14" s="26" t="str">
        <f aca="false">IF($J14="Yes","A","")&amp;IF($L14="Yes","B","")&amp;IF($N14="Yes","C","")</f>
        <v/>
      </c>
    </row>
    <row r="15" customFormat="false" ht="15" hidden="false" customHeight="false" outlineLevel="0" collapsed="false">
      <c r="B15" s="22" t="s">
        <v>83</v>
      </c>
      <c r="C15" s="23" t="s">
        <v>84</v>
      </c>
      <c r="D15" s="23" t="s">
        <v>70</v>
      </c>
      <c r="E15" s="23" t="s">
        <v>70</v>
      </c>
      <c r="F15" s="22" t="s">
        <v>57</v>
      </c>
      <c r="G15" s="23" t="s">
        <v>58</v>
      </c>
      <c r="H15" s="24" t="n">
        <v>1</v>
      </c>
      <c r="I15" s="14" t="n">
        <v>0.4884</v>
      </c>
      <c r="J15" s="25" t="s">
        <v>59</v>
      </c>
      <c r="K15" s="25"/>
      <c r="L15" s="25" t="s">
        <v>59</v>
      </c>
      <c r="M15" s="25"/>
      <c r="N15" s="25" t="s">
        <v>59</v>
      </c>
      <c r="O15" s="25"/>
      <c r="P15" s="14" t="n">
        <v>0.4884</v>
      </c>
      <c r="Q15" s="14" t="n">
        <f aca="false">IF(AND($J15="Yes",$G15&lt;&gt;"Vendor day rates"),$I15-0.4*$P15,0)</f>
        <v>0</v>
      </c>
      <c r="R15" s="26" t="n">
        <f aca="false">IFERROR(MATCH($K15,MonthList,0),0)</f>
        <v>0</v>
      </c>
      <c r="S15" s="14" t="n">
        <f aca="false">IF(OR($J15&lt;&gt;"Yes",$K15=""),0,$Q15*MAX(0,7-$R15)/12)</f>
        <v>0</v>
      </c>
      <c r="T15" s="14" t="n">
        <f aca="false">IF(OR($J15&lt;&gt;"Yes",$K15=""),0,$Q15*IF($R15&lt;=7,12,19-$R15)/12)</f>
        <v>0</v>
      </c>
      <c r="U15" s="14" t="n">
        <f aca="false">IF(AND($L15="Yes",$G15&lt;&gt;"Vendor day rates"),$I15-0.4*$P15,0)</f>
        <v>0</v>
      </c>
      <c r="V15" s="26" t="n">
        <f aca="false">IFERROR(MATCH($M15,MonthList,0),0)</f>
        <v>0</v>
      </c>
      <c r="W15" s="14" t="n">
        <f aca="false">IF(OR($L15&lt;&gt;"Yes",$M15=""),0,$U15*MAX(0,7-$V15)/12)</f>
        <v>0</v>
      </c>
      <c r="X15" s="14" t="n">
        <f aca="false">IF(OR($L15&lt;&gt;"Yes",$M15=""),0,$U15*IF($V15&lt;=7,12,19-$V15)/12)</f>
        <v>0</v>
      </c>
      <c r="Y15" s="14" t="n">
        <f aca="false">IF(AND($N15="Yes",$G15&lt;&gt;"Vendor day rates"),$I15-0.4*$P15,0)</f>
        <v>0</v>
      </c>
      <c r="Z15" s="26" t="n">
        <f aca="false">IFERROR(MATCH($O15,MonthList,0),0)</f>
        <v>0</v>
      </c>
      <c r="AA15" s="14" t="n">
        <f aca="false">IF(OR($N15&lt;&gt;"Yes",$O15=""),0,$Y15*MAX(0,7-$Z15)/12)</f>
        <v>0</v>
      </c>
      <c r="AB15" s="14" t="n">
        <f aca="false">IF(OR($N15&lt;&gt;"Yes",$O15=""),0,$Y15*IF($Z15&lt;=7,12,19-$Z15)/12)</f>
        <v>0</v>
      </c>
      <c r="AC15" s="26" t="str">
        <f aca="false">IF(OR($J15="Yes",$L15="Yes",$N15="Yes"),"Yes","No")</f>
        <v>No</v>
      </c>
      <c r="AD15" s="14" t="n">
        <f aca="false">MAX($Q15,$U15,$Y15)</f>
        <v>0</v>
      </c>
      <c r="AE15" s="26" t="n">
        <f aca="false">$AD15+ROW()*0.000000001</f>
        <v>1.5E-008</v>
      </c>
      <c r="AF15" s="26" t="str">
        <f aca="false">IF($J15="Yes","A","")&amp;IF($L15="Yes","B","")&amp;IF($N15="Yes","C","")</f>
        <v/>
      </c>
    </row>
    <row r="16" customFormat="false" ht="15" hidden="false" customHeight="false" outlineLevel="0" collapsed="false">
      <c r="B16" s="22" t="s">
        <v>85</v>
      </c>
      <c r="C16" s="23" t="s">
        <v>78</v>
      </c>
      <c r="D16" s="23" t="s">
        <v>70</v>
      </c>
      <c r="E16" s="23" t="s">
        <v>70</v>
      </c>
      <c r="F16" s="22" t="s">
        <v>57</v>
      </c>
      <c r="G16" s="23" t="s">
        <v>58</v>
      </c>
      <c r="H16" s="24" t="n">
        <v>1</v>
      </c>
      <c r="I16" s="14" t="n">
        <v>0.2997</v>
      </c>
      <c r="J16" s="25" t="s">
        <v>59</v>
      </c>
      <c r="K16" s="25"/>
      <c r="L16" s="25" t="s">
        <v>59</v>
      </c>
      <c r="M16" s="25"/>
      <c r="N16" s="25" t="s">
        <v>59</v>
      </c>
      <c r="O16" s="25"/>
      <c r="P16" s="14" t="n">
        <v>0.2997</v>
      </c>
      <c r="Q16" s="14" t="n">
        <f aca="false">IF(AND($J16="Yes",$G16&lt;&gt;"Vendor day rates"),$I16-0.4*$P16,0)</f>
        <v>0</v>
      </c>
      <c r="R16" s="26" t="n">
        <f aca="false">IFERROR(MATCH($K16,MonthList,0),0)</f>
        <v>0</v>
      </c>
      <c r="S16" s="14" t="n">
        <f aca="false">IF(OR($J16&lt;&gt;"Yes",$K16=""),0,$Q16*MAX(0,7-$R16)/12)</f>
        <v>0</v>
      </c>
      <c r="T16" s="14" t="n">
        <f aca="false">IF(OR($J16&lt;&gt;"Yes",$K16=""),0,$Q16*IF($R16&lt;=7,12,19-$R16)/12)</f>
        <v>0</v>
      </c>
      <c r="U16" s="14" t="n">
        <f aca="false">IF(AND($L16="Yes",$G16&lt;&gt;"Vendor day rates"),$I16-0.4*$P16,0)</f>
        <v>0</v>
      </c>
      <c r="V16" s="26" t="n">
        <f aca="false">IFERROR(MATCH($M16,MonthList,0),0)</f>
        <v>0</v>
      </c>
      <c r="W16" s="14" t="n">
        <f aca="false">IF(OR($L16&lt;&gt;"Yes",$M16=""),0,$U16*MAX(0,7-$V16)/12)</f>
        <v>0</v>
      </c>
      <c r="X16" s="14" t="n">
        <f aca="false">IF(OR($L16&lt;&gt;"Yes",$M16=""),0,$U16*IF($V16&lt;=7,12,19-$V16)/12)</f>
        <v>0</v>
      </c>
      <c r="Y16" s="14" t="n">
        <f aca="false">IF(AND($N16="Yes",$G16&lt;&gt;"Vendor day rates"),$I16-0.4*$P16,0)</f>
        <v>0</v>
      </c>
      <c r="Z16" s="26" t="n">
        <f aca="false">IFERROR(MATCH($O16,MonthList,0),0)</f>
        <v>0</v>
      </c>
      <c r="AA16" s="14" t="n">
        <f aca="false">IF(OR($N16&lt;&gt;"Yes",$O16=""),0,$Y16*MAX(0,7-$Z16)/12)</f>
        <v>0</v>
      </c>
      <c r="AB16" s="14" t="n">
        <f aca="false">IF(OR($N16&lt;&gt;"Yes",$O16=""),0,$Y16*IF($Z16&lt;=7,12,19-$Z16)/12)</f>
        <v>0</v>
      </c>
      <c r="AC16" s="26" t="str">
        <f aca="false">IF(OR($J16="Yes",$L16="Yes",$N16="Yes"),"Yes","No")</f>
        <v>No</v>
      </c>
      <c r="AD16" s="14" t="n">
        <f aca="false">MAX($Q16,$U16,$Y16)</f>
        <v>0</v>
      </c>
      <c r="AE16" s="26" t="n">
        <f aca="false">$AD16+ROW()*0.000000001</f>
        <v>1.6E-008</v>
      </c>
      <c r="AF16" s="26" t="str">
        <f aca="false">IF($J16="Yes","A","")&amp;IF($L16="Yes","B","")&amp;IF($N16="Yes","C","")</f>
        <v/>
      </c>
    </row>
    <row r="17" customFormat="false" ht="15" hidden="false" customHeight="false" outlineLevel="0" collapsed="false">
      <c r="B17" s="22" t="s">
        <v>86</v>
      </c>
      <c r="C17" s="23" t="s">
        <v>78</v>
      </c>
      <c r="D17" s="23" t="s">
        <v>70</v>
      </c>
      <c r="E17" s="23" t="s">
        <v>70</v>
      </c>
      <c r="F17" s="22" t="s">
        <v>57</v>
      </c>
      <c r="G17" s="23" t="s">
        <v>58</v>
      </c>
      <c r="H17" s="24" t="n">
        <v>1</v>
      </c>
      <c r="I17" s="14" t="n">
        <v>0.2304</v>
      </c>
      <c r="J17" s="25" t="s">
        <v>59</v>
      </c>
      <c r="K17" s="25"/>
      <c r="L17" s="25" t="s">
        <v>59</v>
      </c>
      <c r="M17" s="25"/>
      <c r="N17" s="25" t="s">
        <v>59</v>
      </c>
      <c r="O17" s="25"/>
      <c r="P17" s="14" t="n">
        <v>0.2304</v>
      </c>
      <c r="Q17" s="14" t="n">
        <f aca="false">IF(AND($J17="Yes",$G17&lt;&gt;"Vendor day rates"),$I17-0.4*$P17,0)</f>
        <v>0</v>
      </c>
      <c r="R17" s="26" t="n">
        <f aca="false">IFERROR(MATCH($K17,MonthList,0),0)</f>
        <v>0</v>
      </c>
      <c r="S17" s="14" t="n">
        <f aca="false">IF(OR($J17&lt;&gt;"Yes",$K17=""),0,$Q17*MAX(0,7-$R17)/12)</f>
        <v>0</v>
      </c>
      <c r="T17" s="14" t="n">
        <f aca="false">IF(OR($J17&lt;&gt;"Yes",$K17=""),0,$Q17*IF($R17&lt;=7,12,19-$R17)/12)</f>
        <v>0</v>
      </c>
      <c r="U17" s="14" t="n">
        <f aca="false">IF(AND($L17="Yes",$G17&lt;&gt;"Vendor day rates"),$I17-0.4*$P17,0)</f>
        <v>0</v>
      </c>
      <c r="V17" s="26" t="n">
        <f aca="false">IFERROR(MATCH($M17,MonthList,0),0)</f>
        <v>0</v>
      </c>
      <c r="W17" s="14" t="n">
        <f aca="false">IF(OR($L17&lt;&gt;"Yes",$M17=""),0,$U17*MAX(0,7-$V17)/12)</f>
        <v>0</v>
      </c>
      <c r="X17" s="14" t="n">
        <f aca="false">IF(OR($L17&lt;&gt;"Yes",$M17=""),0,$U17*IF($V17&lt;=7,12,19-$V17)/12)</f>
        <v>0</v>
      </c>
      <c r="Y17" s="14" t="n">
        <f aca="false">IF(AND($N17="Yes",$G17&lt;&gt;"Vendor day rates"),$I17-0.4*$P17,0)</f>
        <v>0</v>
      </c>
      <c r="Z17" s="26" t="n">
        <f aca="false">IFERROR(MATCH($O17,MonthList,0),0)</f>
        <v>0</v>
      </c>
      <c r="AA17" s="14" t="n">
        <f aca="false">IF(OR($N17&lt;&gt;"Yes",$O17=""),0,$Y17*MAX(0,7-$Z17)/12)</f>
        <v>0</v>
      </c>
      <c r="AB17" s="14" t="n">
        <f aca="false">IF(OR($N17&lt;&gt;"Yes",$O17=""),0,$Y17*IF($Z17&lt;=7,12,19-$Z17)/12)</f>
        <v>0</v>
      </c>
      <c r="AC17" s="26" t="str">
        <f aca="false">IF(OR($J17="Yes",$L17="Yes",$N17="Yes"),"Yes","No")</f>
        <v>No</v>
      </c>
      <c r="AD17" s="14" t="n">
        <f aca="false">MAX($Q17,$U17,$Y17)</f>
        <v>0</v>
      </c>
      <c r="AE17" s="26" t="n">
        <f aca="false">$AD17+ROW()*0.000000001</f>
        <v>1.7E-008</v>
      </c>
      <c r="AF17" s="26" t="str">
        <f aca="false">IF($J17="Yes","A","")&amp;IF($L17="Yes","B","")&amp;IF($N17="Yes","C","")</f>
        <v/>
      </c>
    </row>
    <row r="18" customFormat="false" ht="15" hidden="false" customHeight="false" outlineLevel="0" collapsed="false">
      <c r="B18" s="22" t="s">
        <v>87</v>
      </c>
      <c r="C18" s="23" t="s">
        <v>88</v>
      </c>
      <c r="D18" s="23"/>
      <c r="E18" s="23" t="s">
        <v>70</v>
      </c>
      <c r="F18" s="22" t="s">
        <v>57</v>
      </c>
      <c r="G18" s="23" t="s">
        <v>58</v>
      </c>
      <c r="H18" s="24" t="n">
        <v>1</v>
      </c>
      <c r="I18" s="14" t="n">
        <v>0.2664</v>
      </c>
      <c r="J18" s="25" t="s">
        <v>59</v>
      </c>
      <c r="K18" s="25"/>
      <c r="L18" s="25" t="s">
        <v>59</v>
      </c>
      <c r="M18" s="25"/>
      <c r="N18" s="25" t="s">
        <v>59</v>
      </c>
      <c r="O18" s="25"/>
      <c r="P18" s="14" t="n">
        <v>0.2664</v>
      </c>
      <c r="Q18" s="14" t="n">
        <f aca="false">IF(AND($J18="Yes",$G18&lt;&gt;"Vendor day rates"),$I18-0.4*$P18,0)</f>
        <v>0</v>
      </c>
      <c r="R18" s="26" t="n">
        <f aca="false">IFERROR(MATCH($K18,MonthList,0),0)</f>
        <v>0</v>
      </c>
      <c r="S18" s="14" t="n">
        <f aca="false">IF(OR($J18&lt;&gt;"Yes",$K18=""),0,$Q18*MAX(0,7-$R18)/12)</f>
        <v>0</v>
      </c>
      <c r="T18" s="14" t="n">
        <f aca="false">IF(OR($J18&lt;&gt;"Yes",$K18=""),0,$Q18*IF($R18&lt;=7,12,19-$R18)/12)</f>
        <v>0</v>
      </c>
      <c r="U18" s="14" t="n">
        <f aca="false">IF(AND($L18="Yes",$G18&lt;&gt;"Vendor day rates"),$I18-0.4*$P18,0)</f>
        <v>0</v>
      </c>
      <c r="V18" s="26" t="n">
        <f aca="false">IFERROR(MATCH($M18,MonthList,0),0)</f>
        <v>0</v>
      </c>
      <c r="W18" s="14" t="n">
        <f aca="false">IF(OR($L18&lt;&gt;"Yes",$M18=""),0,$U18*MAX(0,7-$V18)/12)</f>
        <v>0</v>
      </c>
      <c r="X18" s="14" t="n">
        <f aca="false">IF(OR($L18&lt;&gt;"Yes",$M18=""),0,$U18*IF($V18&lt;=7,12,19-$V18)/12)</f>
        <v>0</v>
      </c>
      <c r="Y18" s="14" t="n">
        <f aca="false">IF(AND($N18="Yes",$G18&lt;&gt;"Vendor day rates"),$I18-0.4*$P18,0)</f>
        <v>0</v>
      </c>
      <c r="Z18" s="26" t="n">
        <f aca="false">IFERROR(MATCH($O18,MonthList,0),0)</f>
        <v>0</v>
      </c>
      <c r="AA18" s="14" t="n">
        <f aca="false">IF(OR($N18&lt;&gt;"Yes",$O18=""),0,$Y18*MAX(0,7-$Z18)/12)</f>
        <v>0</v>
      </c>
      <c r="AB18" s="14" t="n">
        <f aca="false">IF(OR($N18&lt;&gt;"Yes",$O18=""),0,$Y18*IF($Z18&lt;=7,12,19-$Z18)/12)</f>
        <v>0</v>
      </c>
      <c r="AC18" s="26" t="str">
        <f aca="false">IF(OR($J18="Yes",$L18="Yes",$N18="Yes"),"Yes","No")</f>
        <v>No</v>
      </c>
      <c r="AD18" s="14" t="n">
        <f aca="false">MAX($Q18,$U18,$Y18)</f>
        <v>0</v>
      </c>
      <c r="AE18" s="26" t="n">
        <f aca="false">$AD18+ROW()*0.000000001</f>
        <v>1.8E-008</v>
      </c>
      <c r="AF18" s="26" t="str">
        <f aca="false">IF($J18="Yes","A","")&amp;IF($L18="Yes","B","")&amp;IF($N18="Yes","C","")</f>
        <v/>
      </c>
    </row>
    <row r="19" customFormat="false" ht="15" hidden="false" customHeight="false" outlineLevel="0" collapsed="false">
      <c r="B19" s="22" t="s">
        <v>89</v>
      </c>
      <c r="C19" s="23" t="s">
        <v>90</v>
      </c>
      <c r="D19" s="23" t="s">
        <v>91</v>
      </c>
      <c r="E19" s="23" t="s">
        <v>92</v>
      </c>
      <c r="F19" s="22" t="s">
        <v>57</v>
      </c>
      <c r="G19" s="23" t="s">
        <v>58</v>
      </c>
      <c r="H19" s="24" t="n">
        <v>1</v>
      </c>
      <c r="I19" s="14" t="n">
        <v>0.1976</v>
      </c>
      <c r="J19" s="25" t="s">
        <v>59</v>
      </c>
      <c r="K19" s="25"/>
      <c r="L19" s="25" t="s">
        <v>59</v>
      </c>
      <c r="M19" s="25"/>
      <c r="N19" s="25" t="s">
        <v>59</v>
      </c>
      <c r="O19" s="25"/>
      <c r="P19" s="14" t="n">
        <v>0.1976</v>
      </c>
      <c r="Q19" s="14" t="n">
        <f aca="false">IF(AND($J19="Yes",$G19&lt;&gt;"Vendor day rates"),$I19-0.4*$P19,0)</f>
        <v>0</v>
      </c>
      <c r="R19" s="26" t="n">
        <f aca="false">IFERROR(MATCH($K19,MonthList,0),0)</f>
        <v>0</v>
      </c>
      <c r="S19" s="14" t="n">
        <f aca="false">IF(OR($J19&lt;&gt;"Yes",$K19=""),0,$Q19*MAX(0,7-$R19)/12)</f>
        <v>0</v>
      </c>
      <c r="T19" s="14" t="n">
        <f aca="false">IF(OR($J19&lt;&gt;"Yes",$K19=""),0,$Q19*IF($R19&lt;=7,12,19-$R19)/12)</f>
        <v>0</v>
      </c>
      <c r="U19" s="14" t="n">
        <f aca="false">IF(AND($L19="Yes",$G19&lt;&gt;"Vendor day rates"),$I19-0.4*$P19,0)</f>
        <v>0</v>
      </c>
      <c r="V19" s="26" t="n">
        <f aca="false">IFERROR(MATCH($M19,MonthList,0),0)</f>
        <v>0</v>
      </c>
      <c r="W19" s="14" t="n">
        <f aca="false">IF(OR($L19&lt;&gt;"Yes",$M19=""),0,$U19*MAX(0,7-$V19)/12)</f>
        <v>0</v>
      </c>
      <c r="X19" s="14" t="n">
        <f aca="false">IF(OR($L19&lt;&gt;"Yes",$M19=""),0,$U19*IF($V19&lt;=7,12,19-$V19)/12)</f>
        <v>0</v>
      </c>
      <c r="Y19" s="14" t="n">
        <f aca="false">IF(AND($N19="Yes",$G19&lt;&gt;"Vendor day rates"),$I19-0.4*$P19,0)</f>
        <v>0</v>
      </c>
      <c r="Z19" s="26" t="n">
        <f aca="false">IFERROR(MATCH($O19,MonthList,0),0)</f>
        <v>0</v>
      </c>
      <c r="AA19" s="14" t="n">
        <f aca="false">IF(OR($N19&lt;&gt;"Yes",$O19=""),0,$Y19*MAX(0,7-$Z19)/12)</f>
        <v>0</v>
      </c>
      <c r="AB19" s="14" t="n">
        <f aca="false">IF(OR($N19&lt;&gt;"Yes",$O19=""),0,$Y19*IF($Z19&lt;=7,12,19-$Z19)/12)</f>
        <v>0</v>
      </c>
      <c r="AC19" s="26" t="str">
        <f aca="false">IF(OR($J19="Yes",$L19="Yes",$N19="Yes"),"Yes","No")</f>
        <v>No</v>
      </c>
      <c r="AD19" s="14" t="n">
        <f aca="false">MAX($Q19,$U19,$Y19)</f>
        <v>0</v>
      </c>
      <c r="AE19" s="26" t="n">
        <f aca="false">$AD19+ROW()*0.000000001</f>
        <v>1.9E-008</v>
      </c>
      <c r="AF19" s="26" t="str">
        <f aca="false">IF($J19="Yes","A","")&amp;IF($L19="Yes","B","")&amp;IF($N19="Yes","C","")</f>
        <v/>
      </c>
    </row>
    <row r="20" customFormat="false" ht="15" hidden="false" customHeight="false" outlineLevel="0" collapsed="false">
      <c r="B20" s="22" t="s">
        <v>93</v>
      </c>
      <c r="C20" s="23" t="s">
        <v>94</v>
      </c>
      <c r="D20" s="23" t="s">
        <v>62</v>
      </c>
      <c r="E20" s="23" t="s">
        <v>95</v>
      </c>
      <c r="F20" s="22" t="s">
        <v>57</v>
      </c>
      <c r="G20" s="23" t="s">
        <v>96</v>
      </c>
      <c r="H20" s="24" t="n">
        <v>1</v>
      </c>
      <c r="I20" s="14" t="n">
        <v>0.0733</v>
      </c>
      <c r="J20" s="25" t="s">
        <v>59</v>
      </c>
      <c r="K20" s="25"/>
      <c r="L20" s="25" t="s">
        <v>59</v>
      </c>
      <c r="M20" s="25"/>
      <c r="N20" s="25" t="s">
        <v>59</v>
      </c>
      <c r="O20" s="25"/>
      <c r="P20" s="14" t="n">
        <v>0.0733</v>
      </c>
      <c r="Q20" s="14" t="n">
        <f aca="false">IF(AND($J20="Yes",$G20&lt;&gt;"Vendor day rates"),$I20-0.4*$P20,0)</f>
        <v>0</v>
      </c>
      <c r="R20" s="26" t="n">
        <f aca="false">IFERROR(MATCH($K20,MonthList,0),0)</f>
        <v>0</v>
      </c>
      <c r="S20" s="14" t="n">
        <f aca="false">IF(OR($J20&lt;&gt;"Yes",$K20=""),0,$Q20*MAX(0,7-$R20)/12)</f>
        <v>0</v>
      </c>
      <c r="T20" s="14" t="n">
        <f aca="false">IF(OR($J20&lt;&gt;"Yes",$K20=""),0,$Q20*IF($R20&lt;=7,12,19-$R20)/12)</f>
        <v>0</v>
      </c>
      <c r="U20" s="14" t="n">
        <f aca="false">IF(AND($L20="Yes",$G20&lt;&gt;"Vendor day rates"),$I20-0.4*$P20,0)</f>
        <v>0</v>
      </c>
      <c r="V20" s="26" t="n">
        <f aca="false">IFERROR(MATCH($M20,MonthList,0),0)</f>
        <v>0</v>
      </c>
      <c r="W20" s="14" t="n">
        <f aca="false">IF(OR($L20&lt;&gt;"Yes",$M20=""),0,$U20*MAX(0,7-$V20)/12)</f>
        <v>0</v>
      </c>
      <c r="X20" s="14" t="n">
        <f aca="false">IF(OR($L20&lt;&gt;"Yes",$M20=""),0,$U20*IF($V20&lt;=7,12,19-$V20)/12)</f>
        <v>0</v>
      </c>
      <c r="Y20" s="14" t="n">
        <f aca="false">IF(AND($N20="Yes",$G20&lt;&gt;"Vendor day rates"),$I20-0.4*$P20,0)</f>
        <v>0</v>
      </c>
      <c r="Z20" s="26" t="n">
        <f aca="false">IFERROR(MATCH($O20,MonthList,0),0)</f>
        <v>0</v>
      </c>
      <c r="AA20" s="14" t="n">
        <f aca="false">IF(OR($N20&lt;&gt;"Yes",$O20=""),0,$Y20*MAX(0,7-$Z20)/12)</f>
        <v>0</v>
      </c>
      <c r="AB20" s="14" t="n">
        <f aca="false">IF(OR($N20&lt;&gt;"Yes",$O20=""),0,$Y20*IF($Z20&lt;=7,12,19-$Z20)/12)</f>
        <v>0</v>
      </c>
      <c r="AC20" s="26" t="str">
        <f aca="false">IF(OR($J20="Yes",$L20="Yes",$N20="Yes"),"Yes","No")</f>
        <v>No</v>
      </c>
      <c r="AD20" s="14" t="n">
        <f aca="false">MAX($Q20,$U20,$Y20)</f>
        <v>0</v>
      </c>
      <c r="AE20" s="26" t="n">
        <f aca="false">$AD20+ROW()*0.000000001</f>
        <v>2E-008</v>
      </c>
      <c r="AF20" s="26" t="str">
        <f aca="false">IF($J20="Yes","A","")&amp;IF($L20="Yes","B","")&amp;IF($N20="Yes","C","")</f>
        <v/>
      </c>
    </row>
    <row r="21" customFormat="false" ht="15" hidden="false" customHeight="false" outlineLevel="0" collapsed="false">
      <c r="B21" s="22" t="s">
        <v>97</v>
      </c>
      <c r="C21" s="23" t="s">
        <v>98</v>
      </c>
      <c r="D21" s="23" t="s">
        <v>62</v>
      </c>
      <c r="E21" s="23" t="s">
        <v>95</v>
      </c>
      <c r="F21" s="22" t="s">
        <v>57</v>
      </c>
      <c r="G21" s="23" t="s">
        <v>96</v>
      </c>
      <c r="H21" s="24" t="n">
        <v>1</v>
      </c>
      <c r="I21" s="14" t="n">
        <v>0.0733</v>
      </c>
      <c r="J21" s="25" t="s">
        <v>59</v>
      </c>
      <c r="K21" s="25"/>
      <c r="L21" s="25" t="s">
        <v>59</v>
      </c>
      <c r="M21" s="25"/>
      <c r="N21" s="25" t="s">
        <v>59</v>
      </c>
      <c r="O21" s="25"/>
      <c r="P21" s="14" t="n">
        <v>0.0733</v>
      </c>
      <c r="Q21" s="14" t="n">
        <f aca="false">IF(AND($J21="Yes",$G21&lt;&gt;"Vendor day rates"),$I21-0.4*$P21,0)</f>
        <v>0</v>
      </c>
      <c r="R21" s="26" t="n">
        <f aca="false">IFERROR(MATCH($K21,MonthList,0),0)</f>
        <v>0</v>
      </c>
      <c r="S21" s="14" t="n">
        <f aca="false">IF(OR($J21&lt;&gt;"Yes",$K21=""),0,$Q21*MAX(0,7-$R21)/12)</f>
        <v>0</v>
      </c>
      <c r="T21" s="14" t="n">
        <f aca="false">IF(OR($J21&lt;&gt;"Yes",$K21=""),0,$Q21*IF($R21&lt;=7,12,19-$R21)/12)</f>
        <v>0</v>
      </c>
      <c r="U21" s="14" t="n">
        <f aca="false">IF(AND($L21="Yes",$G21&lt;&gt;"Vendor day rates"),$I21-0.4*$P21,0)</f>
        <v>0</v>
      </c>
      <c r="V21" s="26" t="n">
        <f aca="false">IFERROR(MATCH($M21,MonthList,0),0)</f>
        <v>0</v>
      </c>
      <c r="W21" s="14" t="n">
        <f aca="false">IF(OR($L21&lt;&gt;"Yes",$M21=""),0,$U21*MAX(0,7-$V21)/12)</f>
        <v>0</v>
      </c>
      <c r="X21" s="14" t="n">
        <f aca="false">IF(OR($L21&lt;&gt;"Yes",$M21=""),0,$U21*IF($V21&lt;=7,12,19-$V21)/12)</f>
        <v>0</v>
      </c>
      <c r="Y21" s="14" t="n">
        <f aca="false">IF(AND($N21="Yes",$G21&lt;&gt;"Vendor day rates"),$I21-0.4*$P21,0)</f>
        <v>0</v>
      </c>
      <c r="Z21" s="26" t="n">
        <f aca="false">IFERROR(MATCH($O21,MonthList,0),0)</f>
        <v>0</v>
      </c>
      <c r="AA21" s="14" t="n">
        <f aca="false">IF(OR($N21&lt;&gt;"Yes",$O21=""),0,$Y21*MAX(0,7-$Z21)/12)</f>
        <v>0</v>
      </c>
      <c r="AB21" s="14" t="n">
        <f aca="false">IF(OR($N21&lt;&gt;"Yes",$O21=""),0,$Y21*IF($Z21&lt;=7,12,19-$Z21)/12)</f>
        <v>0</v>
      </c>
      <c r="AC21" s="26" t="str">
        <f aca="false">IF(OR($J21="Yes",$L21="Yes",$N21="Yes"),"Yes","No")</f>
        <v>No</v>
      </c>
      <c r="AD21" s="14" t="n">
        <f aca="false">MAX($Q21,$U21,$Y21)</f>
        <v>0</v>
      </c>
      <c r="AE21" s="26" t="n">
        <f aca="false">$AD21+ROW()*0.000000001</f>
        <v>2.1E-008</v>
      </c>
      <c r="AF21" s="26" t="str">
        <f aca="false">IF($J21="Yes","A","")&amp;IF($L21="Yes","B","")&amp;IF($N21="Yes","C","")</f>
        <v/>
      </c>
    </row>
    <row r="22" customFormat="false" ht="15" hidden="false" customHeight="false" outlineLevel="0" collapsed="false">
      <c r="B22" s="22" t="s">
        <v>99</v>
      </c>
      <c r="C22" s="23" t="s">
        <v>100</v>
      </c>
      <c r="D22" s="23" t="s">
        <v>55</v>
      </c>
      <c r="E22" s="23" t="s">
        <v>101</v>
      </c>
      <c r="F22" s="22" t="s">
        <v>57</v>
      </c>
      <c r="G22" s="23" t="s">
        <v>58</v>
      </c>
      <c r="H22" s="24" t="n">
        <v>1</v>
      </c>
      <c r="I22" s="14" t="n">
        <v>0.2997</v>
      </c>
      <c r="J22" s="25" t="s">
        <v>59</v>
      </c>
      <c r="K22" s="25"/>
      <c r="L22" s="25" t="s">
        <v>59</v>
      </c>
      <c r="M22" s="25"/>
      <c r="N22" s="25" t="s">
        <v>59</v>
      </c>
      <c r="O22" s="25"/>
      <c r="P22" s="14" t="n">
        <v>0.2997</v>
      </c>
      <c r="Q22" s="14" t="n">
        <f aca="false">IF(AND($J22="Yes",$G22&lt;&gt;"Vendor day rates"),$I22-0.4*$P22,0)</f>
        <v>0</v>
      </c>
      <c r="R22" s="26" t="n">
        <f aca="false">IFERROR(MATCH($K22,MonthList,0),0)</f>
        <v>0</v>
      </c>
      <c r="S22" s="14" t="n">
        <f aca="false">IF(OR($J22&lt;&gt;"Yes",$K22=""),0,$Q22*MAX(0,7-$R22)/12)</f>
        <v>0</v>
      </c>
      <c r="T22" s="14" t="n">
        <f aca="false">IF(OR($J22&lt;&gt;"Yes",$K22=""),0,$Q22*IF($R22&lt;=7,12,19-$R22)/12)</f>
        <v>0</v>
      </c>
      <c r="U22" s="14" t="n">
        <f aca="false">IF(AND($L22="Yes",$G22&lt;&gt;"Vendor day rates"),$I22-0.4*$P22,0)</f>
        <v>0</v>
      </c>
      <c r="V22" s="26" t="n">
        <f aca="false">IFERROR(MATCH($M22,MonthList,0),0)</f>
        <v>0</v>
      </c>
      <c r="W22" s="14" t="n">
        <f aca="false">IF(OR($L22&lt;&gt;"Yes",$M22=""),0,$U22*MAX(0,7-$V22)/12)</f>
        <v>0</v>
      </c>
      <c r="X22" s="14" t="n">
        <f aca="false">IF(OR($L22&lt;&gt;"Yes",$M22=""),0,$U22*IF($V22&lt;=7,12,19-$V22)/12)</f>
        <v>0</v>
      </c>
      <c r="Y22" s="14" t="n">
        <f aca="false">IF(AND($N22="Yes",$G22&lt;&gt;"Vendor day rates"),$I22-0.4*$P22,0)</f>
        <v>0</v>
      </c>
      <c r="Z22" s="26" t="n">
        <f aca="false">IFERROR(MATCH($O22,MonthList,0),0)</f>
        <v>0</v>
      </c>
      <c r="AA22" s="14" t="n">
        <f aca="false">IF(OR($N22&lt;&gt;"Yes",$O22=""),0,$Y22*MAX(0,7-$Z22)/12)</f>
        <v>0</v>
      </c>
      <c r="AB22" s="14" t="n">
        <f aca="false">IF(OR($N22&lt;&gt;"Yes",$O22=""),0,$Y22*IF($Z22&lt;=7,12,19-$Z22)/12)</f>
        <v>0</v>
      </c>
      <c r="AC22" s="26" t="str">
        <f aca="false">IF(OR($J22="Yes",$L22="Yes",$N22="Yes"),"Yes","No")</f>
        <v>No</v>
      </c>
      <c r="AD22" s="14" t="n">
        <f aca="false">MAX($Q22,$U22,$Y22)</f>
        <v>0</v>
      </c>
      <c r="AE22" s="26" t="n">
        <f aca="false">$AD22+ROW()*0.000000001</f>
        <v>2.2E-008</v>
      </c>
      <c r="AF22" s="26" t="str">
        <f aca="false">IF($J22="Yes","A","")&amp;IF($L22="Yes","B","")&amp;IF($N22="Yes","C","")</f>
        <v/>
      </c>
    </row>
    <row r="23" customFormat="false" ht="15" hidden="false" customHeight="false" outlineLevel="0" collapsed="false">
      <c r="B23" s="22" t="s">
        <v>102</v>
      </c>
      <c r="C23" s="23" t="s">
        <v>103</v>
      </c>
      <c r="D23" s="23" t="s">
        <v>62</v>
      </c>
      <c r="E23" s="23" t="s">
        <v>104</v>
      </c>
      <c r="F23" s="22" t="s">
        <v>57</v>
      </c>
      <c r="G23" s="23" t="s">
        <v>96</v>
      </c>
      <c r="H23" s="24" t="n">
        <v>1</v>
      </c>
      <c r="I23" s="14" t="n">
        <v>0.0733</v>
      </c>
      <c r="J23" s="25" t="s">
        <v>59</v>
      </c>
      <c r="K23" s="25"/>
      <c r="L23" s="25" t="s">
        <v>59</v>
      </c>
      <c r="M23" s="25"/>
      <c r="N23" s="25" t="s">
        <v>59</v>
      </c>
      <c r="O23" s="25"/>
      <c r="P23" s="14" t="n">
        <v>0.0733</v>
      </c>
      <c r="Q23" s="14" t="n">
        <f aca="false">IF(AND($J23="Yes",$G23&lt;&gt;"Vendor day rates"),$I23-0.4*$P23,0)</f>
        <v>0</v>
      </c>
      <c r="R23" s="26" t="n">
        <f aca="false">IFERROR(MATCH($K23,MonthList,0),0)</f>
        <v>0</v>
      </c>
      <c r="S23" s="14" t="n">
        <f aca="false">IF(OR($J23&lt;&gt;"Yes",$K23=""),0,$Q23*MAX(0,7-$R23)/12)</f>
        <v>0</v>
      </c>
      <c r="T23" s="14" t="n">
        <f aca="false">IF(OR($J23&lt;&gt;"Yes",$K23=""),0,$Q23*IF($R23&lt;=7,12,19-$R23)/12)</f>
        <v>0</v>
      </c>
      <c r="U23" s="14" t="n">
        <f aca="false">IF(AND($L23="Yes",$G23&lt;&gt;"Vendor day rates"),$I23-0.4*$P23,0)</f>
        <v>0</v>
      </c>
      <c r="V23" s="26" t="n">
        <f aca="false">IFERROR(MATCH($M23,MonthList,0),0)</f>
        <v>0</v>
      </c>
      <c r="W23" s="14" t="n">
        <f aca="false">IF(OR($L23&lt;&gt;"Yes",$M23=""),0,$U23*MAX(0,7-$V23)/12)</f>
        <v>0</v>
      </c>
      <c r="X23" s="14" t="n">
        <f aca="false">IF(OR($L23&lt;&gt;"Yes",$M23=""),0,$U23*IF($V23&lt;=7,12,19-$V23)/12)</f>
        <v>0</v>
      </c>
      <c r="Y23" s="14" t="n">
        <f aca="false">IF(AND($N23="Yes",$G23&lt;&gt;"Vendor day rates"),$I23-0.4*$P23,0)</f>
        <v>0</v>
      </c>
      <c r="Z23" s="26" t="n">
        <f aca="false">IFERROR(MATCH($O23,MonthList,0),0)</f>
        <v>0</v>
      </c>
      <c r="AA23" s="14" t="n">
        <f aca="false">IF(OR($N23&lt;&gt;"Yes",$O23=""),0,$Y23*MAX(0,7-$Z23)/12)</f>
        <v>0</v>
      </c>
      <c r="AB23" s="14" t="n">
        <f aca="false">IF(OR($N23&lt;&gt;"Yes",$O23=""),0,$Y23*IF($Z23&lt;=7,12,19-$Z23)/12)</f>
        <v>0</v>
      </c>
      <c r="AC23" s="26" t="str">
        <f aca="false">IF(OR($J23="Yes",$L23="Yes",$N23="Yes"),"Yes","No")</f>
        <v>No</v>
      </c>
      <c r="AD23" s="14" t="n">
        <f aca="false">MAX($Q23,$U23,$Y23)</f>
        <v>0</v>
      </c>
      <c r="AE23" s="26" t="n">
        <f aca="false">$AD23+ROW()*0.000000001</f>
        <v>2.3E-008</v>
      </c>
      <c r="AF23" s="26" t="str">
        <f aca="false">IF($J23="Yes","A","")&amp;IF($L23="Yes","B","")&amp;IF($N23="Yes","C","")</f>
        <v/>
      </c>
    </row>
    <row r="24" customFormat="false" ht="15" hidden="false" customHeight="false" outlineLevel="0" collapsed="false">
      <c r="B24" s="22" t="s">
        <v>105</v>
      </c>
      <c r="C24" s="23" t="s">
        <v>103</v>
      </c>
      <c r="D24" s="23" t="s">
        <v>62</v>
      </c>
      <c r="E24" s="23" t="s">
        <v>104</v>
      </c>
      <c r="F24" s="22" t="s">
        <v>57</v>
      </c>
      <c r="G24" s="23" t="s">
        <v>96</v>
      </c>
      <c r="H24" s="24" t="n">
        <v>1</v>
      </c>
      <c r="I24" s="14" t="n">
        <v>0.0733</v>
      </c>
      <c r="J24" s="25" t="s">
        <v>59</v>
      </c>
      <c r="K24" s="25"/>
      <c r="L24" s="25" t="s">
        <v>59</v>
      </c>
      <c r="M24" s="25"/>
      <c r="N24" s="25" t="s">
        <v>59</v>
      </c>
      <c r="O24" s="25"/>
      <c r="P24" s="14" t="n">
        <v>0.0733</v>
      </c>
      <c r="Q24" s="14" t="n">
        <f aca="false">IF(AND($J24="Yes",$G24&lt;&gt;"Vendor day rates"),$I24-0.4*$P24,0)</f>
        <v>0</v>
      </c>
      <c r="R24" s="26" t="n">
        <f aca="false">IFERROR(MATCH($K24,MonthList,0),0)</f>
        <v>0</v>
      </c>
      <c r="S24" s="14" t="n">
        <f aca="false">IF(OR($J24&lt;&gt;"Yes",$K24=""),0,$Q24*MAX(0,7-$R24)/12)</f>
        <v>0</v>
      </c>
      <c r="T24" s="14" t="n">
        <f aca="false">IF(OR($J24&lt;&gt;"Yes",$K24=""),0,$Q24*IF($R24&lt;=7,12,19-$R24)/12)</f>
        <v>0</v>
      </c>
      <c r="U24" s="14" t="n">
        <f aca="false">IF(AND($L24="Yes",$G24&lt;&gt;"Vendor day rates"),$I24-0.4*$P24,0)</f>
        <v>0</v>
      </c>
      <c r="V24" s="26" t="n">
        <f aca="false">IFERROR(MATCH($M24,MonthList,0),0)</f>
        <v>0</v>
      </c>
      <c r="W24" s="14" t="n">
        <f aca="false">IF(OR($L24&lt;&gt;"Yes",$M24=""),0,$U24*MAX(0,7-$V24)/12)</f>
        <v>0</v>
      </c>
      <c r="X24" s="14" t="n">
        <f aca="false">IF(OR($L24&lt;&gt;"Yes",$M24=""),0,$U24*IF($V24&lt;=7,12,19-$V24)/12)</f>
        <v>0</v>
      </c>
      <c r="Y24" s="14" t="n">
        <f aca="false">IF(AND($N24="Yes",$G24&lt;&gt;"Vendor day rates"),$I24-0.4*$P24,0)</f>
        <v>0</v>
      </c>
      <c r="Z24" s="26" t="n">
        <f aca="false">IFERROR(MATCH($O24,MonthList,0),0)</f>
        <v>0</v>
      </c>
      <c r="AA24" s="14" t="n">
        <f aca="false">IF(OR($N24&lt;&gt;"Yes",$O24=""),0,$Y24*MAX(0,7-$Z24)/12)</f>
        <v>0</v>
      </c>
      <c r="AB24" s="14" t="n">
        <f aca="false">IF(OR($N24&lt;&gt;"Yes",$O24=""),0,$Y24*IF($Z24&lt;=7,12,19-$Z24)/12)</f>
        <v>0</v>
      </c>
      <c r="AC24" s="26" t="str">
        <f aca="false">IF(OR($J24="Yes",$L24="Yes",$N24="Yes"),"Yes","No")</f>
        <v>No</v>
      </c>
      <c r="AD24" s="14" t="n">
        <f aca="false">MAX($Q24,$U24,$Y24)</f>
        <v>0</v>
      </c>
      <c r="AE24" s="26" t="n">
        <f aca="false">$AD24+ROW()*0.000000001</f>
        <v>2.4E-008</v>
      </c>
      <c r="AF24" s="26" t="str">
        <f aca="false">IF($J24="Yes","A","")&amp;IF($L24="Yes","B","")&amp;IF($N24="Yes","C","")</f>
        <v/>
      </c>
    </row>
    <row r="25" customFormat="false" ht="15" hidden="false" customHeight="false" outlineLevel="0" collapsed="false">
      <c r="B25" s="22" t="s">
        <v>106</v>
      </c>
      <c r="C25" s="23" t="s">
        <v>103</v>
      </c>
      <c r="D25" s="23" t="s">
        <v>62</v>
      </c>
      <c r="E25" s="23" t="s">
        <v>104</v>
      </c>
      <c r="F25" s="22" t="s">
        <v>57</v>
      </c>
      <c r="G25" s="23" t="s">
        <v>96</v>
      </c>
      <c r="H25" s="24" t="n">
        <v>1</v>
      </c>
      <c r="I25" s="14" t="n">
        <v>0.0733</v>
      </c>
      <c r="J25" s="25" t="s">
        <v>59</v>
      </c>
      <c r="K25" s="25"/>
      <c r="L25" s="25" t="s">
        <v>59</v>
      </c>
      <c r="M25" s="25"/>
      <c r="N25" s="25" t="s">
        <v>59</v>
      </c>
      <c r="O25" s="25"/>
      <c r="P25" s="14" t="n">
        <v>0.0733</v>
      </c>
      <c r="Q25" s="14" t="n">
        <f aca="false">IF(AND($J25="Yes",$G25&lt;&gt;"Vendor day rates"),$I25-0.4*$P25,0)</f>
        <v>0</v>
      </c>
      <c r="R25" s="26" t="n">
        <f aca="false">IFERROR(MATCH($K25,MonthList,0),0)</f>
        <v>0</v>
      </c>
      <c r="S25" s="14" t="n">
        <f aca="false">IF(OR($J25&lt;&gt;"Yes",$K25=""),0,$Q25*MAX(0,7-$R25)/12)</f>
        <v>0</v>
      </c>
      <c r="T25" s="14" t="n">
        <f aca="false">IF(OR($J25&lt;&gt;"Yes",$K25=""),0,$Q25*IF($R25&lt;=7,12,19-$R25)/12)</f>
        <v>0</v>
      </c>
      <c r="U25" s="14" t="n">
        <f aca="false">IF(AND($L25="Yes",$G25&lt;&gt;"Vendor day rates"),$I25-0.4*$P25,0)</f>
        <v>0</v>
      </c>
      <c r="V25" s="26" t="n">
        <f aca="false">IFERROR(MATCH($M25,MonthList,0),0)</f>
        <v>0</v>
      </c>
      <c r="W25" s="14" t="n">
        <f aca="false">IF(OR($L25&lt;&gt;"Yes",$M25=""),0,$U25*MAX(0,7-$V25)/12)</f>
        <v>0</v>
      </c>
      <c r="X25" s="14" t="n">
        <f aca="false">IF(OR($L25&lt;&gt;"Yes",$M25=""),0,$U25*IF($V25&lt;=7,12,19-$V25)/12)</f>
        <v>0</v>
      </c>
      <c r="Y25" s="14" t="n">
        <f aca="false">IF(AND($N25="Yes",$G25&lt;&gt;"Vendor day rates"),$I25-0.4*$P25,0)</f>
        <v>0</v>
      </c>
      <c r="Z25" s="26" t="n">
        <f aca="false">IFERROR(MATCH($O25,MonthList,0),0)</f>
        <v>0</v>
      </c>
      <c r="AA25" s="14" t="n">
        <f aca="false">IF(OR($N25&lt;&gt;"Yes",$O25=""),0,$Y25*MAX(0,7-$Z25)/12)</f>
        <v>0</v>
      </c>
      <c r="AB25" s="14" t="n">
        <f aca="false">IF(OR($N25&lt;&gt;"Yes",$O25=""),0,$Y25*IF($Z25&lt;=7,12,19-$Z25)/12)</f>
        <v>0</v>
      </c>
      <c r="AC25" s="26" t="str">
        <f aca="false">IF(OR($J25="Yes",$L25="Yes",$N25="Yes"),"Yes","No")</f>
        <v>No</v>
      </c>
      <c r="AD25" s="14" t="n">
        <f aca="false">MAX($Q25,$U25,$Y25)</f>
        <v>0</v>
      </c>
      <c r="AE25" s="26" t="n">
        <f aca="false">$AD25+ROW()*0.000000001</f>
        <v>2.5E-008</v>
      </c>
      <c r="AF25" s="26" t="str">
        <f aca="false">IF($J25="Yes","A","")&amp;IF($L25="Yes","B","")&amp;IF($N25="Yes","C","")</f>
        <v/>
      </c>
    </row>
    <row r="26" customFormat="false" ht="15" hidden="false" customHeight="false" outlineLevel="0" collapsed="false">
      <c r="B26" s="22" t="s">
        <v>107</v>
      </c>
      <c r="C26" s="23" t="s">
        <v>94</v>
      </c>
      <c r="D26" s="23" t="s">
        <v>62</v>
      </c>
      <c r="E26" s="23" t="s">
        <v>104</v>
      </c>
      <c r="F26" s="22" t="s">
        <v>57</v>
      </c>
      <c r="G26" s="23" t="s">
        <v>96</v>
      </c>
      <c r="H26" s="24" t="n">
        <v>1</v>
      </c>
      <c r="I26" s="14" t="n">
        <v>0.0733</v>
      </c>
      <c r="J26" s="25" t="s">
        <v>59</v>
      </c>
      <c r="K26" s="25"/>
      <c r="L26" s="25" t="s">
        <v>59</v>
      </c>
      <c r="M26" s="25"/>
      <c r="N26" s="25" t="s">
        <v>59</v>
      </c>
      <c r="O26" s="25"/>
      <c r="P26" s="14" t="n">
        <v>0.0733</v>
      </c>
      <c r="Q26" s="14" t="n">
        <f aca="false">IF(AND($J26="Yes",$G26&lt;&gt;"Vendor day rates"),$I26-0.4*$P26,0)</f>
        <v>0</v>
      </c>
      <c r="R26" s="26" t="n">
        <f aca="false">IFERROR(MATCH($K26,MonthList,0),0)</f>
        <v>0</v>
      </c>
      <c r="S26" s="14" t="n">
        <f aca="false">IF(OR($J26&lt;&gt;"Yes",$K26=""),0,$Q26*MAX(0,7-$R26)/12)</f>
        <v>0</v>
      </c>
      <c r="T26" s="14" t="n">
        <f aca="false">IF(OR($J26&lt;&gt;"Yes",$K26=""),0,$Q26*IF($R26&lt;=7,12,19-$R26)/12)</f>
        <v>0</v>
      </c>
      <c r="U26" s="14" t="n">
        <f aca="false">IF(AND($L26="Yes",$G26&lt;&gt;"Vendor day rates"),$I26-0.4*$P26,0)</f>
        <v>0</v>
      </c>
      <c r="V26" s="26" t="n">
        <f aca="false">IFERROR(MATCH($M26,MonthList,0),0)</f>
        <v>0</v>
      </c>
      <c r="W26" s="14" t="n">
        <f aca="false">IF(OR($L26&lt;&gt;"Yes",$M26=""),0,$U26*MAX(0,7-$V26)/12)</f>
        <v>0</v>
      </c>
      <c r="X26" s="14" t="n">
        <f aca="false">IF(OR($L26&lt;&gt;"Yes",$M26=""),0,$U26*IF($V26&lt;=7,12,19-$V26)/12)</f>
        <v>0</v>
      </c>
      <c r="Y26" s="14" t="n">
        <f aca="false">IF(AND($N26="Yes",$G26&lt;&gt;"Vendor day rates"),$I26-0.4*$P26,0)</f>
        <v>0</v>
      </c>
      <c r="Z26" s="26" t="n">
        <f aca="false">IFERROR(MATCH($O26,MonthList,0),0)</f>
        <v>0</v>
      </c>
      <c r="AA26" s="14" t="n">
        <f aca="false">IF(OR($N26&lt;&gt;"Yes",$O26=""),0,$Y26*MAX(0,7-$Z26)/12)</f>
        <v>0</v>
      </c>
      <c r="AB26" s="14" t="n">
        <f aca="false">IF(OR($N26&lt;&gt;"Yes",$O26=""),0,$Y26*IF($Z26&lt;=7,12,19-$Z26)/12)</f>
        <v>0</v>
      </c>
      <c r="AC26" s="26" t="str">
        <f aca="false">IF(OR($J26="Yes",$L26="Yes",$N26="Yes"),"Yes","No")</f>
        <v>No</v>
      </c>
      <c r="AD26" s="14" t="n">
        <f aca="false">MAX($Q26,$U26,$Y26)</f>
        <v>0</v>
      </c>
      <c r="AE26" s="26" t="n">
        <f aca="false">$AD26+ROW()*0.000000001</f>
        <v>2.6E-008</v>
      </c>
      <c r="AF26" s="26" t="str">
        <f aca="false">IF($J26="Yes","A","")&amp;IF($L26="Yes","B","")&amp;IF($N26="Yes","C","")</f>
        <v/>
      </c>
    </row>
    <row r="27" customFormat="false" ht="15" hidden="false" customHeight="false" outlineLevel="0" collapsed="false">
      <c r="B27" s="22" t="s">
        <v>108</v>
      </c>
      <c r="C27" s="23" t="s">
        <v>109</v>
      </c>
      <c r="D27" s="23" t="s">
        <v>70</v>
      </c>
      <c r="E27" s="23" t="s">
        <v>101</v>
      </c>
      <c r="F27" s="22" t="s">
        <v>57</v>
      </c>
      <c r="G27" s="23" t="s">
        <v>58</v>
      </c>
      <c r="H27" s="24" t="n">
        <v>1</v>
      </c>
      <c r="I27" s="14" t="n">
        <v>0.3481</v>
      </c>
      <c r="J27" s="25" t="s">
        <v>59</v>
      </c>
      <c r="K27" s="25"/>
      <c r="L27" s="25" t="s">
        <v>59</v>
      </c>
      <c r="M27" s="25"/>
      <c r="N27" s="25" t="s">
        <v>59</v>
      </c>
      <c r="O27" s="25"/>
      <c r="P27" s="14" t="n">
        <v>0.3481</v>
      </c>
      <c r="Q27" s="14" t="n">
        <f aca="false">IF(AND($J27="Yes",$G27&lt;&gt;"Vendor day rates"),$I27-0.4*$P27,0)</f>
        <v>0</v>
      </c>
      <c r="R27" s="26" t="n">
        <f aca="false">IFERROR(MATCH($K27,MonthList,0),0)</f>
        <v>0</v>
      </c>
      <c r="S27" s="14" t="n">
        <f aca="false">IF(OR($J27&lt;&gt;"Yes",$K27=""),0,$Q27*MAX(0,7-$R27)/12)</f>
        <v>0</v>
      </c>
      <c r="T27" s="14" t="n">
        <f aca="false">IF(OR($J27&lt;&gt;"Yes",$K27=""),0,$Q27*IF($R27&lt;=7,12,19-$R27)/12)</f>
        <v>0</v>
      </c>
      <c r="U27" s="14" t="n">
        <f aca="false">IF(AND($L27="Yes",$G27&lt;&gt;"Vendor day rates"),$I27-0.4*$P27,0)</f>
        <v>0</v>
      </c>
      <c r="V27" s="26" t="n">
        <f aca="false">IFERROR(MATCH($M27,MonthList,0),0)</f>
        <v>0</v>
      </c>
      <c r="W27" s="14" t="n">
        <f aca="false">IF(OR($L27&lt;&gt;"Yes",$M27=""),0,$U27*MAX(0,7-$V27)/12)</f>
        <v>0</v>
      </c>
      <c r="X27" s="14" t="n">
        <f aca="false">IF(OR($L27&lt;&gt;"Yes",$M27=""),0,$U27*IF($V27&lt;=7,12,19-$V27)/12)</f>
        <v>0</v>
      </c>
      <c r="Y27" s="14" t="n">
        <f aca="false">IF(AND($N27="Yes",$G27&lt;&gt;"Vendor day rates"),$I27-0.4*$P27,0)</f>
        <v>0</v>
      </c>
      <c r="Z27" s="26" t="n">
        <f aca="false">IFERROR(MATCH($O27,MonthList,0),0)</f>
        <v>0</v>
      </c>
      <c r="AA27" s="14" t="n">
        <f aca="false">IF(OR($N27&lt;&gt;"Yes",$O27=""),0,$Y27*MAX(0,7-$Z27)/12)</f>
        <v>0</v>
      </c>
      <c r="AB27" s="14" t="n">
        <f aca="false">IF(OR($N27&lt;&gt;"Yes",$O27=""),0,$Y27*IF($Z27&lt;=7,12,19-$Z27)/12)</f>
        <v>0</v>
      </c>
      <c r="AC27" s="26" t="str">
        <f aca="false">IF(OR($J27="Yes",$L27="Yes",$N27="Yes"),"Yes","No")</f>
        <v>No</v>
      </c>
      <c r="AD27" s="14" t="n">
        <f aca="false">MAX($Q27,$U27,$Y27)</f>
        <v>0</v>
      </c>
      <c r="AE27" s="26" t="n">
        <f aca="false">$AD27+ROW()*0.000000001</f>
        <v>2.7E-008</v>
      </c>
      <c r="AF27" s="26" t="str">
        <f aca="false">IF($J27="Yes","A","")&amp;IF($L27="Yes","B","")&amp;IF($N27="Yes","C","")</f>
        <v/>
      </c>
    </row>
    <row r="28" customFormat="false" ht="15" hidden="false" customHeight="false" outlineLevel="0" collapsed="false">
      <c r="B28" s="22" t="s">
        <v>110</v>
      </c>
      <c r="C28" s="23" t="s">
        <v>111</v>
      </c>
      <c r="D28" s="23" t="s">
        <v>70</v>
      </c>
      <c r="E28" s="23" t="s">
        <v>101</v>
      </c>
      <c r="F28" s="22" t="s">
        <v>112</v>
      </c>
      <c r="G28" s="23" t="s">
        <v>58</v>
      </c>
      <c r="H28" s="24" t="n">
        <v>1</v>
      </c>
      <c r="I28" s="14" t="n">
        <v>0.2664</v>
      </c>
      <c r="J28" s="25" t="s">
        <v>59</v>
      </c>
      <c r="K28" s="25"/>
      <c r="L28" s="25" t="s">
        <v>59</v>
      </c>
      <c r="M28" s="25"/>
      <c r="N28" s="25" t="s">
        <v>59</v>
      </c>
      <c r="O28" s="25"/>
      <c r="P28" s="14" t="n">
        <v>0.2664</v>
      </c>
      <c r="Q28" s="14" t="n">
        <f aca="false">IF(AND($J28="Yes",$G28&lt;&gt;"Vendor day rates"),$I28-0.4*$P28,0)</f>
        <v>0</v>
      </c>
      <c r="R28" s="26" t="n">
        <f aca="false">IFERROR(MATCH($K28,MonthList,0),0)</f>
        <v>0</v>
      </c>
      <c r="S28" s="14" t="n">
        <f aca="false">IF(OR($J28&lt;&gt;"Yes",$K28=""),0,$Q28*MAX(0,7-$R28)/12)</f>
        <v>0</v>
      </c>
      <c r="T28" s="14" t="n">
        <f aca="false">IF(OR($J28&lt;&gt;"Yes",$K28=""),0,$Q28*IF($R28&lt;=7,12,19-$R28)/12)</f>
        <v>0</v>
      </c>
      <c r="U28" s="14" t="n">
        <f aca="false">IF(AND($L28="Yes",$G28&lt;&gt;"Vendor day rates"),$I28-0.4*$P28,0)</f>
        <v>0</v>
      </c>
      <c r="V28" s="26" t="n">
        <f aca="false">IFERROR(MATCH($M28,MonthList,0),0)</f>
        <v>0</v>
      </c>
      <c r="W28" s="14" t="n">
        <f aca="false">IF(OR($L28&lt;&gt;"Yes",$M28=""),0,$U28*MAX(0,7-$V28)/12)</f>
        <v>0</v>
      </c>
      <c r="X28" s="14" t="n">
        <f aca="false">IF(OR($L28&lt;&gt;"Yes",$M28=""),0,$U28*IF($V28&lt;=7,12,19-$V28)/12)</f>
        <v>0</v>
      </c>
      <c r="Y28" s="14" t="n">
        <f aca="false">IF(AND($N28="Yes",$G28&lt;&gt;"Vendor day rates"),$I28-0.4*$P28,0)</f>
        <v>0</v>
      </c>
      <c r="Z28" s="26" t="n">
        <f aca="false">IFERROR(MATCH($O28,MonthList,0),0)</f>
        <v>0</v>
      </c>
      <c r="AA28" s="14" t="n">
        <f aca="false">IF(OR($N28&lt;&gt;"Yes",$O28=""),0,$Y28*MAX(0,7-$Z28)/12)</f>
        <v>0</v>
      </c>
      <c r="AB28" s="14" t="n">
        <f aca="false">IF(OR($N28&lt;&gt;"Yes",$O28=""),0,$Y28*IF($Z28&lt;=7,12,19-$Z28)/12)</f>
        <v>0</v>
      </c>
      <c r="AC28" s="26" t="str">
        <f aca="false">IF(OR($J28="Yes",$L28="Yes",$N28="Yes"),"Yes","No")</f>
        <v>No</v>
      </c>
      <c r="AD28" s="14" t="n">
        <f aca="false">MAX($Q28,$U28,$Y28)</f>
        <v>0</v>
      </c>
      <c r="AE28" s="26" t="n">
        <f aca="false">$AD28+ROW()*0.000000001</f>
        <v>2.8E-008</v>
      </c>
      <c r="AF28" s="26" t="str">
        <f aca="false">IF($J28="Yes","A","")&amp;IF($L28="Yes","B","")&amp;IF($N28="Yes","C","")</f>
        <v/>
      </c>
    </row>
    <row r="29" customFormat="false" ht="15" hidden="false" customHeight="false" outlineLevel="0" collapsed="false">
      <c r="B29" s="22" t="s">
        <v>113</v>
      </c>
      <c r="C29" s="23" t="s">
        <v>114</v>
      </c>
      <c r="D29" s="23" t="s">
        <v>62</v>
      </c>
      <c r="E29" s="23" t="s">
        <v>67</v>
      </c>
      <c r="F29" s="22" t="s">
        <v>57</v>
      </c>
      <c r="G29" s="23" t="s">
        <v>58</v>
      </c>
      <c r="H29" s="24" t="n">
        <v>1</v>
      </c>
      <c r="I29" s="14" t="n">
        <v>0.1909</v>
      </c>
      <c r="J29" s="25" t="s">
        <v>59</v>
      </c>
      <c r="K29" s="25"/>
      <c r="L29" s="25" t="s">
        <v>59</v>
      </c>
      <c r="M29" s="25"/>
      <c r="N29" s="25" t="s">
        <v>59</v>
      </c>
      <c r="O29" s="25"/>
      <c r="P29" s="14" t="n">
        <v>0.1909</v>
      </c>
      <c r="Q29" s="14" t="n">
        <f aca="false">IF(AND($J29="Yes",$G29&lt;&gt;"Vendor day rates"),$I29-0.4*$P29,0)</f>
        <v>0</v>
      </c>
      <c r="R29" s="26" t="n">
        <f aca="false">IFERROR(MATCH($K29,MonthList,0),0)</f>
        <v>0</v>
      </c>
      <c r="S29" s="14" t="n">
        <f aca="false">IF(OR($J29&lt;&gt;"Yes",$K29=""),0,$Q29*MAX(0,7-$R29)/12)</f>
        <v>0</v>
      </c>
      <c r="T29" s="14" t="n">
        <f aca="false">IF(OR($J29&lt;&gt;"Yes",$K29=""),0,$Q29*IF($R29&lt;=7,12,19-$R29)/12)</f>
        <v>0</v>
      </c>
      <c r="U29" s="14" t="n">
        <f aca="false">IF(AND($L29="Yes",$G29&lt;&gt;"Vendor day rates"),$I29-0.4*$P29,0)</f>
        <v>0</v>
      </c>
      <c r="V29" s="26" t="n">
        <f aca="false">IFERROR(MATCH($M29,MonthList,0),0)</f>
        <v>0</v>
      </c>
      <c r="W29" s="14" t="n">
        <f aca="false">IF(OR($L29&lt;&gt;"Yes",$M29=""),0,$U29*MAX(0,7-$V29)/12)</f>
        <v>0</v>
      </c>
      <c r="X29" s="14" t="n">
        <f aca="false">IF(OR($L29&lt;&gt;"Yes",$M29=""),0,$U29*IF($V29&lt;=7,12,19-$V29)/12)</f>
        <v>0</v>
      </c>
      <c r="Y29" s="14" t="n">
        <f aca="false">IF(AND($N29="Yes",$G29&lt;&gt;"Vendor day rates"),$I29-0.4*$P29,0)</f>
        <v>0</v>
      </c>
      <c r="Z29" s="26" t="n">
        <f aca="false">IFERROR(MATCH($O29,MonthList,0),0)</f>
        <v>0</v>
      </c>
      <c r="AA29" s="14" t="n">
        <f aca="false">IF(OR($N29&lt;&gt;"Yes",$O29=""),0,$Y29*MAX(0,7-$Z29)/12)</f>
        <v>0</v>
      </c>
      <c r="AB29" s="14" t="n">
        <f aca="false">IF(OR($N29&lt;&gt;"Yes",$O29=""),0,$Y29*IF($Z29&lt;=7,12,19-$Z29)/12)</f>
        <v>0</v>
      </c>
      <c r="AC29" s="26" t="str">
        <f aca="false">IF(OR($J29="Yes",$L29="Yes",$N29="Yes"),"Yes","No")</f>
        <v>No</v>
      </c>
      <c r="AD29" s="14" t="n">
        <f aca="false">MAX($Q29,$U29,$Y29)</f>
        <v>0</v>
      </c>
      <c r="AE29" s="26" t="n">
        <f aca="false">$AD29+ROW()*0.000000001</f>
        <v>2.9E-008</v>
      </c>
      <c r="AF29" s="26" t="str">
        <f aca="false">IF($J29="Yes","A","")&amp;IF($L29="Yes","B","")&amp;IF($N29="Yes","C","")</f>
        <v/>
      </c>
    </row>
    <row r="30" customFormat="false" ht="15" hidden="false" customHeight="false" outlineLevel="0" collapsed="false">
      <c r="B30" s="22" t="s">
        <v>115</v>
      </c>
      <c r="C30" s="23" t="s">
        <v>116</v>
      </c>
      <c r="D30" s="23" t="s">
        <v>62</v>
      </c>
      <c r="E30" s="23" t="s">
        <v>63</v>
      </c>
      <c r="F30" s="22" t="s">
        <v>57</v>
      </c>
      <c r="G30" s="23" t="s">
        <v>58</v>
      </c>
      <c r="H30" s="24" t="n">
        <v>1</v>
      </c>
      <c r="I30" s="14" t="n">
        <v>0.3219</v>
      </c>
      <c r="J30" s="25" t="s">
        <v>59</v>
      </c>
      <c r="K30" s="25"/>
      <c r="L30" s="25" t="s">
        <v>59</v>
      </c>
      <c r="M30" s="25"/>
      <c r="N30" s="25" t="s">
        <v>59</v>
      </c>
      <c r="O30" s="25"/>
      <c r="P30" s="14" t="n">
        <v>0.3219</v>
      </c>
      <c r="Q30" s="14" t="n">
        <f aca="false">IF(AND($J30="Yes",$G30&lt;&gt;"Vendor day rates"),$I30-0.4*$P30,0)</f>
        <v>0</v>
      </c>
      <c r="R30" s="26" t="n">
        <f aca="false">IFERROR(MATCH($K30,MonthList,0),0)</f>
        <v>0</v>
      </c>
      <c r="S30" s="14" t="n">
        <f aca="false">IF(OR($J30&lt;&gt;"Yes",$K30=""),0,$Q30*MAX(0,7-$R30)/12)</f>
        <v>0</v>
      </c>
      <c r="T30" s="14" t="n">
        <f aca="false">IF(OR($J30&lt;&gt;"Yes",$K30=""),0,$Q30*IF($R30&lt;=7,12,19-$R30)/12)</f>
        <v>0</v>
      </c>
      <c r="U30" s="14" t="n">
        <f aca="false">IF(AND($L30="Yes",$G30&lt;&gt;"Vendor day rates"),$I30-0.4*$P30,0)</f>
        <v>0</v>
      </c>
      <c r="V30" s="26" t="n">
        <f aca="false">IFERROR(MATCH($M30,MonthList,0),0)</f>
        <v>0</v>
      </c>
      <c r="W30" s="14" t="n">
        <f aca="false">IF(OR($L30&lt;&gt;"Yes",$M30=""),0,$U30*MAX(0,7-$V30)/12)</f>
        <v>0</v>
      </c>
      <c r="X30" s="14" t="n">
        <f aca="false">IF(OR($L30&lt;&gt;"Yes",$M30=""),0,$U30*IF($V30&lt;=7,12,19-$V30)/12)</f>
        <v>0</v>
      </c>
      <c r="Y30" s="14" t="n">
        <f aca="false">IF(AND($N30="Yes",$G30&lt;&gt;"Vendor day rates"),$I30-0.4*$P30,0)</f>
        <v>0</v>
      </c>
      <c r="Z30" s="26" t="n">
        <f aca="false">IFERROR(MATCH($O30,MonthList,0),0)</f>
        <v>0</v>
      </c>
      <c r="AA30" s="14" t="n">
        <f aca="false">IF(OR($N30&lt;&gt;"Yes",$O30=""),0,$Y30*MAX(0,7-$Z30)/12)</f>
        <v>0</v>
      </c>
      <c r="AB30" s="14" t="n">
        <f aca="false">IF(OR($N30&lt;&gt;"Yes",$O30=""),0,$Y30*IF($Z30&lt;=7,12,19-$Z30)/12)</f>
        <v>0</v>
      </c>
      <c r="AC30" s="26" t="str">
        <f aca="false">IF(OR($J30="Yes",$L30="Yes",$N30="Yes"),"Yes","No")</f>
        <v>No</v>
      </c>
      <c r="AD30" s="14" t="n">
        <f aca="false">MAX($Q30,$U30,$Y30)</f>
        <v>0</v>
      </c>
      <c r="AE30" s="26" t="n">
        <f aca="false">$AD30+ROW()*0.000000001</f>
        <v>3E-008</v>
      </c>
      <c r="AF30" s="26" t="str">
        <f aca="false">IF($J30="Yes","A","")&amp;IF($L30="Yes","B","")&amp;IF($N30="Yes","C","")</f>
        <v/>
      </c>
    </row>
    <row r="31" customFormat="false" ht="15" hidden="false" customHeight="false" outlineLevel="0" collapsed="false">
      <c r="B31" s="22" t="s">
        <v>117</v>
      </c>
      <c r="C31" s="23" t="s">
        <v>118</v>
      </c>
      <c r="D31" s="23" t="s">
        <v>70</v>
      </c>
      <c r="E31" s="23" t="s">
        <v>70</v>
      </c>
      <c r="F31" s="22" t="s">
        <v>57</v>
      </c>
      <c r="G31" s="23" t="s">
        <v>58</v>
      </c>
      <c r="H31" s="24" t="n">
        <v>1</v>
      </c>
      <c r="I31" s="14" t="n">
        <v>0.2395</v>
      </c>
      <c r="J31" s="25" t="s">
        <v>59</v>
      </c>
      <c r="K31" s="25"/>
      <c r="L31" s="25" t="s">
        <v>59</v>
      </c>
      <c r="M31" s="25"/>
      <c r="N31" s="25" t="s">
        <v>59</v>
      </c>
      <c r="O31" s="25"/>
      <c r="P31" s="14" t="n">
        <v>0.2395</v>
      </c>
      <c r="Q31" s="14" t="n">
        <f aca="false">IF(AND($J31="Yes",$G31&lt;&gt;"Vendor day rates"),$I31-0.4*$P31,0)</f>
        <v>0</v>
      </c>
      <c r="R31" s="26" t="n">
        <f aca="false">IFERROR(MATCH($K31,MonthList,0),0)</f>
        <v>0</v>
      </c>
      <c r="S31" s="14" t="n">
        <f aca="false">IF(OR($J31&lt;&gt;"Yes",$K31=""),0,$Q31*MAX(0,7-$R31)/12)</f>
        <v>0</v>
      </c>
      <c r="T31" s="14" t="n">
        <f aca="false">IF(OR($J31&lt;&gt;"Yes",$K31=""),0,$Q31*IF($R31&lt;=7,12,19-$R31)/12)</f>
        <v>0</v>
      </c>
      <c r="U31" s="14" t="n">
        <f aca="false">IF(AND($L31="Yes",$G31&lt;&gt;"Vendor day rates"),$I31-0.4*$P31,0)</f>
        <v>0</v>
      </c>
      <c r="V31" s="26" t="n">
        <f aca="false">IFERROR(MATCH($M31,MonthList,0),0)</f>
        <v>0</v>
      </c>
      <c r="W31" s="14" t="n">
        <f aca="false">IF(OR($L31&lt;&gt;"Yes",$M31=""),0,$U31*MAX(0,7-$V31)/12)</f>
        <v>0</v>
      </c>
      <c r="X31" s="14" t="n">
        <f aca="false">IF(OR($L31&lt;&gt;"Yes",$M31=""),0,$U31*IF($V31&lt;=7,12,19-$V31)/12)</f>
        <v>0</v>
      </c>
      <c r="Y31" s="14" t="n">
        <f aca="false">IF(AND($N31="Yes",$G31&lt;&gt;"Vendor day rates"),$I31-0.4*$P31,0)</f>
        <v>0</v>
      </c>
      <c r="Z31" s="26" t="n">
        <f aca="false">IFERROR(MATCH($O31,MonthList,0),0)</f>
        <v>0</v>
      </c>
      <c r="AA31" s="14" t="n">
        <f aca="false">IF(OR($N31&lt;&gt;"Yes",$O31=""),0,$Y31*MAX(0,7-$Z31)/12)</f>
        <v>0</v>
      </c>
      <c r="AB31" s="14" t="n">
        <f aca="false">IF(OR($N31&lt;&gt;"Yes",$O31=""),0,$Y31*IF($Z31&lt;=7,12,19-$Z31)/12)</f>
        <v>0</v>
      </c>
      <c r="AC31" s="26" t="str">
        <f aca="false">IF(OR($J31="Yes",$L31="Yes",$N31="Yes"),"Yes","No")</f>
        <v>No</v>
      </c>
      <c r="AD31" s="14" t="n">
        <f aca="false">MAX($Q31,$U31,$Y31)</f>
        <v>0</v>
      </c>
      <c r="AE31" s="26" t="n">
        <f aca="false">$AD31+ROW()*0.000000001</f>
        <v>3.1E-008</v>
      </c>
      <c r="AF31" s="26" t="str">
        <f aca="false">IF($J31="Yes","A","")&amp;IF($L31="Yes","B","")&amp;IF($N31="Yes","C","")</f>
        <v/>
      </c>
    </row>
    <row r="32" customFormat="false" ht="15" hidden="false" customHeight="false" outlineLevel="0" collapsed="false">
      <c r="B32" s="22" t="s">
        <v>119</v>
      </c>
      <c r="C32" s="23" t="s">
        <v>120</v>
      </c>
      <c r="D32" s="23" t="s">
        <v>62</v>
      </c>
      <c r="E32" s="23" t="s">
        <v>67</v>
      </c>
      <c r="F32" s="22" t="s">
        <v>57</v>
      </c>
      <c r="G32" s="23" t="s">
        <v>121</v>
      </c>
      <c r="H32" s="24" t="n">
        <v>1</v>
      </c>
      <c r="I32" s="14" t="n">
        <v>0.0717</v>
      </c>
      <c r="J32" s="25" t="s">
        <v>59</v>
      </c>
      <c r="K32" s="25"/>
      <c r="L32" s="25" t="s">
        <v>59</v>
      </c>
      <c r="M32" s="25"/>
      <c r="N32" s="25" t="s">
        <v>59</v>
      </c>
      <c r="O32" s="25"/>
      <c r="P32" s="14" t="n">
        <v>0.1792</v>
      </c>
      <c r="Q32" s="14" t="n">
        <f aca="false">IF(AND($J32="Yes",$G32&lt;&gt;"Vendor day rates"),$I32-0.4*$P32,0)</f>
        <v>0</v>
      </c>
      <c r="R32" s="26" t="n">
        <f aca="false">IFERROR(MATCH($K32,MonthList,0),0)</f>
        <v>0</v>
      </c>
      <c r="S32" s="14" t="n">
        <f aca="false">IF(OR($J32&lt;&gt;"Yes",$K32=""),0,$Q32*MAX(0,7-$R32)/12)</f>
        <v>0</v>
      </c>
      <c r="T32" s="14" t="n">
        <f aca="false">IF(OR($J32&lt;&gt;"Yes",$K32=""),0,$Q32*IF($R32&lt;=7,12,19-$R32)/12)</f>
        <v>0</v>
      </c>
      <c r="U32" s="14" t="n">
        <f aca="false">IF(AND($L32="Yes",$G32&lt;&gt;"Vendor day rates"),$I32-0.4*$P32,0)</f>
        <v>0</v>
      </c>
      <c r="V32" s="26" t="n">
        <f aca="false">IFERROR(MATCH($M32,MonthList,0),0)</f>
        <v>0</v>
      </c>
      <c r="W32" s="14" t="n">
        <f aca="false">IF(OR($L32&lt;&gt;"Yes",$M32=""),0,$U32*MAX(0,7-$V32)/12)</f>
        <v>0</v>
      </c>
      <c r="X32" s="14" t="n">
        <f aca="false">IF(OR($L32&lt;&gt;"Yes",$M32=""),0,$U32*IF($V32&lt;=7,12,19-$V32)/12)</f>
        <v>0</v>
      </c>
      <c r="Y32" s="14" t="n">
        <f aca="false">IF(AND($N32="Yes",$G32&lt;&gt;"Vendor day rates"),$I32-0.4*$P32,0)</f>
        <v>0</v>
      </c>
      <c r="Z32" s="26" t="n">
        <f aca="false">IFERROR(MATCH($O32,MonthList,0),0)</f>
        <v>0</v>
      </c>
      <c r="AA32" s="14" t="n">
        <f aca="false">IF(OR($N32&lt;&gt;"Yes",$O32=""),0,$Y32*MAX(0,7-$Z32)/12)</f>
        <v>0</v>
      </c>
      <c r="AB32" s="14" t="n">
        <f aca="false">IF(OR($N32&lt;&gt;"Yes",$O32=""),0,$Y32*IF($Z32&lt;=7,12,19-$Z32)/12)</f>
        <v>0</v>
      </c>
      <c r="AC32" s="26" t="str">
        <f aca="false">IF(OR($J32="Yes",$L32="Yes",$N32="Yes"),"Yes","No")</f>
        <v>No</v>
      </c>
      <c r="AD32" s="14" t="n">
        <f aca="false">MAX($Q32,$U32,$Y32)</f>
        <v>0</v>
      </c>
      <c r="AE32" s="26" t="n">
        <f aca="false">$AD32+ROW()*0.000000001</f>
        <v>3.2E-008</v>
      </c>
      <c r="AF32" s="26" t="str">
        <f aca="false">IF($J32="Yes","A","")&amp;IF($L32="Yes","B","")&amp;IF($N32="Yes","C","")</f>
        <v/>
      </c>
    </row>
    <row r="33" customFormat="false" ht="15" hidden="false" customHeight="false" outlineLevel="0" collapsed="false">
      <c r="B33" s="22" t="s">
        <v>122</v>
      </c>
      <c r="C33" s="23" t="s">
        <v>123</v>
      </c>
      <c r="D33" s="23" t="s">
        <v>62</v>
      </c>
      <c r="E33" s="23" t="s">
        <v>67</v>
      </c>
      <c r="F33" s="22" t="s">
        <v>57</v>
      </c>
      <c r="G33" s="23" t="s">
        <v>121</v>
      </c>
      <c r="H33" s="24" t="n">
        <v>1</v>
      </c>
      <c r="I33" s="14" t="n">
        <v>0.1113</v>
      </c>
      <c r="J33" s="25" t="s">
        <v>64</v>
      </c>
      <c r="K33" s="25" t="s">
        <v>65</v>
      </c>
      <c r="L33" s="25" t="s">
        <v>59</v>
      </c>
      <c r="M33" s="25"/>
      <c r="N33" s="25" t="s">
        <v>59</v>
      </c>
      <c r="O33" s="25"/>
      <c r="P33" s="14" t="n">
        <v>0.2782</v>
      </c>
      <c r="Q33" s="14" t="n">
        <f aca="false">IF(AND($J33="Yes",$G33&lt;&gt;"Vendor day rates"),$I33-0.4*$P33,0)</f>
        <v>1.99999999999922E-005</v>
      </c>
      <c r="R33" s="26" t="n">
        <f aca="false">IFERROR(MATCH($K33,MonthList,0),0)</f>
        <v>4</v>
      </c>
      <c r="S33" s="14" t="n">
        <f aca="false">IF(OR($J33&lt;&gt;"Yes",$K33=""),0,$Q33*MAX(0,7-$R33)/12)</f>
        <v>4.99999999999806E-006</v>
      </c>
      <c r="T33" s="14" t="n">
        <f aca="false">IF(OR($J33&lt;&gt;"Yes",$K33=""),0,$Q33*IF($R33&lt;=7,12,19-$R33)/12)</f>
        <v>1.99999999999922E-005</v>
      </c>
      <c r="U33" s="14" t="n">
        <f aca="false">IF(AND($L33="Yes",$G33&lt;&gt;"Vendor day rates"),$I33-0.4*$P33,0)</f>
        <v>0</v>
      </c>
      <c r="V33" s="26" t="n">
        <f aca="false">IFERROR(MATCH($M33,MonthList,0),0)</f>
        <v>0</v>
      </c>
      <c r="W33" s="14" t="n">
        <f aca="false">IF(OR($L33&lt;&gt;"Yes",$M33=""),0,$U33*MAX(0,7-$V33)/12)</f>
        <v>0</v>
      </c>
      <c r="X33" s="14" t="n">
        <f aca="false">IF(OR($L33&lt;&gt;"Yes",$M33=""),0,$U33*IF($V33&lt;=7,12,19-$V33)/12)</f>
        <v>0</v>
      </c>
      <c r="Y33" s="14" t="n">
        <f aca="false">IF(AND($N33="Yes",$G33&lt;&gt;"Vendor day rates"),$I33-0.4*$P33,0)</f>
        <v>0</v>
      </c>
      <c r="Z33" s="26" t="n">
        <f aca="false">IFERROR(MATCH($O33,MonthList,0),0)</f>
        <v>0</v>
      </c>
      <c r="AA33" s="14" t="n">
        <f aca="false">IF(OR($N33&lt;&gt;"Yes",$O33=""),0,$Y33*MAX(0,7-$Z33)/12)</f>
        <v>0</v>
      </c>
      <c r="AB33" s="14" t="n">
        <f aca="false">IF(OR($N33&lt;&gt;"Yes",$O33=""),0,$Y33*IF($Z33&lt;=7,12,19-$Z33)/12)</f>
        <v>0</v>
      </c>
      <c r="AC33" s="26" t="str">
        <f aca="false">IF(OR($J33="Yes",$L33="Yes",$N33="Yes"),"Yes","No")</f>
        <v>Yes</v>
      </c>
      <c r="AD33" s="14" t="n">
        <f aca="false">MAX($Q33,$U33,$Y33)</f>
        <v>1.99999999999922E-005</v>
      </c>
      <c r="AE33" s="26" t="n">
        <f aca="false">$AD33+ROW()*0.000000001</f>
        <v>2.00329999999922E-005</v>
      </c>
      <c r="AF33" s="26" t="str">
        <f aca="false">IF($J33="Yes","A","")&amp;IF($L33="Yes","B","")&amp;IF($N33="Yes","C","")</f>
        <v>A</v>
      </c>
    </row>
    <row r="34" customFormat="false" ht="15" hidden="false" customHeight="false" outlineLevel="0" collapsed="false">
      <c r="B34" s="22" t="s">
        <v>124</v>
      </c>
      <c r="C34" s="23" t="s">
        <v>116</v>
      </c>
      <c r="D34" s="23" t="s">
        <v>62</v>
      </c>
      <c r="E34" s="23" t="s">
        <v>63</v>
      </c>
      <c r="F34" s="22" t="s">
        <v>57</v>
      </c>
      <c r="G34" s="23" t="s">
        <v>58</v>
      </c>
      <c r="H34" s="24" t="n">
        <v>1</v>
      </c>
      <c r="I34" s="14" t="n">
        <v>0.2431</v>
      </c>
      <c r="J34" s="25" t="s">
        <v>59</v>
      </c>
      <c r="K34" s="25"/>
      <c r="L34" s="25" t="s">
        <v>59</v>
      </c>
      <c r="M34" s="25"/>
      <c r="N34" s="25" t="s">
        <v>59</v>
      </c>
      <c r="O34" s="25"/>
      <c r="P34" s="14" t="n">
        <v>0.2431</v>
      </c>
      <c r="Q34" s="14" t="n">
        <f aca="false">IF(AND($J34="Yes",$G34&lt;&gt;"Vendor day rates"),$I34-0.4*$P34,0)</f>
        <v>0</v>
      </c>
      <c r="R34" s="26" t="n">
        <f aca="false">IFERROR(MATCH($K34,MonthList,0),0)</f>
        <v>0</v>
      </c>
      <c r="S34" s="14" t="n">
        <f aca="false">IF(OR($J34&lt;&gt;"Yes",$K34=""),0,$Q34*MAX(0,7-$R34)/12)</f>
        <v>0</v>
      </c>
      <c r="T34" s="14" t="n">
        <f aca="false">IF(OR($J34&lt;&gt;"Yes",$K34=""),0,$Q34*IF($R34&lt;=7,12,19-$R34)/12)</f>
        <v>0</v>
      </c>
      <c r="U34" s="14" t="n">
        <f aca="false">IF(AND($L34="Yes",$G34&lt;&gt;"Vendor day rates"),$I34-0.4*$P34,0)</f>
        <v>0</v>
      </c>
      <c r="V34" s="26" t="n">
        <f aca="false">IFERROR(MATCH($M34,MonthList,0),0)</f>
        <v>0</v>
      </c>
      <c r="W34" s="14" t="n">
        <f aca="false">IF(OR($L34&lt;&gt;"Yes",$M34=""),0,$U34*MAX(0,7-$V34)/12)</f>
        <v>0</v>
      </c>
      <c r="X34" s="14" t="n">
        <f aca="false">IF(OR($L34&lt;&gt;"Yes",$M34=""),0,$U34*IF($V34&lt;=7,12,19-$V34)/12)</f>
        <v>0</v>
      </c>
      <c r="Y34" s="14" t="n">
        <f aca="false">IF(AND($N34="Yes",$G34&lt;&gt;"Vendor day rates"),$I34-0.4*$P34,0)</f>
        <v>0</v>
      </c>
      <c r="Z34" s="26" t="n">
        <f aca="false">IFERROR(MATCH($O34,MonthList,0),0)</f>
        <v>0</v>
      </c>
      <c r="AA34" s="14" t="n">
        <f aca="false">IF(OR($N34&lt;&gt;"Yes",$O34=""),0,$Y34*MAX(0,7-$Z34)/12)</f>
        <v>0</v>
      </c>
      <c r="AB34" s="14" t="n">
        <f aca="false">IF(OR($N34&lt;&gt;"Yes",$O34=""),0,$Y34*IF($Z34&lt;=7,12,19-$Z34)/12)</f>
        <v>0</v>
      </c>
      <c r="AC34" s="26" t="str">
        <f aca="false">IF(OR($J34="Yes",$L34="Yes",$N34="Yes"),"Yes","No")</f>
        <v>No</v>
      </c>
      <c r="AD34" s="14" t="n">
        <f aca="false">MAX($Q34,$U34,$Y34)</f>
        <v>0</v>
      </c>
      <c r="AE34" s="26" t="n">
        <f aca="false">$AD34+ROW()*0.000000001</f>
        <v>3.4E-008</v>
      </c>
      <c r="AF34" s="26" t="str">
        <f aca="false">IF($J34="Yes","A","")&amp;IF($L34="Yes","B","")&amp;IF($N34="Yes","C","")</f>
        <v/>
      </c>
    </row>
    <row r="35" customFormat="false" ht="15" hidden="false" customHeight="false" outlineLevel="0" collapsed="false">
      <c r="B35" s="22" t="s">
        <v>125</v>
      </c>
      <c r="C35" s="23" t="s">
        <v>120</v>
      </c>
      <c r="D35" s="23" t="s">
        <v>55</v>
      </c>
      <c r="E35" s="23" t="s">
        <v>56</v>
      </c>
      <c r="F35" s="22" t="s">
        <v>57</v>
      </c>
      <c r="G35" s="23" t="s">
        <v>58</v>
      </c>
      <c r="H35" s="24" t="n">
        <v>1</v>
      </c>
      <c r="I35" s="14" t="n">
        <v>0.2697</v>
      </c>
      <c r="J35" s="25" t="s">
        <v>59</v>
      </c>
      <c r="K35" s="25"/>
      <c r="L35" s="25" t="s">
        <v>59</v>
      </c>
      <c r="M35" s="25"/>
      <c r="N35" s="25" t="s">
        <v>59</v>
      </c>
      <c r="O35" s="25"/>
      <c r="P35" s="14" t="n">
        <v>0.2697</v>
      </c>
      <c r="Q35" s="14" t="n">
        <f aca="false">IF(AND($J35="Yes",$G35&lt;&gt;"Vendor day rates"),$I35-0.4*$P35,0)</f>
        <v>0</v>
      </c>
      <c r="R35" s="26" t="n">
        <f aca="false">IFERROR(MATCH($K35,MonthList,0),0)</f>
        <v>0</v>
      </c>
      <c r="S35" s="14" t="n">
        <f aca="false">IF(OR($J35&lt;&gt;"Yes",$K35=""),0,$Q35*MAX(0,7-$R35)/12)</f>
        <v>0</v>
      </c>
      <c r="T35" s="14" t="n">
        <f aca="false">IF(OR($J35&lt;&gt;"Yes",$K35=""),0,$Q35*IF($R35&lt;=7,12,19-$R35)/12)</f>
        <v>0</v>
      </c>
      <c r="U35" s="14" t="n">
        <f aca="false">IF(AND($L35="Yes",$G35&lt;&gt;"Vendor day rates"),$I35-0.4*$P35,0)</f>
        <v>0</v>
      </c>
      <c r="V35" s="26" t="n">
        <f aca="false">IFERROR(MATCH($M35,MonthList,0),0)</f>
        <v>0</v>
      </c>
      <c r="W35" s="14" t="n">
        <f aca="false">IF(OR($L35&lt;&gt;"Yes",$M35=""),0,$U35*MAX(0,7-$V35)/12)</f>
        <v>0</v>
      </c>
      <c r="X35" s="14" t="n">
        <f aca="false">IF(OR($L35&lt;&gt;"Yes",$M35=""),0,$U35*IF($V35&lt;=7,12,19-$V35)/12)</f>
        <v>0</v>
      </c>
      <c r="Y35" s="14" t="n">
        <f aca="false">IF(AND($N35="Yes",$G35&lt;&gt;"Vendor day rates"),$I35-0.4*$P35,0)</f>
        <v>0</v>
      </c>
      <c r="Z35" s="26" t="n">
        <f aca="false">IFERROR(MATCH($O35,MonthList,0),0)</f>
        <v>0</v>
      </c>
      <c r="AA35" s="14" t="n">
        <f aca="false">IF(OR($N35&lt;&gt;"Yes",$O35=""),0,$Y35*MAX(0,7-$Z35)/12)</f>
        <v>0</v>
      </c>
      <c r="AB35" s="14" t="n">
        <f aca="false">IF(OR($N35&lt;&gt;"Yes",$O35=""),0,$Y35*IF($Z35&lt;=7,12,19-$Z35)/12)</f>
        <v>0</v>
      </c>
      <c r="AC35" s="26" t="str">
        <f aca="false">IF(OR($J35="Yes",$L35="Yes",$N35="Yes"),"Yes","No")</f>
        <v>No</v>
      </c>
      <c r="AD35" s="14" t="n">
        <f aca="false">MAX($Q35,$U35,$Y35)</f>
        <v>0</v>
      </c>
      <c r="AE35" s="26" t="n">
        <f aca="false">$AD35+ROW()*0.000000001</f>
        <v>3.5E-008</v>
      </c>
      <c r="AF35" s="26" t="str">
        <f aca="false">IF($J35="Yes","A","")&amp;IF($L35="Yes","B","")&amp;IF($N35="Yes","C","")</f>
        <v/>
      </c>
    </row>
    <row r="36" customFormat="false" ht="15" hidden="false" customHeight="false" outlineLevel="0" collapsed="false">
      <c r="B36" s="22" t="s">
        <v>126</v>
      </c>
      <c r="C36" s="23" t="s">
        <v>127</v>
      </c>
      <c r="D36" s="23" t="s">
        <v>70</v>
      </c>
      <c r="E36" s="23" t="s">
        <v>70</v>
      </c>
      <c r="F36" s="22" t="s">
        <v>57</v>
      </c>
      <c r="G36" s="23" t="s">
        <v>58</v>
      </c>
      <c r="H36" s="24" t="n">
        <v>1</v>
      </c>
      <c r="I36" s="14" t="n">
        <v>0.2735</v>
      </c>
      <c r="J36" s="25" t="s">
        <v>59</v>
      </c>
      <c r="K36" s="25"/>
      <c r="L36" s="25" t="s">
        <v>59</v>
      </c>
      <c r="M36" s="25"/>
      <c r="N36" s="25" t="s">
        <v>59</v>
      </c>
      <c r="O36" s="25"/>
      <c r="P36" s="14" t="n">
        <v>0.2735</v>
      </c>
      <c r="Q36" s="14" t="n">
        <f aca="false">IF(AND($J36="Yes",$G36&lt;&gt;"Vendor day rates"),$I36-0.4*$P36,0)</f>
        <v>0</v>
      </c>
      <c r="R36" s="26" t="n">
        <f aca="false">IFERROR(MATCH($K36,MonthList,0),0)</f>
        <v>0</v>
      </c>
      <c r="S36" s="14" t="n">
        <f aca="false">IF(OR($J36&lt;&gt;"Yes",$K36=""),0,$Q36*MAX(0,7-$R36)/12)</f>
        <v>0</v>
      </c>
      <c r="T36" s="14" t="n">
        <f aca="false">IF(OR($J36&lt;&gt;"Yes",$K36=""),0,$Q36*IF($R36&lt;=7,12,19-$R36)/12)</f>
        <v>0</v>
      </c>
      <c r="U36" s="14" t="n">
        <f aca="false">IF(AND($L36="Yes",$G36&lt;&gt;"Vendor day rates"),$I36-0.4*$P36,0)</f>
        <v>0</v>
      </c>
      <c r="V36" s="26" t="n">
        <f aca="false">IFERROR(MATCH($M36,MonthList,0),0)</f>
        <v>0</v>
      </c>
      <c r="W36" s="14" t="n">
        <f aca="false">IF(OR($L36&lt;&gt;"Yes",$M36=""),0,$U36*MAX(0,7-$V36)/12)</f>
        <v>0</v>
      </c>
      <c r="X36" s="14" t="n">
        <f aca="false">IF(OR($L36&lt;&gt;"Yes",$M36=""),0,$U36*IF($V36&lt;=7,12,19-$V36)/12)</f>
        <v>0</v>
      </c>
      <c r="Y36" s="14" t="n">
        <f aca="false">IF(AND($N36="Yes",$G36&lt;&gt;"Vendor day rates"),$I36-0.4*$P36,0)</f>
        <v>0</v>
      </c>
      <c r="Z36" s="26" t="n">
        <f aca="false">IFERROR(MATCH($O36,MonthList,0),0)</f>
        <v>0</v>
      </c>
      <c r="AA36" s="14" t="n">
        <f aca="false">IF(OR($N36&lt;&gt;"Yes",$O36=""),0,$Y36*MAX(0,7-$Z36)/12)</f>
        <v>0</v>
      </c>
      <c r="AB36" s="14" t="n">
        <f aca="false">IF(OR($N36&lt;&gt;"Yes",$O36=""),0,$Y36*IF($Z36&lt;=7,12,19-$Z36)/12)</f>
        <v>0</v>
      </c>
      <c r="AC36" s="26" t="str">
        <f aca="false">IF(OR($J36="Yes",$L36="Yes",$N36="Yes"),"Yes","No")</f>
        <v>No</v>
      </c>
      <c r="AD36" s="14" t="n">
        <f aca="false">MAX($Q36,$U36,$Y36)</f>
        <v>0</v>
      </c>
      <c r="AE36" s="26" t="n">
        <f aca="false">$AD36+ROW()*0.000000001</f>
        <v>3.6E-008</v>
      </c>
      <c r="AF36" s="26" t="str">
        <f aca="false">IF($J36="Yes","A","")&amp;IF($L36="Yes","B","")&amp;IF($N36="Yes","C","")</f>
        <v/>
      </c>
    </row>
    <row r="37" customFormat="false" ht="15" hidden="false" customHeight="false" outlineLevel="0" collapsed="false">
      <c r="B37" s="22" t="s">
        <v>128</v>
      </c>
      <c r="C37" s="23" t="s">
        <v>129</v>
      </c>
      <c r="D37" s="23"/>
      <c r="E37" s="23" t="s">
        <v>130</v>
      </c>
      <c r="F37" s="22" t="s">
        <v>57</v>
      </c>
      <c r="G37" s="23" t="s">
        <v>58</v>
      </c>
      <c r="H37" s="24" t="n">
        <v>1</v>
      </c>
      <c r="I37" s="14" t="n">
        <v>0.3552</v>
      </c>
      <c r="J37" s="25" t="s">
        <v>59</v>
      </c>
      <c r="K37" s="25"/>
      <c r="L37" s="25" t="s">
        <v>59</v>
      </c>
      <c r="M37" s="25"/>
      <c r="N37" s="25" t="s">
        <v>59</v>
      </c>
      <c r="O37" s="25"/>
      <c r="P37" s="14" t="n">
        <v>0.3552</v>
      </c>
      <c r="Q37" s="14" t="n">
        <f aca="false">IF(AND($J37="Yes",$G37&lt;&gt;"Vendor day rates"),$I37-0.4*$P37,0)</f>
        <v>0</v>
      </c>
      <c r="R37" s="26" t="n">
        <f aca="false">IFERROR(MATCH($K37,MonthList,0),0)</f>
        <v>0</v>
      </c>
      <c r="S37" s="14" t="n">
        <f aca="false">IF(OR($J37&lt;&gt;"Yes",$K37=""),0,$Q37*MAX(0,7-$R37)/12)</f>
        <v>0</v>
      </c>
      <c r="T37" s="14" t="n">
        <f aca="false">IF(OR($J37&lt;&gt;"Yes",$K37=""),0,$Q37*IF($R37&lt;=7,12,19-$R37)/12)</f>
        <v>0</v>
      </c>
      <c r="U37" s="14" t="n">
        <f aca="false">IF(AND($L37="Yes",$G37&lt;&gt;"Vendor day rates"),$I37-0.4*$P37,0)</f>
        <v>0</v>
      </c>
      <c r="V37" s="26" t="n">
        <f aca="false">IFERROR(MATCH($M37,MonthList,0),0)</f>
        <v>0</v>
      </c>
      <c r="W37" s="14" t="n">
        <f aca="false">IF(OR($L37&lt;&gt;"Yes",$M37=""),0,$U37*MAX(0,7-$V37)/12)</f>
        <v>0</v>
      </c>
      <c r="X37" s="14" t="n">
        <f aca="false">IF(OR($L37&lt;&gt;"Yes",$M37=""),0,$U37*IF($V37&lt;=7,12,19-$V37)/12)</f>
        <v>0</v>
      </c>
      <c r="Y37" s="14" t="n">
        <f aca="false">IF(AND($N37="Yes",$G37&lt;&gt;"Vendor day rates"),$I37-0.4*$P37,0)</f>
        <v>0</v>
      </c>
      <c r="Z37" s="26" t="n">
        <f aca="false">IFERROR(MATCH($O37,MonthList,0),0)</f>
        <v>0</v>
      </c>
      <c r="AA37" s="14" t="n">
        <f aca="false">IF(OR($N37&lt;&gt;"Yes",$O37=""),0,$Y37*MAX(0,7-$Z37)/12)</f>
        <v>0</v>
      </c>
      <c r="AB37" s="14" t="n">
        <f aca="false">IF(OR($N37&lt;&gt;"Yes",$O37=""),0,$Y37*IF($Z37&lt;=7,12,19-$Z37)/12)</f>
        <v>0</v>
      </c>
      <c r="AC37" s="26" t="str">
        <f aca="false">IF(OR($J37="Yes",$L37="Yes",$N37="Yes"),"Yes","No")</f>
        <v>No</v>
      </c>
      <c r="AD37" s="14" t="n">
        <f aca="false">MAX($Q37,$U37,$Y37)</f>
        <v>0</v>
      </c>
      <c r="AE37" s="26" t="n">
        <f aca="false">$AD37+ROW()*0.000000001</f>
        <v>3.7E-008</v>
      </c>
      <c r="AF37" s="26" t="str">
        <f aca="false">IF($J37="Yes","A","")&amp;IF($L37="Yes","B","")&amp;IF($N37="Yes","C","")</f>
        <v/>
      </c>
    </row>
    <row r="38" customFormat="false" ht="15" hidden="false" customHeight="false" outlineLevel="0" collapsed="false">
      <c r="B38" s="22" t="s">
        <v>131</v>
      </c>
      <c r="C38" s="23" t="s">
        <v>132</v>
      </c>
      <c r="D38" s="23" t="s">
        <v>70</v>
      </c>
      <c r="E38" s="23" t="s">
        <v>70</v>
      </c>
      <c r="F38" s="22" t="s">
        <v>57</v>
      </c>
      <c r="G38" s="23" t="s">
        <v>58</v>
      </c>
      <c r="H38" s="24" t="n">
        <v>1</v>
      </c>
      <c r="I38" s="14" t="n">
        <v>0.222</v>
      </c>
      <c r="J38" s="25" t="s">
        <v>59</v>
      </c>
      <c r="K38" s="25"/>
      <c r="L38" s="25" t="s">
        <v>59</v>
      </c>
      <c r="M38" s="25"/>
      <c r="N38" s="25" t="s">
        <v>59</v>
      </c>
      <c r="O38" s="25"/>
      <c r="P38" s="14" t="n">
        <v>0.222</v>
      </c>
      <c r="Q38" s="14" t="n">
        <f aca="false">IF(AND($J38="Yes",$G38&lt;&gt;"Vendor day rates"),$I38-0.4*$P38,0)</f>
        <v>0</v>
      </c>
      <c r="R38" s="26" t="n">
        <f aca="false">IFERROR(MATCH($K38,MonthList,0),0)</f>
        <v>0</v>
      </c>
      <c r="S38" s="14" t="n">
        <f aca="false">IF(OR($J38&lt;&gt;"Yes",$K38=""),0,$Q38*MAX(0,7-$R38)/12)</f>
        <v>0</v>
      </c>
      <c r="T38" s="14" t="n">
        <f aca="false">IF(OR($J38&lt;&gt;"Yes",$K38=""),0,$Q38*IF($R38&lt;=7,12,19-$R38)/12)</f>
        <v>0</v>
      </c>
      <c r="U38" s="14" t="n">
        <f aca="false">IF(AND($L38="Yes",$G38&lt;&gt;"Vendor day rates"),$I38-0.4*$P38,0)</f>
        <v>0</v>
      </c>
      <c r="V38" s="26" t="n">
        <f aca="false">IFERROR(MATCH($M38,MonthList,0),0)</f>
        <v>0</v>
      </c>
      <c r="W38" s="14" t="n">
        <f aca="false">IF(OR($L38&lt;&gt;"Yes",$M38=""),0,$U38*MAX(0,7-$V38)/12)</f>
        <v>0</v>
      </c>
      <c r="X38" s="14" t="n">
        <f aca="false">IF(OR($L38&lt;&gt;"Yes",$M38=""),0,$U38*IF($V38&lt;=7,12,19-$V38)/12)</f>
        <v>0</v>
      </c>
      <c r="Y38" s="14" t="n">
        <f aca="false">IF(AND($N38="Yes",$G38&lt;&gt;"Vendor day rates"),$I38-0.4*$P38,0)</f>
        <v>0</v>
      </c>
      <c r="Z38" s="26" t="n">
        <f aca="false">IFERROR(MATCH($O38,MonthList,0),0)</f>
        <v>0</v>
      </c>
      <c r="AA38" s="14" t="n">
        <f aca="false">IF(OR($N38&lt;&gt;"Yes",$O38=""),0,$Y38*MAX(0,7-$Z38)/12)</f>
        <v>0</v>
      </c>
      <c r="AB38" s="14" t="n">
        <f aca="false">IF(OR($N38&lt;&gt;"Yes",$O38=""),0,$Y38*IF($Z38&lt;=7,12,19-$Z38)/12)</f>
        <v>0</v>
      </c>
      <c r="AC38" s="26" t="str">
        <f aca="false">IF(OR($J38="Yes",$L38="Yes",$N38="Yes"),"Yes","No")</f>
        <v>No</v>
      </c>
      <c r="AD38" s="14" t="n">
        <f aca="false">MAX($Q38,$U38,$Y38)</f>
        <v>0</v>
      </c>
      <c r="AE38" s="26" t="n">
        <f aca="false">$AD38+ROW()*0.000000001</f>
        <v>3.8E-008</v>
      </c>
      <c r="AF38" s="26" t="str">
        <f aca="false">IF($J38="Yes","A","")&amp;IF($L38="Yes","B","")&amp;IF($N38="Yes","C","")</f>
        <v/>
      </c>
    </row>
    <row r="39" customFormat="false" ht="15" hidden="false" customHeight="false" outlineLevel="0" collapsed="false">
      <c r="B39" s="22" t="s">
        <v>133</v>
      </c>
      <c r="C39" s="23" t="s">
        <v>134</v>
      </c>
      <c r="D39" s="23" t="s">
        <v>70</v>
      </c>
      <c r="E39" s="23" t="s">
        <v>70</v>
      </c>
      <c r="F39" s="22" t="s">
        <v>57</v>
      </c>
      <c r="G39" s="23" t="s">
        <v>58</v>
      </c>
      <c r="H39" s="24" t="n">
        <v>1</v>
      </c>
      <c r="I39" s="14" t="n">
        <v>0.333</v>
      </c>
      <c r="J39" s="25" t="s">
        <v>59</v>
      </c>
      <c r="K39" s="25"/>
      <c r="L39" s="25" t="s">
        <v>59</v>
      </c>
      <c r="M39" s="25"/>
      <c r="N39" s="25" t="s">
        <v>59</v>
      </c>
      <c r="O39" s="25"/>
      <c r="P39" s="14" t="n">
        <v>0.333</v>
      </c>
      <c r="Q39" s="14" t="n">
        <f aca="false">IF(AND($J39="Yes",$G39&lt;&gt;"Vendor day rates"),$I39-0.4*$P39,0)</f>
        <v>0</v>
      </c>
      <c r="R39" s="26" t="n">
        <f aca="false">IFERROR(MATCH($K39,MonthList,0),0)</f>
        <v>0</v>
      </c>
      <c r="S39" s="14" t="n">
        <f aca="false">IF(OR($J39&lt;&gt;"Yes",$K39=""),0,$Q39*MAX(0,7-$R39)/12)</f>
        <v>0</v>
      </c>
      <c r="T39" s="14" t="n">
        <f aca="false">IF(OR($J39&lt;&gt;"Yes",$K39=""),0,$Q39*IF($R39&lt;=7,12,19-$R39)/12)</f>
        <v>0</v>
      </c>
      <c r="U39" s="14" t="n">
        <f aca="false">IF(AND($L39="Yes",$G39&lt;&gt;"Vendor day rates"),$I39-0.4*$P39,0)</f>
        <v>0</v>
      </c>
      <c r="V39" s="26" t="n">
        <f aca="false">IFERROR(MATCH($M39,MonthList,0),0)</f>
        <v>0</v>
      </c>
      <c r="W39" s="14" t="n">
        <f aca="false">IF(OR($L39&lt;&gt;"Yes",$M39=""),0,$U39*MAX(0,7-$V39)/12)</f>
        <v>0</v>
      </c>
      <c r="X39" s="14" t="n">
        <f aca="false">IF(OR($L39&lt;&gt;"Yes",$M39=""),0,$U39*IF($V39&lt;=7,12,19-$V39)/12)</f>
        <v>0</v>
      </c>
      <c r="Y39" s="14" t="n">
        <f aca="false">IF(AND($N39="Yes",$G39&lt;&gt;"Vendor day rates"),$I39-0.4*$P39,0)</f>
        <v>0</v>
      </c>
      <c r="Z39" s="26" t="n">
        <f aca="false">IFERROR(MATCH($O39,MonthList,0),0)</f>
        <v>0</v>
      </c>
      <c r="AA39" s="14" t="n">
        <f aca="false">IF(OR($N39&lt;&gt;"Yes",$O39=""),0,$Y39*MAX(0,7-$Z39)/12)</f>
        <v>0</v>
      </c>
      <c r="AB39" s="14" t="n">
        <f aca="false">IF(OR($N39&lt;&gt;"Yes",$O39=""),0,$Y39*IF($Z39&lt;=7,12,19-$Z39)/12)</f>
        <v>0</v>
      </c>
      <c r="AC39" s="26" t="str">
        <f aca="false">IF(OR($J39="Yes",$L39="Yes",$N39="Yes"),"Yes","No")</f>
        <v>No</v>
      </c>
      <c r="AD39" s="14" t="n">
        <f aca="false">MAX($Q39,$U39,$Y39)</f>
        <v>0</v>
      </c>
      <c r="AE39" s="26" t="n">
        <f aca="false">$AD39+ROW()*0.000000001</f>
        <v>3.9E-008</v>
      </c>
      <c r="AF39" s="26" t="str">
        <f aca="false">IF($J39="Yes","A","")&amp;IF($L39="Yes","B","")&amp;IF($N39="Yes","C","")</f>
        <v/>
      </c>
    </row>
    <row r="40" customFormat="false" ht="15" hidden="false" customHeight="false" outlineLevel="0" collapsed="false">
      <c r="B40" s="22" t="s">
        <v>135</v>
      </c>
      <c r="C40" s="23" t="s">
        <v>136</v>
      </c>
      <c r="D40" s="23" t="s">
        <v>62</v>
      </c>
      <c r="E40" s="23" t="s">
        <v>63</v>
      </c>
      <c r="F40" s="22" t="s">
        <v>57</v>
      </c>
      <c r="G40" s="23" t="s">
        <v>121</v>
      </c>
      <c r="H40" s="24" t="n">
        <v>1</v>
      </c>
      <c r="I40" s="14" t="n">
        <v>0.111</v>
      </c>
      <c r="J40" s="25" t="s">
        <v>59</v>
      </c>
      <c r="K40" s="25"/>
      <c r="L40" s="25" t="s">
        <v>59</v>
      </c>
      <c r="M40" s="25"/>
      <c r="N40" s="25" t="s">
        <v>59</v>
      </c>
      <c r="O40" s="25"/>
      <c r="P40" s="14" t="n">
        <v>0.2775</v>
      </c>
      <c r="Q40" s="14" t="n">
        <f aca="false">IF(AND($J40="Yes",$G40&lt;&gt;"Vendor day rates"),$I40-0.4*$P40,0)</f>
        <v>0</v>
      </c>
      <c r="R40" s="26" t="n">
        <f aca="false">IFERROR(MATCH($K40,MonthList,0),0)</f>
        <v>0</v>
      </c>
      <c r="S40" s="14" t="n">
        <f aca="false">IF(OR($J40&lt;&gt;"Yes",$K40=""),0,$Q40*MAX(0,7-$R40)/12)</f>
        <v>0</v>
      </c>
      <c r="T40" s="14" t="n">
        <f aca="false">IF(OR($J40&lt;&gt;"Yes",$K40=""),0,$Q40*IF($R40&lt;=7,12,19-$R40)/12)</f>
        <v>0</v>
      </c>
      <c r="U40" s="14" t="n">
        <f aca="false">IF(AND($L40="Yes",$G40&lt;&gt;"Vendor day rates"),$I40-0.4*$P40,0)</f>
        <v>0</v>
      </c>
      <c r="V40" s="26" t="n">
        <f aca="false">IFERROR(MATCH($M40,MonthList,0),0)</f>
        <v>0</v>
      </c>
      <c r="W40" s="14" t="n">
        <f aca="false">IF(OR($L40&lt;&gt;"Yes",$M40=""),0,$U40*MAX(0,7-$V40)/12)</f>
        <v>0</v>
      </c>
      <c r="X40" s="14" t="n">
        <f aca="false">IF(OR($L40&lt;&gt;"Yes",$M40=""),0,$U40*IF($V40&lt;=7,12,19-$V40)/12)</f>
        <v>0</v>
      </c>
      <c r="Y40" s="14" t="n">
        <f aca="false">IF(AND($N40="Yes",$G40&lt;&gt;"Vendor day rates"),$I40-0.4*$P40,0)</f>
        <v>0</v>
      </c>
      <c r="Z40" s="26" t="n">
        <f aca="false">IFERROR(MATCH($O40,MonthList,0),0)</f>
        <v>0</v>
      </c>
      <c r="AA40" s="14" t="n">
        <f aca="false">IF(OR($N40&lt;&gt;"Yes",$O40=""),0,$Y40*MAX(0,7-$Z40)/12)</f>
        <v>0</v>
      </c>
      <c r="AB40" s="14" t="n">
        <f aca="false">IF(OR($N40&lt;&gt;"Yes",$O40=""),0,$Y40*IF($Z40&lt;=7,12,19-$Z40)/12)</f>
        <v>0</v>
      </c>
      <c r="AC40" s="26" t="str">
        <f aca="false">IF(OR($J40="Yes",$L40="Yes",$N40="Yes"),"Yes","No")</f>
        <v>No</v>
      </c>
      <c r="AD40" s="14" t="n">
        <f aca="false">MAX($Q40,$U40,$Y40)</f>
        <v>0</v>
      </c>
      <c r="AE40" s="26" t="n">
        <f aca="false">$AD40+ROW()*0.000000001</f>
        <v>4E-008</v>
      </c>
      <c r="AF40" s="26" t="str">
        <f aca="false">IF($J40="Yes","A","")&amp;IF($L40="Yes","B","")&amp;IF($N40="Yes","C","")</f>
        <v/>
      </c>
    </row>
    <row r="41" customFormat="false" ht="15" hidden="false" customHeight="false" outlineLevel="0" collapsed="false">
      <c r="B41" s="22" t="s">
        <v>137</v>
      </c>
      <c r="C41" s="23" t="s">
        <v>136</v>
      </c>
      <c r="D41" s="23" t="s">
        <v>62</v>
      </c>
      <c r="E41" s="23" t="s">
        <v>67</v>
      </c>
      <c r="F41" s="22" t="s">
        <v>57</v>
      </c>
      <c r="G41" s="23" t="s">
        <v>121</v>
      </c>
      <c r="H41" s="24" t="n">
        <v>1</v>
      </c>
      <c r="I41" s="14" t="n">
        <v>0.1082</v>
      </c>
      <c r="J41" s="25" t="s">
        <v>59</v>
      </c>
      <c r="K41" s="25"/>
      <c r="L41" s="25" t="s">
        <v>59</v>
      </c>
      <c r="M41" s="25"/>
      <c r="N41" s="25" t="s">
        <v>59</v>
      </c>
      <c r="O41" s="25"/>
      <c r="P41" s="14" t="n">
        <v>0.2705</v>
      </c>
      <c r="Q41" s="14" t="n">
        <f aca="false">IF(AND($J41="Yes",$G41&lt;&gt;"Vendor day rates"),$I41-0.4*$P41,0)</f>
        <v>0</v>
      </c>
      <c r="R41" s="26" t="n">
        <f aca="false">IFERROR(MATCH($K41,MonthList,0),0)</f>
        <v>0</v>
      </c>
      <c r="S41" s="14" t="n">
        <f aca="false">IF(OR($J41&lt;&gt;"Yes",$K41=""),0,$Q41*MAX(0,7-$R41)/12)</f>
        <v>0</v>
      </c>
      <c r="T41" s="14" t="n">
        <f aca="false">IF(OR($J41&lt;&gt;"Yes",$K41=""),0,$Q41*IF($R41&lt;=7,12,19-$R41)/12)</f>
        <v>0</v>
      </c>
      <c r="U41" s="14" t="n">
        <f aca="false">IF(AND($L41="Yes",$G41&lt;&gt;"Vendor day rates"),$I41-0.4*$P41,0)</f>
        <v>0</v>
      </c>
      <c r="V41" s="26" t="n">
        <f aca="false">IFERROR(MATCH($M41,MonthList,0),0)</f>
        <v>0</v>
      </c>
      <c r="W41" s="14" t="n">
        <f aca="false">IF(OR($L41&lt;&gt;"Yes",$M41=""),0,$U41*MAX(0,7-$V41)/12)</f>
        <v>0</v>
      </c>
      <c r="X41" s="14" t="n">
        <f aca="false">IF(OR($L41&lt;&gt;"Yes",$M41=""),0,$U41*IF($V41&lt;=7,12,19-$V41)/12)</f>
        <v>0</v>
      </c>
      <c r="Y41" s="14" t="n">
        <f aca="false">IF(AND($N41="Yes",$G41&lt;&gt;"Vendor day rates"),$I41-0.4*$P41,0)</f>
        <v>0</v>
      </c>
      <c r="Z41" s="26" t="n">
        <f aca="false">IFERROR(MATCH($O41,MonthList,0),0)</f>
        <v>0</v>
      </c>
      <c r="AA41" s="14" t="n">
        <f aca="false">IF(OR($N41&lt;&gt;"Yes",$O41=""),0,$Y41*MAX(0,7-$Z41)/12)</f>
        <v>0</v>
      </c>
      <c r="AB41" s="14" t="n">
        <f aca="false">IF(OR($N41&lt;&gt;"Yes",$O41=""),0,$Y41*IF($Z41&lt;=7,12,19-$Z41)/12)</f>
        <v>0</v>
      </c>
      <c r="AC41" s="26" t="str">
        <f aca="false">IF(OR($J41="Yes",$L41="Yes",$N41="Yes"),"Yes","No")</f>
        <v>No</v>
      </c>
      <c r="AD41" s="14" t="n">
        <f aca="false">MAX($Q41,$U41,$Y41)</f>
        <v>0</v>
      </c>
      <c r="AE41" s="26" t="n">
        <f aca="false">$AD41+ROW()*0.000000001</f>
        <v>4.1E-008</v>
      </c>
      <c r="AF41" s="26" t="str">
        <f aca="false">IF($J41="Yes","A","")&amp;IF($L41="Yes","B","")&amp;IF($N41="Yes","C","")</f>
        <v/>
      </c>
    </row>
    <row r="42" customFormat="false" ht="15" hidden="false" customHeight="false" outlineLevel="0" collapsed="false">
      <c r="B42" s="22" t="s">
        <v>138</v>
      </c>
      <c r="C42" s="23" t="s">
        <v>136</v>
      </c>
      <c r="D42" s="23" t="s">
        <v>55</v>
      </c>
      <c r="E42" s="23" t="s">
        <v>56</v>
      </c>
      <c r="F42" s="22" t="s">
        <v>57</v>
      </c>
      <c r="G42" s="23" t="s">
        <v>58</v>
      </c>
      <c r="H42" s="24" t="n">
        <v>1</v>
      </c>
      <c r="I42" s="14" t="n">
        <v>0</v>
      </c>
      <c r="J42" s="25" t="s">
        <v>59</v>
      </c>
      <c r="K42" s="25"/>
      <c r="L42" s="25" t="s">
        <v>59</v>
      </c>
      <c r="M42" s="25"/>
      <c r="N42" s="25" t="s">
        <v>59</v>
      </c>
      <c r="O42" s="25"/>
      <c r="P42" s="14" t="n">
        <v>0</v>
      </c>
      <c r="Q42" s="14" t="n">
        <f aca="false">IF(AND($J42="Yes",$G42&lt;&gt;"Vendor day rates"),$I42-0.4*$P42,0)</f>
        <v>0</v>
      </c>
      <c r="R42" s="26" t="n">
        <f aca="false">IFERROR(MATCH($K42,MonthList,0),0)</f>
        <v>0</v>
      </c>
      <c r="S42" s="14" t="n">
        <f aca="false">IF(OR($J42&lt;&gt;"Yes",$K42=""),0,$Q42*MAX(0,7-$R42)/12)</f>
        <v>0</v>
      </c>
      <c r="T42" s="14" t="n">
        <f aca="false">IF(OR($J42&lt;&gt;"Yes",$K42=""),0,$Q42*IF($R42&lt;=7,12,19-$R42)/12)</f>
        <v>0</v>
      </c>
      <c r="U42" s="14" t="n">
        <f aca="false">IF(AND($L42="Yes",$G42&lt;&gt;"Vendor day rates"),$I42-0.4*$P42,0)</f>
        <v>0</v>
      </c>
      <c r="V42" s="26" t="n">
        <f aca="false">IFERROR(MATCH($M42,MonthList,0),0)</f>
        <v>0</v>
      </c>
      <c r="W42" s="14" t="n">
        <f aca="false">IF(OR($L42&lt;&gt;"Yes",$M42=""),0,$U42*MAX(0,7-$V42)/12)</f>
        <v>0</v>
      </c>
      <c r="X42" s="14" t="n">
        <f aca="false">IF(OR($L42&lt;&gt;"Yes",$M42=""),0,$U42*IF($V42&lt;=7,12,19-$V42)/12)</f>
        <v>0</v>
      </c>
      <c r="Y42" s="14" t="n">
        <f aca="false">IF(AND($N42="Yes",$G42&lt;&gt;"Vendor day rates"),$I42-0.4*$P42,0)</f>
        <v>0</v>
      </c>
      <c r="Z42" s="26" t="n">
        <f aca="false">IFERROR(MATCH($O42,MonthList,0),0)</f>
        <v>0</v>
      </c>
      <c r="AA42" s="14" t="n">
        <f aca="false">IF(OR($N42&lt;&gt;"Yes",$O42=""),0,$Y42*MAX(0,7-$Z42)/12)</f>
        <v>0</v>
      </c>
      <c r="AB42" s="14" t="n">
        <f aca="false">IF(OR($N42&lt;&gt;"Yes",$O42=""),0,$Y42*IF($Z42&lt;=7,12,19-$Z42)/12)</f>
        <v>0</v>
      </c>
      <c r="AC42" s="26" t="str">
        <f aca="false">IF(OR($J42="Yes",$L42="Yes",$N42="Yes"),"Yes","No")</f>
        <v>No</v>
      </c>
      <c r="AD42" s="14" t="n">
        <f aca="false">MAX($Q42,$U42,$Y42)</f>
        <v>0</v>
      </c>
      <c r="AE42" s="26" t="n">
        <f aca="false">$AD42+ROW()*0.000000001</f>
        <v>4.2E-008</v>
      </c>
      <c r="AF42" s="26" t="str">
        <f aca="false">IF($J42="Yes","A","")&amp;IF($L42="Yes","B","")&amp;IF($N42="Yes","C","")</f>
        <v/>
      </c>
    </row>
    <row r="43" customFormat="false" ht="15" hidden="false" customHeight="false" outlineLevel="0" collapsed="false">
      <c r="B43" s="22" t="s">
        <v>139</v>
      </c>
      <c r="C43" s="23" t="s">
        <v>136</v>
      </c>
      <c r="D43" s="23" t="s">
        <v>55</v>
      </c>
      <c r="E43" s="23" t="s">
        <v>56</v>
      </c>
      <c r="F43" s="22" t="s">
        <v>57</v>
      </c>
      <c r="G43" s="23" t="s">
        <v>58</v>
      </c>
      <c r="H43" s="24" t="n">
        <v>1</v>
      </c>
      <c r="I43" s="14" t="n">
        <v>0.2642</v>
      </c>
      <c r="J43" s="25" t="s">
        <v>59</v>
      </c>
      <c r="K43" s="25"/>
      <c r="L43" s="25" t="s">
        <v>59</v>
      </c>
      <c r="M43" s="25"/>
      <c r="N43" s="25" t="s">
        <v>59</v>
      </c>
      <c r="O43" s="25"/>
      <c r="P43" s="14" t="n">
        <v>0.2642</v>
      </c>
      <c r="Q43" s="14" t="n">
        <f aca="false">IF(AND($J43="Yes",$G43&lt;&gt;"Vendor day rates"),$I43-0.4*$P43,0)</f>
        <v>0</v>
      </c>
      <c r="R43" s="26" t="n">
        <f aca="false">IFERROR(MATCH($K43,MonthList,0),0)</f>
        <v>0</v>
      </c>
      <c r="S43" s="14" t="n">
        <f aca="false">IF(OR($J43&lt;&gt;"Yes",$K43=""),0,$Q43*MAX(0,7-$R43)/12)</f>
        <v>0</v>
      </c>
      <c r="T43" s="14" t="n">
        <f aca="false">IF(OR($J43&lt;&gt;"Yes",$K43=""),0,$Q43*IF($R43&lt;=7,12,19-$R43)/12)</f>
        <v>0</v>
      </c>
      <c r="U43" s="14" t="n">
        <f aca="false">IF(AND($L43="Yes",$G43&lt;&gt;"Vendor day rates"),$I43-0.4*$P43,0)</f>
        <v>0</v>
      </c>
      <c r="V43" s="26" t="n">
        <f aca="false">IFERROR(MATCH($M43,MonthList,0),0)</f>
        <v>0</v>
      </c>
      <c r="W43" s="14" t="n">
        <f aca="false">IF(OR($L43&lt;&gt;"Yes",$M43=""),0,$U43*MAX(0,7-$V43)/12)</f>
        <v>0</v>
      </c>
      <c r="X43" s="14" t="n">
        <f aca="false">IF(OR($L43&lt;&gt;"Yes",$M43=""),0,$U43*IF($V43&lt;=7,12,19-$V43)/12)</f>
        <v>0</v>
      </c>
      <c r="Y43" s="14" t="n">
        <f aca="false">IF(AND($N43="Yes",$G43&lt;&gt;"Vendor day rates"),$I43-0.4*$P43,0)</f>
        <v>0</v>
      </c>
      <c r="Z43" s="26" t="n">
        <f aca="false">IFERROR(MATCH($O43,MonthList,0),0)</f>
        <v>0</v>
      </c>
      <c r="AA43" s="14" t="n">
        <f aca="false">IF(OR($N43&lt;&gt;"Yes",$O43=""),0,$Y43*MAX(0,7-$Z43)/12)</f>
        <v>0</v>
      </c>
      <c r="AB43" s="14" t="n">
        <f aca="false">IF(OR($N43&lt;&gt;"Yes",$O43=""),0,$Y43*IF($Z43&lt;=7,12,19-$Z43)/12)</f>
        <v>0</v>
      </c>
      <c r="AC43" s="26" t="str">
        <f aca="false">IF(OR($J43="Yes",$L43="Yes",$N43="Yes"),"Yes","No")</f>
        <v>No</v>
      </c>
      <c r="AD43" s="14" t="n">
        <f aca="false">MAX($Q43,$U43,$Y43)</f>
        <v>0</v>
      </c>
      <c r="AE43" s="26" t="n">
        <f aca="false">$AD43+ROW()*0.000000001</f>
        <v>4.3E-008</v>
      </c>
      <c r="AF43" s="26" t="str">
        <f aca="false">IF($J43="Yes","A","")&amp;IF($L43="Yes","B","")&amp;IF($N43="Yes","C","")</f>
        <v/>
      </c>
    </row>
    <row r="44" customFormat="false" ht="15" hidden="false" customHeight="false" outlineLevel="0" collapsed="false">
      <c r="B44" s="22" t="s">
        <v>140</v>
      </c>
      <c r="C44" s="23" t="s">
        <v>141</v>
      </c>
      <c r="D44" s="23" t="s">
        <v>55</v>
      </c>
      <c r="E44" s="23" t="s">
        <v>142</v>
      </c>
      <c r="F44" s="22" t="s">
        <v>57</v>
      </c>
      <c r="G44" s="23" t="s">
        <v>58</v>
      </c>
      <c r="H44" s="24" t="n">
        <v>1</v>
      </c>
      <c r="I44" s="14" t="n">
        <v>0.222</v>
      </c>
      <c r="J44" s="25" t="s">
        <v>59</v>
      </c>
      <c r="K44" s="25"/>
      <c r="L44" s="25" t="s">
        <v>59</v>
      </c>
      <c r="M44" s="25"/>
      <c r="N44" s="25" t="s">
        <v>59</v>
      </c>
      <c r="O44" s="25"/>
      <c r="P44" s="14" t="n">
        <v>0.222</v>
      </c>
      <c r="Q44" s="14" t="n">
        <f aca="false">IF(AND($J44="Yes",$G44&lt;&gt;"Vendor day rates"),$I44-0.4*$P44,0)</f>
        <v>0</v>
      </c>
      <c r="R44" s="26" t="n">
        <f aca="false">IFERROR(MATCH($K44,MonthList,0),0)</f>
        <v>0</v>
      </c>
      <c r="S44" s="14" t="n">
        <f aca="false">IF(OR($J44&lt;&gt;"Yes",$K44=""),0,$Q44*MAX(0,7-$R44)/12)</f>
        <v>0</v>
      </c>
      <c r="T44" s="14" t="n">
        <f aca="false">IF(OR($J44&lt;&gt;"Yes",$K44=""),0,$Q44*IF($R44&lt;=7,12,19-$R44)/12)</f>
        <v>0</v>
      </c>
      <c r="U44" s="14" t="n">
        <f aca="false">IF(AND($L44="Yes",$G44&lt;&gt;"Vendor day rates"),$I44-0.4*$P44,0)</f>
        <v>0</v>
      </c>
      <c r="V44" s="26" t="n">
        <f aca="false">IFERROR(MATCH($M44,MonthList,0),0)</f>
        <v>0</v>
      </c>
      <c r="W44" s="14" t="n">
        <f aca="false">IF(OR($L44&lt;&gt;"Yes",$M44=""),0,$U44*MAX(0,7-$V44)/12)</f>
        <v>0</v>
      </c>
      <c r="X44" s="14" t="n">
        <f aca="false">IF(OR($L44&lt;&gt;"Yes",$M44=""),0,$U44*IF($V44&lt;=7,12,19-$V44)/12)</f>
        <v>0</v>
      </c>
      <c r="Y44" s="14" t="n">
        <f aca="false">IF(AND($N44="Yes",$G44&lt;&gt;"Vendor day rates"),$I44-0.4*$P44,0)</f>
        <v>0</v>
      </c>
      <c r="Z44" s="26" t="n">
        <f aca="false">IFERROR(MATCH($O44,MonthList,0),0)</f>
        <v>0</v>
      </c>
      <c r="AA44" s="14" t="n">
        <f aca="false">IF(OR($N44&lt;&gt;"Yes",$O44=""),0,$Y44*MAX(0,7-$Z44)/12)</f>
        <v>0</v>
      </c>
      <c r="AB44" s="14" t="n">
        <f aca="false">IF(OR($N44&lt;&gt;"Yes",$O44=""),0,$Y44*IF($Z44&lt;=7,12,19-$Z44)/12)</f>
        <v>0</v>
      </c>
      <c r="AC44" s="26" t="str">
        <f aca="false">IF(OR($J44="Yes",$L44="Yes",$N44="Yes"),"Yes","No")</f>
        <v>No</v>
      </c>
      <c r="AD44" s="14" t="n">
        <f aca="false">MAX($Q44,$U44,$Y44)</f>
        <v>0</v>
      </c>
      <c r="AE44" s="26" t="n">
        <f aca="false">$AD44+ROW()*0.000000001</f>
        <v>4.4E-008</v>
      </c>
      <c r="AF44" s="26" t="str">
        <f aca="false">IF($J44="Yes","A","")&amp;IF($L44="Yes","B","")&amp;IF($N44="Yes","C","")</f>
        <v/>
      </c>
    </row>
    <row r="45" customFormat="false" ht="15" hidden="false" customHeight="false" outlineLevel="0" collapsed="false">
      <c r="B45" s="22" t="s">
        <v>143</v>
      </c>
      <c r="C45" s="23" t="s">
        <v>144</v>
      </c>
      <c r="D45" s="23" t="s">
        <v>70</v>
      </c>
      <c r="E45" s="23" t="s">
        <v>70</v>
      </c>
      <c r="F45" s="22" t="s">
        <v>57</v>
      </c>
      <c r="G45" s="23" t="s">
        <v>58</v>
      </c>
      <c r="H45" s="24" t="n">
        <v>1</v>
      </c>
      <c r="I45" s="14" t="n">
        <v>0.2775</v>
      </c>
      <c r="J45" s="25" t="s">
        <v>59</v>
      </c>
      <c r="K45" s="25"/>
      <c r="L45" s="25" t="s">
        <v>59</v>
      </c>
      <c r="M45" s="25"/>
      <c r="N45" s="25" t="s">
        <v>59</v>
      </c>
      <c r="O45" s="25"/>
      <c r="P45" s="14" t="n">
        <v>0.2775</v>
      </c>
      <c r="Q45" s="14" t="n">
        <f aca="false">IF(AND($J45="Yes",$G45&lt;&gt;"Vendor day rates"),$I45-0.4*$P45,0)</f>
        <v>0</v>
      </c>
      <c r="R45" s="26" t="n">
        <f aca="false">IFERROR(MATCH($K45,MonthList,0),0)</f>
        <v>0</v>
      </c>
      <c r="S45" s="14" t="n">
        <f aca="false">IF(OR($J45&lt;&gt;"Yes",$K45=""),0,$Q45*MAX(0,7-$R45)/12)</f>
        <v>0</v>
      </c>
      <c r="T45" s="14" t="n">
        <f aca="false">IF(OR($J45&lt;&gt;"Yes",$K45=""),0,$Q45*IF($R45&lt;=7,12,19-$R45)/12)</f>
        <v>0</v>
      </c>
      <c r="U45" s="14" t="n">
        <f aca="false">IF(AND($L45="Yes",$G45&lt;&gt;"Vendor day rates"),$I45-0.4*$P45,0)</f>
        <v>0</v>
      </c>
      <c r="V45" s="26" t="n">
        <f aca="false">IFERROR(MATCH($M45,MonthList,0),0)</f>
        <v>0</v>
      </c>
      <c r="W45" s="14" t="n">
        <f aca="false">IF(OR($L45&lt;&gt;"Yes",$M45=""),0,$U45*MAX(0,7-$V45)/12)</f>
        <v>0</v>
      </c>
      <c r="X45" s="14" t="n">
        <f aca="false">IF(OR($L45&lt;&gt;"Yes",$M45=""),0,$U45*IF($V45&lt;=7,12,19-$V45)/12)</f>
        <v>0</v>
      </c>
      <c r="Y45" s="14" t="n">
        <f aca="false">IF(AND($N45="Yes",$G45&lt;&gt;"Vendor day rates"),$I45-0.4*$P45,0)</f>
        <v>0</v>
      </c>
      <c r="Z45" s="26" t="n">
        <f aca="false">IFERROR(MATCH($O45,MonthList,0),0)</f>
        <v>0</v>
      </c>
      <c r="AA45" s="14" t="n">
        <f aca="false">IF(OR($N45&lt;&gt;"Yes",$O45=""),0,$Y45*MAX(0,7-$Z45)/12)</f>
        <v>0</v>
      </c>
      <c r="AB45" s="14" t="n">
        <f aca="false">IF(OR($N45&lt;&gt;"Yes",$O45=""),0,$Y45*IF($Z45&lt;=7,12,19-$Z45)/12)</f>
        <v>0</v>
      </c>
      <c r="AC45" s="26" t="str">
        <f aca="false">IF(OR($J45="Yes",$L45="Yes",$N45="Yes"),"Yes","No")</f>
        <v>No</v>
      </c>
      <c r="AD45" s="14" t="n">
        <f aca="false">MAX($Q45,$U45,$Y45)</f>
        <v>0</v>
      </c>
      <c r="AE45" s="26" t="n">
        <f aca="false">$AD45+ROW()*0.000000001</f>
        <v>4.5E-008</v>
      </c>
      <c r="AF45" s="26" t="str">
        <f aca="false">IF($J45="Yes","A","")&amp;IF($L45="Yes","B","")&amp;IF($N45="Yes","C","")</f>
        <v/>
      </c>
    </row>
    <row r="46" customFormat="false" ht="15" hidden="false" customHeight="false" outlineLevel="0" collapsed="false">
      <c r="B46" s="22" t="s">
        <v>145</v>
      </c>
      <c r="C46" s="23" t="s">
        <v>146</v>
      </c>
      <c r="D46" s="23" t="s">
        <v>147</v>
      </c>
      <c r="E46" s="23" t="s">
        <v>148</v>
      </c>
      <c r="F46" s="22" t="s">
        <v>57</v>
      </c>
      <c r="G46" s="23" t="s">
        <v>149</v>
      </c>
      <c r="H46" s="24" t="n">
        <v>1</v>
      </c>
      <c r="I46" s="14" t="n">
        <v>0.4395</v>
      </c>
      <c r="J46" s="25" t="s">
        <v>59</v>
      </c>
      <c r="K46" s="25"/>
      <c r="L46" s="25" t="s">
        <v>59</v>
      </c>
      <c r="M46" s="25"/>
      <c r="N46" s="25" t="s">
        <v>59</v>
      </c>
      <c r="O46" s="25"/>
      <c r="P46" s="14" t="n">
        <v>0.4395</v>
      </c>
      <c r="Q46" s="14" t="n">
        <f aca="false">IF(AND($J46="Yes",$G46&lt;&gt;"Vendor day rates"),$I46-0.4*$P46,0)</f>
        <v>0</v>
      </c>
      <c r="R46" s="26" t="n">
        <f aca="false">IFERROR(MATCH($K46,MonthList,0),0)</f>
        <v>0</v>
      </c>
      <c r="S46" s="14" t="n">
        <f aca="false">IF(OR($J46&lt;&gt;"Yes",$K46=""),0,$Q46*MAX(0,7-$R46)/12)</f>
        <v>0</v>
      </c>
      <c r="T46" s="14" t="n">
        <f aca="false">IF(OR($J46&lt;&gt;"Yes",$K46=""),0,$Q46*IF($R46&lt;=7,12,19-$R46)/12)</f>
        <v>0</v>
      </c>
      <c r="U46" s="14" t="n">
        <f aca="false">IF(AND($L46="Yes",$G46&lt;&gt;"Vendor day rates"),$I46-0.4*$P46,0)</f>
        <v>0</v>
      </c>
      <c r="V46" s="26" t="n">
        <f aca="false">IFERROR(MATCH($M46,MonthList,0),0)</f>
        <v>0</v>
      </c>
      <c r="W46" s="14" t="n">
        <f aca="false">IF(OR($L46&lt;&gt;"Yes",$M46=""),0,$U46*MAX(0,7-$V46)/12)</f>
        <v>0</v>
      </c>
      <c r="X46" s="14" t="n">
        <f aca="false">IF(OR($L46&lt;&gt;"Yes",$M46=""),0,$U46*IF($V46&lt;=7,12,19-$V46)/12)</f>
        <v>0</v>
      </c>
      <c r="Y46" s="14" t="n">
        <f aca="false">IF(AND($N46="Yes",$G46&lt;&gt;"Vendor day rates"),$I46-0.4*$P46,0)</f>
        <v>0</v>
      </c>
      <c r="Z46" s="26" t="n">
        <f aca="false">IFERROR(MATCH($O46,MonthList,0),0)</f>
        <v>0</v>
      </c>
      <c r="AA46" s="14" t="n">
        <f aca="false">IF(OR($N46&lt;&gt;"Yes",$O46=""),0,$Y46*MAX(0,7-$Z46)/12)</f>
        <v>0</v>
      </c>
      <c r="AB46" s="14" t="n">
        <f aca="false">IF(OR($N46&lt;&gt;"Yes",$O46=""),0,$Y46*IF($Z46&lt;=7,12,19-$Z46)/12)</f>
        <v>0</v>
      </c>
      <c r="AC46" s="26" t="str">
        <f aca="false">IF(OR($J46="Yes",$L46="Yes",$N46="Yes"),"Yes","No")</f>
        <v>No</v>
      </c>
      <c r="AD46" s="14" t="n">
        <f aca="false">MAX($Q46,$U46,$Y46)</f>
        <v>0</v>
      </c>
      <c r="AE46" s="26" t="n">
        <f aca="false">$AD46+ROW()*0.000000001</f>
        <v>4.6E-008</v>
      </c>
      <c r="AF46" s="26" t="str">
        <f aca="false">IF($J46="Yes","A","")&amp;IF($L46="Yes","B","")&amp;IF($N46="Yes","C","")</f>
        <v/>
      </c>
    </row>
    <row r="47" customFormat="false" ht="15" hidden="false" customHeight="false" outlineLevel="0" collapsed="false">
      <c r="B47" s="22" t="s">
        <v>150</v>
      </c>
      <c r="C47" s="23" t="s">
        <v>151</v>
      </c>
      <c r="D47" s="23" t="s">
        <v>152</v>
      </c>
      <c r="E47" s="23" t="s">
        <v>153</v>
      </c>
      <c r="F47" s="22" t="s">
        <v>112</v>
      </c>
      <c r="G47" s="23" t="s">
        <v>58</v>
      </c>
      <c r="H47" s="24" t="n">
        <v>1</v>
      </c>
      <c r="I47" s="14" t="n">
        <v>0.3011</v>
      </c>
      <c r="J47" s="25" t="s">
        <v>59</v>
      </c>
      <c r="K47" s="25"/>
      <c r="L47" s="25" t="s">
        <v>59</v>
      </c>
      <c r="M47" s="25"/>
      <c r="N47" s="25" t="s">
        <v>59</v>
      </c>
      <c r="O47" s="25"/>
      <c r="P47" s="14" t="n">
        <v>0.3011</v>
      </c>
      <c r="Q47" s="14" t="n">
        <f aca="false">IF(AND($J47="Yes",$G47&lt;&gt;"Vendor day rates"),$I47-0.4*$P47,0)</f>
        <v>0</v>
      </c>
      <c r="R47" s="26" t="n">
        <f aca="false">IFERROR(MATCH($K47,MonthList,0),0)</f>
        <v>0</v>
      </c>
      <c r="S47" s="14" t="n">
        <f aca="false">IF(OR($J47&lt;&gt;"Yes",$K47=""),0,$Q47*MAX(0,7-$R47)/12)</f>
        <v>0</v>
      </c>
      <c r="T47" s="14" t="n">
        <f aca="false">IF(OR($J47&lt;&gt;"Yes",$K47=""),0,$Q47*IF($R47&lt;=7,12,19-$R47)/12)</f>
        <v>0</v>
      </c>
      <c r="U47" s="14" t="n">
        <f aca="false">IF(AND($L47="Yes",$G47&lt;&gt;"Vendor day rates"),$I47-0.4*$P47,0)</f>
        <v>0</v>
      </c>
      <c r="V47" s="26" t="n">
        <f aca="false">IFERROR(MATCH($M47,MonthList,0),0)</f>
        <v>0</v>
      </c>
      <c r="W47" s="14" t="n">
        <f aca="false">IF(OR($L47&lt;&gt;"Yes",$M47=""),0,$U47*MAX(0,7-$V47)/12)</f>
        <v>0</v>
      </c>
      <c r="X47" s="14" t="n">
        <f aca="false">IF(OR($L47&lt;&gt;"Yes",$M47=""),0,$U47*IF($V47&lt;=7,12,19-$V47)/12)</f>
        <v>0</v>
      </c>
      <c r="Y47" s="14" t="n">
        <f aca="false">IF(AND($N47="Yes",$G47&lt;&gt;"Vendor day rates"),$I47-0.4*$P47,0)</f>
        <v>0</v>
      </c>
      <c r="Z47" s="26" t="n">
        <f aca="false">IFERROR(MATCH($O47,MonthList,0),0)</f>
        <v>0</v>
      </c>
      <c r="AA47" s="14" t="n">
        <f aca="false">IF(OR($N47&lt;&gt;"Yes",$O47=""),0,$Y47*MAX(0,7-$Z47)/12)</f>
        <v>0</v>
      </c>
      <c r="AB47" s="14" t="n">
        <f aca="false">IF(OR($N47&lt;&gt;"Yes",$O47=""),0,$Y47*IF($Z47&lt;=7,12,19-$Z47)/12)</f>
        <v>0</v>
      </c>
      <c r="AC47" s="26" t="str">
        <f aca="false">IF(OR($J47="Yes",$L47="Yes",$N47="Yes"),"Yes","No")</f>
        <v>No</v>
      </c>
      <c r="AD47" s="14" t="n">
        <f aca="false">MAX($Q47,$U47,$Y47)</f>
        <v>0</v>
      </c>
      <c r="AE47" s="26" t="n">
        <f aca="false">$AD47+ROW()*0.000000001</f>
        <v>4.7E-008</v>
      </c>
      <c r="AF47" s="26" t="str">
        <f aca="false">IF($J47="Yes","A","")&amp;IF($L47="Yes","B","")&amp;IF($N47="Yes","C","")</f>
        <v/>
      </c>
    </row>
    <row r="48" customFormat="false" ht="15" hidden="false" customHeight="false" outlineLevel="0" collapsed="false">
      <c r="B48" s="22" t="s">
        <v>154</v>
      </c>
      <c r="C48" s="23" t="s">
        <v>155</v>
      </c>
      <c r="D48" s="23" t="s">
        <v>62</v>
      </c>
      <c r="E48" s="23" t="s">
        <v>153</v>
      </c>
      <c r="F48" s="22" t="s">
        <v>112</v>
      </c>
      <c r="G48" s="23" t="s">
        <v>58</v>
      </c>
      <c r="H48" s="24" t="n">
        <v>1</v>
      </c>
      <c r="I48" s="14" t="n">
        <v>0.2743</v>
      </c>
      <c r="J48" s="25" t="s">
        <v>59</v>
      </c>
      <c r="K48" s="25"/>
      <c r="L48" s="25" t="s">
        <v>59</v>
      </c>
      <c r="M48" s="25"/>
      <c r="N48" s="25" t="s">
        <v>59</v>
      </c>
      <c r="O48" s="25"/>
      <c r="P48" s="14" t="n">
        <v>0.2743</v>
      </c>
      <c r="Q48" s="14" t="n">
        <f aca="false">IF(AND($J48="Yes",$G48&lt;&gt;"Vendor day rates"),$I48-0.4*$P48,0)</f>
        <v>0</v>
      </c>
      <c r="R48" s="26" t="n">
        <f aca="false">IFERROR(MATCH($K48,MonthList,0),0)</f>
        <v>0</v>
      </c>
      <c r="S48" s="14" t="n">
        <f aca="false">IF(OR($J48&lt;&gt;"Yes",$K48=""),0,$Q48*MAX(0,7-$R48)/12)</f>
        <v>0</v>
      </c>
      <c r="T48" s="14" t="n">
        <f aca="false">IF(OR($J48&lt;&gt;"Yes",$K48=""),0,$Q48*IF($R48&lt;=7,12,19-$R48)/12)</f>
        <v>0</v>
      </c>
      <c r="U48" s="14" t="n">
        <f aca="false">IF(AND($L48="Yes",$G48&lt;&gt;"Vendor day rates"),$I48-0.4*$P48,0)</f>
        <v>0</v>
      </c>
      <c r="V48" s="26" t="n">
        <f aca="false">IFERROR(MATCH($M48,MonthList,0),0)</f>
        <v>0</v>
      </c>
      <c r="W48" s="14" t="n">
        <f aca="false">IF(OR($L48&lt;&gt;"Yes",$M48=""),0,$U48*MAX(0,7-$V48)/12)</f>
        <v>0</v>
      </c>
      <c r="X48" s="14" t="n">
        <f aca="false">IF(OR($L48&lt;&gt;"Yes",$M48=""),0,$U48*IF($V48&lt;=7,12,19-$V48)/12)</f>
        <v>0</v>
      </c>
      <c r="Y48" s="14" t="n">
        <f aca="false">IF(AND($N48="Yes",$G48&lt;&gt;"Vendor day rates"),$I48-0.4*$P48,0)</f>
        <v>0</v>
      </c>
      <c r="Z48" s="26" t="n">
        <f aca="false">IFERROR(MATCH($O48,MonthList,0),0)</f>
        <v>0</v>
      </c>
      <c r="AA48" s="14" t="n">
        <f aca="false">IF(OR($N48&lt;&gt;"Yes",$O48=""),0,$Y48*MAX(0,7-$Z48)/12)</f>
        <v>0</v>
      </c>
      <c r="AB48" s="14" t="n">
        <f aca="false">IF(OR($N48&lt;&gt;"Yes",$O48=""),0,$Y48*IF($Z48&lt;=7,12,19-$Z48)/12)</f>
        <v>0</v>
      </c>
      <c r="AC48" s="26" t="str">
        <f aca="false">IF(OR($J48="Yes",$L48="Yes",$N48="Yes"),"Yes","No")</f>
        <v>No</v>
      </c>
      <c r="AD48" s="14" t="n">
        <f aca="false">MAX($Q48,$U48,$Y48)</f>
        <v>0</v>
      </c>
      <c r="AE48" s="26" t="n">
        <f aca="false">$AD48+ROW()*0.000000001</f>
        <v>4.8E-008</v>
      </c>
      <c r="AF48" s="26" t="str">
        <f aca="false">IF($J48="Yes","A","")&amp;IF($L48="Yes","B","")&amp;IF($N48="Yes","C","")</f>
        <v/>
      </c>
    </row>
    <row r="49" customFormat="false" ht="15" hidden="false" customHeight="false" outlineLevel="0" collapsed="false">
      <c r="B49" s="22" t="s">
        <v>156</v>
      </c>
      <c r="C49" s="23" t="s">
        <v>157</v>
      </c>
      <c r="D49" s="23" t="s">
        <v>158</v>
      </c>
      <c r="E49" s="23" t="s">
        <v>153</v>
      </c>
      <c r="F49" s="22" t="s">
        <v>57</v>
      </c>
      <c r="G49" s="23" t="s">
        <v>149</v>
      </c>
      <c r="H49" s="24" t="n">
        <v>1</v>
      </c>
      <c r="I49" s="14" t="n">
        <v>0.333</v>
      </c>
      <c r="J49" s="25" t="s">
        <v>59</v>
      </c>
      <c r="K49" s="25"/>
      <c r="L49" s="25" t="s">
        <v>59</v>
      </c>
      <c r="M49" s="25"/>
      <c r="N49" s="25" t="s">
        <v>59</v>
      </c>
      <c r="O49" s="25"/>
      <c r="P49" s="14" t="n">
        <v>0.333</v>
      </c>
      <c r="Q49" s="14" t="n">
        <f aca="false">IF(AND($J49="Yes",$G49&lt;&gt;"Vendor day rates"),$I49-0.4*$P49,0)</f>
        <v>0</v>
      </c>
      <c r="R49" s="26" t="n">
        <f aca="false">IFERROR(MATCH($K49,MonthList,0),0)</f>
        <v>0</v>
      </c>
      <c r="S49" s="14" t="n">
        <f aca="false">IF(OR($J49&lt;&gt;"Yes",$K49=""),0,$Q49*MAX(0,7-$R49)/12)</f>
        <v>0</v>
      </c>
      <c r="T49" s="14" t="n">
        <f aca="false">IF(OR($J49&lt;&gt;"Yes",$K49=""),0,$Q49*IF($R49&lt;=7,12,19-$R49)/12)</f>
        <v>0</v>
      </c>
      <c r="U49" s="14" t="n">
        <f aca="false">IF(AND($L49="Yes",$G49&lt;&gt;"Vendor day rates"),$I49-0.4*$P49,0)</f>
        <v>0</v>
      </c>
      <c r="V49" s="26" t="n">
        <f aca="false">IFERROR(MATCH($M49,MonthList,0),0)</f>
        <v>0</v>
      </c>
      <c r="W49" s="14" t="n">
        <f aca="false">IF(OR($L49&lt;&gt;"Yes",$M49=""),0,$U49*MAX(0,7-$V49)/12)</f>
        <v>0</v>
      </c>
      <c r="X49" s="14" t="n">
        <f aca="false">IF(OR($L49&lt;&gt;"Yes",$M49=""),0,$U49*IF($V49&lt;=7,12,19-$V49)/12)</f>
        <v>0</v>
      </c>
      <c r="Y49" s="14" t="n">
        <f aca="false">IF(AND($N49="Yes",$G49&lt;&gt;"Vendor day rates"),$I49-0.4*$P49,0)</f>
        <v>0</v>
      </c>
      <c r="Z49" s="26" t="n">
        <f aca="false">IFERROR(MATCH($O49,MonthList,0),0)</f>
        <v>0</v>
      </c>
      <c r="AA49" s="14" t="n">
        <f aca="false">IF(OR($N49&lt;&gt;"Yes",$O49=""),0,$Y49*MAX(0,7-$Z49)/12)</f>
        <v>0</v>
      </c>
      <c r="AB49" s="14" t="n">
        <f aca="false">IF(OR($N49&lt;&gt;"Yes",$O49=""),0,$Y49*IF($Z49&lt;=7,12,19-$Z49)/12)</f>
        <v>0</v>
      </c>
      <c r="AC49" s="26" t="str">
        <f aca="false">IF(OR($J49="Yes",$L49="Yes",$N49="Yes"),"Yes","No")</f>
        <v>No</v>
      </c>
      <c r="AD49" s="14" t="n">
        <f aca="false">MAX($Q49,$U49,$Y49)</f>
        <v>0</v>
      </c>
      <c r="AE49" s="26" t="n">
        <f aca="false">$AD49+ROW()*0.000000001</f>
        <v>4.9E-008</v>
      </c>
      <c r="AF49" s="26" t="str">
        <f aca="false">IF($J49="Yes","A","")&amp;IF($L49="Yes","B","")&amp;IF($N49="Yes","C","")</f>
        <v/>
      </c>
    </row>
    <row r="50" customFormat="false" ht="15" hidden="false" customHeight="false" outlineLevel="0" collapsed="false">
      <c r="B50" s="22" t="s">
        <v>159</v>
      </c>
      <c r="C50" s="23" t="s">
        <v>160</v>
      </c>
      <c r="D50" s="23" t="s">
        <v>161</v>
      </c>
      <c r="E50" s="23" t="s">
        <v>153</v>
      </c>
      <c r="F50" s="22" t="s">
        <v>57</v>
      </c>
      <c r="G50" s="23" t="s">
        <v>58</v>
      </c>
      <c r="H50" s="24" t="n">
        <v>1</v>
      </c>
      <c r="I50" s="14" t="n">
        <v>0.3642</v>
      </c>
      <c r="J50" s="25" t="s">
        <v>59</v>
      </c>
      <c r="K50" s="25"/>
      <c r="L50" s="25" t="s">
        <v>59</v>
      </c>
      <c r="M50" s="25"/>
      <c r="N50" s="25" t="s">
        <v>59</v>
      </c>
      <c r="O50" s="25"/>
      <c r="P50" s="14" t="n">
        <v>0.3642</v>
      </c>
      <c r="Q50" s="14" t="n">
        <f aca="false">IF(AND($J50="Yes",$G50&lt;&gt;"Vendor day rates"),$I50-0.4*$P50,0)</f>
        <v>0</v>
      </c>
      <c r="R50" s="26" t="n">
        <f aca="false">IFERROR(MATCH($K50,MonthList,0),0)</f>
        <v>0</v>
      </c>
      <c r="S50" s="14" t="n">
        <f aca="false">IF(OR($J50&lt;&gt;"Yes",$K50=""),0,$Q50*MAX(0,7-$R50)/12)</f>
        <v>0</v>
      </c>
      <c r="T50" s="14" t="n">
        <f aca="false">IF(OR($J50&lt;&gt;"Yes",$K50=""),0,$Q50*IF($R50&lt;=7,12,19-$R50)/12)</f>
        <v>0</v>
      </c>
      <c r="U50" s="14" t="n">
        <f aca="false">IF(AND($L50="Yes",$G50&lt;&gt;"Vendor day rates"),$I50-0.4*$P50,0)</f>
        <v>0</v>
      </c>
      <c r="V50" s="26" t="n">
        <f aca="false">IFERROR(MATCH($M50,MonthList,0),0)</f>
        <v>0</v>
      </c>
      <c r="W50" s="14" t="n">
        <f aca="false">IF(OR($L50&lt;&gt;"Yes",$M50=""),0,$U50*MAX(0,7-$V50)/12)</f>
        <v>0</v>
      </c>
      <c r="X50" s="14" t="n">
        <f aca="false">IF(OR($L50&lt;&gt;"Yes",$M50=""),0,$U50*IF($V50&lt;=7,12,19-$V50)/12)</f>
        <v>0</v>
      </c>
      <c r="Y50" s="14" t="n">
        <f aca="false">IF(AND($N50="Yes",$G50&lt;&gt;"Vendor day rates"),$I50-0.4*$P50,0)</f>
        <v>0</v>
      </c>
      <c r="Z50" s="26" t="n">
        <f aca="false">IFERROR(MATCH($O50,MonthList,0),0)</f>
        <v>0</v>
      </c>
      <c r="AA50" s="14" t="n">
        <f aca="false">IF(OR($N50&lt;&gt;"Yes",$O50=""),0,$Y50*MAX(0,7-$Z50)/12)</f>
        <v>0</v>
      </c>
      <c r="AB50" s="14" t="n">
        <f aca="false">IF(OR($N50&lt;&gt;"Yes",$O50=""),0,$Y50*IF($Z50&lt;=7,12,19-$Z50)/12)</f>
        <v>0</v>
      </c>
      <c r="AC50" s="26" t="str">
        <f aca="false">IF(OR($J50="Yes",$L50="Yes",$N50="Yes"),"Yes","No")</f>
        <v>No</v>
      </c>
      <c r="AD50" s="14" t="n">
        <f aca="false">MAX($Q50,$U50,$Y50)</f>
        <v>0</v>
      </c>
      <c r="AE50" s="26" t="n">
        <f aca="false">$AD50+ROW()*0.000000001</f>
        <v>5E-008</v>
      </c>
      <c r="AF50" s="26" t="str">
        <f aca="false">IF($J50="Yes","A","")&amp;IF($L50="Yes","B","")&amp;IF($N50="Yes","C","")</f>
        <v/>
      </c>
    </row>
    <row r="51" customFormat="false" ht="15" hidden="false" customHeight="false" outlineLevel="0" collapsed="false">
      <c r="B51" s="22" t="s">
        <v>162</v>
      </c>
      <c r="C51" s="23" t="s">
        <v>163</v>
      </c>
      <c r="D51" s="23" t="s">
        <v>147</v>
      </c>
      <c r="E51" s="23" t="s">
        <v>164</v>
      </c>
      <c r="F51" s="22" t="s">
        <v>57</v>
      </c>
      <c r="G51" s="23" t="s">
        <v>58</v>
      </c>
      <c r="H51" s="24" t="n">
        <v>1</v>
      </c>
      <c r="I51" s="14" t="n">
        <v>0.3826</v>
      </c>
      <c r="J51" s="25" t="s">
        <v>59</v>
      </c>
      <c r="K51" s="25"/>
      <c r="L51" s="25" t="s">
        <v>59</v>
      </c>
      <c r="M51" s="25"/>
      <c r="N51" s="25" t="s">
        <v>59</v>
      </c>
      <c r="O51" s="25"/>
      <c r="P51" s="14" t="n">
        <v>0.3826</v>
      </c>
      <c r="Q51" s="14" t="n">
        <f aca="false">IF(AND($J51="Yes",$G51&lt;&gt;"Vendor day rates"),$I51-0.4*$P51,0)</f>
        <v>0</v>
      </c>
      <c r="R51" s="26" t="n">
        <f aca="false">IFERROR(MATCH($K51,MonthList,0),0)</f>
        <v>0</v>
      </c>
      <c r="S51" s="14" t="n">
        <f aca="false">IF(OR($J51&lt;&gt;"Yes",$K51=""),0,$Q51*MAX(0,7-$R51)/12)</f>
        <v>0</v>
      </c>
      <c r="T51" s="14" t="n">
        <f aca="false">IF(OR($J51&lt;&gt;"Yes",$K51=""),0,$Q51*IF($R51&lt;=7,12,19-$R51)/12)</f>
        <v>0</v>
      </c>
      <c r="U51" s="14" t="n">
        <f aca="false">IF(AND($L51="Yes",$G51&lt;&gt;"Vendor day rates"),$I51-0.4*$P51,0)</f>
        <v>0</v>
      </c>
      <c r="V51" s="26" t="n">
        <f aca="false">IFERROR(MATCH($M51,MonthList,0),0)</f>
        <v>0</v>
      </c>
      <c r="W51" s="14" t="n">
        <f aca="false">IF(OR($L51&lt;&gt;"Yes",$M51=""),0,$U51*MAX(0,7-$V51)/12)</f>
        <v>0</v>
      </c>
      <c r="X51" s="14" t="n">
        <f aca="false">IF(OR($L51&lt;&gt;"Yes",$M51=""),0,$U51*IF($V51&lt;=7,12,19-$V51)/12)</f>
        <v>0</v>
      </c>
      <c r="Y51" s="14" t="n">
        <f aca="false">IF(AND($N51="Yes",$G51&lt;&gt;"Vendor day rates"),$I51-0.4*$P51,0)</f>
        <v>0</v>
      </c>
      <c r="Z51" s="26" t="n">
        <f aca="false">IFERROR(MATCH($O51,MonthList,0),0)</f>
        <v>0</v>
      </c>
      <c r="AA51" s="14" t="n">
        <f aca="false">IF(OR($N51&lt;&gt;"Yes",$O51=""),0,$Y51*MAX(0,7-$Z51)/12)</f>
        <v>0</v>
      </c>
      <c r="AB51" s="14" t="n">
        <f aca="false">IF(OR($N51&lt;&gt;"Yes",$O51=""),0,$Y51*IF($Z51&lt;=7,12,19-$Z51)/12)</f>
        <v>0</v>
      </c>
      <c r="AC51" s="26" t="str">
        <f aca="false">IF(OR($J51="Yes",$L51="Yes",$N51="Yes"),"Yes","No")</f>
        <v>No</v>
      </c>
      <c r="AD51" s="14" t="n">
        <f aca="false">MAX($Q51,$U51,$Y51)</f>
        <v>0</v>
      </c>
      <c r="AE51" s="26" t="n">
        <f aca="false">$AD51+ROW()*0.000000001</f>
        <v>5.1E-008</v>
      </c>
      <c r="AF51" s="26" t="str">
        <f aca="false">IF($J51="Yes","A","")&amp;IF($L51="Yes","B","")&amp;IF($N51="Yes","C","")</f>
        <v/>
      </c>
    </row>
    <row r="52" customFormat="false" ht="15" hidden="false" customHeight="false" outlineLevel="0" collapsed="false">
      <c r="B52" s="22" t="s">
        <v>165</v>
      </c>
      <c r="C52" s="23" t="s">
        <v>166</v>
      </c>
      <c r="D52" s="23" t="s">
        <v>147</v>
      </c>
      <c r="E52" s="23" t="s">
        <v>167</v>
      </c>
      <c r="F52" s="22" t="s">
        <v>57</v>
      </c>
      <c r="G52" s="23" t="s">
        <v>58</v>
      </c>
      <c r="H52" s="24" t="n">
        <v>1</v>
      </c>
      <c r="I52" s="14" t="n">
        <v>0.4007</v>
      </c>
      <c r="J52" s="25" t="s">
        <v>59</v>
      </c>
      <c r="K52" s="25"/>
      <c r="L52" s="25" t="s">
        <v>59</v>
      </c>
      <c r="M52" s="25"/>
      <c r="N52" s="25" t="s">
        <v>59</v>
      </c>
      <c r="O52" s="25"/>
      <c r="P52" s="14" t="n">
        <v>0.4007</v>
      </c>
      <c r="Q52" s="14" t="n">
        <f aca="false">IF(AND($J52="Yes",$G52&lt;&gt;"Vendor day rates"),$I52-0.4*$P52,0)</f>
        <v>0</v>
      </c>
      <c r="R52" s="26" t="n">
        <f aca="false">IFERROR(MATCH($K52,MonthList,0),0)</f>
        <v>0</v>
      </c>
      <c r="S52" s="14" t="n">
        <f aca="false">IF(OR($J52&lt;&gt;"Yes",$K52=""),0,$Q52*MAX(0,7-$R52)/12)</f>
        <v>0</v>
      </c>
      <c r="T52" s="14" t="n">
        <f aca="false">IF(OR($J52&lt;&gt;"Yes",$K52=""),0,$Q52*IF($R52&lt;=7,12,19-$R52)/12)</f>
        <v>0</v>
      </c>
      <c r="U52" s="14" t="n">
        <f aca="false">IF(AND($L52="Yes",$G52&lt;&gt;"Vendor day rates"),$I52-0.4*$P52,0)</f>
        <v>0</v>
      </c>
      <c r="V52" s="26" t="n">
        <f aca="false">IFERROR(MATCH($M52,MonthList,0),0)</f>
        <v>0</v>
      </c>
      <c r="W52" s="14" t="n">
        <f aca="false">IF(OR($L52&lt;&gt;"Yes",$M52=""),0,$U52*MAX(0,7-$V52)/12)</f>
        <v>0</v>
      </c>
      <c r="X52" s="14" t="n">
        <f aca="false">IF(OR($L52&lt;&gt;"Yes",$M52=""),0,$U52*IF($V52&lt;=7,12,19-$V52)/12)</f>
        <v>0</v>
      </c>
      <c r="Y52" s="14" t="n">
        <f aca="false">IF(AND($N52="Yes",$G52&lt;&gt;"Vendor day rates"),$I52-0.4*$P52,0)</f>
        <v>0</v>
      </c>
      <c r="Z52" s="26" t="n">
        <f aca="false">IFERROR(MATCH($O52,MonthList,0),0)</f>
        <v>0</v>
      </c>
      <c r="AA52" s="14" t="n">
        <f aca="false">IF(OR($N52&lt;&gt;"Yes",$O52=""),0,$Y52*MAX(0,7-$Z52)/12)</f>
        <v>0</v>
      </c>
      <c r="AB52" s="14" t="n">
        <f aca="false">IF(OR($N52&lt;&gt;"Yes",$O52=""),0,$Y52*IF($Z52&lt;=7,12,19-$Z52)/12)</f>
        <v>0</v>
      </c>
      <c r="AC52" s="26" t="str">
        <f aca="false">IF(OR($J52="Yes",$L52="Yes",$N52="Yes"),"Yes","No")</f>
        <v>No</v>
      </c>
      <c r="AD52" s="14" t="n">
        <f aca="false">MAX($Q52,$U52,$Y52)</f>
        <v>0</v>
      </c>
      <c r="AE52" s="26" t="n">
        <f aca="false">$AD52+ROW()*0.000000001</f>
        <v>5.2E-008</v>
      </c>
      <c r="AF52" s="26" t="str">
        <f aca="false">IF($J52="Yes","A","")&amp;IF($L52="Yes","B","")&amp;IF($N52="Yes","C","")</f>
        <v/>
      </c>
    </row>
    <row r="53" customFormat="false" ht="15" hidden="false" customHeight="false" outlineLevel="0" collapsed="false">
      <c r="B53" s="22" t="s">
        <v>168</v>
      </c>
      <c r="C53" s="23" t="s">
        <v>169</v>
      </c>
      <c r="D53" s="23" t="s">
        <v>70</v>
      </c>
      <c r="E53" s="23" t="s">
        <v>70</v>
      </c>
      <c r="F53" s="22" t="s">
        <v>57</v>
      </c>
      <c r="G53" s="23" t="s">
        <v>58</v>
      </c>
      <c r="H53" s="24" t="n">
        <v>1</v>
      </c>
      <c r="I53" s="14" t="n">
        <v>0.3255</v>
      </c>
      <c r="J53" s="25" t="s">
        <v>59</v>
      </c>
      <c r="K53" s="25"/>
      <c r="L53" s="25" t="s">
        <v>59</v>
      </c>
      <c r="M53" s="25"/>
      <c r="N53" s="25" t="s">
        <v>59</v>
      </c>
      <c r="O53" s="25"/>
      <c r="P53" s="14" t="n">
        <v>0.3255</v>
      </c>
      <c r="Q53" s="14" t="n">
        <f aca="false">IF(AND($J53="Yes",$G53&lt;&gt;"Vendor day rates"),$I53-0.4*$P53,0)</f>
        <v>0</v>
      </c>
      <c r="R53" s="26" t="n">
        <f aca="false">IFERROR(MATCH($K53,MonthList,0),0)</f>
        <v>0</v>
      </c>
      <c r="S53" s="14" t="n">
        <f aca="false">IF(OR($J53&lt;&gt;"Yes",$K53=""),0,$Q53*MAX(0,7-$R53)/12)</f>
        <v>0</v>
      </c>
      <c r="T53" s="14" t="n">
        <f aca="false">IF(OR($J53&lt;&gt;"Yes",$K53=""),0,$Q53*IF($R53&lt;=7,12,19-$R53)/12)</f>
        <v>0</v>
      </c>
      <c r="U53" s="14" t="n">
        <f aca="false">IF(AND($L53="Yes",$G53&lt;&gt;"Vendor day rates"),$I53-0.4*$P53,0)</f>
        <v>0</v>
      </c>
      <c r="V53" s="26" t="n">
        <f aca="false">IFERROR(MATCH($M53,MonthList,0),0)</f>
        <v>0</v>
      </c>
      <c r="W53" s="14" t="n">
        <f aca="false">IF(OR($L53&lt;&gt;"Yes",$M53=""),0,$U53*MAX(0,7-$V53)/12)</f>
        <v>0</v>
      </c>
      <c r="X53" s="14" t="n">
        <f aca="false">IF(OR($L53&lt;&gt;"Yes",$M53=""),0,$U53*IF($V53&lt;=7,12,19-$V53)/12)</f>
        <v>0</v>
      </c>
      <c r="Y53" s="14" t="n">
        <f aca="false">IF(AND($N53="Yes",$G53&lt;&gt;"Vendor day rates"),$I53-0.4*$P53,0)</f>
        <v>0</v>
      </c>
      <c r="Z53" s="26" t="n">
        <f aca="false">IFERROR(MATCH($O53,MonthList,0),0)</f>
        <v>0</v>
      </c>
      <c r="AA53" s="14" t="n">
        <f aca="false">IF(OR($N53&lt;&gt;"Yes",$O53=""),0,$Y53*MAX(0,7-$Z53)/12)</f>
        <v>0</v>
      </c>
      <c r="AB53" s="14" t="n">
        <f aca="false">IF(OR($N53&lt;&gt;"Yes",$O53=""),0,$Y53*IF($Z53&lt;=7,12,19-$Z53)/12)</f>
        <v>0</v>
      </c>
      <c r="AC53" s="26" t="str">
        <f aca="false">IF(OR($J53="Yes",$L53="Yes",$N53="Yes"),"Yes","No")</f>
        <v>No</v>
      </c>
      <c r="AD53" s="14" t="n">
        <f aca="false">MAX($Q53,$U53,$Y53)</f>
        <v>0</v>
      </c>
      <c r="AE53" s="26" t="n">
        <f aca="false">$AD53+ROW()*0.000000001</f>
        <v>5.3E-008</v>
      </c>
      <c r="AF53" s="26" t="str">
        <f aca="false">IF($J53="Yes","A","")&amp;IF($L53="Yes","B","")&amp;IF($N53="Yes","C","")</f>
        <v/>
      </c>
    </row>
    <row r="54" customFormat="false" ht="15" hidden="false" customHeight="false" outlineLevel="0" collapsed="false">
      <c r="B54" s="22" t="s">
        <v>170</v>
      </c>
      <c r="C54" s="23" t="s">
        <v>171</v>
      </c>
      <c r="D54" s="23" t="s">
        <v>172</v>
      </c>
      <c r="E54" s="23" t="s">
        <v>173</v>
      </c>
      <c r="F54" s="22" t="s">
        <v>112</v>
      </c>
      <c r="G54" s="23" t="s">
        <v>58</v>
      </c>
      <c r="H54" s="24" t="n">
        <v>1</v>
      </c>
      <c r="I54" s="14" t="n">
        <v>0.3209</v>
      </c>
      <c r="J54" s="25" t="s">
        <v>59</v>
      </c>
      <c r="K54" s="25"/>
      <c r="L54" s="25" t="s">
        <v>59</v>
      </c>
      <c r="M54" s="25"/>
      <c r="N54" s="25" t="s">
        <v>59</v>
      </c>
      <c r="O54" s="25"/>
      <c r="P54" s="14" t="n">
        <v>0.3209</v>
      </c>
      <c r="Q54" s="14" t="n">
        <f aca="false">IF(AND($J54="Yes",$G54&lt;&gt;"Vendor day rates"),$I54-0.4*$P54,0)</f>
        <v>0</v>
      </c>
      <c r="R54" s="26" t="n">
        <f aca="false">IFERROR(MATCH($K54,MonthList,0),0)</f>
        <v>0</v>
      </c>
      <c r="S54" s="14" t="n">
        <f aca="false">IF(OR($J54&lt;&gt;"Yes",$K54=""),0,$Q54*MAX(0,7-$R54)/12)</f>
        <v>0</v>
      </c>
      <c r="T54" s="14" t="n">
        <f aca="false">IF(OR($J54&lt;&gt;"Yes",$K54=""),0,$Q54*IF($R54&lt;=7,12,19-$R54)/12)</f>
        <v>0</v>
      </c>
      <c r="U54" s="14" t="n">
        <f aca="false">IF(AND($L54="Yes",$G54&lt;&gt;"Vendor day rates"),$I54-0.4*$P54,0)</f>
        <v>0</v>
      </c>
      <c r="V54" s="26" t="n">
        <f aca="false">IFERROR(MATCH($M54,MonthList,0),0)</f>
        <v>0</v>
      </c>
      <c r="W54" s="14" t="n">
        <f aca="false">IF(OR($L54&lt;&gt;"Yes",$M54=""),0,$U54*MAX(0,7-$V54)/12)</f>
        <v>0</v>
      </c>
      <c r="X54" s="14" t="n">
        <f aca="false">IF(OR($L54&lt;&gt;"Yes",$M54=""),0,$U54*IF($V54&lt;=7,12,19-$V54)/12)</f>
        <v>0</v>
      </c>
      <c r="Y54" s="14" t="n">
        <f aca="false">IF(AND($N54="Yes",$G54&lt;&gt;"Vendor day rates"),$I54-0.4*$P54,0)</f>
        <v>0</v>
      </c>
      <c r="Z54" s="26" t="n">
        <f aca="false">IFERROR(MATCH($O54,MonthList,0),0)</f>
        <v>0</v>
      </c>
      <c r="AA54" s="14" t="n">
        <f aca="false">IF(OR($N54&lt;&gt;"Yes",$O54=""),0,$Y54*MAX(0,7-$Z54)/12)</f>
        <v>0</v>
      </c>
      <c r="AB54" s="14" t="n">
        <f aca="false">IF(OR($N54&lt;&gt;"Yes",$O54=""),0,$Y54*IF($Z54&lt;=7,12,19-$Z54)/12)</f>
        <v>0</v>
      </c>
      <c r="AC54" s="26" t="str">
        <f aca="false">IF(OR($J54="Yes",$L54="Yes",$N54="Yes"),"Yes","No")</f>
        <v>No</v>
      </c>
      <c r="AD54" s="14" t="n">
        <f aca="false">MAX($Q54,$U54,$Y54)</f>
        <v>0</v>
      </c>
      <c r="AE54" s="26" t="n">
        <f aca="false">$AD54+ROW()*0.000000001</f>
        <v>5.4E-008</v>
      </c>
      <c r="AF54" s="26" t="str">
        <f aca="false">IF($J54="Yes","A","")&amp;IF($L54="Yes","B","")&amp;IF($N54="Yes","C","")</f>
        <v/>
      </c>
    </row>
    <row r="55" customFormat="false" ht="15" hidden="false" customHeight="false" outlineLevel="0" collapsed="false">
      <c r="B55" s="22" t="s">
        <v>174</v>
      </c>
      <c r="C55" s="23" t="s">
        <v>175</v>
      </c>
      <c r="D55" s="23"/>
      <c r="E55" s="23" t="s">
        <v>176</v>
      </c>
      <c r="F55" s="22" t="s">
        <v>57</v>
      </c>
      <c r="G55" s="23" t="s">
        <v>58</v>
      </c>
      <c r="H55" s="24" t="n">
        <v>1</v>
      </c>
      <c r="I55" s="14" t="n">
        <v>0.3891</v>
      </c>
      <c r="J55" s="25" t="s">
        <v>59</v>
      </c>
      <c r="K55" s="25"/>
      <c r="L55" s="25" t="s">
        <v>59</v>
      </c>
      <c r="M55" s="25"/>
      <c r="N55" s="25" t="s">
        <v>59</v>
      </c>
      <c r="O55" s="25"/>
      <c r="P55" s="14" t="n">
        <v>0.3891</v>
      </c>
      <c r="Q55" s="14" t="n">
        <f aca="false">IF(AND($J55="Yes",$G55&lt;&gt;"Vendor day rates"),$I55-0.4*$P55,0)</f>
        <v>0</v>
      </c>
      <c r="R55" s="26" t="n">
        <f aca="false">IFERROR(MATCH($K55,MonthList,0),0)</f>
        <v>0</v>
      </c>
      <c r="S55" s="14" t="n">
        <f aca="false">IF(OR($J55&lt;&gt;"Yes",$K55=""),0,$Q55*MAX(0,7-$R55)/12)</f>
        <v>0</v>
      </c>
      <c r="T55" s="14" t="n">
        <f aca="false">IF(OR($J55&lt;&gt;"Yes",$K55=""),0,$Q55*IF($R55&lt;=7,12,19-$R55)/12)</f>
        <v>0</v>
      </c>
      <c r="U55" s="14" t="n">
        <f aca="false">IF(AND($L55="Yes",$G55&lt;&gt;"Vendor day rates"),$I55-0.4*$P55,0)</f>
        <v>0</v>
      </c>
      <c r="V55" s="26" t="n">
        <f aca="false">IFERROR(MATCH($M55,MonthList,0),0)</f>
        <v>0</v>
      </c>
      <c r="W55" s="14" t="n">
        <f aca="false">IF(OR($L55&lt;&gt;"Yes",$M55=""),0,$U55*MAX(0,7-$V55)/12)</f>
        <v>0</v>
      </c>
      <c r="X55" s="14" t="n">
        <f aca="false">IF(OR($L55&lt;&gt;"Yes",$M55=""),0,$U55*IF($V55&lt;=7,12,19-$V55)/12)</f>
        <v>0</v>
      </c>
      <c r="Y55" s="14" t="n">
        <f aca="false">IF(AND($N55="Yes",$G55&lt;&gt;"Vendor day rates"),$I55-0.4*$P55,0)</f>
        <v>0</v>
      </c>
      <c r="Z55" s="26" t="n">
        <f aca="false">IFERROR(MATCH($O55,MonthList,0),0)</f>
        <v>0</v>
      </c>
      <c r="AA55" s="14" t="n">
        <f aca="false">IF(OR($N55&lt;&gt;"Yes",$O55=""),0,$Y55*MAX(0,7-$Z55)/12)</f>
        <v>0</v>
      </c>
      <c r="AB55" s="14" t="n">
        <f aca="false">IF(OR($N55&lt;&gt;"Yes",$O55=""),0,$Y55*IF($Z55&lt;=7,12,19-$Z55)/12)</f>
        <v>0</v>
      </c>
      <c r="AC55" s="26" t="str">
        <f aca="false">IF(OR($J55="Yes",$L55="Yes",$N55="Yes"),"Yes","No")</f>
        <v>No</v>
      </c>
      <c r="AD55" s="14" t="n">
        <f aca="false">MAX($Q55,$U55,$Y55)</f>
        <v>0</v>
      </c>
      <c r="AE55" s="26" t="n">
        <f aca="false">$AD55+ROW()*0.000000001</f>
        <v>5.5E-008</v>
      </c>
      <c r="AF55" s="26" t="str">
        <f aca="false">IF($J55="Yes","A","")&amp;IF($L55="Yes","B","")&amp;IF($N55="Yes","C","")</f>
        <v/>
      </c>
    </row>
    <row r="56" customFormat="false" ht="15" hidden="false" customHeight="false" outlineLevel="0" collapsed="false">
      <c r="B56" s="22" t="s">
        <v>177</v>
      </c>
      <c r="C56" s="23" t="s">
        <v>178</v>
      </c>
      <c r="D56" s="23" t="s">
        <v>172</v>
      </c>
      <c r="E56" s="23" t="s">
        <v>153</v>
      </c>
      <c r="F56" s="22" t="s">
        <v>57</v>
      </c>
      <c r="G56" s="23" t="s">
        <v>58</v>
      </c>
      <c r="H56" s="24" t="n">
        <v>1</v>
      </c>
      <c r="I56" s="14" t="n">
        <v>0.4098</v>
      </c>
      <c r="J56" s="25" t="s">
        <v>59</v>
      </c>
      <c r="K56" s="25"/>
      <c r="L56" s="25" t="s">
        <v>59</v>
      </c>
      <c r="M56" s="25"/>
      <c r="N56" s="25" t="s">
        <v>59</v>
      </c>
      <c r="O56" s="25"/>
      <c r="P56" s="14" t="n">
        <v>0.4098</v>
      </c>
      <c r="Q56" s="14" t="n">
        <f aca="false">IF(AND($J56="Yes",$G56&lt;&gt;"Vendor day rates"),$I56-0.4*$P56,0)</f>
        <v>0</v>
      </c>
      <c r="R56" s="26" t="n">
        <f aca="false">IFERROR(MATCH($K56,MonthList,0),0)</f>
        <v>0</v>
      </c>
      <c r="S56" s="14" t="n">
        <f aca="false">IF(OR($J56&lt;&gt;"Yes",$K56=""),0,$Q56*MAX(0,7-$R56)/12)</f>
        <v>0</v>
      </c>
      <c r="T56" s="14" t="n">
        <f aca="false">IF(OR($J56&lt;&gt;"Yes",$K56=""),0,$Q56*IF($R56&lt;=7,12,19-$R56)/12)</f>
        <v>0</v>
      </c>
      <c r="U56" s="14" t="n">
        <f aca="false">IF(AND($L56="Yes",$G56&lt;&gt;"Vendor day rates"),$I56-0.4*$P56,0)</f>
        <v>0</v>
      </c>
      <c r="V56" s="26" t="n">
        <f aca="false">IFERROR(MATCH($M56,MonthList,0),0)</f>
        <v>0</v>
      </c>
      <c r="W56" s="14" t="n">
        <f aca="false">IF(OR($L56&lt;&gt;"Yes",$M56=""),0,$U56*MAX(0,7-$V56)/12)</f>
        <v>0</v>
      </c>
      <c r="X56" s="14" t="n">
        <f aca="false">IF(OR($L56&lt;&gt;"Yes",$M56=""),0,$U56*IF($V56&lt;=7,12,19-$V56)/12)</f>
        <v>0</v>
      </c>
      <c r="Y56" s="14" t="n">
        <f aca="false">IF(AND($N56="Yes",$G56&lt;&gt;"Vendor day rates"),$I56-0.4*$P56,0)</f>
        <v>0</v>
      </c>
      <c r="Z56" s="26" t="n">
        <f aca="false">IFERROR(MATCH($O56,MonthList,0),0)</f>
        <v>0</v>
      </c>
      <c r="AA56" s="14" t="n">
        <f aca="false">IF(OR($N56&lt;&gt;"Yes",$O56=""),0,$Y56*MAX(0,7-$Z56)/12)</f>
        <v>0</v>
      </c>
      <c r="AB56" s="14" t="n">
        <f aca="false">IF(OR($N56&lt;&gt;"Yes",$O56=""),0,$Y56*IF($Z56&lt;=7,12,19-$Z56)/12)</f>
        <v>0</v>
      </c>
      <c r="AC56" s="26" t="str">
        <f aca="false">IF(OR($J56="Yes",$L56="Yes",$N56="Yes"),"Yes","No")</f>
        <v>No</v>
      </c>
      <c r="AD56" s="14" t="n">
        <f aca="false">MAX($Q56,$U56,$Y56)</f>
        <v>0</v>
      </c>
      <c r="AE56" s="26" t="n">
        <f aca="false">$AD56+ROW()*0.000000001</f>
        <v>5.6E-008</v>
      </c>
      <c r="AF56" s="26" t="str">
        <f aca="false">IF($J56="Yes","A","")&amp;IF($L56="Yes","B","")&amp;IF($N56="Yes","C","")</f>
        <v/>
      </c>
    </row>
    <row r="57" customFormat="false" ht="15" hidden="false" customHeight="false" outlineLevel="0" collapsed="false">
      <c r="B57" s="22" t="s">
        <v>179</v>
      </c>
      <c r="C57" s="23" t="s">
        <v>180</v>
      </c>
      <c r="D57" s="23"/>
      <c r="E57" s="23" t="s">
        <v>181</v>
      </c>
      <c r="F57" s="22" t="s">
        <v>57</v>
      </c>
      <c r="G57" s="23" t="s">
        <v>58</v>
      </c>
      <c r="H57" s="24" t="n">
        <v>1</v>
      </c>
      <c r="I57" s="14" t="n">
        <v>0.3691</v>
      </c>
      <c r="J57" s="25" t="s">
        <v>59</v>
      </c>
      <c r="K57" s="25"/>
      <c r="L57" s="25" t="s">
        <v>59</v>
      </c>
      <c r="M57" s="25"/>
      <c r="N57" s="25" t="s">
        <v>59</v>
      </c>
      <c r="O57" s="25"/>
      <c r="P57" s="14" t="n">
        <v>0.3691</v>
      </c>
      <c r="Q57" s="14" t="n">
        <f aca="false">IF(AND($J57="Yes",$G57&lt;&gt;"Vendor day rates"),$I57-0.4*$P57,0)</f>
        <v>0</v>
      </c>
      <c r="R57" s="26" t="n">
        <f aca="false">IFERROR(MATCH($K57,MonthList,0),0)</f>
        <v>0</v>
      </c>
      <c r="S57" s="14" t="n">
        <f aca="false">IF(OR($J57&lt;&gt;"Yes",$K57=""),0,$Q57*MAX(0,7-$R57)/12)</f>
        <v>0</v>
      </c>
      <c r="T57" s="14" t="n">
        <f aca="false">IF(OR($J57&lt;&gt;"Yes",$K57=""),0,$Q57*IF($R57&lt;=7,12,19-$R57)/12)</f>
        <v>0</v>
      </c>
      <c r="U57" s="14" t="n">
        <f aca="false">IF(AND($L57="Yes",$G57&lt;&gt;"Vendor day rates"),$I57-0.4*$P57,0)</f>
        <v>0</v>
      </c>
      <c r="V57" s="26" t="n">
        <f aca="false">IFERROR(MATCH($M57,MonthList,0),0)</f>
        <v>0</v>
      </c>
      <c r="W57" s="14" t="n">
        <f aca="false">IF(OR($L57&lt;&gt;"Yes",$M57=""),0,$U57*MAX(0,7-$V57)/12)</f>
        <v>0</v>
      </c>
      <c r="X57" s="14" t="n">
        <f aca="false">IF(OR($L57&lt;&gt;"Yes",$M57=""),0,$U57*IF($V57&lt;=7,12,19-$V57)/12)</f>
        <v>0</v>
      </c>
      <c r="Y57" s="14" t="n">
        <f aca="false">IF(AND($N57="Yes",$G57&lt;&gt;"Vendor day rates"),$I57-0.4*$P57,0)</f>
        <v>0</v>
      </c>
      <c r="Z57" s="26" t="n">
        <f aca="false">IFERROR(MATCH($O57,MonthList,0),0)</f>
        <v>0</v>
      </c>
      <c r="AA57" s="14" t="n">
        <f aca="false">IF(OR($N57&lt;&gt;"Yes",$O57=""),0,$Y57*MAX(0,7-$Z57)/12)</f>
        <v>0</v>
      </c>
      <c r="AB57" s="14" t="n">
        <f aca="false">IF(OR($N57&lt;&gt;"Yes",$O57=""),0,$Y57*IF($Z57&lt;=7,12,19-$Z57)/12)</f>
        <v>0</v>
      </c>
      <c r="AC57" s="26" t="str">
        <f aca="false">IF(OR($J57="Yes",$L57="Yes",$N57="Yes"),"Yes","No")</f>
        <v>No</v>
      </c>
      <c r="AD57" s="14" t="n">
        <f aca="false">MAX($Q57,$U57,$Y57)</f>
        <v>0</v>
      </c>
      <c r="AE57" s="26" t="n">
        <f aca="false">$AD57+ROW()*0.000000001</f>
        <v>5.7E-008</v>
      </c>
      <c r="AF57" s="26" t="str">
        <f aca="false">IF($J57="Yes","A","")&amp;IF($L57="Yes","B","")&amp;IF($N57="Yes","C","")</f>
        <v/>
      </c>
    </row>
    <row r="58" customFormat="false" ht="15" hidden="false" customHeight="false" outlineLevel="0" collapsed="false">
      <c r="B58" s="22" t="s">
        <v>182</v>
      </c>
      <c r="C58" s="23" t="s">
        <v>183</v>
      </c>
      <c r="D58" s="23"/>
      <c r="E58" s="23" t="s">
        <v>181</v>
      </c>
      <c r="F58" s="22" t="s">
        <v>57</v>
      </c>
      <c r="G58" s="23" t="s">
        <v>149</v>
      </c>
      <c r="H58" s="24" t="n">
        <v>1</v>
      </c>
      <c r="I58" s="14" t="n">
        <v>0.335</v>
      </c>
      <c r="J58" s="25" t="s">
        <v>59</v>
      </c>
      <c r="K58" s="25"/>
      <c r="L58" s="25" t="s">
        <v>59</v>
      </c>
      <c r="M58" s="25"/>
      <c r="N58" s="25" t="s">
        <v>59</v>
      </c>
      <c r="O58" s="25"/>
      <c r="P58" s="14" t="n">
        <v>0.335</v>
      </c>
      <c r="Q58" s="14" t="n">
        <f aca="false">IF(AND($J58="Yes",$G58&lt;&gt;"Vendor day rates"),$I58-0.4*$P58,0)</f>
        <v>0</v>
      </c>
      <c r="R58" s="26" t="n">
        <f aca="false">IFERROR(MATCH($K58,MonthList,0),0)</f>
        <v>0</v>
      </c>
      <c r="S58" s="14" t="n">
        <f aca="false">IF(OR($J58&lt;&gt;"Yes",$K58=""),0,$Q58*MAX(0,7-$R58)/12)</f>
        <v>0</v>
      </c>
      <c r="T58" s="14" t="n">
        <f aca="false">IF(OR($J58&lt;&gt;"Yes",$K58=""),0,$Q58*IF($R58&lt;=7,12,19-$R58)/12)</f>
        <v>0</v>
      </c>
      <c r="U58" s="14" t="n">
        <f aca="false">IF(AND($L58="Yes",$G58&lt;&gt;"Vendor day rates"),$I58-0.4*$P58,0)</f>
        <v>0</v>
      </c>
      <c r="V58" s="26" t="n">
        <f aca="false">IFERROR(MATCH($M58,MonthList,0),0)</f>
        <v>0</v>
      </c>
      <c r="W58" s="14" t="n">
        <f aca="false">IF(OR($L58&lt;&gt;"Yes",$M58=""),0,$U58*MAX(0,7-$V58)/12)</f>
        <v>0</v>
      </c>
      <c r="X58" s="14" t="n">
        <f aca="false">IF(OR($L58&lt;&gt;"Yes",$M58=""),0,$U58*IF($V58&lt;=7,12,19-$V58)/12)</f>
        <v>0</v>
      </c>
      <c r="Y58" s="14" t="n">
        <f aca="false">IF(AND($N58="Yes",$G58&lt;&gt;"Vendor day rates"),$I58-0.4*$P58,0)</f>
        <v>0</v>
      </c>
      <c r="Z58" s="26" t="n">
        <f aca="false">IFERROR(MATCH($O58,MonthList,0),0)</f>
        <v>0</v>
      </c>
      <c r="AA58" s="14" t="n">
        <f aca="false">IF(OR($N58&lt;&gt;"Yes",$O58=""),0,$Y58*MAX(0,7-$Z58)/12)</f>
        <v>0</v>
      </c>
      <c r="AB58" s="14" t="n">
        <f aca="false">IF(OR($N58&lt;&gt;"Yes",$O58=""),0,$Y58*IF($Z58&lt;=7,12,19-$Z58)/12)</f>
        <v>0</v>
      </c>
      <c r="AC58" s="26" t="str">
        <f aca="false">IF(OR($J58="Yes",$L58="Yes",$N58="Yes"),"Yes","No")</f>
        <v>No</v>
      </c>
      <c r="AD58" s="14" t="n">
        <f aca="false">MAX($Q58,$U58,$Y58)</f>
        <v>0</v>
      </c>
      <c r="AE58" s="26" t="n">
        <f aca="false">$AD58+ROW()*0.000000001</f>
        <v>5.8E-008</v>
      </c>
      <c r="AF58" s="26" t="str">
        <f aca="false">IF($J58="Yes","A","")&amp;IF($L58="Yes","B","")&amp;IF($N58="Yes","C","")</f>
        <v/>
      </c>
    </row>
    <row r="59" customFormat="false" ht="15" hidden="false" customHeight="false" outlineLevel="0" collapsed="false">
      <c r="B59" s="22" t="s">
        <v>184</v>
      </c>
      <c r="C59" s="23" t="s">
        <v>185</v>
      </c>
      <c r="D59" s="23"/>
      <c r="E59" s="23" t="s">
        <v>181</v>
      </c>
      <c r="F59" s="22" t="s">
        <v>57</v>
      </c>
      <c r="G59" s="23" t="s">
        <v>149</v>
      </c>
      <c r="H59" s="24" t="n">
        <v>1</v>
      </c>
      <c r="I59" s="14" t="n">
        <v>0.333</v>
      </c>
      <c r="J59" s="25" t="s">
        <v>59</v>
      </c>
      <c r="K59" s="25"/>
      <c r="L59" s="25" t="s">
        <v>59</v>
      </c>
      <c r="M59" s="25"/>
      <c r="N59" s="25" t="s">
        <v>59</v>
      </c>
      <c r="O59" s="25"/>
      <c r="P59" s="14" t="n">
        <v>0.333</v>
      </c>
      <c r="Q59" s="14" t="n">
        <f aca="false">IF(AND($J59="Yes",$G59&lt;&gt;"Vendor day rates"),$I59-0.4*$P59,0)</f>
        <v>0</v>
      </c>
      <c r="R59" s="26" t="n">
        <f aca="false">IFERROR(MATCH($K59,MonthList,0),0)</f>
        <v>0</v>
      </c>
      <c r="S59" s="14" t="n">
        <f aca="false">IF(OR($J59&lt;&gt;"Yes",$K59=""),0,$Q59*MAX(0,7-$R59)/12)</f>
        <v>0</v>
      </c>
      <c r="T59" s="14" t="n">
        <f aca="false">IF(OR($J59&lt;&gt;"Yes",$K59=""),0,$Q59*IF($R59&lt;=7,12,19-$R59)/12)</f>
        <v>0</v>
      </c>
      <c r="U59" s="14" t="n">
        <f aca="false">IF(AND($L59="Yes",$G59&lt;&gt;"Vendor day rates"),$I59-0.4*$P59,0)</f>
        <v>0</v>
      </c>
      <c r="V59" s="26" t="n">
        <f aca="false">IFERROR(MATCH($M59,MonthList,0),0)</f>
        <v>0</v>
      </c>
      <c r="W59" s="14" t="n">
        <f aca="false">IF(OR($L59&lt;&gt;"Yes",$M59=""),0,$U59*MAX(0,7-$V59)/12)</f>
        <v>0</v>
      </c>
      <c r="X59" s="14" t="n">
        <f aca="false">IF(OR($L59&lt;&gt;"Yes",$M59=""),0,$U59*IF($V59&lt;=7,12,19-$V59)/12)</f>
        <v>0</v>
      </c>
      <c r="Y59" s="14" t="n">
        <f aca="false">IF(AND($N59="Yes",$G59&lt;&gt;"Vendor day rates"),$I59-0.4*$P59,0)</f>
        <v>0</v>
      </c>
      <c r="Z59" s="26" t="n">
        <f aca="false">IFERROR(MATCH($O59,MonthList,0),0)</f>
        <v>0</v>
      </c>
      <c r="AA59" s="14" t="n">
        <f aca="false">IF(OR($N59&lt;&gt;"Yes",$O59=""),0,$Y59*MAX(0,7-$Z59)/12)</f>
        <v>0</v>
      </c>
      <c r="AB59" s="14" t="n">
        <f aca="false">IF(OR($N59&lt;&gt;"Yes",$O59=""),0,$Y59*IF($Z59&lt;=7,12,19-$Z59)/12)</f>
        <v>0</v>
      </c>
      <c r="AC59" s="26" t="str">
        <f aca="false">IF(OR($J59="Yes",$L59="Yes",$N59="Yes"),"Yes","No")</f>
        <v>No</v>
      </c>
      <c r="AD59" s="14" t="n">
        <f aca="false">MAX($Q59,$U59,$Y59)</f>
        <v>0</v>
      </c>
      <c r="AE59" s="26" t="n">
        <f aca="false">$AD59+ROW()*0.000000001</f>
        <v>5.9E-008</v>
      </c>
      <c r="AF59" s="26" t="str">
        <f aca="false">IF($J59="Yes","A","")&amp;IF($L59="Yes","B","")&amp;IF($N59="Yes","C","")</f>
        <v/>
      </c>
    </row>
    <row r="60" customFormat="false" ht="15" hidden="false" customHeight="false" outlineLevel="0" collapsed="false">
      <c r="B60" s="22" t="s">
        <v>186</v>
      </c>
      <c r="C60" s="23" t="s">
        <v>187</v>
      </c>
      <c r="D60" s="23" t="s">
        <v>147</v>
      </c>
      <c r="E60" s="23" t="s">
        <v>188</v>
      </c>
      <c r="F60" s="22" t="s">
        <v>57</v>
      </c>
      <c r="G60" s="23" t="s">
        <v>58</v>
      </c>
      <c r="H60" s="24" t="n">
        <v>1</v>
      </c>
      <c r="I60" s="14" t="n">
        <v>0.2972</v>
      </c>
      <c r="J60" s="25" t="s">
        <v>59</v>
      </c>
      <c r="K60" s="25"/>
      <c r="L60" s="25" t="s">
        <v>59</v>
      </c>
      <c r="M60" s="25"/>
      <c r="N60" s="25" t="s">
        <v>59</v>
      </c>
      <c r="O60" s="25"/>
      <c r="P60" s="14" t="n">
        <v>0.2972</v>
      </c>
      <c r="Q60" s="14" t="n">
        <f aca="false">IF(AND($J60="Yes",$G60&lt;&gt;"Vendor day rates"),$I60-0.4*$P60,0)</f>
        <v>0</v>
      </c>
      <c r="R60" s="26" t="n">
        <f aca="false">IFERROR(MATCH($K60,MonthList,0),0)</f>
        <v>0</v>
      </c>
      <c r="S60" s="14" t="n">
        <f aca="false">IF(OR($J60&lt;&gt;"Yes",$K60=""),0,$Q60*MAX(0,7-$R60)/12)</f>
        <v>0</v>
      </c>
      <c r="T60" s="14" t="n">
        <f aca="false">IF(OR($J60&lt;&gt;"Yes",$K60=""),0,$Q60*IF($R60&lt;=7,12,19-$R60)/12)</f>
        <v>0</v>
      </c>
      <c r="U60" s="14" t="n">
        <f aca="false">IF(AND($L60="Yes",$G60&lt;&gt;"Vendor day rates"),$I60-0.4*$P60,0)</f>
        <v>0</v>
      </c>
      <c r="V60" s="26" t="n">
        <f aca="false">IFERROR(MATCH($M60,MonthList,0),0)</f>
        <v>0</v>
      </c>
      <c r="W60" s="14" t="n">
        <f aca="false">IF(OR($L60&lt;&gt;"Yes",$M60=""),0,$U60*MAX(0,7-$V60)/12)</f>
        <v>0</v>
      </c>
      <c r="X60" s="14" t="n">
        <f aca="false">IF(OR($L60&lt;&gt;"Yes",$M60=""),0,$U60*IF($V60&lt;=7,12,19-$V60)/12)</f>
        <v>0</v>
      </c>
      <c r="Y60" s="14" t="n">
        <f aca="false">IF(AND($N60="Yes",$G60&lt;&gt;"Vendor day rates"),$I60-0.4*$P60,0)</f>
        <v>0</v>
      </c>
      <c r="Z60" s="26" t="n">
        <f aca="false">IFERROR(MATCH($O60,MonthList,0),0)</f>
        <v>0</v>
      </c>
      <c r="AA60" s="14" t="n">
        <f aca="false">IF(OR($N60&lt;&gt;"Yes",$O60=""),0,$Y60*MAX(0,7-$Z60)/12)</f>
        <v>0</v>
      </c>
      <c r="AB60" s="14" t="n">
        <f aca="false">IF(OR($N60&lt;&gt;"Yes",$O60=""),0,$Y60*IF($Z60&lt;=7,12,19-$Z60)/12)</f>
        <v>0</v>
      </c>
      <c r="AC60" s="26" t="str">
        <f aca="false">IF(OR($J60="Yes",$L60="Yes",$N60="Yes"),"Yes","No")</f>
        <v>No</v>
      </c>
      <c r="AD60" s="14" t="n">
        <f aca="false">MAX($Q60,$U60,$Y60)</f>
        <v>0</v>
      </c>
      <c r="AE60" s="26" t="n">
        <f aca="false">$AD60+ROW()*0.000000001</f>
        <v>6E-008</v>
      </c>
      <c r="AF60" s="26" t="str">
        <f aca="false">IF($J60="Yes","A","")&amp;IF($L60="Yes","B","")&amp;IF($N60="Yes","C","")</f>
        <v/>
      </c>
    </row>
    <row r="61" customFormat="false" ht="15" hidden="false" customHeight="false" outlineLevel="0" collapsed="false">
      <c r="B61" s="22" t="s">
        <v>189</v>
      </c>
      <c r="C61" s="23" t="s">
        <v>190</v>
      </c>
      <c r="D61" s="23" t="s">
        <v>147</v>
      </c>
      <c r="E61" s="23" t="s">
        <v>188</v>
      </c>
      <c r="F61" s="22" t="s">
        <v>57</v>
      </c>
      <c r="G61" s="23" t="s">
        <v>58</v>
      </c>
      <c r="H61" s="24" t="n">
        <v>1</v>
      </c>
      <c r="I61" s="14" t="n">
        <v>0.6661</v>
      </c>
      <c r="J61" s="25" t="s">
        <v>59</v>
      </c>
      <c r="K61" s="25"/>
      <c r="L61" s="25" t="s">
        <v>59</v>
      </c>
      <c r="M61" s="25"/>
      <c r="N61" s="25" t="s">
        <v>59</v>
      </c>
      <c r="O61" s="25"/>
      <c r="P61" s="14" t="n">
        <v>0.6661</v>
      </c>
      <c r="Q61" s="14" t="n">
        <f aca="false">IF(AND($J61="Yes",$G61&lt;&gt;"Vendor day rates"),$I61-0.4*$P61,0)</f>
        <v>0</v>
      </c>
      <c r="R61" s="26" t="n">
        <f aca="false">IFERROR(MATCH($K61,MonthList,0),0)</f>
        <v>0</v>
      </c>
      <c r="S61" s="14" t="n">
        <f aca="false">IF(OR($J61&lt;&gt;"Yes",$K61=""),0,$Q61*MAX(0,7-$R61)/12)</f>
        <v>0</v>
      </c>
      <c r="T61" s="14" t="n">
        <f aca="false">IF(OR($J61&lt;&gt;"Yes",$K61=""),0,$Q61*IF($R61&lt;=7,12,19-$R61)/12)</f>
        <v>0</v>
      </c>
      <c r="U61" s="14" t="n">
        <f aca="false">IF(AND($L61="Yes",$G61&lt;&gt;"Vendor day rates"),$I61-0.4*$P61,0)</f>
        <v>0</v>
      </c>
      <c r="V61" s="26" t="n">
        <f aca="false">IFERROR(MATCH($M61,MonthList,0),0)</f>
        <v>0</v>
      </c>
      <c r="W61" s="14" t="n">
        <f aca="false">IF(OR($L61&lt;&gt;"Yes",$M61=""),0,$U61*MAX(0,7-$V61)/12)</f>
        <v>0</v>
      </c>
      <c r="X61" s="14" t="n">
        <f aca="false">IF(OR($L61&lt;&gt;"Yes",$M61=""),0,$U61*IF($V61&lt;=7,12,19-$V61)/12)</f>
        <v>0</v>
      </c>
      <c r="Y61" s="14" t="n">
        <f aca="false">IF(AND($N61="Yes",$G61&lt;&gt;"Vendor day rates"),$I61-0.4*$P61,0)</f>
        <v>0</v>
      </c>
      <c r="Z61" s="26" t="n">
        <f aca="false">IFERROR(MATCH($O61,MonthList,0),0)</f>
        <v>0</v>
      </c>
      <c r="AA61" s="14" t="n">
        <f aca="false">IF(OR($N61&lt;&gt;"Yes",$O61=""),0,$Y61*MAX(0,7-$Z61)/12)</f>
        <v>0</v>
      </c>
      <c r="AB61" s="14" t="n">
        <f aca="false">IF(OR($N61&lt;&gt;"Yes",$O61=""),0,$Y61*IF($Z61&lt;=7,12,19-$Z61)/12)</f>
        <v>0</v>
      </c>
      <c r="AC61" s="26" t="str">
        <f aca="false">IF(OR($J61="Yes",$L61="Yes",$N61="Yes"),"Yes","No")</f>
        <v>No</v>
      </c>
      <c r="AD61" s="14" t="n">
        <f aca="false">MAX($Q61,$U61,$Y61)</f>
        <v>0</v>
      </c>
      <c r="AE61" s="26" t="n">
        <f aca="false">$AD61+ROW()*0.000000001</f>
        <v>6.1E-008</v>
      </c>
      <c r="AF61" s="26" t="str">
        <f aca="false">IF($J61="Yes","A","")&amp;IF($L61="Yes","B","")&amp;IF($N61="Yes","C","")</f>
        <v/>
      </c>
    </row>
    <row r="62" customFormat="false" ht="15" hidden="false" customHeight="false" outlineLevel="0" collapsed="false">
      <c r="B62" s="22" t="s">
        <v>191</v>
      </c>
      <c r="C62" s="23" t="s">
        <v>192</v>
      </c>
      <c r="D62" s="23" t="s">
        <v>147</v>
      </c>
      <c r="E62" s="23" t="s">
        <v>188</v>
      </c>
      <c r="F62" s="22" t="s">
        <v>112</v>
      </c>
      <c r="G62" s="23" t="s">
        <v>58</v>
      </c>
      <c r="H62" s="24" t="n">
        <v>1</v>
      </c>
      <c r="I62" s="14" t="n">
        <v>0.2914</v>
      </c>
      <c r="J62" s="25" t="s">
        <v>59</v>
      </c>
      <c r="K62" s="25"/>
      <c r="L62" s="25" t="s">
        <v>59</v>
      </c>
      <c r="M62" s="25"/>
      <c r="N62" s="25" t="s">
        <v>59</v>
      </c>
      <c r="O62" s="25"/>
      <c r="P62" s="14" t="n">
        <v>0.2914</v>
      </c>
      <c r="Q62" s="14" t="n">
        <f aca="false">IF(AND($J62="Yes",$G62&lt;&gt;"Vendor day rates"),$I62-0.4*$P62,0)</f>
        <v>0</v>
      </c>
      <c r="R62" s="26" t="n">
        <f aca="false">IFERROR(MATCH($K62,MonthList,0),0)</f>
        <v>0</v>
      </c>
      <c r="S62" s="14" t="n">
        <f aca="false">IF(OR($J62&lt;&gt;"Yes",$K62=""),0,$Q62*MAX(0,7-$R62)/12)</f>
        <v>0</v>
      </c>
      <c r="T62" s="14" t="n">
        <f aca="false">IF(OR($J62&lt;&gt;"Yes",$K62=""),0,$Q62*IF($R62&lt;=7,12,19-$R62)/12)</f>
        <v>0</v>
      </c>
      <c r="U62" s="14" t="n">
        <f aca="false">IF(AND($L62="Yes",$G62&lt;&gt;"Vendor day rates"),$I62-0.4*$P62,0)</f>
        <v>0</v>
      </c>
      <c r="V62" s="26" t="n">
        <f aca="false">IFERROR(MATCH($M62,MonthList,0),0)</f>
        <v>0</v>
      </c>
      <c r="W62" s="14" t="n">
        <f aca="false">IF(OR($L62&lt;&gt;"Yes",$M62=""),0,$U62*MAX(0,7-$V62)/12)</f>
        <v>0</v>
      </c>
      <c r="X62" s="14" t="n">
        <f aca="false">IF(OR($L62&lt;&gt;"Yes",$M62=""),0,$U62*IF($V62&lt;=7,12,19-$V62)/12)</f>
        <v>0</v>
      </c>
      <c r="Y62" s="14" t="n">
        <f aca="false">IF(AND($N62="Yes",$G62&lt;&gt;"Vendor day rates"),$I62-0.4*$P62,0)</f>
        <v>0</v>
      </c>
      <c r="Z62" s="26" t="n">
        <f aca="false">IFERROR(MATCH($O62,MonthList,0),0)</f>
        <v>0</v>
      </c>
      <c r="AA62" s="14" t="n">
        <f aca="false">IF(OR($N62&lt;&gt;"Yes",$O62=""),0,$Y62*MAX(0,7-$Z62)/12)</f>
        <v>0</v>
      </c>
      <c r="AB62" s="14" t="n">
        <f aca="false">IF(OR($N62&lt;&gt;"Yes",$O62=""),0,$Y62*IF($Z62&lt;=7,12,19-$Z62)/12)</f>
        <v>0</v>
      </c>
      <c r="AC62" s="26" t="str">
        <f aca="false">IF(OR($J62="Yes",$L62="Yes",$N62="Yes"),"Yes","No")</f>
        <v>No</v>
      </c>
      <c r="AD62" s="14" t="n">
        <f aca="false">MAX($Q62,$U62,$Y62)</f>
        <v>0</v>
      </c>
      <c r="AE62" s="26" t="n">
        <f aca="false">$AD62+ROW()*0.000000001</f>
        <v>6.2E-008</v>
      </c>
      <c r="AF62" s="26" t="str">
        <f aca="false">IF($J62="Yes","A","")&amp;IF($L62="Yes","B","")&amp;IF($N62="Yes","C","")</f>
        <v/>
      </c>
    </row>
    <row r="63" customFormat="false" ht="15" hidden="false" customHeight="false" outlineLevel="0" collapsed="false">
      <c r="B63" s="22" t="s">
        <v>193</v>
      </c>
      <c r="C63" s="23" t="s">
        <v>194</v>
      </c>
      <c r="D63" s="23" t="s">
        <v>147</v>
      </c>
      <c r="E63" s="23" t="s">
        <v>188</v>
      </c>
      <c r="F63" s="22" t="s">
        <v>57</v>
      </c>
      <c r="G63" s="23" t="s">
        <v>58</v>
      </c>
      <c r="H63" s="24" t="n">
        <v>1</v>
      </c>
      <c r="I63" s="14" t="n">
        <v>0.4174</v>
      </c>
      <c r="J63" s="25" t="s">
        <v>59</v>
      </c>
      <c r="K63" s="25"/>
      <c r="L63" s="25" t="s">
        <v>59</v>
      </c>
      <c r="M63" s="25"/>
      <c r="N63" s="25" t="s">
        <v>59</v>
      </c>
      <c r="O63" s="25"/>
      <c r="P63" s="14" t="n">
        <v>0.4174</v>
      </c>
      <c r="Q63" s="14" t="n">
        <f aca="false">IF(AND($J63="Yes",$G63&lt;&gt;"Vendor day rates"),$I63-0.4*$P63,0)</f>
        <v>0</v>
      </c>
      <c r="R63" s="26" t="n">
        <f aca="false">IFERROR(MATCH($K63,MonthList,0),0)</f>
        <v>0</v>
      </c>
      <c r="S63" s="14" t="n">
        <f aca="false">IF(OR($J63&lt;&gt;"Yes",$K63=""),0,$Q63*MAX(0,7-$R63)/12)</f>
        <v>0</v>
      </c>
      <c r="T63" s="14" t="n">
        <f aca="false">IF(OR($J63&lt;&gt;"Yes",$K63=""),0,$Q63*IF($R63&lt;=7,12,19-$R63)/12)</f>
        <v>0</v>
      </c>
      <c r="U63" s="14" t="n">
        <f aca="false">IF(AND($L63="Yes",$G63&lt;&gt;"Vendor day rates"),$I63-0.4*$P63,0)</f>
        <v>0</v>
      </c>
      <c r="V63" s="26" t="n">
        <f aca="false">IFERROR(MATCH($M63,MonthList,0),0)</f>
        <v>0</v>
      </c>
      <c r="W63" s="14" t="n">
        <f aca="false">IF(OR($L63&lt;&gt;"Yes",$M63=""),0,$U63*MAX(0,7-$V63)/12)</f>
        <v>0</v>
      </c>
      <c r="X63" s="14" t="n">
        <f aca="false">IF(OR($L63&lt;&gt;"Yes",$M63=""),0,$U63*IF($V63&lt;=7,12,19-$V63)/12)</f>
        <v>0</v>
      </c>
      <c r="Y63" s="14" t="n">
        <f aca="false">IF(AND($N63="Yes",$G63&lt;&gt;"Vendor day rates"),$I63-0.4*$P63,0)</f>
        <v>0</v>
      </c>
      <c r="Z63" s="26" t="n">
        <f aca="false">IFERROR(MATCH($O63,MonthList,0),0)</f>
        <v>0</v>
      </c>
      <c r="AA63" s="14" t="n">
        <f aca="false">IF(OR($N63&lt;&gt;"Yes",$O63=""),0,$Y63*MAX(0,7-$Z63)/12)</f>
        <v>0</v>
      </c>
      <c r="AB63" s="14" t="n">
        <f aca="false">IF(OR($N63&lt;&gt;"Yes",$O63=""),0,$Y63*IF($Z63&lt;=7,12,19-$Z63)/12)</f>
        <v>0</v>
      </c>
      <c r="AC63" s="26" t="str">
        <f aca="false">IF(OR($J63="Yes",$L63="Yes",$N63="Yes"),"Yes","No")</f>
        <v>No</v>
      </c>
      <c r="AD63" s="14" t="n">
        <f aca="false">MAX($Q63,$U63,$Y63)</f>
        <v>0</v>
      </c>
      <c r="AE63" s="26" t="n">
        <f aca="false">$AD63+ROW()*0.000000001</f>
        <v>6.3E-008</v>
      </c>
      <c r="AF63" s="26" t="str">
        <f aca="false">IF($J63="Yes","A","")&amp;IF($L63="Yes","B","")&amp;IF($N63="Yes","C","")</f>
        <v/>
      </c>
    </row>
    <row r="64" customFormat="false" ht="15" hidden="false" customHeight="false" outlineLevel="0" collapsed="false">
      <c r="B64" s="22" t="s">
        <v>195</v>
      </c>
      <c r="C64" s="23" t="s">
        <v>196</v>
      </c>
      <c r="D64" s="23" t="s">
        <v>147</v>
      </c>
      <c r="E64" s="23" t="s">
        <v>188</v>
      </c>
      <c r="F64" s="22" t="s">
        <v>57</v>
      </c>
      <c r="G64" s="23" t="s">
        <v>58</v>
      </c>
      <c r="H64" s="24" t="n">
        <v>1</v>
      </c>
      <c r="I64" s="14" t="n">
        <v>0.3434</v>
      </c>
      <c r="J64" s="25" t="s">
        <v>59</v>
      </c>
      <c r="K64" s="25"/>
      <c r="L64" s="25" t="s">
        <v>59</v>
      </c>
      <c r="M64" s="25"/>
      <c r="N64" s="25" t="s">
        <v>59</v>
      </c>
      <c r="O64" s="25"/>
      <c r="P64" s="14" t="n">
        <v>0.3434</v>
      </c>
      <c r="Q64" s="14" t="n">
        <f aca="false">IF(AND($J64="Yes",$G64&lt;&gt;"Vendor day rates"),$I64-0.4*$P64,0)</f>
        <v>0</v>
      </c>
      <c r="R64" s="26" t="n">
        <f aca="false">IFERROR(MATCH($K64,MonthList,0),0)</f>
        <v>0</v>
      </c>
      <c r="S64" s="14" t="n">
        <f aca="false">IF(OR($J64&lt;&gt;"Yes",$K64=""),0,$Q64*MAX(0,7-$R64)/12)</f>
        <v>0</v>
      </c>
      <c r="T64" s="14" t="n">
        <f aca="false">IF(OR($J64&lt;&gt;"Yes",$K64=""),0,$Q64*IF($R64&lt;=7,12,19-$R64)/12)</f>
        <v>0</v>
      </c>
      <c r="U64" s="14" t="n">
        <f aca="false">IF(AND($L64="Yes",$G64&lt;&gt;"Vendor day rates"),$I64-0.4*$P64,0)</f>
        <v>0</v>
      </c>
      <c r="V64" s="26" t="n">
        <f aca="false">IFERROR(MATCH($M64,MonthList,0),0)</f>
        <v>0</v>
      </c>
      <c r="W64" s="14" t="n">
        <f aca="false">IF(OR($L64&lt;&gt;"Yes",$M64=""),0,$U64*MAX(0,7-$V64)/12)</f>
        <v>0</v>
      </c>
      <c r="X64" s="14" t="n">
        <f aca="false">IF(OR($L64&lt;&gt;"Yes",$M64=""),0,$U64*IF($V64&lt;=7,12,19-$V64)/12)</f>
        <v>0</v>
      </c>
      <c r="Y64" s="14" t="n">
        <f aca="false">IF(AND($N64="Yes",$G64&lt;&gt;"Vendor day rates"),$I64-0.4*$P64,0)</f>
        <v>0</v>
      </c>
      <c r="Z64" s="26" t="n">
        <f aca="false">IFERROR(MATCH($O64,MonthList,0),0)</f>
        <v>0</v>
      </c>
      <c r="AA64" s="14" t="n">
        <f aca="false">IF(OR($N64&lt;&gt;"Yes",$O64=""),0,$Y64*MAX(0,7-$Z64)/12)</f>
        <v>0</v>
      </c>
      <c r="AB64" s="14" t="n">
        <f aca="false">IF(OR($N64&lt;&gt;"Yes",$O64=""),0,$Y64*IF($Z64&lt;=7,12,19-$Z64)/12)</f>
        <v>0</v>
      </c>
      <c r="AC64" s="26" t="str">
        <f aca="false">IF(OR($J64="Yes",$L64="Yes",$N64="Yes"),"Yes","No")</f>
        <v>No</v>
      </c>
      <c r="AD64" s="14" t="n">
        <f aca="false">MAX($Q64,$U64,$Y64)</f>
        <v>0</v>
      </c>
      <c r="AE64" s="26" t="n">
        <f aca="false">$AD64+ROW()*0.000000001</f>
        <v>6.4E-008</v>
      </c>
      <c r="AF64" s="26" t="str">
        <f aca="false">IF($J64="Yes","A","")&amp;IF($L64="Yes","B","")&amp;IF($N64="Yes","C","")</f>
        <v/>
      </c>
    </row>
    <row r="65" customFormat="false" ht="15" hidden="false" customHeight="false" outlineLevel="0" collapsed="false">
      <c r="B65" s="22" t="s">
        <v>197</v>
      </c>
      <c r="C65" s="23" t="s">
        <v>198</v>
      </c>
      <c r="D65" s="23" t="s">
        <v>147</v>
      </c>
      <c r="E65" s="23" t="s">
        <v>199</v>
      </c>
      <c r="F65" s="22" t="s">
        <v>57</v>
      </c>
      <c r="G65" s="23" t="s">
        <v>58</v>
      </c>
      <c r="H65" s="24" t="n">
        <v>1</v>
      </c>
      <c r="I65" s="14" t="n">
        <v>0.3679</v>
      </c>
      <c r="J65" s="25" t="s">
        <v>59</v>
      </c>
      <c r="K65" s="25"/>
      <c r="L65" s="25" t="s">
        <v>59</v>
      </c>
      <c r="M65" s="25"/>
      <c r="N65" s="25" t="s">
        <v>59</v>
      </c>
      <c r="O65" s="25"/>
      <c r="P65" s="14" t="n">
        <v>0.3679</v>
      </c>
      <c r="Q65" s="14" t="n">
        <f aca="false">IF(AND($J65="Yes",$G65&lt;&gt;"Vendor day rates"),$I65-0.4*$P65,0)</f>
        <v>0</v>
      </c>
      <c r="R65" s="26" t="n">
        <f aca="false">IFERROR(MATCH($K65,MonthList,0),0)</f>
        <v>0</v>
      </c>
      <c r="S65" s="14" t="n">
        <f aca="false">IF(OR($J65&lt;&gt;"Yes",$K65=""),0,$Q65*MAX(0,7-$R65)/12)</f>
        <v>0</v>
      </c>
      <c r="T65" s="14" t="n">
        <f aca="false">IF(OR($J65&lt;&gt;"Yes",$K65=""),0,$Q65*IF($R65&lt;=7,12,19-$R65)/12)</f>
        <v>0</v>
      </c>
      <c r="U65" s="14" t="n">
        <f aca="false">IF(AND($L65="Yes",$G65&lt;&gt;"Vendor day rates"),$I65-0.4*$P65,0)</f>
        <v>0</v>
      </c>
      <c r="V65" s="26" t="n">
        <f aca="false">IFERROR(MATCH($M65,MonthList,0),0)</f>
        <v>0</v>
      </c>
      <c r="W65" s="14" t="n">
        <f aca="false">IF(OR($L65&lt;&gt;"Yes",$M65=""),0,$U65*MAX(0,7-$V65)/12)</f>
        <v>0</v>
      </c>
      <c r="X65" s="14" t="n">
        <f aca="false">IF(OR($L65&lt;&gt;"Yes",$M65=""),0,$U65*IF($V65&lt;=7,12,19-$V65)/12)</f>
        <v>0</v>
      </c>
      <c r="Y65" s="14" t="n">
        <f aca="false">IF(AND($N65="Yes",$G65&lt;&gt;"Vendor day rates"),$I65-0.4*$P65,0)</f>
        <v>0</v>
      </c>
      <c r="Z65" s="26" t="n">
        <f aca="false">IFERROR(MATCH($O65,MonthList,0),0)</f>
        <v>0</v>
      </c>
      <c r="AA65" s="14" t="n">
        <f aca="false">IF(OR($N65&lt;&gt;"Yes",$O65=""),0,$Y65*MAX(0,7-$Z65)/12)</f>
        <v>0</v>
      </c>
      <c r="AB65" s="14" t="n">
        <f aca="false">IF(OR($N65&lt;&gt;"Yes",$O65=""),0,$Y65*IF($Z65&lt;=7,12,19-$Z65)/12)</f>
        <v>0</v>
      </c>
      <c r="AC65" s="26" t="str">
        <f aca="false">IF(OR($J65="Yes",$L65="Yes",$N65="Yes"),"Yes","No")</f>
        <v>No</v>
      </c>
      <c r="AD65" s="14" t="n">
        <f aca="false">MAX($Q65,$U65,$Y65)</f>
        <v>0</v>
      </c>
      <c r="AE65" s="26" t="n">
        <f aca="false">$AD65+ROW()*0.000000001</f>
        <v>6.5E-008</v>
      </c>
      <c r="AF65" s="26" t="str">
        <f aca="false">IF($J65="Yes","A","")&amp;IF($L65="Yes","B","")&amp;IF($N65="Yes","C","")</f>
        <v/>
      </c>
    </row>
    <row r="66" customFormat="false" ht="15" hidden="false" customHeight="false" outlineLevel="0" collapsed="false">
      <c r="B66" s="22" t="s">
        <v>200</v>
      </c>
      <c r="C66" s="23" t="s">
        <v>201</v>
      </c>
      <c r="D66" s="23" t="s">
        <v>91</v>
      </c>
      <c r="E66" s="23" t="s">
        <v>153</v>
      </c>
      <c r="F66" s="22" t="s">
        <v>57</v>
      </c>
      <c r="G66" s="23" t="s">
        <v>58</v>
      </c>
      <c r="H66" s="24" t="n">
        <v>1</v>
      </c>
      <c r="I66" s="14" t="n">
        <v>0.3636</v>
      </c>
      <c r="J66" s="25" t="s">
        <v>59</v>
      </c>
      <c r="K66" s="25"/>
      <c r="L66" s="25" t="s">
        <v>59</v>
      </c>
      <c r="M66" s="25"/>
      <c r="N66" s="25" t="s">
        <v>59</v>
      </c>
      <c r="O66" s="25"/>
      <c r="P66" s="14" t="n">
        <v>0.3636</v>
      </c>
      <c r="Q66" s="14" t="n">
        <f aca="false">IF(AND($J66="Yes",$G66&lt;&gt;"Vendor day rates"),$I66-0.4*$P66,0)</f>
        <v>0</v>
      </c>
      <c r="R66" s="26" t="n">
        <f aca="false">IFERROR(MATCH($K66,MonthList,0),0)</f>
        <v>0</v>
      </c>
      <c r="S66" s="14" t="n">
        <f aca="false">IF(OR($J66&lt;&gt;"Yes",$K66=""),0,$Q66*MAX(0,7-$R66)/12)</f>
        <v>0</v>
      </c>
      <c r="T66" s="14" t="n">
        <f aca="false">IF(OR($J66&lt;&gt;"Yes",$K66=""),0,$Q66*IF($R66&lt;=7,12,19-$R66)/12)</f>
        <v>0</v>
      </c>
      <c r="U66" s="14" t="n">
        <f aca="false">IF(AND($L66="Yes",$G66&lt;&gt;"Vendor day rates"),$I66-0.4*$P66,0)</f>
        <v>0</v>
      </c>
      <c r="V66" s="26" t="n">
        <f aca="false">IFERROR(MATCH($M66,MonthList,0),0)</f>
        <v>0</v>
      </c>
      <c r="W66" s="14" t="n">
        <f aca="false">IF(OR($L66&lt;&gt;"Yes",$M66=""),0,$U66*MAX(0,7-$V66)/12)</f>
        <v>0</v>
      </c>
      <c r="X66" s="14" t="n">
        <f aca="false">IF(OR($L66&lt;&gt;"Yes",$M66=""),0,$U66*IF($V66&lt;=7,12,19-$V66)/12)</f>
        <v>0</v>
      </c>
      <c r="Y66" s="14" t="n">
        <f aca="false">IF(AND($N66="Yes",$G66&lt;&gt;"Vendor day rates"),$I66-0.4*$P66,0)</f>
        <v>0</v>
      </c>
      <c r="Z66" s="26" t="n">
        <f aca="false">IFERROR(MATCH($O66,MonthList,0),0)</f>
        <v>0</v>
      </c>
      <c r="AA66" s="14" t="n">
        <f aca="false">IF(OR($N66&lt;&gt;"Yes",$O66=""),0,$Y66*MAX(0,7-$Z66)/12)</f>
        <v>0</v>
      </c>
      <c r="AB66" s="14" t="n">
        <f aca="false">IF(OR($N66&lt;&gt;"Yes",$O66=""),0,$Y66*IF($Z66&lt;=7,12,19-$Z66)/12)</f>
        <v>0</v>
      </c>
      <c r="AC66" s="26" t="str">
        <f aca="false">IF(OR($J66="Yes",$L66="Yes",$N66="Yes"),"Yes","No")</f>
        <v>No</v>
      </c>
      <c r="AD66" s="14" t="n">
        <f aca="false">MAX($Q66,$U66,$Y66)</f>
        <v>0</v>
      </c>
      <c r="AE66" s="26" t="n">
        <f aca="false">$AD66+ROW()*0.000000001</f>
        <v>6.6E-008</v>
      </c>
      <c r="AF66" s="26" t="str">
        <f aca="false">IF($J66="Yes","A","")&amp;IF($L66="Yes","B","")&amp;IF($N66="Yes","C","")</f>
        <v/>
      </c>
    </row>
    <row r="67" customFormat="false" ht="15" hidden="false" customHeight="false" outlineLevel="0" collapsed="false">
      <c r="B67" s="22" t="s">
        <v>202</v>
      </c>
      <c r="C67" s="23" t="s">
        <v>203</v>
      </c>
      <c r="D67" s="23" t="s">
        <v>204</v>
      </c>
      <c r="E67" s="23" t="s">
        <v>153</v>
      </c>
      <c r="F67" s="22" t="s">
        <v>112</v>
      </c>
      <c r="G67" s="23" t="s">
        <v>58</v>
      </c>
      <c r="H67" s="24" t="n">
        <v>1</v>
      </c>
      <c r="I67" s="14" t="n">
        <v>0.2924</v>
      </c>
      <c r="J67" s="25" t="s">
        <v>59</v>
      </c>
      <c r="K67" s="25"/>
      <c r="L67" s="25" t="s">
        <v>59</v>
      </c>
      <c r="M67" s="25"/>
      <c r="N67" s="25" t="s">
        <v>59</v>
      </c>
      <c r="O67" s="25"/>
      <c r="P67" s="14" t="n">
        <v>0.2924</v>
      </c>
      <c r="Q67" s="14" t="n">
        <f aca="false">IF(AND($J67="Yes",$G67&lt;&gt;"Vendor day rates"),$I67-0.4*$P67,0)</f>
        <v>0</v>
      </c>
      <c r="R67" s="26" t="n">
        <f aca="false">IFERROR(MATCH($K67,MonthList,0),0)</f>
        <v>0</v>
      </c>
      <c r="S67" s="14" t="n">
        <f aca="false">IF(OR($J67&lt;&gt;"Yes",$K67=""),0,$Q67*MAX(0,7-$R67)/12)</f>
        <v>0</v>
      </c>
      <c r="T67" s="14" t="n">
        <f aca="false">IF(OR($J67&lt;&gt;"Yes",$K67=""),0,$Q67*IF($R67&lt;=7,12,19-$R67)/12)</f>
        <v>0</v>
      </c>
      <c r="U67" s="14" t="n">
        <f aca="false">IF(AND($L67="Yes",$G67&lt;&gt;"Vendor day rates"),$I67-0.4*$P67,0)</f>
        <v>0</v>
      </c>
      <c r="V67" s="26" t="n">
        <f aca="false">IFERROR(MATCH($M67,MonthList,0),0)</f>
        <v>0</v>
      </c>
      <c r="W67" s="14" t="n">
        <f aca="false">IF(OR($L67&lt;&gt;"Yes",$M67=""),0,$U67*MAX(0,7-$V67)/12)</f>
        <v>0</v>
      </c>
      <c r="X67" s="14" t="n">
        <f aca="false">IF(OR($L67&lt;&gt;"Yes",$M67=""),0,$U67*IF($V67&lt;=7,12,19-$V67)/12)</f>
        <v>0</v>
      </c>
      <c r="Y67" s="14" t="n">
        <f aca="false">IF(AND($N67="Yes",$G67&lt;&gt;"Vendor day rates"),$I67-0.4*$P67,0)</f>
        <v>0</v>
      </c>
      <c r="Z67" s="26" t="n">
        <f aca="false">IFERROR(MATCH($O67,MonthList,0),0)</f>
        <v>0</v>
      </c>
      <c r="AA67" s="14" t="n">
        <f aca="false">IF(OR($N67&lt;&gt;"Yes",$O67=""),0,$Y67*MAX(0,7-$Z67)/12)</f>
        <v>0</v>
      </c>
      <c r="AB67" s="14" t="n">
        <f aca="false">IF(OR($N67&lt;&gt;"Yes",$O67=""),0,$Y67*IF($Z67&lt;=7,12,19-$Z67)/12)</f>
        <v>0</v>
      </c>
      <c r="AC67" s="26" t="str">
        <f aca="false">IF(OR($J67="Yes",$L67="Yes",$N67="Yes"),"Yes","No")</f>
        <v>No</v>
      </c>
      <c r="AD67" s="14" t="n">
        <f aca="false">MAX($Q67,$U67,$Y67)</f>
        <v>0</v>
      </c>
      <c r="AE67" s="26" t="n">
        <f aca="false">$AD67+ROW()*0.000000001</f>
        <v>6.7E-008</v>
      </c>
      <c r="AF67" s="26" t="str">
        <f aca="false">IF($J67="Yes","A","")&amp;IF($L67="Yes","B","")&amp;IF($N67="Yes","C","")</f>
        <v/>
      </c>
    </row>
    <row r="68" customFormat="false" ht="15" hidden="false" customHeight="false" outlineLevel="0" collapsed="false">
      <c r="B68" s="22" t="s">
        <v>205</v>
      </c>
      <c r="C68" s="23" t="s">
        <v>206</v>
      </c>
      <c r="D68" s="23" t="s">
        <v>207</v>
      </c>
      <c r="E68" s="23" t="s">
        <v>153</v>
      </c>
      <c r="F68" s="22" t="s">
        <v>112</v>
      </c>
      <c r="G68" s="23" t="s">
        <v>58</v>
      </c>
      <c r="H68" s="24" t="n">
        <v>1</v>
      </c>
      <c r="I68" s="14" t="n">
        <v>0.2738</v>
      </c>
      <c r="J68" s="25" t="s">
        <v>59</v>
      </c>
      <c r="K68" s="25"/>
      <c r="L68" s="25" t="s">
        <v>59</v>
      </c>
      <c r="M68" s="25"/>
      <c r="N68" s="25" t="s">
        <v>59</v>
      </c>
      <c r="O68" s="25"/>
      <c r="P68" s="14" t="n">
        <v>0.2738</v>
      </c>
      <c r="Q68" s="14" t="n">
        <f aca="false">IF(AND($J68="Yes",$G68&lt;&gt;"Vendor day rates"),$I68-0.4*$P68,0)</f>
        <v>0</v>
      </c>
      <c r="R68" s="26" t="n">
        <f aca="false">IFERROR(MATCH($K68,MonthList,0),0)</f>
        <v>0</v>
      </c>
      <c r="S68" s="14" t="n">
        <f aca="false">IF(OR($J68&lt;&gt;"Yes",$K68=""),0,$Q68*MAX(0,7-$R68)/12)</f>
        <v>0</v>
      </c>
      <c r="T68" s="14" t="n">
        <f aca="false">IF(OR($J68&lt;&gt;"Yes",$K68=""),0,$Q68*IF($R68&lt;=7,12,19-$R68)/12)</f>
        <v>0</v>
      </c>
      <c r="U68" s="14" t="n">
        <f aca="false">IF(AND($L68="Yes",$G68&lt;&gt;"Vendor day rates"),$I68-0.4*$P68,0)</f>
        <v>0</v>
      </c>
      <c r="V68" s="26" t="n">
        <f aca="false">IFERROR(MATCH($M68,MonthList,0),0)</f>
        <v>0</v>
      </c>
      <c r="W68" s="14" t="n">
        <f aca="false">IF(OR($L68&lt;&gt;"Yes",$M68=""),0,$U68*MAX(0,7-$V68)/12)</f>
        <v>0</v>
      </c>
      <c r="X68" s="14" t="n">
        <f aca="false">IF(OR($L68&lt;&gt;"Yes",$M68=""),0,$U68*IF($V68&lt;=7,12,19-$V68)/12)</f>
        <v>0</v>
      </c>
      <c r="Y68" s="14" t="n">
        <f aca="false">IF(AND($N68="Yes",$G68&lt;&gt;"Vendor day rates"),$I68-0.4*$P68,0)</f>
        <v>0</v>
      </c>
      <c r="Z68" s="26" t="n">
        <f aca="false">IFERROR(MATCH($O68,MonthList,0),0)</f>
        <v>0</v>
      </c>
      <c r="AA68" s="14" t="n">
        <f aca="false">IF(OR($N68&lt;&gt;"Yes",$O68=""),0,$Y68*MAX(0,7-$Z68)/12)</f>
        <v>0</v>
      </c>
      <c r="AB68" s="14" t="n">
        <f aca="false">IF(OR($N68&lt;&gt;"Yes",$O68=""),0,$Y68*IF($Z68&lt;=7,12,19-$Z68)/12)</f>
        <v>0</v>
      </c>
      <c r="AC68" s="26" t="str">
        <f aca="false">IF(OR($J68="Yes",$L68="Yes",$N68="Yes"),"Yes","No")</f>
        <v>No</v>
      </c>
      <c r="AD68" s="14" t="n">
        <f aca="false">MAX($Q68,$U68,$Y68)</f>
        <v>0</v>
      </c>
      <c r="AE68" s="26" t="n">
        <f aca="false">$AD68+ROW()*0.000000001</f>
        <v>6.8E-008</v>
      </c>
      <c r="AF68" s="26" t="str">
        <f aca="false">IF($J68="Yes","A","")&amp;IF($L68="Yes","B","")&amp;IF($N68="Yes","C","")</f>
        <v/>
      </c>
    </row>
    <row r="69" customFormat="false" ht="15" hidden="false" customHeight="false" outlineLevel="0" collapsed="false">
      <c r="B69" s="22" t="s">
        <v>208</v>
      </c>
      <c r="C69" s="23" t="s">
        <v>209</v>
      </c>
      <c r="D69" s="23"/>
      <c r="E69" s="23" t="s">
        <v>176</v>
      </c>
      <c r="F69" s="22" t="s">
        <v>57</v>
      </c>
      <c r="G69" s="23" t="s">
        <v>149</v>
      </c>
      <c r="H69" s="24" t="n">
        <v>1</v>
      </c>
      <c r="I69" s="14" t="n">
        <v>0.1948</v>
      </c>
      <c r="J69" s="25" t="s">
        <v>59</v>
      </c>
      <c r="K69" s="25"/>
      <c r="L69" s="25" t="s">
        <v>59</v>
      </c>
      <c r="M69" s="25"/>
      <c r="N69" s="25" t="s">
        <v>59</v>
      </c>
      <c r="O69" s="25"/>
      <c r="P69" s="14" t="n">
        <v>0.3896</v>
      </c>
      <c r="Q69" s="14" t="n">
        <f aca="false">IF(AND($J69="Yes",$G69&lt;&gt;"Vendor day rates"),$I69-0.4*$P69,0)</f>
        <v>0</v>
      </c>
      <c r="R69" s="26" t="n">
        <f aca="false">IFERROR(MATCH($K69,MonthList,0),0)</f>
        <v>0</v>
      </c>
      <c r="S69" s="14" t="n">
        <f aca="false">IF(OR($J69&lt;&gt;"Yes",$K69=""),0,$Q69*MAX(0,7-$R69)/12)</f>
        <v>0</v>
      </c>
      <c r="T69" s="14" t="n">
        <f aca="false">IF(OR($J69&lt;&gt;"Yes",$K69=""),0,$Q69*IF($R69&lt;=7,12,19-$R69)/12)</f>
        <v>0</v>
      </c>
      <c r="U69" s="14" t="n">
        <f aca="false">IF(AND($L69="Yes",$G69&lt;&gt;"Vendor day rates"),$I69-0.4*$P69,0)</f>
        <v>0</v>
      </c>
      <c r="V69" s="26" t="n">
        <f aca="false">IFERROR(MATCH($M69,MonthList,0),0)</f>
        <v>0</v>
      </c>
      <c r="W69" s="14" t="n">
        <f aca="false">IF(OR($L69&lt;&gt;"Yes",$M69=""),0,$U69*MAX(0,7-$V69)/12)</f>
        <v>0</v>
      </c>
      <c r="X69" s="14" t="n">
        <f aca="false">IF(OR($L69&lt;&gt;"Yes",$M69=""),0,$U69*IF($V69&lt;=7,12,19-$V69)/12)</f>
        <v>0</v>
      </c>
      <c r="Y69" s="14" t="n">
        <f aca="false">IF(AND($N69="Yes",$G69&lt;&gt;"Vendor day rates"),$I69-0.4*$P69,0)</f>
        <v>0</v>
      </c>
      <c r="Z69" s="26" t="n">
        <f aca="false">IFERROR(MATCH($O69,MonthList,0),0)</f>
        <v>0</v>
      </c>
      <c r="AA69" s="14" t="n">
        <f aca="false">IF(OR($N69&lt;&gt;"Yes",$O69=""),0,$Y69*MAX(0,7-$Z69)/12)</f>
        <v>0</v>
      </c>
      <c r="AB69" s="14" t="n">
        <f aca="false">IF(OR($N69&lt;&gt;"Yes",$O69=""),0,$Y69*IF($Z69&lt;=7,12,19-$Z69)/12)</f>
        <v>0</v>
      </c>
      <c r="AC69" s="26" t="str">
        <f aca="false">IF(OR($J69="Yes",$L69="Yes",$N69="Yes"),"Yes","No")</f>
        <v>No</v>
      </c>
      <c r="AD69" s="14" t="n">
        <f aca="false">MAX($Q69,$U69,$Y69)</f>
        <v>0</v>
      </c>
      <c r="AE69" s="26" t="n">
        <f aca="false">$AD69+ROW()*0.000000001</f>
        <v>6.9E-008</v>
      </c>
      <c r="AF69" s="26" t="str">
        <f aca="false">IF($J69="Yes","A","")&amp;IF($L69="Yes","B","")&amp;IF($N69="Yes","C","")</f>
        <v/>
      </c>
    </row>
    <row r="70" customFormat="false" ht="15" hidden="false" customHeight="false" outlineLevel="0" collapsed="false">
      <c r="B70" s="22" t="s">
        <v>210</v>
      </c>
      <c r="C70" s="23" t="s">
        <v>211</v>
      </c>
      <c r="D70" s="23" t="s">
        <v>212</v>
      </c>
      <c r="E70" s="23" t="s">
        <v>153</v>
      </c>
      <c r="F70" s="22" t="s">
        <v>57</v>
      </c>
      <c r="G70" s="23" t="s">
        <v>58</v>
      </c>
      <c r="H70" s="24" t="n">
        <v>1</v>
      </c>
      <c r="I70" s="14" t="n">
        <v>0.186</v>
      </c>
      <c r="J70" s="25" t="s">
        <v>59</v>
      </c>
      <c r="K70" s="25"/>
      <c r="L70" s="25" t="s">
        <v>59</v>
      </c>
      <c r="M70" s="25"/>
      <c r="N70" s="25" t="s">
        <v>59</v>
      </c>
      <c r="O70" s="25"/>
      <c r="P70" s="14" t="n">
        <v>0.186</v>
      </c>
      <c r="Q70" s="14" t="n">
        <f aca="false">IF(AND($J70="Yes",$G70&lt;&gt;"Vendor day rates"),$I70-0.4*$P70,0)</f>
        <v>0</v>
      </c>
      <c r="R70" s="26" t="n">
        <f aca="false">IFERROR(MATCH($K70,MonthList,0),0)</f>
        <v>0</v>
      </c>
      <c r="S70" s="14" t="n">
        <f aca="false">IF(OR($J70&lt;&gt;"Yes",$K70=""),0,$Q70*MAX(0,7-$R70)/12)</f>
        <v>0</v>
      </c>
      <c r="T70" s="14" t="n">
        <f aca="false">IF(OR($J70&lt;&gt;"Yes",$K70=""),0,$Q70*IF($R70&lt;=7,12,19-$R70)/12)</f>
        <v>0</v>
      </c>
      <c r="U70" s="14" t="n">
        <f aca="false">IF(AND($L70="Yes",$G70&lt;&gt;"Vendor day rates"),$I70-0.4*$P70,0)</f>
        <v>0</v>
      </c>
      <c r="V70" s="26" t="n">
        <f aca="false">IFERROR(MATCH($M70,MonthList,0),0)</f>
        <v>0</v>
      </c>
      <c r="W70" s="14" t="n">
        <f aca="false">IF(OR($L70&lt;&gt;"Yes",$M70=""),0,$U70*MAX(0,7-$V70)/12)</f>
        <v>0</v>
      </c>
      <c r="X70" s="14" t="n">
        <f aca="false">IF(OR($L70&lt;&gt;"Yes",$M70=""),0,$U70*IF($V70&lt;=7,12,19-$V70)/12)</f>
        <v>0</v>
      </c>
      <c r="Y70" s="14" t="n">
        <f aca="false">IF(AND($N70="Yes",$G70&lt;&gt;"Vendor day rates"),$I70-0.4*$P70,0)</f>
        <v>0</v>
      </c>
      <c r="Z70" s="26" t="n">
        <f aca="false">IFERROR(MATCH($O70,MonthList,0),0)</f>
        <v>0</v>
      </c>
      <c r="AA70" s="14" t="n">
        <f aca="false">IF(OR($N70&lt;&gt;"Yes",$O70=""),0,$Y70*MAX(0,7-$Z70)/12)</f>
        <v>0</v>
      </c>
      <c r="AB70" s="14" t="n">
        <f aca="false">IF(OR($N70&lt;&gt;"Yes",$O70=""),0,$Y70*IF($Z70&lt;=7,12,19-$Z70)/12)</f>
        <v>0</v>
      </c>
      <c r="AC70" s="26" t="str">
        <f aca="false">IF(OR($J70="Yes",$L70="Yes",$N70="Yes"),"Yes","No")</f>
        <v>No</v>
      </c>
      <c r="AD70" s="14" t="n">
        <f aca="false">MAX($Q70,$U70,$Y70)</f>
        <v>0</v>
      </c>
      <c r="AE70" s="26" t="n">
        <f aca="false">$AD70+ROW()*0.000000001</f>
        <v>7E-008</v>
      </c>
      <c r="AF70" s="26" t="str">
        <f aca="false">IF($J70="Yes","A","")&amp;IF($L70="Yes","B","")&amp;IF($N70="Yes","C","")</f>
        <v/>
      </c>
    </row>
    <row r="71" customFormat="false" ht="15" hidden="false" customHeight="false" outlineLevel="0" collapsed="false">
      <c r="B71" s="22" t="s">
        <v>213</v>
      </c>
      <c r="C71" s="23" t="s">
        <v>214</v>
      </c>
      <c r="D71" s="23" t="s">
        <v>215</v>
      </c>
      <c r="E71" s="23" t="s">
        <v>153</v>
      </c>
      <c r="F71" s="22" t="s">
        <v>112</v>
      </c>
      <c r="G71" s="23" t="s">
        <v>149</v>
      </c>
      <c r="H71" s="24" t="n">
        <v>1</v>
      </c>
      <c r="I71" s="14" t="n">
        <v>0.2914</v>
      </c>
      <c r="J71" s="25" t="s">
        <v>59</v>
      </c>
      <c r="K71" s="25"/>
      <c r="L71" s="25" t="s">
        <v>59</v>
      </c>
      <c r="M71" s="25"/>
      <c r="N71" s="25" t="s">
        <v>59</v>
      </c>
      <c r="O71" s="25"/>
      <c r="P71" s="14" t="n">
        <v>0.2914</v>
      </c>
      <c r="Q71" s="14" t="n">
        <f aca="false">IF(AND($J71="Yes",$G71&lt;&gt;"Vendor day rates"),$I71-0.4*$P71,0)</f>
        <v>0</v>
      </c>
      <c r="R71" s="26" t="n">
        <f aca="false">IFERROR(MATCH($K71,MonthList,0),0)</f>
        <v>0</v>
      </c>
      <c r="S71" s="14" t="n">
        <f aca="false">IF(OR($J71&lt;&gt;"Yes",$K71=""),0,$Q71*MAX(0,7-$R71)/12)</f>
        <v>0</v>
      </c>
      <c r="T71" s="14" t="n">
        <f aca="false">IF(OR($J71&lt;&gt;"Yes",$K71=""),0,$Q71*IF($R71&lt;=7,12,19-$R71)/12)</f>
        <v>0</v>
      </c>
      <c r="U71" s="14" t="n">
        <f aca="false">IF(AND($L71="Yes",$G71&lt;&gt;"Vendor day rates"),$I71-0.4*$P71,0)</f>
        <v>0</v>
      </c>
      <c r="V71" s="26" t="n">
        <f aca="false">IFERROR(MATCH($M71,MonthList,0),0)</f>
        <v>0</v>
      </c>
      <c r="W71" s="14" t="n">
        <f aca="false">IF(OR($L71&lt;&gt;"Yes",$M71=""),0,$U71*MAX(0,7-$V71)/12)</f>
        <v>0</v>
      </c>
      <c r="X71" s="14" t="n">
        <f aca="false">IF(OR($L71&lt;&gt;"Yes",$M71=""),0,$U71*IF($V71&lt;=7,12,19-$V71)/12)</f>
        <v>0</v>
      </c>
      <c r="Y71" s="14" t="n">
        <f aca="false">IF(AND($N71="Yes",$G71&lt;&gt;"Vendor day rates"),$I71-0.4*$P71,0)</f>
        <v>0</v>
      </c>
      <c r="Z71" s="26" t="n">
        <f aca="false">IFERROR(MATCH($O71,MonthList,0),0)</f>
        <v>0</v>
      </c>
      <c r="AA71" s="14" t="n">
        <f aca="false">IF(OR($N71&lt;&gt;"Yes",$O71=""),0,$Y71*MAX(0,7-$Z71)/12)</f>
        <v>0</v>
      </c>
      <c r="AB71" s="14" t="n">
        <f aca="false">IF(OR($N71&lt;&gt;"Yes",$O71=""),0,$Y71*IF($Z71&lt;=7,12,19-$Z71)/12)</f>
        <v>0</v>
      </c>
      <c r="AC71" s="26" t="str">
        <f aca="false">IF(OR($J71="Yes",$L71="Yes",$N71="Yes"),"Yes","No")</f>
        <v>No</v>
      </c>
      <c r="AD71" s="14" t="n">
        <f aca="false">MAX($Q71,$U71,$Y71)</f>
        <v>0</v>
      </c>
      <c r="AE71" s="26" t="n">
        <f aca="false">$AD71+ROW()*0.000000001</f>
        <v>7.1E-008</v>
      </c>
      <c r="AF71" s="26" t="str">
        <f aca="false">IF($J71="Yes","A","")&amp;IF($L71="Yes","B","")&amp;IF($N71="Yes","C","")</f>
        <v/>
      </c>
    </row>
    <row r="72" customFormat="false" ht="15" hidden="false" customHeight="false" outlineLevel="0" collapsed="false">
      <c r="B72" s="22" t="s">
        <v>216</v>
      </c>
      <c r="C72" s="23" t="s">
        <v>217</v>
      </c>
      <c r="D72" s="23" t="s">
        <v>152</v>
      </c>
      <c r="E72" s="23" t="s">
        <v>217</v>
      </c>
      <c r="F72" s="22" t="s">
        <v>112</v>
      </c>
      <c r="G72" s="23" t="s">
        <v>58</v>
      </c>
      <c r="H72" s="24" t="n">
        <v>1</v>
      </c>
      <c r="I72" s="14" t="n">
        <v>0.222</v>
      </c>
      <c r="J72" s="25" t="s">
        <v>59</v>
      </c>
      <c r="K72" s="25"/>
      <c r="L72" s="25" t="s">
        <v>59</v>
      </c>
      <c r="M72" s="25"/>
      <c r="N72" s="25" t="s">
        <v>59</v>
      </c>
      <c r="O72" s="25"/>
      <c r="P72" s="14" t="n">
        <v>0.222</v>
      </c>
      <c r="Q72" s="14" t="n">
        <f aca="false">IF(AND($J72="Yes",$G72&lt;&gt;"Vendor day rates"),$I72-0.4*$P72,0)</f>
        <v>0</v>
      </c>
      <c r="R72" s="26" t="n">
        <f aca="false">IFERROR(MATCH($K72,MonthList,0),0)</f>
        <v>0</v>
      </c>
      <c r="S72" s="14" t="n">
        <f aca="false">IF(OR($J72&lt;&gt;"Yes",$K72=""),0,$Q72*MAX(0,7-$R72)/12)</f>
        <v>0</v>
      </c>
      <c r="T72" s="14" t="n">
        <f aca="false">IF(OR($J72&lt;&gt;"Yes",$K72=""),0,$Q72*IF($R72&lt;=7,12,19-$R72)/12)</f>
        <v>0</v>
      </c>
      <c r="U72" s="14" t="n">
        <f aca="false">IF(AND($L72="Yes",$G72&lt;&gt;"Vendor day rates"),$I72-0.4*$P72,0)</f>
        <v>0</v>
      </c>
      <c r="V72" s="26" t="n">
        <f aca="false">IFERROR(MATCH($M72,MonthList,0),0)</f>
        <v>0</v>
      </c>
      <c r="W72" s="14" t="n">
        <f aca="false">IF(OR($L72&lt;&gt;"Yes",$M72=""),0,$U72*MAX(0,7-$V72)/12)</f>
        <v>0</v>
      </c>
      <c r="X72" s="14" t="n">
        <f aca="false">IF(OR($L72&lt;&gt;"Yes",$M72=""),0,$U72*IF($V72&lt;=7,12,19-$V72)/12)</f>
        <v>0</v>
      </c>
      <c r="Y72" s="14" t="n">
        <f aca="false">IF(AND($N72="Yes",$G72&lt;&gt;"Vendor day rates"),$I72-0.4*$P72,0)</f>
        <v>0</v>
      </c>
      <c r="Z72" s="26" t="n">
        <f aca="false">IFERROR(MATCH($O72,MonthList,0),0)</f>
        <v>0</v>
      </c>
      <c r="AA72" s="14" t="n">
        <f aca="false">IF(OR($N72&lt;&gt;"Yes",$O72=""),0,$Y72*MAX(0,7-$Z72)/12)</f>
        <v>0</v>
      </c>
      <c r="AB72" s="14" t="n">
        <f aca="false">IF(OR($N72&lt;&gt;"Yes",$O72=""),0,$Y72*IF($Z72&lt;=7,12,19-$Z72)/12)</f>
        <v>0</v>
      </c>
      <c r="AC72" s="26" t="str">
        <f aca="false">IF(OR($J72="Yes",$L72="Yes",$N72="Yes"),"Yes","No")</f>
        <v>No</v>
      </c>
      <c r="AD72" s="14" t="n">
        <f aca="false">MAX($Q72,$U72,$Y72)</f>
        <v>0</v>
      </c>
      <c r="AE72" s="26" t="n">
        <f aca="false">$AD72+ROW()*0.000000001</f>
        <v>7.2E-008</v>
      </c>
      <c r="AF72" s="26" t="str">
        <f aca="false">IF($J72="Yes","A","")&amp;IF($L72="Yes","B","")&amp;IF($N72="Yes","C","")</f>
        <v/>
      </c>
    </row>
    <row r="73" customFormat="false" ht="15" hidden="false" customHeight="false" outlineLevel="0" collapsed="false">
      <c r="B73" s="22" t="s">
        <v>218</v>
      </c>
      <c r="C73" s="23" t="s">
        <v>219</v>
      </c>
      <c r="D73" s="23" t="s">
        <v>152</v>
      </c>
      <c r="E73" s="23" t="s">
        <v>173</v>
      </c>
      <c r="F73" s="22" t="s">
        <v>112</v>
      </c>
      <c r="G73" s="23" t="s">
        <v>58</v>
      </c>
      <c r="H73" s="24" t="n">
        <v>1</v>
      </c>
      <c r="I73" s="14" t="n">
        <v>0.2077</v>
      </c>
      <c r="J73" s="25" t="s">
        <v>59</v>
      </c>
      <c r="K73" s="25"/>
      <c r="L73" s="25" t="s">
        <v>59</v>
      </c>
      <c r="M73" s="25"/>
      <c r="N73" s="25" t="s">
        <v>59</v>
      </c>
      <c r="O73" s="25"/>
      <c r="P73" s="14" t="n">
        <v>0.2077</v>
      </c>
      <c r="Q73" s="14" t="n">
        <f aca="false">IF(AND($J73="Yes",$G73&lt;&gt;"Vendor day rates"),$I73-0.4*$P73,0)</f>
        <v>0</v>
      </c>
      <c r="R73" s="26" t="n">
        <f aca="false">IFERROR(MATCH($K73,MonthList,0),0)</f>
        <v>0</v>
      </c>
      <c r="S73" s="14" t="n">
        <f aca="false">IF(OR($J73&lt;&gt;"Yes",$K73=""),0,$Q73*MAX(0,7-$R73)/12)</f>
        <v>0</v>
      </c>
      <c r="T73" s="14" t="n">
        <f aca="false">IF(OR($J73&lt;&gt;"Yes",$K73=""),0,$Q73*IF($R73&lt;=7,12,19-$R73)/12)</f>
        <v>0</v>
      </c>
      <c r="U73" s="14" t="n">
        <f aca="false">IF(AND($L73="Yes",$G73&lt;&gt;"Vendor day rates"),$I73-0.4*$P73,0)</f>
        <v>0</v>
      </c>
      <c r="V73" s="26" t="n">
        <f aca="false">IFERROR(MATCH($M73,MonthList,0),0)</f>
        <v>0</v>
      </c>
      <c r="W73" s="14" t="n">
        <f aca="false">IF(OR($L73&lt;&gt;"Yes",$M73=""),0,$U73*MAX(0,7-$V73)/12)</f>
        <v>0</v>
      </c>
      <c r="X73" s="14" t="n">
        <f aca="false">IF(OR($L73&lt;&gt;"Yes",$M73=""),0,$U73*IF($V73&lt;=7,12,19-$V73)/12)</f>
        <v>0</v>
      </c>
      <c r="Y73" s="14" t="n">
        <f aca="false">IF(AND($N73="Yes",$G73&lt;&gt;"Vendor day rates"),$I73-0.4*$P73,0)</f>
        <v>0</v>
      </c>
      <c r="Z73" s="26" t="n">
        <f aca="false">IFERROR(MATCH($O73,MonthList,0),0)</f>
        <v>0</v>
      </c>
      <c r="AA73" s="14" t="n">
        <f aca="false">IF(OR($N73&lt;&gt;"Yes",$O73=""),0,$Y73*MAX(0,7-$Z73)/12)</f>
        <v>0</v>
      </c>
      <c r="AB73" s="14" t="n">
        <f aca="false">IF(OR($N73&lt;&gt;"Yes",$O73=""),0,$Y73*IF($Z73&lt;=7,12,19-$Z73)/12)</f>
        <v>0</v>
      </c>
      <c r="AC73" s="26" t="str">
        <f aca="false">IF(OR($J73="Yes",$L73="Yes",$N73="Yes"),"Yes","No")</f>
        <v>No</v>
      </c>
      <c r="AD73" s="14" t="n">
        <f aca="false">MAX($Q73,$U73,$Y73)</f>
        <v>0</v>
      </c>
      <c r="AE73" s="26" t="n">
        <f aca="false">$AD73+ROW()*0.000000001</f>
        <v>7.3E-008</v>
      </c>
      <c r="AF73" s="26" t="str">
        <f aca="false">IF($J73="Yes","A","")&amp;IF($L73="Yes","B","")&amp;IF($N73="Yes","C","")</f>
        <v/>
      </c>
    </row>
    <row r="74" customFormat="false" ht="15" hidden="false" customHeight="false" outlineLevel="0" collapsed="false">
      <c r="B74" s="22" t="s">
        <v>220</v>
      </c>
      <c r="C74" s="23" t="s">
        <v>221</v>
      </c>
      <c r="D74" s="23" t="s">
        <v>152</v>
      </c>
      <c r="E74" s="23" t="s">
        <v>173</v>
      </c>
      <c r="F74" s="22" t="s">
        <v>112</v>
      </c>
      <c r="G74" s="23" t="s">
        <v>58</v>
      </c>
      <c r="H74" s="24" t="n">
        <v>1</v>
      </c>
      <c r="I74" s="14" t="n">
        <v>0.2232</v>
      </c>
      <c r="J74" s="25" t="s">
        <v>59</v>
      </c>
      <c r="K74" s="25"/>
      <c r="L74" s="25" t="s">
        <v>59</v>
      </c>
      <c r="M74" s="25"/>
      <c r="N74" s="25" t="s">
        <v>59</v>
      </c>
      <c r="O74" s="25"/>
      <c r="P74" s="14" t="n">
        <v>0.2232</v>
      </c>
      <c r="Q74" s="14" t="n">
        <f aca="false">IF(AND($J74="Yes",$G74&lt;&gt;"Vendor day rates"),$I74-0.4*$P74,0)</f>
        <v>0</v>
      </c>
      <c r="R74" s="26" t="n">
        <f aca="false">IFERROR(MATCH($K74,MonthList,0),0)</f>
        <v>0</v>
      </c>
      <c r="S74" s="14" t="n">
        <f aca="false">IF(OR($J74&lt;&gt;"Yes",$K74=""),0,$Q74*MAX(0,7-$R74)/12)</f>
        <v>0</v>
      </c>
      <c r="T74" s="14" t="n">
        <f aca="false">IF(OR($J74&lt;&gt;"Yes",$K74=""),0,$Q74*IF($R74&lt;=7,12,19-$R74)/12)</f>
        <v>0</v>
      </c>
      <c r="U74" s="14" t="n">
        <f aca="false">IF(AND($L74="Yes",$G74&lt;&gt;"Vendor day rates"),$I74-0.4*$P74,0)</f>
        <v>0</v>
      </c>
      <c r="V74" s="26" t="n">
        <f aca="false">IFERROR(MATCH($M74,MonthList,0),0)</f>
        <v>0</v>
      </c>
      <c r="W74" s="14" t="n">
        <f aca="false">IF(OR($L74&lt;&gt;"Yes",$M74=""),0,$U74*MAX(0,7-$V74)/12)</f>
        <v>0</v>
      </c>
      <c r="X74" s="14" t="n">
        <f aca="false">IF(OR($L74&lt;&gt;"Yes",$M74=""),0,$U74*IF($V74&lt;=7,12,19-$V74)/12)</f>
        <v>0</v>
      </c>
      <c r="Y74" s="14" t="n">
        <f aca="false">IF(AND($N74="Yes",$G74&lt;&gt;"Vendor day rates"),$I74-0.4*$P74,0)</f>
        <v>0</v>
      </c>
      <c r="Z74" s="26" t="n">
        <f aca="false">IFERROR(MATCH($O74,MonthList,0),0)</f>
        <v>0</v>
      </c>
      <c r="AA74" s="14" t="n">
        <f aca="false">IF(OR($N74&lt;&gt;"Yes",$O74=""),0,$Y74*MAX(0,7-$Z74)/12)</f>
        <v>0</v>
      </c>
      <c r="AB74" s="14" t="n">
        <f aca="false">IF(OR($N74&lt;&gt;"Yes",$O74=""),0,$Y74*IF($Z74&lt;=7,12,19-$Z74)/12)</f>
        <v>0</v>
      </c>
      <c r="AC74" s="26" t="str">
        <f aca="false">IF(OR($J74="Yes",$L74="Yes",$N74="Yes"),"Yes","No")</f>
        <v>No</v>
      </c>
      <c r="AD74" s="14" t="n">
        <f aca="false">MAX($Q74,$U74,$Y74)</f>
        <v>0</v>
      </c>
      <c r="AE74" s="26" t="n">
        <f aca="false">$AD74+ROW()*0.000000001</f>
        <v>7.4E-008</v>
      </c>
      <c r="AF74" s="26" t="str">
        <f aca="false">IF($J74="Yes","A","")&amp;IF($L74="Yes","B","")&amp;IF($N74="Yes","C","")</f>
        <v/>
      </c>
    </row>
    <row r="75" customFormat="false" ht="15" hidden="false" customHeight="false" outlineLevel="0" collapsed="false">
      <c r="B75" s="22" t="s">
        <v>222</v>
      </c>
      <c r="C75" s="23" t="s">
        <v>223</v>
      </c>
      <c r="D75" s="23" t="s">
        <v>62</v>
      </c>
      <c r="E75" s="23" t="s">
        <v>224</v>
      </c>
      <c r="F75" s="22" t="s">
        <v>57</v>
      </c>
      <c r="G75" s="23" t="s">
        <v>58</v>
      </c>
      <c r="H75" s="24" t="n">
        <v>1</v>
      </c>
      <c r="I75" s="14" t="n">
        <v>0.3397</v>
      </c>
      <c r="J75" s="25" t="s">
        <v>59</v>
      </c>
      <c r="K75" s="25"/>
      <c r="L75" s="25" t="s">
        <v>59</v>
      </c>
      <c r="M75" s="25"/>
      <c r="N75" s="25" t="s">
        <v>59</v>
      </c>
      <c r="O75" s="25"/>
      <c r="P75" s="14" t="n">
        <v>0.3397</v>
      </c>
      <c r="Q75" s="14" t="n">
        <f aca="false">IF(AND($J75="Yes",$G75&lt;&gt;"Vendor day rates"),$I75-0.4*$P75,0)</f>
        <v>0</v>
      </c>
      <c r="R75" s="26" t="n">
        <f aca="false">IFERROR(MATCH($K75,MonthList,0),0)</f>
        <v>0</v>
      </c>
      <c r="S75" s="14" t="n">
        <f aca="false">IF(OR($J75&lt;&gt;"Yes",$K75=""),0,$Q75*MAX(0,7-$R75)/12)</f>
        <v>0</v>
      </c>
      <c r="T75" s="14" t="n">
        <f aca="false">IF(OR($J75&lt;&gt;"Yes",$K75=""),0,$Q75*IF($R75&lt;=7,12,19-$R75)/12)</f>
        <v>0</v>
      </c>
      <c r="U75" s="14" t="n">
        <f aca="false">IF(AND($L75="Yes",$G75&lt;&gt;"Vendor day rates"),$I75-0.4*$P75,0)</f>
        <v>0</v>
      </c>
      <c r="V75" s="26" t="n">
        <f aca="false">IFERROR(MATCH($M75,MonthList,0),0)</f>
        <v>0</v>
      </c>
      <c r="W75" s="14" t="n">
        <f aca="false">IF(OR($L75&lt;&gt;"Yes",$M75=""),0,$U75*MAX(0,7-$V75)/12)</f>
        <v>0</v>
      </c>
      <c r="X75" s="14" t="n">
        <f aca="false">IF(OR($L75&lt;&gt;"Yes",$M75=""),0,$U75*IF($V75&lt;=7,12,19-$V75)/12)</f>
        <v>0</v>
      </c>
      <c r="Y75" s="14" t="n">
        <f aca="false">IF(AND($N75="Yes",$G75&lt;&gt;"Vendor day rates"),$I75-0.4*$P75,0)</f>
        <v>0</v>
      </c>
      <c r="Z75" s="26" t="n">
        <f aca="false">IFERROR(MATCH($O75,MonthList,0),0)</f>
        <v>0</v>
      </c>
      <c r="AA75" s="14" t="n">
        <f aca="false">IF(OR($N75&lt;&gt;"Yes",$O75=""),0,$Y75*MAX(0,7-$Z75)/12)</f>
        <v>0</v>
      </c>
      <c r="AB75" s="14" t="n">
        <f aca="false">IF(OR($N75&lt;&gt;"Yes",$O75=""),0,$Y75*IF($Z75&lt;=7,12,19-$Z75)/12)</f>
        <v>0</v>
      </c>
      <c r="AC75" s="26" t="str">
        <f aca="false">IF(OR($J75="Yes",$L75="Yes",$N75="Yes"),"Yes","No")</f>
        <v>No</v>
      </c>
      <c r="AD75" s="14" t="n">
        <f aca="false">MAX($Q75,$U75,$Y75)</f>
        <v>0</v>
      </c>
      <c r="AE75" s="26" t="n">
        <f aca="false">$AD75+ROW()*0.000000001</f>
        <v>7.5E-008</v>
      </c>
      <c r="AF75" s="26" t="str">
        <f aca="false">IF($J75="Yes","A","")&amp;IF($L75="Yes","B","")&amp;IF($N75="Yes","C","")</f>
        <v/>
      </c>
    </row>
    <row r="76" customFormat="false" ht="15" hidden="false" customHeight="false" outlineLevel="0" collapsed="false">
      <c r="B76" s="22" t="s">
        <v>225</v>
      </c>
      <c r="C76" s="23" t="s">
        <v>226</v>
      </c>
      <c r="D76" s="23" t="s">
        <v>62</v>
      </c>
      <c r="E76" s="23" t="s">
        <v>56</v>
      </c>
      <c r="F76" s="22" t="s">
        <v>57</v>
      </c>
      <c r="G76" s="23" t="s">
        <v>149</v>
      </c>
      <c r="H76" s="24" t="n">
        <v>1</v>
      </c>
      <c r="I76" s="14" t="n">
        <v>0.3049</v>
      </c>
      <c r="J76" s="25" t="s">
        <v>59</v>
      </c>
      <c r="K76" s="25"/>
      <c r="L76" s="25" t="s">
        <v>59</v>
      </c>
      <c r="M76" s="25"/>
      <c r="N76" s="25" t="s">
        <v>59</v>
      </c>
      <c r="O76" s="25"/>
      <c r="P76" s="14" t="n">
        <v>0.3049</v>
      </c>
      <c r="Q76" s="14" t="n">
        <f aca="false">IF(AND($J76="Yes",$G76&lt;&gt;"Vendor day rates"),$I76-0.4*$P76,0)</f>
        <v>0</v>
      </c>
      <c r="R76" s="26" t="n">
        <f aca="false">IFERROR(MATCH($K76,MonthList,0),0)</f>
        <v>0</v>
      </c>
      <c r="S76" s="14" t="n">
        <f aca="false">IF(OR($J76&lt;&gt;"Yes",$K76=""),0,$Q76*MAX(0,7-$R76)/12)</f>
        <v>0</v>
      </c>
      <c r="T76" s="14" t="n">
        <f aca="false">IF(OR($J76&lt;&gt;"Yes",$K76=""),0,$Q76*IF($R76&lt;=7,12,19-$R76)/12)</f>
        <v>0</v>
      </c>
      <c r="U76" s="14" t="n">
        <f aca="false">IF(AND($L76="Yes",$G76&lt;&gt;"Vendor day rates"),$I76-0.4*$P76,0)</f>
        <v>0</v>
      </c>
      <c r="V76" s="26" t="n">
        <f aca="false">IFERROR(MATCH($M76,MonthList,0),0)</f>
        <v>0</v>
      </c>
      <c r="W76" s="14" t="n">
        <f aca="false">IF(OR($L76&lt;&gt;"Yes",$M76=""),0,$U76*MAX(0,7-$V76)/12)</f>
        <v>0</v>
      </c>
      <c r="X76" s="14" t="n">
        <f aca="false">IF(OR($L76&lt;&gt;"Yes",$M76=""),0,$U76*IF($V76&lt;=7,12,19-$V76)/12)</f>
        <v>0</v>
      </c>
      <c r="Y76" s="14" t="n">
        <f aca="false">IF(AND($N76="Yes",$G76&lt;&gt;"Vendor day rates"),$I76-0.4*$P76,0)</f>
        <v>0</v>
      </c>
      <c r="Z76" s="26" t="n">
        <f aca="false">IFERROR(MATCH($O76,MonthList,0),0)</f>
        <v>0</v>
      </c>
      <c r="AA76" s="14" t="n">
        <f aca="false">IF(OR($N76&lt;&gt;"Yes",$O76=""),0,$Y76*MAX(0,7-$Z76)/12)</f>
        <v>0</v>
      </c>
      <c r="AB76" s="14" t="n">
        <f aca="false">IF(OR($N76&lt;&gt;"Yes",$O76=""),0,$Y76*IF($Z76&lt;=7,12,19-$Z76)/12)</f>
        <v>0</v>
      </c>
      <c r="AC76" s="26" t="str">
        <f aca="false">IF(OR($J76="Yes",$L76="Yes",$N76="Yes"),"Yes","No")</f>
        <v>No</v>
      </c>
      <c r="AD76" s="14" t="n">
        <f aca="false">MAX($Q76,$U76,$Y76)</f>
        <v>0</v>
      </c>
      <c r="AE76" s="26" t="n">
        <f aca="false">$AD76+ROW()*0.000000001</f>
        <v>7.6E-008</v>
      </c>
      <c r="AF76" s="26" t="str">
        <f aca="false">IF($J76="Yes","A","")&amp;IF($L76="Yes","B","")&amp;IF($N76="Yes","C","")</f>
        <v/>
      </c>
    </row>
    <row r="77" customFormat="false" ht="15" hidden="false" customHeight="false" outlineLevel="0" collapsed="false">
      <c r="B77" s="22" t="s">
        <v>227</v>
      </c>
      <c r="C77" s="23" t="s">
        <v>217</v>
      </c>
      <c r="D77" s="23" t="s">
        <v>62</v>
      </c>
      <c r="E77" s="23" t="s">
        <v>217</v>
      </c>
      <c r="F77" s="22" t="s">
        <v>57</v>
      </c>
      <c r="G77" s="23" t="s">
        <v>58</v>
      </c>
      <c r="H77" s="24" t="n">
        <v>1</v>
      </c>
      <c r="I77" s="14" t="n">
        <v>0.3049</v>
      </c>
      <c r="J77" s="25" t="s">
        <v>59</v>
      </c>
      <c r="K77" s="25"/>
      <c r="L77" s="25" t="s">
        <v>59</v>
      </c>
      <c r="M77" s="25"/>
      <c r="N77" s="25" t="s">
        <v>59</v>
      </c>
      <c r="O77" s="25"/>
      <c r="P77" s="14" t="n">
        <v>0.3049</v>
      </c>
      <c r="Q77" s="14" t="n">
        <f aca="false">IF(AND($J77="Yes",$G77&lt;&gt;"Vendor day rates"),$I77-0.4*$P77,0)</f>
        <v>0</v>
      </c>
      <c r="R77" s="26" t="n">
        <f aca="false">IFERROR(MATCH($K77,MonthList,0),0)</f>
        <v>0</v>
      </c>
      <c r="S77" s="14" t="n">
        <f aca="false">IF(OR($J77&lt;&gt;"Yes",$K77=""),0,$Q77*MAX(0,7-$R77)/12)</f>
        <v>0</v>
      </c>
      <c r="T77" s="14" t="n">
        <f aca="false">IF(OR($J77&lt;&gt;"Yes",$K77=""),0,$Q77*IF($R77&lt;=7,12,19-$R77)/12)</f>
        <v>0</v>
      </c>
      <c r="U77" s="14" t="n">
        <f aca="false">IF(AND($L77="Yes",$G77&lt;&gt;"Vendor day rates"),$I77-0.4*$P77,0)</f>
        <v>0</v>
      </c>
      <c r="V77" s="26" t="n">
        <f aca="false">IFERROR(MATCH($M77,MonthList,0),0)</f>
        <v>0</v>
      </c>
      <c r="W77" s="14" t="n">
        <f aca="false">IF(OR($L77&lt;&gt;"Yes",$M77=""),0,$U77*MAX(0,7-$V77)/12)</f>
        <v>0</v>
      </c>
      <c r="X77" s="14" t="n">
        <f aca="false">IF(OR($L77&lt;&gt;"Yes",$M77=""),0,$U77*IF($V77&lt;=7,12,19-$V77)/12)</f>
        <v>0</v>
      </c>
      <c r="Y77" s="14" t="n">
        <f aca="false">IF(AND($N77="Yes",$G77&lt;&gt;"Vendor day rates"),$I77-0.4*$P77,0)</f>
        <v>0</v>
      </c>
      <c r="Z77" s="26" t="n">
        <f aca="false">IFERROR(MATCH($O77,MonthList,0),0)</f>
        <v>0</v>
      </c>
      <c r="AA77" s="14" t="n">
        <f aca="false">IF(OR($N77&lt;&gt;"Yes",$O77=""),0,$Y77*MAX(0,7-$Z77)/12)</f>
        <v>0</v>
      </c>
      <c r="AB77" s="14" t="n">
        <f aca="false">IF(OR($N77&lt;&gt;"Yes",$O77=""),0,$Y77*IF($Z77&lt;=7,12,19-$Z77)/12)</f>
        <v>0</v>
      </c>
      <c r="AC77" s="26" t="str">
        <f aca="false">IF(OR($J77="Yes",$L77="Yes",$N77="Yes"),"Yes","No")</f>
        <v>No</v>
      </c>
      <c r="AD77" s="14" t="n">
        <f aca="false">MAX($Q77,$U77,$Y77)</f>
        <v>0</v>
      </c>
      <c r="AE77" s="26" t="n">
        <f aca="false">$AD77+ROW()*0.000000001</f>
        <v>7.7E-008</v>
      </c>
      <c r="AF77" s="26" t="str">
        <f aca="false">IF($J77="Yes","A","")&amp;IF($L77="Yes","B","")&amp;IF($N77="Yes","C","")</f>
        <v/>
      </c>
    </row>
    <row r="78" customFormat="false" ht="15" hidden="false" customHeight="false" outlineLevel="0" collapsed="false">
      <c r="B78" s="22" t="s">
        <v>228</v>
      </c>
      <c r="C78" s="23" t="s">
        <v>229</v>
      </c>
      <c r="D78" s="23" t="s">
        <v>152</v>
      </c>
      <c r="E78" s="23" t="s">
        <v>230</v>
      </c>
      <c r="F78" s="22" t="s">
        <v>112</v>
      </c>
      <c r="G78" s="23" t="s">
        <v>58</v>
      </c>
      <c r="H78" s="24" t="n">
        <v>1</v>
      </c>
      <c r="I78" s="14" t="n">
        <v>0.2092</v>
      </c>
      <c r="J78" s="25" t="s">
        <v>59</v>
      </c>
      <c r="K78" s="25"/>
      <c r="L78" s="25" t="s">
        <v>59</v>
      </c>
      <c r="M78" s="25"/>
      <c r="N78" s="25" t="s">
        <v>59</v>
      </c>
      <c r="O78" s="25"/>
      <c r="P78" s="14" t="n">
        <v>0.2092</v>
      </c>
      <c r="Q78" s="14" t="n">
        <f aca="false">IF(AND($J78="Yes",$G78&lt;&gt;"Vendor day rates"),$I78-0.4*$P78,0)</f>
        <v>0</v>
      </c>
      <c r="R78" s="26" t="n">
        <f aca="false">IFERROR(MATCH($K78,MonthList,0),0)</f>
        <v>0</v>
      </c>
      <c r="S78" s="14" t="n">
        <f aca="false">IF(OR($J78&lt;&gt;"Yes",$K78=""),0,$Q78*MAX(0,7-$R78)/12)</f>
        <v>0</v>
      </c>
      <c r="T78" s="14" t="n">
        <f aca="false">IF(OR($J78&lt;&gt;"Yes",$K78=""),0,$Q78*IF($R78&lt;=7,12,19-$R78)/12)</f>
        <v>0</v>
      </c>
      <c r="U78" s="14" t="n">
        <f aca="false">IF(AND($L78="Yes",$G78&lt;&gt;"Vendor day rates"),$I78-0.4*$P78,0)</f>
        <v>0</v>
      </c>
      <c r="V78" s="26" t="n">
        <f aca="false">IFERROR(MATCH($M78,MonthList,0),0)</f>
        <v>0</v>
      </c>
      <c r="W78" s="14" t="n">
        <f aca="false">IF(OR($L78&lt;&gt;"Yes",$M78=""),0,$U78*MAX(0,7-$V78)/12)</f>
        <v>0</v>
      </c>
      <c r="X78" s="14" t="n">
        <f aca="false">IF(OR($L78&lt;&gt;"Yes",$M78=""),0,$U78*IF($V78&lt;=7,12,19-$V78)/12)</f>
        <v>0</v>
      </c>
      <c r="Y78" s="14" t="n">
        <f aca="false">IF(AND($N78="Yes",$G78&lt;&gt;"Vendor day rates"),$I78-0.4*$P78,0)</f>
        <v>0</v>
      </c>
      <c r="Z78" s="26" t="n">
        <f aca="false">IFERROR(MATCH($O78,MonthList,0),0)</f>
        <v>0</v>
      </c>
      <c r="AA78" s="14" t="n">
        <f aca="false">IF(OR($N78&lt;&gt;"Yes",$O78=""),0,$Y78*MAX(0,7-$Z78)/12)</f>
        <v>0</v>
      </c>
      <c r="AB78" s="14" t="n">
        <f aca="false">IF(OR($N78&lt;&gt;"Yes",$O78=""),0,$Y78*IF($Z78&lt;=7,12,19-$Z78)/12)</f>
        <v>0</v>
      </c>
      <c r="AC78" s="26" t="str">
        <f aca="false">IF(OR($J78="Yes",$L78="Yes",$N78="Yes"),"Yes","No")</f>
        <v>No</v>
      </c>
      <c r="AD78" s="14" t="n">
        <f aca="false">MAX($Q78,$U78,$Y78)</f>
        <v>0</v>
      </c>
      <c r="AE78" s="26" t="n">
        <f aca="false">$AD78+ROW()*0.000000001</f>
        <v>7.8E-008</v>
      </c>
      <c r="AF78" s="26" t="str">
        <f aca="false">IF($J78="Yes","A","")&amp;IF($L78="Yes","B","")&amp;IF($N78="Yes","C","")</f>
        <v/>
      </c>
    </row>
    <row r="79" customFormat="false" ht="15" hidden="false" customHeight="false" outlineLevel="0" collapsed="false">
      <c r="B79" s="22" t="s">
        <v>231</v>
      </c>
      <c r="C79" s="23" t="s">
        <v>232</v>
      </c>
      <c r="D79" s="23" t="s">
        <v>62</v>
      </c>
      <c r="E79" s="23" t="s">
        <v>173</v>
      </c>
      <c r="F79" s="22" t="s">
        <v>57</v>
      </c>
      <c r="G79" s="23" t="s">
        <v>58</v>
      </c>
      <c r="H79" s="24" t="n">
        <v>1</v>
      </c>
      <c r="I79" s="14" t="n">
        <v>0.3011</v>
      </c>
      <c r="J79" s="25" t="s">
        <v>59</v>
      </c>
      <c r="K79" s="25"/>
      <c r="L79" s="25" t="s">
        <v>59</v>
      </c>
      <c r="M79" s="25"/>
      <c r="N79" s="25" t="s">
        <v>59</v>
      </c>
      <c r="O79" s="25"/>
      <c r="P79" s="14" t="n">
        <v>0.3011</v>
      </c>
      <c r="Q79" s="14" t="n">
        <f aca="false">IF(AND($J79="Yes",$G79&lt;&gt;"Vendor day rates"),$I79-0.4*$P79,0)</f>
        <v>0</v>
      </c>
      <c r="R79" s="26" t="n">
        <f aca="false">IFERROR(MATCH($K79,MonthList,0),0)</f>
        <v>0</v>
      </c>
      <c r="S79" s="14" t="n">
        <f aca="false">IF(OR($J79&lt;&gt;"Yes",$K79=""),0,$Q79*MAX(0,7-$R79)/12)</f>
        <v>0</v>
      </c>
      <c r="T79" s="14" t="n">
        <f aca="false">IF(OR($J79&lt;&gt;"Yes",$K79=""),0,$Q79*IF($R79&lt;=7,12,19-$R79)/12)</f>
        <v>0</v>
      </c>
      <c r="U79" s="14" t="n">
        <f aca="false">IF(AND($L79="Yes",$G79&lt;&gt;"Vendor day rates"),$I79-0.4*$P79,0)</f>
        <v>0</v>
      </c>
      <c r="V79" s="26" t="n">
        <f aca="false">IFERROR(MATCH($M79,MonthList,0),0)</f>
        <v>0</v>
      </c>
      <c r="W79" s="14" t="n">
        <f aca="false">IF(OR($L79&lt;&gt;"Yes",$M79=""),0,$U79*MAX(0,7-$V79)/12)</f>
        <v>0</v>
      </c>
      <c r="X79" s="14" t="n">
        <f aca="false">IF(OR($L79&lt;&gt;"Yes",$M79=""),0,$U79*IF($V79&lt;=7,12,19-$V79)/12)</f>
        <v>0</v>
      </c>
      <c r="Y79" s="14" t="n">
        <f aca="false">IF(AND($N79="Yes",$G79&lt;&gt;"Vendor day rates"),$I79-0.4*$P79,0)</f>
        <v>0</v>
      </c>
      <c r="Z79" s="26" t="n">
        <f aca="false">IFERROR(MATCH($O79,MonthList,0),0)</f>
        <v>0</v>
      </c>
      <c r="AA79" s="14" t="n">
        <f aca="false">IF(OR($N79&lt;&gt;"Yes",$O79=""),0,$Y79*MAX(0,7-$Z79)/12)</f>
        <v>0</v>
      </c>
      <c r="AB79" s="14" t="n">
        <f aca="false">IF(OR($N79&lt;&gt;"Yes",$O79=""),0,$Y79*IF($Z79&lt;=7,12,19-$Z79)/12)</f>
        <v>0</v>
      </c>
      <c r="AC79" s="26" t="str">
        <f aca="false">IF(OR($J79="Yes",$L79="Yes",$N79="Yes"),"Yes","No")</f>
        <v>No</v>
      </c>
      <c r="AD79" s="14" t="n">
        <f aca="false">MAX($Q79,$U79,$Y79)</f>
        <v>0</v>
      </c>
      <c r="AE79" s="26" t="n">
        <f aca="false">$AD79+ROW()*0.000000001</f>
        <v>7.9E-008</v>
      </c>
      <c r="AF79" s="26" t="str">
        <f aca="false">IF($J79="Yes","A","")&amp;IF($L79="Yes","B","")&amp;IF($N79="Yes","C","")</f>
        <v/>
      </c>
    </row>
    <row r="80" customFormat="false" ht="15" hidden="false" customHeight="false" outlineLevel="0" collapsed="false">
      <c r="B80" s="22" t="s">
        <v>233</v>
      </c>
      <c r="C80" s="23" t="s">
        <v>234</v>
      </c>
      <c r="D80" s="23" t="s">
        <v>55</v>
      </c>
      <c r="E80" s="23" t="s">
        <v>56</v>
      </c>
      <c r="F80" s="22" t="s">
        <v>57</v>
      </c>
      <c r="G80" s="23" t="s">
        <v>58</v>
      </c>
      <c r="H80" s="24" t="n">
        <v>1</v>
      </c>
      <c r="I80" s="14" t="n">
        <v>0.3049</v>
      </c>
      <c r="J80" s="25" t="s">
        <v>59</v>
      </c>
      <c r="K80" s="25"/>
      <c r="L80" s="25" t="s">
        <v>59</v>
      </c>
      <c r="M80" s="25"/>
      <c r="N80" s="25" t="s">
        <v>59</v>
      </c>
      <c r="O80" s="25"/>
      <c r="P80" s="14" t="n">
        <v>0.3049</v>
      </c>
      <c r="Q80" s="14" t="n">
        <f aca="false">IF(AND($J80="Yes",$G80&lt;&gt;"Vendor day rates"),$I80-0.4*$P80,0)</f>
        <v>0</v>
      </c>
      <c r="R80" s="26" t="n">
        <f aca="false">IFERROR(MATCH($K80,MonthList,0),0)</f>
        <v>0</v>
      </c>
      <c r="S80" s="14" t="n">
        <f aca="false">IF(OR($J80&lt;&gt;"Yes",$K80=""),0,$Q80*MAX(0,7-$R80)/12)</f>
        <v>0</v>
      </c>
      <c r="T80" s="14" t="n">
        <f aca="false">IF(OR($J80&lt;&gt;"Yes",$K80=""),0,$Q80*IF($R80&lt;=7,12,19-$R80)/12)</f>
        <v>0</v>
      </c>
      <c r="U80" s="14" t="n">
        <f aca="false">IF(AND($L80="Yes",$G80&lt;&gt;"Vendor day rates"),$I80-0.4*$P80,0)</f>
        <v>0</v>
      </c>
      <c r="V80" s="26" t="n">
        <f aca="false">IFERROR(MATCH($M80,MonthList,0),0)</f>
        <v>0</v>
      </c>
      <c r="W80" s="14" t="n">
        <f aca="false">IF(OR($L80&lt;&gt;"Yes",$M80=""),0,$U80*MAX(0,7-$V80)/12)</f>
        <v>0</v>
      </c>
      <c r="X80" s="14" t="n">
        <f aca="false">IF(OR($L80&lt;&gt;"Yes",$M80=""),0,$U80*IF($V80&lt;=7,12,19-$V80)/12)</f>
        <v>0</v>
      </c>
      <c r="Y80" s="14" t="n">
        <f aca="false">IF(AND($N80="Yes",$G80&lt;&gt;"Vendor day rates"),$I80-0.4*$P80,0)</f>
        <v>0</v>
      </c>
      <c r="Z80" s="26" t="n">
        <f aca="false">IFERROR(MATCH($O80,MonthList,0),0)</f>
        <v>0</v>
      </c>
      <c r="AA80" s="14" t="n">
        <f aca="false">IF(OR($N80&lt;&gt;"Yes",$O80=""),0,$Y80*MAX(0,7-$Z80)/12)</f>
        <v>0</v>
      </c>
      <c r="AB80" s="14" t="n">
        <f aca="false">IF(OR($N80&lt;&gt;"Yes",$O80=""),0,$Y80*IF($Z80&lt;=7,12,19-$Z80)/12)</f>
        <v>0</v>
      </c>
      <c r="AC80" s="26" t="str">
        <f aca="false">IF(OR($J80="Yes",$L80="Yes",$N80="Yes"),"Yes","No")</f>
        <v>No</v>
      </c>
      <c r="AD80" s="14" t="n">
        <f aca="false">MAX($Q80,$U80,$Y80)</f>
        <v>0</v>
      </c>
      <c r="AE80" s="26" t="n">
        <f aca="false">$AD80+ROW()*0.000000001</f>
        <v>8E-008</v>
      </c>
      <c r="AF80" s="26" t="str">
        <f aca="false">IF($J80="Yes","A","")&amp;IF($L80="Yes","B","")&amp;IF($N80="Yes","C","")</f>
        <v/>
      </c>
    </row>
    <row r="81" customFormat="false" ht="15" hidden="false" customHeight="false" outlineLevel="0" collapsed="false">
      <c r="B81" s="22" t="s">
        <v>235</v>
      </c>
      <c r="C81" s="23" t="s">
        <v>236</v>
      </c>
      <c r="D81" s="23" t="s">
        <v>62</v>
      </c>
      <c r="E81" s="23" t="s">
        <v>173</v>
      </c>
      <c r="F81" s="22" t="s">
        <v>57</v>
      </c>
      <c r="G81" s="23" t="s">
        <v>149</v>
      </c>
      <c r="H81" s="24" t="n">
        <v>1</v>
      </c>
      <c r="I81" s="14" t="n">
        <v>0.3049</v>
      </c>
      <c r="J81" s="25" t="s">
        <v>59</v>
      </c>
      <c r="K81" s="25"/>
      <c r="L81" s="25" t="s">
        <v>59</v>
      </c>
      <c r="M81" s="25"/>
      <c r="N81" s="25" t="s">
        <v>59</v>
      </c>
      <c r="O81" s="25"/>
      <c r="P81" s="14" t="n">
        <v>0.3049</v>
      </c>
      <c r="Q81" s="14" t="n">
        <f aca="false">IF(AND($J81="Yes",$G81&lt;&gt;"Vendor day rates"),$I81-0.4*$P81,0)</f>
        <v>0</v>
      </c>
      <c r="R81" s="26" t="n">
        <f aca="false">IFERROR(MATCH($K81,MonthList,0),0)</f>
        <v>0</v>
      </c>
      <c r="S81" s="14" t="n">
        <f aca="false">IF(OR($J81&lt;&gt;"Yes",$K81=""),0,$Q81*MAX(0,7-$R81)/12)</f>
        <v>0</v>
      </c>
      <c r="T81" s="14" t="n">
        <f aca="false">IF(OR($J81&lt;&gt;"Yes",$K81=""),0,$Q81*IF($R81&lt;=7,12,19-$R81)/12)</f>
        <v>0</v>
      </c>
      <c r="U81" s="14" t="n">
        <f aca="false">IF(AND($L81="Yes",$G81&lt;&gt;"Vendor day rates"),$I81-0.4*$P81,0)</f>
        <v>0</v>
      </c>
      <c r="V81" s="26" t="n">
        <f aca="false">IFERROR(MATCH($M81,MonthList,0),0)</f>
        <v>0</v>
      </c>
      <c r="W81" s="14" t="n">
        <f aca="false">IF(OR($L81&lt;&gt;"Yes",$M81=""),0,$U81*MAX(0,7-$V81)/12)</f>
        <v>0</v>
      </c>
      <c r="X81" s="14" t="n">
        <f aca="false">IF(OR($L81&lt;&gt;"Yes",$M81=""),0,$U81*IF($V81&lt;=7,12,19-$V81)/12)</f>
        <v>0</v>
      </c>
      <c r="Y81" s="14" t="n">
        <f aca="false">IF(AND($N81="Yes",$G81&lt;&gt;"Vendor day rates"),$I81-0.4*$P81,0)</f>
        <v>0</v>
      </c>
      <c r="Z81" s="26" t="n">
        <f aca="false">IFERROR(MATCH($O81,MonthList,0),0)</f>
        <v>0</v>
      </c>
      <c r="AA81" s="14" t="n">
        <f aca="false">IF(OR($N81&lt;&gt;"Yes",$O81=""),0,$Y81*MAX(0,7-$Z81)/12)</f>
        <v>0</v>
      </c>
      <c r="AB81" s="14" t="n">
        <f aca="false">IF(OR($N81&lt;&gt;"Yes",$O81=""),0,$Y81*IF($Z81&lt;=7,12,19-$Z81)/12)</f>
        <v>0</v>
      </c>
      <c r="AC81" s="26" t="str">
        <f aca="false">IF(OR($J81="Yes",$L81="Yes",$N81="Yes"),"Yes","No")</f>
        <v>No</v>
      </c>
      <c r="AD81" s="14" t="n">
        <f aca="false">MAX($Q81,$U81,$Y81)</f>
        <v>0</v>
      </c>
      <c r="AE81" s="26" t="n">
        <f aca="false">$AD81+ROW()*0.000000001</f>
        <v>8.1E-008</v>
      </c>
      <c r="AF81" s="26" t="str">
        <f aca="false">IF($J81="Yes","A","")&amp;IF($L81="Yes","B","")&amp;IF($N81="Yes","C","")</f>
        <v/>
      </c>
    </row>
    <row r="82" customFormat="false" ht="15" hidden="false" customHeight="false" outlineLevel="0" collapsed="false">
      <c r="B82" s="22" t="s">
        <v>237</v>
      </c>
      <c r="C82" s="23" t="s">
        <v>238</v>
      </c>
      <c r="D82" s="23" t="s">
        <v>91</v>
      </c>
      <c r="E82" s="23" t="s">
        <v>239</v>
      </c>
      <c r="F82" s="22" t="s">
        <v>57</v>
      </c>
      <c r="G82" s="23" t="s">
        <v>58</v>
      </c>
      <c r="H82" s="24" t="n">
        <v>1</v>
      </c>
      <c r="I82" s="14" t="n">
        <v>0.2251</v>
      </c>
      <c r="J82" s="25" t="s">
        <v>59</v>
      </c>
      <c r="K82" s="25"/>
      <c r="L82" s="25" t="s">
        <v>59</v>
      </c>
      <c r="M82" s="25"/>
      <c r="N82" s="25" t="s">
        <v>59</v>
      </c>
      <c r="O82" s="25"/>
      <c r="P82" s="14" t="n">
        <v>0.2251</v>
      </c>
      <c r="Q82" s="14" t="n">
        <f aca="false">IF(AND($J82="Yes",$G82&lt;&gt;"Vendor day rates"),$I82-0.4*$P82,0)</f>
        <v>0</v>
      </c>
      <c r="R82" s="26" t="n">
        <f aca="false">IFERROR(MATCH($K82,MonthList,0),0)</f>
        <v>0</v>
      </c>
      <c r="S82" s="14" t="n">
        <f aca="false">IF(OR($J82&lt;&gt;"Yes",$K82=""),0,$Q82*MAX(0,7-$R82)/12)</f>
        <v>0</v>
      </c>
      <c r="T82" s="14" t="n">
        <f aca="false">IF(OR($J82&lt;&gt;"Yes",$K82=""),0,$Q82*IF($R82&lt;=7,12,19-$R82)/12)</f>
        <v>0</v>
      </c>
      <c r="U82" s="14" t="n">
        <f aca="false">IF(AND($L82="Yes",$G82&lt;&gt;"Vendor day rates"),$I82-0.4*$P82,0)</f>
        <v>0</v>
      </c>
      <c r="V82" s="26" t="n">
        <f aca="false">IFERROR(MATCH($M82,MonthList,0),0)</f>
        <v>0</v>
      </c>
      <c r="W82" s="14" t="n">
        <f aca="false">IF(OR($L82&lt;&gt;"Yes",$M82=""),0,$U82*MAX(0,7-$V82)/12)</f>
        <v>0</v>
      </c>
      <c r="X82" s="14" t="n">
        <f aca="false">IF(OR($L82&lt;&gt;"Yes",$M82=""),0,$U82*IF($V82&lt;=7,12,19-$V82)/12)</f>
        <v>0</v>
      </c>
      <c r="Y82" s="14" t="n">
        <f aca="false">IF(AND($N82="Yes",$G82&lt;&gt;"Vendor day rates"),$I82-0.4*$P82,0)</f>
        <v>0</v>
      </c>
      <c r="Z82" s="26" t="n">
        <f aca="false">IFERROR(MATCH($O82,MonthList,0),0)</f>
        <v>0</v>
      </c>
      <c r="AA82" s="14" t="n">
        <f aca="false">IF(OR($N82&lt;&gt;"Yes",$O82=""),0,$Y82*MAX(0,7-$Z82)/12)</f>
        <v>0</v>
      </c>
      <c r="AB82" s="14" t="n">
        <f aca="false">IF(OR($N82&lt;&gt;"Yes",$O82=""),0,$Y82*IF($Z82&lt;=7,12,19-$Z82)/12)</f>
        <v>0</v>
      </c>
      <c r="AC82" s="26" t="str">
        <f aca="false">IF(OR($J82="Yes",$L82="Yes",$N82="Yes"),"Yes","No")</f>
        <v>No</v>
      </c>
      <c r="AD82" s="14" t="n">
        <f aca="false">MAX($Q82,$U82,$Y82)</f>
        <v>0</v>
      </c>
      <c r="AE82" s="26" t="n">
        <f aca="false">$AD82+ROW()*0.000000001</f>
        <v>8.2E-008</v>
      </c>
      <c r="AF82" s="26" t="str">
        <f aca="false">IF($J82="Yes","A","")&amp;IF($L82="Yes","B","")&amp;IF($N82="Yes","C","")</f>
        <v/>
      </c>
    </row>
    <row r="83" customFormat="false" ht="15" hidden="false" customHeight="false" outlineLevel="0" collapsed="false">
      <c r="B83" s="22" t="s">
        <v>240</v>
      </c>
      <c r="C83" s="23" t="s">
        <v>241</v>
      </c>
      <c r="D83" s="23" t="s">
        <v>91</v>
      </c>
      <c r="E83" s="23" t="s">
        <v>217</v>
      </c>
      <c r="F83" s="22" t="s">
        <v>57</v>
      </c>
      <c r="G83" s="23" t="s">
        <v>58</v>
      </c>
      <c r="H83" s="24" t="n">
        <v>1</v>
      </c>
      <c r="I83" s="14" t="n">
        <v>0.3167</v>
      </c>
      <c r="J83" s="25" t="s">
        <v>59</v>
      </c>
      <c r="K83" s="25"/>
      <c r="L83" s="25" t="s">
        <v>59</v>
      </c>
      <c r="M83" s="25"/>
      <c r="N83" s="25" t="s">
        <v>59</v>
      </c>
      <c r="O83" s="25"/>
      <c r="P83" s="14" t="n">
        <v>0.3167</v>
      </c>
      <c r="Q83" s="14" t="n">
        <f aca="false">IF(AND($J83="Yes",$G83&lt;&gt;"Vendor day rates"),$I83-0.4*$P83,0)</f>
        <v>0</v>
      </c>
      <c r="R83" s="26" t="n">
        <f aca="false">IFERROR(MATCH($K83,MonthList,0),0)</f>
        <v>0</v>
      </c>
      <c r="S83" s="14" t="n">
        <f aca="false">IF(OR($J83&lt;&gt;"Yes",$K83=""),0,$Q83*MAX(0,7-$R83)/12)</f>
        <v>0</v>
      </c>
      <c r="T83" s="14" t="n">
        <f aca="false">IF(OR($J83&lt;&gt;"Yes",$K83=""),0,$Q83*IF($R83&lt;=7,12,19-$R83)/12)</f>
        <v>0</v>
      </c>
      <c r="U83" s="14" t="n">
        <f aca="false">IF(AND($L83="Yes",$G83&lt;&gt;"Vendor day rates"),$I83-0.4*$P83,0)</f>
        <v>0</v>
      </c>
      <c r="V83" s="26" t="n">
        <f aca="false">IFERROR(MATCH($M83,MonthList,0),0)</f>
        <v>0</v>
      </c>
      <c r="W83" s="14" t="n">
        <f aca="false">IF(OR($L83&lt;&gt;"Yes",$M83=""),0,$U83*MAX(0,7-$V83)/12)</f>
        <v>0</v>
      </c>
      <c r="X83" s="14" t="n">
        <f aca="false">IF(OR($L83&lt;&gt;"Yes",$M83=""),0,$U83*IF($V83&lt;=7,12,19-$V83)/12)</f>
        <v>0</v>
      </c>
      <c r="Y83" s="14" t="n">
        <f aca="false">IF(AND($N83="Yes",$G83&lt;&gt;"Vendor day rates"),$I83-0.4*$P83,0)</f>
        <v>0</v>
      </c>
      <c r="Z83" s="26" t="n">
        <f aca="false">IFERROR(MATCH($O83,MonthList,0),0)</f>
        <v>0</v>
      </c>
      <c r="AA83" s="14" t="n">
        <f aca="false">IF(OR($N83&lt;&gt;"Yes",$O83=""),0,$Y83*MAX(0,7-$Z83)/12)</f>
        <v>0</v>
      </c>
      <c r="AB83" s="14" t="n">
        <f aca="false">IF(OR($N83&lt;&gt;"Yes",$O83=""),0,$Y83*IF($Z83&lt;=7,12,19-$Z83)/12)</f>
        <v>0</v>
      </c>
      <c r="AC83" s="26" t="str">
        <f aca="false">IF(OR($J83="Yes",$L83="Yes",$N83="Yes"),"Yes","No")</f>
        <v>No</v>
      </c>
      <c r="AD83" s="14" t="n">
        <f aca="false">MAX($Q83,$U83,$Y83)</f>
        <v>0</v>
      </c>
      <c r="AE83" s="26" t="n">
        <f aca="false">$AD83+ROW()*0.000000001</f>
        <v>8.3E-008</v>
      </c>
      <c r="AF83" s="26" t="str">
        <f aca="false">IF($J83="Yes","A","")&amp;IF($L83="Yes","B","")&amp;IF($N83="Yes","C","")</f>
        <v/>
      </c>
    </row>
    <row r="84" customFormat="false" ht="15" hidden="false" customHeight="false" outlineLevel="0" collapsed="false">
      <c r="B84" s="22" t="s">
        <v>242</v>
      </c>
      <c r="C84" s="23" t="s">
        <v>243</v>
      </c>
      <c r="D84" s="23" t="s">
        <v>91</v>
      </c>
      <c r="E84" s="23" t="s">
        <v>239</v>
      </c>
      <c r="F84" s="22" t="s">
        <v>57</v>
      </c>
      <c r="G84" s="23" t="s">
        <v>58</v>
      </c>
      <c r="H84" s="24" t="n">
        <v>1</v>
      </c>
      <c r="I84" s="14" t="n">
        <v>0.2577</v>
      </c>
      <c r="J84" s="25" t="s">
        <v>59</v>
      </c>
      <c r="K84" s="25"/>
      <c r="L84" s="25" t="s">
        <v>59</v>
      </c>
      <c r="M84" s="25"/>
      <c r="N84" s="25" t="s">
        <v>59</v>
      </c>
      <c r="O84" s="25"/>
      <c r="P84" s="14" t="n">
        <v>0.2577</v>
      </c>
      <c r="Q84" s="14" t="n">
        <f aca="false">IF(AND($J84="Yes",$G84&lt;&gt;"Vendor day rates"),$I84-0.4*$P84,0)</f>
        <v>0</v>
      </c>
      <c r="R84" s="26" t="n">
        <f aca="false">IFERROR(MATCH($K84,MonthList,0),0)</f>
        <v>0</v>
      </c>
      <c r="S84" s="14" t="n">
        <f aca="false">IF(OR($J84&lt;&gt;"Yes",$K84=""),0,$Q84*MAX(0,7-$R84)/12)</f>
        <v>0</v>
      </c>
      <c r="T84" s="14" t="n">
        <f aca="false">IF(OR($J84&lt;&gt;"Yes",$K84=""),0,$Q84*IF($R84&lt;=7,12,19-$R84)/12)</f>
        <v>0</v>
      </c>
      <c r="U84" s="14" t="n">
        <f aca="false">IF(AND($L84="Yes",$G84&lt;&gt;"Vendor day rates"),$I84-0.4*$P84,0)</f>
        <v>0</v>
      </c>
      <c r="V84" s="26" t="n">
        <f aca="false">IFERROR(MATCH($M84,MonthList,0),0)</f>
        <v>0</v>
      </c>
      <c r="W84" s="14" t="n">
        <f aca="false">IF(OR($L84&lt;&gt;"Yes",$M84=""),0,$U84*MAX(0,7-$V84)/12)</f>
        <v>0</v>
      </c>
      <c r="X84" s="14" t="n">
        <f aca="false">IF(OR($L84&lt;&gt;"Yes",$M84=""),0,$U84*IF($V84&lt;=7,12,19-$V84)/12)</f>
        <v>0</v>
      </c>
      <c r="Y84" s="14" t="n">
        <f aca="false">IF(AND($N84="Yes",$G84&lt;&gt;"Vendor day rates"),$I84-0.4*$P84,0)</f>
        <v>0</v>
      </c>
      <c r="Z84" s="26" t="n">
        <f aca="false">IFERROR(MATCH($O84,MonthList,0),0)</f>
        <v>0</v>
      </c>
      <c r="AA84" s="14" t="n">
        <f aca="false">IF(OR($N84&lt;&gt;"Yes",$O84=""),0,$Y84*MAX(0,7-$Z84)/12)</f>
        <v>0</v>
      </c>
      <c r="AB84" s="14" t="n">
        <f aca="false">IF(OR($N84&lt;&gt;"Yes",$O84=""),0,$Y84*IF($Z84&lt;=7,12,19-$Z84)/12)</f>
        <v>0</v>
      </c>
      <c r="AC84" s="26" t="str">
        <f aca="false">IF(OR($J84="Yes",$L84="Yes",$N84="Yes"),"Yes","No")</f>
        <v>No</v>
      </c>
      <c r="AD84" s="14" t="n">
        <f aca="false">MAX($Q84,$U84,$Y84)</f>
        <v>0</v>
      </c>
      <c r="AE84" s="26" t="n">
        <f aca="false">$AD84+ROW()*0.000000001</f>
        <v>8.4E-008</v>
      </c>
      <c r="AF84" s="26" t="str">
        <f aca="false">IF($J84="Yes","A","")&amp;IF($L84="Yes","B","")&amp;IF($N84="Yes","C","")</f>
        <v/>
      </c>
    </row>
    <row r="85" customFormat="false" ht="15" hidden="false" customHeight="false" outlineLevel="0" collapsed="false">
      <c r="B85" s="22" t="s">
        <v>244</v>
      </c>
      <c r="C85" s="23" t="s">
        <v>245</v>
      </c>
      <c r="D85" s="23" t="s">
        <v>91</v>
      </c>
      <c r="E85" s="23" t="s">
        <v>173</v>
      </c>
      <c r="F85" s="22" t="s">
        <v>57</v>
      </c>
      <c r="G85" s="23" t="s">
        <v>58</v>
      </c>
      <c r="H85" s="24" t="n">
        <v>1</v>
      </c>
      <c r="I85" s="14" t="n">
        <v>0.2491</v>
      </c>
      <c r="J85" s="25" t="s">
        <v>59</v>
      </c>
      <c r="K85" s="25"/>
      <c r="L85" s="25" t="s">
        <v>59</v>
      </c>
      <c r="M85" s="25"/>
      <c r="N85" s="25" t="s">
        <v>59</v>
      </c>
      <c r="O85" s="25"/>
      <c r="P85" s="14" t="n">
        <v>0.2491</v>
      </c>
      <c r="Q85" s="14" t="n">
        <f aca="false">IF(AND($J85="Yes",$G85&lt;&gt;"Vendor day rates"),$I85-0.4*$P85,0)</f>
        <v>0</v>
      </c>
      <c r="R85" s="26" t="n">
        <f aca="false">IFERROR(MATCH($K85,MonthList,0),0)</f>
        <v>0</v>
      </c>
      <c r="S85" s="14" t="n">
        <f aca="false">IF(OR($J85&lt;&gt;"Yes",$K85=""),0,$Q85*MAX(0,7-$R85)/12)</f>
        <v>0</v>
      </c>
      <c r="T85" s="14" t="n">
        <f aca="false">IF(OR($J85&lt;&gt;"Yes",$K85=""),0,$Q85*IF($R85&lt;=7,12,19-$R85)/12)</f>
        <v>0</v>
      </c>
      <c r="U85" s="14" t="n">
        <f aca="false">IF(AND($L85="Yes",$G85&lt;&gt;"Vendor day rates"),$I85-0.4*$P85,0)</f>
        <v>0</v>
      </c>
      <c r="V85" s="26" t="n">
        <f aca="false">IFERROR(MATCH($M85,MonthList,0),0)</f>
        <v>0</v>
      </c>
      <c r="W85" s="14" t="n">
        <f aca="false">IF(OR($L85&lt;&gt;"Yes",$M85=""),0,$U85*MAX(0,7-$V85)/12)</f>
        <v>0</v>
      </c>
      <c r="X85" s="14" t="n">
        <f aca="false">IF(OR($L85&lt;&gt;"Yes",$M85=""),0,$U85*IF($V85&lt;=7,12,19-$V85)/12)</f>
        <v>0</v>
      </c>
      <c r="Y85" s="14" t="n">
        <f aca="false">IF(AND($N85="Yes",$G85&lt;&gt;"Vendor day rates"),$I85-0.4*$P85,0)</f>
        <v>0</v>
      </c>
      <c r="Z85" s="26" t="n">
        <f aca="false">IFERROR(MATCH($O85,MonthList,0),0)</f>
        <v>0</v>
      </c>
      <c r="AA85" s="14" t="n">
        <f aca="false">IF(OR($N85&lt;&gt;"Yes",$O85=""),0,$Y85*MAX(0,7-$Z85)/12)</f>
        <v>0</v>
      </c>
      <c r="AB85" s="14" t="n">
        <f aca="false">IF(OR($N85&lt;&gt;"Yes",$O85=""),0,$Y85*IF($Z85&lt;=7,12,19-$Z85)/12)</f>
        <v>0</v>
      </c>
      <c r="AC85" s="26" t="str">
        <f aca="false">IF(OR($J85="Yes",$L85="Yes",$N85="Yes"),"Yes","No")</f>
        <v>No</v>
      </c>
      <c r="AD85" s="14" t="n">
        <f aca="false">MAX($Q85,$U85,$Y85)</f>
        <v>0</v>
      </c>
      <c r="AE85" s="26" t="n">
        <f aca="false">$AD85+ROW()*0.000000001</f>
        <v>8.5E-008</v>
      </c>
      <c r="AF85" s="26" t="str">
        <f aca="false">IF($J85="Yes","A","")&amp;IF($L85="Yes","B","")&amp;IF($N85="Yes","C","")</f>
        <v/>
      </c>
    </row>
    <row r="86" customFormat="false" ht="15" hidden="false" customHeight="false" outlineLevel="0" collapsed="false">
      <c r="B86" s="22" t="s">
        <v>246</v>
      </c>
      <c r="C86" s="23" t="s">
        <v>247</v>
      </c>
      <c r="D86" s="23" t="s">
        <v>91</v>
      </c>
      <c r="E86" s="23" t="s">
        <v>173</v>
      </c>
      <c r="F86" s="22" t="s">
        <v>57</v>
      </c>
      <c r="G86" s="23" t="s">
        <v>149</v>
      </c>
      <c r="H86" s="24" t="n">
        <v>1</v>
      </c>
      <c r="I86" s="14" t="n">
        <v>0.2758</v>
      </c>
      <c r="J86" s="25" t="s">
        <v>59</v>
      </c>
      <c r="K86" s="25"/>
      <c r="L86" s="25" t="s">
        <v>59</v>
      </c>
      <c r="M86" s="25"/>
      <c r="N86" s="25" t="s">
        <v>59</v>
      </c>
      <c r="O86" s="25"/>
      <c r="P86" s="14" t="n">
        <v>0.2758</v>
      </c>
      <c r="Q86" s="14" t="n">
        <f aca="false">IF(AND($J86="Yes",$G86&lt;&gt;"Vendor day rates"),$I86-0.4*$P86,0)</f>
        <v>0</v>
      </c>
      <c r="R86" s="26" t="n">
        <f aca="false">IFERROR(MATCH($K86,MonthList,0),0)</f>
        <v>0</v>
      </c>
      <c r="S86" s="14" t="n">
        <f aca="false">IF(OR($J86&lt;&gt;"Yes",$K86=""),0,$Q86*MAX(0,7-$R86)/12)</f>
        <v>0</v>
      </c>
      <c r="T86" s="14" t="n">
        <f aca="false">IF(OR($J86&lt;&gt;"Yes",$K86=""),0,$Q86*IF($R86&lt;=7,12,19-$R86)/12)</f>
        <v>0</v>
      </c>
      <c r="U86" s="14" t="n">
        <f aca="false">IF(AND($L86="Yes",$G86&lt;&gt;"Vendor day rates"),$I86-0.4*$P86,0)</f>
        <v>0</v>
      </c>
      <c r="V86" s="26" t="n">
        <f aca="false">IFERROR(MATCH($M86,MonthList,0),0)</f>
        <v>0</v>
      </c>
      <c r="W86" s="14" t="n">
        <f aca="false">IF(OR($L86&lt;&gt;"Yes",$M86=""),0,$U86*MAX(0,7-$V86)/12)</f>
        <v>0</v>
      </c>
      <c r="X86" s="14" t="n">
        <f aca="false">IF(OR($L86&lt;&gt;"Yes",$M86=""),0,$U86*IF($V86&lt;=7,12,19-$V86)/12)</f>
        <v>0</v>
      </c>
      <c r="Y86" s="14" t="n">
        <f aca="false">IF(AND($N86="Yes",$G86&lt;&gt;"Vendor day rates"),$I86-0.4*$P86,0)</f>
        <v>0</v>
      </c>
      <c r="Z86" s="26" t="n">
        <f aca="false">IFERROR(MATCH($O86,MonthList,0),0)</f>
        <v>0</v>
      </c>
      <c r="AA86" s="14" t="n">
        <f aca="false">IF(OR($N86&lt;&gt;"Yes",$O86=""),0,$Y86*MAX(0,7-$Z86)/12)</f>
        <v>0</v>
      </c>
      <c r="AB86" s="14" t="n">
        <f aca="false">IF(OR($N86&lt;&gt;"Yes",$O86=""),0,$Y86*IF($Z86&lt;=7,12,19-$Z86)/12)</f>
        <v>0</v>
      </c>
      <c r="AC86" s="26" t="str">
        <f aca="false">IF(OR($J86="Yes",$L86="Yes",$N86="Yes"),"Yes","No")</f>
        <v>No</v>
      </c>
      <c r="AD86" s="14" t="n">
        <f aca="false">MAX($Q86,$U86,$Y86)</f>
        <v>0</v>
      </c>
      <c r="AE86" s="26" t="n">
        <f aca="false">$AD86+ROW()*0.000000001</f>
        <v>8.6E-008</v>
      </c>
      <c r="AF86" s="26" t="str">
        <f aca="false">IF($J86="Yes","A","")&amp;IF($L86="Yes","B","")&amp;IF($N86="Yes","C","")</f>
        <v/>
      </c>
    </row>
    <row r="87" customFormat="false" ht="15" hidden="false" customHeight="false" outlineLevel="0" collapsed="false">
      <c r="B87" s="22" t="s">
        <v>248</v>
      </c>
      <c r="C87" s="23" t="s">
        <v>249</v>
      </c>
      <c r="D87" s="23" t="s">
        <v>147</v>
      </c>
      <c r="E87" s="23" t="s">
        <v>250</v>
      </c>
      <c r="F87" s="22" t="s">
        <v>57</v>
      </c>
      <c r="G87" s="23" t="s">
        <v>58</v>
      </c>
      <c r="H87" s="24" t="n">
        <v>1</v>
      </c>
      <c r="I87" s="14" t="n">
        <v>0.287</v>
      </c>
      <c r="J87" s="25" t="s">
        <v>59</v>
      </c>
      <c r="K87" s="25"/>
      <c r="L87" s="25" t="s">
        <v>59</v>
      </c>
      <c r="M87" s="25"/>
      <c r="N87" s="25" t="s">
        <v>59</v>
      </c>
      <c r="O87" s="25"/>
      <c r="P87" s="14" t="n">
        <v>0.287</v>
      </c>
      <c r="Q87" s="14" t="n">
        <f aca="false">IF(AND($J87="Yes",$G87&lt;&gt;"Vendor day rates"),$I87-0.4*$P87,0)</f>
        <v>0</v>
      </c>
      <c r="R87" s="26" t="n">
        <f aca="false">IFERROR(MATCH($K87,MonthList,0),0)</f>
        <v>0</v>
      </c>
      <c r="S87" s="14" t="n">
        <f aca="false">IF(OR($J87&lt;&gt;"Yes",$K87=""),0,$Q87*MAX(0,7-$R87)/12)</f>
        <v>0</v>
      </c>
      <c r="T87" s="14" t="n">
        <f aca="false">IF(OR($J87&lt;&gt;"Yes",$K87=""),0,$Q87*IF($R87&lt;=7,12,19-$R87)/12)</f>
        <v>0</v>
      </c>
      <c r="U87" s="14" t="n">
        <f aca="false">IF(AND($L87="Yes",$G87&lt;&gt;"Vendor day rates"),$I87-0.4*$P87,0)</f>
        <v>0</v>
      </c>
      <c r="V87" s="26" t="n">
        <f aca="false">IFERROR(MATCH($M87,MonthList,0),0)</f>
        <v>0</v>
      </c>
      <c r="W87" s="14" t="n">
        <f aca="false">IF(OR($L87&lt;&gt;"Yes",$M87=""),0,$U87*MAX(0,7-$V87)/12)</f>
        <v>0</v>
      </c>
      <c r="X87" s="14" t="n">
        <f aca="false">IF(OR($L87&lt;&gt;"Yes",$M87=""),0,$U87*IF($V87&lt;=7,12,19-$V87)/12)</f>
        <v>0</v>
      </c>
      <c r="Y87" s="14" t="n">
        <f aca="false">IF(AND($N87="Yes",$G87&lt;&gt;"Vendor day rates"),$I87-0.4*$P87,0)</f>
        <v>0</v>
      </c>
      <c r="Z87" s="26" t="n">
        <f aca="false">IFERROR(MATCH($O87,MonthList,0),0)</f>
        <v>0</v>
      </c>
      <c r="AA87" s="14" t="n">
        <f aca="false">IF(OR($N87&lt;&gt;"Yes",$O87=""),0,$Y87*MAX(0,7-$Z87)/12)</f>
        <v>0</v>
      </c>
      <c r="AB87" s="14" t="n">
        <f aca="false">IF(OR($N87&lt;&gt;"Yes",$O87=""),0,$Y87*IF($Z87&lt;=7,12,19-$Z87)/12)</f>
        <v>0</v>
      </c>
      <c r="AC87" s="26" t="str">
        <f aca="false">IF(OR($J87="Yes",$L87="Yes",$N87="Yes"),"Yes","No")</f>
        <v>No</v>
      </c>
      <c r="AD87" s="14" t="n">
        <f aca="false">MAX($Q87,$U87,$Y87)</f>
        <v>0</v>
      </c>
      <c r="AE87" s="26" t="n">
        <f aca="false">$AD87+ROW()*0.000000001</f>
        <v>8.7E-008</v>
      </c>
      <c r="AF87" s="26" t="str">
        <f aca="false">IF($J87="Yes","A","")&amp;IF($L87="Yes","B","")&amp;IF($N87="Yes","C","")</f>
        <v/>
      </c>
    </row>
    <row r="88" customFormat="false" ht="15" hidden="false" customHeight="false" outlineLevel="0" collapsed="false">
      <c r="B88" s="22" t="s">
        <v>251</v>
      </c>
      <c r="C88" s="23" t="s">
        <v>252</v>
      </c>
      <c r="D88" s="23" t="s">
        <v>147</v>
      </c>
      <c r="E88" s="23" t="s">
        <v>253</v>
      </c>
      <c r="F88" s="22" t="s">
        <v>57</v>
      </c>
      <c r="G88" s="23" t="s">
        <v>58</v>
      </c>
      <c r="H88" s="24" t="n">
        <v>1</v>
      </c>
      <c r="I88" s="14" t="n">
        <v>0.287</v>
      </c>
      <c r="J88" s="25" t="s">
        <v>59</v>
      </c>
      <c r="K88" s="25"/>
      <c r="L88" s="25" t="s">
        <v>59</v>
      </c>
      <c r="M88" s="25"/>
      <c r="N88" s="25" t="s">
        <v>59</v>
      </c>
      <c r="O88" s="25"/>
      <c r="P88" s="14" t="n">
        <v>0.287</v>
      </c>
      <c r="Q88" s="14" t="n">
        <f aca="false">IF(AND($J88="Yes",$G88&lt;&gt;"Vendor day rates"),$I88-0.4*$P88,0)</f>
        <v>0</v>
      </c>
      <c r="R88" s="26" t="n">
        <f aca="false">IFERROR(MATCH($K88,MonthList,0),0)</f>
        <v>0</v>
      </c>
      <c r="S88" s="14" t="n">
        <f aca="false">IF(OR($J88&lt;&gt;"Yes",$K88=""),0,$Q88*MAX(0,7-$R88)/12)</f>
        <v>0</v>
      </c>
      <c r="T88" s="14" t="n">
        <f aca="false">IF(OR($J88&lt;&gt;"Yes",$K88=""),0,$Q88*IF($R88&lt;=7,12,19-$R88)/12)</f>
        <v>0</v>
      </c>
      <c r="U88" s="14" t="n">
        <f aca="false">IF(AND($L88="Yes",$G88&lt;&gt;"Vendor day rates"),$I88-0.4*$P88,0)</f>
        <v>0</v>
      </c>
      <c r="V88" s="26" t="n">
        <f aca="false">IFERROR(MATCH($M88,MonthList,0),0)</f>
        <v>0</v>
      </c>
      <c r="W88" s="14" t="n">
        <f aca="false">IF(OR($L88&lt;&gt;"Yes",$M88=""),0,$U88*MAX(0,7-$V88)/12)</f>
        <v>0</v>
      </c>
      <c r="X88" s="14" t="n">
        <f aca="false">IF(OR($L88&lt;&gt;"Yes",$M88=""),0,$U88*IF($V88&lt;=7,12,19-$V88)/12)</f>
        <v>0</v>
      </c>
      <c r="Y88" s="14" t="n">
        <f aca="false">IF(AND($N88="Yes",$G88&lt;&gt;"Vendor day rates"),$I88-0.4*$P88,0)</f>
        <v>0</v>
      </c>
      <c r="Z88" s="26" t="n">
        <f aca="false">IFERROR(MATCH($O88,MonthList,0),0)</f>
        <v>0</v>
      </c>
      <c r="AA88" s="14" t="n">
        <f aca="false">IF(OR($N88&lt;&gt;"Yes",$O88=""),0,$Y88*MAX(0,7-$Z88)/12)</f>
        <v>0</v>
      </c>
      <c r="AB88" s="14" t="n">
        <f aca="false">IF(OR($N88&lt;&gt;"Yes",$O88=""),0,$Y88*IF($Z88&lt;=7,12,19-$Z88)/12)</f>
        <v>0</v>
      </c>
      <c r="AC88" s="26" t="str">
        <f aca="false">IF(OR($J88="Yes",$L88="Yes",$N88="Yes"),"Yes","No")</f>
        <v>No</v>
      </c>
      <c r="AD88" s="14" t="n">
        <f aca="false">MAX($Q88,$U88,$Y88)</f>
        <v>0</v>
      </c>
      <c r="AE88" s="26" t="n">
        <f aca="false">$AD88+ROW()*0.000000001</f>
        <v>8.8E-008</v>
      </c>
      <c r="AF88" s="26" t="str">
        <f aca="false">IF($J88="Yes","A","")&amp;IF($L88="Yes","B","")&amp;IF($N88="Yes","C","")</f>
        <v/>
      </c>
    </row>
    <row r="89" customFormat="false" ht="15" hidden="false" customHeight="false" outlineLevel="0" collapsed="false">
      <c r="B89" s="22" t="s">
        <v>254</v>
      </c>
      <c r="C89" s="23" t="s">
        <v>255</v>
      </c>
      <c r="D89" s="23" t="s">
        <v>147</v>
      </c>
      <c r="E89" s="23" t="s">
        <v>256</v>
      </c>
      <c r="F89" s="22" t="s">
        <v>57</v>
      </c>
      <c r="G89" s="23" t="s">
        <v>58</v>
      </c>
      <c r="H89" s="24" t="n">
        <v>1</v>
      </c>
      <c r="I89" s="14" t="n">
        <v>0.3166</v>
      </c>
      <c r="J89" s="25" t="s">
        <v>59</v>
      </c>
      <c r="K89" s="25"/>
      <c r="L89" s="25" t="s">
        <v>59</v>
      </c>
      <c r="M89" s="25"/>
      <c r="N89" s="25" t="s">
        <v>59</v>
      </c>
      <c r="O89" s="25"/>
      <c r="P89" s="14" t="n">
        <v>0.3166</v>
      </c>
      <c r="Q89" s="14" t="n">
        <f aca="false">IF(AND($J89="Yes",$G89&lt;&gt;"Vendor day rates"),$I89-0.4*$P89,0)</f>
        <v>0</v>
      </c>
      <c r="R89" s="26" t="n">
        <f aca="false">IFERROR(MATCH($K89,MonthList,0),0)</f>
        <v>0</v>
      </c>
      <c r="S89" s="14" t="n">
        <f aca="false">IF(OR($J89&lt;&gt;"Yes",$K89=""),0,$Q89*MAX(0,7-$R89)/12)</f>
        <v>0</v>
      </c>
      <c r="T89" s="14" t="n">
        <f aca="false">IF(OR($J89&lt;&gt;"Yes",$K89=""),0,$Q89*IF($R89&lt;=7,12,19-$R89)/12)</f>
        <v>0</v>
      </c>
      <c r="U89" s="14" t="n">
        <f aca="false">IF(AND($L89="Yes",$G89&lt;&gt;"Vendor day rates"),$I89-0.4*$P89,0)</f>
        <v>0</v>
      </c>
      <c r="V89" s="26" t="n">
        <f aca="false">IFERROR(MATCH($M89,MonthList,0),0)</f>
        <v>0</v>
      </c>
      <c r="W89" s="14" t="n">
        <f aca="false">IF(OR($L89&lt;&gt;"Yes",$M89=""),0,$U89*MAX(0,7-$V89)/12)</f>
        <v>0</v>
      </c>
      <c r="X89" s="14" t="n">
        <f aca="false">IF(OR($L89&lt;&gt;"Yes",$M89=""),0,$U89*IF($V89&lt;=7,12,19-$V89)/12)</f>
        <v>0</v>
      </c>
      <c r="Y89" s="14" t="n">
        <f aca="false">IF(AND($N89="Yes",$G89&lt;&gt;"Vendor day rates"),$I89-0.4*$P89,0)</f>
        <v>0</v>
      </c>
      <c r="Z89" s="26" t="n">
        <f aca="false">IFERROR(MATCH($O89,MonthList,0),0)</f>
        <v>0</v>
      </c>
      <c r="AA89" s="14" t="n">
        <f aca="false">IF(OR($N89&lt;&gt;"Yes",$O89=""),0,$Y89*MAX(0,7-$Z89)/12)</f>
        <v>0</v>
      </c>
      <c r="AB89" s="14" t="n">
        <f aca="false">IF(OR($N89&lt;&gt;"Yes",$O89=""),0,$Y89*IF($Z89&lt;=7,12,19-$Z89)/12)</f>
        <v>0</v>
      </c>
      <c r="AC89" s="26" t="str">
        <f aca="false">IF(OR($J89="Yes",$L89="Yes",$N89="Yes"),"Yes","No")</f>
        <v>No</v>
      </c>
      <c r="AD89" s="14" t="n">
        <f aca="false">MAX($Q89,$U89,$Y89)</f>
        <v>0</v>
      </c>
      <c r="AE89" s="26" t="n">
        <f aca="false">$AD89+ROW()*0.000000001</f>
        <v>8.9E-008</v>
      </c>
      <c r="AF89" s="26" t="str">
        <f aca="false">IF($J89="Yes","A","")&amp;IF($L89="Yes","B","")&amp;IF($N89="Yes","C","")</f>
        <v/>
      </c>
    </row>
    <row r="90" customFormat="false" ht="15" hidden="false" customHeight="false" outlineLevel="0" collapsed="false">
      <c r="B90" s="22" t="s">
        <v>257</v>
      </c>
      <c r="C90" s="23" t="s">
        <v>258</v>
      </c>
      <c r="D90" s="23" t="s">
        <v>147</v>
      </c>
      <c r="E90" s="23" t="s">
        <v>259</v>
      </c>
      <c r="F90" s="22" t="s">
        <v>57</v>
      </c>
      <c r="G90" s="23" t="s">
        <v>58</v>
      </c>
      <c r="H90" s="24" t="n">
        <v>1</v>
      </c>
      <c r="I90" s="14" t="n">
        <v>0.3157</v>
      </c>
      <c r="J90" s="25" t="s">
        <v>59</v>
      </c>
      <c r="K90" s="25"/>
      <c r="L90" s="25" t="s">
        <v>59</v>
      </c>
      <c r="M90" s="25"/>
      <c r="N90" s="25" t="s">
        <v>59</v>
      </c>
      <c r="O90" s="25"/>
      <c r="P90" s="14" t="n">
        <v>0.3157</v>
      </c>
      <c r="Q90" s="14" t="n">
        <f aca="false">IF(AND($J90="Yes",$G90&lt;&gt;"Vendor day rates"),$I90-0.4*$P90,0)</f>
        <v>0</v>
      </c>
      <c r="R90" s="26" t="n">
        <f aca="false">IFERROR(MATCH($K90,MonthList,0),0)</f>
        <v>0</v>
      </c>
      <c r="S90" s="14" t="n">
        <f aca="false">IF(OR($J90&lt;&gt;"Yes",$K90=""),0,$Q90*MAX(0,7-$R90)/12)</f>
        <v>0</v>
      </c>
      <c r="T90" s="14" t="n">
        <f aca="false">IF(OR($J90&lt;&gt;"Yes",$K90=""),0,$Q90*IF($R90&lt;=7,12,19-$R90)/12)</f>
        <v>0</v>
      </c>
      <c r="U90" s="14" t="n">
        <f aca="false">IF(AND($L90="Yes",$G90&lt;&gt;"Vendor day rates"),$I90-0.4*$P90,0)</f>
        <v>0</v>
      </c>
      <c r="V90" s="26" t="n">
        <f aca="false">IFERROR(MATCH($M90,MonthList,0),0)</f>
        <v>0</v>
      </c>
      <c r="W90" s="14" t="n">
        <f aca="false">IF(OR($L90&lt;&gt;"Yes",$M90=""),0,$U90*MAX(0,7-$V90)/12)</f>
        <v>0</v>
      </c>
      <c r="X90" s="14" t="n">
        <f aca="false">IF(OR($L90&lt;&gt;"Yes",$M90=""),0,$U90*IF($V90&lt;=7,12,19-$V90)/12)</f>
        <v>0</v>
      </c>
      <c r="Y90" s="14" t="n">
        <f aca="false">IF(AND($N90="Yes",$G90&lt;&gt;"Vendor day rates"),$I90-0.4*$P90,0)</f>
        <v>0</v>
      </c>
      <c r="Z90" s="26" t="n">
        <f aca="false">IFERROR(MATCH($O90,MonthList,0),0)</f>
        <v>0</v>
      </c>
      <c r="AA90" s="14" t="n">
        <f aca="false">IF(OR($N90&lt;&gt;"Yes",$O90=""),0,$Y90*MAX(0,7-$Z90)/12)</f>
        <v>0</v>
      </c>
      <c r="AB90" s="14" t="n">
        <f aca="false">IF(OR($N90&lt;&gt;"Yes",$O90=""),0,$Y90*IF($Z90&lt;=7,12,19-$Z90)/12)</f>
        <v>0</v>
      </c>
      <c r="AC90" s="26" t="str">
        <f aca="false">IF(OR($J90="Yes",$L90="Yes",$N90="Yes"),"Yes","No")</f>
        <v>No</v>
      </c>
      <c r="AD90" s="14" t="n">
        <f aca="false">MAX($Q90,$U90,$Y90)</f>
        <v>0</v>
      </c>
      <c r="AE90" s="26" t="n">
        <f aca="false">$AD90+ROW()*0.000000001</f>
        <v>9E-008</v>
      </c>
      <c r="AF90" s="26" t="str">
        <f aca="false">IF($J90="Yes","A","")&amp;IF($L90="Yes","B","")&amp;IF($N90="Yes","C","")</f>
        <v/>
      </c>
    </row>
    <row r="91" customFormat="false" ht="15" hidden="false" customHeight="false" outlineLevel="0" collapsed="false">
      <c r="B91" s="22" t="s">
        <v>260</v>
      </c>
      <c r="C91" s="23" t="s">
        <v>261</v>
      </c>
      <c r="D91" s="23" t="s">
        <v>172</v>
      </c>
      <c r="E91" s="23" t="s">
        <v>181</v>
      </c>
      <c r="F91" s="22" t="s">
        <v>57</v>
      </c>
      <c r="G91" s="23" t="s">
        <v>58</v>
      </c>
      <c r="H91" s="24" t="n">
        <v>1</v>
      </c>
      <c r="I91" s="14" t="n">
        <v>0.2959</v>
      </c>
      <c r="J91" s="25" t="s">
        <v>59</v>
      </c>
      <c r="K91" s="25"/>
      <c r="L91" s="25" t="s">
        <v>59</v>
      </c>
      <c r="M91" s="25"/>
      <c r="N91" s="25" t="s">
        <v>59</v>
      </c>
      <c r="O91" s="25"/>
      <c r="P91" s="14" t="n">
        <v>0.2959</v>
      </c>
      <c r="Q91" s="14" t="n">
        <f aca="false">IF(AND($J91="Yes",$G91&lt;&gt;"Vendor day rates"),$I91-0.4*$P91,0)</f>
        <v>0</v>
      </c>
      <c r="R91" s="26" t="n">
        <f aca="false">IFERROR(MATCH($K91,MonthList,0),0)</f>
        <v>0</v>
      </c>
      <c r="S91" s="14" t="n">
        <f aca="false">IF(OR($J91&lt;&gt;"Yes",$K91=""),0,$Q91*MAX(0,7-$R91)/12)</f>
        <v>0</v>
      </c>
      <c r="T91" s="14" t="n">
        <f aca="false">IF(OR($J91&lt;&gt;"Yes",$K91=""),0,$Q91*IF($R91&lt;=7,12,19-$R91)/12)</f>
        <v>0</v>
      </c>
      <c r="U91" s="14" t="n">
        <f aca="false">IF(AND($L91="Yes",$G91&lt;&gt;"Vendor day rates"),$I91-0.4*$P91,0)</f>
        <v>0</v>
      </c>
      <c r="V91" s="26" t="n">
        <f aca="false">IFERROR(MATCH($M91,MonthList,0),0)</f>
        <v>0</v>
      </c>
      <c r="W91" s="14" t="n">
        <f aca="false">IF(OR($L91&lt;&gt;"Yes",$M91=""),0,$U91*MAX(0,7-$V91)/12)</f>
        <v>0</v>
      </c>
      <c r="X91" s="14" t="n">
        <f aca="false">IF(OR($L91&lt;&gt;"Yes",$M91=""),0,$U91*IF($V91&lt;=7,12,19-$V91)/12)</f>
        <v>0</v>
      </c>
      <c r="Y91" s="14" t="n">
        <f aca="false">IF(AND($N91="Yes",$G91&lt;&gt;"Vendor day rates"),$I91-0.4*$P91,0)</f>
        <v>0</v>
      </c>
      <c r="Z91" s="26" t="n">
        <f aca="false">IFERROR(MATCH($O91,MonthList,0),0)</f>
        <v>0</v>
      </c>
      <c r="AA91" s="14" t="n">
        <f aca="false">IF(OR($N91&lt;&gt;"Yes",$O91=""),0,$Y91*MAX(0,7-$Z91)/12)</f>
        <v>0</v>
      </c>
      <c r="AB91" s="14" t="n">
        <f aca="false">IF(OR($N91&lt;&gt;"Yes",$O91=""),0,$Y91*IF($Z91&lt;=7,12,19-$Z91)/12)</f>
        <v>0</v>
      </c>
      <c r="AC91" s="26" t="str">
        <f aca="false">IF(OR($J91="Yes",$L91="Yes",$N91="Yes"),"Yes","No")</f>
        <v>No</v>
      </c>
      <c r="AD91" s="14" t="n">
        <f aca="false">MAX($Q91,$U91,$Y91)</f>
        <v>0</v>
      </c>
      <c r="AE91" s="26" t="n">
        <f aca="false">$AD91+ROW()*0.000000001</f>
        <v>9.1E-008</v>
      </c>
      <c r="AF91" s="26" t="str">
        <f aca="false">IF($J91="Yes","A","")&amp;IF($L91="Yes","B","")&amp;IF($N91="Yes","C","")</f>
        <v/>
      </c>
    </row>
    <row r="92" customFormat="false" ht="15" hidden="false" customHeight="false" outlineLevel="0" collapsed="false">
      <c r="B92" s="22" t="s">
        <v>262</v>
      </c>
      <c r="C92" s="23" t="s">
        <v>263</v>
      </c>
      <c r="D92" s="23" t="s">
        <v>172</v>
      </c>
      <c r="E92" s="23" t="s">
        <v>173</v>
      </c>
      <c r="F92" s="22" t="s">
        <v>57</v>
      </c>
      <c r="G92" s="23" t="s">
        <v>58</v>
      </c>
      <c r="H92" s="24" t="n">
        <v>1</v>
      </c>
      <c r="I92" s="14" t="n">
        <v>0.3304</v>
      </c>
      <c r="J92" s="25" t="s">
        <v>59</v>
      </c>
      <c r="K92" s="25"/>
      <c r="L92" s="25" t="s">
        <v>59</v>
      </c>
      <c r="M92" s="25"/>
      <c r="N92" s="25" t="s">
        <v>59</v>
      </c>
      <c r="O92" s="25"/>
      <c r="P92" s="14" t="n">
        <v>0.3304</v>
      </c>
      <c r="Q92" s="14" t="n">
        <f aca="false">IF(AND($J92="Yes",$G92&lt;&gt;"Vendor day rates"),$I92-0.4*$P92,0)</f>
        <v>0</v>
      </c>
      <c r="R92" s="26" t="n">
        <f aca="false">IFERROR(MATCH($K92,MonthList,0),0)</f>
        <v>0</v>
      </c>
      <c r="S92" s="14" t="n">
        <f aca="false">IF(OR($J92&lt;&gt;"Yes",$K92=""),0,$Q92*MAX(0,7-$R92)/12)</f>
        <v>0</v>
      </c>
      <c r="T92" s="14" t="n">
        <f aca="false">IF(OR($J92&lt;&gt;"Yes",$K92=""),0,$Q92*IF($R92&lt;=7,12,19-$R92)/12)</f>
        <v>0</v>
      </c>
      <c r="U92" s="14" t="n">
        <f aca="false">IF(AND($L92="Yes",$G92&lt;&gt;"Vendor day rates"),$I92-0.4*$P92,0)</f>
        <v>0</v>
      </c>
      <c r="V92" s="26" t="n">
        <f aca="false">IFERROR(MATCH($M92,MonthList,0),0)</f>
        <v>0</v>
      </c>
      <c r="W92" s="14" t="n">
        <f aca="false">IF(OR($L92&lt;&gt;"Yes",$M92=""),0,$U92*MAX(0,7-$V92)/12)</f>
        <v>0</v>
      </c>
      <c r="X92" s="14" t="n">
        <f aca="false">IF(OR($L92&lt;&gt;"Yes",$M92=""),0,$U92*IF($V92&lt;=7,12,19-$V92)/12)</f>
        <v>0</v>
      </c>
      <c r="Y92" s="14" t="n">
        <f aca="false">IF(AND($N92="Yes",$G92&lt;&gt;"Vendor day rates"),$I92-0.4*$P92,0)</f>
        <v>0</v>
      </c>
      <c r="Z92" s="26" t="n">
        <f aca="false">IFERROR(MATCH($O92,MonthList,0),0)</f>
        <v>0</v>
      </c>
      <c r="AA92" s="14" t="n">
        <f aca="false">IF(OR($N92&lt;&gt;"Yes",$O92=""),0,$Y92*MAX(0,7-$Z92)/12)</f>
        <v>0</v>
      </c>
      <c r="AB92" s="14" t="n">
        <f aca="false">IF(OR($N92&lt;&gt;"Yes",$O92=""),0,$Y92*IF($Z92&lt;=7,12,19-$Z92)/12)</f>
        <v>0</v>
      </c>
      <c r="AC92" s="26" t="str">
        <f aca="false">IF(OR($J92="Yes",$L92="Yes",$N92="Yes"),"Yes","No")</f>
        <v>No</v>
      </c>
      <c r="AD92" s="14" t="n">
        <f aca="false">MAX($Q92,$U92,$Y92)</f>
        <v>0</v>
      </c>
      <c r="AE92" s="26" t="n">
        <f aca="false">$AD92+ROW()*0.000000001</f>
        <v>9.2E-008</v>
      </c>
      <c r="AF92" s="26" t="str">
        <f aca="false">IF($J92="Yes","A","")&amp;IF($L92="Yes","B","")&amp;IF($N92="Yes","C","")</f>
        <v/>
      </c>
    </row>
    <row r="93" customFormat="false" ht="15" hidden="false" customHeight="false" outlineLevel="0" collapsed="false">
      <c r="B93" s="22" t="s">
        <v>264</v>
      </c>
      <c r="C93" s="23" t="s">
        <v>54</v>
      </c>
      <c r="D93" s="23" t="s">
        <v>172</v>
      </c>
      <c r="E93" s="23" t="s">
        <v>265</v>
      </c>
      <c r="F93" s="22" t="s">
        <v>112</v>
      </c>
      <c r="G93" s="23" t="s">
        <v>58</v>
      </c>
      <c r="H93" s="24" t="n">
        <v>1</v>
      </c>
      <c r="I93" s="14" t="n">
        <v>0.1858</v>
      </c>
      <c r="J93" s="25" t="s">
        <v>59</v>
      </c>
      <c r="K93" s="25"/>
      <c r="L93" s="25" t="s">
        <v>59</v>
      </c>
      <c r="M93" s="25"/>
      <c r="N93" s="25" t="s">
        <v>59</v>
      </c>
      <c r="O93" s="25"/>
      <c r="P93" s="14" t="n">
        <v>0.1858</v>
      </c>
      <c r="Q93" s="14" t="n">
        <f aca="false">IF(AND($J93="Yes",$G93&lt;&gt;"Vendor day rates"),$I93-0.4*$P93,0)</f>
        <v>0</v>
      </c>
      <c r="R93" s="26" t="n">
        <f aca="false">IFERROR(MATCH($K93,MonthList,0),0)</f>
        <v>0</v>
      </c>
      <c r="S93" s="14" t="n">
        <f aca="false">IF(OR($J93&lt;&gt;"Yes",$K93=""),0,$Q93*MAX(0,7-$R93)/12)</f>
        <v>0</v>
      </c>
      <c r="T93" s="14" t="n">
        <f aca="false">IF(OR($J93&lt;&gt;"Yes",$K93=""),0,$Q93*IF($R93&lt;=7,12,19-$R93)/12)</f>
        <v>0</v>
      </c>
      <c r="U93" s="14" t="n">
        <f aca="false">IF(AND($L93="Yes",$G93&lt;&gt;"Vendor day rates"),$I93-0.4*$P93,0)</f>
        <v>0</v>
      </c>
      <c r="V93" s="26" t="n">
        <f aca="false">IFERROR(MATCH($M93,MonthList,0),0)</f>
        <v>0</v>
      </c>
      <c r="W93" s="14" t="n">
        <f aca="false">IF(OR($L93&lt;&gt;"Yes",$M93=""),0,$U93*MAX(0,7-$V93)/12)</f>
        <v>0</v>
      </c>
      <c r="X93" s="14" t="n">
        <f aca="false">IF(OR($L93&lt;&gt;"Yes",$M93=""),0,$U93*IF($V93&lt;=7,12,19-$V93)/12)</f>
        <v>0</v>
      </c>
      <c r="Y93" s="14" t="n">
        <f aca="false">IF(AND($N93="Yes",$G93&lt;&gt;"Vendor day rates"),$I93-0.4*$P93,0)</f>
        <v>0</v>
      </c>
      <c r="Z93" s="26" t="n">
        <f aca="false">IFERROR(MATCH($O93,MonthList,0),0)</f>
        <v>0</v>
      </c>
      <c r="AA93" s="14" t="n">
        <f aca="false">IF(OR($N93&lt;&gt;"Yes",$O93=""),0,$Y93*MAX(0,7-$Z93)/12)</f>
        <v>0</v>
      </c>
      <c r="AB93" s="14" t="n">
        <f aca="false">IF(OR($N93&lt;&gt;"Yes",$O93=""),0,$Y93*IF($Z93&lt;=7,12,19-$Z93)/12)</f>
        <v>0</v>
      </c>
      <c r="AC93" s="26" t="str">
        <f aca="false">IF(OR($J93="Yes",$L93="Yes",$N93="Yes"),"Yes","No")</f>
        <v>No</v>
      </c>
      <c r="AD93" s="14" t="n">
        <f aca="false">MAX($Q93,$U93,$Y93)</f>
        <v>0</v>
      </c>
      <c r="AE93" s="26" t="n">
        <f aca="false">$AD93+ROW()*0.000000001</f>
        <v>9.3E-008</v>
      </c>
      <c r="AF93" s="26" t="str">
        <f aca="false">IF($J93="Yes","A","")&amp;IF($L93="Yes","B","")&amp;IF($N93="Yes","C","")</f>
        <v/>
      </c>
    </row>
    <row r="94" customFormat="false" ht="15" hidden="false" customHeight="false" outlineLevel="0" collapsed="false">
      <c r="B94" s="22" t="s">
        <v>266</v>
      </c>
      <c r="C94" s="23" t="s">
        <v>267</v>
      </c>
      <c r="D94" s="23" t="s">
        <v>207</v>
      </c>
      <c r="E94" s="23" t="s">
        <v>173</v>
      </c>
      <c r="F94" s="22" t="s">
        <v>112</v>
      </c>
      <c r="G94" s="23" t="s">
        <v>58</v>
      </c>
      <c r="H94" s="24" t="n">
        <v>1</v>
      </c>
      <c r="I94" s="14" t="n">
        <v>0.2096</v>
      </c>
      <c r="J94" s="25" t="s">
        <v>59</v>
      </c>
      <c r="K94" s="25"/>
      <c r="L94" s="25" t="s">
        <v>59</v>
      </c>
      <c r="M94" s="25"/>
      <c r="N94" s="25" t="s">
        <v>59</v>
      </c>
      <c r="O94" s="25"/>
      <c r="P94" s="14" t="n">
        <v>0.2096</v>
      </c>
      <c r="Q94" s="14" t="n">
        <f aca="false">IF(AND($J94="Yes",$G94&lt;&gt;"Vendor day rates"),$I94-0.4*$P94,0)</f>
        <v>0</v>
      </c>
      <c r="R94" s="26" t="n">
        <f aca="false">IFERROR(MATCH($K94,MonthList,0),0)</f>
        <v>0</v>
      </c>
      <c r="S94" s="14" t="n">
        <f aca="false">IF(OR($J94&lt;&gt;"Yes",$K94=""),0,$Q94*MAX(0,7-$R94)/12)</f>
        <v>0</v>
      </c>
      <c r="T94" s="14" t="n">
        <f aca="false">IF(OR($J94&lt;&gt;"Yes",$K94=""),0,$Q94*IF($R94&lt;=7,12,19-$R94)/12)</f>
        <v>0</v>
      </c>
      <c r="U94" s="14" t="n">
        <f aca="false">IF(AND($L94="Yes",$G94&lt;&gt;"Vendor day rates"),$I94-0.4*$P94,0)</f>
        <v>0</v>
      </c>
      <c r="V94" s="26" t="n">
        <f aca="false">IFERROR(MATCH($M94,MonthList,0),0)</f>
        <v>0</v>
      </c>
      <c r="W94" s="14" t="n">
        <f aca="false">IF(OR($L94&lt;&gt;"Yes",$M94=""),0,$U94*MAX(0,7-$V94)/12)</f>
        <v>0</v>
      </c>
      <c r="X94" s="14" t="n">
        <f aca="false">IF(OR($L94&lt;&gt;"Yes",$M94=""),0,$U94*IF($V94&lt;=7,12,19-$V94)/12)</f>
        <v>0</v>
      </c>
      <c r="Y94" s="14" t="n">
        <f aca="false">IF(AND($N94="Yes",$G94&lt;&gt;"Vendor day rates"),$I94-0.4*$P94,0)</f>
        <v>0</v>
      </c>
      <c r="Z94" s="26" t="n">
        <f aca="false">IFERROR(MATCH($O94,MonthList,0),0)</f>
        <v>0</v>
      </c>
      <c r="AA94" s="14" t="n">
        <f aca="false">IF(OR($N94&lt;&gt;"Yes",$O94=""),0,$Y94*MAX(0,7-$Z94)/12)</f>
        <v>0</v>
      </c>
      <c r="AB94" s="14" t="n">
        <f aca="false">IF(OR($N94&lt;&gt;"Yes",$O94=""),0,$Y94*IF($Z94&lt;=7,12,19-$Z94)/12)</f>
        <v>0</v>
      </c>
      <c r="AC94" s="26" t="str">
        <f aca="false">IF(OR($J94="Yes",$L94="Yes",$N94="Yes"),"Yes","No")</f>
        <v>No</v>
      </c>
      <c r="AD94" s="14" t="n">
        <f aca="false">MAX($Q94,$U94,$Y94)</f>
        <v>0</v>
      </c>
      <c r="AE94" s="26" t="n">
        <f aca="false">$AD94+ROW()*0.000000001</f>
        <v>9.4E-008</v>
      </c>
      <c r="AF94" s="26" t="str">
        <f aca="false">IF($J94="Yes","A","")&amp;IF($L94="Yes","B","")&amp;IF($N94="Yes","C","")</f>
        <v/>
      </c>
    </row>
    <row r="95" customFormat="false" ht="15" hidden="false" customHeight="false" outlineLevel="0" collapsed="false">
      <c r="B95" s="22" t="s">
        <v>268</v>
      </c>
      <c r="C95" s="23" t="s">
        <v>269</v>
      </c>
      <c r="D95" s="23" t="s">
        <v>207</v>
      </c>
      <c r="E95" s="23" t="s">
        <v>173</v>
      </c>
      <c r="F95" s="22" t="s">
        <v>57</v>
      </c>
      <c r="G95" s="23" t="s">
        <v>58</v>
      </c>
      <c r="H95" s="24" t="n">
        <v>1</v>
      </c>
      <c r="I95" s="14" t="n">
        <v>0.2946</v>
      </c>
      <c r="J95" s="25" t="s">
        <v>59</v>
      </c>
      <c r="K95" s="25"/>
      <c r="L95" s="25" t="s">
        <v>59</v>
      </c>
      <c r="M95" s="25"/>
      <c r="N95" s="25" t="s">
        <v>59</v>
      </c>
      <c r="O95" s="25"/>
      <c r="P95" s="14" t="n">
        <v>0.2946</v>
      </c>
      <c r="Q95" s="14" t="n">
        <f aca="false">IF(AND($J95="Yes",$G95&lt;&gt;"Vendor day rates"),$I95-0.4*$P95,0)</f>
        <v>0</v>
      </c>
      <c r="R95" s="26" t="n">
        <f aca="false">IFERROR(MATCH($K95,MonthList,0),0)</f>
        <v>0</v>
      </c>
      <c r="S95" s="14" t="n">
        <f aca="false">IF(OR($J95&lt;&gt;"Yes",$K95=""),0,$Q95*MAX(0,7-$R95)/12)</f>
        <v>0</v>
      </c>
      <c r="T95" s="14" t="n">
        <f aca="false">IF(OR($J95&lt;&gt;"Yes",$K95=""),0,$Q95*IF($R95&lt;=7,12,19-$R95)/12)</f>
        <v>0</v>
      </c>
      <c r="U95" s="14" t="n">
        <f aca="false">IF(AND($L95="Yes",$G95&lt;&gt;"Vendor day rates"),$I95-0.4*$P95,0)</f>
        <v>0</v>
      </c>
      <c r="V95" s="26" t="n">
        <f aca="false">IFERROR(MATCH($M95,MonthList,0),0)</f>
        <v>0</v>
      </c>
      <c r="W95" s="14" t="n">
        <f aca="false">IF(OR($L95&lt;&gt;"Yes",$M95=""),0,$U95*MAX(0,7-$V95)/12)</f>
        <v>0</v>
      </c>
      <c r="X95" s="14" t="n">
        <f aca="false">IF(OR($L95&lt;&gt;"Yes",$M95=""),0,$U95*IF($V95&lt;=7,12,19-$V95)/12)</f>
        <v>0</v>
      </c>
      <c r="Y95" s="14" t="n">
        <f aca="false">IF(AND($N95="Yes",$G95&lt;&gt;"Vendor day rates"),$I95-0.4*$P95,0)</f>
        <v>0</v>
      </c>
      <c r="Z95" s="26" t="n">
        <f aca="false">IFERROR(MATCH($O95,MonthList,0),0)</f>
        <v>0</v>
      </c>
      <c r="AA95" s="14" t="n">
        <f aca="false">IF(OR($N95&lt;&gt;"Yes",$O95=""),0,$Y95*MAX(0,7-$Z95)/12)</f>
        <v>0</v>
      </c>
      <c r="AB95" s="14" t="n">
        <f aca="false">IF(OR($N95&lt;&gt;"Yes",$O95=""),0,$Y95*IF($Z95&lt;=7,12,19-$Z95)/12)</f>
        <v>0</v>
      </c>
      <c r="AC95" s="26" t="str">
        <f aca="false">IF(OR($J95="Yes",$L95="Yes",$N95="Yes"),"Yes","No")</f>
        <v>No</v>
      </c>
      <c r="AD95" s="14" t="n">
        <f aca="false">MAX($Q95,$U95,$Y95)</f>
        <v>0</v>
      </c>
      <c r="AE95" s="26" t="n">
        <f aca="false">$AD95+ROW()*0.000000001</f>
        <v>9.5E-008</v>
      </c>
      <c r="AF95" s="26" t="str">
        <f aca="false">IF($J95="Yes","A","")&amp;IF($L95="Yes","B","")&amp;IF($N95="Yes","C","")</f>
        <v/>
      </c>
    </row>
    <row r="96" customFormat="false" ht="15" hidden="false" customHeight="false" outlineLevel="0" collapsed="false">
      <c r="B96" s="22" t="s">
        <v>270</v>
      </c>
      <c r="C96" s="23" t="s">
        <v>241</v>
      </c>
      <c r="D96" s="23" t="s">
        <v>207</v>
      </c>
      <c r="E96" s="23" t="s">
        <v>217</v>
      </c>
      <c r="F96" s="22" t="s">
        <v>57</v>
      </c>
      <c r="G96" s="23" t="s">
        <v>149</v>
      </c>
      <c r="H96" s="24" t="n">
        <v>1</v>
      </c>
      <c r="I96" s="14" t="n">
        <v>0.2758</v>
      </c>
      <c r="J96" s="25" t="s">
        <v>59</v>
      </c>
      <c r="K96" s="25"/>
      <c r="L96" s="25" t="s">
        <v>59</v>
      </c>
      <c r="M96" s="25"/>
      <c r="N96" s="25" t="s">
        <v>59</v>
      </c>
      <c r="O96" s="25"/>
      <c r="P96" s="14" t="n">
        <v>0.2758</v>
      </c>
      <c r="Q96" s="14" t="n">
        <f aca="false">IF(AND($J96="Yes",$G96&lt;&gt;"Vendor day rates"),$I96-0.4*$P96,0)</f>
        <v>0</v>
      </c>
      <c r="R96" s="26" t="n">
        <f aca="false">IFERROR(MATCH($K96,MonthList,0),0)</f>
        <v>0</v>
      </c>
      <c r="S96" s="14" t="n">
        <f aca="false">IF(OR($J96&lt;&gt;"Yes",$K96=""),0,$Q96*MAX(0,7-$R96)/12)</f>
        <v>0</v>
      </c>
      <c r="T96" s="14" t="n">
        <f aca="false">IF(OR($J96&lt;&gt;"Yes",$K96=""),0,$Q96*IF($R96&lt;=7,12,19-$R96)/12)</f>
        <v>0</v>
      </c>
      <c r="U96" s="14" t="n">
        <f aca="false">IF(AND($L96="Yes",$G96&lt;&gt;"Vendor day rates"),$I96-0.4*$P96,0)</f>
        <v>0</v>
      </c>
      <c r="V96" s="26" t="n">
        <f aca="false">IFERROR(MATCH($M96,MonthList,0),0)</f>
        <v>0</v>
      </c>
      <c r="W96" s="14" t="n">
        <f aca="false">IF(OR($L96&lt;&gt;"Yes",$M96=""),0,$U96*MAX(0,7-$V96)/12)</f>
        <v>0</v>
      </c>
      <c r="X96" s="14" t="n">
        <f aca="false">IF(OR($L96&lt;&gt;"Yes",$M96=""),0,$U96*IF($V96&lt;=7,12,19-$V96)/12)</f>
        <v>0</v>
      </c>
      <c r="Y96" s="14" t="n">
        <f aca="false">IF(AND($N96="Yes",$G96&lt;&gt;"Vendor day rates"),$I96-0.4*$P96,0)</f>
        <v>0</v>
      </c>
      <c r="Z96" s="26" t="n">
        <f aca="false">IFERROR(MATCH($O96,MonthList,0),0)</f>
        <v>0</v>
      </c>
      <c r="AA96" s="14" t="n">
        <f aca="false">IF(OR($N96&lt;&gt;"Yes",$O96=""),0,$Y96*MAX(0,7-$Z96)/12)</f>
        <v>0</v>
      </c>
      <c r="AB96" s="14" t="n">
        <f aca="false">IF(OR($N96&lt;&gt;"Yes",$O96=""),0,$Y96*IF($Z96&lt;=7,12,19-$Z96)/12)</f>
        <v>0</v>
      </c>
      <c r="AC96" s="26" t="str">
        <f aca="false">IF(OR($J96="Yes",$L96="Yes",$N96="Yes"),"Yes","No")</f>
        <v>No</v>
      </c>
      <c r="AD96" s="14" t="n">
        <f aca="false">MAX($Q96,$U96,$Y96)</f>
        <v>0</v>
      </c>
      <c r="AE96" s="26" t="n">
        <f aca="false">$AD96+ROW()*0.000000001</f>
        <v>9.6E-008</v>
      </c>
      <c r="AF96" s="26" t="str">
        <f aca="false">IF($J96="Yes","A","")&amp;IF($L96="Yes","B","")&amp;IF($N96="Yes","C","")</f>
        <v/>
      </c>
    </row>
    <row r="97" customFormat="false" ht="15" hidden="false" customHeight="false" outlineLevel="0" collapsed="false">
      <c r="B97" s="22" t="s">
        <v>271</v>
      </c>
      <c r="C97" s="23" t="s">
        <v>272</v>
      </c>
      <c r="D97" s="23" t="s">
        <v>212</v>
      </c>
      <c r="E97" s="23" t="s">
        <v>173</v>
      </c>
      <c r="F97" s="22" t="s">
        <v>57</v>
      </c>
      <c r="G97" s="23" t="s">
        <v>58</v>
      </c>
      <c r="H97" s="24" t="n">
        <v>1</v>
      </c>
      <c r="I97" s="14" t="n">
        <v>0.2243</v>
      </c>
      <c r="J97" s="25" t="s">
        <v>59</v>
      </c>
      <c r="K97" s="25"/>
      <c r="L97" s="25" t="s">
        <v>59</v>
      </c>
      <c r="M97" s="25"/>
      <c r="N97" s="25" t="s">
        <v>59</v>
      </c>
      <c r="O97" s="25"/>
      <c r="P97" s="14" t="n">
        <v>0.2243</v>
      </c>
      <c r="Q97" s="14" t="n">
        <f aca="false">IF(AND($J97="Yes",$G97&lt;&gt;"Vendor day rates"),$I97-0.4*$P97,0)</f>
        <v>0</v>
      </c>
      <c r="R97" s="26" t="n">
        <f aca="false">IFERROR(MATCH($K97,MonthList,0),0)</f>
        <v>0</v>
      </c>
      <c r="S97" s="14" t="n">
        <f aca="false">IF(OR($J97&lt;&gt;"Yes",$K97=""),0,$Q97*MAX(0,7-$R97)/12)</f>
        <v>0</v>
      </c>
      <c r="T97" s="14" t="n">
        <f aca="false">IF(OR($J97&lt;&gt;"Yes",$K97=""),0,$Q97*IF($R97&lt;=7,12,19-$R97)/12)</f>
        <v>0</v>
      </c>
      <c r="U97" s="14" t="n">
        <f aca="false">IF(AND($L97="Yes",$G97&lt;&gt;"Vendor day rates"),$I97-0.4*$P97,0)</f>
        <v>0</v>
      </c>
      <c r="V97" s="26" t="n">
        <f aca="false">IFERROR(MATCH($M97,MonthList,0),0)</f>
        <v>0</v>
      </c>
      <c r="W97" s="14" t="n">
        <f aca="false">IF(OR($L97&lt;&gt;"Yes",$M97=""),0,$U97*MAX(0,7-$V97)/12)</f>
        <v>0</v>
      </c>
      <c r="X97" s="14" t="n">
        <f aca="false">IF(OR($L97&lt;&gt;"Yes",$M97=""),0,$U97*IF($V97&lt;=7,12,19-$V97)/12)</f>
        <v>0</v>
      </c>
      <c r="Y97" s="14" t="n">
        <f aca="false">IF(AND($N97="Yes",$G97&lt;&gt;"Vendor day rates"),$I97-0.4*$P97,0)</f>
        <v>0</v>
      </c>
      <c r="Z97" s="26" t="n">
        <f aca="false">IFERROR(MATCH($O97,MonthList,0),0)</f>
        <v>0</v>
      </c>
      <c r="AA97" s="14" t="n">
        <f aca="false">IF(OR($N97&lt;&gt;"Yes",$O97=""),0,$Y97*MAX(0,7-$Z97)/12)</f>
        <v>0</v>
      </c>
      <c r="AB97" s="14" t="n">
        <f aca="false">IF(OR($N97&lt;&gt;"Yes",$O97=""),0,$Y97*IF($Z97&lt;=7,12,19-$Z97)/12)</f>
        <v>0</v>
      </c>
      <c r="AC97" s="26" t="str">
        <f aca="false">IF(OR($J97="Yes",$L97="Yes",$N97="Yes"),"Yes","No")</f>
        <v>No</v>
      </c>
      <c r="AD97" s="14" t="n">
        <f aca="false">MAX($Q97,$U97,$Y97)</f>
        <v>0</v>
      </c>
      <c r="AE97" s="26" t="n">
        <f aca="false">$AD97+ROW()*0.000000001</f>
        <v>9.7E-008</v>
      </c>
      <c r="AF97" s="26" t="str">
        <f aca="false">IF($J97="Yes","A","")&amp;IF($L97="Yes","B","")&amp;IF($N97="Yes","C","")</f>
        <v/>
      </c>
    </row>
    <row r="98" customFormat="false" ht="15" hidden="false" customHeight="false" outlineLevel="0" collapsed="false">
      <c r="B98" s="22" t="s">
        <v>273</v>
      </c>
      <c r="C98" s="23" t="s">
        <v>217</v>
      </c>
      <c r="D98" s="23" t="s">
        <v>212</v>
      </c>
      <c r="E98" s="23" t="s">
        <v>217</v>
      </c>
      <c r="F98" s="22" t="s">
        <v>57</v>
      </c>
      <c r="G98" s="23" t="s">
        <v>58</v>
      </c>
      <c r="H98" s="24" t="n">
        <v>0.7</v>
      </c>
      <c r="I98" s="14" t="n">
        <v>0.2121</v>
      </c>
      <c r="J98" s="25" t="s">
        <v>59</v>
      </c>
      <c r="K98" s="25"/>
      <c r="L98" s="25" t="s">
        <v>59</v>
      </c>
      <c r="M98" s="25"/>
      <c r="N98" s="25" t="s">
        <v>59</v>
      </c>
      <c r="O98" s="25"/>
      <c r="P98" s="14" t="n">
        <v>0.2121</v>
      </c>
      <c r="Q98" s="14" t="n">
        <f aca="false">IF(AND($J98="Yes",$G98&lt;&gt;"Vendor day rates"),$I98-0.4*$P98,0)</f>
        <v>0</v>
      </c>
      <c r="R98" s="26" t="n">
        <f aca="false">IFERROR(MATCH($K98,MonthList,0),0)</f>
        <v>0</v>
      </c>
      <c r="S98" s="14" t="n">
        <f aca="false">IF(OR($J98&lt;&gt;"Yes",$K98=""),0,$Q98*MAX(0,7-$R98)/12)</f>
        <v>0</v>
      </c>
      <c r="T98" s="14" t="n">
        <f aca="false">IF(OR($J98&lt;&gt;"Yes",$K98=""),0,$Q98*IF($R98&lt;=7,12,19-$R98)/12)</f>
        <v>0</v>
      </c>
      <c r="U98" s="14" t="n">
        <f aca="false">IF(AND($L98="Yes",$G98&lt;&gt;"Vendor day rates"),$I98-0.4*$P98,0)</f>
        <v>0</v>
      </c>
      <c r="V98" s="26" t="n">
        <f aca="false">IFERROR(MATCH($M98,MonthList,0),0)</f>
        <v>0</v>
      </c>
      <c r="W98" s="14" t="n">
        <f aca="false">IF(OR($L98&lt;&gt;"Yes",$M98=""),0,$U98*MAX(0,7-$V98)/12)</f>
        <v>0</v>
      </c>
      <c r="X98" s="14" t="n">
        <f aca="false">IF(OR($L98&lt;&gt;"Yes",$M98=""),0,$U98*IF($V98&lt;=7,12,19-$V98)/12)</f>
        <v>0</v>
      </c>
      <c r="Y98" s="14" t="n">
        <f aca="false">IF(AND($N98="Yes",$G98&lt;&gt;"Vendor day rates"),$I98-0.4*$P98,0)</f>
        <v>0</v>
      </c>
      <c r="Z98" s="26" t="n">
        <f aca="false">IFERROR(MATCH($O98,MonthList,0),0)</f>
        <v>0</v>
      </c>
      <c r="AA98" s="14" t="n">
        <f aca="false">IF(OR($N98&lt;&gt;"Yes",$O98=""),0,$Y98*MAX(0,7-$Z98)/12)</f>
        <v>0</v>
      </c>
      <c r="AB98" s="14" t="n">
        <f aca="false">IF(OR($N98&lt;&gt;"Yes",$O98=""),0,$Y98*IF($Z98&lt;=7,12,19-$Z98)/12)</f>
        <v>0</v>
      </c>
      <c r="AC98" s="26" t="str">
        <f aca="false">IF(OR($J98="Yes",$L98="Yes",$N98="Yes"),"Yes","No")</f>
        <v>No</v>
      </c>
      <c r="AD98" s="14" t="n">
        <f aca="false">MAX($Q98,$U98,$Y98)</f>
        <v>0</v>
      </c>
      <c r="AE98" s="26" t="n">
        <f aca="false">$AD98+ROW()*0.000000001</f>
        <v>9.8E-008</v>
      </c>
      <c r="AF98" s="26" t="str">
        <f aca="false">IF($J98="Yes","A","")&amp;IF($L98="Yes","B","")&amp;IF($N98="Yes","C","")</f>
        <v/>
      </c>
    </row>
    <row r="99" customFormat="false" ht="15" hidden="false" customHeight="false" outlineLevel="0" collapsed="false">
      <c r="B99" s="22" t="s">
        <v>274</v>
      </c>
      <c r="C99" s="23" t="s">
        <v>275</v>
      </c>
      <c r="D99" s="23" t="s">
        <v>212</v>
      </c>
      <c r="E99" s="23" t="s">
        <v>173</v>
      </c>
      <c r="F99" s="22" t="s">
        <v>57</v>
      </c>
      <c r="G99" s="23" t="s">
        <v>58</v>
      </c>
      <c r="H99" s="24" t="n">
        <v>1</v>
      </c>
      <c r="I99" s="14" t="n">
        <v>0.2846</v>
      </c>
      <c r="J99" s="25" t="s">
        <v>59</v>
      </c>
      <c r="K99" s="25"/>
      <c r="L99" s="25" t="s">
        <v>59</v>
      </c>
      <c r="M99" s="25"/>
      <c r="N99" s="25" t="s">
        <v>59</v>
      </c>
      <c r="O99" s="25"/>
      <c r="P99" s="14" t="n">
        <v>0.2846</v>
      </c>
      <c r="Q99" s="14" t="n">
        <f aca="false">IF(AND($J99="Yes",$G99&lt;&gt;"Vendor day rates"),$I99-0.4*$P99,0)</f>
        <v>0</v>
      </c>
      <c r="R99" s="26" t="n">
        <f aca="false">IFERROR(MATCH($K99,MonthList,0),0)</f>
        <v>0</v>
      </c>
      <c r="S99" s="14" t="n">
        <f aca="false">IF(OR($J99&lt;&gt;"Yes",$K99=""),0,$Q99*MAX(0,7-$R99)/12)</f>
        <v>0</v>
      </c>
      <c r="T99" s="14" t="n">
        <f aca="false">IF(OR($J99&lt;&gt;"Yes",$K99=""),0,$Q99*IF($R99&lt;=7,12,19-$R99)/12)</f>
        <v>0</v>
      </c>
      <c r="U99" s="14" t="n">
        <f aca="false">IF(AND($L99="Yes",$G99&lt;&gt;"Vendor day rates"),$I99-0.4*$P99,0)</f>
        <v>0</v>
      </c>
      <c r="V99" s="26" t="n">
        <f aca="false">IFERROR(MATCH($M99,MonthList,0),0)</f>
        <v>0</v>
      </c>
      <c r="W99" s="14" t="n">
        <f aca="false">IF(OR($L99&lt;&gt;"Yes",$M99=""),0,$U99*MAX(0,7-$V99)/12)</f>
        <v>0</v>
      </c>
      <c r="X99" s="14" t="n">
        <f aca="false">IF(OR($L99&lt;&gt;"Yes",$M99=""),0,$U99*IF($V99&lt;=7,12,19-$V99)/12)</f>
        <v>0</v>
      </c>
      <c r="Y99" s="14" t="n">
        <f aca="false">IF(AND($N99="Yes",$G99&lt;&gt;"Vendor day rates"),$I99-0.4*$P99,0)</f>
        <v>0</v>
      </c>
      <c r="Z99" s="26" t="n">
        <f aca="false">IFERROR(MATCH($O99,MonthList,0),0)</f>
        <v>0</v>
      </c>
      <c r="AA99" s="14" t="n">
        <f aca="false">IF(OR($N99&lt;&gt;"Yes",$O99=""),0,$Y99*MAX(0,7-$Z99)/12)</f>
        <v>0</v>
      </c>
      <c r="AB99" s="14" t="n">
        <f aca="false">IF(OR($N99&lt;&gt;"Yes",$O99=""),0,$Y99*IF($Z99&lt;=7,12,19-$Z99)/12)</f>
        <v>0</v>
      </c>
      <c r="AC99" s="26" t="str">
        <f aca="false">IF(OR($J99="Yes",$L99="Yes",$N99="Yes"),"Yes","No")</f>
        <v>No</v>
      </c>
      <c r="AD99" s="14" t="n">
        <f aca="false">MAX($Q99,$U99,$Y99)</f>
        <v>0</v>
      </c>
      <c r="AE99" s="26" t="n">
        <f aca="false">$AD99+ROW()*0.000000001</f>
        <v>9.9E-008</v>
      </c>
      <c r="AF99" s="26" t="str">
        <f aca="false">IF($J99="Yes","A","")&amp;IF($L99="Yes","B","")&amp;IF($N99="Yes","C","")</f>
        <v/>
      </c>
    </row>
    <row r="100" customFormat="false" ht="15" hidden="false" customHeight="false" outlineLevel="0" collapsed="false">
      <c r="B100" s="22" t="s">
        <v>276</v>
      </c>
      <c r="C100" s="23" t="s">
        <v>277</v>
      </c>
      <c r="D100" s="23" t="s">
        <v>147</v>
      </c>
      <c r="E100" s="23" t="s">
        <v>188</v>
      </c>
      <c r="F100" s="22" t="s">
        <v>57</v>
      </c>
      <c r="G100" s="23" t="s">
        <v>58</v>
      </c>
      <c r="H100" s="24" t="n">
        <v>1</v>
      </c>
      <c r="I100" s="14" t="n">
        <v>0.2981</v>
      </c>
      <c r="J100" s="25" t="s">
        <v>59</v>
      </c>
      <c r="K100" s="25"/>
      <c r="L100" s="25" t="s">
        <v>59</v>
      </c>
      <c r="M100" s="25"/>
      <c r="N100" s="25" t="s">
        <v>59</v>
      </c>
      <c r="O100" s="25"/>
      <c r="P100" s="14" t="n">
        <v>0.2981</v>
      </c>
      <c r="Q100" s="14" t="n">
        <f aca="false">IF(AND($J100="Yes",$G100&lt;&gt;"Vendor day rates"),$I100-0.4*$P100,0)</f>
        <v>0</v>
      </c>
      <c r="R100" s="26" t="n">
        <f aca="false">IFERROR(MATCH($K100,MonthList,0),0)</f>
        <v>0</v>
      </c>
      <c r="S100" s="14" t="n">
        <f aca="false">IF(OR($J100&lt;&gt;"Yes",$K100=""),0,$Q100*MAX(0,7-$R100)/12)</f>
        <v>0</v>
      </c>
      <c r="T100" s="14" t="n">
        <f aca="false">IF(OR($J100&lt;&gt;"Yes",$K100=""),0,$Q100*IF($R100&lt;=7,12,19-$R100)/12)</f>
        <v>0</v>
      </c>
      <c r="U100" s="14" t="n">
        <f aca="false">IF(AND($L100="Yes",$G100&lt;&gt;"Vendor day rates"),$I100-0.4*$P100,0)</f>
        <v>0</v>
      </c>
      <c r="V100" s="26" t="n">
        <f aca="false">IFERROR(MATCH($M100,MonthList,0),0)</f>
        <v>0</v>
      </c>
      <c r="W100" s="14" t="n">
        <f aca="false">IF(OR($L100&lt;&gt;"Yes",$M100=""),0,$U100*MAX(0,7-$V100)/12)</f>
        <v>0</v>
      </c>
      <c r="X100" s="14" t="n">
        <f aca="false">IF(OR($L100&lt;&gt;"Yes",$M100=""),0,$U100*IF($V100&lt;=7,12,19-$V100)/12)</f>
        <v>0</v>
      </c>
      <c r="Y100" s="14" t="n">
        <f aca="false">IF(AND($N100="Yes",$G100&lt;&gt;"Vendor day rates"),$I100-0.4*$P100,0)</f>
        <v>0</v>
      </c>
      <c r="Z100" s="26" t="n">
        <f aca="false">IFERROR(MATCH($O100,MonthList,0),0)</f>
        <v>0</v>
      </c>
      <c r="AA100" s="14" t="n">
        <f aca="false">IF(OR($N100&lt;&gt;"Yes",$O100=""),0,$Y100*MAX(0,7-$Z100)/12)</f>
        <v>0</v>
      </c>
      <c r="AB100" s="14" t="n">
        <f aca="false">IF(OR($N100&lt;&gt;"Yes",$O100=""),0,$Y100*IF($Z100&lt;=7,12,19-$Z100)/12)</f>
        <v>0</v>
      </c>
      <c r="AC100" s="26" t="str">
        <f aca="false">IF(OR($J100="Yes",$L100="Yes",$N100="Yes"),"Yes","No")</f>
        <v>No</v>
      </c>
      <c r="AD100" s="14" t="n">
        <f aca="false">MAX($Q100,$U100,$Y100)</f>
        <v>0</v>
      </c>
      <c r="AE100" s="26" t="n">
        <f aca="false">$AD100+ROW()*0.000000001</f>
        <v>1E-007</v>
      </c>
      <c r="AF100" s="26" t="str">
        <f aca="false">IF($J100="Yes","A","")&amp;IF($L100="Yes","B","")&amp;IF($N100="Yes","C","")</f>
        <v/>
      </c>
    </row>
    <row r="101" customFormat="false" ht="15" hidden="false" customHeight="false" outlineLevel="0" collapsed="false">
      <c r="B101" s="22" t="s">
        <v>278</v>
      </c>
      <c r="C101" s="23" t="s">
        <v>279</v>
      </c>
      <c r="D101" s="23" t="s">
        <v>204</v>
      </c>
      <c r="E101" s="23" t="s">
        <v>173</v>
      </c>
      <c r="F101" s="22" t="s">
        <v>57</v>
      </c>
      <c r="G101" s="23" t="s">
        <v>58</v>
      </c>
      <c r="H101" s="24" t="n">
        <v>1</v>
      </c>
      <c r="I101" s="14" t="n">
        <v>0.2873</v>
      </c>
      <c r="J101" s="25" t="s">
        <v>59</v>
      </c>
      <c r="K101" s="25"/>
      <c r="L101" s="25" t="s">
        <v>59</v>
      </c>
      <c r="M101" s="25"/>
      <c r="N101" s="25" t="s">
        <v>59</v>
      </c>
      <c r="O101" s="25"/>
      <c r="P101" s="14" t="n">
        <v>0.2873</v>
      </c>
      <c r="Q101" s="14" t="n">
        <f aca="false">IF(AND($J101="Yes",$G101&lt;&gt;"Vendor day rates"),$I101-0.4*$P101,0)</f>
        <v>0</v>
      </c>
      <c r="R101" s="26" t="n">
        <f aca="false">IFERROR(MATCH($K101,MonthList,0),0)</f>
        <v>0</v>
      </c>
      <c r="S101" s="14" t="n">
        <f aca="false">IF(OR($J101&lt;&gt;"Yes",$K101=""),0,$Q101*MAX(0,7-$R101)/12)</f>
        <v>0</v>
      </c>
      <c r="T101" s="14" t="n">
        <f aca="false">IF(OR($J101&lt;&gt;"Yes",$K101=""),0,$Q101*IF($R101&lt;=7,12,19-$R101)/12)</f>
        <v>0</v>
      </c>
      <c r="U101" s="14" t="n">
        <f aca="false">IF(AND($L101="Yes",$G101&lt;&gt;"Vendor day rates"),$I101-0.4*$P101,0)</f>
        <v>0</v>
      </c>
      <c r="V101" s="26" t="n">
        <f aca="false">IFERROR(MATCH($M101,MonthList,0),0)</f>
        <v>0</v>
      </c>
      <c r="W101" s="14" t="n">
        <f aca="false">IF(OR($L101&lt;&gt;"Yes",$M101=""),0,$U101*MAX(0,7-$V101)/12)</f>
        <v>0</v>
      </c>
      <c r="X101" s="14" t="n">
        <f aca="false">IF(OR($L101&lt;&gt;"Yes",$M101=""),0,$U101*IF($V101&lt;=7,12,19-$V101)/12)</f>
        <v>0</v>
      </c>
      <c r="Y101" s="14" t="n">
        <f aca="false">IF(AND($N101="Yes",$G101&lt;&gt;"Vendor day rates"),$I101-0.4*$P101,0)</f>
        <v>0</v>
      </c>
      <c r="Z101" s="26" t="n">
        <f aca="false">IFERROR(MATCH($O101,MonthList,0),0)</f>
        <v>0</v>
      </c>
      <c r="AA101" s="14" t="n">
        <f aca="false">IF(OR($N101&lt;&gt;"Yes",$O101=""),0,$Y101*MAX(0,7-$Z101)/12)</f>
        <v>0</v>
      </c>
      <c r="AB101" s="14" t="n">
        <f aca="false">IF(OR($N101&lt;&gt;"Yes",$O101=""),0,$Y101*IF($Z101&lt;=7,12,19-$Z101)/12)</f>
        <v>0</v>
      </c>
      <c r="AC101" s="26" t="str">
        <f aca="false">IF(OR($J101="Yes",$L101="Yes",$N101="Yes"),"Yes","No")</f>
        <v>No</v>
      </c>
      <c r="AD101" s="14" t="n">
        <f aca="false">MAX($Q101,$U101,$Y101)</f>
        <v>0</v>
      </c>
      <c r="AE101" s="26" t="n">
        <f aca="false">$AD101+ROW()*0.000000001</f>
        <v>1.01E-007</v>
      </c>
      <c r="AF101" s="26" t="str">
        <f aca="false">IF($J101="Yes","A","")&amp;IF($L101="Yes","B","")&amp;IF($N101="Yes","C","")</f>
        <v/>
      </c>
    </row>
    <row r="102" customFormat="false" ht="15" hidden="false" customHeight="false" outlineLevel="0" collapsed="false">
      <c r="B102" s="22" t="s">
        <v>280</v>
      </c>
      <c r="C102" s="23" t="s">
        <v>217</v>
      </c>
      <c r="D102" s="23" t="s">
        <v>204</v>
      </c>
      <c r="E102" s="23" t="s">
        <v>217</v>
      </c>
      <c r="F102" s="22" t="s">
        <v>57</v>
      </c>
      <c r="G102" s="23" t="s">
        <v>149</v>
      </c>
      <c r="H102" s="24" t="n">
        <v>1</v>
      </c>
      <c r="I102" s="14" t="n">
        <v>0.2758</v>
      </c>
      <c r="J102" s="25" t="s">
        <v>59</v>
      </c>
      <c r="K102" s="25"/>
      <c r="L102" s="25" t="s">
        <v>59</v>
      </c>
      <c r="M102" s="25"/>
      <c r="N102" s="25" t="s">
        <v>59</v>
      </c>
      <c r="O102" s="25"/>
      <c r="P102" s="14" t="n">
        <v>0.2758</v>
      </c>
      <c r="Q102" s="14" t="n">
        <f aca="false">IF(AND($J102="Yes",$G102&lt;&gt;"Vendor day rates"),$I102-0.4*$P102,0)</f>
        <v>0</v>
      </c>
      <c r="R102" s="26" t="n">
        <f aca="false">IFERROR(MATCH($K102,MonthList,0),0)</f>
        <v>0</v>
      </c>
      <c r="S102" s="14" t="n">
        <f aca="false">IF(OR($J102&lt;&gt;"Yes",$K102=""),0,$Q102*MAX(0,7-$R102)/12)</f>
        <v>0</v>
      </c>
      <c r="T102" s="14" t="n">
        <f aca="false">IF(OR($J102&lt;&gt;"Yes",$K102=""),0,$Q102*IF($R102&lt;=7,12,19-$R102)/12)</f>
        <v>0</v>
      </c>
      <c r="U102" s="14" t="n">
        <f aca="false">IF(AND($L102="Yes",$G102&lt;&gt;"Vendor day rates"),$I102-0.4*$P102,0)</f>
        <v>0</v>
      </c>
      <c r="V102" s="26" t="n">
        <f aca="false">IFERROR(MATCH($M102,MonthList,0),0)</f>
        <v>0</v>
      </c>
      <c r="W102" s="14" t="n">
        <f aca="false">IF(OR($L102&lt;&gt;"Yes",$M102=""),0,$U102*MAX(0,7-$V102)/12)</f>
        <v>0</v>
      </c>
      <c r="X102" s="14" t="n">
        <f aca="false">IF(OR($L102&lt;&gt;"Yes",$M102=""),0,$U102*IF($V102&lt;=7,12,19-$V102)/12)</f>
        <v>0</v>
      </c>
      <c r="Y102" s="14" t="n">
        <f aca="false">IF(AND($N102="Yes",$G102&lt;&gt;"Vendor day rates"),$I102-0.4*$P102,0)</f>
        <v>0</v>
      </c>
      <c r="Z102" s="26" t="n">
        <f aca="false">IFERROR(MATCH($O102,MonthList,0),0)</f>
        <v>0</v>
      </c>
      <c r="AA102" s="14" t="n">
        <f aca="false">IF(OR($N102&lt;&gt;"Yes",$O102=""),0,$Y102*MAX(0,7-$Z102)/12)</f>
        <v>0</v>
      </c>
      <c r="AB102" s="14" t="n">
        <f aca="false">IF(OR($N102&lt;&gt;"Yes",$O102=""),0,$Y102*IF($Z102&lt;=7,12,19-$Z102)/12)</f>
        <v>0</v>
      </c>
      <c r="AC102" s="26" t="str">
        <f aca="false">IF(OR($J102="Yes",$L102="Yes",$N102="Yes"),"Yes","No")</f>
        <v>No</v>
      </c>
      <c r="AD102" s="14" t="n">
        <f aca="false">MAX($Q102,$U102,$Y102)</f>
        <v>0</v>
      </c>
      <c r="AE102" s="26" t="n">
        <f aca="false">$AD102+ROW()*0.000000001</f>
        <v>1.02E-007</v>
      </c>
      <c r="AF102" s="26" t="str">
        <f aca="false">IF($J102="Yes","A","")&amp;IF($L102="Yes","B","")&amp;IF($N102="Yes","C","")</f>
        <v/>
      </c>
    </row>
    <row r="103" customFormat="false" ht="15" hidden="false" customHeight="false" outlineLevel="0" collapsed="false">
      <c r="B103" s="22" t="s">
        <v>281</v>
      </c>
      <c r="C103" s="23" t="s">
        <v>282</v>
      </c>
      <c r="D103" s="23" t="s">
        <v>204</v>
      </c>
      <c r="E103" s="23" t="s">
        <v>173</v>
      </c>
      <c r="F103" s="22" t="s">
        <v>57</v>
      </c>
      <c r="G103" s="23" t="s">
        <v>149</v>
      </c>
      <c r="H103" s="24" t="n">
        <v>1</v>
      </c>
      <c r="I103" s="14" t="n">
        <v>0.2758</v>
      </c>
      <c r="J103" s="25" t="s">
        <v>59</v>
      </c>
      <c r="K103" s="25"/>
      <c r="L103" s="25" t="s">
        <v>59</v>
      </c>
      <c r="M103" s="25"/>
      <c r="N103" s="25" t="s">
        <v>59</v>
      </c>
      <c r="O103" s="25"/>
      <c r="P103" s="14" t="n">
        <v>0.2758</v>
      </c>
      <c r="Q103" s="14" t="n">
        <f aca="false">IF(AND($J103="Yes",$G103&lt;&gt;"Vendor day rates"),$I103-0.4*$P103,0)</f>
        <v>0</v>
      </c>
      <c r="R103" s="26" t="n">
        <f aca="false">IFERROR(MATCH($K103,MonthList,0),0)</f>
        <v>0</v>
      </c>
      <c r="S103" s="14" t="n">
        <f aca="false">IF(OR($J103&lt;&gt;"Yes",$K103=""),0,$Q103*MAX(0,7-$R103)/12)</f>
        <v>0</v>
      </c>
      <c r="T103" s="14" t="n">
        <f aca="false">IF(OR($J103&lt;&gt;"Yes",$K103=""),0,$Q103*IF($R103&lt;=7,12,19-$R103)/12)</f>
        <v>0</v>
      </c>
      <c r="U103" s="14" t="n">
        <f aca="false">IF(AND($L103="Yes",$G103&lt;&gt;"Vendor day rates"),$I103-0.4*$P103,0)</f>
        <v>0</v>
      </c>
      <c r="V103" s="26" t="n">
        <f aca="false">IFERROR(MATCH($M103,MonthList,0),0)</f>
        <v>0</v>
      </c>
      <c r="W103" s="14" t="n">
        <f aca="false">IF(OR($L103&lt;&gt;"Yes",$M103=""),0,$U103*MAX(0,7-$V103)/12)</f>
        <v>0</v>
      </c>
      <c r="X103" s="14" t="n">
        <f aca="false">IF(OR($L103&lt;&gt;"Yes",$M103=""),0,$U103*IF($V103&lt;=7,12,19-$V103)/12)</f>
        <v>0</v>
      </c>
      <c r="Y103" s="14" t="n">
        <f aca="false">IF(AND($N103="Yes",$G103&lt;&gt;"Vendor day rates"),$I103-0.4*$P103,0)</f>
        <v>0</v>
      </c>
      <c r="Z103" s="26" t="n">
        <f aca="false">IFERROR(MATCH($O103,MonthList,0),0)</f>
        <v>0</v>
      </c>
      <c r="AA103" s="14" t="n">
        <f aca="false">IF(OR($N103&lt;&gt;"Yes",$O103=""),0,$Y103*MAX(0,7-$Z103)/12)</f>
        <v>0</v>
      </c>
      <c r="AB103" s="14" t="n">
        <f aca="false">IF(OR($N103&lt;&gt;"Yes",$O103=""),0,$Y103*IF($Z103&lt;=7,12,19-$Z103)/12)</f>
        <v>0</v>
      </c>
      <c r="AC103" s="26" t="str">
        <f aca="false">IF(OR($J103="Yes",$L103="Yes",$N103="Yes"),"Yes","No")</f>
        <v>No</v>
      </c>
      <c r="AD103" s="14" t="n">
        <f aca="false">MAX($Q103,$U103,$Y103)</f>
        <v>0</v>
      </c>
      <c r="AE103" s="26" t="n">
        <f aca="false">$AD103+ROW()*0.000000001</f>
        <v>1.03E-007</v>
      </c>
      <c r="AF103" s="26" t="str">
        <f aca="false">IF($J103="Yes","A","")&amp;IF($L103="Yes","B","")&amp;IF($N103="Yes","C","")</f>
        <v/>
      </c>
    </row>
    <row r="104" customFormat="false" ht="15" hidden="false" customHeight="false" outlineLevel="0" collapsed="false">
      <c r="B104" s="22" t="s">
        <v>283</v>
      </c>
      <c r="C104" s="23" t="s">
        <v>284</v>
      </c>
      <c r="D104" s="23" t="s">
        <v>147</v>
      </c>
      <c r="E104" s="23" t="s">
        <v>167</v>
      </c>
      <c r="F104" s="22" t="s">
        <v>57</v>
      </c>
      <c r="G104" s="23" t="s">
        <v>58</v>
      </c>
      <c r="H104" s="24" t="n">
        <v>1</v>
      </c>
      <c r="I104" s="14" t="n">
        <v>0.2721</v>
      </c>
      <c r="J104" s="25" t="s">
        <v>59</v>
      </c>
      <c r="K104" s="25"/>
      <c r="L104" s="25" t="s">
        <v>59</v>
      </c>
      <c r="M104" s="25"/>
      <c r="N104" s="25" t="s">
        <v>59</v>
      </c>
      <c r="O104" s="25"/>
      <c r="P104" s="14" t="n">
        <v>0.2721</v>
      </c>
      <c r="Q104" s="14" t="n">
        <f aca="false">IF(AND($J104="Yes",$G104&lt;&gt;"Vendor day rates"),$I104-0.4*$P104,0)</f>
        <v>0</v>
      </c>
      <c r="R104" s="26" t="n">
        <f aca="false">IFERROR(MATCH($K104,MonthList,0),0)</f>
        <v>0</v>
      </c>
      <c r="S104" s="14" t="n">
        <f aca="false">IF(OR($J104&lt;&gt;"Yes",$K104=""),0,$Q104*MAX(0,7-$R104)/12)</f>
        <v>0</v>
      </c>
      <c r="T104" s="14" t="n">
        <f aca="false">IF(OR($J104&lt;&gt;"Yes",$K104=""),0,$Q104*IF($R104&lt;=7,12,19-$R104)/12)</f>
        <v>0</v>
      </c>
      <c r="U104" s="14" t="n">
        <f aca="false">IF(AND($L104="Yes",$G104&lt;&gt;"Vendor day rates"),$I104-0.4*$P104,0)</f>
        <v>0</v>
      </c>
      <c r="V104" s="26" t="n">
        <f aca="false">IFERROR(MATCH($M104,MonthList,0),0)</f>
        <v>0</v>
      </c>
      <c r="W104" s="14" t="n">
        <f aca="false">IF(OR($L104&lt;&gt;"Yes",$M104=""),0,$U104*MAX(0,7-$V104)/12)</f>
        <v>0</v>
      </c>
      <c r="X104" s="14" t="n">
        <f aca="false">IF(OR($L104&lt;&gt;"Yes",$M104=""),0,$U104*IF($V104&lt;=7,12,19-$V104)/12)</f>
        <v>0</v>
      </c>
      <c r="Y104" s="14" t="n">
        <f aca="false">IF(AND($N104="Yes",$G104&lt;&gt;"Vendor day rates"),$I104-0.4*$P104,0)</f>
        <v>0</v>
      </c>
      <c r="Z104" s="26" t="n">
        <f aca="false">IFERROR(MATCH($O104,MonthList,0),0)</f>
        <v>0</v>
      </c>
      <c r="AA104" s="14" t="n">
        <f aca="false">IF(OR($N104&lt;&gt;"Yes",$O104=""),0,$Y104*MAX(0,7-$Z104)/12)</f>
        <v>0</v>
      </c>
      <c r="AB104" s="14" t="n">
        <f aca="false">IF(OR($N104&lt;&gt;"Yes",$O104=""),0,$Y104*IF($Z104&lt;=7,12,19-$Z104)/12)</f>
        <v>0</v>
      </c>
      <c r="AC104" s="26" t="str">
        <f aca="false">IF(OR($J104="Yes",$L104="Yes",$N104="Yes"),"Yes","No")</f>
        <v>No</v>
      </c>
      <c r="AD104" s="14" t="n">
        <f aca="false">MAX($Q104,$U104,$Y104)</f>
        <v>0</v>
      </c>
      <c r="AE104" s="26" t="n">
        <f aca="false">$AD104+ROW()*0.000000001</f>
        <v>1.04E-007</v>
      </c>
      <c r="AF104" s="26" t="str">
        <f aca="false">IF($J104="Yes","A","")&amp;IF($L104="Yes","B","")&amp;IF($N104="Yes","C","")</f>
        <v/>
      </c>
    </row>
    <row r="105" customFormat="false" ht="15" hidden="false" customHeight="false" outlineLevel="0" collapsed="false">
      <c r="B105" s="22" t="s">
        <v>285</v>
      </c>
      <c r="C105" s="23" t="s">
        <v>286</v>
      </c>
      <c r="D105" s="23" t="s">
        <v>204</v>
      </c>
      <c r="E105" s="23" t="s">
        <v>287</v>
      </c>
      <c r="F105" s="22" t="s">
        <v>57</v>
      </c>
      <c r="G105" s="23" t="s">
        <v>58</v>
      </c>
      <c r="H105" s="24" t="n">
        <v>1</v>
      </c>
      <c r="I105" s="14" t="n">
        <v>0.3237</v>
      </c>
      <c r="J105" s="25" t="s">
        <v>59</v>
      </c>
      <c r="K105" s="25"/>
      <c r="L105" s="25" t="s">
        <v>59</v>
      </c>
      <c r="M105" s="25"/>
      <c r="N105" s="25" t="s">
        <v>59</v>
      </c>
      <c r="O105" s="25"/>
      <c r="P105" s="14" t="n">
        <v>0.3237</v>
      </c>
      <c r="Q105" s="14" t="n">
        <f aca="false">IF(AND($J105="Yes",$G105&lt;&gt;"Vendor day rates"),$I105-0.4*$P105,0)</f>
        <v>0</v>
      </c>
      <c r="R105" s="26" t="n">
        <f aca="false">IFERROR(MATCH($K105,MonthList,0),0)</f>
        <v>0</v>
      </c>
      <c r="S105" s="14" t="n">
        <f aca="false">IF(OR($J105&lt;&gt;"Yes",$K105=""),0,$Q105*MAX(0,7-$R105)/12)</f>
        <v>0</v>
      </c>
      <c r="T105" s="14" t="n">
        <f aca="false">IF(OR($J105&lt;&gt;"Yes",$K105=""),0,$Q105*IF($R105&lt;=7,12,19-$R105)/12)</f>
        <v>0</v>
      </c>
      <c r="U105" s="14" t="n">
        <f aca="false">IF(AND($L105="Yes",$G105&lt;&gt;"Vendor day rates"),$I105-0.4*$P105,0)</f>
        <v>0</v>
      </c>
      <c r="V105" s="26" t="n">
        <f aca="false">IFERROR(MATCH($M105,MonthList,0),0)</f>
        <v>0</v>
      </c>
      <c r="W105" s="14" t="n">
        <f aca="false">IF(OR($L105&lt;&gt;"Yes",$M105=""),0,$U105*MAX(0,7-$V105)/12)</f>
        <v>0</v>
      </c>
      <c r="X105" s="14" t="n">
        <f aca="false">IF(OR($L105&lt;&gt;"Yes",$M105=""),0,$U105*IF($V105&lt;=7,12,19-$V105)/12)</f>
        <v>0</v>
      </c>
      <c r="Y105" s="14" t="n">
        <f aca="false">IF(AND($N105="Yes",$G105&lt;&gt;"Vendor day rates"),$I105-0.4*$P105,0)</f>
        <v>0</v>
      </c>
      <c r="Z105" s="26" t="n">
        <f aca="false">IFERROR(MATCH($O105,MonthList,0),0)</f>
        <v>0</v>
      </c>
      <c r="AA105" s="14" t="n">
        <f aca="false">IF(OR($N105&lt;&gt;"Yes",$O105=""),0,$Y105*MAX(0,7-$Z105)/12)</f>
        <v>0</v>
      </c>
      <c r="AB105" s="14" t="n">
        <f aca="false">IF(OR($N105&lt;&gt;"Yes",$O105=""),0,$Y105*IF($Z105&lt;=7,12,19-$Z105)/12)</f>
        <v>0</v>
      </c>
      <c r="AC105" s="26" t="str">
        <f aca="false">IF(OR($J105="Yes",$L105="Yes",$N105="Yes"),"Yes","No")</f>
        <v>No</v>
      </c>
      <c r="AD105" s="14" t="n">
        <f aca="false">MAX($Q105,$U105,$Y105)</f>
        <v>0</v>
      </c>
      <c r="AE105" s="26" t="n">
        <f aca="false">$AD105+ROW()*0.000000001</f>
        <v>1.05E-007</v>
      </c>
      <c r="AF105" s="26" t="str">
        <f aca="false">IF($J105="Yes","A","")&amp;IF($L105="Yes","B","")&amp;IF($N105="Yes","C","")</f>
        <v/>
      </c>
    </row>
    <row r="106" customFormat="false" ht="15" hidden="false" customHeight="false" outlineLevel="0" collapsed="false">
      <c r="B106" s="22" t="s">
        <v>288</v>
      </c>
      <c r="C106" s="23" t="s">
        <v>289</v>
      </c>
      <c r="D106" s="23"/>
      <c r="E106" s="23" t="s">
        <v>290</v>
      </c>
      <c r="F106" s="22" t="s">
        <v>112</v>
      </c>
      <c r="G106" s="23" t="s">
        <v>58</v>
      </c>
      <c r="H106" s="24" t="n">
        <v>1</v>
      </c>
      <c r="I106" s="14" t="n">
        <v>0.2427</v>
      </c>
      <c r="J106" s="25" t="s">
        <v>59</v>
      </c>
      <c r="K106" s="25"/>
      <c r="L106" s="25" t="s">
        <v>59</v>
      </c>
      <c r="M106" s="25"/>
      <c r="N106" s="25" t="s">
        <v>59</v>
      </c>
      <c r="O106" s="25"/>
      <c r="P106" s="14" t="n">
        <v>0.2427</v>
      </c>
      <c r="Q106" s="14" t="n">
        <f aca="false">IF(AND($J106="Yes",$G106&lt;&gt;"Vendor day rates"),$I106-0.4*$P106,0)</f>
        <v>0</v>
      </c>
      <c r="R106" s="26" t="n">
        <f aca="false">IFERROR(MATCH($K106,MonthList,0),0)</f>
        <v>0</v>
      </c>
      <c r="S106" s="14" t="n">
        <f aca="false">IF(OR($J106&lt;&gt;"Yes",$K106=""),0,$Q106*MAX(0,7-$R106)/12)</f>
        <v>0</v>
      </c>
      <c r="T106" s="14" t="n">
        <f aca="false">IF(OR($J106&lt;&gt;"Yes",$K106=""),0,$Q106*IF($R106&lt;=7,12,19-$R106)/12)</f>
        <v>0</v>
      </c>
      <c r="U106" s="14" t="n">
        <f aca="false">IF(AND($L106="Yes",$G106&lt;&gt;"Vendor day rates"),$I106-0.4*$P106,0)</f>
        <v>0</v>
      </c>
      <c r="V106" s="26" t="n">
        <f aca="false">IFERROR(MATCH($M106,MonthList,0),0)</f>
        <v>0</v>
      </c>
      <c r="W106" s="14" t="n">
        <f aca="false">IF(OR($L106&lt;&gt;"Yes",$M106=""),0,$U106*MAX(0,7-$V106)/12)</f>
        <v>0</v>
      </c>
      <c r="X106" s="14" t="n">
        <f aca="false">IF(OR($L106&lt;&gt;"Yes",$M106=""),0,$U106*IF($V106&lt;=7,12,19-$V106)/12)</f>
        <v>0</v>
      </c>
      <c r="Y106" s="14" t="n">
        <f aca="false">IF(AND($N106="Yes",$G106&lt;&gt;"Vendor day rates"),$I106-0.4*$P106,0)</f>
        <v>0</v>
      </c>
      <c r="Z106" s="26" t="n">
        <f aca="false">IFERROR(MATCH($O106,MonthList,0),0)</f>
        <v>0</v>
      </c>
      <c r="AA106" s="14" t="n">
        <f aca="false">IF(OR($N106&lt;&gt;"Yes",$O106=""),0,$Y106*MAX(0,7-$Z106)/12)</f>
        <v>0</v>
      </c>
      <c r="AB106" s="14" t="n">
        <f aca="false">IF(OR($N106&lt;&gt;"Yes",$O106=""),0,$Y106*IF($Z106&lt;=7,12,19-$Z106)/12)</f>
        <v>0</v>
      </c>
      <c r="AC106" s="26" t="str">
        <f aca="false">IF(OR($J106="Yes",$L106="Yes",$N106="Yes"),"Yes","No")</f>
        <v>No</v>
      </c>
      <c r="AD106" s="14" t="n">
        <f aca="false">MAX($Q106,$U106,$Y106)</f>
        <v>0</v>
      </c>
      <c r="AE106" s="26" t="n">
        <f aca="false">$AD106+ROW()*0.000000001</f>
        <v>1.06E-007</v>
      </c>
      <c r="AF106" s="26" t="str">
        <f aca="false">IF($J106="Yes","A","")&amp;IF($L106="Yes","B","")&amp;IF($N106="Yes","C","")</f>
        <v/>
      </c>
    </row>
    <row r="107" customFormat="false" ht="15" hidden="false" customHeight="false" outlineLevel="0" collapsed="false">
      <c r="B107" s="22" t="s">
        <v>291</v>
      </c>
      <c r="C107" s="23" t="s">
        <v>292</v>
      </c>
      <c r="D107" s="23"/>
      <c r="E107" s="23" t="s">
        <v>290</v>
      </c>
      <c r="F107" s="22" t="s">
        <v>112</v>
      </c>
      <c r="G107" s="23" t="s">
        <v>58</v>
      </c>
      <c r="H107" s="24" t="n">
        <v>1</v>
      </c>
      <c r="I107" s="14" t="n">
        <v>0.2143</v>
      </c>
      <c r="J107" s="25" t="s">
        <v>59</v>
      </c>
      <c r="K107" s="25"/>
      <c r="L107" s="25" t="s">
        <v>59</v>
      </c>
      <c r="M107" s="25"/>
      <c r="N107" s="25" t="s">
        <v>59</v>
      </c>
      <c r="O107" s="25"/>
      <c r="P107" s="14" t="n">
        <v>0.2143</v>
      </c>
      <c r="Q107" s="14" t="n">
        <f aca="false">IF(AND($J107="Yes",$G107&lt;&gt;"Vendor day rates"),$I107-0.4*$P107,0)</f>
        <v>0</v>
      </c>
      <c r="R107" s="26" t="n">
        <f aca="false">IFERROR(MATCH($K107,MonthList,0),0)</f>
        <v>0</v>
      </c>
      <c r="S107" s="14" t="n">
        <f aca="false">IF(OR($J107&lt;&gt;"Yes",$K107=""),0,$Q107*MAX(0,7-$R107)/12)</f>
        <v>0</v>
      </c>
      <c r="T107" s="14" t="n">
        <f aca="false">IF(OR($J107&lt;&gt;"Yes",$K107=""),0,$Q107*IF($R107&lt;=7,12,19-$R107)/12)</f>
        <v>0</v>
      </c>
      <c r="U107" s="14" t="n">
        <f aca="false">IF(AND($L107="Yes",$G107&lt;&gt;"Vendor day rates"),$I107-0.4*$P107,0)</f>
        <v>0</v>
      </c>
      <c r="V107" s="26" t="n">
        <f aca="false">IFERROR(MATCH($M107,MonthList,0),0)</f>
        <v>0</v>
      </c>
      <c r="W107" s="14" t="n">
        <f aca="false">IF(OR($L107&lt;&gt;"Yes",$M107=""),0,$U107*MAX(0,7-$V107)/12)</f>
        <v>0</v>
      </c>
      <c r="X107" s="14" t="n">
        <f aca="false">IF(OR($L107&lt;&gt;"Yes",$M107=""),0,$U107*IF($V107&lt;=7,12,19-$V107)/12)</f>
        <v>0</v>
      </c>
      <c r="Y107" s="14" t="n">
        <f aca="false">IF(AND($N107="Yes",$G107&lt;&gt;"Vendor day rates"),$I107-0.4*$P107,0)</f>
        <v>0</v>
      </c>
      <c r="Z107" s="26" t="n">
        <f aca="false">IFERROR(MATCH($O107,MonthList,0),0)</f>
        <v>0</v>
      </c>
      <c r="AA107" s="14" t="n">
        <f aca="false">IF(OR($N107&lt;&gt;"Yes",$O107=""),0,$Y107*MAX(0,7-$Z107)/12)</f>
        <v>0</v>
      </c>
      <c r="AB107" s="14" t="n">
        <f aca="false">IF(OR($N107&lt;&gt;"Yes",$O107=""),0,$Y107*IF($Z107&lt;=7,12,19-$Z107)/12)</f>
        <v>0</v>
      </c>
      <c r="AC107" s="26" t="str">
        <f aca="false">IF(OR($J107="Yes",$L107="Yes",$N107="Yes"),"Yes","No")</f>
        <v>No</v>
      </c>
      <c r="AD107" s="14" t="n">
        <f aca="false">MAX($Q107,$U107,$Y107)</f>
        <v>0</v>
      </c>
      <c r="AE107" s="26" t="n">
        <f aca="false">$AD107+ROW()*0.000000001</f>
        <v>1.07E-007</v>
      </c>
      <c r="AF107" s="26" t="str">
        <f aca="false">IF($J107="Yes","A","")&amp;IF($L107="Yes","B","")&amp;IF($N107="Yes","C","")</f>
        <v/>
      </c>
    </row>
    <row r="108" customFormat="false" ht="15" hidden="false" customHeight="false" outlineLevel="0" collapsed="false">
      <c r="B108" s="22" t="s">
        <v>293</v>
      </c>
      <c r="C108" s="23" t="s">
        <v>294</v>
      </c>
      <c r="D108" s="23"/>
      <c r="E108" s="23" t="s">
        <v>290</v>
      </c>
      <c r="F108" s="22" t="s">
        <v>112</v>
      </c>
      <c r="G108" s="23" t="s">
        <v>58</v>
      </c>
      <c r="H108" s="24" t="n">
        <v>1</v>
      </c>
      <c r="I108" s="14" t="n">
        <v>0.2369</v>
      </c>
      <c r="J108" s="25" t="s">
        <v>59</v>
      </c>
      <c r="K108" s="25"/>
      <c r="L108" s="25" t="s">
        <v>59</v>
      </c>
      <c r="M108" s="25"/>
      <c r="N108" s="25" t="s">
        <v>59</v>
      </c>
      <c r="O108" s="25"/>
      <c r="P108" s="14" t="n">
        <v>0.2369</v>
      </c>
      <c r="Q108" s="14" t="n">
        <f aca="false">IF(AND($J108="Yes",$G108&lt;&gt;"Vendor day rates"),$I108-0.4*$P108,0)</f>
        <v>0</v>
      </c>
      <c r="R108" s="26" t="n">
        <f aca="false">IFERROR(MATCH($K108,MonthList,0),0)</f>
        <v>0</v>
      </c>
      <c r="S108" s="14" t="n">
        <f aca="false">IF(OR($J108&lt;&gt;"Yes",$K108=""),0,$Q108*MAX(0,7-$R108)/12)</f>
        <v>0</v>
      </c>
      <c r="T108" s="14" t="n">
        <f aca="false">IF(OR($J108&lt;&gt;"Yes",$K108=""),0,$Q108*IF($R108&lt;=7,12,19-$R108)/12)</f>
        <v>0</v>
      </c>
      <c r="U108" s="14" t="n">
        <f aca="false">IF(AND($L108="Yes",$G108&lt;&gt;"Vendor day rates"),$I108-0.4*$P108,0)</f>
        <v>0</v>
      </c>
      <c r="V108" s="26" t="n">
        <f aca="false">IFERROR(MATCH($M108,MonthList,0),0)</f>
        <v>0</v>
      </c>
      <c r="W108" s="14" t="n">
        <f aca="false">IF(OR($L108&lt;&gt;"Yes",$M108=""),0,$U108*MAX(0,7-$V108)/12)</f>
        <v>0</v>
      </c>
      <c r="X108" s="14" t="n">
        <f aca="false">IF(OR($L108&lt;&gt;"Yes",$M108=""),0,$U108*IF($V108&lt;=7,12,19-$V108)/12)</f>
        <v>0</v>
      </c>
      <c r="Y108" s="14" t="n">
        <f aca="false">IF(AND($N108="Yes",$G108&lt;&gt;"Vendor day rates"),$I108-0.4*$P108,0)</f>
        <v>0</v>
      </c>
      <c r="Z108" s="26" t="n">
        <f aca="false">IFERROR(MATCH($O108,MonthList,0),0)</f>
        <v>0</v>
      </c>
      <c r="AA108" s="14" t="n">
        <f aca="false">IF(OR($N108&lt;&gt;"Yes",$O108=""),0,$Y108*MAX(0,7-$Z108)/12)</f>
        <v>0</v>
      </c>
      <c r="AB108" s="14" t="n">
        <f aca="false">IF(OR($N108&lt;&gt;"Yes",$O108=""),0,$Y108*IF($Z108&lt;=7,12,19-$Z108)/12)</f>
        <v>0</v>
      </c>
      <c r="AC108" s="26" t="str">
        <f aca="false">IF(OR($J108="Yes",$L108="Yes",$N108="Yes"),"Yes","No")</f>
        <v>No</v>
      </c>
      <c r="AD108" s="14" t="n">
        <f aca="false">MAX($Q108,$U108,$Y108)</f>
        <v>0</v>
      </c>
      <c r="AE108" s="26" t="n">
        <f aca="false">$AD108+ROW()*0.000000001</f>
        <v>1.08E-007</v>
      </c>
      <c r="AF108" s="26" t="str">
        <f aca="false">IF($J108="Yes","A","")&amp;IF($L108="Yes","B","")&amp;IF($N108="Yes","C","")</f>
        <v/>
      </c>
    </row>
    <row r="109" customFormat="false" ht="15" hidden="false" customHeight="false" outlineLevel="0" collapsed="false">
      <c r="B109" s="22" t="s">
        <v>295</v>
      </c>
      <c r="C109" s="23" t="s">
        <v>296</v>
      </c>
      <c r="D109" s="23" t="s">
        <v>158</v>
      </c>
      <c r="E109" s="23" t="s">
        <v>173</v>
      </c>
      <c r="F109" s="22" t="s">
        <v>57</v>
      </c>
      <c r="G109" s="23" t="s">
        <v>58</v>
      </c>
      <c r="H109" s="24" t="n">
        <v>1</v>
      </c>
      <c r="I109" s="14" t="n">
        <v>0.2758</v>
      </c>
      <c r="J109" s="25" t="s">
        <v>59</v>
      </c>
      <c r="K109" s="25"/>
      <c r="L109" s="25" t="s">
        <v>59</v>
      </c>
      <c r="M109" s="25"/>
      <c r="N109" s="25" t="s">
        <v>59</v>
      </c>
      <c r="O109" s="25"/>
      <c r="P109" s="14" t="n">
        <v>0.2758</v>
      </c>
      <c r="Q109" s="14" t="n">
        <f aca="false">IF(AND($J109="Yes",$G109&lt;&gt;"Vendor day rates"),$I109-0.4*$P109,0)</f>
        <v>0</v>
      </c>
      <c r="R109" s="26" t="n">
        <f aca="false">IFERROR(MATCH($K109,MonthList,0),0)</f>
        <v>0</v>
      </c>
      <c r="S109" s="14" t="n">
        <f aca="false">IF(OR($J109&lt;&gt;"Yes",$K109=""),0,$Q109*MAX(0,7-$R109)/12)</f>
        <v>0</v>
      </c>
      <c r="T109" s="14" t="n">
        <f aca="false">IF(OR($J109&lt;&gt;"Yes",$K109=""),0,$Q109*IF($R109&lt;=7,12,19-$R109)/12)</f>
        <v>0</v>
      </c>
      <c r="U109" s="14" t="n">
        <f aca="false">IF(AND($L109="Yes",$G109&lt;&gt;"Vendor day rates"),$I109-0.4*$P109,0)</f>
        <v>0</v>
      </c>
      <c r="V109" s="26" t="n">
        <f aca="false">IFERROR(MATCH($M109,MonthList,0),0)</f>
        <v>0</v>
      </c>
      <c r="W109" s="14" t="n">
        <f aca="false">IF(OR($L109&lt;&gt;"Yes",$M109=""),0,$U109*MAX(0,7-$V109)/12)</f>
        <v>0</v>
      </c>
      <c r="X109" s="14" t="n">
        <f aca="false">IF(OR($L109&lt;&gt;"Yes",$M109=""),0,$U109*IF($V109&lt;=7,12,19-$V109)/12)</f>
        <v>0</v>
      </c>
      <c r="Y109" s="14" t="n">
        <f aca="false">IF(AND($N109="Yes",$G109&lt;&gt;"Vendor day rates"),$I109-0.4*$P109,0)</f>
        <v>0</v>
      </c>
      <c r="Z109" s="26" t="n">
        <f aca="false">IFERROR(MATCH($O109,MonthList,0),0)</f>
        <v>0</v>
      </c>
      <c r="AA109" s="14" t="n">
        <f aca="false">IF(OR($N109&lt;&gt;"Yes",$O109=""),0,$Y109*MAX(0,7-$Z109)/12)</f>
        <v>0</v>
      </c>
      <c r="AB109" s="14" t="n">
        <f aca="false">IF(OR($N109&lt;&gt;"Yes",$O109=""),0,$Y109*IF($Z109&lt;=7,12,19-$Z109)/12)</f>
        <v>0</v>
      </c>
      <c r="AC109" s="26" t="str">
        <f aca="false">IF(OR($J109="Yes",$L109="Yes",$N109="Yes"),"Yes","No")</f>
        <v>No</v>
      </c>
      <c r="AD109" s="14" t="n">
        <f aca="false">MAX($Q109,$U109,$Y109)</f>
        <v>0</v>
      </c>
      <c r="AE109" s="26" t="n">
        <f aca="false">$AD109+ROW()*0.000000001</f>
        <v>1.09E-007</v>
      </c>
      <c r="AF109" s="26" t="str">
        <f aca="false">IF($J109="Yes","A","")&amp;IF($L109="Yes","B","")&amp;IF($N109="Yes","C","")</f>
        <v/>
      </c>
    </row>
    <row r="110" customFormat="false" ht="15" hidden="false" customHeight="false" outlineLevel="0" collapsed="false">
      <c r="B110" s="22" t="s">
        <v>297</v>
      </c>
      <c r="C110" s="23" t="s">
        <v>298</v>
      </c>
      <c r="D110" s="23" t="s">
        <v>158</v>
      </c>
      <c r="E110" s="23" t="s">
        <v>173</v>
      </c>
      <c r="F110" s="22" t="s">
        <v>112</v>
      </c>
      <c r="G110" s="23" t="s">
        <v>58</v>
      </c>
      <c r="H110" s="24" t="n">
        <v>1</v>
      </c>
      <c r="I110" s="14" t="n">
        <v>0.2215</v>
      </c>
      <c r="J110" s="25" t="s">
        <v>59</v>
      </c>
      <c r="K110" s="25"/>
      <c r="L110" s="25" t="s">
        <v>59</v>
      </c>
      <c r="M110" s="25"/>
      <c r="N110" s="25" t="s">
        <v>59</v>
      </c>
      <c r="O110" s="25"/>
      <c r="P110" s="14" t="n">
        <v>0.2215</v>
      </c>
      <c r="Q110" s="14" t="n">
        <f aca="false">IF(AND($J110="Yes",$G110&lt;&gt;"Vendor day rates"),$I110-0.4*$P110,0)</f>
        <v>0</v>
      </c>
      <c r="R110" s="26" t="n">
        <f aca="false">IFERROR(MATCH($K110,MonthList,0),0)</f>
        <v>0</v>
      </c>
      <c r="S110" s="14" t="n">
        <f aca="false">IF(OR($J110&lt;&gt;"Yes",$K110=""),0,$Q110*MAX(0,7-$R110)/12)</f>
        <v>0</v>
      </c>
      <c r="T110" s="14" t="n">
        <f aca="false">IF(OR($J110&lt;&gt;"Yes",$K110=""),0,$Q110*IF($R110&lt;=7,12,19-$R110)/12)</f>
        <v>0</v>
      </c>
      <c r="U110" s="14" t="n">
        <f aca="false">IF(AND($L110="Yes",$G110&lt;&gt;"Vendor day rates"),$I110-0.4*$P110,0)</f>
        <v>0</v>
      </c>
      <c r="V110" s="26" t="n">
        <f aca="false">IFERROR(MATCH($M110,MonthList,0),0)</f>
        <v>0</v>
      </c>
      <c r="W110" s="14" t="n">
        <f aca="false">IF(OR($L110&lt;&gt;"Yes",$M110=""),0,$U110*MAX(0,7-$V110)/12)</f>
        <v>0</v>
      </c>
      <c r="X110" s="14" t="n">
        <f aca="false">IF(OR($L110&lt;&gt;"Yes",$M110=""),0,$U110*IF($V110&lt;=7,12,19-$V110)/12)</f>
        <v>0</v>
      </c>
      <c r="Y110" s="14" t="n">
        <f aca="false">IF(AND($N110="Yes",$G110&lt;&gt;"Vendor day rates"),$I110-0.4*$P110,0)</f>
        <v>0</v>
      </c>
      <c r="Z110" s="26" t="n">
        <f aca="false">IFERROR(MATCH($O110,MonthList,0),0)</f>
        <v>0</v>
      </c>
      <c r="AA110" s="14" t="n">
        <f aca="false">IF(OR($N110&lt;&gt;"Yes",$O110=""),0,$Y110*MAX(0,7-$Z110)/12)</f>
        <v>0</v>
      </c>
      <c r="AB110" s="14" t="n">
        <f aca="false">IF(OR($N110&lt;&gt;"Yes",$O110=""),0,$Y110*IF($Z110&lt;=7,12,19-$Z110)/12)</f>
        <v>0</v>
      </c>
      <c r="AC110" s="26" t="str">
        <f aca="false">IF(OR($J110="Yes",$L110="Yes",$N110="Yes"),"Yes","No")</f>
        <v>No</v>
      </c>
      <c r="AD110" s="14" t="n">
        <f aca="false">MAX($Q110,$U110,$Y110)</f>
        <v>0</v>
      </c>
      <c r="AE110" s="26" t="n">
        <f aca="false">$AD110+ROW()*0.000000001</f>
        <v>1.1E-007</v>
      </c>
      <c r="AF110" s="26" t="str">
        <f aca="false">IF($J110="Yes","A","")&amp;IF($L110="Yes","B","")&amp;IF($N110="Yes","C","")</f>
        <v/>
      </c>
    </row>
    <row r="111" customFormat="false" ht="15" hidden="false" customHeight="false" outlineLevel="0" collapsed="false">
      <c r="B111" s="22" t="s">
        <v>299</v>
      </c>
      <c r="C111" s="23" t="s">
        <v>236</v>
      </c>
      <c r="D111" s="23" t="s">
        <v>215</v>
      </c>
      <c r="E111" s="23" t="s">
        <v>173</v>
      </c>
      <c r="F111" s="22" t="s">
        <v>112</v>
      </c>
      <c r="G111" s="23" t="s">
        <v>58</v>
      </c>
      <c r="H111" s="24" t="n">
        <v>1</v>
      </c>
      <c r="I111" s="14" t="n">
        <v>0.2365</v>
      </c>
      <c r="J111" s="25" t="s">
        <v>59</v>
      </c>
      <c r="K111" s="25"/>
      <c r="L111" s="25" t="s">
        <v>59</v>
      </c>
      <c r="M111" s="25"/>
      <c r="N111" s="25" t="s">
        <v>59</v>
      </c>
      <c r="O111" s="25"/>
      <c r="P111" s="14" t="n">
        <v>0.2365</v>
      </c>
      <c r="Q111" s="14" t="n">
        <f aca="false">IF(AND($J111="Yes",$G111&lt;&gt;"Vendor day rates"),$I111-0.4*$P111,0)</f>
        <v>0</v>
      </c>
      <c r="R111" s="26" t="n">
        <f aca="false">IFERROR(MATCH($K111,MonthList,0),0)</f>
        <v>0</v>
      </c>
      <c r="S111" s="14" t="n">
        <f aca="false">IF(OR($J111&lt;&gt;"Yes",$K111=""),0,$Q111*MAX(0,7-$R111)/12)</f>
        <v>0</v>
      </c>
      <c r="T111" s="14" t="n">
        <f aca="false">IF(OR($J111&lt;&gt;"Yes",$K111=""),0,$Q111*IF($R111&lt;=7,12,19-$R111)/12)</f>
        <v>0</v>
      </c>
      <c r="U111" s="14" t="n">
        <f aca="false">IF(AND($L111="Yes",$G111&lt;&gt;"Vendor day rates"),$I111-0.4*$P111,0)</f>
        <v>0</v>
      </c>
      <c r="V111" s="26" t="n">
        <f aca="false">IFERROR(MATCH($M111,MonthList,0),0)</f>
        <v>0</v>
      </c>
      <c r="W111" s="14" t="n">
        <f aca="false">IF(OR($L111&lt;&gt;"Yes",$M111=""),0,$U111*MAX(0,7-$V111)/12)</f>
        <v>0</v>
      </c>
      <c r="X111" s="14" t="n">
        <f aca="false">IF(OR($L111&lt;&gt;"Yes",$M111=""),0,$U111*IF($V111&lt;=7,12,19-$V111)/12)</f>
        <v>0</v>
      </c>
      <c r="Y111" s="14" t="n">
        <f aca="false">IF(AND($N111="Yes",$G111&lt;&gt;"Vendor day rates"),$I111-0.4*$P111,0)</f>
        <v>0</v>
      </c>
      <c r="Z111" s="26" t="n">
        <f aca="false">IFERROR(MATCH($O111,MonthList,0),0)</f>
        <v>0</v>
      </c>
      <c r="AA111" s="14" t="n">
        <f aca="false">IF(OR($N111&lt;&gt;"Yes",$O111=""),0,$Y111*MAX(0,7-$Z111)/12)</f>
        <v>0</v>
      </c>
      <c r="AB111" s="14" t="n">
        <f aca="false">IF(OR($N111&lt;&gt;"Yes",$O111=""),0,$Y111*IF($Z111&lt;=7,12,19-$Z111)/12)</f>
        <v>0</v>
      </c>
      <c r="AC111" s="26" t="str">
        <f aca="false">IF(OR($J111="Yes",$L111="Yes",$N111="Yes"),"Yes","No")</f>
        <v>No</v>
      </c>
      <c r="AD111" s="14" t="n">
        <f aca="false">MAX($Q111,$U111,$Y111)</f>
        <v>0</v>
      </c>
      <c r="AE111" s="26" t="n">
        <f aca="false">$AD111+ROW()*0.000000001</f>
        <v>1.11E-007</v>
      </c>
      <c r="AF111" s="26" t="str">
        <f aca="false">IF($J111="Yes","A","")&amp;IF($L111="Yes","B","")&amp;IF($N111="Yes","C","")</f>
        <v/>
      </c>
    </row>
    <row r="112" customFormat="false" ht="15" hidden="false" customHeight="false" outlineLevel="0" collapsed="false">
      <c r="B112" s="22" t="s">
        <v>300</v>
      </c>
      <c r="C112" s="23" t="s">
        <v>282</v>
      </c>
      <c r="D112" s="23" t="s">
        <v>215</v>
      </c>
      <c r="E112" s="23" t="s">
        <v>173</v>
      </c>
      <c r="F112" s="22" t="s">
        <v>57</v>
      </c>
      <c r="G112" s="23" t="s">
        <v>58</v>
      </c>
      <c r="H112" s="24" t="n">
        <v>1</v>
      </c>
      <c r="I112" s="14" t="n">
        <v>0.2542</v>
      </c>
      <c r="J112" s="25" t="s">
        <v>59</v>
      </c>
      <c r="K112" s="25"/>
      <c r="L112" s="25" t="s">
        <v>59</v>
      </c>
      <c r="M112" s="25"/>
      <c r="N112" s="25" t="s">
        <v>59</v>
      </c>
      <c r="O112" s="25"/>
      <c r="P112" s="14" t="n">
        <v>0.2542</v>
      </c>
      <c r="Q112" s="14" t="n">
        <f aca="false">IF(AND($J112="Yes",$G112&lt;&gt;"Vendor day rates"),$I112-0.4*$P112,0)</f>
        <v>0</v>
      </c>
      <c r="R112" s="26" t="n">
        <f aca="false">IFERROR(MATCH($K112,MonthList,0),0)</f>
        <v>0</v>
      </c>
      <c r="S112" s="14" t="n">
        <f aca="false">IF(OR($J112&lt;&gt;"Yes",$K112=""),0,$Q112*MAX(0,7-$R112)/12)</f>
        <v>0</v>
      </c>
      <c r="T112" s="14" t="n">
        <f aca="false">IF(OR($J112&lt;&gt;"Yes",$K112=""),0,$Q112*IF($R112&lt;=7,12,19-$R112)/12)</f>
        <v>0</v>
      </c>
      <c r="U112" s="14" t="n">
        <f aca="false">IF(AND($L112="Yes",$G112&lt;&gt;"Vendor day rates"),$I112-0.4*$P112,0)</f>
        <v>0</v>
      </c>
      <c r="V112" s="26" t="n">
        <f aca="false">IFERROR(MATCH($M112,MonthList,0),0)</f>
        <v>0</v>
      </c>
      <c r="W112" s="14" t="n">
        <f aca="false">IF(OR($L112&lt;&gt;"Yes",$M112=""),0,$U112*MAX(0,7-$V112)/12)</f>
        <v>0</v>
      </c>
      <c r="X112" s="14" t="n">
        <f aca="false">IF(OR($L112&lt;&gt;"Yes",$M112=""),0,$U112*IF($V112&lt;=7,12,19-$V112)/12)</f>
        <v>0</v>
      </c>
      <c r="Y112" s="14" t="n">
        <f aca="false">IF(AND($N112="Yes",$G112&lt;&gt;"Vendor day rates"),$I112-0.4*$P112,0)</f>
        <v>0</v>
      </c>
      <c r="Z112" s="26" t="n">
        <f aca="false">IFERROR(MATCH($O112,MonthList,0),0)</f>
        <v>0</v>
      </c>
      <c r="AA112" s="14" t="n">
        <f aca="false">IF(OR($N112&lt;&gt;"Yes",$O112=""),0,$Y112*MAX(0,7-$Z112)/12)</f>
        <v>0</v>
      </c>
      <c r="AB112" s="14" t="n">
        <f aca="false">IF(OR($N112&lt;&gt;"Yes",$O112=""),0,$Y112*IF($Z112&lt;=7,12,19-$Z112)/12)</f>
        <v>0</v>
      </c>
      <c r="AC112" s="26" t="str">
        <f aca="false">IF(OR($J112="Yes",$L112="Yes",$N112="Yes"),"Yes","No")</f>
        <v>No</v>
      </c>
      <c r="AD112" s="14" t="n">
        <f aca="false">MAX($Q112,$U112,$Y112)</f>
        <v>0</v>
      </c>
      <c r="AE112" s="26" t="n">
        <f aca="false">$AD112+ROW()*0.000000001</f>
        <v>1.12E-007</v>
      </c>
      <c r="AF112" s="26" t="str">
        <f aca="false">IF($J112="Yes","A","")&amp;IF($L112="Yes","B","")&amp;IF($N112="Yes","C","")</f>
        <v/>
      </c>
    </row>
    <row r="113" customFormat="false" ht="15" hidden="false" customHeight="false" outlineLevel="0" collapsed="false">
      <c r="B113" s="22" t="s">
        <v>301</v>
      </c>
      <c r="C113" s="23" t="s">
        <v>302</v>
      </c>
      <c r="D113" s="23" t="s">
        <v>147</v>
      </c>
      <c r="E113" s="23" t="s">
        <v>199</v>
      </c>
      <c r="F113" s="22" t="s">
        <v>57</v>
      </c>
      <c r="G113" s="23" t="s">
        <v>149</v>
      </c>
      <c r="H113" s="24" t="n">
        <v>1</v>
      </c>
      <c r="I113" s="14" t="n">
        <v>0.2758</v>
      </c>
      <c r="J113" s="25" t="s">
        <v>59</v>
      </c>
      <c r="K113" s="25"/>
      <c r="L113" s="25" t="s">
        <v>59</v>
      </c>
      <c r="M113" s="25"/>
      <c r="N113" s="25" t="s">
        <v>59</v>
      </c>
      <c r="O113" s="25"/>
      <c r="P113" s="14" t="n">
        <v>0.2758</v>
      </c>
      <c r="Q113" s="14" t="n">
        <f aca="false">IF(AND($J113="Yes",$G113&lt;&gt;"Vendor day rates"),$I113-0.4*$P113,0)</f>
        <v>0</v>
      </c>
      <c r="R113" s="26" t="n">
        <f aca="false">IFERROR(MATCH($K113,MonthList,0),0)</f>
        <v>0</v>
      </c>
      <c r="S113" s="14" t="n">
        <f aca="false">IF(OR($J113&lt;&gt;"Yes",$K113=""),0,$Q113*MAX(0,7-$R113)/12)</f>
        <v>0</v>
      </c>
      <c r="T113" s="14" t="n">
        <f aca="false">IF(OR($J113&lt;&gt;"Yes",$K113=""),0,$Q113*IF($R113&lt;=7,12,19-$R113)/12)</f>
        <v>0</v>
      </c>
      <c r="U113" s="14" t="n">
        <f aca="false">IF(AND($L113="Yes",$G113&lt;&gt;"Vendor day rates"),$I113-0.4*$P113,0)</f>
        <v>0</v>
      </c>
      <c r="V113" s="26" t="n">
        <f aca="false">IFERROR(MATCH($M113,MonthList,0),0)</f>
        <v>0</v>
      </c>
      <c r="W113" s="14" t="n">
        <f aca="false">IF(OR($L113&lt;&gt;"Yes",$M113=""),0,$U113*MAX(0,7-$V113)/12)</f>
        <v>0</v>
      </c>
      <c r="X113" s="14" t="n">
        <f aca="false">IF(OR($L113&lt;&gt;"Yes",$M113=""),0,$U113*IF($V113&lt;=7,12,19-$V113)/12)</f>
        <v>0</v>
      </c>
      <c r="Y113" s="14" t="n">
        <f aca="false">IF(AND($N113="Yes",$G113&lt;&gt;"Vendor day rates"),$I113-0.4*$P113,0)</f>
        <v>0</v>
      </c>
      <c r="Z113" s="26" t="n">
        <f aca="false">IFERROR(MATCH($O113,MonthList,0),0)</f>
        <v>0</v>
      </c>
      <c r="AA113" s="14" t="n">
        <f aca="false">IF(OR($N113&lt;&gt;"Yes",$O113=""),0,$Y113*MAX(0,7-$Z113)/12)</f>
        <v>0</v>
      </c>
      <c r="AB113" s="14" t="n">
        <f aca="false">IF(OR($N113&lt;&gt;"Yes",$O113=""),0,$Y113*IF($Z113&lt;=7,12,19-$Z113)/12)</f>
        <v>0</v>
      </c>
      <c r="AC113" s="26" t="str">
        <f aca="false">IF(OR($J113="Yes",$L113="Yes",$N113="Yes"),"Yes","No")</f>
        <v>No</v>
      </c>
      <c r="AD113" s="14" t="n">
        <f aca="false">MAX($Q113,$U113,$Y113)</f>
        <v>0</v>
      </c>
      <c r="AE113" s="26" t="n">
        <f aca="false">$AD113+ROW()*0.000000001</f>
        <v>1.13E-007</v>
      </c>
      <c r="AF113" s="26" t="str">
        <f aca="false">IF($J113="Yes","A","")&amp;IF($L113="Yes","B","")&amp;IF($N113="Yes","C","")</f>
        <v/>
      </c>
    </row>
    <row r="114" customFormat="false" ht="15" hidden="false" customHeight="false" outlineLevel="0" collapsed="false">
      <c r="B114" s="22" t="s">
        <v>303</v>
      </c>
      <c r="C114" s="23" t="s">
        <v>292</v>
      </c>
      <c r="D114" s="23"/>
      <c r="E114" s="23" t="s">
        <v>290</v>
      </c>
      <c r="F114" s="22" t="s">
        <v>57</v>
      </c>
      <c r="G114" s="23" t="s">
        <v>304</v>
      </c>
      <c r="H114" s="24" t="n">
        <v>1</v>
      </c>
      <c r="I114" s="14" t="n">
        <v>0</v>
      </c>
      <c r="J114" s="25" t="s">
        <v>59</v>
      </c>
      <c r="K114" s="25"/>
      <c r="L114" s="25" t="s">
        <v>59</v>
      </c>
      <c r="M114" s="25"/>
      <c r="N114" s="25" t="s">
        <v>59</v>
      </c>
      <c r="O114" s="25"/>
      <c r="P114" s="14" t="n">
        <v>0.2758</v>
      </c>
      <c r="Q114" s="14" t="n">
        <f aca="false">IF(AND($J114="Yes",$G114&lt;&gt;"Vendor day rates"),$I114-0.4*$P114,0)</f>
        <v>0</v>
      </c>
      <c r="R114" s="26" t="n">
        <f aca="false">IFERROR(MATCH($K114,MonthList,0),0)</f>
        <v>0</v>
      </c>
      <c r="S114" s="14" t="n">
        <f aca="false">IF(OR($J114&lt;&gt;"Yes",$K114=""),0,$Q114*MAX(0,7-$R114)/12)</f>
        <v>0</v>
      </c>
      <c r="T114" s="14" t="n">
        <f aca="false">IF(OR($J114&lt;&gt;"Yes",$K114=""),0,$Q114*IF($R114&lt;=7,12,19-$R114)/12)</f>
        <v>0</v>
      </c>
      <c r="U114" s="14" t="n">
        <f aca="false">IF(AND($L114="Yes",$G114&lt;&gt;"Vendor day rates"),$I114-0.4*$P114,0)</f>
        <v>0</v>
      </c>
      <c r="V114" s="26" t="n">
        <f aca="false">IFERROR(MATCH($M114,MonthList,0),0)</f>
        <v>0</v>
      </c>
      <c r="W114" s="14" t="n">
        <f aca="false">IF(OR($L114&lt;&gt;"Yes",$M114=""),0,$U114*MAX(0,7-$V114)/12)</f>
        <v>0</v>
      </c>
      <c r="X114" s="14" t="n">
        <f aca="false">IF(OR($L114&lt;&gt;"Yes",$M114=""),0,$U114*IF($V114&lt;=7,12,19-$V114)/12)</f>
        <v>0</v>
      </c>
      <c r="Y114" s="14" t="n">
        <f aca="false">IF(AND($N114="Yes",$G114&lt;&gt;"Vendor day rates"),$I114-0.4*$P114,0)</f>
        <v>0</v>
      </c>
      <c r="Z114" s="26" t="n">
        <f aca="false">IFERROR(MATCH($O114,MonthList,0),0)</f>
        <v>0</v>
      </c>
      <c r="AA114" s="14" t="n">
        <f aca="false">IF(OR($N114&lt;&gt;"Yes",$O114=""),0,$Y114*MAX(0,7-$Z114)/12)</f>
        <v>0</v>
      </c>
      <c r="AB114" s="14" t="n">
        <f aca="false">IF(OR($N114&lt;&gt;"Yes",$O114=""),0,$Y114*IF($Z114&lt;=7,12,19-$Z114)/12)</f>
        <v>0</v>
      </c>
      <c r="AC114" s="26" t="str">
        <f aca="false">IF(OR($J114="Yes",$L114="Yes",$N114="Yes"),"Yes","No")</f>
        <v>No</v>
      </c>
      <c r="AD114" s="14" t="n">
        <f aca="false">MAX($Q114,$U114,$Y114)</f>
        <v>0</v>
      </c>
      <c r="AE114" s="26" t="n">
        <f aca="false">$AD114+ROW()*0.000000001</f>
        <v>1.14E-007</v>
      </c>
      <c r="AF114" s="26" t="str">
        <f aca="false">IF($J114="Yes","A","")&amp;IF($L114="Yes","B","")&amp;IF($N114="Yes","C","")</f>
        <v/>
      </c>
    </row>
    <row r="115" customFormat="false" ht="15" hidden="false" customHeight="false" outlineLevel="0" collapsed="false">
      <c r="B115" s="22" t="s">
        <v>305</v>
      </c>
      <c r="C115" s="23" t="s">
        <v>306</v>
      </c>
      <c r="D115" s="23"/>
      <c r="E115" s="23" t="s">
        <v>307</v>
      </c>
      <c r="F115" s="22" t="s">
        <v>57</v>
      </c>
      <c r="G115" s="23" t="s">
        <v>149</v>
      </c>
      <c r="H115" s="24" t="n">
        <v>1</v>
      </c>
      <c r="I115" s="14" t="n">
        <v>0.2758</v>
      </c>
      <c r="J115" s="25" t="s">
        <v>59</v>
      </c>
      <c r="K115" s="25"/>
      <c r="L115" s="25" t="s">
        <v>59</v>
      </c>
      <c r="M115" s="25"/>
      <c r="N115" s="25" t="s">
        <v>59</v>
      </c>
      <c r="O115" s="25"/>
      <c r="P115" s="14" t="n">
        <v>0.2758</v>
      </c>
      <c r="Q115" s="14" t="n">
        <f aca="false">IF(AND($J115="Yes",$G115&lt;&gt;"Vendor day rates"),$I115-0.4*$P115,0)</f>
        <v>0</v>
      </c>
      <c r="R115" s="26" t="n">
        <f aca="false">IFERROR(MATCH($K115,MonthList,0),0)</f>
        <v>0</v>
      </c>
      <c r="S115" s="14" t="n">
        <f aca="false">IF(OR($J115&lt;&gt;"Yes",$K115=""),0,$Q115*MAX(0,7-$R115)/12)</f>
        <v>0</v>
      </c>
      <c r="T115" s="14" t="n">
        <f aca="false">IF(OR($J115&lt;&gt;"Yes",$K115=""),0,$Q115*IF($R115&lt;=7,12,19-$R115)/12)</f>
        <v>0</v>
      </c>
      <c r="U115" s="14" t="n">
        <f aca="false">IF(AND($L115="Yes",$G115&lt;&gt;"Vendor day rates"),$I115-0.4*$P115,0)</f>
        <v>0</v>
      </c>
      <c r="V115" s="26" t="n">
        <f aca="false">IFERROR(MATCH($M115,MonthList,0),0)</f>
        <v>0</v>
      </c>
      <c r="W115" s="14" t="n">
        <f aca="false">IF(OR($L115&lt;&gt;"Yes",$M115=""),0,$U115*MAX(0,7-$V115)/12)</f>
        <v>0</v>
      </c>
      <c r="X115" s="14" t="n">
        <f aca="false">IF(OR($L115&lt;&gt;"Yes",$M115=""),0,$U115*IF($V115&lt;=7,12,19-$V115)/12)</f>
        <v>0</v>
      </c>
      <c r="Y115" s="14" t="n">
        <f aca="false">IF(AND($N115="Yes",$G115&lt;&gt;"Vendor day rates"),$I115-0.4*$P115,0)</f>
        <v>0</v>
      </c>
      <c r="Z115" s="26" t="n">
        <f aca="false">IFERROR(MATCH($O115,MonthList,0),0)</f>
        <v>0</v>
      </c>
      <c r="AA115" s="14" t="n">
        <f aca="false">IF(OR($N115&lt;&gt;"Yes",$O115=""),0,$Y115*MAX(0,7-$Z115)/12)</f>
        <v>0</v>
      </c>
      <c r="AB115" s="14" t="n">
        <f aca="false">IF(OR($N115&lt;&gt;"Yes",$O115=""),0,$Y115*IF($Z115&lt;=7,12,19-$Z115)/12)</f>
        <v>0</v>
      </c>
      <c r="AC115" s="26" t="str">
        <f aca="false">IF(OR($J115="Yes",$L115="Yes",$N115="Yes"),"Yes","No")</f>
        <v>No</v>
      </c>
      <c r="AD115" s="14" t="n">
        <f aca="false">MAX($Q115,$U115,$Y115)</f>
        <v>0</v>
      </c>
      <c r="AE115" s="26" t="n">
        <f aca="false">$AD115+ROW()*0.000000001</f>
        <v>1.15E-007</v>
      </c>
      <c r="AF115" s="26" t="str">
        <f aca="false">IF($J115="Yes","A","")&amp;IF($L115="Yes","B","")&amp;IF($N115="Yes","C","")</f>
        <v/>
      </c>
    </row>
    <row r="116" customFormat="false" ht="15" hidden="false" customHeight="false" outlineLevel="0" collapsed="false">
      <c r="B116" s="22" t="s">
        <v>308</v>
      </c>
      <c r="C116" s="23" t="s">
        <v>309</v>
      </c>
      <c r="D116" s="23" t="s">
        <v>158</v>
      </c>
      <c r="E116" s="23" t="s">
        <v>173</v>
      </c>
      <c r="F116" s="22" t="s">
        <v>112</v>
      </c>
      <c r="G116" s="23" t="s">
        <v>58</v>
      </c>
      <c r="H116" s="24" t="n">
        <v>1</v>
      </c>
      <c r="I116" s="14" t="n">
        <v>0.2292</v>
      </c>
      <c r="J116" s="25" t="s">
        <v>59</v>
      </c>
      <c r="K116" s="25"/>
      <c r="L116" s="25" t="s">
        <v>59</v>
      </c>
      <c r="M116" s="25"/>
      <c r="N116" s="25" t="s">
        <v>59</v>
      </c>
      <c r="O116" s="25"/>
      <c r="P116" s="14" t="n">
        <v>0.2292</v>
      </c>
      <c r="Q116" s="14" t="n">
        <f aca="false">IF(AND($J116="Yes",$G116&lt;&gt;"Vendor day rates"),$I116-0.4*$P116,0)</f>
        <v>0</v>
      </c>
      <c r="R116" s="26" t="n">
        <f aca="false">IFERROR(MATCH($K116,MonthList,0),0)</f>
        <v>0</v>
      </c>
      <c r="S116" s="14" t="n">
        <f aca="false">IF(OR($J116&lt;&gt;"Yes",$K116=""),0,$Q116*MAX(0,7-$R116)/12)</f>
        <v>0</v>
      </c>
      <c r="T116" s="14" t="n">
        <f aca="false">IF(OR($J116&lt;&gt;"Yes",$K116=""),0,$Q116*IF($R116&lt;=7,12,19-$R116)/12)</f>
        <v>0</v>
      </c>
      <c r="U116" s="14" t="n">
        <f aca="false">IF(AND($L116="Yes",$G116&lt;&gt;"Vendor day rates"),$I116-0.4*$P116,0)</f>
        <v>0</v>
      </c>
      <c r="V116" s="26" t="n">
        <f aca="false">IFERROR(MATCH($M116,MonthList,0),0)</f>
        <v>0</v>
      </c>
      <c r="W116" s="14" t="n">
        <f aca="false">IF(OR($L116&lt;&gt;"Yes",$M116=""),0,$U116*MAX(0,7-$V116)/12)</f>
        <v>0</v>
      </c>
      <c r="X116" s="14" t="n">
        <f aca="false">IF(OR($L116&lt;&gt;"Yes",$M116=""),0,$U116*IF($V116&lt;=7,12,19-$V116)/12)</f>
        <v>0</v>
      </c>
      <c r="Y116" s="14" t="n">
        <f aca="false">IF(AND($N116="Yes",$G116&lt;&gt;"Vendor day rates"),$I116-0.4*$P116,0)</f>
        <v>0</v>
      </c>
      <c r="Z116" s="26" t="n">
        <f aca="false">IFERROR(MATCH($O116,MonthList,0),0)</f>
        <v>0</v>
      </c>
      <c r="AA116" s="14" t="n">
        <f aca="false">IF(OR($N116&lt;&gt;"Yes",$O116=""),0,$Y116*MAX(0,7-$Z116)/12)</f>
        <v>0</v>
      </c>
      <c r="AB116" s="14" t="n">
        <f aca="false">IF(OR($N116&lt;&gt;"Yes",$O116=""),0,$Y116*IF($Z116&lt;=7,12,19-$Z116)/12)</f>
        <v>0</v>
      </c>
      <c r="AC116" s="26" t="str">
        <f aca="false">IF(OR($J116="Yes",$L116="Yes",$N116="Yes"),"Yes","No")</f>
        <v>No</v>
      </c>
      <c r="AD116" s="14" t="n">
        <f aca="false">MAX($Q116,$U116,$Y116)</f>
        <v>0</v>
      </c>
      <c r="AE116" s="26" t="n">
        <f aca="false">$AD116+ROW()*0.000000001</f>
        <v>1.16E-007</v>
      </c>
      <c r="AF116" s="26" t="str">
        <f aca="false">IF($J116="Yes","A","")&amp;IF($L116="Yes","B","")&amp;IF($N116="Yes","C","")</f>
        <v/>
      </c>
    </row>
    <row r="117" customFormat="false" ht="15" hidden="false" customHeight="false" outlineLevel="0" collapsed="false">
      <c r="B117" s="22" t="s">
        <v>310</v>
      </c>
      <c r="C117" s="23" t="s">
        <v>217</v>
      </c>
      <c r="D117" s="23" t="s">
        <v>158</v>
      </c>
      <c r="E117" s="23" t="s">
        <v>217</v>
      </c>
      <c r="F117" s="22" t="s">
        <v>57</v>
      </c>
      <c r="G117" s="23" t="s">
        <v>149</v>
      </c>
      <c r="H117" s="24" t="n">
        <v>1</v>
      </c>
      <c r="I117" s="14" t="n">
        <v>0.2758</v>
      </c>
      <c r="J117" s="25" t="s">
        <v>59</v>
      </c>
      <c r="K117" s="25"/>
      <c r="L117" s="25" t="s">
        <v>59</v>
      </c>
      <c r="M117" s="25"/>
      <c r="N117" s="25" t="s">
        <v>59</v>
      </c>
      <c r="O117" s="25"/>
      <c r="P117" s="14" t="n">
        <v>0.2758</v>
      </c>
      <c r="Q117" s="14" t="n">
        <f aca="false">IF(AND($J117="Yes",$G117&lt;&gt;"Vendor day rates"),$I117-0.4*$P117,0)</f>
        <v>0</v>
      </c>
      <c r="R117" s="26" t="n">
        <f aca="false">IFERROR(MATCH($K117,MonthList,0),0)</f>
        <v>0</v>
      </c>
      <c r="S117" s="14" t="n">
        <f aca="false">IF(OR($J117&lt;&gt;"Yes",$K117=""),0,$Q117*MAX(0,7-$R117)/12)</f>
        <v>0</v>
      </c>
      <c r="T117" s="14" t="n">
        <f aca="false">IF(OR($J117&lt;&gt;"Yes",$K117=""),0,$Q117*IF($R117&lt;=7,12,19-$R117)/12)</f>
        <v>0</v>
      </c>
      <c r="U117" s="14" t="n">
        <f aca="false">IF(AND($L117="Yes",$G117&lt;&gt;"Vendor day rates"),$I117-0.4*$P117,0)</f>
        <v>0</v>
      </c>
      <c r="V117" s="26" t="n">
        <f aca="false">IFERROR(MATCH($M117,MonthList,0),0)</f>
        <v>0</v>
      </c>
      <c r="W117" s="14" t="n">
        <f aca="false">IF(OR($L117&lt;&gt;"Yes",$M117=""),0,$U117*MAX(0,7-$V117)/12)</f>
        <v>0</v>
      </c>
      <c r="X117" s="14" t="n">
        <f aca="false">IF(OR($L117&lt;&gt;"Yes",$M117=""),0,$U117*IF($V117&lt;=7,12,19-$V117)/12)</f>
        <v>0</v>
      </c>
      <c r="Y117" s="14" t="n">
        <f aca="false">IF(AND($N117="Yes",$G117&lt;&gt;"Vendor day rates"),$I117-0.4*$P117,0)</f>
        <v>0</v>
      </c>
      <c r="Z117" s="26" t="n">
        <f aca="false">IFERROR(MATCH($O117,MonthList,0),0)</f>
        <v>0</v>
      </c>
      <c r="AA117" s="14" t="n">
        <f aca="false">IF(OR($N117&lt;&gt;"Yes",$O117=""),0,$Y117*MAX(0,7-$Z117)/12)</f>
        <v>0</v>
      </c>
      <c r="AB117" s="14" t="n">
        <f aca="false">IF(OR($N117&lt;&gt;"Yes",$O117=""),0,$Y117*IF($Z117&lt;=7,12,19-$Z117)/12)</f>
        <v>0</v>
      </c>
      <c r="AC117" s="26" t="str">
        <f aca="false">IF(OR($J117="Yes",$L117="Yes",$N117="Yes"),"Yes","No")</f>
        <v>No</v>
      </c>
      <c r="AD117" s="14" t="n">
        <f aca="false">MAX($Q117,$U117,$Y117)</f>
        <v>0</v>
      </c>
      <c r="AE117" s="26" t="n">
        <f aca="false">$AD117+ROW()*0.000000001</f>
        <v>1.17E-007</v>
      </c>
      <c r="AF117" s="26" t="str">
        <f aca="false">IF($J117="Yes","A","")&amp;IF($L117="Yes","B","")&amp;IF($N117="Yes","C","")</f>
        <v/>
      </c>
    </row>
    <row r="118" customFormat="false" ht="15" hidden="false" customHeight="false" outlineLevel="0" collapsed="false">
      <c r="B118" s="22" t="s">
        <v>311</v>
      </c>
      <c r="C118" s="23" t="s">
        <v>312</v>
      </c>
      <c r="D118" s="23" t="s">
        <v>158</v>
      </c>
      <c r="E118" s="23" t="s">
        <v>173</v>
      </c>
      <c r="F118" s="22" t="s">
        <v>57</v>
      </c>
      <c r="G118" s="23" t="s">
        <v>304</v>
      </c>
      <c r="H118" s="24" t="n">
        <v>1</v>
      </c>
      <c r="I118" s="14" t="n">
        <v>0</v>
      </c>
      <c r="J118" s="25" t="s">
        <v>59</v>
      </c>
      <c r="K118" s="25"/>
      <c r="L118" s="25" t="s">
        <v>59</v>
      </c>
      <c r="M118" s="25"/>
      <c r="N118" s="25" t="s">
        <v>59</v>
      </c>
      <c r="O118" s="25"/>
      <c r="P118" s="14" t="n">
        <v>0.2758</v>
      </c>
      <c r="Q118" s="14" t="n">
        <f aca="false">IF(AND($J118="Yes",$G118&lt;&gt;"Vendor day rates"),$I118-0.4*$P118,0)</f>
        <v>0</v>
      </c>
      <c r="R118" s="26" t="n">
        <f aca="false">IFERROR(MATCH($K118,MonthList,0),0)</f>
        <v>0</v>
      </c>
      <c r="S118" s="14" t="n">
        <f aca="false">IF(OR($J118&lt;&gt;"Yes",$K118=""),0,$Q118*MAX(0,7-$R118)/12)</f>
        <v>0</v>
      </c>
      <c r="T118" s="14" t="n">
        <f aca="false">IF(OR($J118&lt;&gt;"Yes",$K118=""),0,$Q118*IF($R118&lt;=7,12,19-$R118)/12)</f>
        <v>0</v>
      </c>
      <c r="U118" s="14" t="n">
        <f aca="false">IF(AND($L118="Yes",$G118&lt;&gt;"Vendor day rates"),$I118-0.4*$P118,0)</f>
        <v>0</v>
      </c>
      <c r="V118" s="26" t="n">
        <f aca="false">IFERROR(MATCH($M118,MonthList,0),0)</f>
        <v>0</v>
      </c>
      <c r="W118" s="14" t="n">
        <f aca="false">IF(OR($L118&lt;&gt;"Yes",$M118=""),0,$U118*MAX(0,7-$V118)/12)</f>
        <v>0</v>
      </c>
      <c r="X118" s="14" t="n">
        <f aca="false">IF(OR($L118&lt;&gt;"Yes",$M118=""),0,$U118*IF($V118&lt;=7,12,19-$V118)/12)</f>
        <v>0</v>
      </c>
      <c r="Y118" s="14" t="n">
        <f aca="false">IF(AND($N118="Yes",$G118&lt;&gt;"Vendor day rates"),$I118-0.4*$P118,0)</f>
        <v>0</v>
      </c>
      <c r="Z118" s="26" t="n">
        <f aca="false">IFERROR(MATCH($O118,MonthList,0),0)</f>
        <v>0</v>
      </c>
      <c r="AA118" s="14" t="n">
        <f aca="false">IF(OR($N118&lt;&gt;"Yes",$O118=""),0,$Y118*MAX(0,7-$Z118)/12)</f>
        <v>0</v>
      </c>
      <c r="AB118" s="14" t="n">
        <f aca="false">IF(OR($N118&lt;&gt;"Yes",$O118=""),0,$Y118*IF($Z118&lt;=7,12,19-$Z118)/12)</f>
        <v>0</v>
      </c>
      <c r="AC118" s="26" t="str">
        <f aca="false">IF(OR($J118="Yes",$L118="Yes",$N118="Yes"),"Yes","No")</f>
        <v>No</v>
      </c>
      <c r="AD118" s="14" t="n">
        <f aca="false">MAX($Q118,$U118,$Y118)</f>
        <v>0</v>
      </c>
      <c r="AE118" s="26" t="n">
        <f aca="false">$AD118+ROW()*0.000000001</f>
        <v>1.18E-007</v>
      </c>
      <c r="AF118" s="26" t="str">
        <f aca="false">IF($J118="Yes","A","")&amp;IF($L118="Yes","B","")&amp;IF($N118="Yes","C","")</f>
        <v/>
      </c>
    </row>
    <row r="119" customFormat="false" ht="15" hidden="false" customHeight="false" outlineLevel="0" collapsed="false">
      <c r="B119" s="22" t="s">
        <v>313</v>
      </c>
      <c r="C119" s="23" t="s">
        <v>314</v>
      </c>
      <c r="D119" s="23" t="s">
        <v>212</v>
      </c>
      <c r="E119" s="23" t="s">
        <v>173</v>
      </c>
      <c r="F119" s="22" t="s">
        <v>57</v>
      </c>
      <c r="G119" s="23" t="s">
        <v>58</v>
      </c>
      <c r="H119" s="24" t="n">
        <v>1</v>
      </c>
      <c r="I119" s="14" t="n">
        <v>0.2578</v>
      </c>
      <c r="J119" s="25" t="s">
        <v>59</v>
      </c>
      <c r="K119" s="25"/>
      <c r="L119" s="25" t="s">
        <v>59</v>
      </c>
      <c r="M119" s="25"/>
      <c r="N119" s="25" t="s">
        <v>59</v>
      </c>
      <c r="O119" s="25"/>
      <c r="P119" s="14" t="n">
        <v>0.2578</v>
      </c>
      <c r="Q119" s="14" t="n">
        <f aca="false">IF(AND($J119="Yes",$G119&lt;&gt;"Vendor day rates"),$I119-0.4*$P119,0)</f>
        <v>0</v>
      </c>
      <c r="R119" s="26" t="n">
        <f aca="false">IFERROR(MATCH($K119,MonthList,0),0)</f>
        <v>0</v>
      </c>
      <c r="S119" s="14" t="n">
        <f aca="false">IF(OR($J119&lt;&gt;"Yes",$K119=""),0,$Q119*MAX(0,7-$R119)/12)</f>
        <v>0</v>
      </c>
      <c r="T119" s="14" t="n">
        <f aca="false">IF(OR($J119&lt;&gt;"Yes",$K119=""),0,$Q119*IF($R119&lt;=7,12,19-$R119)/12)</f>
        <v>0</v>
      </c>
      <c r="U119" s="14" t="n">
        <f aca="false">IF(AND($L119="Yes",$G119&lt;&gt;"Vendor day rates"),$I119-0.4*$P119,0)</f>
        <v>0</v>
      </c>
      <c r="V119" s="26" t="n">
        <f aca="false">IFERROR(MATCH($M119,MonthList,0),0)</f>
        <v>0</v>
      </c>
      <c r="W119" s="14" t="n">
        <f aca="false">IF(OR($L119&lt;&gt;"Yes",$M119=""),0,$U119*MAX(0,7-$V119)/12)</f>
        <v>0</v>
      </c>
      <c r="X119" s="14" t="n">
        <f aca="false">IF(OR($L119&lt;&gt;"Yes",$M119=""),0,$U119*IF($V119&lt;=7,12,19-$V119)/12)</f>
        <v>0</v>
      </c>
      <c r="Y119" s="14" t="n">
        <f aca="false">IF(AND($N119="Yes",$G119&lt;&gt;"Vendor day rates"),$I119-0.4*$P119,0)</f>
        <v>0</v>
      </c>
      <c r="Z119" s="26" t="n">
        <f aca="false">IFERROR(MATCH($O119,MonthList,0),0)</f>
        <v>0</v>
      </c>
      <c r="AA119" s="14" t="n">
        <f aca="false">IF(OR($N119&lt;&gt;"Yes",$O119=""),0,$Y119*MAX(0,7-$Z119)/12)</f>
        <v>0</v>
      </c>
      <c r="AB119" s="14" t="n">
        <f aca="false">IF(OR($N119&lt;&gt;"Yes",$O119=""),0,$Y119*IF($Z119&lt;=7,12,19-$Z119)/12)</f>
        <v>0</v>
      </c>
      <c r="AC119" s="26" t="str">
        <f aca="false">IF(OR($J119="Yes",$L119="Yes",$N119="Yes"),"Yes","No")</f>
        <v>No</v>
      </c>
      <c r="AD119" s="14" t="n">
        <f aca="false">MAX($Q119,$U119,$Y119)</f>
        <v>0</v>
      </c>
      <c r="AE119" s="26" t="n">
        <f aca="false">$AD119+ROW()*0.000000001</f>
        <v>1.19E-007</v>
      </c>
      <c r="AF119" s="26" t="str">
        <f aca="false">IF($J119="Yes","A","")&amp;IF($L119="Yes","B","")&amp;IF($N119="Yes","C","")</f>
        <v/>
      </c>
    </row>
    <row r="120" customFormat="false" ht="15" hidden="false" customHeight="false" outlineLevel="0" collapsed="false">
      <c r="B120" s="22" t="s">
        <v>315</v>
      </c>
      <c r="C120" s="23" t="s">
        <v>316</v>
      </c>
      <c r="D120" s="23" t="s">
        <v>215</v>
      </c>
      <c r="E120" s="23" t="s">
        <v>173</v>
      </c>
      <c r="F120" s="22" t="s">
        <v>112</v>
      </c>
      <c r="G120" s="23" t="s">
        <v>58</v>
      </c>
      <c r="H120" s="24" t="n">
        <v>1</v>
      </c>
      <c r="I120" s="14" t="n">
        <v>0.2105</v>
      </c>
      <c r="J120" s="25" t="s">
        <v>59</v>
      </c>
      <c r="K120" s="25"/>
      <c r="L120" s="25" t="s">
        <v>59</v>
      </c>
      <c r="M120" s="25"/>
      <c r="N120" s="25" t="s">
        <v>59</v>
      </c>
      <c r="O120" s="25"/>
      <c r="P120" s="14" t="n">
        <v>0.2105</v>
      </c>
      <c r="Q120" s="14" t="n">
        <f aca="false">IF(AND($J120="Yes",$G120&lt;&gt;"Vendor day rates"),$I120-0.4*$P120,0)</f>
        <v>0</v>
      </c>
      <c r="R120" s="26" t="n">
        <f aca="false">IFERROR(MATCH($K120,MonthList,0),0)</f>
        <v>0</v>
      </c>
      <c r="S120" s="14" t="n">
        <f aca="false">IF(OR($J120&lt;&gt;"Yes",$K120=""),0,$Q120*MAX(0,7-$R120)/12)</f>
        <v>0</v>
      </c>
      <c r="T120" s="14" t="n">
        <f aca="false">IF(OR($J120&lt;&gt;"Yes",$K120=""),0,$Q120*IF($R120&lt;=7,12,19-$R120)/12)</f>
        <v>0</v>
      </c>
      <c r="U120" s="14" t="n">
        <f aca="false">IF(AND($L120="Yes",$G120&lt;&gt;"Vendor day rates"),$I120-0.4*$P120,0)</f>
        <v>0</v>
      </c>
      <c r="V120" s="26" t="n">
        <f aca="false">IFERROR(MATCH($M120,MonthList,0),0)</f>
        <v>0</v>
      </c>
      <c r="W120" s="14" t="n">
        <f aca="false">IF(OR($L120&lt;&gt;"Yes",$M120=""),0,$U120*MAX(0,7-$V120)/12)</f>
        <v>0</v>
      </c>
      <c r="X120" s="14" t="n">
        <f aca="false">IF(OR($L120&lt;&gt;"Yes",$M120=""),0,$U120*IF($V120&lt;=7,12,19-$V120)/12)</f>
        <v>0</v>
      </c>
      <c r="Y120" s="14" t="n">
        <f aca="false">IF(AND($N120="Yes",$G120&lt;&gt;"Vendor day rates"),$I120-0.4*$P120,0)</f>
        <v>0</v>
      </c>
      <c r="Z120" s="26" t="n">
        <f aca="false">IFERROR(MATCH($O120,MonthList,0),0)</f>
        <v>0</v>
      </c>
      <c r="AA120" s="14" t="n">
        <f aca="false">IF(OR($N120&lt;&gt;"Yes",$O120=""),0,$Y120*MAX(0,7-$Z120)/12)</f>
        <v>0</v>
      </c>
      <c r="AB120" s="14" t="n">
        <f aca="false">IF(OR($N120&lt;&gt;"Yes",$O120=""),0,$Y120*IF($Z120&lt;=7,12,19-$Z120)/12)</f>
        <v>0</v>
      </c>
      <c r="AC120" s="26" t="str">
        <f aca="false">IF(OR($J120="Yes",$L120="Yes",$N120="Yes"),"Yes","No")</f>
        <v>No</v>
      </c>
      <c r="AD120" s="14" t="n">
        <f aca="false">MAX($Q120,$U120,$Y120)</f>
        <v>0</v>
      </c>
      <c r="AE120" s="26" t="n">
        <f aca="false">$AD120+ROW()*0.000000001</f>
        <v>1.2E-007</v>
      </c>
      <c r="AF120" s="26" t="str">
        <f aca="false">IF($J120="Yes","A","")&amp;IF($L120="Yes","B","")&amp;IF($N120="Yes","C","")</f>
        <v/>
      </c>
    </row>
    <row r="121" customFormat="false" ht="15" hidden="false" customHeight="false" outlineLevel="0" collapsed="false">
      <c r="B121" s="22" t="s">
        <v>317</v>
      </c>
      <c r="C121" s="23" t="s">
        <v>217</v>
      </c>
      <c r="D121" s="23" t="s">
        <v>215</v>
      </c>
      <c r="E121" s="23" t="s">
        <v>217</v>
      </c>
      <c r="F121" s="22" t="s">
        <v>57</v>
      </c>
      <c r="G121" s="23" t="s">
        <v>149</v>
      </c>
      <c r="H121" s="24" t="n">
        <v>1</v>
      </c>
      <c r="I121" s="14" t="n">
        <v>0.2029</v>
      </c>
      <c r="J121" s="25" t="s">
        <v>59</v>
      </c>
      <c r="K121" s="25"/>
      <c r="L121" s="25" t="s">
        <v>59</v>
      </c>
      <c r="M121" s="25"/>
      <c r="N121" s="25" t="s">
        <v>59</v>
      </c>
      <c r="O121" s="25"/>
      <c r="P121" s="14" t="n">
        <v>0.2029</v>
      </c>
      <c r="Q121" s="14" t="n">
        <f aca="false">IF(AND($J121="Yes",$G121&lt;&gt;"Vendor day rates"),$I121-0.4*$P121,0)</f>
        <v>0</v>
      </c>
      <c r="R121" s="26" t="n">
        <f aca="false">IFERROR(MATCH($K121,MonthList,0),0)</f>
        <v>0</v>
      </c>
      <c r="S121" s="14" t="n">
        <f aca="false">IF(OR($J121&lt;&gt;"Yes",$K121=""),0,$Q121*MAX(0,7-$R121)/12)</f>
        <v>0</v>
      </c>
      <c r="T121" s="14" t="n">
        <f aca="false">IF(OR($J121&lt;&gt;"Yes",$K121=""),0,$Q121*IF($R121&lt;=7,12,19-$R121)/12)</f>
        <v>0</v>
      </c>
      <c r="U121" s="14" t="n">
        <f aca="false">IF(AND($L121="Yes",$G121&lt;&gt;"Vendor day rates"),$I121-0.4*$P121,0)</f>
        <v>0</v>
      </c>
      <c r="V121" s="26" t="n">
        <f aca="false">IFERROR(MATCH($M121,MonthList,0),0)</f>
        <v>0</v>
      </c>
      <c r="W121" s="14" t="n">
        <f aca="false">IF(OR($L121&lt;&gt;"Yes",$M121=""),0,$U121*MAX(0,7-$V121)/12)</f>
        <v>0</v>
      </c>
      <c r="X121" s="14" t="n">
        <f aca="false">IF(OR($L121&lt;&gt;"Yes",$M121=""),0,$U121*IF($V121&lt;=7,12,19-$V121)/12)</f>
        <v>0</v>
      </c>
      <c r="Y121" s="14" t="n">
        <f aca="false">IF(AND($N121="Yes",$G121&lt;&gt;"Vendor day rates"),$I121-0.4*$P121,0)</f>
        <v>0</v>
      </c>
      <c r="Z121" s="26" t="n">
        <f aca="false">IFERROR(MATCH($O121,MonthList,0),0)</f>
        <v>0</v>
      </c>
      <c r="AA121" s="14" t="n">
        <f aca="false">IF(OR($N121&lt;&gt;"Yes",$O121=""),0,$Y121*MAX(0,7-$Z121)/12)</f>
        <v>0</v>
      </c>
      <c r="AB121" s="14" t="n">
        <f aca="false">IF(OR($N121&lt;&gt;"Yes",$O121=""),0,$Y121*IF($Z121&lt;=7,12,19-$Z121)/12)</f>
        <v>0</v>
      </c>
      <c r="AC121" s="26" t="str">
        <f aca="false">IF(OR($J121="Yes",$L121="Yes",$N121="Yes"),"Yes","No")</f>
        <v>No</v>
      </c>
      <c r="AD121" s="14" t="n">
        <f aca="false">MAX($Q121,$U121,$Y121)</f>
        <v>0</v>
      </c>
      <c r="AE121" s="26" t="n">
        <f aca="false">$AD121+ROW()*0.000000001</f>
        <v>1.21E-007</v>
      </c>
      <c r="AF121" s="26" t="str">
        <f aca="false">IF($J121="Yes","A","")&amp;IF($L121="Yes","B","")&amp;IF($N121="Yes","C","")</f>
        <v/>
      </c>
    </row>
    <row r="122" customFormat="false" ht="15" hidden="false" customHeight="false" outlineLevel="0" collapsed="false">
      <c r="B122" s="22" t="s">
        <v>318</v>
      </c>
      <c r="C122" s="23" t="s">
        <v>319</v>
      </c>
      <c r="D122" s="23" t="s">
        <v>147</v>
      </c>
      <c r="E122" s="23" t="s">
        <v>199</v>
      </c>
      <c r="F122" s="22" t="s">
        <v>57</v>
      </c>
      <c r="G122" s="23" t="s">
        <v>149</v>
      </c>
      <c r="H122" s="24" t="n">
        <v>1</v>
      </c>
      <c r="I122" s="14" t="n">
        <v>0.2758</v>
      </c>
      <c r="J122" s="25" t="s">
        <v>59</v>
      </c>
      <c r="K122" s="25"/>
      <c r="L122" s="25" t="s">
        <v>59</v>
      </c>
      <c r="M122" s="25"/>
      <c r="N122" s="25" t="s">
        <v>59</v>
      </c>
      <c r="O122" s="25"/>
      <c r="P122" s="14" t="n">
        <v>0.2758</v>
      </c>
      <c r="Q122" s="14" t="n">
        <f aca="false">IF(AND($J122="Yes",$G122&lt;&gt;"Vendor day rates"),$I122-0.4*$P122,0)</f>
        <v>0</v>
      </c>
      <c r="R122" s="26" t="n">
        <f aca="false">IFERROR(MATCH($K122,MonthList,0),0)</f>
        <v>0</v>
      </c>
      <c r="S122" s="14" t="n">
        <f aca="false">IF(OR($J122&lt;&gt;"Yes",$K122=""),0,$Q122*MAX(0,7-$R122)/12)</f>
        <v>0</v>
      </c>
      <c r="T122" s="14" t="n">
        <f aca="false">IF(OR($J122&lt;&gt;"Yes",$K122=""),0,$Q122*IF($R122&lt;=7,12,19-$R122)/12)</f>
        <v>0</v>
      </c>
      <c r="U122" s="14" t="n">
        <f aca="false">IF(AND($L122="Yes",$G122&lt;&gt;"Vendor day rates"),$I122-0.4*$P122,0)</f>
        <v>0</v>
      </c>
      <c r="V122" s="26" t="n">
        <f aca="false">IFERROR(MATCH($M122,MonthList,0),0)</f>
        <v>0</v>
      </c>
      <c r="W122" s="14" t="n">
        <f aca="false">IF(OR($L122&lt;&gt;"Yes",$M122=""),0,$U122*MAX(0,7-$V122)/12)</f>
        <v>0</v>
      </c>
      <c r="X122" s="14" t="n">
        <f aca="false">IF(OR($L122&lt;&gt;"Yes",$M122=""),0,$U122*IF($V122&lt;=7,12,19-$V122)/12)</f>
        <v>0</v>
      </c>
      <c r="Y122" s="14" t="n">
        <f aca="false">IF(AND($N122="Yes",$G122&lt;&gt;"Vendor day rates"),$I122-0.4*$P122,0)</f>
        <v>0</v>
      </c>
      <c r="Z122" s="26" t="n">
        <f aca="false">IFERROR(MATCH($O122,MonthList,0),0)</f>
        <v>0</v>
      </c>
      <c r="AA122" s="14" t="n">
        <f aca="false">IF(OR($N122&lt;&gt;"Yes",$O122=""),0,$Y122*MAX(0,7-$Z122)/12)</f>
        <v>0</v>
      </c>
      <c r="AB122" s="14" t="n">
        <f aca="false">IF(OR($N122&lt;&gt;"Yes",$O122=""),0,$Y122*IF($Z122&lt;=7,12,19-$Z122)/12)</f>
        <v>0</v>
      </c>
      <c r="AC122" s="26" t="str">
        <f aca="false">IF(OR($J122="Yes",$L122="Yes",$N122="Yes"),"Yes","No")</f>
        <v>No</v>
      </c>
      <c r="AD122" s="14" t="n">
        <f aca="false">MAX($Q122,$U122,$Y122)</f>
        <v>0</v>
      </c>
      <c r="AE122" s="26" t="n">
        <f aca="false">$AD122+ROW()*0.000000001</f>
        <v>1.22E-007</v>
      </c>
      <c r="AF122" s="26" t="str">
        <f aca="false">IF($J122="Yes","A","")&amp;IF($L122="Yes","B","")&amp;IF($N122="Yes","C","")</f>
        <v/>
      </c>
    </row>
    <row r="123" customFormat="false" ht="15" hidden="false" customHeight="false" outlineLevel="0" collapsed="false">
      <c r="B123" s="22" t="s">
        <v>320</v>
      </c>
      <c r="C123" s="23" t="s">
        <v>321</v>
      </c>
      <c r="D123" s="23" t="s">
        <v>147</v>
      </c>
      <c r="E123" s="23" t="s">
        <v>199</v>
      </c>
      <c r="F123" s="22" t="s">
        <v>57</v>
      </c>
      <c r="G123" s="23" t="s">
        <v>58</v>
      </c>
      <c r="H123" s="24" t="n">
        <v>1</v>
      </c>
      <c r="I123" s="14" t="n">
        <v>0.2933</v>
      </c>
      <c r="J123" s="25" t="s">
        <v>59</v>
      </c>
      <c r="K123" s="25"/>
      <c r="L123" s="25" t="s">
        <v>59</v>
      </c>
      <c r="M123" s="25"/>
      <c r="N123" s="25" t="s">
        <v>59</v>
      </c>
      <c r="O123" s="25"/>
      <c r="P123" s="14" t="n">
        <v>0.2933</v>
      </c>
      <c r="Q123" s="14" t="n">
        <f aca="false">IF(AND($J123="Yes",$G123&lt;&gt;"Vendor day rates"),$I123-0.4*$P123,0)</f>
        <v>0</v>
      </c>
      <c r="R123" s="26" t="n">
        <f aca="false">IFERROR(MATCH($K123,MonthList,0),0)</f>
        <v>0</v>
      </c>
      <c r="S123" s="14" t="n">
        <f aca="false">IF(OR($J123&lt;&gt;"Yes",$K123=""),0,$Q123*MAX(0,7-$R123)/12)</f>
        <v>0</v>
      </c>
      <c r="T123" s="14" t="n">
        <f aca="false">IF(OR($J123&lt;&gt;"Yes",$K123=""),0,$Q123*IF($R123&lt;=7,12,19-$R123)/12)</f>
        <v>0</v>
      </c>
      <c r="U123" s="14" t="n">
        <f aca="false">IF(AND($L123="Yes",$G123&lt;&gt;"Vendor day rates"),$I123-0.4*$P123,0)</f>
        <v>0</v>
      </c>
      <c r="V123" s="26" t="n">
        <f aca="false">IFERROR(MATCH($M123,MonthList,0),0)</f>
        <v>0</v>
      </c>
      <c r="W123" s="14" t="n">
        <f aca="false">IF(OR($L123&lt;&gt;"Yes",$M123=""),0,$U123*MAX(0,7-$V123)/12)</f>
        <v>0</v>
      </c>
      <c r="X123" s="14" t="n">
        <f aca="false">IF(OR($L123&lt;&gt;"Yes",$M123=""),0,$U123*IF($V123&lt;=7,12,19-$V123)/12)</f>
        <v>0</v>
      </c>
      <c r="Y123" s="14" t="n">
        <f aca="false">IF(AND($N123="Yes",$G123&lt;&gt;"Vendor day rates"),$I123-0.4*$P123,0)</f>
        <v>0</v>
      </c>
      <c r="Z123" s="26" t="n">
        <f aca="false">IFERROR(MATCH($O123,MonthList,0),0)</f>
        <v>0</v>
      </c>
      <c r="AA123" s="14" t="n">
        <f aca="false">IF(OR($N123&lt;&gt;"Yes",$O123=""),0,$Y123*MAX(0,7-$Z123)/12)</f>
        <v>0</v>
      </c>
      <c r="AB123" s="14" t="n">
        <f aca="false">IF(OR($N123&lt;&gt;"Yes",$O123=""),0,$Y123*IF($Z123&lt;=7,12,19-$Z123)/12)</f>
        <v>0</v>
      </c>
      <c r="AC123" s="26" t="str">
        <f aca="false">IF(OR($J123="Yes",$L123="Yes",$N123="Yes"),"Yes","No")</f>
        <v>No</v>
      </c>
      <c r="AD123" s="14" t="n">
        <f aca="false">MAX($Q123,$U123,$Y123)</f>
        <v>0</v>
      </c>
      <c r="AE123" s="26" t="n">
        <f aca="false">$AD123+ROW()*0.000000001</f>
        <v>1.23E-007</v>
      </c>
      <c r="AF123" s="26" t="str">
        <f aca="false">IF($J123="Yes","A","")&amp;IF($L123="Yes","B","")&amp;IF($N123="Yes","C","")</f>
        <v/>
      </c>
    </row>
    <row r="124" customFormat="false" ht="15" hidden="false" customHeight="false" outlineLevel="0" collapsed="false">
      <c r="B124" s="22" t="s">
        <v>322</v>
      </c>
      <c r="C124" s="23" t="s">
        <v>54</v>
      </c>
      <c r="D124" s="23" t="s">
        <v>91</v>
      </c>
      <c r="E124" s="23" t="s">
        <v>92</v>
      </c>
      <c r="F124" s="22" t="s">
        <v>57</v>
      </c>
      <c r="G124" s="23" t="s">
        <v>58</v>
      </c>
      <c r="H124" s="24" t="n">
        <v>1</v>
      </c>
      <c r="I124" s="14" t="n">
        <v>0.2778</v>
      </c>
      <c r="J124" s="25" t="s">
        <v>59</v>
      </c>
      <c r="K124" s="25"/>
      <c r="L124" s="25" t="s">
        <v>59</v>
      </c>
      <c r="M124" s="25"/>
      <c r="N124" s="25" t="s">
        <v>59</v>
      </c>
      <c r="O124" s="25"/>
      <c r="P124" s="14" t="n">
        <v>0.2778</v>
      </c>
      <c r="Q124" s="14" t="n">
        <f aca="false">IF(AND($J124="Yes",$G124&lt;&gt;"Vendor day rates"),$I124-0.4*$P124,0)</f>
        <v>0</v>
      </c>
      <c r="R124" s="26" t="n">
        <f aca="false">IFERROR(MATCH($K124,MonthList,0),0)</f>
        <v>0</v>
      </c>
      <c r="S124" s="14" t="n">
        <f aca="false">IF(OR($J124&lt;&gt;"Yes",$K124=""),0,$Q124*MAX(0,7-$R124)/12)</f>
        <v>0</v>
      </c>
      <c r="T124" s="14" t="n">
        <f aca="false">IF(OR($J124&lt;&gt;"Yes",$K124=""),0,$Q124*IF($R124&lt;=7,12,19-$R124)/12)</f>
        <v>0</v>
      </c>
      <c r="U124" s="14" t="n">
        <f aca="false">IF(AND($L124="Yes",$G124&lt;&gt;"Vendor day rates"),$I124-0.4*$P124,0)</f>
        <v>0</v>
      </c>
      <c r="V124" s="26" t="n">
        <f aca="false">IFERROR(MATCH($M124,MonthList,0),0)</f>
        <v>0</v>
      </c>
      <c r="W124" s="14" t="n">
        <f aca="false">IF(OR($L124&lt;&gt;"Yes",$M124=""),0,$U124*MAX(0,7-$V124)/12)</f>
        <v>0</v>
      </c>
      <c r="X124" s="14" t="n">
        <f aca="false">IF(OR($L124&lt;&gt;"Yes",$M124=""),0,$U124*IF($V124&lt;=7,12,19-$V124)/12)</f>
        <v>0</v>
      </c>
      <c r="Y124" s="14" t="n">
        <f aca="false">IF(AND($N124="Yes",$G124&lt;&gt;"Vendor day rates"),$I124-0.4*$P124,0)</f>
        <v>0</v>
      </c>
      <c r="Z124" s="26" t="n">
        <f aca="false">IFERROR(MATCH($O124,MonthList,0),0)</f>
        <v>0</v>
      </c>
      <c r="AA124" s="14" t="n">
        <f aca="false">IF(OR($N124&lt;&gt;"Yes",$O124=""),0,$Y124*MAX(0,7-$Z124)/12)</f>
        <v>0</v>
      </c>
      <c r="AB124" s="14" t="n">
        <f aca="false">IF(OR($N124&lt;&gt;"Yes",$O124=""),0,$Y124*IF($Z124&lt;=7,12,19-$Z124)/12)</f>
        <v>0</v>
      </c>
      <c r="AC124" s="26" t="str">
        <f aca="false">IF(OR($J124="Yes",$L124="Yes",$N124="Yes"),"Yes","No")</f>
        <v>No</v>
      </c>
      <c r="AD124" s="14" t="n">
        <f aca="false">MAX($Q124,$U124,$Y124)</f>
        <v>0</v>
      </c>
      <c r="AE124" s="26" t="n">
        <f aca="false">$AD124+ROW()*0.000000001</f>
        <v>1.24E-007</v>
      </c>
      <c r="AF124" s="26" t="str">
        <f aca="false">IF($J124="Yes","A","")&amp;IF($L124="Yes","B","")&amp;IF($N124="Yes","C","")</f>
        <v/>
      </c>
    </row>
    <row r="125" customFormat="false" ht="15" hidden="false" customHeight="false" outlineLevel="0" collapsed="false">
      <c r="B125" s="22" t="s">
        <v>323</v>
      </c>
      <c r="C125" s="23" t="s">
        <v>324</v>
      </c>
      <c r="D125" s="23" t="s">
        <v>212</v>
      </c>
      <c r="E125" s="23" t="s">
        <v>325</v>
      </c>
      <c r="F125" s="22" t="s">
        <v>112</v>
      </c>
      <c r="G125" s="23" t="s">
        <v>58</v>
      </c>
      <c r="H125" s="24" t="n">
        <v>1</v>
      </c>
      <c r="I125" s="14" t="n">
        <v>0.202</v>
      </c>
      <c r="J125" s="25" t="s">
        <v>59</v>
      </c>
      <c r="K125" s="25"/>
      <c r="L125" s="25" t="s">
        <v>59</v>
      </c>
      <c r="M125" s="25"/>
      <c r="N125" s="25" t="s">
        <v>59</v>
      </c>
      <c r="O125" s="25"/>
      <c r="P125" s="14" t="n">
        <v>0.202</v>
      </c>
      <c r="Q125" s="14" t="n">
        <f aca="false">IF(AND($J125="Yes",$G125&lt;&gt;"Vendor day rates"),$I125-0.4*$P125,0)</f>
        <v>0</v>
      </c>
      <c r="R125" s="26" t="n">
        <f aca="false">IFERROR(MATCH($K125,MonthList,0),0)</f>
        <v>0</v>
      </c>
      <c r="S125" s="14" t="n">
        <f aca="false">IF(OR($J125&lt;&gt;"Yes",$K125=""),0,$Q125*MAX(0,7-$R125)/12)</f>
        <v>0</v>
      </c>
      <c r="T125" s="14" t="n">
        <f aca="false">IF(OR($J125&lt;&gt;"Yes",$K125=""),0,$Q125*IF($R125&lt;=7,12,19-$R125)/12)</f>
        <v>0</v>
      </c>
      <c r="U125" s="14" t="n">
        <f aca="false">IF(AND($L125="Yes",$G125&lt;&gt;"Vendor day rates"),$I125-0.4*$P125,0)</f>
        <v>0</v>
      </c>
      <c r="V125" s="26" t="n">
        <f aca="false">IFERROR(MATCH($M125,MonthList,0),0)</f>
        <v>0</v>
      </c>
      <c r="W125" s="14" t="n">
        <f aca="false">IF(OR($L125&lt;&gt;"Yes",$M125=""),0,$U125*MAX(0,7-$V125)/12)</f>
        <v>0</v>
      </c>
      <c r="X125" s="14" t="n">
        <f aca="false">IF(OR($L125&lt;&gt;"Yes",$M125=""),0,$U125*IF($V125&lt;=7,12,19-$V125)/12)</f>
        <v>0</v>
      </c>
      <c r="Y125" s="14" t="n">
        <f aca="false">IF(AND($N125="Yes",$G125&lt;&gt;"Vendor day rates"),$I125-0.4*$P125,0)</f>
        <v>0</v>
      </c>
      <c r="Z125" s="26" t="n">
        <f aca="false">IFERROR(MATCH($O125,MonthList,0),0)</f>
        <v>0</v>
      </c>
      <c r="AA125" s="14" t="n">
        <f aca="false">IF(OR($N125&lt;&gt;"Yes",$O125=""),0,$Y125*MAX(0,7-$Z125)/12)</f>
        <v>0</v>
      </c>
      <c r="AB125" s="14" t="n">
        <f aca="false">IF(OR($N125&lt;&gt;"Yes",$O125=""),0,$Y125*IF($Z125&lt;=7,12,19-$Z125)/12)</f>
        <v>0</v>
      </c>
      <c r="AC125" s="26" t="str">
        <f aca="false">IF(OR($J125="Yes",$L125="Yes",$N125="Yes"),"Yes","No")</f>
        <v>No</v>
      </c>
      <c r="AD125" s="14" t="n">
        <f aca="false">MAX($Q125,$U125,$Y125)</f>
        <v>0</v>
      </c>
      <c r="AE125" s="26" t="n">
        <f aca="false">$AD125+ROW()*0.000000001</f>
        <v>1.25E-007</v>
      </c>
      <c r="AF125" s="26" t="str">
        <f aca="false">IF($J125="Yes","A","")&amp;IF($L125="Yes","B","")&amp;IF($N125="Yes","C","")</f>
        <v/>
      </c>
    </row>
    <row r="126" customFormat="false" ht="15" hidden="false" customHeight="false" outlineLevel="0" collapsed="false">
      <c r="B126" s="22" t="s">
        <v>326</v>
      </c>
      <c r="C126" s="23" t="s">
        <v>327</v>
      </c>
      <c r="D126" s="23" t="s">
        <v>328</v>
      </c>
      <c r="E126" s="23" t="s">
        <v>173</v>
      </c>
      <c r="F126" s="22" t="s">
        <v>57</v>
      </c>
      <c r="G126" s="23" t="s">
        <v>58</v>
      </c>
      <c r="H126" s="24" t="n">
        <v>1</v>
      </c>
      <c r="I126" s="14" t="n">
        <v>0.2964</v>
      </c>
      <c r="J126" s="25" t="s">
        <v>59</v>
      </c>
      <c r="K126" s="25"/>
      <c r="L126" s="25" t="s">
        <v>59</v>
      </c>
      <c r="M126" s="25"/>
      <c r="N126" s="25" t="s">
        <v>59</v>
      </c>
      <c r="O126" s="25"/>
      <c r="P126" s="14" t="n">
        <v>0.2964</v>
      </c>
      <c r="Q126" s="14" t="n">
        <f aca="false">IF(AND($J126="Yes",$G126&lt;&gt;"Vendor day rates"),$I126-0.4*$P126,0)</f>
        <v>0</v>
      </c>
      <c r="R126" s="26" t="n">
        <f aca="false">IFERROR(MATCH($K126,MonthList,0),0)</f>
        <v>0</v>
      </c>
      <c r="S126" s="14" t="n">
        <f aca="false">IF(OR($J126&lt;&gt;"Yes",$K126=""),0,$Q126*MAX(0,7-$R126)/12)</f>
        <v>0</v>
      </c>
      <c r="T126" s="14" t="n">
        <f aca="false">IF(OR($J126&lt;&gt;"Yes",$K126=""),0,$Q126*IF($R126&lt;=7,12,19-$R126)/12)</f>
        <v>0</v>
      </c>
      <c r="U126" s="14" t="n">
        <f aca="false">IF(AND($L126="Yes",$G126&lt;&gt;"Vendor day rates"),$I126-0.4*$P126,0)</f>
        <v>0</v>
      </c>
      <c r="V126" s="26" t="n">
        <f aca="false">IFERROR(MATCH($M126,MonthList,0),0)</f>
        <v>0</v>
      </c>
      <c r="W126" s="14" t="n">
        <f aca="false">IF(OR($L126&lt;&gt;"Yes",$M126=""),0,$U126*MAX(0,7-$V126)/12)</f>
        <v>0</v>
      </c>
      <c r="X126" s="14" t="n">
        <f aca="false">IF(OR($L126&lt;&gt;"Yes",$M126=""),0,$U126*IF($V126&lt;=7,12,19-$V126)/12)</f>
        <v>0</v>
      </c>
      <c r="Y126" s="14" t="n">
        <f aca="false">IF(AND($N126="Yes",$G126&lt;&gt;"Vendor day rates"),$I126-0.4*$P126,0)</f>
        <v>0</v>
      </c>
      <c r="Z126" s="26" t="n">
        <f aca="false">IFERROR(MATCH($O126,MonthList,0),0)</f>
        <v>0</v>
      </c>
      <c r="AA126" s="14" t="n">
        <f aca="false">IF(OR($N126&lt;&gt;"Yes",$O126=""),0,$Y126*MAX(0,7-$Z126)/12)</f>
        <v>0</v>
      </c>
      <c r="AB126" s="14" t="n">
        <f aca="false">IF(OR($N126&lt;&gt;"Yes",$O126=""),0,$Y126*IF($Z126&lt;=7,12,19-$Z126)/12)</f>
        <v>0</v>
      </c>
      <c r="AC126" s="26" t="str">
        <f aca="false">IF(OR($J126="Yes",$L126="Yes",$N126="Yes"),"Yes","No")</f>
        <v>No</v>
      </c>
      <c r="AD126" s="14" t="n">
        <f aca="false">MAX($Q126,$U126,$Y126)</f>
        <v>0</v>
      </c>
      <c r="AE126" s="26" t="n">
        <f aca="false">$AD126+ROW()*0.000000001</f>
        <v>1.26E-007</v>
      </c>
      <c r="AF126" s="26" t="str">
        <f aca="false">IF($J126="Yes","A","")&amp;IF($L126="Yes","B","")&amp;IF($N126="Yes","C","")</f>
        <v/>
      </c>
    </row>
    <row r="127" customFormat="false" ht="15" hidden="false" customHeight="false" outlineLevel="0" collapsed="false">
      <c r="B127" s="22" t="s">
        <v>329</v>
      </c>
      <c r="C127" s="23" t="s">
        <v>330</v>
      </c>
      <c r="D127" s="23" t="s">
        <v>331</v>
      </c>
      <c r="E127" s="23" t="s">
        <v>173</v>
      </c>
      <c r="F127" s="22" t="s">
        <v>57</v>
      </c>
      <c r="G127" s="23" t="s">
        <v>58</v>
      </c>
      <c r="H127" s="24" t="n">
        <v>1</v>
      </c>
      <c r="I127" s="14" t="n">
        <v>0.3236</v>
      </c>
      <c r="J127" s="25" t="s">
        <v>59</v>
      </c>
      <c r="K127" s="25"/>
      <c r="L127" s="25" t="s">
        <v>59</v>
      </c>
      <c r="M127" s="25"/>
      <c r="N127" s="25" t="s">
        <v>59</v>
      </c>
      <c r="O127" s="25"/>
      <c r="P127" s="14" t="n">
        <v>0.3236</v>
      </c>
      <c r="Q127" s="14" t="n">
        <f aca="false">IF(AND($J127="Yes",$G127&lt;&gt;"Vendor day rates"),$I127-0.4*$P127,0)</f>
        <v>0</v>
      </c>
      <c r="R127" s="26" t="n">
        <f aca="false">IFERROR(MATCH($K127,MonthList,0),0)</f>
        <v>0</v>
      </c>
      <c r="S127" s="14" t="n">
        <f aca="false">IF(OR($J127&lt;&gt;"Yes",$K127=""),0,$Q127*MAX(0,7-$R127)/12)</f>
        <v>0</v>
      </c>
      <c r="T127" s="14" t="n">
        <f aca="false">IF(OR($J127&lt;&gt;"Yes",$K127=""),0,$Q127*IF($R127&lt;=7,12,19-$R127)/12)</f>
        <v>0</v>
      </c>
      <c r="U127" s="14" t="n">
        <f aca="false">IF(AND($L127="Yes",$G127&lt;&gt;"Vendor day rates"),$I127-0.4*$P127,0)</f>
        <v>0</v>
      </c>
      <c r="V127" s="26" t="n">
        <f aca="false">IFERROR(MATCH($M127,MonthList,0),0)</f>
        <v>0</v>
      </c>
      <c r="W127" s="14" t="n">
        <f aca="false">IF(OR($L127&lt;&gt;"Yes",$M127=""),0,$U127*MAX(0,7-$V127)/12)</f>
        <v>0</v>
      </c>
      <c r="X127" s="14" t="n">
        <f aca="false">IF(OR($L127&lt;&gt;"Yes",$M127=""),0,$U127*IF($V127&lt;=7,12,19-$V127)/12)</f>
        <v>0</v>
      </c>
      <c r="Y127" s="14" t="n">
        <f aca="false">IF(AND($N127="Yes",$G127&lt;&gt;"Vendor day rates"),$I127-0.4*$P127,0)</f>
        <v>0</v>
      </c>
      <c r="Z127" s="26" t="n">
        <f aca="false">IFERROR(MATCH($O127,MonthList,0),0)</f>
        <v>0</v>
      </c>
      <c r="AA127" s="14" t="n">
        <f aca="false">IF(OR($N127&lt;&gt;"Yes",$O127=""),0,$Y127*MAX(0,7-$Z127)/12)</f>
        <v>0</v>
      </c>
      <c r="AB127" s="14" t="n">
        <f aca="false">IF(OR($N127&lt;&gt;"Yes",$O127=""),0,$Y127*IF($Z127&lt;=7,12,19-$Z127)/12)</f>
        <v>0</v>
      </c>
      <c r="AC127" s="26" t="str">
        <f aca="false">IF(OR($J127="Yes",$L127="Yes",$N127="Yes"),"Yes","No")</f>
        <v>No</v>
      </c>
      <c r="AD127" s="14" t="n">
        <f aca="false">MAX($Q127,$U127,$Y127)</f>
        <v>0</v>
      </c>
      <c r="AE127" s="26" t="n">
        <f aca="false">$AD127+ROW()*0.000000001</f>
        <v>1.27E-007</v>
      </c>
      <c r="AF127" s="26" t="str">
        <f aca="false">IF($J127="Yes","A","")&amp;IF($L127="Yes","B","")&amp;IF($N127="Yes","C","")</f>
        <v/>
      </c>
    </row>
    <row r="128" customFormat="false" ht="15" hidden="false" customHeight="false" outlineLevel="0" collapsed="false">
      <c r="B128" s="22" t="s">
        <v>332</v>
      </c>
      <c r="C128" s="23" t="s">
        <v>217</v>
      </c>
      <c r="D128" s="23" t="s">
        <v>161</v>
      </c>
      <c r="E128" s="23" t="s">
        <v>217</v>
      </c>
      <c r="F128" s="22" t="s">
        <v>57</v>
      </c>
      <c r="G128" s="23" t="s">
        <v>149</v>
      </c>
      <c r="H128" s="24" t="n">
        <v>1</v>
      </c>
      <c r="I128" s="14" t="n">
        <v>0.2758</v>
      </c>
      <c r="J128" s="25" t="s">
        <v>59</v>
      </c>
      <c r="K128" s="25"/>
      <c r="L128" s="25" t="s">
        <v>59</v>
      </c>
      <c r="M128" s="25"/>
      <c r="N128" s="25" t="s">
        <v>59</v>
      </c>
      <c r="O128" s="25"/>
      <c r="P128" s="14" t="n">
        <v>0.2758</v>
      </c>
      <c r="Q128" s="14" t="n">
        <f aca="false">IF(AND($J128="Yes",$G128&lt;&gt;"Vendor day rates"),$I128-0.4*$P128,0)</f>
        <v>0</v>
      </c>
      <c r="R128" s="26" t="n">
        <f aca="false">IFERROR(MATCH($K128,MonthList,0),0)</f>
        <v>0</v>
      </c>
      <c r="S128" s="14" t="n">
        <f aca="false">IF(OR($J128&lt;&gt;"Yes",$K128=""),0,$Q128*MAX(0,7-$R128)/12)</f>
        <v>0</v>
      </c>
      <c r="T128" s="14" t="n">
        <f aca="false">IF(OR($J128&lt;&gt;"Yes",$K128=""),0,$Q128*IF($R128&lt;=7,12,19-$R128)/12)</f>
        <v>0</v>
      </c>
      <c r="U128" s="14" t="n">
        <f aca="false">IF(AND($L128="Yes",$G128&lt;&gt;"Vendor day rates"),$I128-0.4*$P128,0)</f>
        <v>0</v>
      </c>
      <c r="V128" s="26" t="n">
        <f aca="false">IFERROR(MATCH($M128,MonthList,0),0)</f>
        <v>0</v>
      </c>
      <c r="W128" s="14" t="n">
        <f aca="false">IF(OR($L128&lt;&gt;"Yes",$M128=""),0,$U128*MAX(0,7-$V128)/12)</f>
        <v>0</v>
      </c>
      <c r="X128" s="14" t="n">
        <f aca="false">IF(OR($L128&lt;&gt;"Yes",$M128=""),0,$U128*IF($V128&lt;=7,12,19-$V128)/12)</f>
        <v>0</v>
      </c>
      <c r="Y128" s="14" t="n">
        <f aca="false">IF(AND($N128="Yes",$G128&lt;&gt;"Vendor day rates"),$I128-0.4*$P128,0)</f>
        <v>0</v>
      </c>
      <c r="Z128" s="26" t="n">
        <f aca="false">IFERROR(MATCH($O128,MonthList,0),0)</f>
        <v>0</v>
      </c>
      <c r="AA128" s="14" t="n">
        <f aca="false">IF(OR($N128&lt;&gt;"Yes",$O128=""),0,$Y128*MAX(0,7-$Z128)/12)</f>
        <v>0</v>
      </c>
      <c r="AB128" s="14" t="n">
        <f aca="false">IF(OR($N128&lt;&gt;"Yes",$O128=""),0,$Y128*IF($Z128&lt;=7,12,19-$Z128)/12)</f>
        <v>0</v>
      </c>
      <c r="AC128" s="26" t="str">
        <f aca="false">IF(OR($J128="Yes",$L128="Yes",$N128="Yes"),"Yes","No")</f>
        <v>No</v>
      </c>
      <c r="AD128" s="14" t="n">
        <f aca="false">MAX($Q128,$U128,$Y128)</f>
        <v>0</v>
      </c>
      <c r="AE128" s="26" t="n">
        <f aca="false">$AD128+ROW()*0.000000001</f>
        <v>1.28E-007</v>
      </c>
      <c r="AF128" s="26" t="str">
        <f aca="false">IF($J128="Yes","A","")&amp;IF($L128="Yes","B","")&amp;IF($N128="Yes","C","")</f>
        <v/>
      </c>
    </row>
    <row r="129" customFormat="false" ht="15" hidden="false" customHeight="false" outlineLevel="0" collapsed="false">
      <c r="B129" s="22" t="s">
        <v>333</v>
      </c>
      <c r="C129" s="23" t="s">
        <v>334</v>
      </c>
      <c r="D129" s="23" t="s">
        <v>70</v>
      </c>
      <c r="E129" s="23" t="s">
        <v>70</v>
      </c>
      <c r="F129" s="22" t="s">
        <v>57</v>
      </c>
      <c r="G129" s="23" t="s">
        <v>58</v>
      </c>
      <c r="H129" s="24" t="n">
        <v>1</v>
      </c>
      <c r="I129" s="14" t="n">
        <v>0.2074</v>
      </c>
      <c r="J129" s="25" t="s">
        <v>59</v>
      </c>
      <c r="K129" s="25"/>
      <c r="L129" s="25" t="s">
        <v>59</v>
      </c>
      <c r="M129" s="25"/>
      <c r="N129" s="25" t="s">
        <v>59</v>
      </c>
      <c r="O129" s="25"/>
      <c r="P129" s="14" t="n">
        <v>0.2074</v>
      </c>
      <c r="Q129" s="14" t="n">
        <f aca="false">IF(AND($J129="Yes",$G129&lt;&gt;"Vendor day rates"),$I129-0.4*$P129,0)</f>
        <v>0</v>
      </c>
      <c r="R129" s="26" t="n">
        <f aca="false">IFERROR(MATCH($K129,MonthList,0),0)</f>
        <v>0</v>
      </c>
      <c r="S129" s="14" t="n">
        <f aca="false">IF(OR($J129&lt;&gt;"Yes",$K129=""),0,$Q129*MAX(0,7-$R129)/12)</f>
        <v>0</v>
      </c>
      <c r="T129" s="14" t="n">
        <f aca="false">IF(OR($J129&lt;&gt;"Yes",$K129=""),0,$Q129*IF($R129&lt;=7,12,19-$R129)/12)</f>
        <v>0</v>
      </c>
      <c r="U129" s="14" t="n">
        <f aca="false">IF(AND($L129="Yes",$G129&lt;&gt;"Vendor day rates"),$I129-0.4*$P129,0)</f>
        <v>0</v>
      </c>
      <c r="V129" s="26" t="n">
        <f aca="false">IFERROR(MATCH($M129,MonthList,0),0)</f>
        <v>0</v>
      </c>
      <c r="W129" s="14" t="n">
        <f aca="false">IF(OR($L129&lt;&gt;"Yes",$M129=""),0,$U129*MAX(0,7-$V129)/12)</f>
        <v>0</v>
      </c>
      <c r="X129" s="14" t="n">
        <f aca="false">IF(OR($L129&lt;&gt;"Yes",$M129=""),0,$U129*IF($V129&lt;=7,12,19-$V129)/12)</f>
        <v>0</v>
      </c>
      <c r="Y129" s="14" t="n">
        <f aca="false">IF(AND($N129="Yes",$G129&lt;&gt;"Vendor day rates"),$I129-0.4*$P129,0)</f>
        <v>0</v>
      </c>
      <c r="Z129" s="26" t="n">
        <f aca="false">IFERROR(MATCH($O129,MonthList,0),0)</f>
        <v>0</v>
      </c>
      <c r="AA129" s="14" t="n">
        <f aca="false">IF(OR($N129&lt;&gt;"Yes",$O129=""),0,$Y129*MAX(0,7-$Z129)/12)</f>
        <v>0</v>
      </c>
      <c r="AB129" s="14" t="n">
        <f aca="false">IF(OR($N129&lt;&gt;"Yes",$O129=""),0,$Y129*IF($Z129&lt;=7,12,19-$Z129)/12)</f>
        <v>0</v>
      </c>
      <c r="AC129" s="26" t="str">
        <f aca="false">IF(OR($J129="Yes",$L129="Yes",$N129="Yes"),"Yes","No")</f>
        <v>No</v>
      </c>
      <c r="AD129" s="14" t="n">
        <f aca="false">MAX($Q129,$U129,$Y129)</f>
        <v>0</v>
      </c>
      <c r="AE129" s="26" t="n">
        <f aca="false">$AD129+ROW()*0.000000001</f>
        <v>1.29E-007</v>
      </c>
      <c r="AF129" s="26" t="str">
        <f aca="false">IF($J129="Yes","A","")&amp;IF($L129="Yes","B","")&amp;IF($N129="Yes","C","")</f>
        <v/>
      </c>
    </row>
    <row r="130" customFormat="false" ht="15" hidden="false" customHeight="false" outlineLevel="0" collapsed="false">
      <c r="B130" s="22" t="s">
        <v>335</v>
      </c>
      <c r="C130" s="23" t="s">
        <v>54</v>
      </c>
      <c r="D130" s="23" t="s">
        <v>152</v>
      </c>
      <c r="E130" s="23" t="s">
        <v>230</v>
      </c>
      <c r="F130" s="22" t="s">
        <v>112</v>
      </c>
      <c r="G130" s="23" t="s">
        <v>58</v>
      </c>
      <c r="H130" s="24" t="n">
        <v>1</v>
      </c>
      <c r="I130" s="14" t="n">
        <v>0.1783</v>
      </c>
      <c r="J130" s="25" t="s">
        <v>59</v>
      </c>
      <c r="K130" s="25"/>
      <c r="L130" s="25" t="s">
        <v>59</v>
      </c>
      <c r="M130" s="25"/>
      <c r="N130" s="25" t="s">
        <v>59</v>
      </c>
      <c r="O130" s="25"/>
      <c r="P130" s="14" t="n">
        <v>0.1783</v>
      </c>
      <c r="Q130" s="14" t="n">
        <f aca="false">IF(AND($J130="Yes",$G130&lt;&gt;"Vendor day rates"),$I130-0.4*$P130,0)</f>
        <v>0</v>
      </c>
      <c r="R130" s="26" t="n">
        <f aca="false">IFERROR(MATCH($K130,MonthList,0),0)</f>
        <v>0</v>
      </c>
      <c r="S130" s="14" t="n">
        <f aca="false">IF(OR($J130&lt;&gt;"Yes",$K130=""),0,$Q130*MAX(0,7-$R130)/12)</f>
        <v>0</v>
      </c>
      <c r="T130" s="14" t="n">
        <f aca="false">IF(OR($J130&lt;&gt;"Yes",$K130=""),0,$Q130*IF($R130&lt;=7,12,19-$R130)/12)</f>
        <v>0</v>
      </c>
      <c r="U130" s="14" t="n">
        <f aca="false">IF(AND($L130="Yes",$G130&lt;&gt;"Vendor day rates"),$I130-0.4*$P130,0)</f>
        <v>0</v>
      </c>
      <c r="V130" s="26" t="n">
        <f aca="false">IFERROR(MATCH($M130,MonthList,0),0)</f>
        <v>0</v>
      </c>
      <c r="W130" s="14" t="n">
        <f aca="false">IF(OR($L130&lt;&gt;"Yes",$M130=""),0,$U130*MAX(0,7-$V130)/12)</f>
        <v>0</v>
      </c>
      <c r="X130" s="14" t="n">
        <f aca="false">IF(OR($L130&lt;&gt;"Yes",$M130=""),0,$U130*IF($V130&lt;=7,12,19-$V130)/12)</f>
        <v>0</v>
      </c>
      <c r="Y130" s="14" t="n">
        <f aca="false">IF(AND($N130="Yes",$G130&lt;&gt;"Vendor day rates"),$I130-0.4*$P130,0)</f>
        <v>0</v>
      </c>
      <c r="Z130" s="26" t="n">
        <f aca="false">IFERROR(MATCH($O130,MonthList,0),0)</f>
        <v>0</v>
      </c>
      <c r="AA130" s="14" t="n">
        <f aca="false">IF(OR($N130&lt;&gt;"Yes",$O130=""),0,$Y130*MAX(0,7-$Z130)/12)</f>
        <v>0</v>
      </c>
      <c r="AB130" s="14" t="n">
        <f aca="false">IF(OR($N130&lt;&gt;"Yes",$O130=""),0,$Y130*IF($Z130&lt;=7,12,19-$Z130)/12)</f>
        <v>0</v>
      </c>
      <c r="AC130" s="26" t="str">
        <f aca="false">IF(OR($J130="Yes",$L130="Yes",$N130="Yes"),"Yes","No")</f>
        <v>No</v>
      </c>
      <c r="AD130" s="14" t="n">
        <f aca="false">MAX($Q130,$U130,$Y130)</f>
        <v>0</v>
      </c>
      <c r="AE130" s="26" t="n">
        <f aca="false">$AD130+ROW()*0.000000001</f>
        <v>1.3E-007</v>
      </c>
      <c r="AF130" s="26" t="str">
        <f aca="false">IF($J130="Yes","A","")&amp;IF($L130="Yes","B","")&amp;IF($N130="Yes","C","")</f>
        <v/>
      </c>
    </row>
    <row r="131" customFormat="false" ht="15" hidden="false" customHeight="false" outlineLevel="0" collapsed="false">
      <c r="B131" s="22" t="s">
        <v>336</v>
      </c>
      <c r="C131" s="23" t="s">
        <v>54</v>
      </c>
      <c r="D131" s="23" t="s">
        <v>62</v>
      </c>
      <c r="E131" s="23" t="s">
        <v>67</v>
      </c>
      <c r="F131" s="22" t="s">
        <v>57</v>
      </c>
      <c r="G131" s="23" t="s">
        <v>58</v>
      </c>
      <c r="H131" s="24" t="n">
        <v>1</v>
      </c>
      <c r="I131" s="14" t="n">
        <v>0.255</v>
      </c>
      <c r="J131" s="25" t="s">
        <v>59</v>
      </c>
      <c r="K131" s="25"/>
      <c r="L131" s="25" t="s">
        <v>59</v>
      </c>
      <c r="M131" s="25"/>
      <c r="N131" s="25" t="s">
        <v>59</v>
      </c>
      <c r="O131" s="25"/>
      <c r="P131" s="14" t="n">
        <v>0.255</v>
      </c>
      <c r="Q131" s="14" t="n">
        <f aca="false">IF(AND($J131="Yes",$G131&lt;&gt;"Vendor day rates"),$I131-0.4*$P131,0)</f>
        <v>0</v>
      </c>
      <c r="R131" s="26" t="n">
        <f aca="false">IFERROR(MATCH($K131,MonthList,0),0)</f>
        <v>0</v>
      </c>
      <c r="S131" s="14" t="n">
        <f aca="false">IF(OR($J131&lt;&gt;"Yes",$K131=""),0,$Q131*MAX(0,7-$R131)/12)</f>
        <v>0</v>
      </c>
      <c r="T131" s="14" t="n">
        <f aca="false">IF(OR($J131&lt;&gt;"Yes",$K131=""),0,$Q131*IF($R131&lt;=7,12,19-$R131)/12)</f>
        <v>0</v>
      </c>
      <c r="U131" s="14" t="n">
        <f aca="false">IF(AND($L131="Yes",$G131&lt;&gt;"Vendor day rates"),$I131-0.4*$P131,0)</f>
        <v>0</v>
      </c>
      <c r="V131" s="26" t="n">
        <f aca="false">IFERROR(MATCH($M131,MonthList,0),0)</f>
        <v>0</v>
      </c>
      <c r="W131" s="14" t="n">
        <f aca="false">IF(OR($L131&lt;&gt;"Yes",$M131=""),0,$U131*MAX(0,7-$V131)/12)</f>
        <v>0</v>
      </c>
      <c r="X131" s="14" t="n">
        <f aca="false">IF(OR($L131&lt;&gt;"Yes",$M131=""),0,$U131*IF($V131&lt;=7,12,19-$V131)/12)</f>
        <v>0</v>
      </c>
      <c r="Y131" s="14" t="n">
        <f aca="false">IF(AND($N131="Yes",$G131&lt;&gt;"Vendor day rates"),$I131-0.4*$P131,0)</f>
        <v>0</v>
      </c>
      <c r="Z131" s="26" t="n">
        <f aca="false">IFERROR(MATCH($O131,MonthList,0),0)</f>
        <v>0</v>
      </c>
      <c r="AA131" s="14" t="n">
        <f aca="false">IF(OR($N131&lt;&gt;"Yes",$O131=""),0,$Y131*MAX(0,7-$Z131)/12)</f>
        <v>0</v>
      </c>
      <c r="AB131" s="14" t="n">
        <f aca="false">IF(OR($N131&lt;&gt;"Yes",$O131=""),0,$Y131*IF($Z131&lt;=7,12,19-$Z131)/12)</f>
        <v>0</v>
      </c>
      <c r="AC131" s="26" t="str">
        <f aca="false">IF(OR($J131="Yes",$L131="Yes",$N131="Yes"),"Yes","No")</f>
        <v>No</v>
      </c>
      <c r="AD131" s="14" t="n">
        <f aca="false">MAX($Q131,$U131,$Y131)</f>
        <v>0</v>
      </c>
      <c r="AE131" s="26" t="n">
        <f aca="false">$AD131+ROW()*0.000000001</f>
        <v>1.31E-007</v>
      </c>
      <c r="AF131" s="26" t="str">
        <f aca="false">IF($J131="Yes","A","")&amp;IF($L131="Yes","B","")&amp;IF($N131="Yes","C","")</f>
        <v/>
      </c>
    </row>
    <row r="132" customFormat="false" ht="15" hidden="false" customHeight="false" outlineLevel="0" collapsed="false">
      <c r="B132" s="22" t="s">
        <v>337</v>
      </c>
      <c r="C132" s="23" t="s">
        <v>54</v>
      </c>
      <c r="D132" s="23" t="s">
        <v>62</v>
      </c>
      <c r="E132" s="23" t="s">
        <v>63</v>
      </c>
      <c r="F132" s="22" t="s">
        <v>57</v>
      </c>
      <c r="G132" s="23" t="s">
        <v>58</v>
      </c>
      <c r="H132" s="24" t="n">
        <v>1</v>
      </c>
      <c r="I132" s="14" t="n">
        <v>0.2431</v>
      </c>
      <c r="J132" s="25" t="s">
        <v>59</v>
      </c>
      <c r="K132" s="25"/>
      <c r="L132" s="25" t="s">
        <v>59</v>
      </c>
      <c r="M132" s="25"/>
      <c r="N132" s="25" t="s">
        <v>59</v>
      </c>
      <c r="O132" s="25"/>
      <c r="P132" s="14" t="n">
        <v>0.2431</v>
      </c>
      <c r="Q132" s="14" t="n">
        <f aca="false">IF(AND($J132="Yes",$G132&lt;&gt;"Vendor day rates"),$I132-0.4*$P132,0)</f>
        <v>0</v>
      </c>
      <c r="R132" s="26" t="n">
        <f aca="false">IFERROR(MATCH($K132,MonthList,0),0)</f>
        <v>0</v>
      </c>
      <c r="S132" s="14" t="n">
        <f aca="false">IF(OR($J132&lt;&gt;"Yes",$K132=""),0,$Q132*MAX(0,7-$R132)/12)</f>
        <v>0</v>
      </c>
      <c r="T132" s="14" t="n">
        <f aca="false">IF(OR($J132&lt;&gt;"Yes",$K132=""),0,$Q132*IF($R132&lt;=7,12,19-$R132)/12)</f>
        <v>0</v>
      </c>
      <c r="U132" s="14" t="n">
        <f aca="false">IF(AND($L132="Yes",$G132&lt;&gt;"Vendor day rates"),$I132-0.4*$P132,0)</f>
        <v>0</v>
      </c>
      <c r="V132" s="26" t="n">
        <f aca="false">IFERROR(MATCH($M132,MonthList,0),0)</f>
        <v>0</v>
      </c>
      <c r="W132" s="14" t="n">
        <f aca="false">IF(OR($L132&lt;&gt;"Yes",$M132=""),0,$U132*MAX(0,7-$V132)/12)</f>
        <v>0</v>
      </c>
      <c r="X132" s="14" t="n">
        <f aca="false">IF(OR($L132&lt;&gt;"Yes",$M132=""),0,$U132*IF($V132&lt;=7,12,19-$V132)/12)</f>
        <v>0</v>
      </c>
      <c r="Y132" s="14" t="n">
        <f aca="false">IF(AND($N132="Yes",$G132&lt;&gt;"Vendor day rates"),$I132-0.4*$P132,0)</f>
        <v>0</v>
      </c>
      <c r="Z132" s="26" t="n">
        <f aca="false">IFERROR(MATCH($O132,MonthList,0),0)</f>
        <v>0</v>
      </c>
      <c r="AA132" s="14" t="n">
        <f aca="false">IF(OR($N132&lt;&gt;"Yes",$O132=""),0,$Y132*MAX(0,7-$Z132)/12)</f>
        <v>0</v>
      </c>
      <c r="AB132" s="14" t="n">
        <f aca="false">IF(OR($N132&lt;&gt;"Yes",$O132=""),0,$Y132*IF($Z132&lt;=7,12,19-$Z132)/12)</f>
        <v>0</v>
      </c>
      <c r="AC132" s="26" t="str">
        <f aca="false">IF(OR($J132="Yes",$L132="Yes",$N132="Yes"),"Yes","No")</f>
        <v>No</v>
      </c>
      <c r="AD132" s="14" t="n">
        <f aca="false">MAX($Q132,$U132,$Y132)</f>
        <v>0</v>
      </c>
      <c r="AE132" s="26" t="n">
        <f aca="false">$AD132+ROW()*0.000000001</f>
        <v>1.32E-007</v>
      </c>
      <c r="AF132" s="26" t="str">
        <f aca="false">IF($J132="Yes","A","")&amp;IF($L132="Yes","B","")&amp;IF($N132="Yes","C","")</f>
        <v/>
      </c>
    </row>
    <row r="133" customFormat="false" ht="15" hidden="false" customHeight="false" outlineLevel="0" collapsed="false">
      <c r="B133" s="22" t="s">
        <v>338</v>
      </c>
      <c r="C133" s="23" t="s">
        <v>339</v>
      </c>
      <c r="D133" s="23" t="s">
        <v>62</v>
      </c>
      <c r="E133" s="23" t="s">
        <v>67</v>
      </c>
      <c r="F133" s="22" t="s">
        <v>57</v>
      </c>
      <c r="G133" s="23" t="s">
        <v>58</v>
      </c>
      <c r="H133" s="24" t="n">
        <v>1</v>
      </c>
      <c r="I133" s="14" t="n">
        <v>0.2353</v>
      </c>
      <c r="J133" s="25" t="s">
        <v>59</v>
      </c>
      <c r="K133" s="25"/>
      <c r="L133" s="25" t="s">
        <v>59</v>
      </c>
      <c r="M133" s="25"/>
      <c r="N133" s="25" t="s">
        <v>59</v>
      </c>
      <c r="O133" s="25"/>
      <c r="P133" s="14" t="n">
        <v>0.2353</v>
      </c>
      <c r="Q133" s="14" t="n">
        <f aca="false">IF(AND($J133="Yes",$G133&lt;&gt;"Vendor day rates"),$I133-0.4*$P133,0)</f>
        <v>0</v>
      </c>
      <c r="R133" s="26" t="n">
        <f aca="false">IFERROR(MATCH($K133,MonthList,0),0)</f>
        <v>0</v>
      </c>
      <c r="S133" s="14" t="n">
        <f aca="false">IF(OR($J133&lt;&gt;"Yes",$K133=""),0,$Q133*MAX(0,7-$R133)/12)</f>
        <v>0</v>
      </c>
      <c r="T133" s="14" t="n">
        <f aca="false">IF(OR($J133&lt;&gt;"Yes",$K133=""),0,$Q133*IF($R133&lt;=7,12,19-$R133)/12)</f>
        <v>0</v>
      </c>
      <c r="U133" s="14" t="n">
        <f aca="false">IF(AND($L133="Yes",$G133&lt;&gt;"Vendor day rates"),$I133-0.4*$P133,0)</f>
        <v>0</v>
      </c>
      <c r="V133" s="26" t="n">
        <f aca="false">IFERROR(MATCH($M133,MonthList,0),0)</f>
        <v>0</v>
      </c>
      <c r="W133" s="14" t="n">
        <f aca="false">IF(OR($L133&lt;&gt;"Yes",$M133=""),0,$U133*MAX(0,7-$V133)/12)</f>
        <v>0</v>
      </c>
      <c r="X133" s="14" t="n">
        <f aca="false">IF(OR($L133&lt;&gt;"Yes",$M133=""),0,$U133*IF($V133&lt;=7,12,19-$V133)/12)</f>
        <v>0</v>
      </c>
      <c r="Y133" s="14" t="n">
        <f aca="false">IF(AND($N133="Yes",$G133&lt;&gt;"Vendor day rates"),$I133-0.4*$P133,0)</f>
        <v>0</v>
      </c>
      <c r="Z133" s="26" t="n">
        <f aca="false">IFERROR(MATCH($O133,MonthList,0),0)</f>
        <v>0</v>
      </c>
      <c r="AA133" s="14" t="n">
        <f aca="false">IF(OR($N133&lt;&gt;"Yes",$O133=""),0,$Y133*MAX(0,7-$Z133)/12)</f>
        <v>0</v>
      </c>
      <c r="AB133" s="14" t="n">
        <f aca="false">IF(OR($N133&lt;&gt;"Yes",$O133=""),0,$Y133*IF($Z133&lt;=7,12,19-$Z133)/12)</f>
        <v>0</v>
      </c>
      <c r="AC133" s="26" t="str">
        <f aca="false">IF(OR($J133="Yes",$L133="Yes",$N133="Yes"),"Yes","No")</f>
        <v>No</v>
      </c>
      <c r="AD133" s="14" t="n">
        <f aca="false">MAX($Q133,$U133,$Y133)</f>
        <v>0</v>
      </c>
      <c r="AE133" s="26" t="n">
        <f aca="false">$AD133+ROW()*0.000000001</f>
        <v>1.33E-007</v>
      </c>
      <c r="AF133" s="26" t="str">
        <f aca="false">IF($J133="Yes","A","")&amp;IF($L133="Yes","B","")&amp;IF($N133="Yes","C","")</f>
        <v/>
      </c>
    </row>
    <row r="134" customFormat="false" ht="15" hidden="false" customHeight="false" outlineLevel="0" collapsed="false">
      <c r="B134" s="22" t="s">
        <v>340</v>
      </c>
      <c r="C134" s="23" t="s">
        <v>341</v>
      </c>
      <c r="D134" s="23" t="s">
        <v>152</v>
      </c>
      <c r="E134" s="23" t="s">
        <v>230</v>
      </c>
      <c r="F134" s="22" t="s">
        <v>112</v>
      </c>
      <c r="G134" s="23" t="s">
        <v>58</v>
      </c>
      <c r="H134" s="24" t="n">
        <v>1</v>
      </c>
      <c r="I134" s="14" t="n">
        <v>0.1811</v>
      </c>
      <c r="J134" s="25" t="s">
        <v>59</v>
      </c>
      <c r="K134" s="25"/>
      <c r="L134" s="25" t="s">
        <v>59</v>
      </c>
      <c r="M134" s="25"/>
      <c r="N134" s="25" t="s">
        <v>59</v>
      </c>
      <c r="O134" s="25"/>
      <c r="P134" s="14" t="n">
        <v>0.1811</v>
      </c>
      <c r="Q134" s="14" t="n">
        <f aca="false">IF(AND($J134="Yes",$G134&lt;&gt;"Vendor day rates"),$I134-0.4*$P134,0)</f>
        <v>0</v>
      </c>
      <c r="R134" s="26" t="n">
        <f aca="false">IFERROR(MATCH($K134,MonthList,0),0)</f>
        <v>0</v>
      </c>
      <c r="S134" s="14" t="n">
        <f aca="false">IF(OR($J134&lt;&gt;"Yes",$K134=""),0,$Q134*MAX(0,7-$R134)/12)</f>
        <v>0</v>
      </c>
      <c r="T134" s="14" t="n">
        <f aca="false">IF(OR($J134&lt;&gt;"Yes",$K134=""),0,$Q134*IF($R134&lt;=7,12,19-$R134)/12)</f>
        <v>0</v>
      </c>
      <c r="U134" s="14" t="n">
        <f aca="false">IF(AND($L134="Yes",$G134&lt;&gt;"Vendor day rates"),$I134-0.4*$P134,0)</f>
        <v>0</v>
      </c>
      <c r="V134" s="26" t="n">
        <f aca="false">IFERROR(MATCH($M134,MonthList,0),0)</f>
        <v>0</v>
      </c>
      <c r="W134" s="14" t="n">
        <f aca="false">IF(OR($L134&lt;&gt;"Yes",$M134=""),0,$U134*MAX(0,7-$V134)/12)</f>
        <v>0</v>
      </c>
      <c r="X134" s="14" t="n">
        <f aca="false">IF(OR($L134&lt;&gt;"Yes",$M134=""),0,$U134*IF($V134&lt;=7,12,19-$V134)/12)</f>
        <v>0</v>
      </c>
      <c r="Y134" s="14" t="n">
        <f aca="false">IF(AND($N134="Yes",$G134&lt;&gt;"Vendor day rates"),$I134-0.4*$P134,0)</f>
        <v>0</v>
      </c>
      <c r="Z134" s="26" t="n">
        <f aca="false">IFERROR(MATCH($O134,MonthList,0),0)</f>
        <v>0</v>
      </c>
      <c r="AA134" s="14" t="n">
        <f aca="false">IF(OR($N134&lt;&gt;"Yes",$O134=""),0,$Y134*MAX(0,7-$Z134)/12)</f>
        <v>0</v>
      </c>
      <c r="AB134" s="14" t="n">
        <f aca="false">IF(OR($N134&lt;&gt;"Yes",$O134=""),0,$Y134*IF($Z134&lt;=7,12,19-$Z134)/12)</f>
        <v>0</v>
      </c>
      <c r="AC134" s="26" t="str">
        <f aca="false">IF(OR($J134="Yes",$L134="Yes",$N134="Yes"),"Yes","No")</f>
        <v>No</v>
      </c>
      <c r="AD134" s="14" t="n">
        <f aca="false">MAX($Q134,$U134,$Y134)</f>
        <v>0</v>
      </c>
      <c r="AE134" s="26" t="n">
        <f aca="false">$AD134+ROW()*0.000000001</f>
        <v>1.34E-007</v>
      </c>
      <c r="AF134" s="26" t="str">
        <f aca="false">IF($J134="Yes","A","")&amp;IF($L134="Yes","B","")&amp;IF($N134="Yes","C","")</f>
        <v/>
      </c>
    </row>
    <row r="135" customFormat="false" ht="15" hidden="false" customHeight="false" outlineLevel="0" collapsed="false">
      <c r="B135" s="22" t="s">
        <v>342</v>
      </c>
      <c r="C135" s="23" t="s">
        <v>341</v>
      </c>
      <c r="D135" s="23" t="s">
        <v>62</v>
      </c>
      <c r="E135" s="23" t="s">
        <v>67</v>
      </c>
      <c r="F135" s="22" t="s">
        <v>57</v>
      </c>
      <c r="G135" s="23" t="s">
        <v>58</v>
      </c>
      <c r="H135" s="24" t="n">
        <v>1</v>
      </c>
      <c r="I135" s="14" t="n">
        <v>0.2403</v>
      </c>
      <c r="J135" s="25" t="s">
        <v>59</v>
      </c>
      <c r="K135" s="25"/>
      <c r="L135" s="25" t="s">
        <v>59</v>
      </c>
      <c r="M135" s="25"/>
      <c r="N135" s="25" t="s">
        <v>59</v>
      </c>
      <c r="O135" s="25"/>
      <c r="P135" s="14" t="n">
        <v>0.2403</v>
      </c>
      <c r="Q135" s="14" t="n">
        <f aca="false">IF(AND($J135="Yes",$G135&lt;&gt;"Vendor day rates"),$I135-0.4*$P135,0)</f>
        <v>0</v>
      </c>
      <c r="R135" s="26" t="n">
        <f aca="false">IFERROR(MATCH($K135,MonthList,0),0)</f>
        <v>0</v>
      </c>
      <c r="S135" s="14" t="n">
        <f aca="false">IF(OR($J135&lt;&gt;"Yes",$K135=""),0,$Q135*MAX(0,7-$R135)/12)</f>
        <v>0</v>
      </c>
      <c r="T135" s="14" t="n">
        <f aca="false">IF(OR($J135&lt;&gt;"Yes",$K135=""),0,$Q135*IF($R135&lt;=7,12,19-$R135)/12)</f>
        <v>0</v>
      </c>
      <c r="U135" s="14" t="n">
        <f aca="false">IF(AND($L135="Yes",$G135&lt;&gt;"Vendor day rates"),$I135-0.4*$P135,0)</f>
        <v>0</v>
      </c>
      <c r="V135" s="26" t="n">
        <f aca="false">IFERROR(MATCH($M135,MonthList,0),0)</f>
        <v>0</v>
      </c>
      <c r="W135" s="14" t="n">
        <f aca="false">IF(OR($L135&lt;&gt;"Yes",$M135=""),0,$U135*MAX(0,7-$V135)/12)</f>
        <v>0</v>
      </c>
      <c r="X135" s="14" t="n">
        <f aca="false">IF(OR($L135&lt;&gt;"Yes",$M135=""),0,$U135*IF($V135&lt;=7,12,19-$V135)/12)</f>
        <v>0</v>
      </c>
      <c r="Y135" s="14" t="n">
        <f aca="false">IF(AND($N135="Yes",$G135&lt;&gt;"Vendor day rates"),$I135-0.4*$P135,0)</f>
        <v>0</v>
      </c>
      <c r="Z135" s="26" t="n">
        <f aca="false">IFERROR(MATCH($O135,MonthList,0),0)</f>
        <v>0</v>
      </c>
      <c r="AA135" s="14" t="n">
        <f aca="false">IF(OR($N135&lt;&gt;"Yes",$O135=""),0,$Y135*MAX(0,7-$Z135)/12)</f>
        <v>0</v>
      </c>
      <c r="AB135" s="14" t="n">
        <f aca="false">IF(OR($N135&lt;&gt;"Yes",$O135=""),0,$Y135*IF($Z135&lt;=7,12,19-$Z135)/12)</f>
        <v>0</v>
      </c>
      <c r="AC135" s="26" t="str">
        <f aca="false">IF(OR($J135="Yes",$L135="Yes",$N135="Yes"),"Yes","No")</f>
        <v>No</v>
      </c>
      <c r="AD135" s="14" t="n">
        <f aca="false">MAX($Q135,$U135,$Y135)</f>
        <v>0</v>
      </c>
      <c r="AE135" s="26" t="n">
        <f aca="false">$AD135+ROW()*0.000000001</f>
        <v>1.35E-007</v>
      </c>
      <c r="AF135" s="26" t="str">
        <f aca="false">IF($J135="Yes","A","")&amp;IF($L135="Yes","B","")&amp;IF($N135="Yes","C","")</f>
        <v/>
      </c>
    </row>
    <row r="136" customFormat="false" ht="15" hidden="false" customHeight="false" outlineLevel="0" collapsed="false">
      <c r="B136" s="22" t="s">
        <v>343</v>
      </c>
      <c r="C136" s="23" t="s">
        <v>341</v>
      </c>
      <c r="D136" s="23" t="s">
        <v>152</v>
      </c>
      <c r="E136" s="23" t="s">
        <v>230</v>
      </c>
      <c r="F136" s="22" t="s">
        <v>112</v>
      </c>
      <c r="G136" s="23" t="s">
        <v>58</v>
      </c>
      <c r="H136" s="24" t="n">
        <v>1</v>
      </c>
      <c r="I136" s="14" t="n">
        <v>0.1636</v>
      </c>
      <c r="J136" s="25" t="s">
        <v>59</v>
      </c>
      <c r="K136" s="25"/>
      <c r="L136" s="25" t="s">
        <v>59</v>
      </c>
      <c r="M136" s="25"/>
      <c r="N136" s="25" t="s">
        <v>59</v>
      </c>
      <c r="O136" s="25"/>
      <c r="P136" s="14" t="n">
        <v>0.1636</v>
      </c>
      <c r="Q136" s="14" t="n">
        <f aca="false">IF(AND($J136="Yes",$G136&lt;&gt;"Vendor day rates"),$I136-0.4*$P136,0)</f>
        <v>0</v>
      </c>
      <c r="R136" s="26" t="n">
        <f aca="false">IFERROR(MATCH($K136,MonthList,0),0)</f>
        <v>0</v>
      </c>
      <c r="S136" s="14" t="n">
        <f aca="false">IF(OR($J136&lt;&gt;"Yes",$K136=""),0,$Q136*MAX(0,7-$R136)/12)</f>
        <v>0</v>
      </c>
      <c r="T136" s="14" t="n">
        <f aca="false">IF(OR($J136&lt;&gt;"Yes",$K136=""),0,$Q136*IF($R136&lt;=7,12,19-$R136)/12)</f>
        <v>0</v>
      </c>
      <c r="U136" s="14" t="n">
        <f aca="false">IF(AND($L136="Yes",$G136&lt;&gt;"Vendor day rates"),$I136-0.4*$P136,0)</f>
        <v>0</v>
      </c>
      <c r="V136" s="26" t="n">
        <f aca="false">IFERROR(MATCH($M136,MonthList,0),0)</f>
        <v>0</v>
      </c>
      <c r="W136" s="14" t="n">
        <f aca="false">IF(OR($L136&lt;&gt;"Yes",$M136=""),0,$U136*MAX(0,7-$V136)/12)</f>
        <v>0</v>
      </c>
      <c r="X136" s="14" t="n">
        <f aca="false">IF(OR($L136&lt;&gt;"Yes",$M136=""),0,$U136*IF($V136&lt;=7,12,19-$V136)/12)</f>
        <v>0</v>
      </c>
      <c r="Y136" s="14" t="n">
        <f aca="false">IF(AND($N136="Yes",$G136&lt;&gt;"Vendor day rates"),$I136-0.4*$P136,0)</f>
        <v>0</v>
      </c>
      <c r="Z136" s="26" t="n">
        <f aca="false">IFERROR(MATCH($O136,MonthList,0),0)</f>
        <v>0</v>
      </c>
      <c r="AA136" s="14" t="n">
        <f aca="false">IF(OR($N136&lt;&gt;"Yes",$O136=""),0,$Y136*MAX(0,7-$Z136)/12)</f>
        <v>0</v>
      </c>
      <c r="AB136" s="14" t="n">
        <f aca="false">IF(OR($N136&lt;&gt;"Yes",$O136=""),0,$Y136*IF($Z136&lt;=7,12,19-$Z136)/12)</f>
        <v>0</v>
      </c>
      <c r="AC136" s="26" t="str">
        <f aca="false">IF(OR($J136="Yes",$L136="Yes",$N136="Yes"),"Yes","No")</f>
        <v>No</v>
      </c>
      <c r="AD136" s="14" t="n">
        <f aca="false">MAX($Q136,$U136,$Y136)</f>
        <v>0</v>
      </c>
      <c r="AE136" s="26" t="n">
        <f aca="false">$AD136+ROW()*0.000000001</f>
        <v>1.36E-007</v>
      </c>
      <c r="AF136" s="26" t="str">
        <f aca="false">IF($J136="Yes","A","")&amp;IF($L136="Yes","B","")&amp;IF($N136="Yes","C","")</f>
        <v/>
      </c>
    </row>
    <row r="137" customFormat="false" ht="15" hidden="false" customHeight="false" outlineLevel="0" collapsed="false">
      <c r="B137" s="22" t="s">
        <v>344</v>
      </c>
      <c r="C137" s="23" t="s">
        <v>345</v>
      </c>
      <c r="D137" s="23" t="s">
        <v>152</v>
      </c>
      <c r="E137" s="23" t="s">
        <v>95</v>
      </c>
      <c r="F137" s="22" t="s">
        <v>112</v>
      </c>
      <c r="G137" s="23" t="s">
        <v>58</v>
      </c>
      <c r="H137" s="24" t="n">
        <v>0.8</v>
      </c>
      <c r="I137" s="14" t="n">
        <v>0.1553</v>
      </c>
      <c r="J137" s="25" t="s">
        <v>59</v>
      </c>
      <c r="K137" s="25"/>
      <c r="L137" s="25" t="s">
        <v>59</v>
      </c>
      <c r="M137" s="25"/>
      <c r="N137" s="25" t="s">
        <v>59</v>
      </c>
      <c r="O137" s="25"/>
      <c r="P137" s="14" t="n">
        <v>0.1553</v>
      </c>
      <c r="Q137" s="14" t="n">
        <f aca="false">IF(AND($J137="Yes",$G137&lt;&gt;"Vendor day rates"),$I137-0.4*$P137,0)</f>
        <v>0</v>
      </c>
      <c r="R137" s="26" t="n">
        <f aca="false">IFERROR(MATCH($K137,MonthList,0),0)</f>
        <v>0</v>
      </c>
      <c r="S137" s="14" t="n">
        <f aca="false">IF(OR($J137&lt;&gt;"Yes",$K137=""),0,$Q137*MAX(0,7-$R137)/12)</f>
        <v>0</v>
      </c>
      <c r="T137" s="14" t="n">
        <f aca="false">IF(OR($J137&lt;&gt;"Yes",$K137=""),0,$Q137*IF($R137&lt;=7,12,19-$R137)/12)</f>
        <v>0</v>
      </c>
      <c r="U137" s="14" t="n">
        <f aca="false">IF(AND($L137="Yes",$G137&lt;&gt;"Vendor day rates"),$I137-0.4*$P137,0)</f>
        <v>0</v>
      </c>
      <c r="V137" s="26" t="n">
        <f aca="false">IFERROR(MATCH($M137,MonthList,0),0)</f>
        <v>0</v>
      </c>
      <c r="W137" s="14" t="n">
        <f aca="false">IF(OR($L137&lt;&gt;"Yes",$M137=""),0,$U137*MAX(0,7-$V137)/12)</f>
        <v>0</v>
      </c>
      <c r="X137" s="14" t="n">
        <f aca="false">IF(OR($L137&lt;&gt;"Yes",$M137=""),0,$U137*IF($V137&lt;=7,12,19-$V137)/12)</f>
        <v>0</v>
      </c>
      <c r="Y137" s="14" t="n">
        <f aca="false">IF(AND($N137="Yes",$G137&lt;&gt;"Vendor day rates"),$I137-0.4*$P137,0)</f>
        <v>0</v>
      </c>
      <c r="Z137" s="26" t="n">
        <f aca="false">IFERROR(MATCH($O137,MonthList,0),0)</f>
        <v>0</v>
      </c>
      <c r="AA137" s="14" t="n">
        <f aca="false">IF(OR($N137&lt;&gt;"Yes",$O137=""),0,$Y137*MAX(0,7-$Z137)/12)</f>
        <v>0</v>
      </c>
      <c r="AB137" s="14" t="n">
        <f aca="false">IF(OR($N137&lt;&gt;"Yes",$O137=""),0,$Y137*IF($Z137&lt;=7,12,19-$Z137)/12)</f>
        <v>0</v>
      </c>
      <c r="AC137" s="26" t="str">
        <f aca="false">IF(OR($J137="Yes",$L137="Yes",$N137="Yes"),"Yes","No")</f>
        <v>No</v>
      </c>
      <c r="AD137" s="14" t="n">
        <f aca="false">MAX($Q137,$U137,$Y137)</f>
        <v>0</v>
      </c>
      <c r="AE137" s="26" t="n">
        <f aca="false">$AD137+ROW()*0.000000001</f>
        <v>1.37E-007</v>
      </c>
      <c r="AF137" s="26" t="str">
        <f aca="false">IF($J137="Yes","A","")&amp;IF($L137="Yes","B","")&amp;IF($N137="Yes","C","")</f>
        <v/>
      </c>
    </row>
    <row r="138" customFormat="false" ht="15" hidden="false" customHeight="false" outlineLevel="0" collapsed="false">
      <c r="B138" s="22" t="s">
        <v>346</v>
      </c>
      <c r="C138" s="23" t="s">
        <v>54</v>
      </c>
      <c r="D138" s="23" t="s">
        <v>152</v>
      </c>
      <c r="E138" s="23" t="s">
        <v>347</v>
      </c>
      <c r="F138" s="22" t="s">
        <v>112</v>
      </c>
      <c r="G138" s="23" t="s">
        <v>58</v>
      </c>
      <c r="H138" s="24" t="n">
        <v>1</v>
      </c>
      <c r="I138" s="14" t="n">
        <v>0.1972</v>
      </c>
      <c r="J138" s="25" t="s">
        <v>59</v>
      </c>
      <c r="K138" s="25"/>
      <c r="L138" s="25" t="s">
        <v>59</v>
      </c>
      <c r="M138" s="25"/>
      <c r="N138" s="25" t="s">
        <v>59</v>
      </c>
      <c r="O138" s="25"/>
      <c r="P138" s="14" t="n">
        <v>0.1972</v>
      </c>
      <c r="Q138" s="14" t="n">
        <f aca="false">IF(AND($J138="Yes",$G138&lt;&gt;"Vendor day rates"),$I138-0.4*$P138,0)</f>
        <v>0</v>
      </c>
      <c r="R138" s="26" t="n">
        <f aca="false">IFERROR(MATCH($K138,MonthList,0),0)</f>
        <v>0</v>
      </c>
      <c r="S138" s="14" t="n">
        <f aca="false">IF(OR($J138&lt;&gt;"Yes",$K138=""),0,$Q138*MAX(0,7-$R138)/12)</f>
        <v>0</v>
      </c>
      <c r="T138" s="14" t="n">
        <f aca="false">IF(OR($J138&lt;&gt;"Yes",$K138=""),0,$Q138*IF($R138&lt;=7,12,19-$R138)/12)</f>
        <v>0</v>
      </c>
      <c r="U138" s="14" t="n">
        <f aca="false">IF(AND($L138="Yes",$G138&lt;&gt;"Vendor day rates"),$I138-0.4*$P138,0)</f>
        <v>0</v>
      </c>
      <c r="V138" s="26" t="n">
        <f aca="false">IFERROR(MATCH($M138,MonthList,0),0)</f>
        <v>0</v>
      </c>
      <c r="W138" s="14" t="n">
        <f aca="false">IF(OR($L138&lt;&gt;"Yes",$M138=""),0,$U138*MAX(0,7-$V138)/12)</f>
        <v>0</v>
      </c>
      <c r="X138" s="14" t="n">
        <f aca="false">IF(OR($L138&lt;&gt;"Yes",$M138=""),0,$U138*IF($V138&lt;=7,12,19-$V138)/12)</f>
        <v>0</v>
      </c>
      <c r="Y138" s="14" t="n">
        <f aca="false">IF(AND($N138="Yes",$G138&lt;&gt;"Vendor day rates"),$I138-0.4*$P138,0)</f>
        <v>0</v>
      </c>
      <c r="Z138" s="26" t="n">
        <f aca="false">IFERROR(MATCH($O138,MonthList,0),0)</f>
        <v>0</v>
      </c>
      <c r="AA138" s="14" t="n">
        <f aca="false">IF(OR($N138&lt;&gt;"Yes",$O138=""),0,$Y138*MAX(0,7-$Z138)/12)</f>
        <v>0</v>
      </c>
      <c r="AB138" s="14" t="n">
        <f aca="false">IF(OR($N138&lt;&gt;"Yes",$O138=""),0,$Y138*IF($Z138&lt;=7,12,19-$Z138)/12)</f>
        <v>0</v>
      </c>
      <c r="AC138" s="26" t="str">
        <f aca="false">IF(OR($J138="Yes",$L138="Yes",$N138="Yes"),"Yes","No")</f>
        <v>No</v>
      </c>
      <c r="AD138" s="14" t="n">
        <f aca="false">MAX($Q138,$U138,$Y138)</f>
        <v>0</v>
      </c>
      <c r="AE138" s="26" t="n">
        <f aca="false">$AD138+ROW()*0.000000001</f>
        <v>1.38E-007</v>
      </c>
      <c r="AF138" s="26" t="str">
        <f aca="false">IF($J138="Yes","A","")&amp;IF($L138="Yes","B","")&amp;IF($N138="Yes","C","")</f>
        <v/>
      </c>
    </row>
    <row r="139" customFormat="false" ht="15" hidden="false" customHeight="false" outlineLevel="0" collapsed="false">
      <c r="B139" s="22" t="s">
        <v>348</v>
      </c>
      <c r="C139" s="23" t="s">
        <v>349</v>
      </c>
      <c r="D139" s="23" t="s">
        <v>152</v>
      </c>
      <c r="E139" s="23" t="s">
        <v>347</v>
      </c>
      <c r="F139" s="22" t="s">
        <v>112</v>
      </c>
      <c r="G139" s="23" t="s">
        <v>58</v>
      </c>
      <c r="H139" s="24" t="n">
        <v>1</v>
      </c>
      <c r="I139" s="14" t="n">
        <v>0.1747</v>
      </c>
      <c r="J139" s="25" t="s">
        <v>59</v>
      </c>
      <c r="K139" s="25"/>
      <c r="L139" s="25" t="s">
        <v>59</v>
      </c>
      <c r="M139" s="25"/>
      <c r="N139" s="25" t="s">
        <v>59</v>
      </c>
      <c r="O139" s="25"/>
      <c r="P139" s="14" t="n">
        <v>0.1747</v>
      </c>
      <c r="Q139" s="14" t="n">
        <f aca="false">IF(AND($J139="Yes",$G139&lt;&gt;"Vendor day rates"),$I139-0.4*$P139,0)</f>
        <v>0</v>
      </c>
      <c r="R139" s="26" t="n">
        <f aca="false">IFERROR(MATCH($K139,MonthList,0),0)</f>
        <v>0</v>
      </c>
      <c r="S139" s="14" t="n">
        <f aca="false">IF(OR($J139&lt;&gt;"Yes",$K139=""),0,$Q139*MAX(0,7-$R139)/12)</f>
        <v>0</v>
      </c>
      <c r="T139" s="14" t="n">
        <f aca="false">IF(OR($J139&lt;&gt;"Yes",$K139=""),0,$Q139*IF($R139&lt;=7,12,19-$R139)/12)</f>
        <v>0</v>
      </c>
      <c r="U139" s="14" t="n">
        <f aca="false">IF(AND($L139="Yes",$G139&lt;&gt;"Vendor day rates"),$I139-0.4*$P139,0)</f>
        <v>0</v>
      </c>
      <c r="V139" s="26" t="n">
        <f aca="false">IFERROR(MATCH($M139,MonthList,0),0)</f>
        <v>0</v>
      </c>
      <c r="W139" s="14" t="n">
        <f aca="false">IF(OR($L139&lt;&gt;"Yes",$M139=""),0,$U139*MAX(0,7-$V139)/12)</f>
        <v>0</v>
      </c>
      <c r="X139" s="14" t="n">
        <f aca="false">IF(OR($L139&lt;&gt;"Yes",$M139=""),0,$U139*IF($V139&lt;=7,12,19-$V139)/12)</f>
        <v>0</v>
      </c>
      <c r="Y139" s="14" t="n">
        <f aca="false">IF(AND($N139="Yes",$G139&lt;&gt;"Vendor day rates"),$I139-0.4*$P139,0)</f>
        <v>0</v>
      </c>
      <c r="Z139" s="26" t="n">
        <f aca="false">IFERROR(MATCH($O139,MonthList,0),0)</f>
        <v>0</v>
      </c>
      <c r="AA139" s="14" t="n">
        <f aca="false">IF(OR($N139&lt;&gt;"Yes",$O139=""),0,$Y139*MAX(0,7-$Z139)/12)</f>
        <v>0</v>
      </c>
      <c r="AB139" s="14" t="n">
        <f aca="false">IF(OR($N139&lt;&gt;"Yes",$O139=""),0,$Y139*IF($Z139&lt;=7,12,19-$Z139)/12)</f>
        <v>0</v>
      </c>
      <c r="AC139" s="26" t="str">
        <f aca="false">IF(OR($J139="Yes",$L139="Yes",$N139="Yes"),"Yes","No")</f>
        <v>No</v>
      </c>
      <c r="AD139" s="14" t="n">
        <f aca="false">MAX($Q139,$U139,$Y139)</f>
        <v>0</v>
      </c>
      <c r="AE139" s="26" t="n">
        <f aca="false">$AD139+ROW()*0.000000001</f>
        <v>1.39E-007</v>
      </c>
      <c r="AF139" s="26" t="str">
        <f aca="false">IF($J139="Yes","A","")&amp;IF($L139="Yes","B","")&amp;IF($N139="Yes","C","")</f>
        <v/>
      </c>
    </row>
    <row r="140" customFormat="false" ht="15" hidden="false" customHeight="false" outlineLevel="0" collapsed="false">
      <c r="B140" s="22" t="s">
        <v>350</v>
      </c>
      <c r="C140" s="23" t="s">
        <v>351</v>
      </c>
      <c r="D140" s="23" t="s">
        <v>152</v>
      </c>
      <c r="E140" s="23" t="s">
        <v>347</v>
      </c>
      <c r="F140" s="22" t="s">
        <v>112</v>
      </c>
      <c r="G140" s="23" t="s">
        <v>58</v>
      </c>
      <c r="H140" s="24" t="n">
        <v>0.8</v>
      </c>
      <c r="I140" s="14" t="n">
        <v>0.1248</v>
      </c>
      <c r="J140" s="25" t="s">
        <v>59</v>
      </c>
      <c r="K140" s="25"/>
      <c r="L140" s="25" t="s">
        <v>59</v>
      </c>
      <c r="M140" s="25"/>
      <c r="N140" s="25" t="s">
        <v>59</v>
      </c>
      <c r="O140" s="25"/>
      <c r="P140" s="14" t="n">
        <v>0.1248</v>
      </c>
      <c r="Q140" s="14" t="n">
        <f aca="false">IF(AND($J140="Yes",$G140&lt;&gt;"Vendor day rates"),$I140-0.4*$P140,0)</f>
        <v>0</v>
      </c>
      <c r="R140" s="26" t="n">
        <f aca="false">IFERROR(MATCH($K140,MonthList,0),0)</f>
        <v>0</v>
      </c>
      <c r="S140" s="14" t="n">
        <f aca="false">IF(OR($J140&lt;&gt;"Yes",$K140=""),0,$Q140*MAX(0,7-$R140)/12)</f>
        <v>0</v>
      </c>
      <c r="T140" s="14" t="n">
        <f aca="false">IF(OR($J140&lt;&gt;"Yes",$K140=""),0,$Q140*IF($R140&lt;=7,12,19-$R140)/12)</f>
        <v>0</v>
      </c>
      <c r="U140" s="14" t="n">
        <f aca="false">IF(AND($L140="Yes",$G140&lt;&gt;"Vendor day rates"),$I140-0.4*$P140,0)</f>
        <v>0</v>
      </c>
      <c r="V140" s="26" t="n">
        <f aca="false">IFERROR(MATCH($M140,MonthList,0),0)</f>
        <v>0</v>
      </c>
      <c r="W140" s="14" t="n">
        <f aca="false">IF(OR($L140&lt;&gt;"Yes",$M140=""),0,$U140*MAX(0,7-$V140)/12)</f>
        <v>0</v>
      </c>
      <c r="X140" s="14" t="n">
        <f aca="false">IF(OR($L140&lt;&gt;"Yes",$M140=""),0,$U140*IF($V140&lt;=7,12,19-$V140)/12)</f>
        <v>0</v>
      </c>
      <c r="Y140" s="14" t="n">
        <f aca="false">IF(AND($N140="Yes",$G140&lt;&gt;"Vendor day rates"),$I140-0.4*$P140,0)</f>
        <v>0</v>
      </c>
      <c r="Z140" s="26" t="n">
        <f aca="false">IFERROR(MATCH($O140,MonthList,0),0)</f>
        <v>0</v>
      </c>
      <c r="AA140" s="14" t="n">
        <f aca="false">IF(OR($N140&lt;&gt;"Yes",$O140=""),0,$Y140*MAX(0,7-$Z140)/12)</f>
        <v>0</v>
      </c>
      <c r="AB140" s="14" t="n">
        <f aca="false">IF(OR($N140&lt;&gt;"Yes",$O140=""),0,$Y140*IF($Z140&lt;=7,12,19-$Z140)/12)</f>
        <v>0</v>
      </c>
      <c r="AC140" s="26" t="str">
        <f aca="false">IF(OR($J140="Yes",$L140="Yes",$N140="Yes"),"Yes","No")</f>
        <v>No</v>
      </c>
      <c r="AD140" s="14" t="n">
        <f aca="false">MAX($Q140,$U140,$Y140)</f>
        <v>0</v>
      </c>
      <c r="AE140" s="26" t="n">
        <f aca="false">$AD140+ROW()*0.000000001</f>
        <v>1.4E-007</v>
      </c>
      <c r="AF140" s="26" t="str">
        <f aca="false">IF($J140="Yes","A","")&amp;IF($L140="Yes","B","")&amp;IF($N140="Yes","C","")</f>
        <v/>
      </c>
    </row>
    <row r="141" customFormat="false" ht="15" hidden="false" customHeight="false" outlineLevel="0" collapsed="false">
      <c r="B141" s="22" t="s">
        <v>352</v>
      </c>
      <c r="C141" s="23" t="s">
        <v>349</v>
      </c>
      <c r="D141" s="23" t="s">
        <v>152</v>
      </c>
      <c r="E141" s="23" t="s">
        <v>347</v>
      </c>
      <c r="F141" s="22" t="s">
        <v>112</v>
      </c>
      <c r="G141" s="23" t="s">
        <v>58</v>
      </c>
      <c r="H141" s="24" t="n">
        <v>1</v>
      </c>
      <c r="I141" s="14" t="n">
        <v>0.1963</v>
      </c>
      <c r="J141" s="25" t="s">
        <v>59</v>
      </c>
      <c r="K141" s="25"/>
      <c r="L141" s="25" t="s">
        <v>59</v>
      </c>
      <c r="M141" s="25"/>
      <c r="N141" s="25" t="s">
        <v>59</v>
      </c>
      <c r="O141" s="25"/>
      <c r="P141" s="14" t="n">
        <v>0.1963</v>
      </c>
      <c r="Q141" s="14" t="n">
        <f aca="false">IF(AND($J141="Yes",$G141&lt;&gt;"Vendor day rates"),$I141-0.4*$P141,0)</f>
        <v>0</v>
      </c>
      <c r="R141" s="26" t="n">
        <f aca="false">IFERROR(MATCH($K141,MonthList,0),0)</f>
        <v>0</v>
      </c>
      <c r="S141" s="14" t="n">
        <f aca="false">IF(OR($J141&lt;&gt;"Yes",$K141=""),0,$Q141*MAX(0,7-$R141)/12)</f>
        <v>0</v>
      </c>
      <c r="T141" s="14" t="n">
        <f aca="false">IF(OR($J141&lt;&gt;"Yes",$K141=""),0,$Q141*IF($R141&lt;=7,12,19-$R141)/12)</f>
        <v>0</v>
      </c>
      <c r="U141" s="14" t="n">
        <f aca="false">IF(AND($L141="Yes",$G141&lt;&gt;"Vendor day rates"),$I141-0.4*$P141,0)</f>
        <v>0</v>
      </c>
      <c r="V141" s="26" t="n">
        <f aca="false">IFERROR(MATCH($M141,MonthList,0),0)</f>
        <v>0</v>
      </c>
      <c r="W141" s="14" t="n">
        <f aca="false">IF(OR($L141&lt;&gt;"Yes",$M141=""),0,$U141*MAX(0,7-$V141)/12)</f>
        <v>0</v>
      </c>
      <c r="X141" s="14" t="n">
        <f aca="false">IF(OR($L141&lt;&gt;"Yes",$M141=""),0,$U141*IF($V141&lt;=7,12,19-$V141)/12)</f>
        <v>0</v>
      </c>
      <c r="Y141" s="14" t="n">
        <f aca="false">IF(AND($N141="Yes",$G141&lt;&gt;"Vendor day rates"),$I141-0.4*$P141,0)</f>
        <v>0</v>
      </c>
      <c r="Z141" s="26" t="n">
        <f aca="false">IFERROR(MATCH($O141,MonthList,0),0)</f>
        <v>0</v>
      </c>
      <c r="AA141" s="14" t="n">
        <f aca="false">IF(OR($N141&lt;&gt;"Yes",$O141=""),0,$Y141*MAX(0,7-$Z141)/12)</f>
        <v>0</v>
      </c>
      <c r="AB141" s="14" t="n">
        <f aca="false">IF(OR($N141&lt;&gt;"Yes",$O141=""),0,$Y141*IF($Z141&lt;=7,12,19-$Z141)/12)</f>
        <v>0</v>
      </c>
      <c r="AC141" s="26" t="str">
        <f aca="false">IF(OR($J141="Yes",$L141="Yes",$N141="Yes"),"Yes","No")</f>
        <v>No</v>
      </c>
      <c r="AD141" s="14" t="n">
        <f aca="false">MAX($Q141,$U141,$Y141)</f>
        <v>0</v>
      </c>
      <c r="AE141" s="26" t="n">
        <f aca="false">$AD141+ROW()*0.000000001</f>
        <v>1.41E-007</v>
      </c>
      <c r="AF141" s="26" t="str">
        <f aca="false">IF($J141="Yes","A","")&amp;IF($L141="Yes","B","")&amp;IF($N141="Yes","C","")</f>
        <v/>
      </c>
    </row>
    <row r="142" customFormat="false" ht="15" hidden="false" customHeight="false" outlineLevel="0" collapsed="false">
      <c r="B142" s="22" t="s">
        <v>353</v>
      </c>
      <c r="C142" s="23" t="s">
        <v>116</v>
      </c>
      <c r="D142" s="23" t="s">
        <v>152</v>
      </c>
      <c r="E142" s="23" t="s">
        <v>347</v>
      </c>
      <c r="F142" s="22" t="s">
        <v>57</v>
      </c>
      <c r="G142" s="23" t="s">
        <v>149</v>
      </c>
      <c r="H142" s="24" t="n">
        <v>1</v>
      </c>
      <c r="I142" s="14" t="n">
        <v>0.2353</v>
      </c>
      <c r="J142" s="25" t="s">
        <v>59</v>
      </c>
      <c r="K142" s="25"/>
      <c r="L142" s="25" t="s">
        <v>59</v>
      </c>
      <c r="M142" s="25"/>
      <c r="N142" s="25" t="s">
        <v>59</v>
      </c>
      <c r="O142" s="25"/>
      <c r="P142" s="14" t="n">
        <v>0.2353</v>
      </c>
      <c r="Q142" s="14" t="n">
        <f aca="false">IF(AND($J142="Yes",$G142&lt;&gt;"Vendor day rates"),$I142-0.4*$P142,0)</f>
        <v>0</v>
      </c>
      <c r="R142" s="26" t="n">
        <f aca="false">IFERROR(MATCH($K142,MonthList,0),0)</f>
        <v>0</v>
      </c>
      <c r="S142" s="14" t="n">
        <f aca="false">IF(OR($J142&lt;&gt;"Yes",$K142=""),0,$Q142*MAX(0,7-$R142)/12)</f>
        <v>0</v>
      </c>
      <c r="T142" s="14" t="n">
        <f aca="false">IF(OR($J142&lt;&gt;"Yes",$K142=""),0,$Q142*IF($R142&lt;=7,12,19-$R142)/12)</f>
        <v>0</v>
      </c>
      <c r="U142" s="14" t="n">
        <f aca="false">IF(AND($L142="Yes",$G142&lt;&gt;"Vendor day rates"),$I142-0.4*$P142,0)</f>
        <v>0</v>
      </c>
      <c r="V142" s="26" t="n">
        <f aca="false">IFERROR(MATCH($M142,MonthList,0),0)</f>
        <v>0</v>
      </c>
      <c r="W142" s="14" t="n">
        <f aca="false">IF(OR($L142&lt;&gt;"Yes",$M142=""),0,$U142*MAX(0,7-$V142)/12)</f>
        <v>0</v>
      </c>
      <c r="X142" s="14" t="n">
        <f aca="false">IF(OR($L142&lt;&gt;"Yes",$M142=""),0,$U142*IF($V142&lt;=7,12,19-$V142)/12)</f>
        <v>0</v>
      </c>
      <c r="Y142" s="14" t="n">
        <f aca="false">IF(AND($N142="Yes",$G142&lt;&gt;"Vendor day rates"),$I142-0.4*$P142,0)</f>
        <v>0</v>
      </c>
      <c r="Z142" s="26" t="n">
        <f aca="false">IFERROR(MATCH($O142,MonthList,0),0)</f>
        <v>0</v>
      </c>
      <c r="AA142" s="14" t="n">
        <f aca="false">IF(OR($N142&lt;&gt;"Yes",$O142=""),0,$Y142*MAX(0,7-$Z142)/12)</f>
        <v>0</v>
      </c>
      <c r="AB142" s="14" t="n">
        <f aca="false">IF(OR($N142&lt;&gt;"Yes",$O142=""),0,$Y142*IF($Z142&lt;=7,12,19-$Z142)/12)</f>
        <v>0</v>
      </c>
      <c r="AC142" s="26" t="str">
        <f aca="false">IF(OR($J142="Yes",$L142="Yes",$N142="Yes"),"Yes","No")</f>
        <v>No</v>
      </c>
      <c r="AD142" s="14" t="n">
        <f aca="false">MAX($Q142,$U142,$Y142)</f>
        <v>0</v>
      </c>
      <c r="AE142" s="26" t="n">
        <f aca="false">$AD142+ROW()*0.000000001</f>
        <v>1.42E-007</v>
      </c>
      <c r="AF142" s="26" t="str">
        <f aca="false">IF($J142="Yes","A","")&amp;IF($L142="Yes","B","")&amp;IF($N142="Yes","C","")</f>
        <v/>
      </c>
    </row>
    <row r="143" customFormat="false" ht="15" hidden="false" customHeight="false" outlineLevel="0" collapsed="false">
      <c r="B143" s="22" t="s">
        <v>354</v>
      </c>
      <c r="C143" s="23" t="s">
        <v>355</v>
      </c>
      <c r="D143" s="23" t="s">
        <v>62</v>
      </c>
      <c r="E143" s="23" t="s">
        <v>104</v>
      </c>
      <c r="F143" s="22" t="s">
        <v>57</v>
      </c>
      <c r="G143" s="23" t="s">
        <v>58</v>
      </c>
      <c r="H143" s="24" t="n">
        <v>1</v>
      </c>
      <c r="I143" s="14" t="n">
        <v>0.2578</v>
      </c>
      <c r="J143" s="25" t="s">
        <v>59</v>
      </c>
      <c r="K143" s="25"/>
      <c r="L143" s="25" t="s">
        <v>59</v>
      </c>
      <c r="M143" s="25"/>
      <c r="N143" s="25" t="s">
        <v>59</v>
      </c>
      <c r="O143" s="25"/>
      <c r="P143" s="14" t="n">
        <v>0.2578</v>
      </c>
      <c r="Q143" s="14" t="n">
        <f aca="false">IF(AND($J143="Yes",$G143&lt;&gt;"Vendor day rates"),$I143-0.4*$P143,0)</f>
        <v>0</v>
      </c>
      <c r="R143" s="26" t="n">
        <f aca="false">IFERROR(MATCH($K143,MonthList,0),0)</f>
        <v>0</v>
      </c>
      <c r="S143" s="14" t="n">
        <f aca="false">IF(OR($J143&lt;&gt;"Yes",$K143=""),0,$Q143*MAX(0,7-$R143)/12)</f>
        <v>0</v>
      </c>
      <c r="T143" s="14" t="n">
        <f aca="false">IF(OR($J143&lt;&gt;"Yes",$K143=""),0,$Q143*IF($R143&lt;=7,12,19-$R143)/12)</f>
        <v>0</v>
      </c>
      <c r="U143" s="14" t="n">
        <f aca="false">IF(AND($L143="Yes",$G143&lt;&gt;"Vendor day rates"),$I143-0.4*$P143,0)</f>
        <v>0</v>
      </c>
      <c r="V143" s="26" t="n">
        <f aca="false">IFERROR(MATCH($M143,MonthList,0),0)</f>
        <v>0</v>
      </c>
      <c r="W143" s="14" t="n">
        <f aca="false">IF(OR($L143&lt;&gt;"Yes",$M143=""),0,$U143*MAX(0,7-$V143)/12)</f>
        <v>0</v>
      </c>
      <c r="X143" s="14" t="n">
        <f aca="false">IF(OR($L143&lt;&gt;"Yes",$M143=""),0,$U143*IF($V143&lt;=7,12,19-$V143)/12)</f>
        <v>0</v>
      </c>
      <c r="Y143" s="14" t="n">
        <f aca="false">IF(AND($N143="Yes",$G143&lt;&gt;"Vendor day rates"),$I143-0.4*$P143,0)</f>
        <v>0</v>
      </c>
      <c r="Z143" s="26" t="n">
        <f aca="false">IFERROR(MATCH($O143,MonthList,0),0)</f>
        <v>0</v>
      </c>
      <c r="AA143" s="14" t="n">
        <f aca="false">IF(OR($N143&lt;&gt;"Yes",$O143=""),0,$Y143*MAX(0,7-$Z143)/12)</f>
        <v>0</v>
      </c>
      <c r="AB143" s="14" t="n">
        <f aca="false">IF(OR($N143&lt;&gt;"Yes",$O143=""),0,$Y143*IF($Z143&lt;=7,12,19-$Z143)/12)</f>
        <v>0</v>
      </c>
      <c r="AC143" s="26" t="str">
        <f aca="false">IF(OR($J143="Yes",$L143="Yes",$N143="Yes"),"Yes","No")</f>
        <v>No</v>
      </c>
      <c r="AD143" s="14" t="n">
        <f aca="false">MAX($Q143,$U143,$Y143)</f>
        <v>0</v>
      </c>
      <c r="AE143" s="26" t="n">
        <f aca="false">$AD143+ROW()*0.000000001</f>
        <v>1.43E-007</v>
      </c>
      <c r="AF143" s="26" t="str">
        <f aca="false">IF($J143="Yes","A","")&amp;IF($L143="Yes","B","")&amp;IF($N143="Yes","C","")</f>
        <v/>
      </c>
    </row>
    <row r="144" customFormat="false" ht="15" hidden="false" customHeight="false" outlineLevel="0" collapsed="false">
      <c r="B144" s="22" t="s">
        <v>356</v>
      </c>
      <c r="C144" s="23" t="s">
        <v>357</v>
      </c>
      <c r="D144" s="23" t="s">
        <v>152</v>
      </c>
      <c r="E144" s="23" t="s">
        <v>230</v>
      </c>
      <c r="F144" s="22" t="s">
        <v>112</v>
      </c>
      <c r="G144" s="23" t="s">
        <v>58</v>
      </c>
      <c r="H144" s="24" t="n">
        <v>1</v>
      </c>
      <c r="I144" s="14" t="n">
        <v>0.1864</v>
      </c>
      <c r="J144" s="25" t="s">
        <v>59</v>
      </c>
      <c r="K144" s="25"/>
      <c r="L144" s="25" t="s">
        <v>59</v>
      </c>
      <c r="M144" s="25"/>
      <c r="N144" s="25" t="s">
        <v>59</v>
      </c>
      <c r="O144" s="25"/>
      <c r="P144" s="14" t="n">
        <v>0.1864</v>
      </c>
      <c r="Q144" s="14" t="n">
        <f aca="false">IF(AND($J144="Yes",$G144&lt;&gt;"Vendor day rates"),$I144-0.4*$P144,0)</f>
        <v>0</v>
      </c>
      <c r="R144" s="26" t="n">
        <f aca="false">IFERROR(MATCH($K144,MonthList,0),0)</f>
        <v>0</v>
      </c>
      <c r="S144" s="14" t="n">
        <f aca="false">IF(OR($J144&lt;&gt;"Yes",$K144=""),0,$Q144*MAX(0,7-$R144)/12)</f>
        <v>0</v>
      </c>
      <c r="T144" s="14" t="n">
        <f aca="false">IF(OR($J144&lt;&gt;"Yes",$K144=""),0,$Q144*IF($R144&lt;=7,12,19-$R144)/12)</f>
        <v>0</v>
      </c>
      <c r="U144" s="14" t="n">
        <f aca="false">IF(AND($L144="Yes",$G144&lt;&gt;"Vendor day rates"),$I144-0.4*$P144,0)</f>
        <v>0</v>
      </c>
      <c r="V144" s="26" t="n">
        <f aca="false">IFERROR(MATCH($M144,MonthList,0),0)</f>
        <v>0</v>
      </c>
      <c r="W144" s="14" t="n">
        <f aca="false">IF(OR($L144&lt;&gt;"Yes",$M144=""),0,$U144*MAX(0,7-$V144)/12)</f>
        <v>0</v>
      </c>
      <c r="X144" s="14" t="n">
        <f aca="false">IF(OR($L144&lt;&gt;"Yes",$M144=""),0,$U144*IF($V144&lt;=7,12,19-$V144)/12)</f>
        <v>0</v>
      </c>
      <c r="Y144" s="14" t="n">
        <f aca="false">IF(AND($N144="Yes",$G144&lt;&gt;"Vendor day rates"),$I144-0.4*$P144,0)</f>
        <v>0</v>
      </c>
      <c r="Z144" s="26" t="n">
        <f aca="false">IFERROR(MATCH($O144,MonthList,0),0)</f>
        <v>0</v>
      </c>
      <c r="AA144" s="14" t="n">
        <f aca="false">IF(OR($N144&lt;&gt;"Yes",$O144=""),0,$Y144*MAX(0,7-$Z144)/12)</f>
        <v>0</v>
      </c>
      <c r="AB144" s="14" t="n">
        <f aca="false">IF(OR($N144&lt;&gt;"Yes",$O144=""),0,$Y144*IF($Z144&lt;=7,12,19-$Z144)/12)</f>
        <v>0</v>
      </c>
      <c r="AC144" s="26" t="str">
        <f aca="false">IF(OR($J144="Yes",$L144="Yes",$N144="Yes"),"Yes","No")</f>
        <v>No</v>
      </c>
      <c r="AD144" s="14" t="n">
        <f aca="false">MAX($Q144,$U144,$Y144)</f>
        <v>0</v>
      </c>
      <c r="AE144" s="26" t="n">
        <f aca="false">$AD144+ROW()*0.000000001</f>
        <v>1.44E-007</v>
      </c>
      <c r="AF144" s="26" t="str">
        <f aca="false">IF($J144="Yes","A","")&amp;IF($L144="Yes","B","")&amp;IF($N144="Yes","C","")</f>
        <v/>
      </c>
    </row>
    <row r="145" customFormat="false" ht="15" hidden="false" customHeight="false" outlineLevel="0" collapsed="false">
      <c r="B145" s="22" t="s">
        <v>358</v>
      </c>
      <c r="C145" s="23" t="s">
        <v>359</v>
      </c>
      <c r="D145" s="23" t="s">
        <v>62</v>
      </c>
      <c r="E145" s="23" t="s">
        <v>56</v>
      </c>
      <c r="F145" s="22" t="s">
        <v>57</v>
      </c>
      <c r="G145" s="23" t="s">
        <v>58</v>
      </c>
      <c r="H145" s="24" t="n">
        <v>1</v>
      </c>
      <c r="I145" s="14" t="n">
        <v>0.2403</v>
      </c>
      <c r="J145" s="25" t="s">
        <v>59</v>
      </c>
      <c r="K145" s="25"/>
      <c r="L145" s="25" t="s">
        <v>59</v>
      </c>
      <c r="M145" s="25"/>
      <c r="N145" s="25" t="s">
        <v>59</v>
      </c>
      <c r="O145" s="25"/>
      <c r="P145" s="14" t="n">
        <v>0.2403</v>
      </c>
      <c r="Q145" s="14" t="n">
        <f aca="false">IF(AND($J145="Yes",$G145&lt;&gt;"Vendor day rates"),$I145-0.4*$P145,0)</f>
        <v>0</v>
      </c>
      <c r="R145" s="26" t="n">
        <f aca="false">IFERROR(MATCH($K145,MonthList,0),0)</f>
        <v>0</v>
      </c>
      <c r="S145" s="14" t="n">
        <f aca="false">IF(OR($J145&lt;&gt;"Yes",$K145=""),0,$Q145*MAX(0,7-$R145)/12)</f>
        <v>0</v>
      </c>
      <c r="T145" s="14" t="n">
        <f aca="false">IF(OR($J145&lt;&gt;"Yes",$K145=""),0,$Q145*IF($R145&lt;=7,12,19-$R145)/12)</f>
        <v>0</v>
      </c>
      <c r="U145" s="14" t="n">
        <f aca="false">IF(AND($L145="Yes",$G145&lt;&gt;"Vendor day rates"),$I145-0.4*$P145,0)</f>
        <v>0</v>
      </c>
      <c r="V145" s="26" t="n">
        <f aca="false">IFERROR(MATCH($M145,MonthList,0),0)</f>
        <v>0</v>
      </c>
      <c r="W145" s="14" t="n">
        <f aca="false">IF(OR($L145&lt;&gt;"Yes",$M145=""),0,$U145*MAX(0,7-$V145)/12)</f>
        <v>0</v>
      </c>
      <c r="X145" s="14" t="n">
        <f aca="false">IF(OR($L145&lt;&gt;"Yes",$M145=""),0,$U145*IF($V145&lt;=7,12,19-$V145)/12)</f>
        <v>0</v>
      </c>
      <c r="Y145" s="14" t="n">
        <f aca="false">IF(AND($N145="Yes",$G145&lt;&gt;"Vendor day rates"),$I145-0.4*$P145,0)</f>
        <v>0</v>
      </c>
      <c r="Z145" s="26" t="n">
        <f aca="false">IFERROR(MATCH($O145,MonthList,0),0)</f>
        <v>0</v>
      </c>
      <c r="AA145" s="14" t="n">
        <f aca="false">IF(OR($N145&lt;&gt;"Yes",$O145=""),0,$Y145*MAX(0,7-$Z145)/12)</f>
        <v>0</v>
      </c>
      <c r="AB145" s="14" t="n">
        <f aca="false">IF(OR($N145&lt;&gt;"Yes",$O145=""),0,$Y145*IF($Z145&lt;=7,12,19-$Z145)/12)</f>
        <v>0</v>
      </c>
      <c r="AC145" s="26" t="str">
        <f aca="false">IF(OR($J145="Yes",$L145="Yes",$N145="Yes"),"Yes","No")</f>
        <v>No</v>
      </c>
      <c r="AD145" s="14" t="n">
        <f aca="false">MAX($Q145,$U145,$Y145)</f>
        <v>0</v>
      </c>
      <c r="AE145" s="26" t="n">
        <f aca="false">$AD145+ROW()*0.000000001</f>
        <v>1.45E-007</v>
      </c>
      <c r="AF145" s="26" t="str">
        <f aca="false">IF($J145="Yes","A","")&amp;IF($L145="Yes","B","")&amp;IF($N145="Yes","C","")</f>
        <v/>
      </c>
    </row>
    <row r="146" customFormat="false" ht="15" hidden="false" customHeight="false" outlineLevel="0" collapsed="false">
      <c r="B146" s="22" t="s">
        <v>360</v>
      </c>
      <c r="C146" s="23" t="s">
        <v>361</v>
      </c>
      <c r="D146" s="23" t="s">
        <v>62</v>
      </c>
      <c r="E146" s="23" t="s">
        <v>63</v>
      </c>
      <c r="F146" s="22" t="s">
        <v>57</v>
      </c>
      <c r="G146" s="23" t="s">
        <v>121</v>
      </c>
      <c r="H146" s="24" t="n">
        <v>1</v>
      </c>
      <c r="I146" s="14" t="n">
        <v>0.0961</v>
      </c>
      <c r="J146" s="25" t="s">
        <v>59</v>
      </c>
      <c r="K146" s="25"/>
      <c r="L146" s="25" t="s">
        <v>59</v>
      </c>
      <c r="M146" s="25"/>
      <c r="N146" s="25" t="s">
        <v>59</v>
      </c>
      <c r="O146" s="25"/>
      <c r="P146" s="14" t="n">
        <v>0.2403</v>
      </c>
      <c r="Q146" s="14" t="n">
        <f aca="false">IF(AND($J146="Yes",$G146&lt;&gt;"Vendor day rates"),$I146-0.4*$P146,0)</f>
        <v>0</v>
      </c>
      <c r="R146" s="26" t="n">
        <f aca="false">IFERROR(MATCH($K146,MonthList,0),0)</f>
        <v>0</v>
      </c>
      <c r="S146" s="14" t="n">
        <f aca="false">IF(OR($J146&lt;&gt;"Yes",$K146=""),0,$Q146*MAX(0,7-$R146)/12)</f>
        <v>0</v>
      </c>
      <c r="T146" s="14" t="n">
        <f aca="false">IF(OR($J146&lt;&gt;"Yes",$K146=""),0,$Q146*IF($R146&lt;=7,12,19-$R146)/12)</f>
        <v>0</v>
      </c>
      <c r="U146" s="14" t="n">
        <f aca="false">IF(AND($L146="Yes",$G146&lt;&gt;"Vendor day rates"),$I146-0.4*$P146,0)</f>
        <v>0</v>
      </c>
      <c r="V146" s="26" t="n">
        <f aca="false">IFERROR(MATCH($M146,MonthList,0),0)</f>
        <v>0</v>
      </c>
      <c r="W146" s="14" t="n">
        <f aca="false">IF(OR($L146&lt;&gt;"Yes",$M146=""),0,$U146*MAX(0,7-$V146)/12)</f>
        <v>0</v>
      </c>
      <c r="X146" s="14" t="n">
        <f aca="false">IF(OR($L146&lt;&gt;"Yes",$M146=""),0,$U146*IF($V146&lt;=7,12,19-$V146)/12)</f>
        <v>0</v>
      </c>
      <c r="Y146" s="14" t="n">
        <f aca="false">IF(AND($N146="Yes",$G146&lt;&gt;"Vendor day rates"),$I146-0.4*$P146,0)</f>
        <v>0</v>
      </c>
      <c r="Z146" s="26" t="n">
        <f aca="false">IFERROR(MATCH($O146,MonthList,0),0)</f>
        <v>0</v>
      </c>
      <c r="AA146" s="14" t="n">
        <f aca="false">IF(OR($N146&lt;&gt;"Yes",$O146=""),0,$Y146*MAX(0,7-$Z146)/12)</f>
        <v>0</v>
      </c>
      <c r="AB146" s="14" t="n">
        <f aca="false">IF(OR($N146&lt;&gt;"Yes",$O146=""),0,$Y146*IF($Z146&lt;=7,12,19-$Z146)/12)</f>
        <v>0</v>
      </c>
      <c r="AC146" s="26" t="str">
        <f aca="false">IF(OR($J146="Yes",$L146="Yes",$N146="Yes"),"Yes","No")</f>
        <v>No</v>
      </c>
      <c r="AD146" s="14" t="n">
        <f aca="false">MAX($Q146,$U146,$Y146)</f>
        <v>0</v>
      </c>
      <c r="AE146" s="26" t="n">
        <f aca="false">$AD146+ROW()*0.000000001</f>
        <v>1.46E-007</v>
      </c>
      <c r="AF146" s="26" t="str">
        <f aca="false">IF($J146="Yes","A","")&amp;IF($L146="Yes","B","")&amp;IF($N146="Yes","C","")</f>
        <v/>
      </c>
    </row>
    <row r="147" customFormat="false" ht="15" hidden="false" customHeight="false" outlineLevel="0" collapsed="false">
      <c r="B147" s="22" t="s">
        <v>362</v>
      </c>
      <c r="C147" s="23" t="s">
        <v>361</v>
      </c>
      <c r="D147" s="23" t="s">
        <v>62</v>
      </c>
      <c r="E147" s="23" t="s">
        <v>67</v>
      </c>
      <c r="F147" s="22" t="s">
        <v>57</v>
      </c>
      <c r="G147" s="23" t="s">
        <v>58</v>
      </c>
      <c r="H147" s="24" t="n">
        <v>1</v>
      </c>
      <c r="I147" s="14" t="n">
        <v>0.2602</v>
      </c>
      <c r="J147" s="25" t="s">
        <v>59</v>
      </c>
      <c r="K147" s="25"/>
      <c r="L147" s="25" t="s">
        <v>59</v>
      </c>
      <c r="M147" s="25"/>
      <c r="N147" s="25" t="s">
        <v>59</v>
      </c>
      <c r="O147" s="25"/>
      <c r="P147" s="14" t="n">
        <v>0.2602</v>
      </c>
      <c r="Q147" s="14" t="n">
        <f aca="false">IF(AND($J147="Yes",$G147&lt;&gt;"Vendor day rates"),$I147-0.4*$P147,0)</f>
        <v>0</v>
      </c>
      <c r="R147" s="26" t="n">
        <f aca="false">IFERROR(MATCH($K147,MonthList,0),0)</f>
        <v>0</v>
      </c>
      <c r="S147" s="14" t="n">
        <f aca="false">IF(OR($J147&lt;&gt;"Yes",$K147=""),0,$Q147*MAX(0,7-$R147)/12)</f>
        <v>0</v>
      </c>
      <c r="T147" s="14" t="n">
        <f aca="false">IF(OR($J147&lt;&gt;"Yes",$K147=""),0,$Q147*IF($R147&lt;=7,12,19-$R147)/12)</f>
        <v>0</v>
      </c>
      <c r="U147" s="14" t="n">
        <f aca="false">IF(AND($L147="Yes",$G147&lt;&gt;"Vendor day rates"),$I147-0.4*$P147,0)</f>
        <v>0</v>
      </c>
      <c r="V147" s="26" t="n">
        <f aca="false">IFERROR(MATCH($M147,MonthList,0),0)</f>
        <v>0</v>
      </c>
      <c r="W147" s="14" t="n">
        <f aca="false">IF(OR($L147&lt;&gt;"Yes",$M147=""),0,$U147*MAX(0,7-$V147)/12)</f>
        <v>0</v>
      </c>
      <c r="X147" s="14" t="n">
        <f aca="false">IF(OR($L147&lt;&gt;"Yes",$M147=""),0,$U147*IF($V147&lt;=7,12,19-$V147)/12)</f>
        <v>0</v>
      </c>
      <c r="Y147" s="14" t="n">
        <f aca="false">IF(AND($N147="Yes",$G147&lt;&gt;"Vendor day rates"),$I147-0.4*$P147,0)</f>
        <v>0</v>
      </c>
      <c r="Z147" s="26" t="n">
        <f aca="false">IFERROR(MATCH($O147,MonthList,0),0)</f>
        <v>0</v>
      </c>
      <c r="AA147" s="14" t="n">
        <f aca="false">IF(OR($N147&lt;&gt;"Yes",$O147=""),0,$Y147*MAX(0,7-$Z147)/12)</f>
        <v>0</v>
      </c>
      <c r="AB147" s="14" t="n">
        <f aca="false">IF(OR($N147&lt;&gt;"Yes",$O147=""),0,$Y147*IF($Z147&lt;=7,12,19-$Z147)/12)</f>
        <v>0</v>
      </c>
      <c r="AC147" s="26" t="str">
        <f aca="false">IF(OR($J147="Yes",$L147="Yes",$N147="Yes"),"Yes","No")</f>
        <v>No</v>
      </c>
      <c r="AD147" s="14" t="n">
        <f aca="false">MAX($Q147,$U147,$Y147)</f>
        <v>0</v>
      </c>
      <c r="AE147" s="26" t="n">
        <f aca="false">$AD147+ROW()*0.000000001</f>
        <v>1.47E-007</v>
      </c>
      <c r="AF147" s="26" t="str">
        <f aca="false">IF($J147="Yes","A","")&amp;IF($L147="Yes","B","")&amp;IF($N147="Yes","C","")</f>
        <v/>
      </c>
    </row>
    <row r="148" customFormat="false" ht="15" hidden="false" customHeight="false" outlineLevel="0" collapsed="false">
      <c r="B148" s="22" t="s">
        <v>363</v>
      </c>
      <c r="C148" s="23" t="s">
        <v>364</v>
      </c>
      <c r="D148" s="23" t="s">
        <v>204</v>
      </c>
      <c r="E148" s="23" t="s">
        <v>365</v>
      </c>
      <c r="F148" s="22" t="s">
        <v>57</v>
      </c>
      <c r="G148" s="23" t="s">
        <v>58</v>
      </c>
      <c r="H148" s="24" t="n">
        <v>1</v>
      </c>
      <c r="I148" s="14" t="n">
        <v>0.3467</v>
      </c>
      <c r="J148" s="25" t="s">
        <v>59</v>
      </c>
      <c r="K148" s="25"/>
      <c r="L148" s="25" t="s">
        <v>59</v>
      </c>
      <c r="M148" s="25"/>
      <c r="N148" s="25" t="s">
        <v>59</v>
      </c>
      <c r="O148" s="25"/>
      <c r="P148" s="14" t="n">
        <v>0.3467</v>
      </c>
      <c r="Q148" s="14" t="n">
        <f aca="false">IF(AND($J148="Yes",$G148&lt;&gt;"Vendor day rates"),$I148-0.4*$P148,0)</f>
        <v>0</v>
      </c>
      <c r="R148" s="26" t="n">
        <f aca="false">IFERROR(MATCH($K148,MonthList,0),0)</f>
        <v>0</v>
      </c>
      <c r="S148" s="14" t="n">
        <f aca="false">IF(OR($J148&lt;&gt;"Yes",$K148=""),0,$Q148*MAX(0,7-$R148)/12)</f>
        <v>0</v>
      </c>
      <c r="T148" s="14" t="n">
        <f aca="false">IF(OR($J148&lt;&gt;"Yes",$K148=""),0,$Q148*IF($R148&lt;=7,12,19-$R148)/12)</f>
        <v>0</v>
      </c>
      <c r="U148" s="14" t="n">
        <f aca="false">IF(AND($L148="Yes",$G148&lt;&gt;"Vendor day rates"),$I148-0.4*$P148,0)</f>
        <v>0</v>
      </c>
      <c r="V148" s="26" t="n">
        <f aca="false">IFERROR(MATCH($M148,MonthList,0),0)</f>
        <v>0</v>
      </c>
      <c r="W148" s="14" t="n">
        <f aca="false">IF(OR($L148&lt;&gt;"Yes",$M148=""),0,$U148*MAX(0,7-$V148)/12)</f>
        <v>0</v>
      </c>
      <c r="X148" s="14" t="n">
        <f aca="false">IF(OR($L148&lt;&gt;"Yes",$M148=""),0,$U148*IF($V148&lt;=7,12,19-$V148)/12)</f>
        <v>0</v>
      </c>
      <c r="Y148" s="14" t="n">
        <f aca="false">IF(AND($N148="Yes",$G148&lt;&gt;"Vendor day rates"),$I148-0.4*$P148,0)</f>
        <v>0</v>
      </c>
      <c r="Z148" s="26" t="n">
        <f aca="false">IFERROR(MATCH($O148,MonthList,0),0)</f>
        <v>0</v>
      </c>
      <c r="AA148" s="14" t="n">
        <f aca="false">IF(OR($N148&lt;&gt;"Yes",$O148=""),0,$Y148*MAX(0,7-$Z148)/12)</f>
        <v>0</v>
      </c>
      <c r="AB148" s="14" t="n">
        <f aca="false">IF(OR($N148&lt;&gt;"Yes",$O148=""),0,$Y148*IF($Z148&lt;=7,12,19-$Z148)/12)</f>
        <v>0</v>
      </c>
      <c r="AC148" s="26" t="str">
        <f aca="false">IF(OR($J148="Yes",$L148="Yes",$N148="Yes"),"Yes","No")</f>
        <v>No</v>
      </c>
      <c r="AD148" s="14" t="n">
        <f aca="false">MAX($Q148,$U148,$Y148)</f>
        <v>0</v>
      </c>
      <c r="AE148" s="26" t="n">
        <f aca="false">$AD148+ROW()*0.000000001</f>
        <v>1.48E-007</v>
      </c>
      <c r="AF148" s="26" t="str">
        <f aca="false">IF($J148="Yes","A","")&amp;IF($L148="Yes","B","")&amp;IF($N148="Yes","C","")</f>
        <v/>
      </c>
    </row>
    <row r="149" customFormat="false" ht="15" hidden="false" customHeight="false" outlineLevel="0" collapsed="false">
      <c r="B149" s="22" t="s">
        <v>366</v>
      </c>
      <c r="C149" s="23" t="s">
        <v>367</v>
      </c>
      <c r="D149" s="23" t="s">
        <v>204</v>
      </c>
      <c r="E149" s="23" t="s">
        <v>287</v>
      </c>
      <c r="F149" s="22" t="s">
        <v>57</v>
      </c>
      <c r="G149" s="23" t="s">
        <v>58</v>
      </c>
      <c r="H149" s="24" t="n">
        <v>1</v>
      </c>
      <c r="I149" s="14" t="n">
        <v>0.3047</v>
      </c>
      <c r="J149" s="25" t="s">
        <v>59</v>
      </c>
      <c r="K149" s="25"/>
      <c r="L149" s="25" t="s">
        <v>59</v>
      </c>
      <c r="M149" s="25"/>
      <c r="N149" s="25" t="s">
        <v>59</v>
      </c>
      <c r="O149" s="25"/>
      <c r="P149" s="14" t="n">
        <v>0.3047</v>
      </c>
      <c r="Q149" s="14" t="n">
        <f aca="false">IF(AND($J149="Yes",$G149&lt;&gt;"Vendor day rates"),$I149-0.4*$P149,0)</f>
        <v>0</v>
      </c>
      <c r="R149" s="26" t="n">
        <f aca="false">IFERROR(MATCH($K149,MonthList,0),0)</f>
        <v>0</v>
      </c>
      <c r="S149" s="14" t="n">
        <f aca="false">IF(OR($J149&lt;&gt;"Yes",$K149=""),0,$Q149*MAX(0,7-$R149)/12)</f>
        <v>0</v>
      </c>
      <c r="T149" s="14" t="n">
        <f aca="false">IF(OR($J149&lt;&gt;"Yes",$K149=""),0,$Q149*IF($R149&lt;=7,12,19-$R149)/12)</f>
        <v>0</v>
      </c>
      <c r="U149" s="14" t="n">
        <f aca="false">IF(AND($L149="Yes",$G149&lt;&gt;"Vendor day rates"),$I149-0.4*$P149,0)</f>
        <v>0</v>
      </c>
      <c r="V149" s="26" t="n">
        <f aca="false">IFERROR(MATCH($M149,MonthList,0),0)</f>
        <v>0</v>
      </c>
      <c r="W149" s="14" t="n">
        <f aca="false">IF(OR($L149&lt;&gt;"Yes",$M149=""),0,$U149*MAX(0,7-$V149)/12)</f>
        <v>0</v>
      </c>
      <c r="X149" s="14" t="n">
        <f aca="false">IF(OR($L149&lt;&gt;"Yes",$M149=""),0,$U149*IF($V149&lt;=7,12,19-$V149)/12)</f>
        <v>0</v>
      </c>
      <c r="Y149" s="14" t="n">
        <f aca="false">IF(AND($N149="Yes",$G149&lt;&gt;"Vendor day rates"),$I149-0.4*$P149,0)</f>
        <v>0</v>
      </c>
      <c r="Z149" s="26" t="n">
        <f aca="false">IFERROR(MATCH($O149,MonthList,0),0)</f>
        <v>0</v>
      </c>
      <c r="AA149" s="14" t="n">
        <f aca="false">IF(OR($N149&lt;&gt;"Yes",$O149=""),0,$Y149*MAX(0,7-$Z149)/12)</f>
        <v>0</v>
      </c>
      <c r="AB149" s="14" t="n">
        <f aca="false">IF(OR($N149&lt;&gt;"Yes",$O149=""),0,$Y149*IF($Z149&lt;=7,12,19-$Z149)/12)</f>
        <v>0</v>
      </c>
      <c r="AC149" s="26" t="str">
        <f aca="false">IF(OR($J149="Yes",$L149="Yes",$N149="Yes"),"Yes","No")</f>
        <v>No</v>
      </c>
      <c r="AD149" s="14" t="n">
        <f aca="false">MAX($Q149,$U149,$Y149)</f>
        <v>0</v>
      </c>
      <c r="AE149" s="26" t="n">
        <f aca="false">$AD149+ROW()*0.000000001</f>
        <v>1.49E-007</v>
      </c>
      <c r="AF149" s="26" t="str">
        <f aca="false">IF($J149="Yes","A","")&amp;IF($L149="Yes","B","")&amp;IF($N149="Yes","C","")</f>
        <v/>
      </c>
    </row>
    <row r="150" customFormat="false" ht="15" hidden="false" customHeight="false" outlineLevel="0" collapsed="false">
      <c r="B150" s="22" t="s">
        <v>368</v>
      </c>
      <c r="C150" s="23" t="s">
        <v>367</v>
      </c>
      <c r="D150" s="23" t="s">
        <v>204</v>
      </c>
      <c r="E150" s="23" t="s">
        <v>287</v>
      </c>
      <c r="F150" s="22" t="s">
        <v>57</v>
      </c>
      <c r="G150" s="23" t="s">
        <v>58</v>
      </c>
      <c r="H150" s="24" t="n">
        <v>1</v>
      </c>
      <c r="I150" s="14" t="n">
        <v>0.2212</v>
      </c>
      <c r="J150" s="25" t="s">
        <v>59</v>
      </c>
      <c r="K150" s="25"/>
      <c r="L150" s="25" t="s">
        <v>59</v>
      </c>
      <c r="M150" s="25"/>
      <c r="N150" s="25" t="s">
        <v>59</v>
      </c>
      <c r="O150" s="25"/>
      <c r="P150" s="14" t="n">
        <v>0.2212</v>
      </c>
      <c r="Q150" s="14" t="n">
        <f aca="false">IF(AND($J150="Yes",$G150&lt;&gt;"Vendor day rates"),$I150-0.4*$P150,0)</f>
        <v>0</v>
      </c>
      <c r="R150" s="26" t="n">
        <f aca="false">IFERROR(MATCH($K150,MonthList,0),0)</f>
        <v>0</v>
      </c>
      <c r="S150" s="14" t="n">
        <f aca="false">IF(OR($J150&lt;&gt;"Yes",$K150=""),0,$Q150*MAX(0,7-$R150)/12)</f>
        <v>0</v>
      </c>
      <c r="T150" s="14" t="n">
        <f aca="false">IF(OR($J150&lt;&gt;"Yes",$K150=""),0,$Q150*IF($R150&lt;=7,12,19-$R150)/12)</f>
        <v>0</v>
      </c>
      <c r="U150" s="14" t="n">
        <f aca="false">IF(AND($L150="Yes",$G150&lt;&gt;"Vendor day rates"),$I150-0.4*$P150,0)</f>
        <v>0</v>
      </c>
      <c r="V150" s="26" t="n">
        <f aca="false">IFERROR(MATCH($M150,MonthList,0),0)</f>
        <v>0</v>
      </c>
      <c r="W150" s="14" t="n">
        <f aca="false">IF(OR($L150&lt;&gt;"Yes",$M150=""),0,$U150*MAX(0,7-$V150)/12)</f>
        <v>0</v>
      </c>
      <c r="X150" s="14" t="n">
        <f aca="false">IF(OR($L150&lt;&gt;"Yes",$M150=""),0,$U150*IF($V150&lt;=7,12,19-$V150)/12)</f>
        <v>0</v>
      </c>
      <c r="Y150" s="14" t="n">
        <f aca="false">IF(AND($N150="Yes",$G150&lt;&gt;"Vendor day rates"),$I150-0.4*$P150,0)</f>
        <v>0</v>
      </c>
      <c r="Z150" s="26" t="n">
        <f aca="false">IFERROR(MATCH($O150,MonthList,0),0)</f>
        <v>0</v>
      </c>
      <c r="AA150" s="14" t="n">
        <f aca="false">IF(OR($N150&lt;&gt;"Yes",$O150=""),0,$Y150*MAX(0,7-$Z150)/12)</f>
        <v>0</v>
      </c>
      <c r="AB150" s="14" t="n">
        <f aca="false">IF(OR($N150&lt;&gt;"Yes",$O150=""),0,$Y150*IF($Z150&lt;=7,12,19-$Z150)/12)</f>
        <v>0</v>
      </c>
      <c r="AC150" s="26" t="str">
        <f aca="false">IF(OR($J150="Yes",$L150="Yes",$N150="Yes"),"Yes","No")</f>
        <v>No</v>
      </c>
      <c r="AD150" s="14" t="n">
        <f aca="false">MAX($Q150,$U150,$Y150)</f>
        <v>0</v>
      </c>
      <c r="AE150" s="26" t="n">
        <f aca="false">$AD150+ROW()*0.000000001</f>
        <v>1.5E-007</v>
      </c>
      <c r="AF150" s="26" t="str">
        <f aca="false">IF($J150="Yes","A","")&amp;IF($L150="Yes","B","")&amp;IF($N150="Yes","C","")</f>
        <v/>
      </c>
    </row>
    <row r="151" customFormat="false" ht="15" hidden="false" customHeight="false" outlineLevel="0" collapsed="false">
      <c r="B151" s="22" t="s">
        <v>369</v>
      </c>
      <c r="C151" s="23" t="s">
        <v>116</v>
      </c>
      <c r="D151" s="23" t="s">
        <v>91</v>
      </c>
      <c r="E151" s="23" t="s">
        <v>181</v>
      </c>
      <c r="F151" s="22" t="s">
        <v>57</v>
      </c>
      <c r="G151" s="23" t="s">
        <v>58</v>
      </c>
      <c r="H151" s="24" t="n">
        <v>1</v>
      </c>
      <c r="I151" s="14" t="n">
        <v>0.2567</v>
      </c>
      <c r="J151" s="25" t="s">
        <v>59</v>
      </c>
      <c r="K151" s="25"/>
      <c r="L151" s="25" t="s">
        <v>59</v>
      </c>
      <c r="M151" s="25"/>
      <c r="N151" s="25" t="s">
        <v>59</v>
      </c>
      <c r="O151" s="25"/>
      <c r="P151" s="14" t="n">
        <v>0.2567</v>
      </c>
      <c r="Q151" s="14" t="n">
        <f aca="false">IF(AND($J151="Yes",$G151&lt;&gt;"Vendor day rates"),$I151-0.4*$P151,0)</f>
        <v>0</v>
      </c>
      <c r="R151" s="26" t="n">
        <f aca="false">IFERROR(MATCH($K151,MonthList,0),0)</f>
        <v>0</v>
      </c>
      <c r="S151" s="14" t="n">
        <f aca="false">IF(OR($J151&lt;&gt;"Yes",$K151=""),0,$Q151*MAX(0,7-$R151)/12)</f>
        <v>0</v>
      </c>
      <c r="T151" s="14" t="n">
        <f aca="false">IF(OR($J151&lt;&gt;"Yes",$K151=""),0,$Q151*IF($R151&lt;=7,12,19-$R151)/12)</f>
        <v>0</v>
      </c>
      <c r="U151" s="14" t="n">
        <f aca="false">IF(AND($L151="Yes",$G151&lt;&gt;"Vendor day rates"),$I151-0.4*$P151,0)</f>
        <v>0</v>
      </c>
      <c r="V151" s="26" t="n">
        <f aca="false">IFERROR(MATCH($M151,MonthList,0),0)</f>
        <v>0</v>
      </c>
      <c r="W151" s="14" t="n">
        <f aca="false">IF(OR($L151&lt;&gt;"Yes",$M151=""),0,$U151*MAX(0,7-$V151)/12)</f>
        <v>0</v>
      </c>
      <c r="X151" s="14" t="n">
        <f aca="false">IF(OR($L151&lt;&gt;"Yes",$M151=""),0,$U151*IF($V151&lt;=7,12,19-$V151)/12)</f>
        <v>0</v>
      </c>
      <c r="Y151" s="14" t="n">
        <f aca="false">IF(AND($N151="Yes",$G151&lt;&gt;"Vendor day rates"),$I151-0.4*$P151,0)</f>
        <v>0</v>
      </c>
      <c r="Z151" s="26" t="n">
        <f aca="false">IFERROR(MATCH($O151,MonthList,0),0)</f>
        <v>0</v>
      </c>
      <c r="AA151" s="14" t="n">
        <f aca="false">IF(OR($N151&lt;&gt;"Yes",$O151=""),0,$Y151*MAX(0,7-$Z151)/12)</f>
        <v>0</v>
      </c>
      <c r="AB151" s="14" t="n">
        <f aca="false">IF(OR($N151&lt;&gt;"Yes",$O151=""),0,$Y151*IF($Z151&lt;=7,12,19-$Z151)/12)</f>
        <v>0</v>
      </c>
      <c r="AC151" s="26" t="str">
        <f aca="false">IF(OR($J151="Yes",$L151="Yes",$N151="Yes"),"Yes","No")</f>
        <v>No</v>
      </c>
      <c r="AD151" s="14" t="n">
        <f aca="false">MAX($Q151,$U151,$Y151)</f>
        <v>0</v>
      </c>
      <c r="AE151" s="26" t="n">
        <f aca="false">$AD151+ROW()*0.000000001</f>
        <v>1.51E-007</v>
      </c>
      <c r="AF151" s="26" t="str">
        <f aca="false">IF($J151="Yes","A","")&amp;IF($L151="Yes","B","")&amp;IF($N151="Yes","C","")</f>
        <v/>
      </c>
    </row>
    <row r="152" customFormat="false" ht="15" hidden="false" customHeight="false" outlineLevel="0" collapsed="false">
      <c r="B152" s="22" t="s">
        <v>370</v>
      </c>
      <c r="C152" s="23" t="s">
        <v>371</v>
      </c>
      <c r="D152" s="23" t="s">
        <v>147</v>
      </c>
      <c r="E152" s="23" t="s">
        <v>250</v>
      </c>
      <c r="F152" s="22" t="s">
        <v>112</v>
      </c>
      <c r="G152" s="23" t="s">
        <v>121</v>
      </c>
      <c r="H152" s="24" t="n">
        <v>1</v>
      </c>
      <c r="I152" s="14" t="n">
        <v>0.0754</v>
      </c>
      <c r="J152" s="25" t="s">
        <v>59</v>
      </c>
      <c r="K152" s="25"/>
      <c r="L152" s="25" t="s">
        <v>59</v>
      </c>
      <c r="M152" s="25"/>
      <c r="N152" s="25" t="s">
        <v>59</v>
      </c>
      <c r="O152" s="25"/>
      <c r="P152" s="14" t="n">
        <v>0.1885</v>
      </c>
      <c r="Q152" s="14" t="n">
        <f aca="false">IF(AND($J152="Yes",$G152&lt;&gt;"Vendor day rates"),$I152-0.4*$P152,0)</f>
        <v>0</v>
      </c>
      <c r="R152" s="26" t="n">
        <f aca="false">IFERROR(MATCH($K152,MonthList,0),0)</f>
        <v>0</v>
      </c>
      <c r="S152" s="14" t="n">
        <f aca="false">IF(OR($J152&lt;&gt;"Yes",$K152=""),0,$Q152*MAX(0,7-$R152)/12)</f>
        <v>0</v>
      </c>
      <c r="T152" s="14" t="n">
        <f aca="false">IF(OR($J152&lt;&gt;"Yes",$K152=""),0,$Q152*IF($R152&lt;=7,12,19-$R152)/12)</f>
        <v>0</v>
      </c>
      <c r="U152" s="14" t="n">
        <f aca="false">IF(AND($L152="Yes",$G152&lt;&gt;"Vendor day rates"),$I152-0.4*$P152,0)</f>
        <v>0</v>
      </c>
      <c r="V152" s="26" t="n">
        <f aca="false">IFERROR(MATCH($M152,MonthList,0),0)</f>
        <v>0</v>
      </c>
      <c r="W152" s="14" t="n">
        <f aca="false">IF(OR($L152&lt;&gt;"Yes",$M152=""),0,$U152*MAX(0,7-$V152)/12)</f>
        <v>0</v>
      </c>
      <c r="X152" s="14" t="n">
        <f aca="false">IF(OR($L152&lt;&gt;"Yes",$M152=""),0,$U152*IF($V152&lt;=7,12,19-$V152)/12)</f>
        <v>0</v>
      </c>
      <c r="Y152" s="14" t="n">
        <f aca="false">IF(AND($N152="Yes",$G152&lt;&gt;"Vendor day rates"),$I152-0.4*$P152,0)</f>
        <v>0</v>
      </c>
      <c r="Z152" s="26" t="n">
        <f aca="false">IFERROR(MATCH($O152,MonthList,0),0)</f>
        <v>0</v>
      </c>
      <c r="AA152" s="14" t="n">
        <f aca="false">IF(OR($N152&lt;&gt;"Yes",$O152=""),0,$Y152*MAX(0,7-$Z152)/12)</f>
        <v>0</v>
      </c>
      <c r="AB152" s="14" t="n">
        <f aca="false">IF(OR($N152&lt;&gt;"Yes",$O152=""),0,$Y152*IF($Z152&lt;=7,12,19-$Z152)/12)</f>
        <v>0</v>
      </c>
      <c r="AC152" s="26" t="str">
        <f aca="false">IF(OR($J152="Yes",$L152="Yes",$N152="Yes"),"Yes","No")</f>
        <v>No</v>
      </c>
      <c r="AD152" s="14" t="n">
        <f aca="false">MAX($Q152,$U152,$Y152)</f>
        <v>0</v>
      </c>
      <c r="AE152" s="26" t="n">
        <f aca="false">$AD152+ROW()*0.000000001</f>
        <v>1.52E-007</v>
      </c>
      <c r="AF152" s="26" t="str">
        <f aca="false">IF($J152="Yes","A","")&amp;IF($L152="Yes","B","")&amp;IF($N152="Yes","C","")</f>
        <v/>
      </c>
    </row>
    <row r="153" customFormat="false" ht="15" hidden="false" customHeight="false" outlineLevel="0" collapsed="false">
      <c r="B153" s="22" t="s">
        <v>372</v>
      </c>
      <c r="C153" s="23" t="s">
        <v>116</v>
      </c>
      <c r="D153" s="23" t="s">
        <v>215</v>
      </c>
      <c r="E153" s="23" t="s">
        <v>373</v>
      </c>
      <c r="F153" s="22" t="s">
        <v>112</v>
      </c>
      <c r="G153" s="23" t="s">
        <v>58</v>
      </c>
      <c r="H153" s="24" t="n">
        <v>1</v>
      </c>
      <c r="I153" s="14" t="n">
        <v>0.1862</v>
      </c>
      <c r="J153" s="25" t="s">
        <v>59</v>
      </c>
      <c r="K153" s="25"/>
      <c r="L153" s="25" t="s">
        <v>59</v>
      </c>
      <c r="M153" s="25"/>
      <c r="N153" s="25" t="s">
        <v>59</v>
      </c>
      <c r="O153" s="25"/>
      <c r="P153" s="14" t="n">
        <v>0.1862</v>
      </c>
      <c r="Q153" s="14" t="n">
        <f aca="false">IF(AND($J153="Yes",$G153&lt;&gt;"Vendor day rates"),$I153-0.4*$P153,0)</f>
        <v>0</v>
      </c>
      <c r="R153" s="26" t="n">
        <f aca="false">IFERROR(MATCH($K153,MonthList,0),0)</f>
        <v>0</v>
      </c>
      <c r="S153" s="14" t="n">
        <f aca="false">IF(OR($J153&lt;&gt;"Yes",$K153=""),0,$Q153*MAX(0,7-$R153)/12)</f>
        <v>0</v>
      </c>
      <c r="T153" s="14" t="n">
        <f aca="false">IF(OR($J153&lt;&gt;"Yes",$K153=""),0,$Q153*IF($R153&lt;=7,12,19-$R153)/12)</f>
        <v>0</v>
      </c>
      <c r="U153" s="14" t="n">
        <f aca="false">IF(AND($L153="Yes",$G153&lt;&gt;"Vendor day rates"),$I153-0.4*$P153,0)</f>
        <v>0</v>
      </c>
      <c r="V153" s="26" t="n">
        <f aca="false">IFERROR(MATCH($M153,MonthList,0),0)</f>
        <v>0</v>
      </c>
      <c r="W153" s="14" t="n">
        <f aca="false">IF(OR($L153&lt;&gt;"Yes",$M153=""),0,$U153*MAX(0,7-$V153)/12)</f>
        <v>0</v>
      </c>
      <c r="X153" s="14" t="n">
        <f aca="false">IF(OR($L153&lt;&gt;"Yes",$M153=""),0,$U153*IF($V153&lt;=7,12,19-$V153)/12)</f>
        <v>0</v>
      </c>
      <c r="Y153" s="14" t="n">
        <f aca="false">IF(AND($N153="Yes",$G153&lt;&gt;"Vendor day rates"),$I153-0.4*$P153,0)</f>
        <v>0</v>
      </c>
      <c r="Z153" s="26" t="n">
        <f aca="false">IFERROR(MATCH($O153,MonthList,0),0)</f>
        <v>0</v>
      </c>
      <c r="AA153" s="14" t="n">
        <f aca="false">IF(OR($N153&lt;&gt;"Yes",$O153=""),0,$Y153*MAX(0,7-$Z153)/12)</f>
        <v>0</v>
      </c>
      <c r="AB153" s="14" t="n">
        <f aca="false">IF(OR($N153&lt;&gt;"Yes",$O153=""),0,$Y153*IF($Z153&lt;=7,12,19-$Z153)/12)</f>
        <v>0</v>
      </c>
      <c r="AC153" s="26" t="str">
        <f aca="false">IF(OR($J153="Yes",$L153="Yes",$N153="Yes"),"Yes","No")</f>
        <v>No</v>
      </c>
      <c r="AD153" s="14" t="n">
        <f aca="false">MAX($Q153,$U153,$Y153)</f>
        <v>0</v>
      </c>
      <c r="AE153" s="26" t="n">
        <f aca="false">$AD153+ROW()*0.000000001</f>
        <v>1.53E-007</v>
      </c>
      <c r="AF153" s="26" t="str">
        <f aca="false">IF($J153="Yes","A","")&amp;IF($L153="Yes","B","")&amp;IF($N153="Yes","C","")</f>
        <v/>
      </c>
    </row>
    <row r="154" customFormat="false" ht="15" hidden="false" customHeight="false" outlineLevel="0" collapsed="false">
      <c r="B154" s="22" t="s">
        <v>374</v>
      </c>
      <c r="C154" s="23" t="s">
        <v>116</v>
      </c>
      <c r="D154" s="23" t="s">
        <v>215</v>
      </c>
      <c r="E154" s="23" t="s">
        <v>375</v>
      </c>
      <c r="F154" s="22" t="s">
        <v>112</v>
      </c>
      <c r="G154" s="23" t="s">
        <v>58</v>
      </c>
      <c r="H154" s="24" t="n">
        <v>1</v>
      </c>
      <c r="I154" s="14" t="n">
        <v>0.2066</v>
      </c>
      <c r="J154" s="25" t="s">
        <v>59</v>
      </c>
      <c r="K154" s="25"/>
      <c r="L154" s="25" t="s">
        <v>59</v>
      </c>
      <c r="M154" s="25"/>
      <c r="N154" s="25" t="s">
        <v>59</v>
      </c>
      <c r="O154" s="25"/>
      <c r="P154" s="14" t="n">
        <v>0.2066</v>
      </c>
      <c r="Q154" s="14" t="n">
        <f aca="false">IF(AND($J154="Yes",$G154&lt;&gt;"Vendor day rates"),$I154-0.4*$P154,0)</f>
        <v>0</v>
      </c>
      <c r="R154" s="26" t="n">
        <f aca="false">IFERROR(MATCH($K154,MonthList,0),0)</f>
        <v>0</v>
      </c>
      <c r="S154" s="14" t="n">
        <f aca="false">IF(OR($J154&lt;&gt;"Yes",$K154=""),0,$Q154*MAX(0,7-$R154)/12)</f>
        <v>0</v>
      </c>
      <c r="T154" s="14" t="n">
        <f aca="false">IF(OR($J154&lt;&gt;"Yes",$K154=""),0,$Q154*IF($R154&lt;=7,12,19-$R154)/12)</f>
        <v>0</v>
      </c>
      <c r="U154" s="14" t="n">
        <f aca="false">IF(AND($L154="Yes",$G154&lt;&gt;"Vendor day rates"),$I154-0.4*$P154,0)</f>
        <v>0</v>
      </c>
      <c r="V154" s="26" t="n">
        <f aca="false">IFERROR(MATCH($M154,MonthList,0),0)</f>
        <v>0</v>
      </c>
      <c r="W154" s="14" t="n">
        <f aca="false">IF(OR($L154&lt;&gt;"Yes",$M154=""),0,$U154*MAX(0,7-$V154)/12)</f>
        <v>0</v>
      </c>
      <c r="X154" s="14" t="n">
        <f aca="false">IF(OR($L154&lt;&gt;"Yes",$M154=""),0,$U154*IF($V154&lt;=7,12,19-$V154)/12)</f>
        <v>0</v>
      </c>
      <c r="Y154" s="14" t="n">
        <f aca="false">IF(AND($N154="Yes",$G154&lt;&gt;"Vendor day rates"),$I154-0.4*$P154,0)</f>
        <v>0</v>
      </c>
      <c r="Z154" s="26" t="n">
        <f aca="false">IFERROR(MATCH($O154,MonthList,0),0)</f>
        <v>0</v>
      </c>
      <c r="AA154" s="14" t="n">
        <f aca="false">IF(OR($N154&lt;&gt;"Yes",$O154=""),0,$Y154*MAX(0,7-$Z154)/12)</f>
        <v>0</v>
      </c>
      <c r="AB154" s="14" t="n">
        <f aca="false">IF(OR($N154&lt;&gt;"Yes",$O154=""),0,$Y154*IF($Z154&lt;=7,12,19-$Z154)/12)</f>
        <v>0</v>
      </c>
      <c r="AC154" s="26" t="str">
        <f aca="false">IF(OR($J154="Yes",$L154="Yes",$N154="Yes"),"Yes","No")</f>
        <v>No</v>
      </c>
      <c r="AD154" s="14" t="n">
        <f aca="false">MAX($Q154,$U154,$Y154)</f>
        <v>0</v>
      </c>
      <c r="AE154" s="26" t="n">
        <f aca="false">$AD154+ROW()*0.000000001</f>
        <v>1.54E-007</v>
      </c>
      <c r="AF154" s="26" t="str">
        <f aca="false">IF($J154="Yes","A","")&amp;IF($L154="Yes","B","")&amp;IF($N154="Yes","C","")</f>
        <v/>
      </c>
    </row>
    <row r="155" customFormat="false" ht="15" hidden="false" customHeight="false" outlineLevel="0" collapsed="false">
      <c r="B155" s="22" t="s">
        <v>376</v>
      </c>
      <c r="C155" s="23" t="s">
        <v>351</v>
      </c>
      <c r="D155" s="23" t="s">
        <v>215</v>
      </c>
      <c r="E155" s="23" t="s">
        <v>373</v>
      </c>
      <c r="F155" s="22" t="s">
        <v>112</v>
      </c>
      <c r="G155" s="23" t="s">
        <v>58</v>
      </c>
      <c r="H155" s="24" t="n">
        <v>1</v>
      </c>
      <c r="I155" s="14" t="n">
        <v>0.0811</v>
      </c>
      <c r="J155" s="25" t="s">
        <v>59</v>
      </c>
      <c r="K155" s="25"/>
      <c r="L155" s="25" t="s">
        <v>59</v>
      </c>
      <c r="M155" s="25"/>
      <c r="N155" s="25" t="s">
        <v>59</v>
      </c>
      <c r="O155" s="25"/>
      <c r="P155" s="14" t="n">
        <v>0.0811</v>
      </c>
      <c r="Q155" s="14" t="n">
        <f aca="false">IF(AND($J155="Yes",$G155&lt;&gt;"Vendor day rates"),$I155-0.4*$P155,0)</f>
        <v>0</v>
      </c>
      <c r="R155" s="26" t="n">
        <f aca="false">IFERROR(MATCH($K155,MonthList,0),0)</f>
        <v>0</v>
      </c>
      <c r="S155" s="14" t="n">
        <f aca="false">IF(OR($J155&lt;&gt;"Yes",$K155=""),0,$Q155*MAX(0,7-$R155)/12)</f>
        <v>0</v>
      </c>
      <c r="T155" s="14" t="n">
        <f aca="false">IF(OR($J155&lt;&gt;"Yes",$K155=""),0,$Q155*IF($R155&lt;=7,12,19-$R155)/12)</f>
        <v>0</v>
      </c>
      <c r="U155" s="14" t="n">
        <f aca="false">IF(AND($L155="Yes",$G155&lt;&gt;"Vendor day rates"),$I155-0.4*$P155,0)</f>
        <v>0</v>
      </c>
      <c r="V155" s="26" t="n">
        <f aca="false">IFERROR(MATCH($M155,MonthList,0),0)</f>
        <v>0</v>
      </c>
      <c r="W155" s="14" t="n">
        <f aca="false">IF(OR($L155&lt;&gt;"Yes",$M155=""),0,$U155*MAX(0,7-$V155)/12)</f>
        <v>0</v>
      </c>
      <c r="X155" s="14" t="n">
        <f aca="false">IF(OR($L155&lt;&gt;"Yes",$M155=""),0,$U155*IF($V155&lt;=7,12,19-$V155)/12)</f>
        <v>0</v>
      </c>
      <c r="Y155" s="14" t="n">
        <f aca="false">IF(AND($N155="Yes",$G155&lt;&gt;"Vendor day rates"),$I155-0.4*$P155,0)</f>
        <v>0</v>
      </c>
      <c r="Z155" s="26" t="n">
        <f aca="false">IFERROR(MATCH($O155,MonthList,0),0)</f>
        <v>0</v>
      </c>
      <c r="AA155" s="14" t="n">
        <f aca="false">IF(OR($N155&lt;&gt;"Yes",$O155=""),0,$Y155*MAX(0,7-$Z155)/12)</f>
        <v>0</v>
      </c>
      <c r="AB155" s="14" t="n">
        <f aca="false">IF(OR($N155&lt;&gt;"Yes",$O155=""),0,$Y155*IF($Z155&lt;=7,12,19-$Z155)/12)</f>
        <v>0</v>
      </c>
      <c r="AC155" s="26" t="str">
        <f aca="false">IF(OR($J155="Yes",$L155="Yes",$N155="Yes"),"Yes","No")</f>
        <v>No</v>
      </c>
      <c r="AD155" s="14" t="n">
        <f aca="false">MAX($Q155,$U155,$Y155)</f>
        <v>0</v>
      </c>
      <c r="AE155" s="26" t="n">
        <f aca="false">$AD155+ROW()*0.000000001</f>
        <v>1.55E-007</v>
      </c>
      <c r="AF155" s="26" t="str">
        <f aca="false">IF($J155="Yes","A","")&amp;IF($L155="Yes","B","")&amp;IF($N155="Yes","C","")</f>
        <v/>
      </c>
    </row>
    <row r="156" customFormat="false" ht="15" hidden="false" customHeight="false" outlineLevel="0" collapsed="false">
      <c r="B156" s="22" t="s">
        <v>377</v>
      </c>
      <c r="C156" s="23" t="s">
        <v>351</v>
      </c>
      <c r="D156" s="23" t="s">
        <v>215</v>
      </c>
      <c r="E156" s="23" t="s">
        <v>373</v>
      </c>
      <c r="F156" s="22" t="s">
        <v>112</v>
      </c>
      <c r="G156" s="23" t="s">
        <v>58</v>
      </c>
      <c r="H156" s="24" t="n">
        <v>1</v>
      </c>
      <c r="I156" s="14" t="n">
        <v>0.1999</v>
      </c>
      <c r="J156" s="25" t="s">
        <v>59</v>
      </c>
      <c r="K156" s="25"/>
      <c r="L156" s="25" t="s">
        <v>59</v>
      </c>
      <c r="M156" s="25"/>
      <c r="N156" s="25" t="s">
        <v>59</v>
      </c>
      <c r="O156" s="25"/>
      <c r="P156" s="14" t="n">
        <v>0.1999</v>
      </c>
      <c r="Q156" s="14" t="n">
        <f aca="false">IF(AND($J156="Yes",$G156&lt;&gt;"Vendor day rates"),$I156-0.4*$P156,0)</f>
        <v>0</v>
      </c>
      <c r="R156" s="26" t="n">
        <f aca="false">IFERROR(MATCH($K156,MonthList,0),0)</f>
        <v>0</v>
      </c>
      <c r="S156" s="14" t="n">
        <f aca="false">IF(OR($J156&lt;&gt;"Yes",$K156=""),0,$Q156*MAX(0,7-$R156)/12)</f>
        <v>0</v>
      </c>
      <c r="T156" s="14" t="n">
        <f aca="false">IF(OR($J156&lt;&gt;"Yes",$K156=""),0,$Q156*IF($R156&lt;=7,12,19-$R156)/12)</f>
        <v>0</v>
      </c>
      <c r="U156" s="14" t="n">
        <f aca="false">IF(AND($L156="Yes",$G156&lt;&gt;"Vendor day rates"),$I156-0.4*$P156,0)</f>
        <v>0</v>
      </c>
      <c r="V156" s="26" t="n">
        <f aca="false">IFERROR(MATCH($M156,MonthList,0),0)</f>
        <v>0</v>
      </c>
      <c r="W156" s="14" t="n">
        <f aca="false">IF(OR($L156&lt;&gt;"Yes",$M156=""),0,$U156*MAX(0,7-$V156)/12)</f>
        <v>0</v>
      </c>
      <c r="X156" s="14" t="n">
        <f aca="false">IF(OR($L156&lt;&gt;"Yes",$M156=""),0,$U156*IF($V156&lt;=7,12,19-$V156)/12)</f>
        <v>0</v>
      </c>
      <c r="Y156" s="14" t="n">
        <f aca="false">IF(AND($N156="Yes",$G156&lt;&gt;"Vendor day rates"),$I156-0.4*$P156,0)</f>
        <v>0</v>
      </c>
      <c r="Z156" s="26" t="n">
        <f aca="false">IFERROR(MATCH($O156,MonthList,0),0)</f>
        <v>0</v>
      </c>
      <c r="AA156" s="14" t="n">
        <f aca="false">IF(OR($N156&lt;&gt;"Yes",$O156=""),0,$Y156*MAX(0,7-$Z156)/12)</f>
        <v>0</v>
      </c>
      <c r="AB156" s="14" t="n">
        <f aca="false">IF(OR($N156&lt;&gt;"Yes",$O156=""),0,$Y156*IF($Z156&lt;=7,12,19-$Z156)/12)</f>
        <v>0</v>
      </c>
      <c r="AC156" s="26" t="str">
        <f aca="false">IF(OR($J156="Yes",$L156="Yes",$N156="Yes"),"Yes","No")</f>
        <v>No</v>
      </c>
      <c r="AD156" s="14" t="n">
        <f aca="false">MAX($Q156,$U156,$Y156)</f>
        <v>0</v>
      </c>
      <c r="AE156" s="26" t="n">
        <f aca="false">$AD156+ROW()*0.000000001</f>
        <v>1.56E-007</v>
      </c>
      <c r="AF156" s="26" t="str">
        <f aca="false">IF($J156="Yes","A","")&amp;IF($L156="Yes","B","")&amp;IF($N156="Yes","C","")</f>
        <v/>
      </c>
    </row>
    <row r="157" customFormat="false" ht="15" hidden="false" customHeight="false" outlineLevel="0" collapsed="false">
      <c r="B157" s="22" t="s">
        <v>378</v>
      </c>
      <c r="C157" s="23" t="s">
        <v>379</v>
      </c>
      <c r="D157" s="23" t="s">
        <v>328</v>
      </c>
      <c r="E157" s="23" t="s">
        <v>328</v>
      </c>
      <c r="F157" s="22" t="s">
        <v>57</v>
      </c>
      <c r="G157" s="23" t="s">
        <v>58</v>
      </c>
      <c r="H157" s="24" t="n">
        <v>1</v>
      </c>
      <c r="I157" s="14" t="n">
        <v>0.238</v>
      </c>
      <c r="J157" s="25" t="s">
        <v>59</v>
      </c>
      <c r="K157" s="25"/>
      <c r="L157" s="25" t="s">
        <v>59</v>
      </c>
      <c r="M157" s="25"/>
      <c r="N157" s="25" t="s">
        <v>59</v>
      </c>
      <c r="O157" s="25"/>
      <c r="P157" s="14" t="n">
        <v>0.238</v>
      </c>
      <c r="Q157" s="14" t="n">
        <f aca="false">IF(AND($J157="Yes",$G157&lt;&gt;"Vendor day rates"),$I157-0.4*$P157,0)</f>
        <v>0</v>
      </c>
      <c r="R157" s="26" t="n">
        <f aca="false">IFERROR(MATCH($K157,MonthList,0),0)</f>
        <v>0</v>
      </c>
      <c r="S157" s="14" t="n">
        <f aca="false">IF(OR($J157&lt;&gt;"Yes",$K157=""),0,$Q157*MAX(0,7-$R157)/12)</f>
        <v>0</v>
      </c>
      <c r="T157" s="14" t="n">
        <f aca="false">IF(OR($J157&lt;&gt;"Yes",$K157=""),0,$Q157*IF($R157&lt;=7,12,19-$R157)/12)</f>
        <v>0</v>
      </c>
      <c r="U157" s="14" t="n">
        <f aca="false">IF(AND($L157="Yes",$G157&lt;&gt;"Vendor day rates"),$I157-0.4*$P157,0)</f>
        <v>0</v>
      </c>
      <c r="V157" s="26" t="n">
        <f aca="false">IFERROR(MATCH($M157,MonthList,0),0)</f>
        <v>0</v>
      </c>
      <c r="W157" s="14" t="n">
        <f aca="false">IF(OR($L157&lt;&gt;"Yes",$M157=""),0,$U157*MAX(0,7-$V157)/12)</f>
        <v>0</v>
      </c>
      <c r="X157" s="14" t="n">
        <f aca="false">IF(OR($L157&lt;&gt;"Yes",$M157=""),0,$U157*IF($V157&lt;=7,12,19-$V157)/12)</f>
        <v>0</v>
      </c>
      <c r="Y157" s="14" t="n">
        <f aca="false">IF(AND($N157="Yes",$G157&lt;&gt;"Vendor day rates"),$I157-0.4*$P157,0)</f>
        <v>0</v>
      </c>
      <c r="Z157" s="26" t="n">
        <f aca="false">IFERROR(MATCH($O157,MonthList,0),0)</f>
        <v>0</v>
      </c>
      <c r="AA157" s="14" t="n">
        <f aca="false">IF(OR($N157&lt;&gt;"Yes",$O157=""),0,$Y157*MAX(0,7-$Z157)/12)</f>
        <v>0</v>
      </c>
      <c r="AB157" s="14" t="n">
        <f aca="false">IF(OR($N157&lt;&gt;"Yes",$O157=""),0,$Y157*IF($Z157&lt;=7,12,19-$Z157)/12)</f>
        <v>0</v>
      </c>
      <c r="AC157" s="26" t="str">
        <f aca="false">IF(OR($J157="Yes",$L157="Yes",$N157="Yes"),"Yes","No")</f>
        <v>No</v>
      </c>
      <c r="AD157" s="14" t="n">
        <f aca="false">MAX($Q157,$U157,$Y157)</f>
        <v>0</v>
      </c>
      <c r="AE157" s="26" t="n">
        <f aca="false">$AD157+ROW()*0.000000001</f>
        <v>1.57E-007</v>
      </c>
      <c r="AF157" s="26" t="str">
        <f aca="false">IF($J157="Yes","A","")&amp;IF($L157="Yes","B","")&amp;IF($N157="Yes","C","")</f>
        <v/>
      </c>
    </row>
    <row r="158" customFormat="false" ht="15" hidden="false" customHeight="false" outlineLevel="0" collapsed="false">
      <c r="B158" s="22" t="s">
        <v>380</v>
      </c>
      <c r="C158" s="23" t="s">
        <v>116</v>
      </c>
      <c r="D158" s="23" t="s">
        <v>328</v>
      </c>
      <c r="E158" s="23" t="s">
        <v>328</v>
      </c>
      <c r="F158" s="22" t="s">
        <v>57</v>
      </c>
      <c r="G158" s="23" t="s">
        <v>58</v>
      </c>
      <c r="H158" s="24" t="n">
        <v>1</v>
      </c>
      <c r="I158" s="14" t="n">
        <v>0.2723</v>
      </c>
      <c r="J158" s="25" t="s">
        <v>59</v>
      </c>
      <c r="K158" s="25"/>
      <c r="L158" s="25" t="s">
        <v>59</v>
      </c>
      <c r="M158" s="25"/>
      <c r="N158" s="25" t="s">
        <v>59</v>
      </c>
      <c r="O158" s="25"/>
      <c r="P158" s="14" t="n">
        <v>0.2723</v>
      </c>
      <c r="Q158" s="14" t="n">
        <f aca="false">IF(AND($J158="Yes",$G158&lt;&gt;"Vendor day rates"),$I158-0.4*$P158,0)</f>
        <v>0</v>
      </c>
      <c r="R158" s="26" t="n">
        <f aca="false">IFERROR(MATCH($K158,MonthList,0),0)</f>
        <v>0</v>
      </c>
      <c r="S158" s="14" t="n">
        <f aca="false">IF(OR($J158&lt;&gt;"Yes",$K158=""),0,$Q158*MAX(0,7-$R158)/12)</f>
        <v>0</v>
      </c>
      <c r="T158" s="14" t="n">
        <f aca="false">IF(OR($J158&lt;&gt;"Yes",$K158=""),0,$Q158*IF($R158&lt;=7,12,19-$R158)/12)</f>
        <v>0</v>
      </c>
      <c r="U158" s="14" t="n">
        <f aca="false">IF(AND($L158="Yes",$G158&lt;&gt;"Vendor day rates"),$I158-0.4*$P158,0)</f>
        <v>0</v>
      </c>
      <c r="V158" s="26" t="n">
        <f aca="false">IFERROR(MATCH($M158,MonthList,0),0)</f>
        <v>0</v>
      </c>
      <c r="W158" s="14" t="n">
        <f aca="false">IF(OR($L158&lt;&gt;"Yes",$M158=""),0,$U158*MAX(0,7-$V158)/12)</f>
        <v>0</v>
      </c>
      <c r="X158" s="14" t="n">
        <f aca="false">IF(OR($L158&lt;&gt;"Yes",$M158=""),0,$U158*IF($V158&lt;=7,12,19-$V158)/12)</f>
        <v>0</v>
      </c>
      <c r="Y158" s="14" t="n">
        <f aca="false">IF(AND($N158="Yes",$G158&lt;&gt;"Vendor day rates"),$I158-0.4*$P158,0)</f>
        <v>0</v>
      </c>
      <c r="Z158" s="26" t="n">
        <f aca="false">IFERROR(MATCH($O158,MonthList,0),0)</f>
        <v>0</v>
      </c>
      <c r="AA158" s="14" t="n">
        <f aca="false">IF(OR($N158&lt;&gt;"Yes",$O158=""),0,$Y158*MAX(0,7-$Z158)/12)</f>
        <v>0</v>
      </c>
      <c r="AB158" s="14" t="n">
        <f aca="false">IF(OR($N158&lt;&gt;"Yes",$O158=""),0,$Y158*IF($Z158&lt;=7,12,19-$Z158)/12)</f>
        <v>0</v>
      </c>
      <c r="AC158" s="26" t="str">
        <f aca="false">IF(OR($J158="Yes",$L158="Yes",$N158="Yes"),"Yes","No")</f>
        <v>No</v>
      </c>
      <c r="AD158" s="14" t="n">
        <f aca="false">MAX($Q158,$U158,$Y158)</f>
        <v>0</v>
      </c>
      <c r="AE158" s="26" t="n">
        <f aca="false">$AD158+ROW()*0.000000001</f>
        <v>1.58E-007</v>
      </c>
      <c r="AF158" s="26" t="str">
        <f aca="false">IF($J158="Yes","A","")&amp;IF($L158="Yes","B","")&amp;IF($N158="Yes","C","")</f>
        <v/>
      </c>
    </row>
    <row r="159" customFormat="false" ht="15" hidden="false" customHeight="false" outlineLevel="0" collapsed="false">
      <c r="B159" s="22" t="s">
        <v>381</v>
      </c>
      <c r="C159" s="23" t="s">
        <v>382</v>
      </c>
      <c r="D159" s="23" t="s">
        <v>328</v>
      </c>
      <c r="E159" s="23" t="s">
        <v>328</v>
      </c>
      <c r="F159" s="22" t="s">
        <v>57</v>
      </c>
      <c r="G159" s="23" t="s">
        <v>58</v>
      </c>
      <c r="H159" s="24" t="n">
        <v>1</v>
      </c>
      <c r="I159" s="14" t="n">
        <v>0.2342</v>
      </c>
      <c r="J159" s="25" t="s">
        <v>59</v>
      </c>
      <c r="K159" s="25"/>
      <c r="L159" s="25" t="s">
        <v>59</v>
      </c>
      <c r="M159" s="25"/>
      <c r="N159" s="25" t="s">
        <v>59</v>
      </c>
      <c r="O159" s="25"/>
      <c r="P159" s="14" t="n">
        <v>0.2342</v>
      </c>
      <c r="Q159" s="14" t="n">
        <f aca="false">IF(AND($J159="Yes",$G159&lt;&gt;"Vendor day rates"),$I159-0.4*$P159,0)</f>
        <v>0</v>
      </c>
      <c r="R159" s="26" t="n">
        <f aca="false">IFERROR(MATCH($K159,MonthList,0),0)</f>
        <v>0</v>
      </c>
      <c r="S159" s="14" t="n">
        <f aca="false">IF(OR($J159&lt;&gt;"Yes",$K159=""),0,$Q159*MAX(0,7-$R159)/12)</f>
        <v>0</v>
      </c>
      <c r="T159" s="14" t="n">
        <f aca="false">IF(OR($J159&lt;&gt;"Yes",$K159=""),0,$Q159*IF($R159&lt;=7,12,19-$R159)/12)</f>
        <v>0</v>
      </c>
      <c r="U159" s="14" t="n">
        <f aca="false">IF(AND($L159="Yes",$G159&lt;&gt;"Vendor day rates"),$I159-0.4*$P159,0)</f>
        <v>0</v>
      </c>
      <c r="V159" s="26" t="n">
        <f aca="false">IFERROR(MATCH($M159,MonthList,0),0)</f>
        <v>0</v>
      </c>
      <c r="W159" s="14" t="n">
        <f aca="false">IF(OR($L159&lt;&gt;"Yes",$M159=""),0,$U159*MAX(0,7-$V159)/12)</f>
        <v>0</v>
      </c>
      <c r="X159" s="14" t="n">
        <f aca="false">IF(OR($L159&lt;&gt;"Yes",$M159=""),0,$U159*IF($V159&lt;=7,12,19-$V159)/12)</f>
        <v>0</v>
      </c>
      <c r="Y159" s="14" t="n">
        <f aca="false">IF(AND($N159="Yes",$G159&lt;&gt;"Vendor day rates"),$I159-0.4*$P159,0)</f>
        <v>0</v>
      </c>
      <c r="Z159" s="26" t="n">
        <f aca="false">IFERROR(MATCH($O159,MonthList,0),0)</f>
        <v>0</v>
      </c>
      <c r="AA159" s="14" t="n">
        <f aca="false">IF(OR($N159&lt;&gt;"Yes",$O159=""),0,$Y159*MAX(0,7-$Z159)/12)</f>
        <v>0</v>
      </c>
      <c r="AB159" s="14" t="n">
        <f aca="false">IF(OR($N159&lt;&gt;"Yes",$O159=""),0,$Y159*IF($Z159&lt;=7,12,19-$Z159)/12)</f>
        <v>0</v>
      </c>
      <c r="AC159" s="26" t="str">
        <f aca="false">IF(OR($J159="Yes",$L159="Yes",$N159="Yes"),"Yes","No")</f>
        <v>No</v>
      </c>
      <c r="AD159" s="14" t="n">
        <f aca="false">MAX($Q159,$U159,$Y159)</f>
        <v>0</v>
      </c>
      <c r="AE159" s="26" t="n">
        <f aca="false">$AD159+ROW()*0.000000001</f>
        <v>1.59E-007</v>
      </c>
      <c r="AF159" s="26" t="str">
        <f aca="false">IF($J159="Yes","A","")&amp;IF($L159="Yes","B","")&amp;IF($N159="Yes","C","")</f>
        <v/>
      </c>
    </row>
    <row r="160" customFormat="false" ht="15" hidden="false" customHeight="false" outlineLevel="0" collapsed="false">
      <c r="B160" s="22" t="s">
        <v>383</v>
      </c>
      <c r="C160" s="23" t="s">
        <v>384</v>
      </c>
      <c r="D160" s="23" t="s">
        <v>147</v>
      </c>
      <c r="E160" s="23" t="s">
        <v>253</v>
      </c>
      <c r="F160" s="22" t="s">
        <v>57</v>
      </c>
      <c r="G160" s="23" t="s">
        <v>121</v>
      </c>
      <c r="H160" s="24" t="n">
        <v>1</v>
      </c>
      <c r="I160" s="14" t="n">
        <v>0.0881</v>
      </c>
      <c r="J160" s="25" t="s">
        <v>59</v>
      </c>
      <c r="K160" s="25"/>
      <c r="L160" s="25" t="s">
        <v>59</v>
      </c>
      <c r="M160" s="25"/>
      <c r="N160" s="25" t="s">
        <v>59</v>
      </c>
      <c r="O160" s="25"/>
      <c r="P160" s="14" t="n">
        <v>0.2203</v>
      </c>
      <c r="Q160" s="14" t="n">
        <f aca="false">IF(AND($J160="Yes",$G160&lt;&gt;"Vendor day rates"),$I160-0.4*$P160,0)</f>
        <v>0</v>
      </c>
      <c r="R160" s="26" t="n">
        <f aca="false">IFERROR(MATCH($K160,MonthList,0),0)</f>
        <v>0</v>
      </c>
      <c r="S160" s="14" t="n">
        <f aca="false">IF(OR($J160&lt;&gt;"Yes",$K160=""),0,$Q160*MAX(0,7-$R160)/12)</f>
        <v>0</v>
      </c>
      <c r="T160" s="14" t="n">
        <f aca="false">IF(OR($J160&lt;&gt;"Yes",$K160=""),0,$Q160*IF($R160&lt;=7,12,19-$R160)/12)</f>
        <v>0</v>
      </c>
      <c r="U160" s="14" t="n">
        <f aca="false">IF(AND($L160="Yes",$G160&lt;&gt;"Vendor day rates"),$I160-0.4*$P160,0)</f>
        <v>0</v>
      </c>
      <c r="V160" s="26" t="n">
        <f aca="false">IFERROR(MATCH($M160,MonthList,0),0)</f>
        <v>0</v>
      </c>
      <c r="W160" s="14" t="n">
        <f aca="false">IF(OR($L160&lt;&gt;"Yes",$M160=""),0,$U160*MAX(0,7-$V160)/12)</f>
        <v>0</v>
      </c>
      <c r="X160" s="14" t="n">
        <f aca="false">IF(OR($L160&lt;&gt;"Yes",$M160=""),0,$U160*IF($V160&lt;=7,12,19-$V160)/12)</f>
        <v>0</v>
      </c>
      <c r="Y160" s="14" t="n">
        <f aca="false">IF(AND($N160="Yes",$G160&lt;&gt;"Vendor day rates"),$I160-0.4*$P160,0)</f>
        <v>0</v>
      </c>
      <c r="Z160" s="26" t="n">
        <f aca="false">IFERROR(MATCH($O160,MonthList,0),0)</f>
        <v>0</v>
      </c>
      <c r="AA160" s="14" t="n">
        <f aca="false">IF(OR($N160&lt;&gt;"Yes",$O160=""),0,$Y160*MAX(0,7-$Z160)/12)</f>
        <v>0</v>
      </c>
      <c r="AB160" s="14" t="n">
        <f aca="false">IF(OR($N160&lt;&gt;"Yes",$O160=""),0,$Y160*IF($Z160&lt;=7,12,19-$Z160)/12)</f>
        <v>0</v>
      </c>
      <c r="AC160" s="26" t="str">
        <f aca="false">IF(OR($J160="Yes",$L160="Yes",$N160="Yes"),"Yes","No")</f>
        <v>No</v>
      </c>
      <c r="AD160" s="14" t="n">
        <f aca="false">MAX($Q160,$U160,$Y160)</f>
        <v>0</v>
      </c>
      <c r="AE160" s="26" t="n">
        <f aca="false">$AD160+ROW()*0.000000001</f>
        <v>1.6E-007</v>
      </c>
      <c r="AF160" s="26" t="str">
        <f aca="false">IF($J160="Yes","A","")&amp;IF($L160="Yes","B","")&amp;IF($N160="Yes","C","")</f>
        <v/>
      </c>
    </row>
    <row r="161" customFormat="false" ht="15" hidden="false" customHeight="false" outlineLevel="0" collapsed="false">
      <c r="B161" s="22" t="s">
        <v>385</v>
      </c>
      <c r="C161" s="23" t="s">
        <v>386</v>
      </c>
      <c r="D161" s="23" t="s">
        <v>331</v>
      </c>
      <c r="E161" s="23" t="s">
        <v>130</v>
      </c>
      <c r="F161" s="22" t="s">
        <v>57</v>
      </c>
      <c r="G161" s="23" t="s">
        <v>149</v>
      </c>
      <c r="H161" s="24" t="n">
        <v>1</v>
      </c>
      <c r="I161" s="14" t="n">
        <v>0.2317</v>
      </c>
      <c r="J161" s="25" t="s">
        <v>59</v>
      </c>
      <c r="K161" s="25"/>
      <c r="L161" s="25" t="s">
        <v>59</v>
      </c>
      <c r="M161" s="25"/>
      <c r="N161" s="25" t="s">
        <v>59</v>
      </c>
      <c r="O161" s="25"/>
      <c r="P161" s="14" t="n">
        <v>0.2317</v>
      </c>
      <c r="Q161" s="14" t="n">
        <f aca="false">IF(AND($J161="Yes",$G161&lt;&gt;"Vendor day rates"),$I161-0.4*$P161,0)</f>
        <v>0</v>
      </c>
      <c r="R161" s="26" t="n">
        <f aca="false">IFERROR(MATCH($K161,MonthList,0),0)</f>
        <v>0</v>
      </c>
      <c r="S161" s="14" t="n">
        <f aca="false">IF(OR($J161&lt;&gt;"Yes",$K161=""),0,$Q161*MAX(0,7-$R161)/12)</f>
        <v>0</v>
      </c>
      <c r="T161" s="14" t="n">
        <f aca="false">IF(OR($J161&lt;&gt;"Yes",$K161=""),0,$Q161*IF($R161&lt;=7,12,19-$R161)/12)</f>
        <v>0</v>
      </c>
      <c r="U161" s="14" t="n">
        <f aca="false">IF(AND($L161="Yes",$G161&lt;&gt;"Vendor day rates"),$I161-0.4*$P161,0)</f>
        <v>0</v>
      </c>
      <c r="V161" s="26" t="n">
        <f aca="false">IFERROR(MATCH($M161,MonthList,0),0)</f>
        <v>0</v>
      </c>
      <c r="W161" s="14" t="n">
        <f aca="false">IF(OR($L161&lt;&gt;"Yes",$M161=""),0,$U161*MAX(0,7-$V161)/12)</f>
        <v>0</v>
      </c>
      <c r="X161" s="14" t="n">
        <f aca="false">IF(OR($L161&lt;&gt;"Yes",$M161=""),0,$U161*IF($V161&lt;=7,12,19-$V161)/12)</f>
        <v>0</v>
      </c>
      <c r="Y161" s="14" t="n">
        <f aca="false">IF(AND($N161="Yes",$G161&lt;&gt;"Vendor day rates"),$I161-0.4*$P161,0)</f>
        <v>0</v>
      </c>
      <c r="Z161" s="26" t="n">
        <f aca="false">IFERROR(MATCH($O161,MonthList,0),0)</f>
        <v>0</v>
      </c>
      <c r="AA161" s="14" t="n">
        <f aca="false">IF(OR($N161&lt;&gt;"Yes",$O161=""),0,$Y161*MAX(0,7-$Z161)/12)</f>
        <v>0</v>
      </c>
      <c r="AB161" s="14" t="n">
        <f aca="false">IF(OR($N161&lt;&gt;"Yes",$O161=""),0,$Y161*IF($Z161&lt;=7,12,19-$Z161)/12)</f>
        <v>0</v>
      </c>
      <c r="AC161" s="26" t="str">
        <f aca="false">IF(OR($J161="Yes",$L161="Yes",$N161="Yes"),"Yes","No")</f>
        <v>No</v>
      </c>
      <c r="AD161" s="14" t="n">
        <f aca="false">MAX($Q161,$U161,$Y161)</f>
        <v>0</v>
      </c>
      <c r="AE161" s="26" t="n">
        <f aca="false">$AD161+ROW()*0.000000001</f>
        <v>1.61E-007</v>
      </c>
      <c r="AF161" s="26" t="str">
        <f aca="false">IF($J161="Yes","A","")&amp;IF($L161="Yes","B","")&amp;IF($N161="Yes","C","")</f>
        <v/>
      </c>
    </row>
    <row r="162" customFormat="false" ht="15" hidden="false" customHeight="false" outlineLevel="0" collapsed="false">
      <c r="B162" s="22" t="s">
        <v>387</v>
      </c>
      <c r="C162" s="23" t="s">
        <v>238</v>
      </c>
      <c r="D162" s="23" t="s">
        <v>207</v>
      </c>
      <c r="E162" s="23" t="s">
        <v>388</v>
      </c>
      <c r="F162" s="22" t="s">
        <v>57</v>
      </c>
      <c r="G162" s="23" t="s">
        <v>58</v>
      </c>
      <c r="H162" s="24" t="n">
        <v>1</v>
      </c>
      <c r="I162" s="14" t="n">
        <v>0.2236</v>
      </c>
      <c r="J162" s="25" t="s">
        <v>59</v>
      </c>
      <c r="K162" s="25"/>
      <c r="L162" s="25" t="s">
        <v>59</v>
      </c>
      <c r="M162" s="25"/>
      <c r="N162" s="25" t="s">
        <v>59</v>
      </c>
      <c r="O162" s="25"/>
      <c r="P162" s="14" t="n">
        <v>0.2236</v>
      </c>
      <c r="Q162" s="14" t="n">
        <f aca="false">IF(AND($J162="Yes",$G162&lt;&gt;"Vendor day rates"),$I162-0.4*$P162,0)</f>
        <v>0</v>
      </c>
      <c r="R162" s="26" t="n">
        <f aca="false">IFERROR(MATCH($K162,MonthList,0),0)</f>
        <v>0</v>
      </c>
      <c r="S162" s="14" t="n">
        <f aca="false">IF(OR($J162&lt;&gt;"Yes",$K162=""),0,$Q162*MAX(0,7-$R162)/12)</f>
        <v>0</v>
      </c>
      <c r="T162" s="14" t="n">
        <f aca="false">IF(OR($J162&lt;&gt;"Yes",$K162=""),0,$Q162*IF($R162&lt;=7,12,19-$R162)/12)</f>
        <v>0</v>
      </c>
      <c r="U162" s="14" t="n">
        <f aca="false">IF(AND($L162="Yes",$G162&lt;&gt;"Vendor day rates"),$I162-0.4*$P162,0)</f>
        <v>0</v>
      </c>
      <c r="V162" s="26" t="n">
        <f aca="false">IFERROR(MATCH($M162,MonthList,0),0)</f>
        <v>0</v>
      </c>
      <c r="W162" s="14" t="n">
        <f aca="false">IF(OR($L162&lt;&gt;"Yes",$M162=""),0,$U162*MAX(0,7-$V162)/12)</f>
        <v>0</v>
      </c>
      <c r="X162" s="14" t="n">
        <f aca="false">IF(OR($L162&lt;&gt;"Yes",$M162=""),0,$U162*IF($V162&lt;=7,12,19-$V162)/12)</f>
        <v>0</v>
      </c>
      <c r="Y162" s="14" t="n">
        <f aca="false">IF(AND($N162="Yes",$G162&lt;&gt;"Vendor day rates"),$I162-0.4*$P162,0)</f>
        <v>0</v>
      </c>
      <c r="Z162" s="26" t="n">
        <f aca="false">IFERROR(MATCH($O162,MonthList,0),0)</f>
        <v>0</v>
      </c>
      <c r="AA162" s="14" t="n">
        <f aca="false">IF(OR($N162&lt;&gt;"Yes",$O162=""),0,$Y162*MAX(0,7-$Z162)/12)</f>
        <v>0</v>
      </c>
      <c r="AB162" s="14" t="n">
        <f aca="false">IF(OR($N162&lt;&gt;"Yes",$O162=""),0,$Y162*IF($Z162&lt;=7,12,19-$Z162)/12)</f>
        <v>0</v>
      </c>
      <c r="AC162" s="26" t="str">
        <f aca="false">IF(OR($J162="Yes",$L162="Yes",$N162="Yes"),"Yes","No")</f>
        <v>No</v>
      </c>
      <c r="AD162" s="14" t="n">
        <f aca="false">MAX($Q162,$U162,$Y162)</f>
        <v>0</v>
      </c>
      <c r="AE162" s="26" t="n">
        <f aca="false">$AD162+ROW()*0.000000001</f>
        <v>1.62E-007</v>
      </c>
      <c r="AF162" s="26" t="str">
        <f aca="false">IF($J162="Yes","A","")&amp;IF($L162="Yes","B","")&amp;IF($N162="Yes","C","")</f>
        <v/>
      </c>
    </row>
    <row r="163" customFormat="false" ht="15" hidden="false" customHeight="false" outlineLevel="0" collapsed="false">
      <c r="B163" s="22" t="s">
        <v>389</v>
      </c>
      <c r="C163" s="23" t="s">
        <v>390</v>
      </c>
      <c r="D163" s="23" t="s">
        <v>207</v>
      </c>
      <c r="E163" s="23" t="s">
        <v>388</v>
      </c>
      <c r="F163" s="22" t="s">
        <v>57</v>
      </c>
      <c r="G163" s="23" t="s">
        <v>58</v>
      </c>
      <c r="H163" s="24" t="n">
        <v>1</v>
      </c>
      <c r="I163" s="14" t="n">
        <v>0.2216</v>
      </c>
      <c r="J163" s="25" t="s">
        <v>59</v>
      </c>
      <c r="K163" s="25"/>
      <c r="L163" s="25" t="s">
        <v>59</v>
      </c>
      <c r="M163" s="25"/>
      <c r="N163" s="25" t="s">
        <v>59</v>
      </c>
      <c r="O163" s="25"/>
      <c r="P163" s="14" t="n">
        <v>0.2216</v>
      </c>
      <c r="Q163" s="14" t="n">
        <f aca="false">IF(AND($J163="Yes",$G163&lt;&gt;"Vendor day rates"),$I163-0.4*$P163,0)</f>
        <v>0</v>
      </c>
      <c r="R163" s="26" t="n">
        <f aca="false">IFERROR(MATCH($K163,MonthList,0),0)</f>
        <v>0</v>
      </c>
      <c r="S163" s="14" t="n">
        <f aca="false">IF(OR($J163&lt;&gt;"Yes",$K163=""),0,$Q163*MAX(0,7-$R163)/12)</f>
        <v>0</v>
      </c>
      <c r="T163" s="14" t="n">
        <f aca="false">IF(OR($J163&lt;&gt;"Yes",$K163=""),0,$Q163*IF($R163&lt;=7,12,19-$R163)/12)</f>
        <v>0</v>
      </c>
      <c r="U163" s="14" t="n">
        <f aca="false">IF(AND($L163="Yes",$G163&lt;&gt;"Vendor day rates"),$I163-0.4*$P163,0)</f>
        <v>0</v>
      </c>
      <c r="V163" s="26" t="n">
        <f aca="false">IFERROR(MATCH($M163,MonthList,0),0)</f>
        <v>0</v>
      </c>
      <c r="W163" s="14" t="n">
        <f aca="false">IF(OR($L163&lt;&gt;"Yes",$M163=""),0,$U163*MAX(0,7-$V163)/12)</f>
        <v>0</v>
      </c>
      <c r="X163" s="14" t="n">
        <f aca="false">IF(OR($L163&lt;&gt;"Yes",$M163=""),0,$U163*IF($V163&lt;=7,12,19-$V163)/12)</f>
        <v>0</v>
      </c>
      <c r="Y163" s="14" t="n">
        <f aca="false">IF(AND($N163="Yes",$G163&lt;&gt;"Vendor day rates"),$I163-0.4*$P163,0)</f>
        <v>0</v>
      </c>
      <c r="Z163" s="26" t="n">
        <f aca="false">IFERROR(MATCH($O163,MonthList,0),0)</f>
        <v>0</v>
      </c>
      <c r="AA163" s="14" t="n">
        <f aca="false">IF(OR($N163&lt;&gt;"Yes",$O163=""),0,$Y163*MAX(0,7-$Z163)/12)</f>
        <v>0</v>
      </c>
      <c r="AB163" s="14" t="n">
        <f aca="false">IF(OR($N163&lt;&gt;"Yes",$O163=""),0,$Y163*IF($Z163&lt;=7,12,19-$Z163)/12)</f>
        <v>0</v>
      </c>
      <c r="AC163" s="26" t="str">
        <f aca="false">IF(OR($J163="Yes",$L163="Yes",$N163="Yes"),"Yes","No")</f>
        <v>No</v>
      </c>
      <c r="AD163" s="14" t="n">
        <f aca="false">MAX($Q163,$U163,$Y163)</f>
        <v>0</v>
      </c>
      <c r="AE163" s="26" t="n">
        <f aca="false">$AD163+ROW()*0.000000001</f>
        <v>1.63E-007</v>
      </c>
      <c r="AF163" s="26" t="str">
        <f aca="false">IF($J163="Yes","A","")&amp;IF($L163="Yes","B","")&amp;IF($N163="Yes","C","")</f>
        <v/>
      </c>
    </row>
    <row r="164" customFormat="false" ht="15" hidden="false" customHeight="false" outlineLevel="0" collapsed="false">
      <c r="B164" s="22" t="s">
        <v>391</v>
      </c>
      <c r="C164" s="23" t="s">
        <v>116</v>
      </c>
      <c r="D164" s="23" t="s">
        <v>207</v>
      </c>
      <c r="E164" s="23" t="s">
        <v>388</v>
      </c>
      <c r="F164" s="22" t="s">
        <v>57</v>
      </c>
      <c r="G164" s="23" t="s">
        <v>149</v>
      </c>
      <c r="H164" s="24" t="n">
        <v>1</v>
      </c>
      <c r="I164" s="14" t="n">
        <v>0.2317</v>
      </c>
      <c r="J164" s="25" t="s">
        <v>59</v>
      </c>
      <c r="K164" s="25"/>
      <c r="L164" s="25" t="s">
        <v>59</v>
      </c>
      <c r="M164" s="25"/>
      <c r="N164" s="25" t="s">
        <v>59</v>
      </c>
      <c r="O164" s="25"/>
      <c r="P164" s="14" t="n">
        <v>0.2317</v>
      </c>
      <c r="Q164" s="14" t="n">
        <f aca="false">IF(AND($J164="Yes",$G164&lt;&gt;"Vendor day rates"),$I164-0.4*$P164,0)</f>
        <v>0</v>
      </c>
      <c r="R164" s="26" t="n">
        <f aca="false">IFERROR(MATCH($K164,MonthList,0),0)</f>
        <v>0</v>
      </c>
      <c r="S164" s="14" t="n">
        <f aca="false">IF(OR($J164&lt;&gt;"Yes",$K164=""),0,$Q164*MAX(0,7-$R164)/12)</f>
        <v>0</v>
      </c>
      <c r="T164" s="14" t="n">
        <f aca="false">IF(OR($J164&lt;&gt;"Yes",$K164=""),0,$Q164*IF($R164&lt;=7,12,19-$R164)/12)</f>
        <v>0</v>
      </c>
      <c r="U164" s="14" t="n">
        <f aca="false">IF(AND($L164="Yes",$G164&lt;&gt;"Vendor day rates"),$I164-0.4*$P164,0)</f>
        <v>0</v>
      </c>
      <c r="V164" s="26" t="n">
        <f aca="false">IFERROR(MATCH($M164,MonthList,0),0)</f>
        <v>0</v>
      </c>
      <c r="W164" s="14" t="n">
        <f aca="false">IF(OR($L164&lt;&gt;"Yes",$M164=""),0,$U164*MAX(0,7-$V164)/12)</f>
        <v>0</v>
      </c>
      <c r="X164" s="14" t="n">
        <f aca="false">IF(OR($L164&lt;&gt;"Yes",$M164=""),0,$U164*IF($V164&lt;=7,12,19-$V164)/12)</f>
        <v>0</v>
      </c>
      <c r="Y164" s="14" t="n">
        <f aca="false">IF(AND($N164="Yes",$G164&lt;&gt;"Vendor day rates"),$I164-0.4*$P164,0)</f>
        <v>0</v>
      </c>
      <c r="Z164" s="26" t="n">
        <f aca="false">IFERROR(MATCH($O164,MonthList,0),0)</f>
        <v>0</v>
      </c>
      <c r="AA164" s="14" t="n">
        <f aca="false">IF(OR($N164&lt;&gt;"Yes",$O164=""),0,$Y164*MAX(0,7-$Z164)/12)</f>
        <v>0</v>
      </c>
      <c r="AB164" s="14" t="n">
        <f aca="false">IF(OR($N164&lt;&gt;"Yes",$O164=""),0,$Y164*IF($Z164&lt;=7,12,19-$Z164)/12)</f>
        <v>0</v>
      </c>
      <c r="AC164" s="26" t="str">
        <f aca="false">IF(OR($J164="Yes",$L164="Yes",$N164="Yes"),"Yes","No")</f>
        <v>No</v>
      </c>
      <c r="AD164" s="14" t="n">
        <f aca="false">MAX($Q164,$U164,$Y164)</f>
        <v>0</v>
      </c>
      <c r="AE164" s="26" t="n">
        <f aca="false">$AD164+ROW()*0.000000001</f>
        <v>1.64E-007</v>
      </c>
      <c r="AF164" s="26" t="str">
        <f aca="false">IF($J164="Yes","A","")&amp;IF($L164="Yes","B","")&amp;IF($N164="Yes","C","")</f>
        <v/>
      </c>
    </row>
    <row r="165" customFormat="false" ht="15" hidden="false" customHeight="false" outlineLevel="0" collapsed="false">
      <c r="B165" s="22" t="s">
        <v>392</v>
      </c>
      <c r="C165" s="23" t="s">
        <v>393</v>
      </c>
      <c r="D165" s="23" t="s">
        <v>215</v>
      </c>
      <c r="E165" s="23" t="s">
        <v>394</v>
      </c>
      <c r="F165" s="22" t="s">
        <v>112</v>
      </c>
      <c r="G165" s="23" t="s">
        <v>58</v>
      </c>
      <c r="H165" s="24" t="n">
        <v>1</v>
      </c>
      <c r="I165" s="14" t="n">
        <v>0.1842</v>
      </c>
      <c r="J165" s="25" t="s">
        <v>59</v>
      </c>
      <c r="K165" s="25"/>
      <c r="L165" s="25" t="s">
        <v>59</v>
      </c>
      <c r="M165" s="25"/>
      <c r="N165" s="25" t="s">
        <v>59</v>
      </c>
      <c r="O165" s="25"/>
      <c r="P165" s="14" t="n">
        <v>0.1842</v>
      </c>
      <c r="Q165" s="14" t="n">
        <f aca="false">IF(AND($J165="Yes",$G165&lt;&gt;"Vendor day rates"),$I165-0.4*$P165,0)</f>
        <v>0</v>
      </c>
      <c r="R165" s="26" t="n">
        <f aca="false">IFERROR(MATCH($K165,MonthList,0),0)</f>
        <v>0</v>
      </c>
      <c r="S165" s="14" t="n">
        <f aca="false">IF(OR($J165&lt;&gt;"Yes",$K165=""),0,$Q165*MAX(0,7-$R165)/12)</f>
        <v>0</v>
      </c>
      <c r="T165" s="14" t="n">
        <f aca="false">IF(OR($J165&lt;&gt;"Yes",$K165=""),0,$Q165*IF($R165&lt;=7,12,19-$R165)/12)</f>
        <v>0</v>
      </c>
      <c r="U165" s="14" t="n">
        <f aca="false">IF(AND($L165="Yes",$G165&lt;&gt;"Vendor day rates"),$I165-0.4*$P165,0)</f>
        <v>0</v>
      </c>
      <c r="V165" s="26" t="n">
        <f aca="false">IFERROR(MATCH($M165,MonthList,0),0)</f>
        <v>0</v>
      </c>
      <c r="W165" s="14" t="n">
        <f aca="false">IF(OR($L165&lt;&gt;"Yes",$M165=""),0,$U165*MAX(0,7-$V165)/12)</f>
        <v>0</v>
      </c>
      <c r="X165" s="14" t="n">
        <f aca="false">IF(OR($L165&lt;&gt;"Yes",$M165=""),0,$U165*IF($V165&lt;=7,12,19-$V165)/12)</f>
        <v>0</v>
      </c>
      <c r="Y165" s="14" t="n">
        <f aca="false">IF(AND($N165="Yes",$G165&lt;&gt;"Vendor day rates"),$I165-0.4*$P165,0)</f>
        <v>0</v>
      </c>
      <c r="Z165" s="26" t="n">
        <f aca="false">IFERROR(MATCH($O165,MonthList,0),0)</f>
        <v>0</v>
      </c>
      <c r="AA165" s="14" t="n">
        <f aca="false">IF(OR($N165&lt;&gt;"Yes",$O165=""),0,$Y165*MAX(0,7-$Z165)/12)</f>
        <v>0</v>
      </c>
      <c r="AB165" s="14" t="n">
        <f aca="false">IF(OR($N165&lt;&gt;"Yes",$O165=""),0,$Y165*IF($Z165&lt;=7,12,19-$Z165)/12)</f>
        <v>0</v>
      </c>
      <c r="AC165" s="26" t="str">
        <f aca="false">IF(OR($J165="Yes",$L165="Yes",$N165="Yes"),"Yes","No")</f>
        <v>No</v>
      </c>
      <c r="AD165" s="14" t="n">
        <f aca="false">MAX($Q165,$U165,$Y165)</f>
        <v>0</v>
      </c>
      <c r="AE165" s="26" t="n">
        <f aca="false">$AD165+ROW()*0.000000001</f>
        <v>1.65E-007</v>
      </c>
      <c r="AF165" s="26" t="str">
        <f aca="false">IF($J165="Yes","A","")&amp;IF($L165="Yes","B","")&amp;IF($N165="Yes","C","")</f>
        <v/>
      </c>
    </row>
    <row r="166" customFormat="false" ht="15" hidden="false" customHeight="false" outlineLevel="0" collapsed="false">
      <c r="B166" s="22" t="s">
        <v>395</v>
      </c>
      <c r="C166" s="23" t="s">
        <v>396</v>
      </c>
      <c r="D166" s="23" t="s">
        <v>215</v>
      </c>
      <c r="E166" s="23" t="s">
        <v>375</v>
      </c>
      <c r="F166" s="22" t="s">
        <v>112</v>
      </c>
      <c r="G166" s="23" t="s">
        <v>58</v>
      </c>
      <c r="H166" s="24" t="n">
        <v>1</v>
      </c>
      <c r="I166" s="14" t="n">
        <v>0.1753</v>
      </c>
      <c r="J166" s="25" t="s">
        <v>59</v>
      </c>
      <c r="K166" s="25"/>
      <c r="L166" s="25" t="s">
        <v>59</v>
      </c>
      <c r="M166" s="25"/>
      <c r="N166" s="25" t="s">
        <v>59</v>
      </c>
      <c r="O166" s="25"/>
      <c r="P166" s="14" t="n">
        <v>0.1753</v>
      </c>
      <c r="Q166" s="14" t="n">
        <f aca="false">IF(AND($J166="Yes",$G166&lt;&gt;"Vendor day rates"),$I166-0.4*$P166,0)</f>
        <v>0</v>
      </c>
      <c r="R166" s="26" t="n">
        <f aca="false">IFERROR(MATCH($K166,MonthList,0),0)</f>
        <v>0</v>
      </c>
      <c r="S166" s="14" t="n">
        <f aca="false">IF(OR($J166&lt;&gt;"Yes",$K166=""),0,$Q166*MAX(0,7-$R166)/12)</f>
        <v>0</v>
      </c>
      <c r="T166" s="14" t="n">
        <f aca="false">IF(OR($J166&lt;&gt;"Yes",$K166=""),0,$Q166*IF($R166&lt;=7,12,19-$R166)/12)</f>
        <v>0</v>
      </c>
      <c r="U166" s="14" t="n">
        <f aca="false">IF(AND($L166="Yes",$G166&lt;&gt;"Vendor day rates"),$I166-0.4*$P166,0)</f>
        <v>0</v>
      </c>
      <c r="V166" s="26" t="n">
        <f aca="false">IFERROR(MATCH($M166,MonthList,0),0)</f>
        <v>0</v>
      </c>
      <c r="W166" s="14" t="n">
        <f aca="false">IF(OR($L166&lt;&gt;"Yes",$M166=""),0,$U166*MAX(0,7-$V166)/12)</f>
        <v>0</v>
      </c>
      <c r="X166" s="14" t="n">
        <f aca="false">IF(OR($L166&lt;&gt;"Yes",$M166=""),0,$U166*IF($V166&lt;=7,12,19-$V166)/12)</f>
        <v>0</v>
      </c>
      <c r="Y166" s="14" t="n">
        <f aca="false">IF(AND($N166="Yes",$G166&lt;&gt;"Vendor day rates"),$I166-0.4*$P166,0)</f>
        <v>0</v>
      </c>
      <c r="Z166" s="26" t="n">
        <f aca="false">IFERROR(MATCH($O166,MonthList,0),0)</f>
        <v>0</v>
      </c>
      <c r="AA166" s="14" t="n">
        <f aca="false">IF(OR($N166&lt;&gt;"Yes",$O166=""),0,$Y166*MAX(0,7-$Z166)/12)</f>
        <v>0</v>
      </c>
      <c r="AB166" s="14" t="n">
        <f aca="false">IF(OR($N166&lt;&gt;"Yes",$O166=""),0,$Y166*IF($Z166&lt;=7,12,19-$Z166)/12)</f>
        <v>0</v>
      </c>
      <c r="AC166" s="26" t="str">
        <f aca="false">IF(OR($J166="Yes",$L166="Yes",$N166="Yes"),"Yes","No")</f>
        <v>No</v>
      </c>
      <c r="AD166" s="14" t="n">
        <f aca="false">MAX($Q166,$U166,$Y166)</f>
        <v>0</v>
      </c>
      <c r="AE166" s="26" t="n">
        <f aca="false">$AD166+ROW()*0.000000001</f>
        <v>1.66E-007</v>
      </c>
      <c r="AF166" s="26" t="str">
        <f aca="false">IF($J166="Yes","A","")&amp;IF($L166="Yes","B","")&amp;IF($N166="Yes","C","")</f>
        <v/>
      </c>
    </row>
    <row r="167" customFormat="false" ht="15" hidden="false" customHeight="false" outlineLevel="0" collapsed="false">
      <c r="B167" s="22" t="s">
        <v>397</v>
      </c>
      <c r="C167" s="23" t="s">
        <v>351</v>
      </c>
      <c r="D167" s="23" t="s">
        <v>215</v>
      </c>
      <c r="E167" s="23" t="s">
        <v>375</v>
      </c>
      <c r="F167" s="22" t="s">
        <v>57</v>
      </c>
      <c r="G167" s="23" t="s">
        <v>304</v>
      </c>
      <c r="H167" s="24" t="n">
        <v>1</v>
      </c>
      <c r="I167" s="14" t="n">
        <v>0</v>
      </c>
      <c r="J167" s="25" t="s">
        <v>59</v>
      </c>
      <c r="K167" s="25"/>
      <c r="L167" s="25" t="s">
        <v>59</v>
      </c>
      <c r="M167" s="25"/>
      <c r="N167" s="25" t="s">
        <v>59</v>
      </c>
      <c r="O167" s="25"/>
      <c r="P167" s="14" t="n">
        <v>0.1705</v>
      </c>
      <c r="Q167" s="14" t="n">
        <f aca="false">IF(AND($J167="Yes",$G167&lt;&gt;"Vendor day rates"),$I167-0.4*$P167,0)</f>
        <v>0</v>
      </c>
      <c r="R167" s="26" t="n">
        <f aca="false">IFERROR(MATCH($K167,MonthList,0),0)</f>
        <v>0</v>
      </c>
      <c r="S167" s="14" t="n">
        <f aca="false">IF(OR($J167&lt;&gt;"Yes",$K167=""),0,$Q167*MAX(0,7-$R167)/12)</f>
        <v>0</v>
      </c>
      <c r="T167" s="14" t="n">
        <f aca="false">IF(OR($J167&lt;&gt;"Yes",$K167=""),0,$Q167*IF($R167&lt;=7,12,19-$R167)/12)</f>
        <v>0</v>
      </c>
      <c r="U167" s="14" t="n">
        <f aca="false">IF(AND($L167="Yes",$G167&lt;&gt;"Vendor day rates"),$I167-0.4*$P167,0)</f>
        <v>0</v>
      </c>
      <c r="V167" s="26" t="n">
        <f aca="false">IFERROR(MATCH($M167,MonthList,0),0)</f>
        <v>0</v>
      </c>
      <c r="W167" s="14" t="n">
        <f aca="false">IF(OR($L167&lt;&gt;"Yes",$M167=""),0,$U167*MAX(0,7-$V167)/12)</f>
        <v>0</v>
      </c>
      <c r="X167" s="14" t="n">
        <f aca="false">IF(OR($L167&lt;&gt;"Yes",$M167=""),0,$U167*IF($V167&lt;=7,12,19-$V167)/12)</f>
        <v>0</v>
      </c>
      <c r="Y167" s="14" t="n">
        <f aca="false">IF(AND($N167="Yes",$G167&lt;&gt;"Vendor day rates"),$I167-0.4*$P167,0)</f>
        <v>0</v>
      </c>
      <c r="Z167" s="26" t="n">
        <f aca="false">IFERROR(MATCH($O167,MonthList,0),0)</f>
        <v>0</v>
      </c>
      <c r="AA167" s="14" t="n">
        <f aca="false">IF(OR($N167&lt;&gt;"Yes",$O167=""),0,$Y167*MAX(0,7-$Z167)/12)</f>
        <v>0</v>
      </c>
      <c r="AB167" s="14" t="n">
        <f aca="false">IF(OR($N167&lt;&gt;"Yes",$O167=""),0,$Y167*IF($Z167&lt;=7,12,19-$Z167)/12)</f>
        <v>0</v>
      </c>
      <c r="AC167" s="26" t="str">
        <f aca="false">IF(OR($J167="Yes",$L167="Yes",$N167="Yes"),"Yes","No")</f>
        <v>No</v>
      </c>
      <c r="AD167" s="14" t="n">
        <f aca="false">MAX($Q167,$U167,$Y167)</f>
        <v>0</v>
      </c>
      <c r="AE167" s="26" t="n">
        <f aca="false">$AD167+ROW()*0.000000001</f>
        <v>1.67E-007</v>
      </c>
      <c r="AF167" s="26" t="str">
        <f aca="false">IF($J167="Yes","A","")&amp;IF($L167="Yes","B","")&amp;IF($N167="Yes","C","")</f>
        <v/>
      </c>
    </row>
    <row r="168" customFormat="false" ht="15" hidden="false" customHeight="false" outlineLevel="0" collapsed="false">
      <c r="B168" s="22" t="s">
        <v>398</v>
      </c>
      <c r="C168" s="23" t="s">
        <v>399</v>
      </c>
      <c r="D168" s="23" t="s">
        <v>55</v>
      </c>
      <c r="E168" s="23" t="s">
        <v>142</v>
      </c>
      <c r="F168" s="22" t="s">
        <v>57</v>
      </c>
      <c r="G168" s="23" t="s">
        <v>58</v>
      </c>
      <c r="H168" s="24" t="n">
        <v>1</v>
      </c>
      <c r="I168" s="14" t="n">
        <v>0.1555</v>
      </c>
      <c r="J168" s="25" t="s">
        <v>59</v>
      </c>
      <c r="K168" s="25"/>
      <c r="L168" s="25" t="s">
        <v>59</v>
      </c>
      <c r="M168" s="25"/>
      <c r="N168" s="25" t="s">
        <v>59</v>
      </c>
      <c r="O168" s="25"/>
      <c r="P168" s="14" t="n">
        <v>0.1555</v>
      </c>
      <c r="Q168" s="14" t="n">
        <f aca="false">IF(AND($J168="Yes",$G168&lt;&gt;"Vendor day rates"),$I168-0.4*$P168,0)</f>
        <v>0</v>
      </c>
      <c r="R168" s="26" t="n">
        <f aca="false">IFERROR(MATCH($K168,MonthList,0),0)</f>
        <v>0</v>
      </c>
      <c r="S168" s="14" t="n">
        <f aca="false">IF(OR($J168&lt;&gt;"Yes",$K168=""),0,$Q168*MAX(0,7-$R168)/12)</f>
        <v>0</v>
      </c>
      <c r="T168" s="14" t="n">
        <f aca="false">IF(OR($J168&lt;&gt;"Yes",$K168=""),0,$Q168*IF($R168&lt;=7,12,19-$R168)/12)</f>
        <v>0</v>
      </c>
      <c r="U168" s="14" t="n">
        <f aca="false">IF(AND($L168="Yes",$G168&lt;&gt;"Vendor day rates"),$I168-0.4*$P168,0)</f>
        <v>0</v>
      </c>
      <c r="V168" s="26" t="n">
        <f aca="false">IFERROR(MATCH($M168,MonthList,0),0)</f>
        <v>0</v>
      </c>
      <c r="W168" s="14" t="n">
        <f aca="false">IF(OR($L168&lt;&gt;"Yes",$M168=""),0,$U168*MAX(0,7-$V168)/12)</f>
        <v>0</v>
      </c>
      <c r="X168" s="14" t="n">
        <f aca="false">IF(OR($L168&lt;&gt;"Yes",$M168=""),0,$U168*IF($V168&lt;=7,12,19-$V168)/12)</f>
        <v>0</v>
      </c>
      <c r="Y168" s="14" t="n">
        <f aca="false">IF(AND($N168="Yes",$G168&lt;&gt;"Vendor day rates"),$I168-0.4*$P168,0)</f>
        <v>0</v>
      </c>
      <c r="Z168" s="26" t="n">
        <f aca="false">IFERROR(MATCH($O168,MonthList,0),0)</f>
        <v>0</v>
      </c>
      <c r="AA168" s="14" t="n">
        <f aca="false">IF(OR($N168&lt;&gt;"Yes",$O168=""),0,$Y168*MAX(0,7-$Z168)/12)</f>
        <v>0</v>
      </c>
      <c r="AB168" s="14" t="n">
        <f aca="false">IF(OR($N168&lt;&gt;"Yes",$O168=""),0,$Y168*IF($Z168&lt;=7,12,19-$Z168)/12)</f>
        <v>0</v>
      </c>
      <c r="AC168" s="26" t="str">
        <f aca="false">IF(OR($J168="Yes",$L168="Yes",$N168="Yes"),"Yes","No")</f>
        <v>No</v>
      </c>
      <c r="AD168" s="14" t="n">
        <f aca="false">MAX($Q168,$U168,$Y168)</f>
        <v>0</v>
      </c>
      <c r="AE168" s="26" t="n">
        <f aca="false">$AD168+ROW()*0.000000001</f>
        <v>1.68E-007</v>
      </c>
      <c r="AF168" s="26" t="str">
        <f aca="false">IF($J168="Yes","A","")&amp;IF($L168="Yes","B","")&amp;IF($N168="Yes","C","")</f>
        <v/>
      </c>
    </row>
    <row r="169" customFormat="false" ht="15" hidden="false" customHeight="false" outlineLevel="0" collapsed="false">
      <c r="B169" s="22" t="s">
        <v>400</v>
      </c>
      <c r="C169" s="23" t="s">
        <v>116</v>
      </c>
      <c r="D169" s="23" t="s">
        <v>207</v>
      </c>
      <c r="E169" s="23" t="s">
        <v>401</v>
      </c>
      <c r="F169" s="22" t="s">
        <v>112</v>
      </c>
      <c r="G169" s="23" t="s">
        <v>58</v>
      </c>
      <c r="H169" s="24" t="n">
        <v>1</v>
      </c>
      <c r="I169" s="14" t="n">
        <v>0.1917</v>
      </c>
      <c r="J169" s="25" t="s">
        <v>59</v>
      </c>
      <c r="K169" s="25"/>
      <c r="L169" s="25" t="s">
        <v>59</v>
      </c>
      <c r="M169" s="25"/>
      <c r="N169" s="25" t="s">
        <v>59</v>
      </c>
      <c r="O169" s="25"/>
      <c r="P169" s="14" t="n">
        <v>0.1917</v>
      </c>
      <c r="Q169" s="14" t="n">
        <f aca="false">IF(AND($J169="Yes",$G169&lt;&gt;"Vendor day rates"),$I169-0.4*$P169,0)</f>
        <v>0</v>
      </c>
      <c r="R169" s="26" t="n">
        <f aca="false">IFERROR(MATCH($K169,MonthList,0),0)</f>
        <v>0</v>
      </c>
      <c r="S169" s="14" t="n">
        <f aca="false">IF(OR($J169&lt;&gt;"Yes",$K169=""),0,$Q169*MAX(0,7-$R169)/12)</f>
        <v>0</v>
      </c>
      <c r="T169" s="14" t="n">
        <f aca="false">IF(OR($J169&lt;&gt;"Yes",$K169=""),0,$Q169*IF($R169&lt;=7,12,19-$R169)/12)</f>
        <v>0</v>
      </c>
      <c r="U169" s="14" t="n">
        <f aca="false">IF(AND($L169="Yes",$G169&lt;&gt;"Vendor day rates"),$I169-0.4*$P169,0)</f>
        <v>0</v>
      </c>
      <c r="V169" s="26" t="n">
        <f aca="false">IFERROR(MATCH($M169,MonthList,0),0)</f>
        <v>0</v>
      </c>
      <c r="W169" s="14" t="n">
        <f aca="false">IF(OR($L169&lt;&gt;"Yes",$M169=""),0,$U169*MAX(0,7-$V169)/12)</f>
        <v>0</v>
      </c>
      <c r="X169" s="14" t="n">
        <f aca="false">IF(OR($L169&lt;&gt;"Yes",$M169=""),0,$U169*IF($V169&lt;=7,12,19-$V169)/12)</f>
        <v>0</v>
      </c>
      <c r="Y169" s="14" t="n">
        <f aca="false">IF(AND($N169="Yes",$G169&lt;&gt;"Vendor day rates"),$I169-0.4*$P169,0)</f>
        <v>0</v>
      </c>
      <c r="Z169" s="26" t="n">
        <f aca="false">IFERROR(MATCH($O169,MonthList,0),0)</f>
        <v>0</v>
      </c>
      <c r="AA169" s="14" t="n">
        <f aca="false">IF(OR($N169&lt;&gt;"Yes",$O169=""),0,$Y169*MAX(0,7-$Z169)/12)</f>
        <v>0</v>
      </c>
      <c r="AB169" s="14" t="n">
        <f aca="false">IF(OR($N169&lt;&gt;"Yes",$O169=""),0,$Y169*IF($Z169&lt;=7,12,19-$Z169)/12)</f>
        <v>0</v>
      </c>
      <c r="AC169" s="26" t="str">
        <f aca="false">IF(OR($J169="Yes",$L169="Yes",$N169="Yes"),"Yes","No")</f>
        <v>No</v>
      </c>
      <c r="AD169" s="14" t="n">
        <f aca="false">MAX($Q169,$U169,$Y169)</f>
        <v>0</v>
      </c>
      <c r="AE169" s="26" t="n">
        <f aca="false">$AD169+ROW()*0.000000001</f>
        <v>1.69E-007</v>
      </c>
      <c r="AF169" s="26" t="str">
        <f aca="false">IF($J169="Yes","A","")&amp;IF($L169="Yes","B","")&amp;IF($N169="Yes","C","")</f>
        <v/>
      </c>
    </row>
    <row r="170" customFormat="false" ht="15" hidden="false" customHeight="false" outlineLevel="0" collapsed="false">
      <c r="B170" s="22" t="s">
        <v>402</v>
      </c>
      <c r="C170" s="23" t="s">
        <v>403</v>
      </c>
      <c r="D170" s="23" t="s">
        <v>207</v>
      </c>
      <c r="E170" s="23" t="s">
        <v>404</v>
      </c>
      <c r="F170" s="22" t="s">
        <v>112</v>
      </c>
      <c r="G170" s="23" t="s">
        <v>58</v>
      </c>
      <c r="H170" s="24" t="n">
        <v>1</v>
      </c>
      <c r="I170" s="14" t="n">
        <v>0.1842</v>
      </c>
      <c r="J170" s="25" t="s">
        <v>59</v>
      </c>
      <c r="K170" s="25"/>
      <c r="L170" s="25" t="s">
        <v>59</v>
      </c>
      <c r="M170" s="25"/>
      <c r="N170" s="25" t="s">
        <v>59</v>
      </c>
      <c r="O170" s="25"/>
      <c r="P170" s="14" t="n">
        <v>0.1842</v>
      </c>
      <c r="Q170" s="14" t="n">
        <f aca="false">IF(AND($J170="Yes",$G170&lt;&gt;"Vendor day rates"),$I170-0.4*$P170,0)</f>
        <v>0</v>
      </c>
      <c r="R170" s="26" t="n">
        <f aca="false">IFERROR(MATCH($K170,MonthList,0),0)</f>
        <v>0</v>
      </c>
      <c r="S170" s="14" t="n">
        <f aca="false">IF(OR($J170&lt;&gt;"Yes",$K170=""),0,$Q170*MAX(0,7-$R170)/12)</f>
        <v>0</v>
      </c>
      <c r="T170" s="14" t="n">
        <f aca="false">IF(OR($J170&lt;&gt;"Yes",$K170=""),0,$Q170*IF($R170&lt;=7,12,19-$R170)/12)</f>
        <v>0</v>
      </c>
      <c r="U170" s="14" t="n">
        <f aca="false">IF(AND($L170="Yes",$G170&lt;&gt;"Vendor day rates"),$I170-0.4*$P170,0)</f>
        <v>0</v>
      </c>
      <c r="V170" s="26" t="n">
        <f aca="false">IFERROR(MATCH($M170,MonthList,0),0)</f>
        <v>0</v>
      </c>
      <c r="W170" s="14" t="n">
        <f aca="false">IF(OR($L170&lt;&gt;"Yes",$M170=""),0,$U170*MAX(0,7-$V170)/12)</f>
        <v>0</v>
      </c>
      <c r="X170" s="14" t="n">
        <f aca="false">IF(OR($L170&lt;&gt;"Yes",$M170=""),0,$U170*IF($V170&lt;=7,12,19-$V170)/12)</f>
        <v>0</v>
      </c>
      <c r="Y170" s="14" t="n">
        <f aca="false">IF(AND($N170="Yes",$G170&lt;&gt;"Vendor day rates"),$I170-0.4*$P170,0)</f>
        <v>0</v>
      </c>
      <c r="Z170" s="26" t="n">
        <f aca="false">IFERROR(MATCH($O170,MonthList,0),0)</f>
        <v>0</v>
      </c>
      <c r="AA170" s="14" t="n">
        <f aca="false">IF(OR($N170&lt;&gt;"Yes",$O170=""),0,$Y170*MAX(0,7-$Z170)/12)</f>
        <v>0</v>
      </c>
      <c r="AB170" s="14" t="n">
        <f aca="false">IF(OR($N170&lt;&gt;"Yes",$O170=""),0,$Y170*IF($Z170&lt;=7,12,19-$Z170)/12)</f>
        <v>0</v>
      </c>
      <c r="AC170" s="26" t="str">
        <f aca="false">IF(OR($J170="Yes",$L170="Yes",$N170="Yes"),"Yes","No")</f>
        <v>No</v>
      </c>
      <c r="AD170" s="14" t="n">
        <f aca="false">MAX($Q170,$U170,$Y170)</f>
        <v>0</v>
      </c>
      <c r="AE170" s="26" t="n">
        <f aca="false">$AD170+ROW()*0.000000001</f>
        <v>1.7E-007</v>
      </c>
      <c r="AF170" s="26" t="str">
        <f aca="false">IF($J170="Yes","A","")&amp;IF($L170="Yes","B","")&amp;IF($N170="Yes","C","")</f>
        <v/>
      </c>
    </row>
    <row r="171" customFormat="false" ht="15" hidden="false" customHeight="false" outlineLevel="0" collapsed="false">
      <c r="B171" s="22" t="s">
        <v>405</v>
      </c>
      <c r="C171" s="23" t="s">
        <v>406</v>
      </c>
      <c r="D171" s="23" t="s">
        <v>207</v>
      </c>
      <c r="E171" s="23" t="s">
        <v>401</v>
      </c>
      <c r="F171" s="22" t="s">
        <v>57</v>
      </c>
      <c r="G171" s="23" t="s">
        <v>58</v>
      </c>
      <c r="H171" s="24" t="n">
        <v>1</v>
      </c>
      <c r="I171" s="14" t="n">
        <v>0.2506</v>
      </c>
      <c r="J171" s="25" t="s">
        <v>59</v>
      </c>
      <c r="K171" s="25"/>
      <c r="L171" s="25" t="s">
        <v>59</v>
      </c>
      <c r="M171" s="25"/>
      <c r="N171" s="25" t="s">
        <v>59</v>
      </c>
      <c r="O171" s="25"/>
      <c r="P171" s="14" t="n">
        <v>0.2506</v>
      </c>
      <c r="Q171" s="14" t="n">
        <f aca="false">IF(AND($J171="Yes",$G171&lt;&gt;"Vendor day rates"),$I171-0.4*$P171,0)</f>
        <v>0</v>
      </c>
      <c r="R171" s="26" t="n">
        <f aca="false">IFERROR(MATCH($K171,MonthList,0),0)</f>
        <v>0</v>
      </c>
      <c r="S171" s="14" t="n">
        <f aca="false">IF(OR($J171&lt;&gt;"Yes",$K171=""),0,$Q171*MAX(0,7-$R171)/12)</f>
        <v>0</v>
      </c>
      <c r="T171" s="14" t="n">
        <f aca="false">IF(OR($J171&lt;&gt;"Yes",$K171=""),0,$Q171*IF($R171&lt;=7,12,19-$R171)/12)</f>
        <v>0</v>
      </c>
      <c r="U171" s="14" t="n">
        <f aca="false">IF(AND($L171="Yes",$G171&lt;&gt;"Vendor day rates"),$I171-0.4*$P171,0)</f>
        <v>0</v>
      </c>
      <c r="V171" s="26" t="n">
        <f aca="false">IFERROR(MATCH($M171,MonthList,0),0)</f>
        <v>0</v>
      </c>
      <c r="W171" s="14" t="n">
        <f aca="false">IF(OR($L171&lt;&gt;"Yes",$M171=""),0,$U171*MAX(0,7-$V171)/12)</f>
        <v>0</v>
      </c>
      <c r="X171" s="14" t="n">
        <f aca="false">IF(OR($L171&lt;&gt;"Yes",$M171=""),0,$U171*IF($V171&lt;=7,12,19-$V171)/12)</f>
        <v>0</v>
      </c>
      <c r="Y171" s="14" t="n">
        <f aca="false">IF(AND($N171="Yes",$G171&lt;&gt;"Vendor day rates"),$I171-0.4*$P171,0)</f>
        <v>0</v>
      </c>
      <c r="Z171" s="26" t="n">
        <f aca="false">IFERROR(MATCH($O171,MonthList,0),0)</f>
        <v>0</v>
      </c>
      <c r="AA171" s="14" t="n">
        <f aca="false">IF(OR($N171&lt;&gt;"Yes",$O171=""),0,$Y171*MAX(0,7-$Z171)/12)</f>
        <v>0</v>
      </c>
      <c r="AB171" s="14" t="n">
        <f aca="false">IF(OR($N171&lt;&gt;"Yes",$O171=""),0,$Y171*IF($Z171&lt;=7,12,19-$Z171)/12)</f>
        <v>0</v>
      </c>
      <c r="AC171" s="26" t="str">
        <f aca="false">IF(OR($J171="Yes",$L171="Yes",$N171="Yes"),"Yes","No")</f>
        <v>No</v>
      </c>
      <c r="AD171" s="14" t="n">
        <f aca="false">MAX($Q171,$U171,$Y171)</f>
        <v>0</v>
      </c>
      <c r="AE171" s="26" t="n">
        <f aca="false">$AD171+ROW()*0.000000001</f>
        <v>1.71E-007</v>
      </c>
      <c r="AF171" s="26" t="str">
        <f aca="false">IF($J171="Yes","A","")&amp;IF($L171="Yes","B","")&amp;IF($N171="Yes","C","")</f>
        <v/>
      </c>
    </row>
    <row r="172" customFormat="false" ht="15" hidden="false" customHeight="false" outlineLevel="0" collapsed="false">
      <c r="B172" s="22" t="s">
        <v>407</v>
      </c>
      <c r="C172" s="23" t="s">
        <v>408</v>
      </c>
      <c r="D172" s="23" t="s">
        <v>147</v>
      </c>
      <c r="E172" s="23" t="s">
        <v>409</v>
      </c>
      <c r="F172" s="22" t="s">
        <v>57</v>
      </c>
      <c r="G172" s="23" t="s">
        <v>58</v>
      </c>
      <c r="H172" s="24" t="n">
        <v>1</v>
      </c>
      <c r="I172" s="14" t="n">
        <v>0.2587</v>
      </c>
      <c r="J172" s="25" t="s">
        <v>59</v>
      </c>
      <c r="K172" s="25"/>
      <c r="L172" s="25" t="s">
        <v>59</v>
      </c>
      <c r="M172" s="25"/>
      <c r="N172" s="25" t="s">
        <v>59</v>
      </c>
      <c r="O172" s="25"/>
      <c r="P172" s="14" t="n">
        <v>0.2587</v>
      </c>
      <c r="Q172" s="14" t="n">
        <f aca="false">IF(AND($J172="Yes",$G172&lt;&gt;"Vendor day rates"),$I172-0.4*$P172,0)</f>
        <v>0</v>
      </c>
      <c r="R172" s="26" t="n">
        <f aca="false">IFERROR(MATCH($K172,MonthList,0),0)</f>
        <v>0</v>
      </c>
      <c r="S172" s="14" t="n">
        <f aca="false">IF(OR($J172&lt;&gt;"Yes",$K172=""),0,$Q172*MAX(0,7-$R172)/12)</f>
        <v>0</v>
      </c>
      <c r="T172" s="14" t="n">
        <f aca="false">IF(OR($J172&lt;&gt;"Yes",$K172=""),0,$Q172*IF($R172&lt;=7,12,19-$R172)/12)</f>
        <v>0</v>
      </c>
      <c r="U172" s="14" t="n">
        <f aca="false">IF(AND($L172="Yes",$G172&lt;&gt;"Vendor day rates"),$I172-0.4*$P172,0)</f>
        <v>0</v>
      </c>
      <c r="V172" s="26" t="n">
        <f aca="false">IFERROR(MATCH($M172,MonthList,0),0)</f>
        <v>0</v>
      </c>
      <c r="W172" s="14" t="n">
        <f aca="false">IF(OR($L172&lt;&gt;"Yes",$M172=""),0,$U172*MAX(0,7-$V172)/12)</f>
        <v>0</v>
      </c>
      <c r="X172" s="14" t="n">
        <f aca="false">IF(OR($L172&lt;&gt;"Yes",$M172=""),0,$U172*IF($V172&lt;=7,12,19-$V172)/12)</f>
        <v>0</v>
      </c>
      <c r="Y172" s="14" t="n">
        <f aca="false">IF(AND($N172="Yes",$G172&lt;&gt;"Vendor day rates"),$I172-0.4*$P172,0)</f>
        <v>0</v>
      </c>
      <c r="Z172" s="26" t="n">
        <f aca="false">IFERROR(MATCH($O172,MonthList,0),0)</f>
        <v>0</v>
      </c>
      <c r="AA172" s="14" t="n">
        <f aca="false">IF(OR($N172&lt;&gt;"Yes",$O172=""),0,$Y172*MAX(0,7-$Z172)/12)</f>
        <v>0</v>
      </c>
      <c r="AB172" s="14" t="n">
        <f aca="false">IF(OR($N172&lt;&gt;"Yes",$O172=""),0,$Y172*IF($Z172&lt;=7,12,19-$Z172)/12)</f>
        <v>0</v>
      </c>
      <c r="AC172" s="26" t="str">
        <f aca="false">IF(OR($J172="Yes",$L172="Yes",$N172="Yes"),"Yes","No")</f>
        <v>No</v>
      </c>
      <c r="AD172" s="14" t="n">
        <f aca="false">MAX($Q172,$U172,$Y172)</f>
        <v>0</v>
      </c>
      <c r="AE172" s="26" t="n">
        <f aca="false">$AD172+ROW()*0.000000001</f>
        <v>1.72E-007</v>
      </c>
      <c r="AF172" s="26" t="str">
        <f aca="false">IF($J172="Yes","A","")&amp;IF($L172="Yes","B","")&amp;IF($N172="Yes","C","")</f>
        <v/>
      </c>
    </row>
    <row r="173" customFormat="false" ht="15" hidden="false" customHeight="false" outlineLevel="0" collapsed="false">
      <c r="B173" s="22" t="s">
        <v>410</v>
      </c>
      <c r="C173" s="23" t="s">
        <v>411</v>
      </c>
      <c r="D173" s="23" t="s">
        <v>147</v>
      </c>
      <c r="E173" s="23" t="s">
        <v>259</v>
      </c>
      <c r="F173" s="22" t="s">
        <v>57</v>
      </c>
      <c r="G173" s="23" t="s">
        <v>58</v>
      </c>
      <c r="H173" s="24" t="n">
        <v>1</v>
      </c>
      <c r="I173" s="14" t="n">
        <v>0.285</v>
      </c>
      <c r="J173" s="25" t="s">
        <v>59</v>
      </c>
      <c r="K173" s="25"/>
      <c r="L173" s="25" t="s">
        <v>59</v>
      </c>
      <c r="M173" s="25"/>
      <c r="N173" s="25" t="s">
        <v>59</v>
      </c>
      <c r="O173" s="25"/>
      <c r="P173" s="14" t="n">
        <v>0.285</v>
      </c>
      <c r="Q173" s="14" t="n">
        <f aca="false">IF(AND($J173="Yes",$G173&lt;&gt;"Vendor day rates"),$I173-0.4*$P173,0)</f>
        <v>0</v>
      </c>
      <c r="R173" s="26" t="n">
        <f aca="false">IFERROR(MATCH($K173,MonthList,0),0)</f>
        <v>0</v>
      </c>
      <c r="S173" s="14" t="n">
        <f aca="false">IF(OR($J173&lt;&gt;"Yes",$K173=""),0,$Q173*MAX(0,7-$R173)/12)</f>
        <v>0</v>
      </c>
      <c r="T173" s="14" t="n">
        <f aca="false">IF(OR($J173&lt;&gt;"Yes",$K173=""),0,$Q173*IF($R173&lt;=7,12,19-$R173)/12)</f>
        <v>0</v>
      </c>
      <c r="U173" s="14" t="n">
        <f aca="false">IF(AND($L173="Yes",$G173&lt;&gt;"Vendor day rates"),$I173-0.4*$P173,0)</f>
        <v>0</v>
      </c>
      <c r="V173" s="26" t="n">
        <f aca="false">IFERROR(MATCH($M173,MonthList,0),0)</f>
        <v>0</v>
      </c>
      <c r="W173" s="14" t="n">
        <f aca="false">IF(OR($L173&lt;&gt;"Yes",$M173=""),0,$U173*MAX(0,7-$V173)/12)</f>
        <v>0</v>
      </c>
      <c r="X173" s="14" t="n">
        <f aca="false">IF(OR($L173&lt;&gt;"Yes",$M173=""),0,$U173*IF($V173&lt;=7,12,19-$V173)/12)</f>
        <v>0</v>
      </c>
      <c r="Y173" s="14" t="n">
        <f aca="false">IF(AND($N173="Yes",$G173&lt;&gt;"Vendor day rates"),$I173-0.4*$P173,0)</f>
        <v>0</v>
      </c>
      <c r="Z173" s="26" t="n">
        <f aca="false">IFERROR(MATCH($O173,MonthList,0),0)</f>
        <v>0</v>
      </c>
      <c r="AA173" s="14" t="n">
        <f aca="false">IF(OR($N173&lt;&gt;"Yes",$O173=""),0,$Y173*MAX(0,7-$Z173)/12)</f>
        <v>0</v>
      </c>
      <c r="AB173" s="14" t="n">
        <f aca="false">IF(OR($N173&lt;&gt;"Yes",$O173=""),0,$Y173*IF($Z173&lt;=7,12,19-$Z173)/12)</f>
        <v>0</v>
      </c>
      <c r="AC173" s="26" t="str">
        <f aca="false">IF(OR($J173="Yes",$L173="Yes",$N173="Yes"),"Yes","No")</f>
        <v>No</v>
      </c>
      <c r="AD173" s="14" t="n">
        <f aca="false">MAX($Q173,$U173,$Y173)</f>
        <v>0</v>
      </c>
      <c r="AE173" s="26" t="n">
        <f aca="false">$AD173+ROW()*0.000000001</f>
        <v>1.73E-007</v>
      </c>
      <c r="AF173" s="26" t="str">
        <f aca="false">IF($J173="Yes","A","")&amp;IF($L173="Yes","B","")&amp;IF($N173="Yes","C","")</f>
        <v/>
      </c>
    </row>
    <row r="174" customFormat="false" ht="15" hidden="false" customHeight="false" outlineLevel="0" collapsed="false">
      <c r="B174" s="22" t="s">
        <v>412</v>
      </c>
      <c r="C174" s="23" t="s">
        <v>413</v>
      </c>
      <c r="D174" s="23" t="s">
        <v>172</v>
      </c>
      <c r="E174" s="23" t="s">
        <v>414</v>
      </c>
      <c r="F174" s="22" t="s">
        <v>57</v>
      </c>
      <c r="G174" s="23" t="s">
        <v>58</v>
      </c>
      <c r="H174" s="24" t="n">
        <v>1</v>
      </c>
      <c r="I174" s="14" t="n">
        <v>0.2554</v>
      </c>
      <c r="J174" s="25" t="s">
        <v>59</v>
      </c>
      <c r="K174" s="25"/>
      <c r="L174" s="25" t="s">
        <v>59</v>
      </c>
      <c r="M174" s="25"/>
      <c r="N174" s="25" t="s">
        <v>59</v>
      </c>
      <c r="O174" s="25"/>
      <c r="P174" s="14" t="n">
        <v>0.2554</v>
      </c>
      <c r="Q174" s="14" t="n">
        <f aca="false">IF(AND($J174="Yes",$G174&lt;&gt;"Vendor day rates"),$I174-0.4*$P174,0)</f>
        <v>0</v>
      </c>
      <c r="R174" s="26" t="n">
        <f aca="false">IFERROR(MATCH($K174,MonthList,0),0)</f>
        <v>0</v>
      </c>
      <c r="S174" s="14" t="n">
        <f aca="false">IF(OR($J174&lt;&gt;"Yes",$K174=""),0,$Q174*MAX(0,7-$R174)/12)</f>
        <v>0</v>
      </c>
      <c r="T174" s="14" t="n">
        <f aca="false">IF(OR($J174&lt;&gt;"Yes",$K174=""),0,$Q174*IF($R174&lt;=7,12,19-$R174)/12)</f>
        <v>0</v>
      </c>
      <c r="U174" s="14" t="n">
        <f aca="false">IF(AND($L174="Yes",$G174&lt;&gt;"Vendor day rates"),$I174-0.4*$P174,0)</f>
        <v>0</v>
      </c>
      <c r="V174" s="26" t="n">
        <f aca="false">IFERROR(MATCH($M174,MonthList,0),0)</f>
        <v>0</v>
      </c>
      <c r="W174" s="14" t="n">
        <f aca="false">IF(OR($L174&lt;&gt;"Yes",$M174=""),0,$U174*MAX(0,7-$V174)/12)</f>
        <v>0</v>
      </c>
      <c r="X174" s="14" t="n">
        <f aca="false">IF(OR($L174&lt;&gt;"Yes",$M174=""),0,$U174*IF($V174&lt;=7,12,19-$V174)/12)</f>
        <v>0</v>
      </c>
      <c r="Y174" s="14" t="n">
        <f aca="false">IF(AND($N174="Yes",$G174&lt;&gt;"Vendor day rates"),$I174-0.4*$P174,0)</f>
        <v>0</v>
      </c>
      <c r="Z174" s="26" t="n">
        <f aca="false">IFERROR(MATCH($O174,MonthList,0),0)</f>
        <v>0</v>
      </c>
      <c r="AA174" s="14" t="n">
        <f aca="false">IF(OR($N174&lt;&gt;"Yes",$O174=""),0,$Y174*MAX(0,7-$Z174)/12)</f>
        <v>0</v>
      </c>
      <c r="AB174" s="14" t="n">
        <f aca="false">IF(OR($N174&lt;&gt;"Yes",$O174=""),0,$Y174*IF($Z174&lt;=7,12,19-$Z174)/12)</f>
        <v>0</v>
      </c>
      <c r="AC174" s="26" t="str">
        <f aca="false">IF(OR($J174="Yes",$L174="Yes",$N174="Yes"),"Yes","No")</f>
        <v>No</v>
      </c>
      <c r="AD174" s="14" t="n">
        <f aca="false">MAX($Q174,$U174,$Y174)</f>
        <v>0</v>
      </c>
      <c r="AE174" s="26" t="n">
        <f aca="false">$AD174+ROW()*0.000000001</f>
        <v>1.74E-007</v>
      </c>
      <c r="AF174" s="26" t="str">
        <f aca="false">IF($J174="Yes","A","")&amp;IF($L174="Yes","B","")&amp;IF($N174="Yes","C","")</f>
        <v/>
      </c>
    </row>
    <row r="175" customFormat="false" ht="15" hidden="false" customHeight="false" outlineLevel="0" collapsed="false">
      <c r="B175" s="22" t="s">
        <v>415</v>
      </c>
      <c r="C175" s="23" t="s">
        <v>416</v>
      </c>
      <c r="D175" s="23" t="s">
        <v>172</v>
      </c>
      <c r="E175" s="23" t="s">
        <v>265</v>
      </c>
      <c r="F175" s="22" t="s">
        <v>112</v>
      </c>
      <c r="G175" s="23" t="s">
        <v>58</v>
      </c>
      <c r="H175" s="24" t="n">
        <v>1</v>
      </c>
      <c r="I175" s="14" t="n">
        <v>0.204</v>
      </c>
      <c r="J175" s="25" t="s">
        <v>59</v>
      </c>
      <c r="K175" s="25"/>
      <c r="L175" s="25" t="s">
        <v>59</v>
      </c>
      <c r="M175" s="25"/>
      <c r="N175" s="25" t="s">
        <v>59</v>
      </c>
      <c r="O175" s="25"/>
      <c r="P175" s="14" t="n">
        <v>0.204</v>
      </c>
      <c r="Q175" s="14" t="n">
        <f aca="false">IF(AND($J175="Yes",$G175&lt;&gt;"Vendor day rates"),$I175-0.4*$P175,0)</f>
        <v>0</v>
      </c>
      <c r="R175" s="26" t="n">
        <f aca="false">IFERROR(MATCH($K175,MonthList,0),0)</f>
        <v>0</v>
      </c>
      <c r="S175" s="14" t="n">
        <f aca="false">IF(OR($J175&lt;&gt;"Yes",$K175=""),0,$Q175*MAX(0,7-$R175)/12)</f>
        <v>0</v>
      </c>
      <c r="T175" s="14" t="n">
        <f aca="false">IF(OR($J175&lt;&gt;"Yes",$K175=""),0,$Q175*IF($R175&lt;=7,12,19-$R175)/12)</f>
        <v>0</v>
      </c>
      <c r="U175" s="14" t="n">
        <f aca="false">IF(AND($L175="Yes",$G175&lt;&gt;"Vendor day rates"),$I175-0.4*$P175,0)</f>
        <v>0</v>
      </c>
      <c r="V175" s="26" t="n">
        <f aca="false">IFERROR(MATCH($M175,MonthList,0),0)</f>
        <v>0</v>
      </c>
      <c r="W175" s="14" t="n">
        <f aca="false">IF(OR($L175&lt;&gt;"Yes",$M175=""),0,$U175*MAX(0,7-$V175)/12)</f>
        <v>0</v>
      </c>
      <c r="X175" s="14" t="n">
        <f aca="false">IF(OR($L175&lt;&gt;"Yes",$M175=""),0,$U175*IF($V175&lt;=7,12,19-$V175)/12)</f>
        <v>0</v>
      </c>
      <c r="Y175" s="14" t="n">
        <f aca="false">IF(AND($N175="Yes",$G175&lt;&gt;"Vendor day rates"),$I175-0.4*$P175,0)</f>
        <v>0</v>
      </c>
      <c r="Z175" s="26" t="n">
        <f aca="false">IFERROR(MATCH($O175,MonthList,0),0)</f>
        <v>0</v>
      </c>
      <c r="AA175" s="14" t="n">
        <f aca="false">IF(OR($N175&lt;&gt;"Yes",$O175=""),0,$Y175*MAX(0,7-$Z175)/12)</f>
        <v>0</v>
      </c>
      <c r="AB175" s="14" t="n">
        <f aca="false">IF(OR($N175&lt;&gt;"Yes",$O175=""),0,$Y175*IF($Z175&lt;=7,12,19-$Z175)/12)</f>
        <v>0</v>
      </c>
      <c r="AC175" s="26" t="str">
        <f aca="false">IF(OR($J175="Yes",$L175="Yes",$N175="Yes"),"Yes","No")</f>
        <v>No</v>
      </c>
      <c r="AD175" s="14" t="n">
        <f aca="false">MAX($Q175,$U175,$Y175)</f>
        <v>0</v>
      </c>
      <c r="AE175" s="26" t="n">
        <f aca="false">$AD175+ROW()*0.000000001</f>
        <v>1.75E-007</v>
      </c>
      <c r="AF175" s="26" t="str">
        <f aca="false">IF($J175="Yes","A","")&amp;IF($L175="Yes","B","")&amp;IF($N175="Yes","C","")</f>
        <v/>
      </c>
    </row>
    <row r="176" customFormat="false" ht="15" hidden="false" customHeight="false" outlineLevel="0" collapsed="false">
      <c r="B176" s="22" t="s">
        <v>417</v>
      </c>
      <c r="C176" s="23" t="s">
        <v>418</v>
      </c>
      <c r="D176" s="23" t="s">
        <v>172</v>
      </c>
      <c r="E176" s="23" t="s">
        <v>419</v>
      </c>
      <c r="F176" s="22" t="s">
        <v>57</v>
      </c>
      <c r="G176" s="23" t="s">
        <v>58</v>
      </c>
      <c r="H176" s="24" t="n">
        <v>1</v>
      </c>
      <c r="I176" s="14" t="n">
        <v>0.2636</v>
      </c>
      <c r="J176" s="25" t="s">
        <v>59</v>
      </c>
      <c r="K176" s="25"/>
      <c r="L176" s="25" t="s">
        <v>59</v>
      </c>
      <c r="M176" s="25"/>
      <c r="N176" s="25" t="s">
        <v>59</v>
      </c>
      <c r="O176" s="25"/>
      <c r="P176" s="14" t="n">
        <v>0.2636</v>
      </c>
      <c r="Q176" s="14" t="n">
        <f aca="false">IF(AND($J176="Yes",$G176&lt;&gt;"Vendor day rates"),$I176-0.4*$P176,0)</f>
        <v>0</v>
      </c>
      <c r="R176" s="26" t="n">
        <f aca="false">IFERROR(MATCH($K176,MonthList,0),0)</f>
        <v>0</v>
      </c>
      <c r="S176" s="14" t="n">
        <f aca="false">IF(OR($J176&lt;&gt;"Yes",$K176=""),0,$Q176*MAX(0,7-$R176)/12)</f>
        <v>0</v>
      </c>
      <c r="T176" s="14" t="n">
        <f aca="false">IF(OR($J176&lt;&gt;"Yes",$K176=""),0,$Q176*IF($R176&lt;=7,12,19-$R176)/12)</f>
        <v>0</v>
      </c>
      <c r="U176" s="14" t="n">
        <f aca="false">IF(AND($L176="Yes",$G176&lt;&gt;"Vendor day rates"),$I176-0.4*$P176,0)</f>
        <v>0</v>
      </c>
      <c r="V176" s="26" t="n">
        <f aca="false">IFERROR(MATCH($M176,MonthList,0),0)</f>
        <v>0</v>
      </c>
      <c r="W176" s="14" t="n">
        <f aca="false">IF(OR($L176&lt;&gt;"Yes",$M176=""),0,$U176*MAX(0,7-$V176)/12)</f>
        <v>0</v>
      </c>
      <c r="X176" s="14" t="n">
        <f aca="false">IF(OR($L176&lt;&gt;"Yes",$M176=""),0,$U176*IF($V176&lt;=7,12,19-$V176)/12)</f>
        <v>0</v>
      </c>
      <c r="Y176" s="14" t="n">
        <f aca="false">IF(AND($N176="Yes",$G176&lt;&gt;"Vendor day rates"),$I176-0.4*$P176,0)</f>
        <v>0</v>
      </c>
      <c r="Z176" s="26" t="n">
        <f aca="false">IFERROR(MATCH($O176,MonthList,0),0)</f>
        <v>0</v>
      </c>
      <c r="AA176" s="14" t="n">
        <f aca="false">IF(OR($N176&lt;&gt;"Yes",$O176=""),0,$Y176*MAX(0,7-$Z176)/12)</f>
        <v>0</v>
      </c>
      <c r="AB176" s="14" t="n">
        <f aca="false">IF(OR($N176&lt;&gt;"Yes",$O176=""),0,$Y176*IF($Z176&lt;=7,12,19-$Z176)/12)</f>
        <v>0</v>
      </c>
      <c r="AC176" s="26" t="str">
        <f aca="false">IF(OR($J176="Yes",$L176="Yes",$N176="Yes"),"Yes","No")</f>
        <v>No</v>
      </c>
      <c r="AD176" s="14" t="n">
        <f aca="false">MAX($Q176,$U176,$Y176)</f>
        <v>0</v>
      </c>
      <c r="AE176" s="26" t="n">
        <f aca="false">$AD176+ROW()*0.000000001</f>
        <v>1.76E-007</v>
      </c>
      <c r="AF176" s="26" t="str">
        <f aca="false">IF($J176="Yes","A","")&amp;IF($L176="Yes","B","")&amp;IF($N176="Yes","C","")</f>
        <v/>
      </c>
    </row>
    <row r="177" customFormat="false" ht="15" hidden="false" customHeight="false" outlineLevel="0" collapsed="false">
      <c r="B177" s="22" t="s">
        <v>420</v>
      </c>
      <c r="C177" s="23" t="s">
        <v>421</v>
      </c>
      <c r="D177" s="23" t="s">
        <v>172</v>
      </c>
      <c r="E177" s="23" t="s">
        <v>419</v>
      </c>
      <c r="F177" s="22" t="s">
        <v>57</v>
      </c>
      <c r="G177" s="23" t="s">
        <v>58</v>
      </c>
      <c r="H177" s="24" t="n">
        <v>1</v>
      </c>
      <c r="I177" s="14" t="n">
        <v>0.251</v>
      </c>
      <c r="J177" s="25" t="s">
        <v>59</v>
      </c>
      <c r="K177" s="25"/>
      <c r="L177" s="25" t="s">
        <v>59</v>
      </c>
      <c r="M177" s="25"/>
      <c r="N177" s="25" t="s">
        <v>59</v>
      </c>
      <c r="O177" s="25"/>
      <c r="P177" s="14" t="n">
        <v>0.251</v>
      </c>
      <c r="Q177" s="14" t="n">
        <f aca="false">IF(AND($J177="Yes",$G177&lt;&gt;"Vendor day rates"),$I177-0.4*$P177,0)</f>
        <v>0</v>
      </c>
      <c r="R177" s="26" t="n">
        <f aca="false">IFERROR(MATCH($K177,MonthList,0),0)</f>
        <v>0</v>
      </c>
      <c r="S177" s="14" t="n">
        <f aca="false">IF(OR($J177&lt;&gt;"Yes",$K177=""),0,$Q177*MAX(0,7-$R177)/12)</f>
        <v>0</v>
      </c>
      <c r="T177" s="14" t="n">
        <f aca="false">IF(OR($J177&lt;&gt;"Yes",$K177=""),0,$Q177*IF($R177&lt;=7,12,19-$R177)/12)</f>
        <v>0</v>
      </c>
      <c r="U177" s="14" t="n">
        <f aca="false">IF(AND($L177="Yes",$G177&lt;&gt;"Vendor day rates"),$I177-0.4*$P177,0)</f>
        <v>0</v>
      </c>
      <c r="V177" s="26" t="n">
        <f aca="false">IFERROR(MATCH($M177,MonthList,0),0)</f>
        <v>0</v>
      </c>
      <c r="W177" s="14" t="n">
        <f aca="false">IF(OR($L177&lt;&gt;"Yes",$M177=""),0,$U177*MAX(0,7-$V177)/12)</f>
        <v>0</v>
      </c>
      <c r="X177" s="14" t="n">
        <f aca="false">IF(OR($L177&lt;&gt;"Yes",$M177=""),0,$U177*IF($V177&lt;=7,12,19-$V177)/12)</f>
        <v>0</v>
      </c>
      <c r="Y177" s="14" t="n">
        <f aca="false">IF(AND($N177="Yes",$G177&lt;&gt;"Vendor day rates"),$I177-0.4*$P177,0)</f>
        <v>0</v>
      </c>
      <c r="Z177" s="26" t="n">
        <f aca="false">IFERROR(MATCH($O177,MonthList,0),0)</f>
        <v>0</v>
      </c>
      <c r="AA177" s="14" t="n">
        <f aca="false">IF(OR($N177&lt;&gt;"Yes",$O177=""),0,$Y177*MAX(0,7-$Z177)/12)</f>
        <v>0</v>
      </c>
      <c r="AB177" s="14" t="n">
        <f aca="false">IF(OR($N177&lt;&gt;"Yes",$O177=""),0,$Y177*IF($Z177&lt;=7,12,19-$Z177)/12)</f>
        <v>0</v>
      </c>
      <c r="AC177" s="26" t="str">
        <f aca="false">IF(OR($J177="Yes",$L177="Yes",$N177="Yes"),"Yes","No")</f>
        <v>No</v>
      </c>
      <c r="AD177" s="14" t="n">
        <f aca="false">MAX($Q177,$U177,$Y177)</f>
        <v>0</v>
      </c>
      <c r="AE177" s="26" t="n">
        <f aca="false">$AD177+ROW()*0.000000001</f>
        <v>1.77E-007</v>
      </c>
      <c r="AF177" s="26" t="str">
        <f aca="false">IF($J177="Yes","A","")&amp;IF($L177="Yes","B","")&amp;IF($N177="Yes","C","")</f>
        <v/>
      </c>
    </row>
    <row r="178" customFormat="false" ht="15" hidden="false" customHeight="false" outlineLevel="0" collapsed="false">
      <c r="B178" s="22" t="s">
        <v>422</v>
      </c>
      <c r="C178" s="23" t="s">
        <v>116</v>
      </c>
      <c r="D178" s="23" t="s">
        <v>91</v>
      </c>
      <c r="E178" s="23" t="s">
        <v>239</v>
      </c>
      <c r="F178" s="22" t="s">
        <v>57</v>
      </c>
      <c r="G178" s="23" t="s">
        <v>304</v>
      </c>
      <c r="H178" s="24" t="n">
        <v>1</v>
      </c>
      <c r="I178" s="14" t="n">
        <v>0</v>
      </c>
      <c r="J178" s="25" t="s">
        <v>59</v>
      </c>
      <c r="K178" s="25"/>
      <c r="L178" s="25" t="s">
        <v>59</v>
      </c>
      <c r="M178" s="25"/>
      <c r="N178" s="25" t="s">
        <v>59</v>
      </c>
      <c r="O178" s="25"/>
      <c r="P178" s="14" t="n">
        <v>0.2317</v>
      </c>
      <c r="Q178" s="14" t="n">
        <f aca="false">IF(AND($J178="Yes",$G178&lt;&gt;"Vendor day rates"),$I178-0.4*$P178,0)</f>
        <v>0</v>
      </c>
      <c r="R178" s="26" t="n">
        <f aca="false">IFERROR(MATCH($K178,MonthList,0),0)</f>
        <v>0</v>
      </c>
      <c r="S178" s="14" t="n">
        <f aca="false">IF(OR($J178&lt;&gt;"Yes",$K178=""),0,$Q178*MAX(0,7-$R178)/12)</f>
        <v>0</v>
      </c>
      <c r="T178" s="14" t="n">
        <f aca="false">IF(OR($J178&lt;&gt;"Yes",$K178=""),0,$Q178*IF($R178&lt;=7,12,19-$R178)/12)</f>
        <v>0</v>
      </c>
      <c r="U178" s="14" t="n">
        <f aca="false">IF(AND($L178="Yes",$G178&lt;&gt;"Vendor day rates"),$I178-0.4*$P178,0)</f>
        <v>0</v>
      </c>
      <c r="V178" s="26" t="n">
        <f aca="false">IFERROR(MATCH($M178,MonthList,0),0)</f>
        <v>0</v>
      </c>
      <c r="W178" s="14" t="n">
        <f aca="false">IF(OR($L178&lt;&gt;"Yes",$M178=""),0,$U178*MAX(0,7-$V178)/12)</f>
        <v>0</v>
      </c>
      <c r="X178" s="14" t="n">
        <f aca="false">IF(OR($L178&lt;&gt;"Yes",$M178=""),0,$U178*IF($V178&lt;=7,12,19-$V178)/12)</f>
        <v>0</v>
      </c>
      <c r="Y178" s="14" t="n">
        <f aca="false">IF(AND($N178="Yes",$G178&lt;&gt;"Vendor day rates"),$I178-0.4*$P178,0)</f>
        <v>0</v>
      </c>
      <c r="Z178" s="26" t="n">
        <f aca="false">IFERROR(MATCH($O178,MonthList,0),0)</f>
        <v>0</v>
      </c>
      <c r="AA178" s="14" t="n">
        <f aca="false">IF(OR($N178&lt;&gt;"Yes",$O178=""),0,$Y178*MAX(0,7-$Z178)/12)</f>
        <v>0</v>
      </c>
      <c r="AB178" s="14" t="n">
        <f aca="false">IF(OR($N178&lt;&gt;"Yes",$O178=""),0,$Y178*IF($Z178&lt;=7,12,19-$Z178)/12)</f>
        <v>0</v>
      </c>
      <c r="AC178" s="26" t="str">
        <f aca="false">IF(OR($J178="Yes",$L178="Yes",$N178="Yes"),"Yes","No")</f>
        <v>No</v>
      </c>
      <c r="AD178" s="14" t="n">
        <f aca="false">MAX($Q178,$U178,$Y178)</f>
        <v>0</v>
      </c>
      <c r="AE178" s="26" t="n">
        <f aca="false">$AD178+ROW()*0.000000001</f>
        <v>1.78E-007</v>
      </c>
      <c r="AF178" s="26" t="str">
        <f aca="false">IF($J178="Yes","A","")&amp;IF($L178="Yes","B","")&amp;IF($N178="Yes","C","")</f>
        <v/>
      </c>
    </row>
    <row r="179" customFormat="false" ht="15" hidden="false" customHeight="false" outlineLevel="0" collapsed="false">
      <c r="B179" s="22" t="s">
        <v>423</v>
      </c>
      <c r="C179" s="23" t="s">
        <v>54</v>
      </c>
      <c r="D179" s="23" t="s">
        <v>172</v>
      </c>
      <c r="E179" s="23" t="s">
        <v>414</v>
      </c>
      <c r="F179" s="22" t="s">
        <v>57</v>
      </c>
      <c r="G179" s="23" t="s">
        <v>58</v>
      </c>
      <c r="H179" s="24" t="n">
        <v>0.6</v>
      </c>
      <c r="I179" s="14" t="n">
        <v>0.1579</v>
      </c>
      <c r="J179" s="25" t="s">
        <v>59</v>
      </c>
      <c r="K179" s="25"/>
      <c r="L179" s="25" t="s">
        <v>59</v>
      </c>
      <c r="M179" s="25"/>
      <c r="N179" s="25" t="s">
        <v>59</v>
      </c>
      <c r="O179" s="25"/>
      <c r="P179" s="14" t="n">
        <v>0.1579</v>
      </c>
      <c r="Q179" s="14" t="n">
        <f aca="false">IF(AND($J179="Yes",$G179&lt;&gt;"Vendor day rates"),$I179-0.4*$P179,0)</f>
        <v>0</v>
      </c>
      <c r="R179" s="26" t="n">
        <f aca="false">IFERROR(MATCH($K179,MonthList,0),0)</f>
        <v>0</v>
      </c>
      <c r="S179" s="14" t="n">
        <f aca="false">IF(OR($J179&lt;&gt;"Yes",$K179=""),0,$Q179*MAX(0,7-$R179)/12)</f>
        <v>0</v>
      </c>
      <c r="T179" s="14" t="n">
        <f aca="false">IF(OR($J179&lt;&gt;"Yes",$K179=""),0,$Q179*IF($R179&lt;=7,12,19-$R179)/12)</f>
        <v>0</v>
      </c>
      <c r="U179" s="14" t="n">
        <f aca="false">IF(AND($L179="Yes",$G179&lt;&gt;"Vendor day rates"),$I179-0.4*$P179,0)</f>
        <v>0</v>
      </c>
      <c r="V179" s="26" t="n">
        <f aca="false">IFERROR(MATCH($M179,MonthList,0),0)</f>
        <v>0</v>
      </c>
      <c r="W179" s="14" t="n">
        <f aca="false">IF(OR($L179&lt;&gt;"Yes",$M179=""),0,$U179*MAX(0,7-$V179)/12)</f>
        <v>0</v>
      </c>
      <c r="X179" s="14" t="n">
        <f aca="false">IF(OR($L179&lt;&gt;"Yes",$M179=""),0,$U179*IF($V179&lt;=7,12,19-$V179)/12)</f>
        <v>0</v>
      </c>
      <c r="Y179" s="14" t="n">
        <f aca="false">IF(AND($N179="Yes",$G179&lt;&gt;"Vendor day rates"),$I179-0.4*$P179,0)</f>
        <v>0</v>
      </c>
      <c r="Z179" s="26" t="n">
        <f aca="false">IFERROR(MATCH($O179,MonthList,0),0)</f>
        <v>0</v>
      </c>
      <c r="AA179" s="14" t="n">
        <f aca="false">IF(OR($N179&lt;&gt;"Yes",$O179=""),0,$Y179*MAX(0,7-$Z179)/12)</f>
        <v>0</v>
      </c>
      <c r="AB179" s="14" t="n">
        <f aca="false">IF(OR($N179&lt;&gt;"Yes",$O179=""),0,$Y179*IF($Z179&lt;=7,12,19-$Z179)/12)</f>
        <v>0</v>
      </c>
      <c r="AC179" s="26" t="str">
        <f aca="false">IF(OR($J179="Yes",$L179="Yes",$N179="Yes"),"Yes","No")</f>
        <v>No</v>
      </c>
      <c r="AD179" s="14" t="n">
        <f aca="false">MAX($Q179,$U179,$Y179)</f>
        <v>0</v>
      </c>
      <c r="AE179" s="26" t="n">
        <f aca="false">$AD179+ROW()*0.000000001</f>
        <v>1.79E-007</v>
      </c>
      <c r="AF179" s="26" t="str">
        <f aca="false">IF($J179="Yes","A","")&amp;IF($L179="Yes","B","")&amp;IF($N179="Yes","C","")</f>
        <v/>
      </c>
    </row>
    <row r="180" customFormat="false" ht="15" hidden="false" customHeight="false" outlineLevel="0" collapsed="false">
      <c r="B180" s="22" t="s">
        <v>424</v>
      </c>
      <c r="C180" s="23" t="s">
        <v>425</v>
      </c>
      <c r="D180" s="23" t="s">
        <v>172</v>
      </c>
      <c r="E180" s="23" t="s">
        <v>414</v>
      </c>
      <c r="F180" s="22" t="s">
        <v>57</v>
      </c>
      <c r="G180" s="23" t="s">
        <v>58</v>
      </c>
      <c r="H180" s="24" t="n">
        <v>1</v>
      </c>
      <c r="I180" s="14" t="n">
        <v>0.2491</v>
      </c>
      <c r="J180" s="25" t="s">
        <v>59</v>
      </c>
      <c r="K180" s="25"/>
      <c r="L180" s="25" t="s">
        <v>59</v>
      </c>
      <c r="M180" s="25"/>
      <c r="N180" s="25" t="s">
        <v>59</v>
      </c>
      <c r="O180" s="25"/>
      <c r="P180" s="14" t="n">
        <v>0.2491</v>
      </c>
      <c r="Q180" s="14" t="n">
        <f aca="false">IF(AND($J180="Yes",$G180&lt;&gt;"Vendor day rates"),$I180-0.4*$P180,0)</f>
        <v>0</v>
      </c>
      <c r="R180" s="26" t="n">
        <f aca="false">IFERROR(MATCH($K180,MonthList,0),0)</f>
        <v>0</v>
      </c>
      <c r="S180" s="14" t="n">
        <f aca="false">IF(OR($J180&lt;&gt;"Yes",$K180=""),0,$Q180*MAX(0,7-$R180)/12)</f>
        <v>0</v>
      </c>
      <c r="T180" s="14" t="n">
        <f aca="false">IF(OR($J180&lt;&gt;"Yes",$K180=""),0,$Q180*IF($R180&lt;=7,12,19-$R180)/12)</f>
        <v>0</v>
      </c>
      <c r="U180" s="14" t="n">
        <f aca="false">IF(AND($L180="Yes",$G180&lt;&gt;"Vendor day rates"),$I180-0.4*$P180,0)</f>
        <v>0</v>
      </c>
      <c r="V180" s="26" t="n">
        <f aca="false">IFERROR(MATCH($M180,MonthList,0),0)</f>
        <v>0</v>
      </c>
      <c r="W180" s="14" t="n">
        <f aca="false">IF(OR($L180&lt;&gt;"Yes",$M180=""),0,$U180*MAX(0,7-$V180)/12)</f>
        <v>0</v>
      </c>
      <c r="X180" s="14" t="n">
        <f aca="false">IF(OR($L180&lt;&gt;"Yes",$M180=""),0,$U180*IF($V180&lt;=7,12,19-$V180)/12)</f>
        <v>0</v>
      </c>
      <c r="Y180" s="14" t="n">
        <f aca="false">IF(AND($N180="Yes",$G180&lt;&gt;"Vendor day rates"),$I180-0.4*$P180,0)</f>
        <v>0</v>
      </c>
      <c r="Z180" s="26" t="n">
        <f aca="false">IFERROR(MATCH($O180,MonthList,0),0)</f>
        <v>0</v>
      </c>
      <c r="AA180" s="14" t="n">
        <f aca="false">IF(OR($N180&lt;&gt;"Yes",$O180=""),0,$Y180*MAX(0,7-$Z180)/12)</f>
        <v>0</v>
      </c>
      <c r="AB180" s="14" t="n">
        <f aca="false">IF(OR($N180&lt;&gt;"Yes",$O180=""),0,$Y180*IF($Z180&lt;=7,12,19-$Z180)/12)</f>
        <v>0</v>
      </c>
      <c r="AC180" s="26" t="str">
        <f aca="false">IF(OR($J180="Yes",$L180="Yes",$N180="Yes"),"Yes","No")</f>
        <v>No</v>
      </c>
      <c r="AD180" s="14" t="n">
        <f aca="false">MAX($Q180,$U180,$Y180)</f>
        <v>0</v>
      </c>
      <c r="AE180" s="26" t="n">
        <f aca="false">$AD180+ROW()*0.000000001</f>
        <v>1.8E-007</v>
      </c>
      <c r="AF180" s="26" t="str">
        <f aca="false">IF($J180="Yes","A","")&amp;IF($L180="Yes","B","")&amp;IF($N180="Yes","C","")</f>
        <v/>
      </c>
    </row>
    <row r="181" customFormat="false" ht="15" hidden="false" customHeight="false" outlineLevel="0" collapsed="false">
      <c r="B181" s="22" t="s">
        <v>426</v>
      </c>
      <c r="C181" s="23" t="s">
        <v>427</v>
      </c>
      <c r="D181" s="23" t="s">
        <v>172</v>
      </c>
      <c r="E181" s="23" t="s">
        <v>428</v>
      </c>
      <c r="F181" s="22" t="s">
        <v>112</v>
      </c>
      <c r="G181" s="23" t="s">
        <v>58</v>
      </c>
      <c r="H181" s="24" t="n">
        <v>1</v>
      </c>
      <c r="I181" s="14" t="n">
        <v>0.1849</v>
      </c>
      <c r="J181" s="25" t="s">
        <v>59</v>
      </c>
      <c r="K181" s="25"/>
      <c r="L181" s="25" t="s">
        <v>59</v>
      </c>
      <c r="M181" s="25"/>
      <c r="N181" s="25" t="s">
        <v>59</v>
      </c>
      <c r="O181" s="25"/>
      <c r="P181" s="14" t="n">
        <v>0.1849</v>
      </c>
      <c r="Q181" s="14" t="n">
        <f aca="false">IF(AND($J181="Yes",$G181&lt;&gt;"Vendor day rates"),$I181-0.4*$P181,0)</f>
        <v>0</v>
      </c>
      <c r="R181" s="26" t="n">
        <f aca="false">IFERROR(MATCH($K181,MonthList,0),0)</f>
        <v>0</v>
      </c>
      <c r="S181" s="14" t="n">
        <f aca="false">IF(OR($J181&lt;&gt;"Yes",$K181=""),0,$Q181*MAX(0,7-$R181)/12)</f>
        <v>0</v>
      </c>
      <c r="T181" s="14" t="n">
        <f aca="false">IF(OR($J181&lt;&gt;"Yes",$K181=""),0,$Q181*IF($R181&lt;=7,12,19-$R181)/12)</f>
        <v>0</v>
      </c>
      <c r="U181" s="14" t="n">
        <f aca="false">IF(AND($L181="Yes",$G181&lt;&gt;"Vendor day rates"),$I181-0.4*$P181,0)</f>
        <v>0</v>
      </c>
      <c r="V181" s="26" t="n">
        <f aca="false">IFERROR(MATCH($M181,MonthList,0),0)</f>
        <v>0</v>
      </c>
      <c r="W181" s="14" t="n">
        <f aca="false">IF(OR($L181&lt;&gt;"Yes",$M181=""),0,$U181*MAX(0,7-$V181)/12)</f>
        <v>0</v>
      </c>
      <c r="X181" s="14" t="n">
        <f aca="false">IF(OR($L181&lt;&gt;"Yes",$M181=""),0,$U181*IF($V181&lt;=7,12,19-$V181)/12)</f>
        <v>0</v>
      </c>
      <c r="Y181" s="14" t="n">
        <f aca="false">IF(AND($N181="Yes",$G181&lt;&gt;"Vendor day rates"),$I181-0.4*$P181,0)</f>
        <v>0</v>
      </c>
      <c r="Z181" s="26" t="n">
        <f aca="false">IFERROR(MATCH($O181,MonthList,0),0)</f>
        <v>0</v>
      </c>
      <c r="AA181" s="14" t="n">
        <f aca="false">IF(OR($N181&lt;&gt;"Yes",$O181=""),0,$Y181*MAX(0,7-$Z181)/12)</f>
        <v>0</v>
      </c>
      <c r="AB181" s="14" t="n">
        <f aca="false">IF(OR($N181&lt;&gt;"Yes",$O181=""),0,$Y181*IF($Z181&lt;=7,12,19-$Z181)/12)</f>
        <v>0</v>
      </c>
      <c r="AC181" s="26" t="str">
        <f aca="false">IF(OR($J181="Yes",$L181="Yes",$N181="Yes"),"Yes","No")</f>
        <v>No</v>
      </c>
      <c r="AD181" s="14" t="n">
        <f aca="false">MAX($Q181,$U181,$Y181)</f>
        <v>0</v>
      </c>
      <c r="AE181" s="26" t="n">
        <f aca="false">$AD181+ROW()*0.000000001</f>
        <v>1.81E-007</v>
      </c>
      <c r="AF181" s="26" t="str">
        <f aca="false">IF($J181="Yes","A","")&amp;IF($L181="Yes","B","")&amp;IF($N181="Yes","C","")</f>
        <v/>
      </c>
    </row>
    <row r="182" customFormat="false" ht="15" hidden="false" customHeight="false" outlineLevel="0" collapsed="false">
      <c r="B182" s="22" t="s">
        <v>429</v>
      </c>
      <c r="C182" s="23" t="s">
        <v>427</v>
      </c>
      <c r="D182" s="23" t="s">
        <v>172</v>
      </c>
      <c r="E182" s="23" t="s">
        <v>428</v>
      </c>
      <c r="F182" s="22" t="s">
        <v>57</v>
      </c>
      <c r="G182" s="23" t="s">
        <v>58</v>
      </c>
      <c r="H182" s="24" t="n">
        <v>1</v>
      </c>
      <c r="I182" s="14" t="n">
        <v>0.2316</v>
      </c>
      <c r="J182" s="25" t="s">
        <v>59</v>
      </c>
      <c r="K182" s="25"/>
      <c r="L182" s="25" t="s">
        <v>59</v>
      </c>
      <c r="M182" s="25"/>
      <c r="N182" s="25" t="s">
        <v>59</v>
      </c>
      <c r="O182" s="25"/>
      <c r="P182" s="14" t="n">
        <v>0.2316</v>
      </c>
      <c r="Q182" s="14" t="n">
        <f aca="false">IF(AND($J182="Yes",$G182&lt;&gt;"Vendor day rates"),$I182-0.4*$P182,0)</f>
        <v>0</v>
      </c>
      <c r="R182" s="26" t="n">
        <f aca="false">IFERROR(MATCH($K182,MonthList,0),0)</f>
        <v>0</v>
      </c>
      <c r="S182" s="14" t="n">
        <f aca="false">IF(OR($J182&lt;&gt;"Yes",$K182=""),0,$Q182*MAX(0,7-$R182)/12)</f>
        <v>0</v>
      </c>
      <c r="T182" s="14" t="n">
        <f aca="false">IF(OR($J182&lt;&gt;"Yes",$K182=""),0,$Q182*IF($R182&lt;=7,12,19-$R182)/12)</f>
        <v>0</v>
      </c>
      <c r="U182" s="14" t="n">
        <f aca="false">IF(AND($L182="Yes",$G182&lt;&gt;"Vendor day rates"),$I182-0.4*$P182,0)</f>
        <v>0</v>
      </c>
      <c r="V182" s="26" t="n">
        <f aca="false">IFERROR(MATCH($M182,MonthList,0),0)</f>
        <v>0</v>
      </c>
      <c r="W182" s="14" t="n">
        <f aca="false">IF(OR($L182&lt;&gt;"Yes",$M182=""),0,$U182*MAX(0,7-$V182)/12)</f>
        <v>0</v>
      </c>
      <c r="X182" s="14" t="n">
        <f aca="false">IF(OR($L182&lt;&gt;"Yes",$M182=""),0,$U182*IF($V182&lt;=7,12,19-$V182)/12)</f>
        <v>0</v>
      </c>
      <c r="Y182" s="14" t="n">
        <f aca="false">IF(AND($N182="Yes",$G182&lt;&gt;"Vendor day rates"),$I182-0.4*$P182,0)</f>
        <v>0</v>
      </c>
      <c r="Z182" s="26" t="n">
        <f aca="false">IFERROR(MATCH($O182,MonthList,0),0)</f>
        <v>0</v>
      </c>
      <c r="AA182" s="14" t="n">
        <f aca="false">IF(OR($N182&lt;&gt;"Yes",$O182=""),0,$Y182*MAX(0,7-$Z182)/12)</f>
        <v>0</v>
      </c>
      <c r="AB182" s="14" t="n">
        <f aca="false">IF(OR($N182&lt;&gt;"Yes",$O182=""),0,$Y182*IF($Z182&lt;=7,12,19-$Z182)/12)</f>
        <v>0</v>
      </c>
      <c r="AC182" s="26" t="str">
        <f aca="false">IF(OR($J182="Yes",$L182="Yes",$N182="Yes"),"Yes","No")</f>
        <v>No</v>
      </c>
      <c r="AD182" s="14" t="n">
        <f aca="false">MAX($Q182,$U182,$Y182)</f>
        <v>0</v>
      </c>
      <c r="AE182" s="26" t="n">
        <f aca="false">$AD182+ROW()*0.000000001</f>
        <v>1.82E-007</v>
      </c>
      <c r="AF182" s="26" t="str">
        <f aca="false">IF($J182="Yes","A","")&amp;IF($L182="Yes","B","")&amp;IF($N182="Yes","C","")</f>
        <v/>
      </c>
    </row>
    <row r="183" customFormat="false" ht="15" hidden="false" customHeight="false" outlineLevel="0" collapsed="false">
      <c r="B183" s="22" t="s">
        <v>430</v>
      </c>
      <c r="C183" s="23" t="s">
        <v>386</v>
      </c>
      <c r="D183" s="23" t="s">
        <v>331</v>
      </c>
      <c r="E183" s="23" t="s">
        <v>130</v>
      </c>
      <c r="F183" s="22" t="s">
        <v>57</v>
      </c>
      <c r="G183" s="23" t="s">
        <v>149</v>
      </c>
      <c r="H183" s="24" t="n">
        <v>1</v>
      </c>
      <c r="I183" s="14" t="n">
        <v>0.2317</v>
      </c>
      <c r="J183" s="25" t="s">
        <v>59</v>
      </c>
      <c r="K183" s="25"/>
      <c r="L183" s="25" t="s">
        <v>59</v>
      </c>
      <c r="M183" s="25"/>
      <c r="N183" s="25" t="s">
        <v>59</v>
      </c>
      <c r="O183" s="25"/>
      <c r="P183" s="14" t="n">
        <v>0.2317</v>
      </c>
      <c r="Q183" s="14" t="n">
        <f aca="false">IF(AND($J183="Yes",$G183&lt;&gt;"Vendor day rates"),$I183-0.4*$P183,0)</f>
        <v>0</v>
      </c>
      <c r="R183" s="26" t="n">
        <f aca="false">IFERROR(MATCH($K183,MonthList,0),0)</f>
        <v>0</v>
      </c>
      <c r="S183" s="14" t="n">
        <f aca="false">IF(OR($J183&lt;&gt;"Yes",$K183=""),0,$Q183*MAX(0,7-$R183)/12)</f>
        <v>0</v>
      </c>
      <c r="T183" s="14" t="n">
        <f aca="false">IF(OR($J183&lt;&gt;"Yes",$K183=""),0,$Q183*IF($R183&lt;=7,12,19-$R183)/12)</f>
        <v>0</v>
      </c>
      <c r="U183" s="14" t="n">
        <f aca="false">IF(AND($L183="Yes",$G183&lt;&gt;"Vendor day rates"),$I183-0.4*$P183,0)</f>
        <v>0</v>
      </c>
      <c r="V183" s="26" t="n">
        <f aca="false">IFERROR(MATCH($M183,MonthList,0),0)</f>
        <v>0</v>
      </c>
      <c r="W183" s="14" t="n">
        <f aca="false">IF(OR($L183&lt;&gt;"Yes",$M183=""),0,$U183*MAX(0,7-$V183)/12)</f>
        <v>0</v>
      </c>
      <c r="X183" s="14" t="n">
        <f aca="false">IF(OR($L183&lt;&gt;"Yes",$M183=""),0,$U183*IF($V183&lt;=7,12,19-$V183)/12)</f>
        <v>0</v>
      </c>
      <c r="Y183" s="14" t="n">
        <f aca="false">IF(AND($N183="Yes",$G183&lt;&gt;"Vendor day rates"),$I183-0.4*$P183,0)</f>
        <v>0</v>
      </c>
      <c r="Z183" s="26" t="n">
        <f aca="false">IFERROR(MATCH($O183,MonthList,0),0)</f>
        <v>0</v>
      </c>
      <c r="AA183" s="14" t="n">
        <f aca="false">IF(OR($N183&lt;&gt;"Yes",$O183=""),0,$Y183*MAX(0,7-$Z183)/12)</f>
        <v>0</v>
      </c>
      <c r="AB183" s="14" t="n">
        <f aca="false">IF(OR($N183&lt;&gt;"Yes",$O183=""),0,$Y183*IF($Z183&lt;=7,12,19-$Z183)/12)</f>
        <v>0</v>
      </c>
      <c r="AC183" s="26" t="str">
        <f aca="false">IF(OR($J183="Yes",$L183="Yes",$N183="Yes"),"Yes","No")</f>
        <v>No</v>
      </c>
      <c r="AD183" s="14" t="n">
        <f aca="false">MAX($Q183,$U183,$Y183)</f>
        <v>0</v>
      </c>
      <c r="AE183" s="26" t="n">
        <f aca="false">$AD183+ROW()*0.000000001</f>
        <v>1.83E-007</v>
      </c>
      <c r="AF183" s="26" t="str">
        <f aca="false">IF($J183="Yes","A","")&amp;IF($L183="Yes","B","")&amp;IF($N183="Yes","C","")</f>
        <v/>
      </c>
    </row>
    <row r="184" customFormat="false" ht="15" hidden="false" customHeight="false" outlineLevel="0" collapsed="false">
      <c r="B184" s="22" t="s">
        <v>431</v>
      </c>
      <c r="C184" s="23" t="s">
        <v>238</v>
      </c>
      <c r="D184" s="23" t="s">
        <v>91</v>
      </c>
      <c r="E184" s="23" t="s">
        <v>432</v>
      </c>
      <c r="F184" s="22" t="s">
        <v>57</v>
      </c>
      <c r="G184" s="23" t="s">
        <v>58</v>
      </c>
      <c r="H184" s="24" t="n">
        <v>1</v>
      </c>
      <c r="I184" s="14" t="n">
        <v>0.2355</v>
      </c>
      <c r="J184" s="25" t="s">
        <v>59</v>
      </c>
      <c r="K184" s="25"/>
      <c r="L184" s="25" t="s">
        <v>59</v>
      </c>
      <c r="M184" s="25"/>
      <c r="N184" s="25" t="s">
        <v>59</v>
      </c>
      <c r="O184" s="25"/>
      <c r="P184" s="14" t="n">
        <v>0.2355</v>
      </c>
      <c r="Q184" s="14" t="n">
        <f aca="false">IF(AND($J184="Yes",$G184&lt;&gt;"Vendor day rates"),$I184-0.4*$P184,0)</f>
        <v>0</v>
      </c>
      <c r="R184" s="26" t="n">
        <f aca="false">IFERROR(MATCH($K184,MonthList,0),0)</f>
        <v>0</v>
      </c>
      <c r="S184" s="14" t="n">
        <f aca="false">IF(OR($J184&lt;&gt;"Yes",$K184=""),0,$Q184*MAX(0,7-$R184)/12)</f>
        <v>0</v>
      </c>
      <c r="T184" s="14" t="n">
        <f aca="false">IF(OR($J184&lt;&gt;"Yes",$K184=""),0,$Q184*IF($R184&lt;=7,12,19-$R184)/12)</f>
        <v>0</v>
      </c>
      <c r="U184" s="14" t="n">
        <f aca="false">IF(AND($L184="Yes",$G184&lt;&gt;"Vendor day rates"),$I184-0.4*$P184,0)</f>
        <v>0</v>
      </c>
      <c r="V184" s="26" t="n">
        <f aca="false">IFERROR(MATCH($M184,MonthList,0),0)</f>
        <v>0</v>
      </c>
      <c r="W184" s="14" t="n">
        <f aca="false">IF(OR($L184&lt;&gt;"Yes",$M184=""),0,$U184*MAX(0,7-$V184)/12)</f>
        <v>0</v>
      </c>
      <c r="X184" s="14" t="n">
        <f aca="false">IF(OR($L184&lt;&gt;"Yes",$M184=""),0,$U184*IF($V184&lt;=7,12,19-$V184)/12)</f>
        <v>0</v>
      </c>
      <c r="Y184" s="14" t="n">
        <f aca="false">IF(AND($N184="Yes",$G184&lt;&gt;"Vendor day rates"),$I184-0.4*$P184,0)</f>
        <v>0</v>
      </c>
      <c r="Z184" s="26" t="n">
        <f aca="false">IFERROR(MATCH($O184,MonthList,0),0)</f>
        <v>0</v>
      </c>
      <c r="AA184" s="14" t="n">
        <f aca="false">IF(OR($N184&lt;&gt;"Yes",$O184=""),0,$Y184*MAX(0,7-$Z184)/12)</f>
        <v>0</v>
      </c>
      <c r="AB184" s="14" t="n">
        <f aca="false">IF(OR($N184&lt;&gt;"Yes",$O184=""),0,$Y184*IF($Z184&lt;=7,12,19-$Z184)/12)</f>
        <v>0</v>
      </c>
      <c r="AC184" s="26" t="str">
        <f aca="false">IF(OR($J184="Yes",$L184="Yes",$N184="Yes"),"Yes","No")</f>
        <v>No</v>
      </c>
      <c r="AD184" s="14" t="n">
        <f aca="false">MAX($Q184,$U184,$Y184)</f>
        <v>0</v>
      </c>
      <c r="AE184" s="26" t="n">
        <f aca="false">$AD184+ROW()*0.000000001</f>
        <v>1.84E-007</v>
      </c>
      <c r="AF184" s="26" t="str">
        <f aca="false">IF($J184="Yes","A","")&amp;IF($L184="Yes","B","")&amp;IF($N184="Yes","C","")</f>
        <v/>
      </c>
    </row>
    <row r="185" customFormat="false" ht="15" hidden="false" customHeight="false" outlineLevel="0" collapsed="false">
      <c r="B185" s="22" t="s">
        <v>433</v>
      </c>
      <c r="C185" s="23" t="s">
        <v>434</v>
      </c>
      <c r="D185" s="23" t="s">
        <v>147</v>
      </c>
      <c r="E185" s="23" t="s">
        <v>164</v>
      </c>
      <c r="F185" s="22" t="s">
        <v>57</v>
      </c>
      <c r="G185" s="23" t="s">
        <v>58</v>
      </c>
      <c r="H185" s="24" t="n">
        <v>1</v>
      </c>
      <c r="I185" s="14" t="n">
        <v>0.2853</v>
      </c>
      <c r="J185" s="25" t="s">
        <v>59</v>
      </c>
      <c r="K185" s="25"/>
      <c r="L185" s="25" t="s">
        <v>59</v>
      </c>
      <c r="M185" s="25"/>
      <c r="N185" s="25" t="s">
        <v>59</v>
      </c>
      <c r="O185" s="25"/>
      <c r="P185" s="14" t="n">
        <v>0.2853</v>
      </c>
      <c r="Q185" s="14" t="n">
        <f aca="false">IF(AND($J185="Yes",$G185&lt;&gt;"Vendor day rates"),$I185-0.4*$P185,0)</f>
        <v>0</v>
      </c>
      <c r="R185" s="26" t="n">
        <f aca="false">IFERROR(MATCH($K185,MonthList,0),0)</f>
        <v>0</v>
      </c>
      <c r="S185" s="14" t="n">
        <f aca="false">IF(OR($J185&lt;&gt;"Yes",$K185=""),0,$Q185*MAX(0,7-$R185)/12)</f>
        <v>0</v>
      </c>
      <c r="T185" s="14" t="n">
        <f aca="false">IF(OR($J185&lt;&gt;"Yes",$K185=""),0,$Q185*IF($R185&lt;=7,12,19-$R185)/12)</f>
        <v>0</v>
      </c>
      <c r="U185" s="14" t="n">
        <f aca="false">IF(AND($L185="Yes",$G185&lt;&gt;"Vendor day rates"),$I185-0.4*$P185,0)</f>
        <v>0</v>
      </c>
      <c r="V185" s="26" t="n">
        <f aca="false">IFERROR(MATCH($M185,MonthList,0),0)</f>
        <v>0</v>
      </c>
      <c r="W185" s="14" t="n">
        <f aca="false">IF(OR($L185&lt;&gt;"Yes",$M185=""),0,$U185*MAX(0,7-$V185)/12)</f>
        <v>0</v>
      </c>
      <c r="X185" s="14" t="n">
        <f aca="false">IF(OR($L185&lt;&gt;"Yes",$M185=""),0,$U185*IF($V185&lt;=7,12,19-$V185)/12)</f>
        <v>0</v>
      </c>
      <c r="Y185" s="14" t="n">
        <f aca="false">IF(AND($N185="Yes",$G185&lt;&gt;"Vendor day rates"),$I185-0.4*$P185,0)</f>
        <v>0</v>
      </c>
      <c r="Z185" s="26" t="n">
        <f aca="false">IFERROR(MATCH($O185,MonthList,0),0)</f>
        <v>0</v>
      </c>
      <c r="AA185" s="14" t="n">
        <f aca="false">IF(OR($N185&lt;&gt;"Yes",$O185=""),0,$Y185*MAX(0,7-$Z185)/12)</f>
        <v>0</v>
      </c>
      <c r="AB185" s="14" t="n">
        <f aca="false">IF(OR($N185&lt;&gt;"Yes",$O185=""),0,$Y185*IF($Z185&lt;=7,12,19-$Z185)/12)</f>
        <v>0</v>
      </c>
      <c r="AC185" s="26" t="str">
        <f aca="false">IF(OR($J185="Yes",$L185="Yes",$N185="Yes"),"Yes","No")</f>
        <v>No</v>
      </c>
      <c r="AD185" s="14" t="n">
        <f aca="false">MAX($Q185,$U185,$Y185)</f>
        <v>0</v>
      </c>
      <c r="AE185" s="26" t="n">
        <f aca="false">$AD185+ROW()*0.000000001</f>
        <v>1.85E-007</v>
      </c>
      <c r="AF185" s="26" t="str">
        <f aca="false">IF($J185="Yes","A","")&amp;IF($L185="Yes","B","")&amp;IF($N185="Yes","C","")</f>
        <v/>
      </c>
    </row>
    <row r="186" customFormat="false" ht="15" hidden="false" customHeight="false" outlineLevel="0" collapsed="false">
      <c r="B186" s="22" t="s">
        <v>435</v>
      </c>
      <c r="C186" s="23" t="s">
        <v>436</v>
      </c>
      <c r="D186" s="23" t="s">
        <v>147</v>
      </c>
      <c r="E186" s="23" t="s">
        <v>164</v>
      </c>
      <c r="F186" s="22" t="s">
        <v>57</v>
      </c>
      <c r="G186" s="23" t="s">
        <v>58</v>
      </c>
      <c r="H186" s="24" t="n">
        <v>1</v>
      </c>
      <c r="I186" s="14" t="n">
        <v>0.2834</v>
      </c>
      <c r="J186" s="25" t="s">
        <v>59</v>
      </c>
      <c r="K186" s="25"/>
      <c r="L186" s="25" t="s">
        <v>59</v>
      </c>
      <c r="M186" s="25"/>
      <c r="N186" s="25" t="s">
        <v>59</v>
      </c>
      <c r="O186" s="25"/>
      <c r="P186" s="14" t="n">
        <v>0.2834</v>
      </c>
      <c r="Q186" s="14" t="n">
        <f aca="false">IF(AND($J186="Yes",$G186&lt;&gt;"Vendor day rates"),$I186-0.4*$P186,0)</f>
        <v>0</v>
      </c>
      <c r="R186" s="26" t="n">
        <f aca="false">IFERROR(MATCH($K186,MonthList,0),0)</f>
        <v>0</v>
      </c>
      <c r="S186" s="14" t="n">
        <f aca="false">IF(OR($J186&lt;&gt;"Yes",$K186=""),0,$Q186*MAX(0,7-$R186)/12)</f>
        <v>0</v>
      </c>
      <c r="T186" s="14" t="n">
        <f aca="false">IF(OR($J186&lt;&gt;"Yes",$K186=""),0,$Q186*IF($R186&lt;=7,12,19-$R186)/12)</f>
        <v>0</v>
      </c>
      <c r="U186" s="14" t="n">
        <f aca="false">IF(AND($L186="Yes",$G186&lt;&gt;"Vendor day rates"),$I186-0.4*$P186,0)</f>
        <v>0</v>
      </c>
      <c r="V186" s="26" t="n">
        <f aca="false">IFERROR(MATCH($M186,MonthList,0),0)</f>
        <v>0</v>
      </c>
      <c r="W186" s="14" t="n">
        <f aca="false">IF(OR($L186&lt;&gt;"Yes",$M186=""),0,$U186*MAX(0,7-$V186)/12)</f>
        <v>0</v>
      </c>
      <c r="X186" s="14" t="n">
        <f aca="false">IF(OR($L186&lt;&gt;"Yes",$M186=""),0,$U186*IF($V186&lt;=7,12,19-$V186)/12)</f>
        <v>0</v>
      </c>
      <c r="Y186" s="14" t="n">
        <f aca="false">IF(AND($N186="Yes",$G186&lt;&gt;"Vendor day rates"),$I186-0.4*$P186,0)</f>
        <v>0</v>
      </c>
      <c r="Z186" s="26" t="n">
        <f aca="false">IFERROR(MATCH($O186,MonthList,0),0)</f>
        <v>0</v>
      </c>
      <c r="AA186" s="14" t="n">
        <f aca="false">IF(OR($N186&lt;&gt;"Yes",$O186=""),0,$Y186*MAX(0,7-$Z186)/12)</f>
        <v>0</v>
      </c>
      <c r="AB186" s="14" t="n">
        <f aca="false">IF(OR($N186&lt;&gt;"Yes",$O186=""),0,$Y186*IF($Z186&lt;=7,12,19-$Z186)/12)</f>
        <v>0</v>
      </c>
      <c r="AC186" s="26" t="str">
        <f aca="false">IF(OR($J186="Yes",$L186="Yes",$N186="Yes"),"Yes","No")</f>
        <v>No</v>
      </c>
      <c r="AD186" s="14" t="n">
        <f aca="false">MAX($Q186,$U186,$Y186)</f>
        <v>0</v>
      </c>
      <c r="AE186" s="26" t="n">
        <f aca="false">$AD186+ROW()*0.000000001</f>
        <v>1.86E-007</v>
      </c>
      <c r="AF186" s="26" t="str">
        <f aca="false">IF($J186="Yes","A","")&amp;IF($L186="Yes","B","")&amp;IF($N186="Yes","C","")</f>
        <v/>
      </c>
    </row>
    <row r="187" customFormat="false" ht="15" hidden="false" customHeight="false" outlineLevel="0" collapsed="false">
      <c r="B187" s="22" t="s">
        <v>437</v>
      </c>
      <c r="C187" s="23" t="s">
        <v>436</v>
      </c>
      <c r="D187" s="23" t="s">
        <v>147</v>
      </c>
      <c r="E187" s="23" t="s">
        <v>164</v>
      </c>
      <c r="F187" s="22" t="s">
        <v>57</v>
      </c>
      <c r="G187" s="23" t="s">
        <v>58</v>
      </c>
      <c r="H187" s="24" t="n">
        <v>1</v>
      </c>
      <c r="I187" s="14" t="n">
        <v>0.2263</v>
      </c>
      <c r="J187" s="25" t="s">
        <v>59</v>
      </c>
      <c r="K187" s="25"/>
      <c r="L187" s="25" t="s">
        <v>59</v>
      </c>
      <c r="M187" s="25"/>
      <c r="N187" s="25" t="s">
        <v>59</v>
      </c>
      <c r="O187" s="25"/>
      <c r="P187" s="14" t="n">
        <v>0.2263</v>
      </c>
      <c r="Q187" s="14" t="n">
        <f aca="false">IF(AND($J187="Yes",$G187&lt;&gt;"Vendor day rates"),$I187-0.4*$P187,0)</f>
        <v>0</v>
      </c>
      <c r="R187" s="26" t="n">
        <f aca="false">IFERROR(MATCH($K187,MonthList,0),0)</f>
        <v>0</v>
      </c>
      <c r="S187" s="14" t="n">
        <f aca="false">IF(OR($J187&lt;&gt;"Yes",$K187=""),0,$Q187*MAX(0,7-$R187)/12)</f>
        <v>0</v>
      </c>
      <c r="T187" s="14" t="n">
        <f aca="false">IF(OR($J187&lt;&gt;"Yes",$K187=""),0,$Q187*IF($R187&lt;=7,12,19-$R187)/12)</f>
        <v>0</v>
      </c>
      <c r="U187" s="14" t="n">
        <f aca="false">IF(AND($L187="Yes",$G187&lt;&gt;"Vendor day rates"),$I187-0.4*$P187,0)</f>
        <v>0</v>
      </c>
      <c r="V187" s="26" t="n">
        <f aca="false">IFERROR(MATCH($M187,MonthList,0),0)</f>
        <v>0</v>
      </c>
      <c r="W187" s="14" t="n">
        <f aca="false">IF(OR($L187&lt;&gt;"Yes",$M187=""),0,$U187*MAX(0,7-$V187)/12)</f>
        <v>0</v>
      </c>
      <c r="X187" s="14" t="n">
        <f aca="false">IF(OR($L187&lt;&gt;"Yes",$M187=""),0,$U187*IF($V187&lt;=7,12,19-$V187)/12)</f>
        <v>0</v>
      </c>
      <c r="Y187" s="14" t="n">
        <f aca="false">IF(AND($N187="Yes",$G187&lt;&gt;"Vendor day rates"),$I187-0.4*$P187,0)</f>
        <v>0</v>
      </c>
      <c r="Z187" s="26" t="n">
        <f aca="false">IFERROR(MATCH($O187,MonthList,0),0)</f>
        <v>0</v>
      </c>
      <c r="AA187" s="14" t="n">
        <f aca="false">IF(OR($N187&lt;&gt;"Yes",$O187=""),0,$Y187*MAX(0,7-$Z187)/12)</f>
        <v>0</v>
      </c>
      <c r="AB187" s="14" t="n">
        <f aca="false">IF(OR($N187&lt;&gt;"Yes",$O187=""),0,$Y187*IF($Z187&lt;=7,12,19-$Z187)/12)</f>
        <v>0</v>
      </c>
      <c r="AC187" s="26" t="str">
        <f aca="false">IF(OR($J187="Yes",$L187="Yes",$N187="Yes"),"Yes","No")</f>
        <v>No</v>
      </c>
      <c r="AD187" s="14" t="n">
        <f aca="false">MAX($Q187,$U187,$Y187)</f>
        <v>0</v>
      </c>
      <c r="AE187" s="26" t="n">
        <f aca="false">$AD187+ROW()*0.000000001</f>
        <v>1.87E-007</v>
      </c>
      <c r="AF187" s="26" t="str">
        <f aca="false">IF($J187="Yes","A","")&amp;IF($L187="Yes","B","")&amp;IF($N187="Yes","C","")</f>
        <v/>
      </c>
    </row>
    <row r="188" customFormat="false" ht="15" hidden="false" customHeight="false" outlineLevel="0" collapsed="false">
      <c r="B188" s="22" t="s">
        <v>438</v>
      </c>
      <c r="C188" s="23" t="s">
        <v>439</v>
      </c>
      <c r="D188" s="23" t="s">
        <v>331</v>
      </c>
      <c r="E188" s="23" t="s">
        <v>440</v>
      </c>
      <c r="F188" s="22" t="s">
        <v>112</v>
      </c>
      <c r="G188" s="23" t="s">
        <v>58</v>
      </c>
      <c r="H188" s="24" t="n">
        <v>1</v>
      </c>
      <c r="I188" s="14" t="n">
        <v>0.1845</v>
      </c>
      <c r="J188" s="25" t="s">
        <v>59</v>
      </c>
      <c r="K188" s="25"/>
      <c r="L188" s="25" t="s">
        <v>59</v>
      </c>
      <c r="M188" s="25"/>
      <c r="N188" s="25" t="s">
        <v>59</v>
      </c>
      <c r="O188" s="25"/>
      <c r="P188" s="14" t="n">
        <v>0.1845</v>
      </c>
      <c r="Q188" s="14" t="n">
        <f aca="false">IF(AND($J188="Yes",$G188&lt;&gt;"Vendor day rates"),$I188-0.4*$P188,0)</f>
        <v>0</v>
      </c>
      <c r="R188" s="26" t="n">
        <f aca="false">IFERROR(MATCH($K188,MonthList,0),0)</f>
        <v>0</v>
      </c>
      <c r="S188" s="14" t="n">
        <f aca="false">IF(OR($J188&lt;&gt;"Yes",$K188=""),0,$Q188*MAX(0,7-$R188)/12)</f>
        <v>0</v>
      </c>
      <c r="T188" s="14" t="n">
        <f aca="false">IF(OR($J188&lt;&gt;"Yes",$K188=""),0,$Q188*IF($R188&lt;=7,12,19-$R188)/12)</f>
        <v>0</v>
      </c>
      <c r="U188" s="14" t="n">
        <f aca="false">IF(AND($L188="Yes",$G188&lt;&gt;"Vendor day rates"),$I188-0.4*$P188,0)</f>
        <v>0</v>
      </c>
      <c r="V188" s="26" t="n">
        <f aca="false">IFERROR(MATCH($M188,MonthList,0),0)</f>
        <v>0</v>
      </c>
      <c r="W188" s="14" t="n">
        <f aca="false">IF(OR($L188&lt;&gt;"Yes",$M188=""),0,$U188*MAX(0,7-$V188)/12)</f>
        <v>0</v>
      </c>
      <c r="X188" s="14" t="n">
        <f aca="false">IF(OR($L188&lt;&gt;"Yes",$M188=""),0,$U188*IF($V188&lt;=7,12,19-$V188)/12)</f>
        <v>0</v>
      </c>
      <c r="Y188" s="14" t="n">
        <f aca="false">IF(AND($N188="Yes",$G188&lt;&gt;"Vendor day rates"),$I188-0.4*$P188,0)</f>
        <v>0</v>
      </c>
      <c r="Z188" s="26" t="n">
        <f aca="false">IFERROR(MATCH($O188,MonthList,0),0)</f>
        <v>0</v>
      </c>
      <c r="AA188" s="14" t="n">
        <f aca="false">IF(OR($N188&lt;&gt;"Yes",$O188=""),0,$Y188*MAX(0,7-$Z188)/12)</f>
        <v>0</v>
      </c>
      <c r="AB188" s="14" t="n">
        <f aca="false">IF(OR($N188&lt;&gt;"Yes",$O188=""),0,$Y188*IF($Z188&lt;=7,12,19-$Z188)/12)</f>
        <v>0</v>
      </c>
      <c r="AC188" s="26" t="str">
        <f aca="false">IF(OR($J188="Yes",$L188="Yes",$N188="Yes"),"Yes","No")</f>
        <v>No</v>
      </c>
      <c r="AD188" s="14" t="n">
        <f aca="false">MAX($Q188,$U188,$Y188)</f>
        <v>0</v>
      </c>
      <c r="AE188" s="26" t="n">
        <f aca="false">$AD188+ROW()*0.000000001</f>
        <v>1.88E-007</v>
      </c>
      <c r="AF188" s="26" t="str">
        <f aca="false">IF($J188="Yes","A","")&amp;IF($L188="Yes","B","")&amp;IF($N188="Yes","C","")</f>
        <v/>
      </c>
    </row>
    <row r="189" customFormat="false" ht="15" hidden="false" customHeight="false" outlineLevel="0" collapsed="false">
      <c r="B189" s="22" t="s">
        <v>441</v>
      </c>
      <c r="C189" s="23" t="s">
        <v>439</v>
      </c>
      <c r="D189" s="23" t="s">
        <v>331</v>
      </c>
      <c r="E189" s="23" t="s">
        <v>440</v>
      </c>
      <c r="F189" s="22" t="s">
        <v>112</v>
      </c>
      <c r="G189" s="23" t="s">
        <v>58</v>
      </c>
      <c r="H189" s="24" t="n">
        <v>1</v>
      </c>
      <c r="I189" s="14" t="n">
        <v>0.1789</v>
      </c>
      <c r="J189" s="25" t="s">
        <v>59</v>
      </c>
      <c r="K189" s="25"/>
      <c r="L189" s="25" t="s">
        <v>59</v>
      </c>
      <c r="M189" s="25"/>
      <c r="N189" s="25" t="s">
        <v>59</v>
      </c>
      <c r="O189" s="25"/>
      <c r="P189" s="14" t="n">
        <v>0.1789</v>
      </c>
      <c r="Q189" s="14" t="n">
        <f aca="false">IF(AND($J189="Yes",$G189&lt;&gt;"Vendor day rates"),$I189-0.4*$P189,0)</f>
        <v>0</v>
      </c>
      <c r="R189" s="26" t="n">
        <f aca="false">IFERROR(MATCH($K189,MonthList,0),0)</f>
        <v>0</v>
      </c>
      <c r="S189" s="14" t="n">
        <f aca="false">IF(OR($J189&lt;&gt;"Yes",$K189=""),0,$Q189*MAX(0,7-$R189)/12)</f>
        <v>0</v>
      </c>
      <c r="T189" s="14" t="n">
        <f aca="false">IF(OR($J189&lt;&gt;"Yes",$K189=""),0,$Q189*IF($R189&lt;=7,12,19-$R189)/12)</f>
        <v>0</v>
      </c>
      <c r="U189" s="14" t="n">
        <f aca="false">IF(AND($L189="Yes",$G189&lt;&gt;"Vendor day rates"),$I189-0.4*$P189,0)</f>
        <v>0</v>
      </c>
      <c r="V189" s="26" t="n">
        <f aca="false">IFERROR(MATCH($M189,MonthList,0),0)</f>
        <v>0</v>
      </c>
      <c r="W189" s="14" t="n">
        <f aca="false">IF(OR($L189&lt;&gt;"Yes",$M189=""),0,$U189*MAX(0,7-$V189)/12)</f>
        <v>0</v>
      </c>
      <c r="X189" s="14" t="n">
        <f aca="false">IF(OR($L189&lt;&gt;"Yes",$M189=""),0,$U189*IF($V189&lt;=7,12,19-$V189)/12)</f>
        <v>0</v>
      </c>
      <c r="Y189" s="14" t="n">
        <f aca="false">IF(AND($N189="Yes",$G189&lt;&gt;"Vendor day rates"),$I189-0.4*$P189,0)</f>
        <v>0</v>
      </c>
      <c r="Z189" s="26" t="n">
        <f aca="false">IFERROR(MATCH($O189,MonthList,0),0)</f>
        <v>0</v>
      </c>
      <c r="AA189" s="14" t="n">
        <f aca="false">IF(OR($N189&lt;&gt;"Yes",$O189=""),0,$Y189*MAX(0,7-$Z189)/12)</f>
        <v>0</v>
      </c>
      <c r="AB189" s="14" t="n">
        <f aca="false">IF(OR($N189&lt;&gt;"Yes",$O189=""),0,$Y189*IF($Z189&lt;=7,12,19-$Z189)/12)</f>
        <v>0</v>
      </c>
      <c r="AC189" s="26" t="str">
        <f aca="false">IF(OR($J189="Yes",$L189="Yes",$N189="Yes"),"Yes","No")</f>
        <v>No</v>
      </c>
      <c r="AD189" s="14" t="n">
        <f aca="false">MAX($Q189,$U189,$Y189)</f>
        <v>0</v>
      </c>
      <c r="AE189" s="26" t="n">
        <f aca="false">$AD189+ROW()*0.000000001</f>
        <v>1.89E-007</v>
      </c>
      <c r="AF189" s="26" t="str">
        <f aca="false">IF($J189="Yes","A","")&amp;IF($L189="Yes","B","")&amp;IF($N189="Yes","C","")</f>
        <v/>
      </c>
    </row>
    <row r="190" customFormat="false" ht="15" hidden="false" customHeight="false" outlineLevel="0" collapsed="false">
      <c r="B190" s="22" t="s">
        <v>442</v>
      </c>
      <c r="C190" s="23" t="s">
        <v>386</v>
      </c>
      <c r="D190" s="23" t="s">
        <v>331</v>
      </c>
      <c r="E190" s="23" t="s">
        <v>130</v>
      </c>
      <c r="F190" s="22" t="s">
        <v>57</v>
      </c>
      <c r="G190" s="23" t="s">
        <v>304</v>
      </c>
      <c r="H190" s="24" t="n">
        <v>1</v>
      </c>
      <c r="I190" s="14" t="n">
        <v>0</v>
      </c>
      <c r="J190" s="25" t="s">
        <v>59</v>
      </c>
      <c r="K190" s="25"/>
      <c r="L190" s="25" t="s">
        <v>59</v>
      </c>
      <c r="M190" s="25"/>
      <c r="N190" s="25" t="s">
        <v>59</v>
      </c>
      <c r="O190" s="25"/>
      <c r="P190" s="14" t="n">
        <v>0.2317</v>
      </c>
      <c r="Q190" s="14" t="n">
        <f aca="false">IF(AND($J190="Yes",$G190&lt;&gt;"Vendor day rates"),$I190-0.4*$P190,0)</f>
        <v>0</v>
      </c>
      <c r="R190" s="26" t="n">
        <f aca="false">IFERROR(MATCH($K190,MonthList,0),0)</f>
        <v>0</v>
      </c>
      <c r="S190" s="14" t="n">
        <f aca="false">IF(OR($J190&lt;&gt;"Yes",$K190=""),0,$Q190*MAX(0,7-$R190)/12)</f>
        <v>0</v>
      </c>
      <c r="T190" s="14" t="n">
        <f aca="false">IF(OR($J190&lt;&gt;"Yes",$K190=""),0,$Q190*IF($R190&lt;=7,12,19-$R190)/12)</f>
        <v>0</v>
      </c>
      <c r="U190" s="14" t="n">
        <f aca="false">IF(AND($L190="Yes",$G190&lt;&gt;"Vendor day rates"),$I190-0.4*$P190,0)</f>
        <v>0</v>
      </c>
      <c r="V190" s="26" t="n">
        <f aca="false">IFERROR(MATCH($M190,MonthList,0),0)</f>
        <v>0</v>
      </c>
      <c r="W190" s="14" t="n">
        <f aca="false">IF(OR($L190&lt;&gt;"Yes",$M190=""),0,$U190*MAX(0,7-$V190)/12)</f>
        <v>0</v>
      </c>
      <c r="X190" s="14" t="n">
        <f aca="false">IF(OR($L190&lt;&gt;"Yes",$M190=""),0,$U190*IF($V190&lt;=7,12,19-$V190)/12)</f>
        <v>0</v>
      </c>
      <c r="Y190" s="14" t="n">
        <f aca="false">IF(AND($N190="Yes",$G190&lt;&gt;"Vendor day rates"),$I190-0.4*$P190,0)</f>
        <v>0</v>
      </c>
      <c r="Z190" s="26" t="n">
        <f aca="false">IFERROR(MATCH($O190,MonthList,0),0)</f>
        <v>0</v>
      </c>
      <c r="AA190" s="14" t="n">
        <f aca="false">IF(OR($N190&lt;&gt;"Yes",$O190=""),0,$Y190*MAX(0,7-$Z190)/12)</f>
        <v>0</v>
      </c>
      <c r="AB190" s="14" t="n">
        <f aca="false">IF(OR($N190&lt;&gt;"Yes",$O190=""),0,$Y190*IF($Z190&lt;=7,12,19-$Z190)/12)</f>
        <v>0</v>
      </c>
      <c r="AC190" s="26" t="str">
        <f aca="false">IF(OR($J190="Yes",$L190="Yes",$N190="Yes"),"Yes","No")</f>
        <v>No</v>
      </c>
      <c r="AD190" s="14" t="n">
        <f aca="false">MAX($Q190,$U190,$Y190)</f>
        <v>0</v>
      </c>
      <c r="AE190" s="26" t="n">
        <f aca="false">$AD190+ROW()*0.000000001</f>
        <v>1.9E-007</v>
      </c>
      <c r="AF190" s="26" t="str">
        <f aca="false">IF($J190="Yes","A","")&amp;IF($L190="Yes","B","")&amp;IF($N190="Yes","C","")</f>
        <v/>
      </c>
    </row>
    <row r="191" customFormat="false" ht="15" hidden="false" customHeight="false" outlineLevel="0" collapsed="false">
      <c r="B191" s="22" t="s">
        <v>443</v>
      </c>
      <c r="C191" s="23" t="s">
        <v>444</v>
      </c>
      <c r="D191" s="23" t="s">
        <v>147</v>
      </c>
      <c r="E191" s="23" t="s">
        <v>167</v>
      </c>
      <c r="F191" s="22" t="s">
        <v>112</v>
      </c>
      <c r="G191" s="23" t="s">
        <v>121</v>
      </c>
      <c r="H191" s="24" t="n">
        <v>1</v>
      </c>
      <c r="I191" s="14" t="n">
        <v>0.076</v>
      </c>
      <c r="J191" s="25" t="s">
        <v>59</v>
      </c>
      <c r="K191" s="25"/>
      <c r="L191" s="25" t="s">
        <v>59</v>
      </c>
      <c r="M191" s="25"/>
      <c r="N191" s="25" t="s">
        <v>59</v>
      </c>
      <c r="O191" s="25"/>
      <c r="P191" s="14" t="n">
        <v>0.19</v>
      </c>
      <c r="Q191" s="14" t="n">
        <f aca="false">IF(AND($J191="Yes",$G191&lt;&gt;"Vendor day rates"),$I191-0.4*$P191,0)</f>
        <v>0</v>
      </c>
      <c r="R191" s="26" t="n">
        <f aca="false">IFERROR(MATCH($K191,MonthList,0),0)</f>
        <v>0</v>
      </c>
      <c r="S191" s="14" t="n">
        <f aca="false">IF(OR($J191&lt;&gt;"Yes",$K191=""),0,$Q191*MAX(0,7-$R191)/12)</f>
        <v>0</v>
      </c>
      <c r="T191" s="14" t="n">
        <f aca="false">IF(OR($J191&lt;&gt;"Yes",$K191=""),0,$Q191*IF($R191&lt;=7,12,19-$R191)/12)</f>
        <v>0</v>
      </c>
      <c r="U191" s="14" t="n">
        <f aca="false">IF(AND($L191="Yes",$G191&lt;&gt;"Vendor day rates"),$I191-0.4*$P191,0)</f>
        <v>0</v>
      </c>
      <c r="V191" s="26" t="n">
        <f aca="false">IFERROR(MATCH($M191,MonthList,0),0)</f>
        <v>0</v>
      </c>
      <c r="W191" s="14" t="n">
        <f aca="false">IF(OR($L191&lt;&gt;"Yes",$M191=""),0,$U191*MAX(0,7-$V191)/12)</f>
        <v>0</v>
      </c>
      <c r="X191" s="14" t="n">
        <f aca="false">IF(OR($L191&lt;&gt;"Yes",$M191=""),0,$U191*IF($V191&lt;=7,12,19-$V191)/12)</f>
        <v>0</v>
      </c>
      <c r="Y191" s="14" t="n">
        <f aca="false">IF(AND($N191="Yes",$G191&lt;&gt;"Vendor day rates"),$I191-0.4*$P191,0)</f>
        <v>0</v>
      </c>
      <c r="Z191" s="26" t="n">
        <f aca="false">IFERROR(MATCH($O191,MonthList,0),0)</f>
        <v>0</v>
      </c>
      <c r="AA191" s="14" t="n">
        <f aca="false">IF(OR($N191&lt;&gt;"Yes",$O191=""),0,$Y191*MAX(0,7-$Z191)/12)</f>
        <v>0</v>
      </c>
      <c r="AB191" s="14" t="n">
        <f aca="false">IF(OR($N191&lt;&gt;"Yes",$O191=""),0,$Y191*IF($Z191&lt;=7,12,19-$Z191)/12)</f>
        <v>0</v>
      </c>
      <c r="AC191" s="26" t="str">
        <f aca="false">IF(OR($J191="Yes",$L191="Yes",$N191="Yes"),"Yes","No")</f>
        <v>No</v>
      </c>
      <c r="AD191" s="14" t="n">
        <f aca="false">MAX($Q191,$U191,$Y191)</f>
        <v>0</v>
      </c>
      <c r="AE191" s="26" t="n">
        <f aca="false">$AD191+ROW()*0.000000001</f>
        <v>1.91E-007</v>
      </c>
      <c r="AF191" s="26" t="str">
        <f aca="false">IF($J191="Yes","A","")&amp;IF($L191="Yes","B","")&amp;IF($N191="Yes","C","")</f>
        <v/>
      </c>
    </row>
    <row r="192" customFormat="false" ht="15" hidden="false" customHeight="false" outlineLevel="0" collapsed="false">
      <c r="B192" s="22" t="s">
        <v>445</v>
      </c>
      <c r="C192" s="23" t="s">
        <v>446</v>
      </c>
      <c r="D192" s="23" t="s">
        <v>158</v>
      </c>
      <c r="E192" s="23" t="s">
        <v>447</v>
      </c>
      <c r="F192" s="22" t="s">
        <v>57</v>
      </c>
      <c r="G192" s="23" t="s">
        <v>58</v>
      </c>
      <c r="H192" s="24" t="n">
        <v>1</v>
      </c>
      <c r="I192" s="14" t="n">
        <v>0.2719</v>
      </c>
      <c r="J192" s="25" t="s">
        <v>59</v>
      </c>
      <c r="K192" s="25"/>
      <c r="L192" s="25" t="s">
        <v>59</v>
      </c>
      <c r="M192" s="25"/>
      <c r="N192" s="25" t="s">
        <v>59</v>
      </c>
      <c r="O192" s="25"/>
      <c r="P192" s="14" t="n">
        <v>0.2719</v>
      </c>
      <c r="Q192" s="14" t="n">
        <f aca="false">IF(AND($J192="Yes",$G192&lt;&gt;"Vendor day rates"),$I192-0.4*$P192,0)</f>
        <v>0</v>
      </c>
      <c r="R192" s="26" t="n">
        <f aca="false">IFERROR(MATCH($K192,MonthList,0),0)</f>
        <v>0</v>
      </c>
      <c r="S192" s="14" t="n">
        <f aca="false">IF(OR($J192&lt;&gt;"Yes",$K192=""),0,$Q192*MAX(0,7-$R192)/12)</f>
        <v>0</v>
      </c>
      <c r="T192" s="14" t="n">
        <f aca="false">IF(OR($J192&lt;&gt;"Yes",$K192=""),0,$Q192*IF($R192&lt;=7,12,19-$R192)/12)</f>
        <v>0</v>
      </c>
      <c r="U192" s="14" t="n">
        <f aca="false">IF(AND($L192="Yes",$G192&lt;&gt;"Vendor day rates"),$I192-0.4*$P192,0)</f>
        <v>0</v>
      </c>
      <c r="V192" s="26" t="n">
        <f aca="false">IFERROR(MATCH($M192,MonthList,0),0)</f>
        <v>0</v>
      </c>
      <c r="W192" s="14" t="n">
        <f aca="false">IF(OR($L192&lt;&gt;"Yes",$M192=""),0,$U192*MAX(0,7-$V192)/12)</f>
        <v>0</v>
      </c>
      <c r="X192" s="14" t="n">
        <f aca="false">IF(OR($L192&lt;&gt;"Yes",$M192=""),0,$U192*IF($V192&lt;=7,12,19-$V192)/12)</f>
        <v>0</v>
      </c>
      <c r="Y192" s="14" t="n">
        <f aca="false">IF(AND($N192="Yes",$G192&lt;&gt;"Vendor day rates"),$I192-0.4*$P192,0)</f>
        <v>0</v>
      </c>
      <c r="Z192" s="26" t="n">
        <f aca="false">IFERROR(MATCH($O192,MonthList,0),0)</f>
        <v>0</v>
      </c>
      <c r="AA192" s="14" t="n">
        <f aca="false">IF(OR($N192&lt;&gt;"Yes",$O192=""),0,$Y192*MAX(0,7-$Z192)/12)</f>
        <v>0</v>
      </c>
      <c r="AB192" s="14" t="n">
        <f aca="false">IF(OR($N192&lt;&gt;"Yes",$O192=""),0,$Y192*IF($Z192&lt;=7,12,19-$Z192)/12)</f>
        <v>0</v>
      </c>
      <c r="AC192" s="26" t="str">
        <f aca="false">IF(OR($J192="Yes",$L192="Yes",$N192="Yes"),"Yes","No")</f>
        <v>No</v>
      </c>
      <c r="AD192" s="14" t="n">
        <f aca="false">MAX($Q192,$U192,$Y192)</f>
        <v>0</v>
      </c>
      <c r="AE192" s="26" t="n">
        <f aca="false">$AD192+ROW()*0.000000001</f>
        <v>1.92E-007</v>
      </c>
      <c r="AF192" s="26" t="str">
        <f aca="false">IF($J192="Yes","A","")&amp;IF($L192="Yes","B","")&amp;IF($N192="Yes","C","")</f>
        <v/>
      </c>
    </row>
    <row r="193" customFormat="false" ht="15" hidden="false" customHeight="false" outlineLevel="0" collapsed="false">
      <c r="B193" s="22" t="s">
        <v>448</v>
      </c>
      <c r="C193" s="23" t="s">
        <v>403</v>
      </c>
      <c r="D193" s="23" t="s">
        <v>158</v>
      </c>
      <c r="E193" s="23" t="s">
        <v>447</v>
      </c>
      <c r="F193" s="22" t="s">
        <v>112</v>
      </c>
      <c r="G193" s="23" t="s">
        <v>58</v>
      </c>
      <c r="H193" s="24" t="n">
        <v>1</v>
      </c>
      <c r="I193" s="14" t="n">
        <v>0.1781</v>
      </c>
      <c r="J193" s="25" t="s">
        <v>59</v>
      </c>
      <c r="K193" s="25"/>
      <c r="L193" s="25" t="s">
        <v>59</v>
      </c>
      <c r="M193" s="25"/>
      <c r="N193" s="25" t="s">
        <v>59</v>
      </c>
      <c r="O193" s="25"/>
      <c r="P193" s="14" t="n">
        <v>0.1781</v>
      </c>
      <c r="Q193" s="14" t="n">
        <f aca="false">IF(AND($J193="Yes",$G193&lt;&gt;"Vendor day rates"),$I193-0.4*$P193,0)</f>
        <v>0</v>
      </c>
      <c r="R193" s="26" t="n">
        <f aca="false">IFERROR(MATCH($K193,MonthList,0),0)</f>
        <v>0</v>
      </c>
      <c r="S193" s="14" t="n">
        <f aca="false">IF(OR($J193&lt;&gt;"Yes",$K193=""),0,$Q193*MAX(0,7-$R193)/12)</f>
        <v>0</v>
      </c>
      <c r="T193" s="14" t="n">
        <f aca="false">IF(OR($J193&lt;&gt;"Yes",$K193=""),0,$Q193*IF($R193&lt;=7,12,19-$R193)/12)</f>
        <v>0</v>
      </c>
      <c r="U193" s="14" t="n">
        <f aca="false">IF(AND($L193="Yes",$G193&lt;&gt;"Vendor day rates"),$I193-0.4*$P193,0)</f>
        <v>0</v>
      </c>
      <c r="V193" s="26" t="n">
        <f aca="false">IFERROR(MATCH($M193,MonthList,0),0)</f>
        <v>0</v>
      </c>
      <c r="W193" s="14" t="n">
        <f aca="false">IF(OR($L193&lt;&gt;"Yes",$M193=""),0,$U193*MAX(0,7-$V193)/12)</f>
        <v>0</v>
      </c>
      <c r="X193" s="14" t="n">
        <f aca="false">IF(OR($L193&lt;&gt;"Yes",$M193=""),0,$U193*IF($V193&lt;=7,12,19-$V193)/12)</f>
        <v>0</v>
      </c>
      <c r="Y193" s="14" t="n">
        <f aca="false">IF(AND($N193="Yes",$G193&lt;&gt;"Vendor day rates"),$I193-0.4*$P193,0)</f>
        <v>0</v>
      </c>
      <c r="Z193" s="26" t="n">
        <f aca="false">IFERROR(MATCH($O193,MonthList,0),0)</f>
        <v>0</v>
      </c>
      <c r="AA193" s="14" t="n">
        <f aca="false">IF(OR($N193&lt;&gt;"Yes",$O193=""),0,$Y193*MAX(0,7-$Z193)/12)</f>
        <v>0</v>
      </c>
      <c r="AB193" s="14" t="n">
        <f aca="false">IF(OR($N193&lt;&gt;"Yes",$O193=""),0,$Y193*IF($Z193&lt;=7,12,19-$Z193)/12)</f>
        <v>0</v>
      </c>
      <c r="AC193" s="26" t="str">
        <f aca="false">IF(OR($J193="Yes",$L193="Yes",$N193="Yes"),"Yes","No")</f>
        <v>No</v>
      </c>
      <c r="AD193" s="14" t="n">
        <f aca="false">MAX($Q193,$U193,$Y193)</f>
        <v>0</v>
      </c>
      <c r="AE193" s="26" t="n">
        <f aca="false">$AD193+ROW()*0.000000001</f>
        <v>1.93E-007</v>
      </c>
      <c r="AF193" s="26" t="str">
        <f aca="false">IF($J193="Yes","A","")&amp;IF($L193="Yes","B","")&amp;IF($N193="Yes","C","")</f>
        <v/>
      </c>
    </row>
    <row r="194" customFormat="false" ht="15" hidden="false" customHeight="false" outlineLevel="0" collapsed="false">
      <c r="B194" s="22" t="s">
        <v>449</v>
      </c>
      <c r="C194" s="23" t="s">
        <v>116</v>
      </c>
      <c r="D194" s="23" t="s">
        <v>158</v>
      </c>
      <c r="E194" s="23" t="s">
        <v>447</v>
      </c>
      <c r="F194" s="22" t="s">
        <v>112</v>
      </c>
      <c r="G194" s="23" t="s">
        <v>58</v>
      </c>
      <c r="H194" s="24" t="n">
        <v>1</v>
      </c>
      <c r="I194" s="14" t="n">
        <v>0.2162</v>
      </c>
      <c r="J194" s="25" t="s">
        <v>59</v>
      </c>
      <c r="K194" s="25"/>
      <c r="L194" s="25" t="s">
        <v>59</v>
      </c>
      <c r="M194" s="25"/>
      <c r="N194" s="25" t="s">
        <v>59</v>
      </c>
      <c r="O194" s="25"/>
      <c r="P194" s="14" t="n">
        <v>0.2162</v>
      </c>
      <c r="Q194" s="14" t="n">
        <f aca="false">IF(AND($J194="Yes",$G194&lt;&gt;"Vendor day rates"),$I194-0.4*$P194,0)</f>
        <v>0</v>
      </c>
      <c r="R194" s="26" t="n">
        <f aca="false">IFERROR(MATCH($K194,MonthList,0),0)</f>
        <v>0</v>
      </c>
      <c r="S194" s="14" t="n">
        <f aca="false">IF(OR($J194&lt;&gt;"Yes",$K194=""),0,$Q194*MAX(0,7-$R194)/12)</f>
        <v>0</v>
      </c>
      <c r="T194" s="14" t="n">
        <f aca="false">IF(OR($J194&lt;&gt;"Yes",$K194=""),0,$Q194*IF($R194&lt;=7,12,19-$R194)/12)</f>
        <v>0</v>
      </c>
      <c r="U194" s="14" t="n">
        <f aca="false">IF(AND($L194="Yes",$G194&lt;&gt;"Vendor day rates"),$I194-0.4*$P194,0)</f>
        <v>0</v>
      </c>
      <c r="V194" s="26" t="n">
        <f aca="false">IFERROR(MATCH($M194,MonthList,0),0)</f>
        <v>0</v>
      </c>
      <c r="W194" s="14" t="n">
        <f aca="false">IF(OR($L194&lt;&gt;"Yes",$M194=""),0,$U194*MAX(0,7-$V194)/12)</f>
        <v>0</v>
      </c>
      <c r="X194" s="14" t="n">
        <f aca="false">IF(OR($L194&lt;&gt;"Yes",$M194=""),0,$U194*IF($V194&lt;=7,12,19-$V194)/12)</f>
        <v>0</v>
      </c>
      <c r="Y194" s="14" t="n">
        <f aca="false">IF(AND($N194="Yes",$G194&lt;&gt;"Vendor day rates"),$I194-0.4*$P194,0)</f>
        <v>0</v>
      </c>
      <c r="Z194" s="26" t="n">
        <f aca="false">IFERROR(MATCH($O194,MonthList,0),0)</f>
        <v>0</v>
      </c>
      <c r="AA194" s="14" t="n">
        <f aca="false">IF(OR($N194&lt;&gt;"Yes",$O194=""),0,$Y194*MAX(0,7-$Z194)/12)</f>
        <v>0</v>
      </c>
      <c r="AB194" s="14" t="n">
        <f aca="false">IF(OR($N194&lt;&gt;"Yes",$O194=""),0,$Y194*IF($Z194&lt;=7,12,19-$Z194)/12)</f>
        <v>0</v>
      </c>
      <c r="AC194" s="26" t="str">
        <f aca="false">IF(OR($J194="Yes",$L194="Yes",$N194="Yes"),"Yes","No")</f>
        <v>No</v>
      </c>
      <c r="AD194" s="14" t="n">
        <f aca="false">MAX($Q194,$U194,$Y194)</f>
        <v>0</v>
      </c>
      <c r="AE194" s="26" t="n">
        <f aca="false">$AD194+ROW()*0.000000001</f>
        <v>1.94E-007</v>
      </c>
      <c r="AF194" s="26" t="str">
        <f aca="false">IF($J194="Yes","A","")&amp;IF($L194="Yes","B","")&amp;IF($N194="Yes","C","")</f>
        <v/>
      </c>
    </row>
    <row r="195" customFormat="false" ht="15" hidden="false" customHeight="false" outlineLevel="0" collapsed="false">
      <c r="B195" s="22" t="s">
        <v>450</v>
      </c>
      <c r="C195" s="23" t="s">
        <v>451</v>
      </c>
      <c r="D195" s="23" t="s">
        <v>158</v>
      </c>
      <c r="E195" s="23" t="s">
        <v>447</v>
      </c>
      <c r="F195" s="22" t="s">
        <v>57</v>
      </c>
      <c r="G195" s="23" t="s">
        <v>149</v>
      </c>
      <c r="H195" s="24" t="n">
        <v>1</v>
      </c>
      <c r="I195" s="14" t="n">
        <v>0.2317</v>
      </c>
      <c r="J195" s="25" t="s">
        <v>59</v>
      </c>
      <c r="K195" s="25"/>
      <c r="L195" s="25" t="s">
        <v>59</v>
      </c>
      <c r="M195" s="25"/>
      <c r="N195" s="25" t="s">
        <v>59</v>
      </c>
      <c r="O195" s="25"/>
      <c r="P195" s="14" t="n">
        <v>0.2317</v>
      </c>
      <c r="Q195" s="14" t="n">
        <f aca="false">IF(AND($J195="Yes",$G195&lt;&gt;"Vendor day rates"),$I195-0.4*$P195,0)</f>
        <v>0</v>
      </c>
      <c r="R195" s="26" t="n">
        <f aca="false">IFERROR(MATCH($K195,MonthList,0),0)</f>
        <v>0</v>
      </c>
      <c r="S195" s="14" t="n">
        <f aca="false">IF(OR($J195&lt;&gt;"Yes",$K195=""),0,$Q195*MAX(0,7-$R195)/12)</f>
        <v>0</v>
      </c>
      <c r="T195" s="14" t="n">
        <f aca="false">IF(OR($J195&lt;&gt;"Yes",$K195=""),0,$Q195*IF($R195&lt;=7,12,19-$R195)/12)</f>
        <v>0</v>
      </c>
      <c r="U195" s="14" t="n">
        <f aca="false">IF(AND($L195="Yes",$G195&lt;&gt;"Vendor day rates"),$I195-0.4*$P195,0)</f>
        <v>0</v>
      </c>
      <c r="V195" s="26" t="n">
        <f aca="false">IFERROR(MATCH($M195,MonthList,0),0)</f>
        <v>0</v>
      </c>
      <c r="W195" s="14" t="n">
        <f aca="false">IF(OR($L195&lt;&gt;"Yes",$M195=""),0,$U195*MAX(0,7-$V195)/12)</f>
        <v>0</v>
      </c>
      <c r="X195" s="14" t="n">
        <f aca="false">IF(OR($L195&lt;&gt;"Yes",$M195=""),0,$U195*IF($V195&lt;=7,12,19-$V195)/12)</f>
        <v>0</v>
      </c>
      <c r="Y195" s="14" t="n">
        <f aca="false">IF(AND($N195="Yes",$G195&lt;&gt;"Vendor day rates"),$I195-0.4*$P195,0)</f>
        <v>0</v>
      </c>
      <c r="Z195" s="26" t="n">
        <f aca="false">IFERROR(MATCH($O195,MonthList,0),0)</f>
        <v>0</v>
      </c>
      <c r="AA195" s="14" t="n">
        <f aca="false">IF(OR($N195&lt;&gt;"Yes",$O195=""),0,$Y195*MAX(0,7-$Z195)/12)</f>
        <v>0</v>
      </c>
      <c r="AB195" s="14" t="n">
        <f aca="false">IF(OR($N195&lt;&gt;"Yes",$O195=""),0,$Y195*IF($Z195&lt;=7,12,19-$Z195)/12)</f>
        <v>0</v>
      </c>
      <c r="AC195" s="26" t="str">
        <f aca="false">IF(OR($J195="Yes",$L195="Yes",$N195="Yes"),"Yes","No")</f>
        <v>No</v>
      </c>
      <c r="AD195" s="14" t="n">
        <f aca="false">MAX($Q195,$U195,$Y195)</f>
        <v>0</v>
      </c>
      <c r="AE195" s="26" t="n">
        <f aca="false">$AD195+ROW()*0.000000001</f>
        <v>1.95E-007</v>
      </c>
      <c r="AF195" s="26" t="str">
        <f aca="false">IF($J195="Yes","A","")&amp;IF($L195="Yes","B","")&amp;IF($N195="Yes","C","")</f>
        <v/>
      </c>
    </row>
    <row r="196" customFormat="false" ht="15" hidden="false" customHeight="false" outlineLevel="0" collapsed="false">
      <c r="B196" s="22" t="s">
        <v>452</v>
      </c>
      <c r="C196" s="23" t="s">
        <v>453</v>
      </c>
      <c r="D196" s="23" t="s">
        <v>158</v>
      </c>
      <c r="E196" s="23" t="s">
        <v>454</v>
      </c>
      <c r="F196" s="22" t="s">
        <v>57</v>
      </c>
      <c r="G196" s="23" t="s">
        <v>58</v>
      </c>
      <c r="H196" s="24" t="n">
        <v>1</v>
      </c>
      <c r="I196" s="14" t="n">
        <v>0.2209</v>
      </c>
      <c r="J196" s="25" t="s">
        <v>59</v>
      </c>
      <c r="K196" s="25"/>
      <c r="L196" s="25" t="s">
        <v>59</v>
      </c>
      <c r="M196" s="25"/>
      <c r="N196" s="25" t="s">
        <v>59</v>
      </c>
      <c r="O196" s="25"/>
      <c r="P196" s="14" t="n">
        <v>0.2209</v>
      </c>
      <c r="Q196" s="14" t="n">
        <f aca="false">IF(AND($J196="Yes",$G196&lt;&gt;"Vendor day rates"),$I196-0.4*$P196,0)</f>
        <v>0</v>
      </c>
      <c r="R196" s="26" t="n">
        <f aca="false">IFERROR(MATCH($K196,MonthList,0),0)</f>
        <v>0</v>
      </c>
      <c r="S196" s="14" t="n">
        <f aca="false">IF(OR($J196&lt;&gt;"Yes",$K196=""),0,$Q196*MAX(0,7-$R196)/12)</f>
        <v>0</v>
      </c>
      <c r="T196" s="14" t="n">
        <f aca="false">IF(OR($J196&lt;&gt;"Yes",$K196=""),0,$Q196*IF($R196&lt;=7,12,19-$R196)/12)</f>
        <v>0</v>
      </c>
      <c r="U196" s="14" t="n">
        <f aca="false">IF(AND($L196="Yes",$G196&lt;&gt;"Vendor day rates"),$I196-0.4*$P196,0)</f>
        <v>0</v>
      </c>
      <c r="V196" s="26" t="n">
        <f aca="false">IFERROR(MATCH($M196,MonthList,0),0)</f>
        <v>0</v>
      </c>
      <c r="W196" s="14" t="n">
        <f aca="false">IF(OR($L196&lt;&gt;"Yes",$M196=""),0,$U196*MAX(0,7-$V196)/12)</f>
        <v>0</v>
      </c>
      <c r="X196" s="14" t="n">
        <f aca="false">IF(OR($L196&lt;&gt;"Yes",$M196=""),0,$U196*IF($V196&lt;=7,12,19-$V196)/12)</f>
        <v>0</v>
      </c>
      <c r="Y196" s="14" t="n">
        <f aca="false">IF(AND($N196="Yes",$G196&lt;&gt;"Vendor day rates"),$I196-0.4*$P196,0)</f>
        <v>0</v>
      </c>
      <c r="Z196" s="26" t="n">
        <f aca="false">IFERROR(MATCH($O196,MonthList,0),0)</f>
        <v>0</v>
      </c>
      <c r="AA196" s="14" t="n">
        <f aca="false">IF(OR($N196&lt;&gt;"Yes",$O196=""),0,$Y196*MAX(0,7-$Z196)/12)</f>
        <v>0</v>
      </c>
      <c r="AB196" s="14" t="n">
        <f aca="false">IF(OR($N196&lt;&gt;"Yes",$O196=""),0,$Y196*IF($Z196&lt;=7,12,19-$Z196)/12)</f>
        <v>0</v>
      </c>
      <c r="AC196" s="26" t="str">
        <f aca="false">IF(OR($J196="Yes",$L196="Yes",$N196="Yes"),"Yes","No")</f>
        <v>No</v>
      </c>
      <c r="AD196" s="14" t="n">
        <f aca="false">MAX($Q196,$U196,$Y196)</f>
        <v>0</v>
      </c>
      <c r="AE196" s="26" t="n">
        <f aca="false">$AD196+ROW()*0.000000001</f>
        <v>1.96E-007</v>
      </c>
      <c r="AF196" s="26" t="str">
        <f aca="false">IF($J196="Yes","A","")&amp;IF($L196="Yes","B","")&amp;IF($N196="Yes","C","")</f>
        <v/>
      </c>
    </row>
    <row r="197" customFormat="false" ht="15" hidden="false" customHeight="false" outlineLevel="0" collapsed="false">
      <c r="B197" s="22" t="s">
        <v>455</v>
      </c>
      <c r="C197" s="23" t="s">
        <v>54</v>
      </c>
      <c r="D197" s="23" t="s">
        <v>91</v>
      </c>
      <c r="E197" s="23" t="s">
        <v>432</v>
      </c>
      <c r="F197" s="22" t="s">
        <v>57</v>
      </c>
      <c r="G197" s="23" t="s">
        <v>58</v>
      </c>
      <c r="H197" s="24" t="n">
        <v>1</v>
      </c>
      <c r="I197" s="14" t="n">
        <v>0.2575</v>
      </c>
      <c r="J197" s="25" t="s">
        <v>59</v>
      </c>
      <c r="K197" s="25"/>
      <c r="L197" s="25" t="s">
        <v>59</v>
      </c>
      <c r="M197" s="25"/>
      <c r="N197" s="25" t="s">
        <v>59</v>
      </c>
      <c r="O197" s="25"/>
      <c r="P197" s="14" t="n">
        <v>0.2575</v>
      </c>
      <c r="Q197" s="14" t="n">
        <f aca="false">IF(AND($J197="Yes",$G197&lt;&gt;"Vendor day rates"),$I197-0.4*$P197,0)</f>
        <v>0</v>
      </c>
      <c r="R197" s="26" t="n">
        <f aca="false">IFERROR(MATCH($K197,MonthList,0),0)</f>
        <v>0</v>
      </c>
      <c r="S197" s="14" t="n">
        <f aca="false">IF(OR($J197&lt;&gt;"Yes",$K197=""),0,$Q197*MAX(0,7-$R197)/12)</f>
        <v>0</v>
      </c>
      <c r="T197" s="14" t="n">
        <f aca="false">IF(OR($J197&lt;&gt;"Yes",$K197=""),0,$Q197*IF($R197&lt;=7,12,19-$R197)/12)</f>
        <v>0</v>
      </c>
      <c r="U197" s="14" t="n">
        <f aca="false">IF(AND($L197="Yes",$G197&lt;&gt;"Vendor day rates"),$I197-0.4*$P197,0)</f>
        <v>0</v>
      </c>
      <c r="V197" s="26" t="n">
        <f aca="false">IFERROR(MATCH($M197,MonthList,0),0)</f>
        <v>0</v>
      </c>
      <c r="W197" s="14" t="n">
        <f aca="false">IF(OR($L197&lt;&gt;"Yes",$M197=""),0,$U197*MAX(0,7-$V197)/12)</f>
        <v>0</v>
      </c>
      <c r="X197" s="14" t="n">
        <f aca="false">IF(OR($L197&lt;&gt;"Yes",$M197=""),0,$U197*IF($V197&lt;=7,12,19-$V197)/12)</f>
        <v>0</v>
      </c>
      <c r="Y197" s="14" t="n">
        <f aca="false">IF(AND($N197="Yes",$G197&lt;&gt;"Vendor day rates"),$I197-0.4*$P197,0)</f>
        <v>0</v>
      </c>
      <c r="Z197" s="26" t="n">
        <f aca="false">IFERROR(MATCH($O197,MonthList,0),0)</f>
        <v>0</v>
      </c>
      <c r="AA197" s="14" t="n">
        <f aca="false">IF(OR($N197&lt;&gt;"Yes",$O197=""),0,$Y197*MAX(0,7-$Z197)/12)</f>
        <v>0</v>
      </c>
      <c r="AB197" s="14" t="n">
        <f aca="false">IF(OR($N197&lt;&gt;"Yes",$O197=""),0,$Y197*IF($Z197&lt;=7,12,19-$Z197)/12)</f>
        <v>0</v>
      </c>
      <c r="AC197" s="26" t="str">
        <f aca="false">IF(OR($J197="Yes",$L197="Yes",$N197="Yes"),"Yes","No")</f>
        <v>No</v>
      </c>
      <c r="AD197" s="14" t="n">
        <f aca="false">MAX($Q197,$U197,$Y197)</f>
        <v>0</v>
      </c>
      <c r="AE197" s="26" t="n">
        <f aca="false">$AD197+ROW()*0.000000001</f>
        <v>1.97E-007</v>
      </c>
      <c r="AF197" s="26" t="str">
        <f aca="false">IF($J197="Yes","A","")&amp;IF($L197="Yes","B","")&amp;IF($N197="Yes","C","")</f>
        <v/>
      </c>
    </row>
    <row r="198" customFormat="false" ht="15" hidden="false" customHeight="false" outlineLevel="0" collapsed="false">
      <c r="B198" s="22" t="s">
        <v>456</v>
      </c>
      <c r="C198" s="23" t="s">
        <v>54</v>
      </c>
      <c r="D198" s="23" t="s">
        <v>457</v>
      </c>
      <c r="E198" s="23" t="s">
        <v>325</v>
      </c>
      <c r="F198" s="22" t="s">
        <v>57</v>
      </c>
      <c r="G198" s="23" t="s">
        <v>58</v>
      </c>
      <c r="H198" s="24" t="n">
        <v>1</v>
      </c>
      <c r="I198" s="14" t="n">
        <v>0.2531</v>
      </c>
      <c r="J198" s="25" t="s">
        <v>59</v>
      </c>
      <c r="K198" s="25"/>
      <c r="L198" s="25" t="s">
        <v>59</v>
      </c>
      <c r="M198" s="25"/>
      <c r="N198" s="25" t="s">
        <v>59</v>
      </c>
      <c r="O198" s="25"/>
      <c r="P198" s="14" t="n">
        <v>0.2531</v>
      </c>
      <c r="Q198" s="14" t="n">
        <f aca="false">IF(AND($J198="Yes",$G198&lt;&gt;"Vendor day rates"),$I198-0.4*$P198,0)</f>
        <v>0</v>
      </c>
      <c r="R198" s="26" t="n">
        <f aca="false">IFERROR(MATCH($K198,MonthList,0),0)</f>
        <v>0</v>
      </c>
      <c r="S198" s="14" t="n">
        <f aca="false">IF(OR($J198&lt;&gt;"Yes",$K198=""),0,$Q198*MAX(0,7-$R198)/12)</f>
        <v>0</v>
      </c>
      <c r="T198" s="14" t="n">
        <f aca="false">IF(OR($J198&lt;&gt;"Yes",$K198=""),0,$Q198*IF($R198&lt;=7,12,19-$R198)/12)</f>
        <v>0</v>
      </c>
      <c r="U198" s="14" t="n">
        <f aca="false">IF(AND($L198="Yes",$G198&lt;&gt;"Vendor day rates"),$I198-0.4*$P198,0)</f>
        <v>0</v>
      </c>
      <c r="V198" s="26" t="n">
        <f aca="false">IFERROR(MATCH($M198,MonthList,0),0)</f>
        <v>0</v>
      </c>
      <c r="W198" s="14" t="n">
        <f aca="false">IF(OR($L198&lt;&gt;"Yes",$M198=""),0,$U198*MAX(0,7-$V198)/12)</f>
        <v>0</v>
      </c>
      <c r="X198" s="14" t="n">
        <f aca="false">IF(OR($L198&lt;&gt;"Yes",$M198=""),0,$U198*IF($V198&lt;=7,12,19-$V198)/12)</f>
        <v>0</v>
      </c>
      <c r="Y198" s="14" t="n">
        <f aca="false">IF(AND($N198="Yes",$G198&lt;&gt;"Vendor day rates"),$I198-0.4*$P198,0)</f>
        <v>0</v>
      </c>
      <c r="Z198" s="26" t="n">
        <f aca="false">IFERROR(MATCH($O198,MonthList,0),0)</f>
        <v>0</v>
      </c>
      <c r="AA198" s="14" t="n">
        <f aca="false">IF(OR($N198&lt;&gt;"Yes",$O198=""),0,$Y198*MAX(0,7-$Z198)/12)</f>
        <v>0</v>
      </c>
      <c r="AB198" s="14" t="n">
        <f aca="false">IF(OR($N198&lt;&gt;"Yes",$O198=""),0,$Y198*IF($Z198&lt;=7,12,19-$Z198)/12)</f>
        <v>0</v>
      </c>
      <c r="AC198" s="26" t="str">
        <f aca="false">IF(OR($J198="Yes",$L198="Yes",$N198="Yes"),"Yes","No")</f>
        <v>No</v>
      </c>
      <c r="AD198" s="14" t="n">
        <f aca="false">MAX($Q198,$U198,$Y198)</f>
        <v>0</v>
      </c>
      <c r="AE198" s="26" t="n">
        <f aca="false">$AD198+ROW()*0.000000001</f>
        <v>1.98E-007</v>
      </c>
      <c r="AF198" s="26" t="str">
        <f aca="false">IF($J198="Yes","A","")&amp;IF($L198="Yes","B","")&amp;IF($N198="Yes","C","")</f>
        <v/>
      </c>
    </row>
    <row r="199" customFormat="false" ht="15" hidden="false" customHeight="false" outlineLevel="0" collapsed="false">
      <c r="B199" s="22" t="s">
        <v>458</v>
      </c>
      <c r="C199" s="23" t="s">
        <v>54</v>
      </c>
      <c r="D199" s="23" t="s">
        <v>91</v>
      </c>
      <c r="E199" s="23" t="s">
        <v>239</v>
      </c>
      <c r="F199" s="22" t="s">
        <v>57</v>
      </c>
      <c r="G199" s="23" t="s">
        <v>58</v>
      </c>
      <c r="H199" s="24" t="n">
        <v>1</v>
      </c>
      <c r="I199" s="14" t="n">
        <v>0.2565</v>
      </c>
      <c r="J199" s="25" t="s">
        <v>59</v>
      </c>
      <c r="K199" s="25"/>
      <c r="L199" s="25" t="s">
        <v>59</v>
      </c>
      <c r="M199" s="25"/>
      <c r="N199" s="25" t="s">
        <v>59</v>
      </c>
      <c r="O199" s="25"/>
      <c r="P199" s="14" t="n">
        <v>0.2565</v>
      </c>
      <c r="Q199" s="14" t="n">
        <f aca="false">IF(AND($J199="Yes",$G199&lt;&gt;"Vendor day rates"),$I199-0.4*$P199,0)</f>
        <v>0</v>
      </c>
      <c r="R199" s="26" t="n">
        <f aca="false">IFERROR(MATCH($K199,MonthList,0),0)</f>
        <v>0</v>
      </c>
      <c r="S199" s="14" t="n">
        <f aca="false">IF(OR($J199&lt;&gt;"Yes",$K199=""),0,$Q199*MAX(0,7-$R199)/12)</f>
        <v>0</v>
      </c>
      <c r="T199" s="14" t="n">
        <f aca="false">IF(OR($J199&lt;&gt;"Yes",$K199=""),0,$Q199*IF($R199&lt;=7,12,19-$R199)/12)</f>
        <v>0</v>
      </c>
      <c r="U199" s="14" t="n">
        <f aca="false">IF(AND($L199="Yes",$G199&lt;&gt;"Vendor day rates"),$I199-0.4*$P199,0)</f>
        <v>0</v>
      </c>
      <c r="V199" s="26" t="n">
        <f aca="false">IFERROR(MATCH($M199,MonthList,0),0)</f>
        <v>0</v>
      </c>
      <c r="W199" s="14" t="n">
        <f aca="false">IF(OR($L199&lt;&gt;"Yes",$M199=""),0,$U199*MAX(0,7-$V199)/12)</f>
        <v>0</v>
      </c>
      <c r="X199" s="14" t="n">
        <f aca="false">IF(OR($L199&lt;&gt;"Yes",$M199=""),0,$U199*IF($V199&lt;=7,12,19-$V199)/12)</f>
        <v>0</v>
      </c>
      <c r="Y199" s="14" t="n">
        <f aca="false">IF(AND($N199="Yes",$G199&lt;&gt;"Vendor day rates"),$I199-0.4*$P199,0)</f>
        <v>0</v>
      </c>
      <c r="Z199" s="26" t="n">
        <f aca="false">IFERROR(MATCH($O199,MonthList,0),0)</f>
        <v>0</v>
      </c>
      <c r="AA199" s="14" t="n">
        <f aca="false">IF(OR($N199&lt;&gt;"Yes",$O199=""),0,$Y199*MAX(0,7-$Z199)/12)</f>
        <v>0</v>
      </c>
      <c r="AB199" s="14" t="n">
        <f aca="false">IF(OR($N199&lt;&gt;"Yes",$O199=""),0,$Y199*IF($Z199&lt;=7,12,19-$Z199)/12)</f>
        <v>0</v>
      </c>
      <c r="AC199" s="26" t="str">
        <f aca="false">IF(OR($J199="Yes",$L199="Yes",$N199="Yes"),"Yes","No")</f>
        <v>No</v>
      </c>
      <c r="AD199" s="14" t="n">
        <f aca="false">MAX($Q199,$U199,$Y199)</f>
        <v>0</v>
      </c>
      <c r="AE199" s="26" t="n">
        <f aca="false">$AD199+ROW()*0.000000001</f>
        <v>1.99E-007</v>
      </c>
      <c r="AF199" s="26" t="str">
        <f aca="false">IF($J199="Yes","A","")&amp;IF($L199="Yes","B","")&amp;IF($N199="Yes","C","")</f>
        <v/>
      </c>
    </row>
    <row r="200" customFormat="false" ht="15" hidden="false" customHeight="false" outlineLevel="0" collapsed="false">
      <c r="B200" s="22" t="s">
        <v>459</v>
      </c>
      <c r="C200" s="23" t="s">
        <v>460</v>
      </c>
      <c r="D200" s="23" t="s">
        <v>147</v>
      </c>
      <c r="E200" s="23" t="s">
        <v>167</v>
      </c>
      <c r="F200" s="22" t="s">
        <v>57</v>
      </c>
      <c r="G200" s="23" t="s">
        <v>58</v>
      </c>
      <c r="H200" s="24" t="n">
        <v>1</v>
      </c>
      <c r="I200" s="14" t="n">
        <v>0.2749</v>
      </c>
      <c r="J200" s="25" t="s">
        <v>59</v>
      </c>
      <c r="K200" s="25"/>
      <c r="L200" s="25" t="s">
        <v>59</v>
      </c>
      <c r="M200" s="25"/>
      <c r="N200" s="25" t="s">
        <v>59</v>
      </c>
      <c r="O200" s="25"/>
      <c r="P200" s="14" t="n">
        <v>0.2749</v>
      </c>
      <c r="Q200" s="14" t="n">
        <f aca="false">IF(AND($J200="Yes",$G200&lt;&gt;"Vendor day rates"),$I200-0.4*$P200,0)</f>
        <v>0</v>
      </c>
      <c r="R200" s="26" t="n">
        <f aca="false">IFERROR(MATCH($K200,MonthList,0),0)</f>
        <v>0</v>
      </c>
      <c r="S200" s="14" t="n">
        <f aca="false">IF(OR($J200&lt;&gt;"Yes",$K200=""),0,$Q200*MAX(0,7-$R200)/12)</f>
        <v>0</v>
      </c>
      <c r="T200" s="14" t="n">
        <f aca="false">IF(OR($J200&lt;&gt;"Yes",$K200=""),0,$Q200*IF($R200&lt;=7,12,19-$R200)/12)</f>
        <v>0</v>
      </c>
      <c r="U200" s="14" t="n">
        <f aca="false">IF(AND($L200="Yes",$G200&lt;&gt;"Vendor day rates"),$I200-0.4*$P200,0)</f>
        <v>0</v>
      </c>
      <c r="V200" s="26" t="n">
        <f aca="false">IFERROR(MATCH($M200,MonthList,0),0)</f>
        <v>0</v>
      </c>
      <c r="W200" s="14" t="n">
        <f aca="false">IF(OR($L200&lt;&gt;"Yes",$M200=""),0,$U200*MAX(0,7-$V200)/12)</f>
        <v>0</v>
      </c>
      <c r="X200" s="14" t="n">
        <f aca="false">IF(OR($L200&lt;&gt;"Yes",$M200=""),0,$U200*IF($V200&lt;=7,12,19-$V200)/12)</f>
        <v>0</v>
      </c>
      <c r="Y200" s="14" t="n">
        <f aca="false">IF(AND($N200="Yes",$G200&lt;&gt;"Vendor day rates"),$I200-0.4*$P200,0)</f>
        <v>0</v>
      </c>
      <c r="Z200" s="26" t="n">
        <f aca="false">IFERROR(MATCH($O200,MonthList,0),0)</f>
        <v>0</v>
      </c>
      <c r="AA200" s="14" t="n">
        <f aca="false">IF(OR($N200&lt;&gt;"Yes",$O200=""),0,$Y200*MAX(0,7-$Z200)/12)</f>
        <v>0</v>
      </c>
      <c r="AB200" s="14" t="n">
        <f aca="false">IF(OR($N200&lt;&gt;"Yes",$O200=""),0,$Y200*IF($Z200&lt;=7,12,19-$Z200)/12)</f>
        <v>0</v>
      </c>
      <c r="AC200" s="26" t="str">
        <f aca="false">IF(OR($J200="Yes",$L200="Yes",$N200="Yes"),"Yes","No")</f>
        <v>No</v>
      </c>
      <c r="AD200" s="14" t="n">
        <f aca="false">MAX($Q200,$U200,$Y200)</f>
        <v>0</v>
      </c>
      <c r="AE200" s="26" t="n">
        <f aca="false">$AD200+ROW()*0.000000001</f>
        <v>2E-007</v>
      </c>
      <c r="AF200" s="26" t="str">
        <f aca="false">IF($J200="Yes","A","")&amp;IF($L200="Yes","B","")&amp;IF($N200="Yes","C","")</f>
        <v/>
      </c>
    </row>
    <row r="201" customFormat="false" ht="15" hidden="false" customHeight="false" outlineLevel="0" collapsed="false">
      <c r="B201" s="22" t="s">
        <v>461</v>
      </c>
      <c r="C201" s="23" t="s">
        <v>462</v>
      </c>
      <c r="D201" s="23" t="s">
        <v>147</v>
      </c>
      <c r="E201" s="23" t="s">
        <v>167</v>
      </c>
      <c r="F201" s="22" t="s">
        <v>57</v>
      </c>
      <c r="G201" s="23" t="s">
        <v>58</v>
      </c>
      <c r="H201" s="24" t="n">
        <v>1</v>
      </c>
      <c r="I201" s="14" t="n">
        <v>0.2433</v>
      </c>
      <c r="J201" s="25" t="s">
        <v>59</v>
      </c>
      <c r="K201" s="25"/>
      <c r="L201" s="25" t="s">
        <v>59</v>
      </c>
      <c r="M201" s="25"/>
      <c r="N201" s="25" t="s">
        <v>59</v>
      </c>
      <c r="O201" s="25"/>
      <c r="P201" s="14" t="n">
        <v>0.2433</v>
      </c>
      <c r="Q201" s="14" t="n">
        <f aca="false">IF(AND($J201="Yes",$G201&lt;&gt;"Vendor day rates"),$I201-0.4*$P201,0)</f>
        <v>0</v>
      </c>
      <c r="R201" s="26" t="n">
        <f aca="false">IFERROR(MATCH($K201,MonthList,0),0)</f>
        <v>0</v>
      </c>
      <c r="S201" s="14" t="n">
        <f aca="false">IF(OR($J201&lt;&gt;"Yes",$K201=""),0,$Q201*MAX(0,7-$R201)/12)</f>
        <v>0</v>
      </c>
      <c r="T201" s="14" t="n">
        <f aca="false">IF(OR($J201&lt;&gt;"Yes",$K201=""),0,$Q201*IF($R201&lt;=7,12,19-$R201)/12)</f>
        <v>0</v>
      </c>
      <c r="U201" s="14" t="n">
        <f aca="false">IF(AND($L201="Yes",$G201&lt;&gt;"Vendor day rates"),$I201-0.4*$P201,0)</f>
        <v>0</v>
      </c>
      <c r="V201" s="26" t="n">
        <f aca="false">IFERROR(MATCH($M201,MonthList,0),0)</f>
        <v>0</v>
      </c>
      <c r="W201" s="14" t="n">
        <f aca="false">IF(OR($L201&lt;&gt;"Yes",$M201=""),0,$U201*MAX(0,7-$V201)/12)</f>
        <v>0</v>
      </c>
      <c r="X201" s="14" t="n">
        <f aca="false">IF(OR($L201&lt;&gt;"Yes",$M201=""),0,$U201*IF($V201&lt;=7,12,19-$V201)/12)</f>
        <v>0</v>
      </c>
      <c r="Y201" s="14" t="n">
        <f aca="false">IF(AND($N201="Yes",$G201&lt;&gt;"Vendor day rates"),$I201-0.4*$P201,0)</f>
        <v>0</v>
      </c>
      <c r="Z201" s="26" t="n">
        <f aca="false">IFERROR(MATCH($O201,MonthList,0),0)</f>
        <v>0</v>
      </c>
      <c r="AA201" s="14" t="n">
        <f aca="false">IF(OR($N201&lt;&gt;"Yes",$O201=""),0,$Y201*MAX(0,7-$Z201)/12)</f>
        <v>0</v>
      </c>
      <c r="AB201" s="14" t="n">
        <f aca="false">IF(OR($N201&lt;&gt;"Yes",$O201=""),0,$Y201*IF($Z201&lt;=7,12,19-$Z201)/12)</f>
        <v>0</v>
      </c>
      <c r="AC201" s="26" t="str">
        <f aca="false">IF(OR($J201="Yes",$L201="Yes",$N201="Yes"),"Yes","No")</f>
        <v>No</v>
      </c>
      <c r="AD201" s="14" t="n">
        <f aca="false">MAX($Q201,$U201,$Y201)</f>
        <v>0</v>
      </c>
      <c r="AE201" s="26" t="n">
        <f aca="false">$AD201+ROW()*0.000000001</f>
        <v>2.01E-007</v>
      </c>
      <c r="AF201" s="26" t="str">
        <f aca="false">IF($J201="Yes","A","")&amp;IF($L201="Yes","B","")&amp;IF($N201="Yes","C","")</f>
        <v/>
      </c>
    </row>
    <row r="202" customFormat="false" ht="15" hidden="false" customHeight="false" outlineLevel="0" collapsed="false">
      <c r="B202" s="22" t="s">
        <v>463</v>
      </c>
      <c r="C202" s="23" t="s">
        <v>464</v>
      </c>
      <c r="D202" s="23"/>
      <c r="E202" s="23" t="s">
        <v>265</v>
      </c>
      <c r="F202" s="22" t="s">
        <v>57</v>
      </c>
      <c r="G202" s="23" t="s">
        <v>58</v>
      </c>
      <c r="H202" s="24" t="n">
        <v>1</v>
      </c>
      <c r="I202" s="14" t="n">
        <v>0.2656</v>
      </c>
      <c r="J202" s="25" t="s">
        <v>59</v>
      </c>
      <c r="K202" s="25"/>
      <c r="L202" s="25" t="s">
        <v>59</v>
      </c>
      <c r="M202" s="25"/>
      <c r="N202" s="25" t="s">
        <v>59</v>
      </c>
      <c r="O202" s="25"/>
      <c r="P202" s="14" t="n">
        <v>0.2656</v>
      </c>
      <c r="Q202" s="14" t="n">
        <f aca="false">IF(AND($J202="Yes",$G202&lt;&gt;"Vendor day rates"),$I202-0.4*$P202,0)</f>
        <v>0</v>
      </c>
      <c r="R202" s="26" t="n">
        <f aca="false">IFERROR(MATCH($K202,MonthList,0),0)</f>
        <v>0</v>
      </c>
      <c r="S202" s="14" t="n">
        <f aca="false">IF(OR($J202&lt;&gt;"Yes",$K202=""),0,$Q202*MAX(0,7-$R202)/12)</f>
        <v>0</v>
      </c>
      <c r="T202" s="14" t="n">
        <f aca="false">IF(OR($J202&lt;&gt;"Yes",$K202=""),0,$Q202*IF($R202&lt;=7,12,19-$R202)/12)</f>
        <v>0</v>
      </c>
      <c r="U202" s="14" t="n">
        <f aca="false">IF(AND($L202="Yes",$G202&lt;&gt;"Vendor day rates"),$I202-0.4*$P202,0)</f>
        <v>0</v>
      </c>
      <c r="V202" s="26" t="n">
        <f aca="false">IFERROR(MATCH($M202,MonthList,0),0)</f>
        <v>0</v>
      </c>
      <c r="W202" s="14" t="n">
        <f aca="false">IF(OR($L202&lt;&gt;"Yes",$M202=""),0,$U202*MAX(0,7-$V202)/12)</f>
        <v>0</v>
      </c>
      <c r="X202" s="14" t="n">
        <f aca="false">IF(OR($L202&lt;&gt;"Yes",$M202=""),0,$U202*IF($V202&lt;=7,12,19-$V202)/12)</f>
        <v>0</v>
      </c>
      <c r="Y202" s="14" t="n">
        <f aca="false">IF(AND($N202="Yes",$G202&lt;&gt;"Vendor day rates"),$I202-0.4*$P202,0)</f>
        <v>0</v>
      </c>
      <c r="Z202" s="26" t="n">
        <f aca="false">IFERROR(MATCH($O202,MonthList,0),0)</f>
        <v>0</v>
      </c>
      <c r="AA202" s="14" t="n">
        <f aca="false">IF(OR($N202&lt;&gt;"Yes",$O202=""),0,$Y202*MAX(0,7-$Z202)/12)</f>
        <v>0</v>
      </c>
      <c r="AB202" s="14" t="n">
        <f aca="false">IF(OR($N202&lt;&gt;"Yes",$O202=""),0,$Y202*IF($Z202&lt;=7,12,19-$Z202)/12)</f>
        <v>0</v>
      </c>
      <c r="AC202" s="26" t="str">
        <f aca="false">IF(OR($J202="Yes",$L202="Yes",$N202="Yes"),"Yes","No")</f>
        <v>No</v>
      </c>
      <c r="AD202" s="14" t="n">
        <f aca="false">MAX($Q202,$U202,$Y202)</f>
        <v>0</v>
      </c>
      <c r="AE202" s="26" t="n">
        <f aca="false">$AD202+ROW()*0.000000001</f>
        <v>2.02E-007</v>
      </c>
      <c r="AF202" s="26" t="str">
        <f aca="false">IF($J202="Yes","A","")&amp;IF($L202="Yes","B","")&amp;IF($N202="Yes","C","")</f>
        <v/>
      </c>
    </row>
    <row r="203" customFormat="false" ht="15" hidden="false" customHeight="false" outlineLevel="0" collapsed="false">
      <c r="B203" s="22" t="s">
        <v>465</v>
      </c>
      <c r="C203" s="23" t="s">
        <v>466</v>
      </c>
      <c r="D203" s="23"/>
      <c r="E203" s="23" t="s">
        <v>176</v>
      </c>
      <c r="F203" s="22" t="s">
        <v>57</v>
      </c>
      <c r="G203" s="23" t="s">
        <v>58</v>
      </c>
      <c r="H203" s="24" t="n">
        <v>1</v>
      </c>
      <c r="I203" s="14" t="n">
        <v>0.226</v>
      </c>
      <c r="J203" s="25" t="s">
        <v>59</v>
      </c>
      <c r="K203" s="25"/>
      <c r="L203" s="25" t="s">
        <v>59</v>
      </c>
      <c r="M203" s="25"/>
      <c r="N203" s="25" t="s">
        <v>59</v>
      </c>
      <c r="O203" s="25"/>
      <c r="P203" s="14" t="n">
        <v>0.226</v>
      </c>
      <c r="Q203" s="14" t="n">
        <f aca="false">IF(AND($J203="Yes",$G203&lt;&gt;"Vendor day rates"),$I203-0.4*$P203,0)</f>
        <v>0</v>
      </c>
      <c r="R203" s="26" t="n">
        <f aca="false">IFERROR(MATCH($K203,MonthList,0),0)</f>
        <v>0</v>
      </c>
      <c r="S203" s="14" t="n">
        <f aca="false">IF(OR($J203&lt;&gt;"Yes",$K203=""),0,$Q203*MAX(0,7-$R203)/12)</f>
        <v>0</v>
      </c>
      <c r="T203" s="14" t="n">
        <f aca="false">IF(OR($J203&lt;&gt;"Yes",$K203=""),0,$Q203*IF($R203&lt;=7,12,19-$R203)/12)</f>
        <v>0</v>
      </c>
      <c r="U203" s="14" t="n">
        <f aca="false">IF(AND($L203="Yes",$G203&lt;&gt;"Vendor day rates"),$I203-0.4*$P203,0)</f>
        <v>0</v>
      </c>
      <c r="V203" s="26" t="n">
        <f aca="false">IFERROR(MATCH($M203,MonthList,0),0)</f>
        <v>0</v>
      </c>
      <c r="W203" s="14" t="n">
        <f aca="false">IF(OR($L203&lt;&gt;"Yes",$M203=""),0,$U203*MAX(0,7-$V203)/12)</f>
        <v>0</v>
      </c>
      <c r="X203" s="14" t="n">
        <f aca="false">IF(OR($L203&lt;&gt;"Yes",$M203=""),0,$U203*IF($V203&lt;=7,12,19-$V203)/12)</f>
        <v>0</v>
      </c>
      <c r="Y203" s="14" t="n">
        <f aca="false">IF(AND($N203="Yes",$G203&lt;&gt;"Vendor day rates"),$I203-0.4*$P203,0)</f>
        <v>0</v>
      </c>
      <c r="Z203" s="26" t="n">
        <f aca="false">IFERROR(MATCH($O203,MonthList,0),0)</f>
        <v>0</v>
      </c>
      <c r="AA203" s="14" t="n">
        <f aca="false">IF(OR($N203&lt;&gt;"Yes",$O203=""),0,$Y203*MAX(0,7-$Z203)/12)</f>
        <v>0</v>
      </c>
      <c r="AB203" s="14" t="n">
        <f aca="false">IF(OR($N203&lt;&gt;"Yes",$O203=""),0,$Y203*IF($Z203&lt;=7,12,19-$Z203)/12)</f>
        <v>0</v>
      </c>
      <c r="AC203" s="26" t="str">
        <f aca="false">IF(OR($J203="Yes",$L203="Yes",$N203="Yes"),"Yes","No")</f>
        <v>No</v>
      </c>
      <c r="AD203" s="14" t="n">
        <f aca="false">MAX($Q203,$U203,$Y203)</f>
        <v>0</v>
      </c>
      <c r="AE203" s="26" t="n">
        <f aca="false">$AD203+ROW()*0.000000001</f>
        <v>2.03E-007</v>
      </c>
      <c r="AF203" s="26" t="str">
        <f aca="false">IF($J203="Yes","A","")&amp;IF($L203="Yes","B","")&amp;IF($N203="Yes","C","")</f>
        <v/>
      </c>
    </row>
    <row r="204" customFormat="false" ht="15" hidden="false" customHeight="false" outlineLevel="0" collapsed="false">
      <c r="B204" s="22" t="s">
        <v>467</v>
      </c>
      <c r="C204" s="23" t="s">
        <v>468</v>
      </c>
      <c r="D204" s="23" t="s">
        <v>158</v>
      </c>
      <c r="E204" s="23" t="s">
        <v>469</v>
      </c>
      <c r="F204" s="22" t="s">
        <v>112</v>
      </c>
      <c r="G204" s="23" t="s">
        <v>121</v>
      </c>
      <c r="H204" s="24" t="n">
        <v>1</v>
      </c>
      <c r="I204" s="14" t="n">
        <v>0.0732</v>
      </c>
      <c r="J204" s="25" t="s">
        <v>59</v>
      </c>
      <c r="K204" s="25"/>
      <c r="L204" s="25" t="s">
        <v>59</v>
      </c>
      <c r="M204" s="25"/>
      <c r="N204" s="25" t="s">
        <v>59</v>
      </c>
      <c r="O204" s="25"/>
      <c r="P204" s="14" t="n">
        <v>0.1831</v>
      </c>
      <c r="Q204" s="14" t="n">
        <f aca="false">IF(AND($J204="Yes",$G204&lt;&gt;"Vendor day rates"),$I204-0.4*$P204,0)</f>
        <v>0</v>
      </c>
      <c r="R204" s="26" t="n">
        <f aca="false">IFERROR(MATCH($K204,MonthList,0),0)</f>
        <v>0</v>
      </c>
      <c r="S204" s="14" t="n">
        <f aca="false">IF(OR($J204&lt;&gt;"Yes",$K204=""),0,$Q204*MAX(0,7-$R204)/12)</f>
        <v>0</v>
      </c>
      <c r="T204" s="14" t="n">
        <f aca="false">IF(OR($J204&lt;&gt;"Yes",$K204=""),0,$Q204*IF($R204&lt;=7,12,19-$R204)/12)</f>
        <v>0</v>
      </c>
      <c r="U204" s="14" t="n">
        <f aca="false">IF(AND($L204="Yes",$G204&lt;&gt;"Vendor day rates"),$I204-0.4*$P204,0)</f>
        <v>0</v>
      </c>
      <c r="V204" s="26" t="n">
        <f aca="false">IFERROR(MATCH($M204,MonthList,0),0)</f>
        <v>0</v>
      </c>
      <c r="W204" s="14" t="n">
        <f aca="false">IF(OR($L204&lt;&gt;"Yes",$M204=""),0,$U204*MAX(0,7-$V204)/12)</f>
        <v>0</v>
      </c>
      <c r="X204" s="14" t="n">
        <f aca="false">IF(OR($L204&lt;&gt;"Yes",$M204=""),0,$U204*IF($V204&lt;=7,12,19-$V204)/12)</f>
        <v>0</v>
      </c>
      <c r="Y204" s="14" t="n">
        <f aca="false">IF(AND($N204="Yes",$G204&lt;&gt;"Vendor day rates"),$I204-0.4*$P204,0)</f>
        <v>0</v>
      </c>
      <c r="Z204" s="26" t="n">
        <f aca="false">IFERROR(MATCH($O204,MonthList,0),0)</f>
        <v>0</v>
      </c>
      <c r="AA204" s="14" t="n">
        <f aca="false">IF(OR($N204&lt;&gt;"Yes",$O204=""),0,$Y204*MAX(0,7-$Z204)/12)</f>
        <v>0</v>
      </c>
      <c r="AB204" s="14" t="n">
        <f aca="false">IF(OR($N204&lt;&gt;"Yes",$O204=""),0,$Y204*IF($Z204&lt;=7,12,19-$Z204)/12)</f>
        <v>0</v>
      </c>
      <c r="AC204" s="26" t="str">
        <f aca="false">IF(OR($J204="Yes",$L204="Yes",$N204="Yes"),"Yes","No")</f>
        <v>No</v>
      </c>
      <c r="AD204" s="14" t="n">
        <f aca="false">MAX($Q204,$U204,$Y204)</f>
        <v>0</v>
      </c>
      <c r="AE204" s="26" t="n">
        <f aca="false">$AD204+ROW()*0.000000001</f>
        <v>2.04E-007</v>
      </c>
      <c r="AF204" s="26" t="str">
        <f aca="false">IF($J204="Yes","A","")&amp;IF($L204="Yes","B","")&amp;IF($N204="Yes","C","")</f>
        <v/>
      </c>
    </row>
    <row r="205" customFormat="false" ht="15" hidden="false" customHeight="false" outlineLevel="0" collapsed="false">
      <c r="B205" s="22" t="s">
        <v>470</v>
      </c>
      <c r="C205" s="23" t="s">
        <v>471</v>
      </c>
      <c r="D205" s="23" t="s">
        <v>70</v>
      </c>
      <c r="E205" s="23" t="s">
        <v>101</v>
      </c>
      <c r="F205" s="22" t="s">
        <v>112</v>
      </c>
      <c r="G205" s="23" t="s">
        <v>58</v>
      </c>
      <c r="H205" s="24" t="n">
        <v>1</v>
      </c>
      <c r="I205" s="14" t="n">
        <v>0.1994</v>
      </c>
      <c r="J205" s="25" t="s">
        <v>59</v>
      </c>
      <c r="K205" s="25"/>
      <c r="L205" s="25" t="s">
        <v>59</v>
      </c>
      <c r="M205" s="25"/>
      <c r="N205" s="25" t="s">
        <v>59</v>
      </c>
      <c r="O205" s="25"/>
      <c r="P205" s="14" t="n">
        <v>0.1994</v>
      </c>
      <c r="Q205" s="14" t="n">
        <f aca="false">IF(AND($J205="Yes",$G205&lt;&gt;"Vendor day rates"),$I205-0.4*$P205,0)</f>
        <v>0</v>
      </c>
      <c r="R205" s="26" t="n">
        <f aca="false">IFERROR(MATCH($K205,MonthList,0),0)</f>
        <v>0</v>
      </c>
      <c r="S205" s="14" t="n">
        <f aca="false">IF(OR($J205&lt;&gt;"Yes",$K205=""),0,$Q205*MAX(0,7-$R205)/12)</f>
        <v>0</v>
      </c>
      <c r="T205" s="14" t="n">
        <f aca="false">IF(OR($J205&lt;&gt;"Yes",$K205=""),0,$Q205*IF($R205&lt;=7,12,19-$R205)/12)</f>
        <v>0</v>
      </c>
      <c r="U205" s="14" t="n">
        <f aca="false">IF(AND($L205="Yes",$G205&lt;&gt;"Vendor day rates"),$I205-0.4*$P205,0)</f>
        <v>0</v>
      </c>
      <c r="V205" s="26" t="n">
        <f aca="false">IFERROR(MATCH($M205,MonthList,0),0)</f>
        <v>0</v>
      </c>
      <c r="W205" s="14" t="n">
        <f aca="false">IF(OR($L205&lt;&gt;"Yes",$M205=""),0,$U205*MAX(0,7-$V205)/12)</f>
        <v>0</v>
      </c>
      <c r="X205" s="14" t="n">
        <f aca="false">IF(OR($L205&lt;&gt;"Yes",$M205=""),0,$U205*IF($V205&lt;=7,12,19-$V205)/12)</f>
        <v>0</v>
      </c>
      <c r="Y205" s="14" t="n">
        <f aca="false">IF(AND($N205="Yes",$G205&lt;&gt;"Vendor day rates"),$I205-0.4*$P205,0)</f>
        <v>0</v>
      </c>
      <c r="Z205" s="26" t="n">
        <f aca="false">IFERROR(MATCH($O205,MonthList,0),0)</f>
        <v>0</v>
      </c>
      <c r="AA205" s="14" t="n">
        <f aca="false">IF(OR($N205&lt;&gt;"Yes",$O205=""),0,$Y205*MAX(0,7-$Z205)/12)</f>
        <v>0</v>
      </c>
      <c r="AB205" s="14" t="n">
        <f aca="false">IF(OR($N205&lt;&gt;"Yes",$O205=""),0,$Y205*IF($Z205&lt;=7,12,19-$Z205)/12)</f>
        <v>0</v>
      </c>
      <c r="AC205" s="26" t="str">
        <f aca="false">IF(OR($J205="Yes",$L205="Yes",$N205="Yes"),"Yes","No")</f>
        <v>No</v>
      </c>
      <c r="AD205" s="14" t="n">
        <f aca="false">MAX($Q205,$U205,$Y205)</f>
        <v>0</v>
      </c>
      <c r="AE205" s="26" t="n">
        <f aca="false">$AD205+ROW()*0.000000001</f>
        <v>2.05E-007</v>
      </c>
      <c r="AF205" s="26" t="str">
        <f aca="false">IF($J205="Yes","A","")&amp;IF($L205="Yes","B","")&amp;IF($N205="Yes","C","")</f>
        <v/>
      </c>
    </row>
    <row r="206" customFormat="false" ht="15" hidden="false" customHeight="false" outlineLevel="0" collapsed="false">
      <c r="B206" s="22" t="s">
        <v>472</v>
      </c>
      <c r="C206" s="23" t="s">
        <v>473</v>
      </c>
      <c r="D206" s="23" t="s">
        <v>158</v>
      </c>
      <c r="E206" s="23" t="s">
        <v>469</v>
      </c>
      <c r="F206" s="22" t="s">
        <v>112</v>
      </c>
      <c r="G206" s="23" t="s">
        <v>121</v>
      </c>
      <c r="H206" s="24" t="n">
        <v>1</v>
      </c>
      <c r="I206" s="14" t="n">
        <v>0.0804</v>
      </c>
      <c r="J206" s="25" t="s">
        <v>59</v>
      </c>
      <c r="K206" s="25"/>
      <c r="L206" s="25" t="s">
        <v>59</v>
      </c>
      <c r="M206" s="25"/>
      <c r="N206" s="25" t="s">
        <v>59</v>
      </c>
      <c r="O206" s="25"/>
      <c r="P206" s="14" t="n">
        <v>0.2009</v>
      </c>
      <c r="Q206" s="14" t="n">
        <f aca="false">IF(AND($J206="Yes",$G206&lt;&gt;"Vendor day rates"),$I206-0.4*$P206,0)</f>
        <v>0</v>
      </c>
      <c r="R206" s="26" t="n">
        <f aca="false">IFERROR(MATCH($K206,MonthList,0),0)</f>
        <v>0</v>
      </c>
      <c r="S206" s="14" t="n">
        <f aca="false">IF(OR($J206&lt;&gt;"Yes",$K206=""),0,$Q206*MAX(0,7-$R206)/12)</f>
        <v>0</v>
      </c>
      <c r="T206" s="14" t="n">
        <f aca="false">IF(OR($J206&lt;&gt;"Yes",$K206=""),0,$Q206*IF($R206&lt;=7,12,19-$R206)/12)</f>
        <v>0</v>
      </c>
      <c r="U206" s="14" t="n">
        <f aca="false">IF(AND($L206="Yes",$G206&lt;&gt;"Vendor day rates"),$I206-0.4*$P206,0)</f>
        <v>0</v>
      </c>
      <c r="V206" s="26" t="n">
        <f aca="false">IFERROR(MATCH($M206,MonthList,0),0)</f>
        <v>0</v>
      </c>
      <c r="W206" s="14" t="n">
        <f aca="false">IF(OR($L206&lt;&gt;"Yes",$M206=""),0,$U206*MAX(0,7-$V206)/12)</f>
        <v>0</v>
      </c>
      <c r="X206" s="14" t="n">
        <f aca="false">IF(OR($L206&lt;&gt;"Yes",$M206=""),0,$U206*IF($V206&lt;=7,12,19-$V206)/12)</f>
        <v>0</v>
      </c>
      <c r="Y206" s="14" t="n">
        <f aca="false">IF(AND($N206="Yes",$G206&lt;&gt;"Vendor day rates"),$I206-0.4*$P206,0)</f>
        <v>0</v>
      </c>
      <c r="Z206" s="26" t="n">
        <f aca="false">IFERROR(MATCH($O206,MonthList,0),0)</f>
        <v>0</v>
      </c>
      <c r="AA206" s="14" t="n">
        <f aca="false">IF(OR($N206&lt;&gt;"Yes",$O206=""),0,$Y206*MAX(0,7-$Z206)/12)</f>
        <v>0</v>
      </c>
      <c r="AB206" s="14" t="n">
        <f aca="false">IF(OR($N206&lt;&gt;"Yes",$O206=""),0,$Y206*IF($Z206&lt;=7,12,19-$Z206)/12)</f>
        <v>0</v>
      </c>
      <c r="AC206" s="26" t="str">
        <f aca="false">IF(OR($J206="Yes",$L206="Yes",$N206="Yes"),"Yes","No")</f>
        <v>No</v>
      </c>
      <c r="AD206" s="14" t="n">
        <f aca="false">MAX($Q206,$U206,$Y206)</f>
        <v>0</v>
      </c>
      <c r="AE206" s="26" t="n">
        <f aca="false">$AD206+ROW()*0.000000001</f>
        <v>2.06E-007</v>
      </c>
      <c r="AF206" s="26" t="str">
        <f aca="false">IF($J206="Yes","A","")&amp;IF($L206="Yes","B","")&amp;IF($N206="Yes","C","")</f>
        <v/>
      </c>
    </row>
    <row r="207" customFormat="false" ht="15" hidden="false" customHeight="false" outlineLevel="0" collapsed="false">
      <c r="B207" s="22" t="s">
        <v>474</v>
      </c>
      <c r="C207" s="23" t="s">
        <v>475</v>
      </c>
      <c r="D207" s="23" t="s">
        <v>158</v>
      </c>
      <c r="E207" s="23" t="s">
        <v>469</v>
      </c>
      <c r="F207" s="22" t="s">
        <v>57</v>
      </c>
      <c r="G207" s="23" t="s">
        <v>476</v>
      </c>
      <c r="H207" s="24" t="n">
        <v>1</v>
      </c>
      <c r="I207" s="14" t="n">
        <v>0.0927</v>
      </c>
      <c r="J207" s="25" t="s">
        <v>59</v>
      </c>
      <c r="K207" s="25"/>
      <c r="L207" s="25" t="s">
        <v>59</v>
      </c>
      <c r="M207" s="25"/>
      <c r="N207" s="25" t="s">
        <v>59</v>
      </c>
      <c r="O207" s="25"/>
      <c r="P207" s="14" t="n">
        <v>0.2317</v>
      </c>
      <c r="Q207" s="14" t="n">
        <f aca="false">IF(AND($J207="Yes",$G207&lt;&gt;"Vendor day rates"),$I207-0.4*$P207,0)</f>
        <v>0</v>
      </c>
      <c r="R207" s="26" t="n">
        <f aca="false">IFERROR(MATCH($K207,MonthList,0),0)</f>
        <v>0</v>
      </c>
      <c r="S207" s="14" t="n">
        <f aca="false">IF(OR($J207&lt;&gt;"Yes",$K207=""),0,$Q207*MAX(0,7-$R207)/12)</f>
        <v>0</v>
      </c>
      <c r="T207" s="14" t="n">
        <f aca="false">IF(OR($J207&lt;&gt;"Yes",$K207=""),0,$Q207*IF($R207&lt;=7,12,19-$R207)/12)</f>
        <v>0</v>
      </c>
      <c r="U207" s="14" t="n">
        <f aca="false">IF(AND($L207="Yes",$G207&lt;&gt;"Vendor day rates"),$I207-0.4*$P207,0)</f>
        <v>0</v>
      </c>
      <c r="V207" s="26" t="n">
        <f aca="false">IFERROR(MATCH($M207,MonthList,0),0)</f>
        <v>0</v>
      </c>
      <c r="W207" s="14" t="n">
        <f aca="false">IF(OR($L207&lt;&gt;"Yes",$M207=""),0,$U207*MAX(0,7-$V207)/12)</f>
        <v>0</v>
      </c>
      <c r="X207" s="14" t="n">
        <f aca="false">IF(OR($L207&lt;&gt;"Yes",$M207=""),0,$U207*IF($V207&lt;=7,12,19-$V207)/12)</f>
        <v>0</v>
      </c>
      <c r="Y207" s="14" t="n">
        <f aca="false">IF(AND($N207="Yes",$G207&lt;&gt;"Vendor day rates"),$I207-0.4*$P207,0)</f>
        <v>0</v>
      </c>
      <c r="Z207" s="26" t="n">
        <f aca="false">IFERROR(MATCH($O207,MonthList,0),0)</f>
        <v>0</v>
      </c>
      <c r="AA207" s="14" t="n">
        <f aca="false">IF(OR($N207&lt;&gt;"Yes",$O207=""),0,$Y207*MAX(0,7-$Z207)/12)</f>
        <v>0</v>
      </c>
      <c r="AB207" s="14" t="n">
        <f aca="false">IF(OR($N207&lt;&gt;"Yes",$O207=""),0,$Y207*IF($Z207&lt;=7,12,19-$Z207)/12)</f>
        <v>0</v>
      </c>
      <c r="AC207" s="26" t="str">
        <f aca="false">IF(OR($J207="Yes",$L207="Yes",$N207="Yes"),"Yes","No")</f>
        <v>No</v>
      </c>
      <c r="AD207" s="14" t="n">
        <f aca="false">MAX($Q207,$U207,$Y207)</f>
        <v>0</v>
      </c>
      <c r="AE207" s="26" t="n">
        <f aca="false">$AD207+ROW()*0.000000001</f>
        <v>2.07E-007</v>
      </c>
      <c r="AF207" s="26" t="str">
        <f aca="false">IF($J207="Yes","A","")&amp;IF($L207="Yes","B","")&amp;IF($N207="Yes","C","")</f>
        <v/>
      </c>
    </row>
    <row r="208" customFormat="false" ht="15" hidden="false" customHeight="false" outlineLevel="0" collapsed="false">
      <c r="B208" s="22" t="s">
        <v>477</v>
      </c>
      <c r="C208" s="23" t="s">
        <v>478</v>
      </c>
      <c r="D208" s="23" t="s">
        <v>70</v>
      </c>
      <c r="E208" s="23" t="s">
        <v>479</v>
      </c>
      <c r="F208" s="22" t="s">
        <v>57</v>
      </c>
      <c r="G208" s="23" t="s">
        <v>58</v>
      </c>
      <c r="H208" s="24" t="n">
        <v>1</v>
      </c>
      <c r="I208" s="14" t="n">
        <v>0.2417</v>
      </c>
      <c r="J208" s="25" t="s">
        <v>59</v>
      </c>
      <c r="K208" s="25"/>
      <c r="L208" s="25" t="s">
        <v>59</v>
      </c>
      <c r="M208" s="25"/>
      <c r="N208" s="25" t="s">
        <v>59</v>
      </c>
      <c r="O208" s="25"/>
      <c r="P208" s="14" t="n">
        <v>0.2417</v>
      </c>
      <c r="Q208" s="14" t="n">
        <f aca="false">IF(AND($J208="Yes",$G208&lt;&gt;"Vendor day rates"),$I208-0.4*$P208,0)</f>
        <v>0</v>
      </c>
      <c r="R208" s="26" t="n">
        <f aca="false">IFERROR(MATCH($K208,MonthList,0),0)</f>
        <v>0</v>
      </c>
      <c r="S208" s="14" t="n">
        <f aca="false">IF(OR($J208&lt;&gt;"Yes",$K208=""),0,$Q208*MAX(0,7-$R208)/12)</f>
        <v>0</v>
      </c>
      <c r="T208" s="14" t="n">
        <f aca="false">IF(OR($J208&lt;&gt;"Yes",$K208=""),0,$Q208*IF($R208&lt;=7,12,19-$R208)/12)</f>
        <v>0</v>
      </c>
      <c r="U208" s="14" t="n">
        <f aca="false">IF(AND($L208="Yes",$G208&lt;&gt;"Vendor day rates"),$I208-0.4*$P208,0)</f>
        <v>0</v>
      </c>
      <c r="V208" s="26" t="n">
        <f aca="false">IFERROR(MATCH($M208,MonthList,0),0)</f>
        <v>0</v>
      </c>
      <c r="W208" s="14" t="n">
        <f aca="false">IF(OR($L208&lt;&gt;"Yes",$M208=""),0,$U208*MAX(0,7-$V208)/12)</f>
        <v>0</v>
      </c>
      <c r="X208" s="14" t="n">
        <f aca="false">IF(OR($L208&lt;&gt;"Yes",$M208=""),0,$U208*IF($V208&lt;=7,12,19-$V208)/12)</f>
        <v>0</v>
      </c>
      <c r="Y208" s="14" t="n">
        <f aca="false">IF(AND($N208="Yes",$G208&lt;&gt;"Vendor day rates"),$I208-0.4*$P208,0)</f>
        <v>0</v>
      </c>
      <c r="Z208" s="26" t="n">
        <f aca="false">IFERROR(MATCH($O208,MonthList,0),0)</f>
        <v>0</v>
      </c>
      <c r="AA208" s="14" t="n">
        <f aca="false">IF(OR($N208&lt;&gt;"Yes",$O208=""),0,$Y208*MAX(0,7-$Z208)/12)</f>
        <v>0</v>
      </c>
      <c r="AB208" s="14" t="n">
        <f aca="false">IF(OR($N208&lt;&gt;"Yes",$O208=""),0,$Y208*IF($Z208&lt;=7,12,19-$Z208)/12)</f>
        <v>0</v>
      </c>
      <c r="AC208" s="26" t="str">
        <f aca="false">IF(OR($J208="Yes",$L208="Yes",$N208="Yes"),"Yes","No")</f>
        <v>No</v>
      </c>
      <c r="AD208" s="14" t="n">
        <f aca="false">MAX($Q208,$U208,$Y208)</f>
        <v>0</v>
      </c>
      <c r="AE208" s="26" t="n">
        <f aca="false">$AD208+ROW()*0.000000001</f>
        <v>2.08E-007</v>
      </c>
      <c r="AF208" s="26" t="str">
        <f aca="false">IF($J208="Yes","A","")&amp;IF($L208="Yes","B","")&amp;IF($N208="Yes","C","")</f>
        <v/>
      </c>
    </row>
    <row r="209" customFormat="false" ht="15" hidden="false" customHeight="false" outlineLevel="0" collapsed="false">
      <c r="B209" s="22" t="s">
        <v>480</v>
      </c>
      <c r="C209" s="23" t="s">
        <v>478</v>
      </c>
      <c r="D209" s="23" t="s">
        <v>331</v>
      </c>
      <c r="E209" s="23" t="s">
        <v>130</v>
      </c>
      <c r="F209" s="22" t="s">
        <v>57</v>
      </c>
      <c r="G209" s="23" t="s">
        <v>58</v>
      </c>
      <c r="H209" s="24" t="n">
        <v>1</v>
      </c>
      <c r="I209" s="14" t="n">
        <v>0.2399</v>
      </c>
      <c r="J209" s="25" t="s">
        <v>59</v>
      </c>
      <c r="K209" s="25"/>
      <c r="L209" s="25" t="s">
        <v>59</v>
      </c>
      <c r="M209" s="25"/>
      <c r="N209" s="25" t="s">
        <v>59</v>
      </c>
      <c r="O209" s="25"/>
      <c r="P209" s="14" t="n">
        <v>0.2399</v>
      </c>
      <c r="Q209" s="14" t="n">
        <f aca="false">IF(AND($J209="Yes",$G209&lt;&gt;"Vendor day rates"),$I209-0.4*$P209,0)</f>
        <v>0</v>
      </c>
      <c r="R209" s="26" t="n">
        <f aca="false">IFERROR(MATCH($K209,MonthList,0),0)</f>
        <v>0</v>
      </c>
      <c r="S209" s="14" t="n">
        <f aca="false">IF(OR($J209&lt;&gt;"Yes",$K209=""),0,$Q209*MAX(0,7-$R209)/12)</f>
        <v>0</v>
      </c>
      <c r="T209" s="14" t="n">
        <f aca="false">IF(OR($J209&lt;&gt;"Yes",$K209=""),0,$Q209*IF($R209&lt;=7,12,19-$R209)/12)</f>
        <v>0</v>
      </c>
      <c r="U209" s="14" t="n">
        <f aca="false">IF(AND($L209="Yes",$G209&lt;&gt;"Vendor day rates"),$I209-0.4*$P209,0)</f>
        <v>0</v>
      </c>
      <c r="V209" s="26" t="n">
        <f aca="false">IFERROR(MATCH($M209,MonthList,0),0)</f>
        <v>0</v>
      </c>
      <c r="W209" s="14" t="n">
        <f aca="false">IF(OR($L209&lt;&gt;"Yes",$M209=""),0,$U209*MAX(0,7-$V209)/12)</f>
        <v>0</v>
      </c>
      <c r="X209" s="14" t="n">
        <f aca="false">IF(OR($L209&lt;&gt;"Yes",$M209=""),0,$U209*IF($V209&lt;=7,12,19-$V209)/12)</f>
        <v>0</v>
      </c>
      <c r="Y209" s="14" t="n">
        <f aca="false">IF(AND($N209="Yes",$G209&lt;&gt;"Vendor day rates"),$I209-0.4*$P209,0)</f>
        <v>0</v>
      </c>
      <c r="Z209" s="26" t="n">
        <f aca="false">IFERROR(MATCH($O209,MonthList,0),0)</f>
        <v>0</v>
      </c>
      <c r="AA209" s="14" t="n">
        <f aca="false">IF(OR($N209&lt;&gt;"Yes",$O209=""),0,$Y209*MAX(0,7-$Z209)/12)</f>
        <v>0</v>
      </c>
      <c r="AB209" s="14" t="n">
        <f aca="false">IF(OR($N209&lt;&gt;"Yes",$O209=""),0,$Y209*IF($Z209&lt;=7,12,19-$Z209)/12)</f>
        <v>0</v>
      </c>
      <c r="AC209" s="26" t="str">
        <f aca="false">IF(OR($J209="Yes",$L209="Yes",$N209="Yes"),"Yes","No")</f>
        <v>No</v>
      </c>
      <c r="AD209" s="14" t="n">
        <f aca="false">MAX($Q209,$U209,$Y209)</f>
        <v>0</v>
      </c>
      <c r="AE209" s="26" t="n">
        <f aca="false">$AD209+ROW()*0.000000001</f>
        <v>2.09E-007</v>
      </c>
      <c r="AF209" s="26" t="str">
        <f aca="false">IF($J209="Yes","A","")&amp;IF($L209="Yes","B","")&amp;IF($N209="Yes","C","")</f>
        <v/>
      </c>
    </row>
    <row r="210" customFormat="false" ht="15" hidden="false" customHeight="false" outlineLevel="0" collapsed="false">
      <c r="B210" s="22" t="s">
        <v>481</v>
      </c>
      <c r="C210" s="23" t="s">
        <v>482</v>
      </c>
      <c r="D210" s="23" t="s">
        <v>331</v>
      </c>
      <c r="E210" s="23" t="s">
        <v>440</v>
      </c>
      <c r="F210" s="22" t="s">
        <v>112</v>
      </c>
      <c r="G210" s="23" t="s">
        <v>58</v>
      </c>
      <c r="H210" s="24" t="n">
        <v>1</v>
      </c>
      <c r="I210" s="14" t="n">
        <v>0.1981</v>
      </c>
      <c r="J210" s="25" t="s">
        <v>59</v>
      </c>
      <c r="K210" s="25"/>
      <c r="L210" s="25" t="s">
        <v>59</v>
      </c>
      <c r="M210" s="25"/>
      <c r="N210" s="25" t="s">
        <v>59</v>
      </c>
      <c r="O210" s="25"/>
      <c r="P210" s="14" t="n">
        <v>0.1981</v>
      </c>
      <c r="Q210" s="14" t="n">
        <f aca="false">IF(AND($J210="Yes",$G210&lt;&gt;"Vendor day rates"),$I210-0.4*$P210,0)</f>
        <v>0</v>
      </c>
      <c r="R210" s="26" t="n">
        <f aca="false">IFERROR(MATCH($K210,MonthList,0),0)</f>
        <v>0</v>
      </c>
      <c r="S210" s="14" t="n">
        <f aca="false">IF(OR($J210&lt;&gt;"Yes",$K210=""),0,$Q210*MAX(0,7-$R210)/12)</f>
        <v>0</v>
      </c>
      <c r="T210" s="14" t="n">
        <f aca="false">IF(OR($J210&lt;&gt;"Yes",$K210=""),0,$Q210*IF($R210&lt;=7,12,19-$R210)/12)</f>
        <v>0</v>
      </c>
      <c r="U210" s="14" t="n">
        <f aca="false">IF(AND($L210="Yes",$G210&lt;&gt;"Vendor day rates"),$I210-0.4*$P210,0)</f>
        <v>0</v>
      </c>
      <c r="V210" s="26" t="n">
        <f aca="false">IFERROR(MATCH($M210,MonthList,0),0)</f>
        <v>0</v>
      </c>
      <c r="W210" s="14" t="n">
        <f aca="false">IF(OR($L210&lt;&gt;"Yes",$M210=""),0,$U210*MAX(0,7-$V210)/12)</f>
        <v>0</v>
      </c>
      <c r="X210" s="14" t="n">
        <f aca="false">IF(OR($L210&lt;&gt;"Yes",$M210=""),0,$U210*IF($V210&lt;=7,12,19-$V210)/12)</f>
        <v>0</v>
      </c>
      <c r="Y210" s="14" t="n">
        <f aca="false">IF(AND($N210="Yes",$G210&lt;&gt;"Vendor day rates"),$I210-0.4*$P210,0)</f>
        <v>0</v>
      </c>
      <c r="Z210" s="26" t="n">
        <f aca="false">IFERROR(MATCH($O210,MonthList,0),0)</f>
        <v>0</v>
      </c>
      <c r="AA210" s="14" t="n">
        <f aca="false">IF(OR($N210&lt;&gt;"Yes",$O210=""),0,$Y210*MAX(0,7-$Z210)/12)</f>
        <v>0</v>
      </c>
      <c r="AB210" s="14" t="n">
        <f aca="false">IF(OR($N210&lt;&gt;"Yes",$O210=""),0,$Y210*IF($Z210&lt;=7,12,19-$Z210)/12)</f>
        <v>0</v>
      </c>
      <c r="AC210" s="26" t="str">
        <f aca="false">IF(OR($J210="Yes",$L210="Yes",$N210="Yes"),"Yes","No")</f>
        <v>No</v>
      </c>
      <c r="AD210" s="14" t="n">
        <f aca="false">MAX($Q210,$U210,$Y210)</f>
        <v>0</v>
      </c>
      <c r="AE210" s="26" t="n">
        <f aca="false">$AD210+ROW()*0.000000001</f>
        <v>2.1E-007</v>
      </c>
      <c r="AF210" s="26" t="str">
        <f aca="false">IF($J210="Yes","A","")&amp;IF($L210="Yes","B","")&amp;IF($N210="Yes","C","")</f>
        <v/>
      </c>
    </row>
    <row r="211" customFormat="false" ht="15" hidden="false" customHeight="false" outlineLevel="0" collapsed="false">
      <c r="B211" s="22" t="s">
        <v>483</v>
      </c>
      <c r="C211" s="23" t="s">
        <v>478</v>
      </c>
      <c r="D211" s="23" t="s">
        <v>331</v>
      </c>
      <c r="E211" s="23" t="s">
        <v>130</v>
      </c>
      <c r="F211" s="22" t="s">
        <v>57</v>
      </c>
      <c r="G211" s="23" t="s">
        <v>58</v>
      </c>
      <c r="H211" s="24" t="n">
        <v>1</v>
      </c>
      <c r="I211" s="14" t="n">
        <v>0.2141</v>
      </c>
      <c r="J211" s="25" t="s">
        <v>59</v>
      </c>
      <c r="K211" s="25"/>
      <c r="L211" s="25" t="s">
        <v>59</v>
      </c>
      <c r="M211" s="25"/>
      <c r="N211" s="25" t="s">
        <v>59</v>
      </c>
      <c r="O211" s="25"/>
      <c r="P211" s="14" t="n">
        <v>0.2141</v>
      </c>
      <c r="Q211" s="14" t="n">
        <f aca="false">IF(AND($J211="Yes",$G211&lt;&gt;"Vendor day rates"),$I211-0.4*$P211,0)</f>
        <v>0</v>
      </c>
      <c r="R211" s="26" t="n">
        <f aca="false">IFERROR(MATCH($K211,MonthList,0),0)</f>
        <v>0</v>
      </c>
      <c r="S211" s="14" t="n">
        <f aca="false">IF(OR($J211&lt;&gt;"Yes",$K211=""),0,$Q211*MAX(0,7-$R211)/12)</f>
        <v>0</v>
      </c>
      <c r="T211" s="14" t="n">
        <f aca="false">IF(OR($J211&lt;&gt;"Yes",$K211=""),0,$Q211*IF($R211&lt;=7,12,19-$R211)/12)</f>
        <v>0</v>
      </c>
      <c r="U211" s="14" t="n">
        <f aca="false">IF(AND($L211="Yes",$G211&lt;&gt;"Vendor day rates"),$I211-0.4*$P211,0)</f>
        <v>0</v>
      </c>
      <c r="V211" s="26" t="n">
        <f aca="false">IFERROR(MATCH($M211,MonthList,0),0)</f>
        <v>0</v>
      </c>
      <c r="W211" s="14" t="n">
        <f aca="false">IF(OR($L211&lt;&gt;"Yes",$M211=""),0,$U211*MAX(0,7-$V211)/12)</f>
        <v>0</v>
      </c>
      <c r="X211" s="14" t="n">
        <f aca="false">IF(OR($L211&lt;&gt;"Yes",$M211=""),0,$U211*IF($V211&lt;=7,12,19-$V211)/12)</f>
        <v>0</v>
      </c>
      <c r="Y211" s="14" t="n">
        <f aca="false">IF(AND($N211="Yes",$G211&lt;&gt;"Vendor day rates"),$I211-0.4*$P211,0)</f>
        <v>0</v>
      </c>
      <c r="Z211" s="26" t="n">
        <f aca="false">IFERROR(MATCH($O211,MonthList,0),0)</f>
        <v>0</v>
      </c>
      <c r="AA211" s="14" t="n">
        <f aca="false">IF(OR($N211&lt;&gt;"Yes",$O211=""),0,$Y211*MAX(0,7-$Z211)/12)</f>
        <v>0</v>
      </c>
      <c r="AB211" s="14" t="n">
        <f aca="false">IF(OR($N211&lt;&gt;"Yes",$O211=""),0,$Y211*IF($Z211&lt;=7,12,19-$Z211)/12)</f>
        <v>0</v>
      </c>
      <c r="AC211" s="26" t="str">
        <f aca="false">IF(OR($J211="Yes",$L211="Yes",$N211="Yes"),"Yes","No")</f>
        <v>No</v>
      </c>
      <c r="AD211" s="14" t="n">
        <f aca="false">MAX($Q211,$U211,$Y211)</f>
        <v>0</v>
      </c>
      <c r="AE211" s="26" t="n">
        <f aca="false">$AD211+ROW()*0.000000001</f>
        <v>2.11E-007</v>
      </c>
      <c r="AF211" s="26" t="str">
        <f aca="false">IF($J211="Yes","A","")&amp;IF($L211="Yes","B","")&amp;IF($N211="Yes","C","")</f>
        <v/>
      </c>
    </row>
    <row r="212" customFormat="false" ht="15" hidden="false" customHeight="false" outlineLevel="0" collapsed="false">
      <c r="B212" s="22" t="s">
        <v>484</v>
      </c>
      <c r="C212" s="23" t="s">
        <v>386</v>
      </c>
      <c r="D212" s="23" t="s">
        <v>331</v>
      </c>
      <c r="E212" s="23" t="s">
        <v>130</v>
      </c>
      <c r="F212" s="22" t="s">
        <v>57</v>
      </c>
      <c r="G212" s="23" t="s">
        <v>304</v>
      </c>
      <c r="H212" s="24" t="n">
        <v>1</v>
      </c>
      <c r="I212" s="14" t="n">
        <v>0</v>
      </c>
      <c r="J212" s="25" t="s">
        <v>59</v>
      </c>
      <c r="K212" s="25"/>
      <c r="L212" s="25" t="s">
        <v>59</v>
      </c>
      <c r="M212" s="25"/>
      <c r="N212" s="25" t="s">
        <v>59</v>
      </c>
      <c r="O212" s="25"/>
      <c r="P212" s="14" t="n">
        <v>0.2317</v>
      </c>
      <c r="Q212" s="14" t="n">
        <f aca="false">IF(AND($J212="Yes",$G212&lt;&gt;"Vendor day rates"),$I212-0.4*$P212,0)</f>
        <v>0</v>
      </c>
      <c r="R212" s="26" t="n">
        <f aca="false">IFERROR(MATCH($K212,MonthList,0),0)</f>
        <v>0</v>
      </c>
      <c r="S212" s="14" t="n">
        <f aca="false">IF(OR($J212&lt;&gt;"Yes",$K212=""),0,$Q212*MAX(0,7-$R212)/12)</f>
        <v>0</v>
      </c>
      <c r="T212" s="14" t="n">
        <f aca="false">IF(OR($J212&lt;&gt;"Yes",$K212=""),0,$Q212*IF($R212&lt;=7,12,19-$R212)/12)</f>
        <v>0</v>
      </c>
      <c r="U212" s="14" t="n">
        <f aca="false">IF(AND($L212="Yes",$G212&lt;&gt;"Vendor day rates"),$I212-0.4*$P212,0)</f>
        <v>0</v>
      </c>
      <c r="V212" s="26" t="n">
        <f aca="false">IFERROR(MATCH($M212,MonthList,0),0)</f>
        <v>0</v>
      </c>
      <c r="W212" s="14" t="n">
        <f aca="false">IF(OR($L212&lt;&gt;"Yes",$M212=""),0,$U212*MAX(0,7-$V212)/12)</f>
        <v>0</v>
      </c>
      <c r="X212" s="14" t="n">
        <f aca="false">IF(OR($L212&lt;&gt;"Yes",$M212=""),0,$U212*IF($V212&lt;=7,12,19-$V212)/12)</f>
        <v>0</v>
      </c>
      <c r="Y212" s="14" t="n">
        <f aca="false">IF(AND($N212="Yes",$G212&lt;&gt;"Vendor day rates"),$I212-0.4*$P212,0)</f>
        <v>0</v>
      </c>
      <c r="Z212" s="26" t="n">
        <f aca="false">IFERROR(MATCH($O212,MonthList,0),0)</f>
        <v>0</v>
      </c>
      <c r="AA212" s="14" t="n">
        <f aca="false">IF(OR($N212&lt;&gt;"Yes",$O212=""),0,$Y212*MAX(0,7-$Z212)/12)</f>
        <v>0</v>
      </c>
      <c r="AB212" s="14" t="n">
        <f aca="false">IF(OR($N212&lt;&gt;"Yes",$O212=""),0,$Y212*IF($Z212&lt;=7,12,19-$Z212)/12)</f>
        <v>0</v>
      </c>
      <c r="AC212" s="26" t="str">
        <f aca="false">IF(OR($J212="Yes",$L212="Yes",$N212="Yes"),"Yes","No")</f>
        <v>No</v>
      </c>
      <c r="AD212" s="14" t="n">
        <f aca="false">MAX($Q212,$U212,$Y212)</f>
        <v>0</v>
      </c>
      <c r="AE212" s="26" t="n">
        <f aca="false">$AD212+ROW()*0.000000001</f>
        <v>2.12E-007</v>
      </c>
      <c r="AF212" s="26" t="str">
        <f aca="false">IF($J212="Yes","A","")&amp;IF($L212="Yes","B","")&amp;IF($N212="Yes","C","")</f>
        <v/>
      </c>
    </row>
    <row r="213" customFormat="false" ht="15" hidden="false" customHeight="false" outlineLevel="0" collapsed="false">
      <c r="B213" s="22" t="s">
        <v>485</v>
      </c>
      <c r="C213" s="23" t="s">
        <v>486</v>
      </c>
      <c r="D213" s="23" t="s">
        <v>331</v>
      </c>
      <c r="E213" s="23" t="s">
        <v>130</v>
      </c>
      <c r="F213" s="22" t="s">
        <v>57</v>
      </c>
      <c r="G213" s="23" t="s">
        <v>149</v>
      </c>
      <c r="H213" s="24" t="n">
        <v>1</v>
      </c>
      <c r="I213" s="14" t="n">
        <v>0.2317</v>
      </c>
      <c r="J213" s="25" t="s">
        <v>59</v>
      </c>
      <c r="K213" s="25"/>
      <c r="L213" s="25" t="s">
        <v>59</v>
      </c>
      <c r="M213" s="25"/>
      <c r="N213" s="25" t="s">
        <v>59</v>
      </c>
      <c r="O213" s="25"/>
      <c r="P213" s="14" t="n">
        <v>0.2317</v>
      </c>
      <c r="Q213" s="14" t="n">
        <f aca="false">IF(AND($J213="Yes",$G213&lt;&gt;"Vendor day rates"),$I213-0.4*$P213,0)</f>
        <v>0</v>
      </c>
      <c r="R213" s="26" t="n">
        <f aca="false">IFERROR(MATCH($K213,MonthList,0),0)</f>
        <v>0</v>
      </c>
      <c r="S213" s="14" t="n">
        <f aca="false">IF(OR($J213&lt;&gt;"Yes",$K213=""),0,$Q213*MAX(0,7-$R213)/12)</f>
        <v>0</v>
      </c>
      <c r="T213" s="14" t="n">
        <f aca="false">IF(OR($J213&lt;&gt;"Yes",$K213=""),0,$Q213*IF($R213&lt;=7,12,19-$R213)/12)</f>
        <v>0</v>
      </c>
      <c r="U213" s="14" t="n">
        <f aca="false">IF(AND($L213="Yes",$G213&lt;&gt;"Vendor day rates"),$I213-0.4*$P213,0)</f>
        <v>0</v>
      </c>
      <c r="V213" s="26" t="n">
        <f aca="false">IFERROR(MATCH($M213,MonthList,0),0)</f>
        <v>0</v>
      </c>
      <c r="W213" s="14" t="n">
        <f aca="false">IF(OR($L213&lt;&gt;"Yes",$M213=""),0,$U213*MAX(0,7-$V213)/12)</f>
        <v>0</v>
      </c>
      <c r="X213" s="14" t="n">
        <f aca="false">IF(OR($L213&lt;&gt;"Yes",$M213=""),0,$U213*IF($V213&lt;=7,12,19-$V213)/12)</f>
        <v>0</v>
      </c>
      <c r="Y213" s="14" t="n">
        <f aca="false">IF(AND($N213="Yes",$G213&lt;&gt;"Vendor day rates"),$I213-0.4*$P213,0)</f>
        <v>0</v>
      </c>
      <c r="Z213" s="26" t="n">
        <f aca="false">IFERROR(MATCH($O213,MonthList,0),0)</f>
        <v>0</v>
      </c>
      <c r="AA213" s="14" t="n">
        <f aca="false">IF(OR($N213&lt;&gt;"Yes",$O213=""),0,$Y213*MAX(0,7-$Z213)/12)</f>
        <v>0</v>
      </c>
      <c r="AB213" s="14" t="n">
        <f aca="false">IF(OR($N213&lt;&gt;"Yes",$O213=""),0,$Y213*IF($Z213&lt;=7,12,19-$Z213)/12)</f>
        <v>0</v>
      </c>
      <c r="AC213" s="26" t="str">
        <f aca="false">IF(OR($J213="Yes",$L213="Yes",$N213="Yes"),"Yes","No")</f>
        <v>No</v>
      </c>
      <c r="AD213" s="14" t="n">
        <f aca="false">MAX($Q213,$U213,$Y213)</f>
        <v>0</v>
      </c>
      <c r="AE213" s="26" t="n">
        <f aca="false">$AD213+ROW()*0.000000001</f>
        <v>2.13E-007</v>
      </c>
      <c r="AF213" s="26" t="str">
        <f aca="false">IF($J213="Yes","A","")&amp;IF($L213="Yes","B","")&amp;IF($N213="Yes","C","")</f>
        <v/>
      </c>
    </row>
    <row r="214" customFormat="false" ht="15" hidden="false" customHeight="false" outlineLevel="0" collapsed="false">
      <c r="B214" s="22" t="s">
        <v>487</v>
      </c>
      <c r="C214" s="23" t="s">
        <v>488</v>
      </c>
      <c r="D214" s="23" t="s">
        <v>147</v>
      </c>
      <c r="E214" s="23" t="s">
        <v>256</v>
      </c>
      <c r="F214" s="22" t="s">
        <v>112</v>
      </c>
      <c r="G214" s="23" t="s">
        <v>58</v>
      </c>
      <c r="H214" s="24" t="n">
        <v>1</v>
      </c>
      <c r="I214" s="14" t="n">
        <v>0.2129</v>
      </c>
      <c r="J214" s="25" t="s">
        <v>59</v>
      </c>
      <c r="K214" s="25"/>
      <c r="L214" s="25" t="s">
        <v>59</v>
      </c>
      <c r="M214" s="25"/>
      <c r="N214" s="25" t="s">
        <v>59</v>
      </c>
      <c r="O214" s="25"/>
      <c r="P214" s="14" t="n">
        <v>0.2129</v>
      </c>
      <c r="Q214" s="14" t="n">
        <f aca="false">IF(AND($J214="Yes",$G214&lt;&gt;"Vendor day rates"),$I214-0.4*$P214,0)</f>
        <v>0</v>
      </c>
      <c r="R214" s="26" t="n">
        <f aca="false">IFERROR(MATCH($K214,MonthList,0),0)</f>
        <v>0</v>
      </c>
      <c r="S214" s="14" t="n">
        <f aca="false">IF(OR($J214&lt;&gt;"Yes",$K214=""),0,$Q214*MAX(0,7-$R214)/12)</f>
        <v>0</v>
      </c>
      <c r="T214" s="14" t="n">
        <f aca="false">IF(OR($J214&lt;&gt;"Yes",$K214=""),0,$Q214*IF($R214&lt;=7,12,19-$R214)/12)</f>
        <v>0</v>
      </c>
      <c r="U214" s="14" t="n">
        <f aca="false">IF(AND($L214="Yes",$G214&lt;&gt;"Vendor day rates"),$I214-0.4*$P214,0)</f>
        <v>0</v>
      </c>
      <c r="V214" s="26" t="n">
        <f aca="false">IFERROR(MATCH($M214,MonthList,0),0)</f>
        <v>0</v>
      </c>
      <c r="W214" s="14" t="n">
        <f aca="false">IF(OR($L214&lt;&gt;"Yes",$M214=""),0,$U214*MAX(0,7-$V214)/12)</f>
        <v>0</v>
      </c>
      <c r="X214" s="14" t="n">
        <f aca="false">IF(OR($L214&lt;&gt;"Yes",$M214=""),0,$U214*IF($V214&lt;=7,12,19-$V214)/12)</f>
        <v>0</v>
      </c>
      <c r="Y214" s="14" t="n">
        <f aca="false">IF(AND($N214="Yes",$G214&lt;&gt;"Vendor day rates"),$I214-0.4*$P214,0)</f>
        <v>0</v>
      </c>
      <c r="Z214" s="26" t="n">
        <f aca="false">IFERROR(MATCH($O214,MonthList,0),0)</f>
        <v>0</v>
      </c>
      <c r="AA214" s="14" t="n">
        <f aca="false">IF(OR($N214&lt;&gt;"Yes",$O214=""),0,$Y214*MAX(0,7-$Z214)/12)</f>
        <v>0</v>
      </c>
      <c r="AB214" s="14" t="n">
        <f aca="false">IF(OR($N214&lt;&gt;"Yes",$O214=""),0,$Y214*IF($Z214&lt;=7,12,19-$Z214)/12)</f>
        <v>0</v>
      </c>
      <c r="AC214" s="26" t="str">
        <f aca="false">IF(OR($J214="Yes",$L214="Yes",$N214="Yes"),"Yes","No")</f>
        <v>No</v>
      </c>
      <c r="AD214" s="14" t="n">
        <f aca="false">MAX($Q214,$U214,$Y214)</f>
        <v>0</v>
      </c>
      <c r="AE214" s="26" t="n">
        <f aca="false">$AD214+ROW()*0.000000001</f>
        <v>2.14E-007</v>
      </c>
      <c r="AF214" s="26" t="str">
        <f aca="false">IF($J214="Yes","A","")&amp;IF($L214="Yes","B","")&amp;IF($N214="Yes","C","")</f>
        <v/>
      </c>
    </row>
    <row r="215" customFormat="false" ht="15" hidden="false" customHeight="false" outlineLevel="0" collapsed="false">
      <c r="B215" s="22" t="s">
        <v>489</v>
      </c>
      <c r="C215" s="23" t="s">
        <v>490</v>
      </c>
      <c r="D215" s="23" t="s">
        <v>158</v>
      </c>
      <c r="E215" s="23" t="s">
        <v>491</v>
      </c>
      <c r="F215" s="22" t="s">
        <v>112</v>
      </c>
      <c r="G215" s="23" t="s">
        <v>58</v>
      </c>
      <c r="H215" s="24" t="n">
        <v>1</v>
      </c>
      <c r="I215" s="14" t="n">
        <v>0.195</v>
      </c>
      <c r="J215" s="25" t="s">
        <v>59</v>
      </c>
      <c r="K215" s="25"/>
      <c r="L215" s="25" t="s">
        <v>59</v>
      </c>
      <c r="M215" s="25"/>
      <c r="N215" s="25" t="s">
        <v>59</v>
      </c>
      <c r="O215" s="25"/>
      <c r="P215" s="14" t="n">
        <v>0.195</v>
      </c>
      <c r="Q215" s="14" t="n">
        <f aca="false">IF(AND($J215="Yes",$G215&lt;&gt;"Vendor day rates"),$I215-0.4*$P215,0)</f>
        <v>0</v>
      </c>
      <c r="R215" s="26" t="n">
        <f aca="false">IFERROR(MATCH($K215,MonthList,0),0)</f>
        <v>0</v>
      </c>
      <c r="S215" s="14" t="n">
        <f aca="false">IF(OR($J215&lt;&gt;"Yes",$K215=""),0,$Q215*MAX(0,7-$R215)/12)</f>
        <v>0</v>
      </c>
      <c r="T215" s="14" t="n">
        <f aca="false">IF(OR($J215&lt;&gt;"Yes",$K215=""),0,$Q215*IF($R215&lt;=7,12,19-$R215)/12)</f>
        <v>0</v>
      </c>
      <c r="U215" s="14" t="n">
        <f aca="false">IF(AND($L215="Yes",$G215&lt;&gt;"Vendor day rates"),$I215-0.4*$P215,0)</f>
        <v>0</v>
      </c>
      <c r="V215" s="26" t="n">
        <f aca="false">IFERROR(MATCH($M215,MonthList,0),0)</f>
        <v>0</v>
      </c>
      <c r="W215" s="14" t="n">
        <f aca="false">IF(OR($L215&lt;&gt;"Yes",$M215=""),0,$U215*MAX(0,7-$V215)/12)</f>
        <v>0</v>
      </c>
      <c r="X215" s="14" t="n">
        <f aca="false">IF(OR($L215&lt;&gt;"Yes",$M215=""),0,$U215*IF($V215&lt;=7,12,19-$V215)/12)</f>
        <v>0</v>
      </c>
      <c r="Y215" s="14" t="n">
        <f aca="false">IF(AND($N215="Yes",$G215&lt;&gt;"Vendor day rates"),$I215-0.4*$P215,0)</f>
        <v>0</v>
      </c>
      <c r="Z215" s="26" t="n">
        <f aca="false">IFERROR(MATCH($O215,MonthList,0),0)</f>
        <v>0</v>
      </c>
      <c r="AA215" s="14" t="n">
        <f aca="false">IF(OR($N215&lt;&gt;"Yes",$O215=""),0,$Y215*MAX(0,7-$Z215)/12)</f>
        <v>0</v>
      </c>
      <c r="AB215" s="14" t="n">
        <f aca="false">IF(OR($N215&lt;&gt;"Yes",$O215=""),0,$Y215*IF($Z215&lt;=7,12,19-$Z215)/12)</f>
        <v>0</v>
      </c>
      <c r="AC215" s="26" t="str">
        <f aca="false">IF(OR($J215="Yes",$L215="Yes",$N215="Yes"),"Yes","No")</f>
        <v>No</v>
      </c>
      <c r="AD215" s="14" t="n">
        <f aca="false">MAX($Q215,$U215,$Y215)</f>
        <v>0</v>
      </c>
      <c r="AE215" s="26" t="n">
        <f aca="false">$AD215+ROW()*0.000000001</f>
        <v>2.15E-007</v>
      </c>
      <c r="AF215" s="26" t="str">
        <f aca="false">IF($J215="Yes","A","")&amp;IF($L215="Yes","B","")&amp;IF($N215="Yes","C","")</f>
        <v/>
      </c>
    </row>
    <row r="216" customFormat="false" ht="15" hidden="false" customHeight="false" outlineLevel="0" collapsed="false">
      <c r="B216" s="22" t="s">
        <v>492</v>
      </c>
      <c r="C216" s="23" t="s">
        <v>490</v>
      </c>
      <c r="D216" s="23" t="s">
        <v>158</v>
      </c>
      <c r="E216" s="23" t="s">
        <v>491</v>
      </c>
      <c r="F216" s="22" t="s">
        <v>57</v>
      </c>
      <c r="G216" s="23" t="s">
        <v>58</v>
      </c>
      <c r="H216" s="24" t="n">
        <v>1</v>
      </c>
      <c r="I216" s="14" t="n">
        <v>0.2553</v>
      </c>
      <c r="J216" s="25" t="s">
        <v>59</v>
      </c>
      <c r="K216" s="25"/>
      <c r="L216" s="25" t="s">
        <v>59</v>
      </c>
      <c r="M216" s="25"/>
      <c r="N216" s="25" t="s">
        <v>59</v>
      </c>
      <c r="O216" s="25"/>
      <c r="P216" s="14" t="n">
        <v>0.2553</v>
      </c>
      <c r="Q216" s="14" t="n">
        <f aca="false">IF(AND($J216="Yes",$G216&lt;&gt;"Vendor day rates"),$I216-0.4*$P216,0)</f>
        <v>0</v>
      </c>
      <c r="R216" s="26" t="n">
        <f aca="false">IFERROR(MATCH($K216,MonthList,0),0)</f>
        <v>0</v>
      </c>
      <c r="S216" s="14" t="n">
        <f aca="false">IF(OR($J216&lt;&gt;"Yes",$K216=""),0,$Q216*MAX(0,7-$R216)/12)</f>
        <v>0</v>
      </c>
      <c r="T216" s="14" t="n">
        <f aca="false">IF(OR($J216&lt;&gt;"Yes",$K216=""),0,$Q216*IF($R216&lt;=7,12,19-$R216)/12)</f>
        <v>0</v>
      </c>
      <c r="U216" s="14" t="n">
        <f aca="false">IF(AND($L216="Yes",$G216&lt;&gt;"Vendor day rates"),$I216-0.4*$P216,0)</f>
        <v>0</v>
      </c>
      <c r="V216" s="26" t="n">
        <f aca="false">IFERROR(MATCH($M216,MonthList,0),0)</f>
        <v>0</v>
      </c>
      <c r="W216" s="14" t="n">
        <f aca="false">IF(OR($L216&lt;&gt;"Yes",$M216=""),0,$U216*MAX(0,7-$V216)/12)</f>
        <v>0</v>
      </c>
      <c r="X216" s="14" t="n">
        <f aca="false">IF(OR($L216&lt;&gt;"Yes",$M216=""),0,$U216*IF($V216&lt;=7,12,19-$V216)/12)</f>
        <v>0</v>
      </c>
      <c r="Y216" s="14" t="n">
        <f aca="false">IF(AND($N216="Yes",$G216&lt;&gt;"Vendor day rates"),$I216-0.4*$P216,0)</f>
        <v>0</v>
      </c>
      <c r="Z216" s="26" t="n">
        <f aca="false">IFERROR(MATCH($O216,MonthList,0),0)</f>
        <v>0</v>
      </c>
      <c r="AA216" s="14" t="n">
        <f aca="false">IF(OR($N216&lt;&gt;"Yes",$O216=""),0,$Y216*MAX(0,7-$Z216)/12)</f>
        <v>0</v>
      </c>
      <c r="AB216" s="14" t="n">
        <f aca="false">IF(OR($N216&lt;&gt;"Yes",$O216=""),0,$Y216*IF($Z216&lt;=7,12,19-$Z216)/12)</f>
        <v>0</v>
      </c>
      <c r="AC216" s="26" t="str">
        <f aca="false">IF(OR($J216="Yes",$L216="Yes",$N216="Yes"),"Yes","No")</f>
        <v>No</v>
      </c>
      <c r="AD216" s="14" t="n">
        <f aca="false">MAX($Q216,$U216,$Y216)</f>
        <v>0</v>
      </c>
      <c r="AE216" s="26" t="n">
        <f aca="false">$AD216+ROW()*0.000000001</f>
        <v>2.16E-007</v>
      </c>
      <c r="AF216" s="26" t="str">
        <f aca="false">IF($J216="Yes","A","")&amp;IF($L216="Yes","B","")&amp;IF($N216="Yes","C","")</f>
        <v/>
      </c>
    </row>
    <row r="217" customFormat="false" ht="15" hidden="false" customHeight="false" outlineLevel="0" collapsed="false">
      <c r="B217" s="22" t="s">
        <v>493</v>
      </c>
      <c r="C217" s="23" t="s">
        <v>490</v>
      </c>
      <c r="D217" s="23" t="s">
        <v>158</v>
      </c>
      <c r="E217" s="23" t="s">
        <v>491</v>
      </c>
      <c r="F217" s="22" t="s">
        <v>57</v>
      </c>
      <c r="G217" s="23" t="s">
        <v>58</v>
      </c>
      <c r="H217" s="24" t="n">
        <v>1</v>
      </c>
      <c r="I217" s="14" t="n">
        <v>0.2545</v>
      </c>
      <c r="J217" s="25" t="s">
        <v>59</v>
      </c>
      <c r="K217" s="25"/>
      <c r="L217" s="25" t="s">
        <v>59</v>
      </c>
      <c r="M217" s="25"/>
      <c r="N217" s="25" t="s">
        <v>59</v>
      </c>
      <c r="O217" s="25"/>
      <c r="P217" s="14" t="n">
        <v>0.2545</v>
      </c>
      <c r="Q217" s="14" t="n">
        <f aca="false">IF(AND($J217="Yes",$G217&lt;&gt;"Vendor day rates"),$I217-0.4*$P217,0)</f>
        <v>0</v>
      </c>
      <c r="R217" s="26" t="n">
        <f aca="false">IFERROR(MATCH($K217,MonthList,0),0)</f>
        <v>0</v>
      </c>
      <c r="S217" s="14" t="n">
        <f aca="false">IF(OR($J217&lt;&gt;"Yes",$K217=""),0,$Q217*MAX(0,7-$R217)/12)</f>
        <v>0</v>
      </c>
      <c r="T217" s="14" t="n">
        <f aca="false">IF(OR($J217&lt;&gt;"Yes",$K217=""),0,$Q217*IF($R217&lt;=7,12,19-$R217)/12)</f>
        <v>0</v>
      </c>
      <c r="U217" s="14" t="n">
        <f aca="false">IF(AND($L217="Yes",$G217&lt;&gt;"Vendor day rates"),$I217-0.4*$P217,0)</f>
        <v>0</v>
      </c>
      <c r="V217" s="26" t="n">
        <f aca="false">IFERROR(MATCH($M217,MonthList,0),0)</f>
        <v>0</v>
      </c>
      <c r="W217" s="14" t="n">
        <f aca="false">IF(OR($L217&lt;&gt;"Yes",$M217=""),0,$U217*MAX(0,7-$V217)/12)</f>
        <v>0</v>
      </c>
      <c r="X217" s="14" t="n">
        <f aca="false">IF(OR($L217&lt;&gt;"Yes",$M217=""),0,$U217*IF($V217&lt;=7,12,19-$V217)/12)</f>
        <v>0</v>
      </c>
      <c r="Y217" s="14" t="n">
        <f aca="false">IF(AND($N217="Yes",$G217&lt;&gt;"Vendor day rates"),$I217-0.4*$P217,0)</f>
        <v>0</v>
      </c>
      <c r="Z217" s="26" t="n">
        <f aca="false">IFERROR(MATCH($O217,MonthList,0),0)</f>
        <v>0</v>
      </c>
      <c r="AA217" s="14" t="n">
        <f aca="false">IF(OR($N217&lt;&gt;"Yes",$O217=""),0,$Y217*MAX(0,7-$Z217)/12)</f>
        <v>0</v>
      </c>
      <c r="AB217" s="14" t="n">
        <f aca="false">IF(OR($N217&lt;&gt;"Yes",$O217=""),0,$Y217*IF($Z217&lt;=7,12,19-$Z217)/12)</f>
        <v>0</v>
      </c>
      <c r="AC217" s="26" t="str">
        <f aca="false">IF(OR($J217="Yes",$L217="Yes",$N217="Yes"),"Yes","No")</f>
        <v>No</v>
      </c>
      <c r="AD217" s="14" t="n">
        <f aca="false">MAX($Q217,$U217,$Y217)</f>
        <v>0</v>
      </c>
      <c r="AE217" s="26" t="n">
        <f aca="false">$AD217+ROW()*0.000000001</f>
        <v>2.17E-007</v>
      </c>
      <c r="AF217" s="26" t="str">
        <f aca="false">IF($J217="Yes","A","")&amp;IF($L217="Yes","B","")&amp;IF($N217="Yes","C","")</f>
        <v/>
      </c>
    </row>
    <row r="218" customFormat="false" ht="15" hidden="false" customHeight="false" outlineLevel="0" collapsed="false">
      <c r="B218" s="22" t="s">
        <v>494</v>
      </c>
      <c r="C218" s="23" t="s">
        <v>495</v>
      </c>
      <c r="D218" s="23" t="s">
        <v>147</v>
      </c>
      <c r="E218" s="23" t="s">
        <v>199</v>
      </c>
      <c r="F218" s="22" t="s">
        <v>57</v>
      </c>
      <c r="G218" s="23" t="s">
        <v>149</v>
      </c>
      <c r="H218" s="24" t="n">
        <v>1</v>
      </c>
      <c r="I218" s="14" t="n">
        <v>0.2317</v>
      </c>
      <c r="J218" s="25" t="s">
        <v>59</v>
      </c>
      <c r="K218" s="25"/>
      <c r="L218" s="25" t="s">
        <v>59</v>
      </c>
      <c r="M218" s="25"/>
      <c r="N218" s="25" t="s">
        <v>59</v>
      </c>
      <c r="O218" s="25"/>
      <c r="P218" s="14" t="n">
        <v>0.2317</v>
      </c>
      <c r="Q218" s="14" t="n">
        <f aca="false">IF(AND($J218="Yes",$G218&lt;&gt;"Vendor day rates"),$I218-0.4*$P218,0)</f>
        <v>0</v>
      </c>
      <c r="R218" s="26" t="n">
        <f aca="false">IFERROR(MATCH($K218,MonthList,0),0)</f>
        <v>0</v>
      </c>
      <c r="S218" s="14" t="n">
        <f aca="false">IF(OR($J218&lt;&gt;"Yes",$K218=""),0,$Q218*MAX(0,7-$R218)/12)</f>
        <v>0</v>
      </c>
      <c r="T218" s="14" t="n">
        <f aca="false">IF(OR($J218&lt;&gt;"Yes",$K218=""),0,$Q218*IF($R218&lt;=7,12,19-$R218)/12)</f>
        <v>0</v>
      </c>
      <c r="U218" s="14" t="n">
        <f aca="false">IF(AND($L218="Yes",$G218&lt;&gt;"Vendor day rates"),$I218-0.4*$P218,0)</f>
        <v>0</v>
      </c>
      <c r="V218" s="26" t="n">
        <f aca="false">IFERROR(MATCH($M218,MonthList,0),0)</f>
        <v>0</v>
      </c>
      <c r="W218" s="14" t="n">
        <f aca="false">IF(OR($L218&lt;&gt;"Yes",$M218=""),0,$U218*MAX(0,7-$V218)/12)</f>
        <v>0</v>
      </c>
      <c r="X218" s="14" t="n">
        <f aca="false">IF(OR($L218&lt;&gt;"Yes",$M218=""),0,$U218*IF($V218&lt;=7,12,19-$V218)/12)</f>
        <v>0</v>
      </c>
      <c r="Y218" s="14" t="n">
        <f aca="false">IF(AND($N218="Yes",$G218&lt;&gt;"Vendor day rates"),$I218-0.4*$P218,0)</f>
        <v>0</v>
      </c>
      <c r="Z218" s="26" t="n">
        <f aca="false">IFERROR(MATCH($O218,MonthList,0),0)</f>
        <v>0</v>
      </c>
      <c r="AA218" s="14" t="n">
        <f aca="false">IF(OR($N218&lt;&gt;"Yes",$O218=""),0,$Y218*MAX(0,7-$Z218)/12)</f>
        <v>0</v>
      </c>
      <c r="AB218" s="14" t="n">
        <f aca="false">IF(OR($N218&lt;&gt;"Yes",$O218=""),0,$Y218*IF($Z218&lt;=7,12,19-$Z218)/12)</f>
        <v>0</v>
      </c>
      <c r="AC218" s="26" t="str">
        <f aca="false">IF(OR($J218="Yes",$L218="Yes",$N218="Yes"),"Yes","No")</f>
        <v>No</v>
      </c>
      <c r="AD218" s="14" t="n">
        <f aca="false">MAX($Q218,$U218,$Y218)</f>
        <v>0</v>
      </c>
      <c r="AE218" s="26" t="n">
        <f aca="false">$AD218+ROW()*0.000000001</f>
        <v>2.18E-007</v>
      </c>
      <c r="AF218" s="26" t="str">
        <f aca="false">IF($J218="Yes","A","")&amp;IF($L218="Yes","B","")&amp;IF($N218="Yes","C","")</f>
        <v/>
      </c>
    </row>
    <row r="219" customFormat="false" ht="15" hidden="false" customHeight="false" outlineLevel="0" collapsed="false">
      <c r="B219" s="22" t="s">
        <v>496</v>
      </c>
      <c r="C219" s="23" t="s">
        <v>54</v>
      </c>
      <c r="D219" s="23" t="s">
        <v>207</v>
      </c>
      <c r="E219" s="23" t="s">
        <v>404</v>
      </c>
      <c r="F219" s="22" t="s">
        <v>112</v>
      </c>
      <c r="G219" s="23" t="s">
        <v>58</v>
      </c>
      <c r="H219" s="24" t="n">
        <v>1</v>
      </c>
      <c r="I219" s="14" t="n">
        <v>0.1883</v>
      </c>
      <c r="J219" s="25" t="s">
        <v>59</v>
      </c>
      <c r="K219" s="25"/>
      <c r="L219" s="25" t="s">
        <v>59</v>
      </c>
      <c r="M219" s="25"/>
      <c r="N219" s="25" t="s">
        <v>59</v>
      </c>
      <c r="O219" s="25"/>
      <c r="P219" s="14" t="n">
        <v>0.1883</v>
      </c>
      <c r="Q219" s="14" t="n">
        <f aca="false">IF(AND($J219="Yes",$G219&lt;&gt;"Vendor day rates"),$I219-0.4*$P219,0)</f>
        <v>0</v>
      </c>
      <c r="R219" s="26" t="n">
        <f aca="false">IFERROR(MATCH($K219,MonthList,0),0)</f>
        <v>0</v>
      </c>
      <c r="S219" s="14" t="n">
        <f aca="false">IF(OR($J219&lt;&gt;"Yes",$K219=""),0,$Q219*MAX(0,7-$R219)/12)</f>
        <v>0</v>
      </c>
      <c r="T219" s="14" t="n">
        <f aca="false">IF(OR($J219&lt;&gt;"Yes",$K219=""),0,$Q219*IF($R219&lt;=7,12,19-$R219)/12)</f>
        <v>0</v>
      </c>
      <c r="U219" s="14" t="n">
        <f aca="false">IF(AND($L219="Yes",$G219&lt;&gt;"Vendor day rates"),$I219-0.4*$P219,0)</f>
        <v>0</v>
      </c>
      <c r="V219" s="26" t="n">
        <f aca="false">IFERROR(MATCH($M219,MonthList,0),0)</f>
        <v>0</v>
      </c>
      <c r="W219" s="14" t="n">
        <f aca="false">IF(OR($L219&lt;&gt;"Yes",$M219=""),0,$U219*MAX(0,7-$V219)/12)</f>
        <v>0</v>
      </c>
      <c r="X219" s="14" t="n">
        <f aca="false">IF(OR($L219&lt;&gt;"Yes",$M219=""),0,$U219*IF($V219&lt;=7,12,19-$V219)/12)</f>
        <v>0</v>
      </c>
      <c r="Y219" s="14" t="n">
        <f aca="false">IF(AND($N219="Yes",$G219&lt;&gt;"Vendor day rates"),$I219-0.4*$P219,0)</f>
        <v>0</v>
      </c>
      <c r="Z219" s="26" t="n">
        <f aca="false">IFERROR(MATCH($O219,MonthList,0),0)</f>
        <v>0</v>
      </c>
      <c r="AA219" s="14" t="n">
        <f aca="false">IF(OR($N219&lt;&gt;"Yes",$O219=""),0,$Y219*MAX(0,7-$Z219)/12)</f>
        <v>0</v>
      </c>
      <c r="AB219" s="14" t="n">
        <f aca="false">IF(OR($N219&lt;&gt;"Yes",$O219=""),0,$Y219*IF($Z219&lt;=7,12,19-$Z219)/12)</f>
        <v>0</v>
      </c>
      <c r="AC219" s="26" t="str">
        <f aca="false">IF(OR($J219="Yes",$L219="Yes",$N219="Yes"),"Yes","No")</f>
        <v>No</v>
      </c>
      <c r="AD219" s="14" t="n">
        <f aca="false">MAX($Q219,$U219,$Y219)</f>
        <v>0</v>
      </c>
      <c r="AE219" s="26" t="n">
        <f aca="false">$AD219+ROW()*0.000000001</f>
        <v>2.19E-007</v>
      </c>
      <c r="AF219" s="26" t="str">
        <f aca="false">IF($J219="Yes","A","")&amp;IF($L219="Yes","B","")&amp;IF($N219="Yes","C","")</f>
        <v/>
      </c>
    </row>
    <row r="220" customFormat="false" ht="15" hidden="false" customHeight="false" outlineLevel="0" collapsed="false">
      <c r="B220" s="22" t="s">
        <v>497</v>
      </c>
      <c r="C220" s="23" t="s">
        <v>498</v>
      </c>
      <c r="D220" s="23" t="s">
        <v>158</v>
      </c>
      <c r="E220" s="23" t="s">
        <v>491</v>
      </c>
      <c r="F220" s="22" t="s">
        <v>57</v>
      </c>
      <c r="G220" s="23" t="s">
        <v>58</v>
      </c>
      <c r="H220" s="24" t="n">
        <v>1</v>
      </c>
      <c r="I220" s="14" t="n">
        <v>0.2492</v>
      </c>
      <c r="J220" s="25" t="s">
        <v>59</v>
      </c>
      <c r="K220" s="25"/>
      <c r="L220" s="25" t="s">
        <v>59</v>
      </c>
      <c r="M220" s="25"/>
      <c r="N220" s="25" t="s">
        <v>59</v>
      </c>
      <c r="O220" s="25"/>
      <c r="P220" s="14" t="n">
        <v>0.2492</v>
      </c>
      <c r="Q220" s="14" t="n">
        <f aca="false">IF(AND($J220="Yes",$G220&lt;&gt;"Vendor day rates"),$I220-0.4*$P220,0)</f>
        <v>0</v>
      </c>
      <c r="R220" s="26" t="n">
        <f aca="false">IFERROR(MATCH($K220,MonthList,0),0)</f>
        <v>0</v>
      </c>
      <c r="S220" s="14" t="n">
        <f aca="false">IF(OR($J220&lt;&gt;"Yes",$K220=""),0,$Q220*MAX(0,7-$R220)/12)</f>
        <v>0</v>
      </c>
      <c r="T220" s="14" t="n">
        <f aca="false">IF(OR($J220&lt;&gt;"Yes",$K220=""),0,$Q220*IF($R220&lt;=7,12,19-$R220)/12)</f>
        <v>0</v>
      </c>
      <c r="U220" s="14" t="n">
        <f aca="false">IF(AND($L220="Yes",$G220&lt;&gt;"Vendor day rates"),$I220-0.4*$P220,0)</f>
        <v>0</v>
      </c>
      <c r="V220" s="26" t="n">
        <f aca="false">IFERROR(MATCH($M220,MonthList,0),0)</f>
        <v>0</v>
      </c>
      <c r="W220" s="14" t="n">
        <f aca="false">IF(OR($L220&lt;&gt;"Yes",$M220=""),0,$U220*MAX(0,7-$V220)/12)</f>
        <v>0</v>
      </c>
      <c r="X220" s="14" t="n">
        <f aca="false">IF(OR($L220&lt;&gt;"Yes",$M220=""),0,$U220*IF($V220&lt;=7,12,19-$V220)/12)</f>
        <v>0</v>
      </c>
      <c r="Y220" s="14" t="n">
        <f aca="false">IF(AND($N220="Yes",$G220&lt;&gt;"Vendor day rates"),$I220-0.4*$P220,0)</f>
        <v>0</v>
      </c>
      <c r="Z220" s="26" t="n">
        <f aca="false">IFERROR(MATCH($O220,MonthList,0),0)</f>
        <v>0</v>
      </c>
      <c r="AA220" s="14" t="n">
        <f aca="false">IF(OR($N220&lt;&gt;"Yes",$O220=""),0,$Y220*MAX(0,7-$Z220)/12)</f>
        <v>0</v>
      </c>
      <c r="AB220" s="14" t="n">
        <f aca="false">IF(OR($N220&lt;&gt;"Yes",$O220=""),0,$Y220*IF($Z220&lt;=7,12,19-$Z220)/12)</f>
        <v>0</v>
      </c>
      <c r="AC220" s="26" t="str">
        <f aca="false">IF(OR($J220="Yes",$L220="Yes",$N220="Yes"),"Yes","No")</f>
        <v>No</v>
      </c>
      <c r="AD220" s="14" t="n">
        <f aca="false">MAX($Q220,$U220,$Y220)</f>
        <v>0</v>
      </c>
      <c r="AE220" s="26" t="n">
        <f aca="false">$AD220+ROW()*0.000000001</f>
        <v>2.2E-007</v>
      </c>
      <c r="AF220" s="26" t="str">
        <f aca="false">IF($J220="Yes","A","")&amp;IF($L220="Yes","B","")&amp;IF($N220="Yes","C","")</f>
        <v/>
      </c>
    </row>
    <row r="221" customFormat="false" ht="15" hidden="false" customHeight="false" outlineLevel="0" collapsed="false">
      <c r="B221" s="22" t="s">
        <v>499</v>
      </c>
      <c r="C221" s="23" t="s">
        <v>54</v>
      </c>
      <c r="D221" s="23" t="s">
        <v>207</v>
      </c>
      <c r="E221" s="23" t="s">
        <v>388</v>
      </c>
      <c r="F221" s="22" t="s">
        <v>57</v>
      </c>
      <c r="G221" s="23" t="s">
        <v>58</v>
      </c>
      <c r="H221" s="24" t="n">
        <v>1</v>
      </c>
      <c r="I221" s="14" t="n">
        <v>0.2666</v>
      </c>
      <c r="J221" s="25" t="s">
        <v>59</v>
      </c>
      <c r="K221" s="25"/>
      <c r="L221" s="25" t="s">
        <v>59</v>
      </c>
      <c r="M221" s="25"/>
      <c r="N221" s="25" t="s">
        <v>59</v>
      </c>
      <c r="O221" s="25"/>
      <c r="P221" s="14" t="n">
        <v>0.2666</v>
      </c>
      <c r="Q221" s="14" t="n">
        <f aca="false">IF(AND($J221="Yes",$G221&lt;&gt;"Vendor day rates"),$I221-0.4*$P221,0)</f>
        <v>0</v>
      </c>
      <c r="R221" s="26" t="n">
        <f aca="false">IFERROR(MATCH($K221,MonthList,0),0)</f>
        <v>0</v>
      </c>
      <c r="S221" s="14" t="n">
        <f aca="false">IF(OR($J221&lt;&gt;"Yes",$K221=""),0,$Q221*MAX(0,7-$R221)/12)</f>
        <v>0</v>
      </c>
      <c r="T221" s="14" t="n">
        <f aca="false">IF(OR($J221&lt;&gt;"Yes",$K221=""),0,$Q221*IF($R221&lt;=7,12,19-$R221)/12)</f>
        <v>0</v>
      </c>
      <c r="U221" s="14" t="n">
        <f aca="false">IF(AND($L221="Yes",$G221&lt;&gt;"Vendor day rates"),$I221-0.4*$P221,0)</f>
        <v>0</v>
      </c>
      <c r="V221" s="26" t="n">
        <f aca="false">IFERROR(MATCH($M221,MonthList,0),0)</f>
        <v>0</v>
      </c>
      <c r="W221" s="14" t="n">
        <f aca="false">IF(OR($L221&lt;&gt;"Yes",$M221=""),0,$U221*MAX(0,7-$V221)/12)</f>
        <v>0</v>
      </c>
      <c r="X221" s="14" t="n">
        <f aca="false">IF(OR($L221&lt;&gt;"Yes",$M221=""),0,$U221*IF($V221&lt;=7,12,19-$V221)/12)</f>
        <v>0</v>
      </c>
      <c r="Y221" s="14" t="n">
        <f aca="false">IF(AND($N221="Yes",$G221&lt;&gt;"Vendor day rates"),$I221-0.4*$P221,0)</f>
        <v>0</v>
      </c>
      <c r="Z221" s="26" t="n">
        <f aca="false">IFERROR(MATCH($O221,MonthList,0),0)</f>
        <v>0</v>
      </c>
      <c r="AA221" s="14" t="n">
        <f aca="false">IF(OR($N221&lt;&gt;"Yes",$O221=""),0,$Y221*MAX(0,7-$Z221)/12)</f>
        <v>0</v>
      </c>
      <c r="AB221" s="14" t="n">
        <f aca="false">IF(OR($N221&lt;&gt;"Yes",$O221=""),0,$Y221*IF($Z221&lt;=7,12,19-$Z221)/12)</f>
        <v>0</v>
      </c>
      <c r="AC221" s="26" t="str">
        <f aca="false">IF(OR($J221="Yes",$L221="Yes",$N221="Yes"),"Yes","No")</f>
        <v>No</v>
      </c>
      <c r="AD221" s="14" t="n">
        <f aca="false">MAX($Q221,$U221,$Y221)</f>
        <v>0</v>
      </c>
      <c r="AE221" s="26" t="n">
        <f aca="false">$AD221+ROW()*0.000000001</f>
        <v>2.21E-007</v>
      </c>
      <c r="AF221" s="26" t="str">
        <f aca="false">IF($J221="Yes","A","")&amp;IF($L221="Yes","B","")&amp;IF($N221="Yes","C","")</f>
        <v/>
      </c>
    </row>
    <row r="222" customFormat="false" ht="15" hidden="false" customHeight="false" outlineLevel="0" collapsed="false">
      <c r="B222" s="22" t="s">
        <v>500</v>
      </c>
      <c r="C222" s="23" t="s">
        <v>501</v>
      </c>
      <c r="D222" s="23" t="s">
        <v>158</v>
      </c>
      <c r="E222" s="23" t="s">
        <v>447</v>
      </c>
      <c r="F222" s="22" t="s">
        <v>112</v>
      </c>
      <c r="G222" s="23" t="s">
        <v>58</v>
      </c>
      <c r="H222" s="24" t="n">
        <v>1</v>
      </c>
      <c r="I222" s="14" t="n">
        <v>0.2023</v>
      </c>
      <c r="J222" s="25" t="s">
        <v>59</v>
      </c>
      <c r="K222" s="25"/>
      <c r="L222" s="25" t="s">
        <v>59</v>
      </c>
      <c r="M222" s="25"/>
      <c r="N222" s="25" t="s">
        <v>59</v>
      </c>
      <c r="O222" s="25"/>
      <c r="P222" s="14" t="n">
        <v>0.2023</v>
      </c>
      <c r="Q222" s="14" t="n">
        <f aca="false">IF(AND($J222="Yes",$G222&lt;&gt;"Vendor day rates"),$I222-0.4*$P222,0)</f>
        <v>0</v>
      </c>
      <c r="R222" s="26" t="n">
        <f aca="false">IFERROR(MATCH($K222,MonthList,0),0)</f>
        <v>0</v>
      </c>
      <c r="S222" s="14" t="n">
        <f aca="false">IF(OR($J222&lt;&gt;"Yes",$K222=""),0,$Q222*MAX(0,7-$R222)/12)</f>
        <v>0</v>
      </c>
      <c r="T222" s="14" t="n">
        <f aca="false">IF(OR($J222&lt;&gt;"Yes",$K222=""),0,$Q222*IF($R222&lt;=7,12,19-$R222)/12)</f>
        <v>0</v>
      </c>
      <c r="U222" s="14" t="n">
        <f aca="false">IF(AND($L222="Yes",$G222&lt;&gt;"Vendor day rates"),$I222-0.4*$P222,0)</f>
        <v>0</v>
      </c>
      <c r="V222" s="26" t="n">
        <f aca="false">IFERROR(MATCH($M222,MonthList,0),0)</f>
        <v>0</v>
      </c>
      <c r="W222" s="14" t="n">
        <f aca="false">IF(OR($L222&lt;&gt;"Yes",$M222=""),0,$U222*MAX(0,7-$V222)/12)</f>
        <v>0</v>
      </c>
      <c r="X222" s="14" t="n">
        <f aca="false">IF(OR($L222&lt;&gt;"Yes",$M222=""),0,$U222*IF($V222&lt;=7,12,19-$V222)/12)</f>
        <v>0</v>
      </c>
      <c r="Y222" s="14" t="n">
        <f aca="false">IF(AND($N222="Yes",$G222&lt;&gt;"Vendor day rates"),$I222-0.4*$P222,0)</f>
        <v>0</v>
      </c>
      <c r="Z222" s="26" t="n">
        <f aca="false">IFERROR(MATCH($O222,MonthList,0),0)</f>
        <v>0</v>
      </c>
      <c r="AA222" s="14" t="n">
        <f aca="false">IF(OR($N222&lt;&gt;"Yes",$O222=""),0,$Y222*MAX(0,7-$Z222)/12)</f>
        <v>0</v>
      </c>
      <c r="AB222" s="14" t="n">
        <f aca="false">IF(OR($N222&lt;&gt;"Yes",$O222=""),0,$Y222*IF($Z222&lt;=7,12,19-$Z222)/12)</f>
        <v>0</v>
      </c>
      <c r="AC222" s="26" t="str">
        <f aca="false">IF(OR($J222="Yes",$L222="Yes",$N222="Yes"),"Yes","No")</f>
        <v>No</v>
      </c>
      <c r="AD222" s="14" t="n">
        <f aca="false">MAX($Q222,$U222,$Y222)</f>
        <v>0</v>
      </c>
      <c r="AE222" s="26" t="n">
        <f aca="false">$AD222+ROW()*0.000000001</f>
        <v>2.22E-007</v>
      </c>
      <c r="AF222" s="26" t="str">
        <f aca="false">IF($J222="Yes","A","")&amp;IF($L222="Yes","B","")&amp;IF($N222="Yes","C","")</f>
        <v/>
      </c>
    </row>
    <row r="223" customFormat="false" ht="15" hidden="false" customHeight="false" outlineLevel="0" collapsed="false">
      <c r="B223" s="22" t="s">
        <v>502</v>
      </c>
      <c r="C223" s="23" t="s">
        <v>54</v>
      </c>
      <c r="D223" s="23" t="s">
        <v>204</v>
      </c>
      <c r="E223" s="23" t="s">
        <v>287</v>
      </c>
      <c r="F223" s="22" t="s">
        <v>57</v>
      </c>
      <c r="G223" s="23" t="s">
        <v>58</v>
      </c>
      <c r="H223" s="24" t="n">
        <v>1</v>
      </c>
      <c r="I223" s="14" t="n">
        <v>0.254</v>
      </c>
      <c r="J223" s="25" t="s">
        <v>59</v>
      </c>
      <c r="K223" s="25"/>
      <c r="L223" s="25" t="s">
        <v>59</v>
      </c>
      <c r="M223" s="25"/>
      <c r="N223" s="25" t="s">
        <v>59</v>
      </c>
      <c r="O223" s="25"/>
      <c r="P223" s="14" t="n">
        <v>0.254</v>
      </c>
      <c r="Q223" s="14" t="n">
        <f aca="false">IF(AND($J223="Yes",$G223&lt;&gt;"Vendor day rates"),$I223-0.4*$P223,0)</f>
        <v>0</v>
      </c>
      <c r="R223" s="26" t="n">
        <f aca="false">IFERROR(MATCH($K223,MonthList,0),0)</f>
        <v>0</v>
      </c>
      <c r="S223" s="14" t="n">
        <f aca="false">IF(OR($J223&lt;&gt;"Yes",$K223=""),0,$Q223*MAX(0,7-$R223)/12)</f>
        <v>0</v>
      </c>
      <c r="T223" s="14" t="n">
        <f aca="false">IF(OR($J223&lt;&gt;"Yes",$K223=""),0,$Q223*IF($R223&lt;=7,12,19-$R223)/12)</f>
        <v>0</v>
      </c>
      <c r="U223" s="14" t="n">
        <f aca="false">IF(AND($L223="Yes",$G223&lt;&gt;"Vendor day rates"),$I223-0.4*$P223,0)</f>
        <v>0</v>
      </c>
      <c r="V223" s="26" t="n">
        <f aca="false">IFERROR(MATCH($M223,MonthList,0),0)</f>
        <v>0</v>
      </c>
      <c r="W223" s="14" t="n">
        <f aca="false">IF(OR($L223&lt;&gt;"Yes",$M223=""),0,$U223*MAX(0,7-$V223)/12)</f>
        <v>0</v>
      </c>
      <c r="X223" s="14" t="n">
        <f aca="false">IF(OR($L223&lt;&gt;"Yes",$M223=""),0,$U223*IF($V223&lt;=7,12,19-$V223)/12)</f>
        <v>0</v>
      </c>
      <c r="Y223" s="14" t="n">
        <f aca="false">IF(AND($N223="Yes",$G223&lt;&gt;"Vendor day rates"),$I223-0.4*$P223,0)</f>
        <v>0</v>
      </c>
      <c r="Z223" s="26" t="n">
        <f aca="false">IFERROR(MATCH($O223,MonthList,0),0)</f>
        <v>0</v>
      </c>
      <c r="AA223" s="14" t="n">
        <f aca="false">IF(OR($N223&lt;&gt;"Yes",$O223=""),0,$Y223*MAX(0,7-$Z223)/12)</f>
        <v>0</v>
      </c>
      <c r="AB223" s="14" t="n">
        <f aca="false">IF(OR($N223&lt;&gt;"Yes",$O223=""),0,$Y223*IF($Z223&lt;=7,12,19-$Z223)/12)</f>
        <v>0</v>
      </c>
      <c r="AC223" s="26" t="str">
        <f aca="false">IF(OR($J223="Yes",$L223="Yes",$N223="Yes"),"Yes","No")</f>
        <v>No</v>
      </c>
      <c r="AD223" s="14" t="n">
        <f aca="false">MAX($Q223,$U223,$Y223)</f>
        <v>0</v>
      </c>
      <c r="AE223" s="26" t="n">
        <f aca="false">$AD223+ROW()*0.000000001</f>
        <v>2.23E-007</v>
      </c>
      <c r="AF223" s="26" t="str">
        <f aca="false">IF($J223="Yes","A","")&amp;IF($L223="Yes","B","")&amp;IF($N223="Yes","C","")</f>
        <v/>
      </c>
    </row>
    <row r="224" customFormat="false" ht="15" hidden="false" customHeight="false" outlineLevel="0" collapsed="false">
      <c r="B224" s="22" t="s">
        <v>503</v>
      </c>
      <c r="C224" s="23" t="s">
        <v>504</v>
      </c>
      <c r="D224" s="23" t="s">
        <v>204</v>
      </c>
      <c r="E224" s="23" t="s">
        <v>287</v>
      </c>
      <c r="F224" s="22" t="s">
        <v>57</v>
      </c>
      <c r="G224" s="23" t="s">
        <v>58</v>
      </c>
      <c r="H224" s="24" t="n">
        <v>1</v>
      </c>
      <c r="I224" s="14" t="n">
        <v>0.3667</v>
      </c>
      <c r="J224" s="25" t="s">
        <v>59</v>
      </c>
      <c r="K224" s="25"/>
      <c r="L224" s="25" t="s">
        <v>59</v>
      </c>
      <c r="M224" s="25"/>
      <c r="N224" s="25" t="s">
        <v>59</v>
      </c>
      <c r="O224" s="25"/>
      <c r="P224" s="14" t="n">
        <v>0.3667</v>
      </c>
      <c r="Q224" s="14" t="n">
        <f aca="false">IF(AND($J224="Yes",$G224&lt;&gt;"Vendor day rates"),$I224-0.4*$P224,0)</f>
        <v>0</v>
      </c>
      <c r="R224" s="26" t="n">
        <f aca="false">IFERROR(MATCH($K224,MonthList,0),0)</f>
        <v>0</v>
      </c>
      <c r="S224" s="14" t="n">
        <f aca="false">IF(OR($J224&lt;&gt;"Yes",$K224=""),0,$Q224*MAX(0,7-$R224)/12)</f>
        <v>0</v>
      </c>
      <c r="T224" s="14" t="n">
        <f aca="false">IF(OR($J224&lt;&gt;"Yes",$K224=""),0,$Q224*IF($R224&lt;=7,12,19-$R224)/12)</f>
        <v>0</v>
      </c>
      <c r="U224" s="14" t="n">
        <f aca="false">IF(AND($L224="Yes",$G224&lt;&gt;"Vendor day rates"),$I224-0.4*$P224,0)</f>
        <v>0</v>
      </c>
      <c r="V224" s="26" t="n">
        <f aca="false">IFERROR(MATCH($M224,MonthList,0),0)</f>
        <v>0</v>
      </c>
      <c r="W224" s="14" t="n">
        <f aca="false">IF(OR($L224&lt;&gt;"Yes",$M224=""),0,$U224*MAX(0,7-$V224)/12)</f>
        <v>0</v>
      </c>
      <c r="X224" s="14" t="n">
        <f aca="false">IF(OR($L224&lt;&gt;"Yes",$M224=""),0,$U224*IF($V224&lt;=7,12,19-$V224)/12)</f>
        <v>0</v>
      </c>
      <c r="Y224" s="14" t="n">
        <f aca="false">IF(AND($N224="Yes",$G224&lt;&gt;"Vendor day rates"),$I224-0.4*$P224,0)</f>
        <v>0</v>
      </c>
      <c r="Z224" s="26" t="n">
        <f aca="false">IFERROR(MATCH($O224,MonthList,0),0)</f>
        <v>0</v>
      </c>
      <c r="AA224" s="14" t="n">
        <f aca="false">IF(OR($N224&lt;&gt;"Yes",$O224=""),0,$Y224*MAX(0,7-$Z224)/12)</f>
        <v>0</v>
      </c>
      <c r="AB224" s="14" t="n">
        <f aca="false">IF(OR($N224&lt;&gt;"Yes",$O224=""),0,$Y224*IF($Z224&lt;=7,12,19-$Z224)/12)</f>
        <v>0</v>
      </c>
      <c r="AC224" s="26" t="str">
        <f aca="false">IF(OR($J224="Yes",$L224="Yes",$N224="Yes"),"Yes","No")</f>
        <v>No</v>
      </c>
      <c r="AD224" s="14" t="n">
        <f aca="false">MAX($Q224,$U224,$Y224)</f>
        <v>0</v>
      </c>
      <c r="AE224" s="26" t="n">
        <f aca="false">$AD224+ROW()*0.000000001</f>
        <v>2.24E-007</v>
      </c>
      <c r="AF224" s="26" t="str">
        <f aca="false">IF($J224="Yes","A","")&amp;IF($L224="Yes","B","")&amp;IF($N224="Yes","C","")</f>
        <v/>
      </c>
    </row>
    <row r="225" customFormat="false" ht="15" hidden="false" customHeight="false" outlineLevel="0" collapsed="false">
      <c r="B225" s="22" t="s">
        <v>505</v>
      </c>
      <c r="C225" s="23" t="s">
        <v>425</v>
      </c>
      <c r="D225" s="23" t="s">
        <v>204</v>
      </c>
      <c r="E225" s="23" t="s">
        <v>365</v>
      </c>
      <c r="F225" s="22" t="s">
        <v>57</v>
      </c>
      <c r="G225" s="23" t="s">
        <v>58</v>
      </c>
      <c r="H225" s="24" t="n">
        <v>1</v>
      </c>
      <c r="I225" s="14" t="n">
        <v>0.3521</v>
      </c>
      <c r="J225" s="25" t="s">
        <v>59</v>
      </c>
      <c r="K225" s="25"/>
      <c r="L225" s="25" t="s">
        <v>59</v>
      </c>
      <c r="M225" s="25"/>
      <c r="N225" s="25" t="s">
        <v>59</v>
      </c>
      <c r="O225" s="25"/>
      <c r="P225" s="14" t="n">
        <v>0.3521</v>
      </c>
      <c r="Q225" s="14" t="n">
        <f aca="false">IF(AND($J225="Yes",$G225&lt;&gt;"Vendor day rates"),$I225-0.4*$P225,0)</f>
        <v>0</v>
      </c>
      <c r="R225" s="26" t="n">
        <f aca="false">IFERROR(MATCH($K225,MonthList,0),0)</f>
        <v>0</v>
      </c>
      <c r="S225" s="14" t="n">
        <f aca="false">IF(OR($J225&lt;&gt;"Yes",$K225=""),0,$Q225*MAX(0,7-$R225)/12)</f>
        <v>0</v>
      </c>
      <c r="T225" s="14" t="n">
        <f aca="false">IF(OR($J225&lt;&gt;"Yes",$K225=""),0,$Q225*IF($R225&lt;=7,12,19-$R225)/12)</f>
        <v>0</v>
      </c>
      <c r="U225" s="14" t="n">
        <f aca="false">IF(AND($L225="Yes",$G225&lt;&gt;"Vendor day rates"),$I225-0.4*$P225,0)</f>
        <v>0</v>
      </c>
      <c r="V225" s="26" t="n">
        <f aca="false">IFERROR(MATCH($M225,MonthList,0),0)</f>
        <v>0</v>
      </c>
      <c r="W225" s="14" t="n">
        <f aca="false">IF(OR($L225&lt;&gt;"Yes",$M225=""),0,$U225*MAX(0,7-$V225)/12)</f>
        <v>0</v>
      </c>
      <c r="X225" s="14" t="n">
        <f aca="false">IF(OR($L225&lt;&gt;"Yes",$M225=""),0,$U225*IF($V225&lt;=7,12,19-$V225)/12)</f>
        <v>0</v>
      </c>
      <c r="Y225" s="14" t="n">
        <f aca="false">IF(AND($N225="Yes",$G225&lt;&gt;"Vendor day rates"),$I225-0.4*$P225,0)</f>
        <v>0</v>
      </c>
      <c r="Z225" s="26" t="n">
        <f aca="false">IFERROR(MATCH($O225,MonthList,0),0)</f>
        <v>0</v>
      </c>
      <c r="AA225" s="14" t="n">
        <f aca="false">IF(OR($N225&lt;&gt;"Yes",$O225=""),0,$Y225*MAX(0,7-$Z225)/12)</f>
        <v>0</v>
      </c>
      <c r="AB225" s="14" t="n">
        <f aca="false">IF(OR($N225&lt;&gt;"Yes",$O225=""),0,$Y225*IF($Z225&lt;=7,12,19-$Z225)/12)</f>
        <v>0</v>
      </c>
      <c r="AC225" s="26" t="str">
        <f aca="false">IF(OR($J225="Yes",$L225="Yes",$N225="Yes"),"Yes","No")</f>
        <v>No</v>
      </c>
      <c r="AD225" s="14" t="n">
        <f aca="false">MAX($Q225,$U225,$Y225)</f>
        <v>0</v>
      </c>
      <c r="AE225" s="26" t="n">
        <f aca="false">$AD225+ROW()*0.000000001</f>
        <v>2.25E-007</v>
      </c>
      <c r="AF225" s="26" t="str">
        <f aca="false">IF($J225="Yes","A","")&amp;IF($L225="Yes","B","")&amp;IF($N225="Yes","C","")</f>
        <v/>
      </c>
    </row>
    <row r="226" customFormat="false" ht="15" hidden="false" customHeight="false" outlineLevel="0" collapsed="false">
      <c r="B226" s="22" t="s">
        <v>506</v>
      </c>
      <c r="C226" s="23" t="s">
        <v>54</v>
      </c>
      <c r="D226" s="23" t="s">
        <v>204</v>
      </c>
      <c r="E226" s="23" t="s">
        <v>507</v>
      </c>
      <c r="F226" s="22" t="s">
        <v>57</v>
      </c>
      <c r="G226" s="23" t="s">
        <v>149</v>
      </c>
      <c r="H226" s="24" t="n">
        <v>1</v>
      </c>
      <c r="I226" s="14" t="n">
        <v>0.2317</v>
      </c>
      <c r="J226" s="25" t="s">
        <v>59</v>
      </c>
      <c r="K226" s="25"/>
      <c r="L226" s="25" t="s">
        <v>59</v>
      </c>
      <c r="M226" s="25"/>
      <c r="N226" s="25" t="s">
        <v>59</v>
      </c>
      <c r="O226" s="25"/>
      <c r="P226" s="14" t="n">
        <v>0.2317</v>
      </c>
      <c r="Q226" s="14" t="n">
        <f aca="false">IF(AND($J226="Yes",$G226&lt;&gt;"Vendor day rates"),$I226-0.4*$P226,0)</f>
        <v>0</v>
      </c>
      <c r="R226" s="26" t="n">
        <f aca="false">IFERROR(MATCH($K226,MonthList,0),0)</f>
        <v>0</v>
      </c>
      <c r="S226" s="14" t="n">
        <f aca="false">IF(OR($J226&lt;&gt;"Yes",$K226=""),0,$Q226*MAX(0,7-$R226)/12)</f>
        <v>0</v>
      </c>
      <c r="T226" s="14" t="n">
        <f aca="false">IF(OR($J226&lt;&gt;"Yes",$K226=""),0,$Q226*IF($R226&lt;=7,12,19-$R226)/12)</f>
        <v>0</v>
      </c>
      <c r="U226" s="14" t="n">
        <f aca="false">IF(AND($L226="Yes",$G226&lt;&gt;"Vendor day rates"),$I226-0.4*$P226,0)</f>
        <v>0</v>
      </c>
      <c r="V226" s="26" t="n">
        <f aca="false">IFERROR(MATCH($M226,MonthList,0),0)</f>
        <v>0</v>
      </c>
      <c r="W226" s="14" t="n">
        <f aca="false">IF(OR($L226&lt;&gt;"Yes",$M226=""),0,$U226*MAX(0,7-$V226)/12)</f>
        <v>0</v>
      </c>
      <c r="X226" s="14" t="n">
        <f aca="false">IF(OR($L226&lt;&gt;"Yes",$M226=""),0,$U226*IF($V226&lt;=7,12,19-$V226)/12)</f>
        <v>0</v>
      </c>
      <c r="Y226" s="14" t="n">
        <f aca="false">IF(AND($N226="Yes",$G226&lt;&gt;"Vendor day rates"),$I226-0.4*$P226,0)</f>
        <v>0</v>
      </c>
      <c r="Z226" s="26" t="n">
        <f aca="false">IFERROR(MATCH($O226,MonthList,0),0)</f>
        <v>0</v>
      </c>
      <c r="AA226" s="14" t="n">
        <f aca="false">IF(OR($N226&lt;&gt;"Yes",$O226=""),0,$Y226*MAX(0,7-$Z226)/12)</f>
        <v>0</v>
      </c>
      <c r="AB226" s="14" t="n">
        <f aca="false">IF(OR($N226&lt;&gt;"Yes",$O226=""),0,$Y226*IF($Z226&lt;=7,12,19-$Z226)/12)</f>
        <v>0</v>
      </c>
      <c r="AC226" s="26" t="str">
        <f aca="false">IF(OR($J226="Yes",$L226="Yes",$N226="Yes"),"Yes","No")</f>
        <v>No</v>
      </c>
      <c r="AD226" s="14" t="n">
        <f aca="false">MAX($Q226,$U226,$Y226)</f>
        <v>0</v>
      </c>
      <c r="AE226" s="26" t="n">
        <f aca="false">$AD226+ROW()*0.000000001</f>
        <v>2.26E-007</v>
      </c>
      <c r="AF226" s="26" t="str">
        <f aca="false">IF($J226="Yes","A","")&amp;IF($L226="Yes","B","")&amp;IF($N226="Yes","C","")</f>
        <v/>
      </c>
    </row>
    <row r="227" customFormat="false" ht="15" hidden="false" customHeight="false" outlineLevel="0" collapsed="false">
      <c r="B227" s="22" t="s">
        <v>508</v>
      </c>
      <c r="C227" s="23" t="s">
        <v>54</v>
      </c>
      <c r="D227" s="23" t="s">
        <v>204</v>
      </c>
      <c r="E227" s="23" t="s">
        <v>365</v>
      </c>
      <c r="F227" s="22" t="s">
        <v>57</v>
      </c>
      <c r="G227" s="23" t="s">
        <v>149</v>
      </c>
      <c r="H227" s="24" t="n">
        <v>1</v>
      </c>
      <c r="I227" s="14" t="n">
        <v>0.2317</v>
      </c>
      <c r="J227" s="25" t="s">
        <v>59</v>
      </c>
      <c r="K227" s="25"/>
      <c r="L227" s="25" t="s">
        <v>59</v>
      </c>
      <c r="M227" s="25"/>
      <c r="N227" s="25" t="s">
        <v>59</v>
      </c>
      <c r="O227" s="25"/>
      <c r="P227" s="14" t="n">
        <v>0.2317</v>
      </c>
      <c r="Q227" s="14" t="n">
        <f aca="false">IF(AND($J227="Yes",$G227&lt;&gt;"Vendor day rates"),$I227-0.4*$P227,0)</f>
        <v>0</v>
      </c>
      <c r="R227" s="26" t="n">
        <f aca="false">IFERROR(MATCH($K227,MonthList,0),0)</f>
        <v>0</v>
      </c>
      <c r="S227" s="14" t="n">
        <f aca="false">IF(OR($J227&lt;&gt;"Yes",$K227=""),0,$Q227*MAX(0,7-$R227)/12)</f>
        <v>0</v>
      </c>
      <c r="T227" s="14" t="n">
        <f aca="false">IF(OR($J227&lt;&gt;"Yes",$K227=""),0,$Q227*IF($R227&lt;=7,12,19-$R227)/12)</f>
        <v>0</v>
      </c>
      <c r="U227" s="14" t="n">
        <f aca="false">IF(AND($L227="Yes",$G227&lt;&gt;"Vendor day rates"),$I227-0.4*$P227,0)</f>
        <v>0</v>
      </c>
      <c r="V227" s="26" t="n">
        <f aca="false">IFERROR(MATCH($M227,MonthList,0),0)</f>
        <v>0</v>
      </c>
      <c r="W227" s="14" t="n">
        <f aca="false">IF(OR($L227&lt;&gt;"Yes",$M227=""),0,$U227*MAX(0,7-$V227)/12)</f>
        <v>0</v>
      </c>
      <c r="X227" s="14" t="n">
        <f aca="false">IF(OR($L227&lt;&gt;"Yes",$M227=""),0,$U227*IF($V227&lt;=7,12,19-$V227)/12)</f>
        <v>0</v>
      </c>
      <c r="Y227" s="14" t="n">
        <f aca="false">IF(AND($N227="Yes",$G227&lt;&gt;"Vendor day rates"),$I227-0.4*$P227,0)</f>
        <v>0</v>
      </c>
      <c r="Z227" s="26" t="n">
        <f aca="false">IFERROR(MATCH($O227,MonthList,0),0)</f>
        <v>0</v>
      </c>
      <c r="AA227" s="14" t="n">
        <f aca="false">IF(OR($N227&lt;&gt;"Yes",$O227=""),0,$Y227*MAX(0,7-$Z227)/12)</f>
        <v>0</v>
      </c>
      <c r="AB227" s="14" t="n">
        <f aca="false">IF(OR($N227&lt;&gt;"Yes",$O227=""),0,$Y227*IF($Z227&lt;=7,12,19-$Z227)/12)</f>
        <v>0</v>
      </c>
      <c r="AC227" s="26" t="str">
        <f aca="false">IF(OR($J227="Yes",$L227="Yes",$N227="Yes"),"Yes","No")</f>
        <v>No</v>
      </c>
      <c r="AD227" s="14" t="n">
        <f aca="false">MAX($Q227,$U227,$Y227)</f>
        <v>0</v>
      </c>
      <c r="AE227" s="26" t="n">
        <f aca="false">$AD227+ROW()*0.000000001</f>
        <v>2.27E-007</v>
      </c>
      <c r="AF227" s="26" t="str">
        <f aca="false">IF($J227="Yes","A","")&amp;IF($L227="Yes","B","")&amp;IF($N227="Yes","C","")</f>
        <v/>
      </c>
    </row>
    <row r="228" customFormat="false" ht="15" hidden="false" customHeight="false" outlineLevel="0" collapsed="false">
      <c r="B228" s="22" t="s">
        <v>509</v>
      </c>
      <c r="C228" s="23" t="s">
        <v>54</v>
      </c>
      <c r="D228" s="23" t="s">
        <v>457</v>
      </c>
      <c r="E228" s="23" t="s">
        <v>325</v>
      </c>
      <c r="F228" s="22" t="s">
        <v>57</v>
      </c>
      <c r="G228" s="23" t="s">
        <v>58</v>
      </c>
      <c r="H228" s="24" t="n">
        <v>1</v>
      </c>
      <c r="I228" s="14" t="n">
        <v>0.2475</v>
      </c>
      <c r="J228" s="25" t="s">
        <v>59</v>
      </c>
      <c r="K228" s="25"/>
      <c r="L228" s="25" t="s">
        <v>59</v>
      </c>
      <c r="M228" s="25"/>
      <c r="N228" s="25" t="s">
        <v>59</v>
      </c>
      <c r="O228" s="25"/>
      <c r="P228" s="14" t="n">
        <v>0.2475</v>
      </c>
      <c r="Q228" s="14" t="n">
        <f aca="false">IF(AND($J228="Yes",$G228&lt;&gt;"Vendor day rates"),$I228-0.4*$P228,0)</f>
        <v>0</v>
      </c>
      <c r="R228" s="26" t="n">
        <f aca="false">IFERROR(MATCH($K228,MonthList,0),0)</f>
        <v>0</v>
      </c>
      <c r="S228" s="14" t="n">
        <f aca="false">IF(OR($J228&lt;&gt;"Yes",$K228=""),0,$Q228*MAX(0,7-$R228)/12)</f>
        <v>0</v>
      </c>
      <c r="T228" s="14" t="n">
        <f aca="false">IF(OR($J228&lt;&gt;"Yes",$K228=""),0,$Q228*IF($R228&lt;=7,12,19-$R228)/12)</f>
        <v>0</v>
      </c>
      <c r="U228" s="14" t="n">
        <f aca="false">IF(AND($L228="Yes",$G228&lt;&gt;"Vendor day rates"),$I228-0.4*$P228,0)</f>
        <v>0</v>
      </c>
      <c r="V228" s="26" t="n">
        <f aca="false">IFERROR(MATCH($M228,MonthList,0),0)</f>
        <v>0</v>
      </c>
      <c r="W228" s="14" t="n">
        <f aca="false">IF(OR($L228&lt;&gt;"Yes",$M228=""),0,$U228*MAX(0,7-$V228)/12)</f>
        <v>0</v>
      </c>
      <c r="X228" s="14" t="n">
        <f aca="false">IF(OR($L228&lt;&gt;"Yes",$M228=""),0,$U228*IF($V228&lt;=7,12,19-$V228)/12)</f>
        <v>0</v>
      </c>
      <c r="Y228" s="14" t="n">
        <f aca="false">IF(AND($N228="Yes",$G228&lt;&gt;"Vendor day rates"),$I228-0.4*$P228,0)</f>
        <v>0</v>
      </c>
      <c r="Z228" s="26" t="n">
        <f aca="false">IFERROR(MATCH($O228,MonthList,0),0)</f>
        <v>0</v>
      </c>
      <c r="AA228" s="14" t="n">
        <f aca="false">IF(OR($N228&lt;&gt;"Yes",$O228=""),0,$Y228*MAX(0,7-$Z228)/12)</f>
        <v>0</v>
      </c>
      <c r="AB228" s="14" t="n">
        <f aca="false">IF(OR($N228&lt;&gt;"Yes",$O228=""),0,$Y228*IF($Z228&lt;=7,12,19-$Z228)/12)</f>
        <v>0</v>
      </c>
      <c r="AC228" s="26" t="str">
        <f aca="false">IF(OR($J228="Yes",$L228="Yes",$N228="Yes"),"Yes","No")</f>
        <v>No</v>
      </c>
      <c r="AD228" s="14" t="n">
        <f aca="false">MAX($Q228,$U228,$Y228)</f>
        <v>0</v>
      </c>
      <c r="AE228" s="26" t="n">
        <f aca="false">$AD228+ROW()*0.000000001</f>
        <v>2.28E-007</v>
      </c>
      <c r="AF228" s="26" t="str">
        <f aca="false">IF($J228="Yes","A","")&amp;IF($L228="Yes","B","")&amp;IF($N228="Yes","C","")</f>
        <v/>
      </c>
    </row>
    <row r="229" customFormat="false" ht="15" hidden="false" customHeight="false" outlineLevel="0" collapsed="false">
      <c r="B229" s="22" t="s">
        <v>510</v>
      </c>
      <c r="C229" s="23" t="s">
        <v>504</v>
      </c>
      <c r="D229" s="23" t="s">
        <v>328</v>
      </c>
      <c r="E229" s="23" t="s">
        <v>328</v>
      </c>
      <c r="F229" s="22" t="s">
        <v>112</v>
      </c>
      <c r="G229" s="23" t="s">
        <v>58</v>
      </c>
      <c r="H229" s="24" t="n">
        <v>1</v>
      </c>
      <c r="I229" s="14" t="n">
        <v>0.1934</v>
      </c>
      <c r="J229" s="25" t="s">
        <v>59</v>
      </c>
      <c r="K229" s="25"/>
      <c r="L229" s="25" t="s">
        <v>59</v>
      </c>
      <c r="M229" s="25"/>
      <c r="N229" s="25" t="s">
        <v>59</v>
      </c>
      <c r="O229" s="25"/>
      <c r="P229" s="14" t="n">
        <v>0.1934</v>
      </c>
      <c r="Q229" s="14" t="n">
        <f aca="false">IF(AND($J229="Yes",$G229&lt;&gt;"Vendor day rates"),$I229-0.4*$P229,0)</f>
        <v>0</v>
      </c>
      <c r="R229" s="26" t="n">
        <f aca="false">IFERROR(MATCH($K229,MonthList,0),0)</f>
        <v>0</v>
      </c>
      <c r="S229" s="14" t="n">
        <f aca="false">IF(OR($J229&lt;&gt;"Yes",$K229=""),0,$Q229*MAX(0,7-$R229)/12)</f>
        <v>0</v>
      </c>
      <c r="T229" s="14" t="n">
        <f aca="false">IF(OR($J229&lt;&gt;"Yes",$K229=""),0,$Q229*IF($R229&lt;=7,12,19-$R229)/12)</f>
        <v>0</v>
      </c>
      <c r="U229" s="14" t="n">
        <f aca="false">IF(AND($L229="Yes",$G229&lt;&gt;"Vendor day rates"),$I229-0.4*$P229,0)</f>
        <v>0</v>
      </c>
      <c r="V229" s="26" t="n">
        <f aca="false">IFERROR(MATCH($M229,MonthList,0),0)</f>
        <v>0</v>
      </c>
      <c r="W229" s="14" t="n">
        <f aca="false">IF(OR($L229&lt;&gt;"Yes",$M229=""),0,$U229*MAX(0,7-$V229)/12)</f>
        <v>0</v>
      </c>
      <c r="X229" s="14" t="n">
        <f aca="false">IF(OR($L229&lt;&gt;"Yes",$M229=""),0,$U229*IF($V229&lt;=7,12,19-$V229)/12)</f>
        <v>0</v>
      </c>
      <c r="Y229" s="14" t="n">
        <f aca="false">IF(AND($N229="Yes",$G229&lt;&gt;"Vendor day rates"),$I229-0.4*$P229,0)</f>
        <v>0</v>
      </c>
      <c r="Z229" s="26" t="n">
        <f aca="false">IFERROR(MATCH($O229,MonthList,0),0)</f>
        <v>0</v>
      </c>
      <c r="AA229" s="14" t="n">
        <f aca="false">IF(OR($N229&lt;&gt;"Yes",$O229=""),0,$Y229*MAX(0,7-$Z229)/12)</f>
        <v>0</v>
      </c>
      <c r="AB229" s="14" t="n">
        <f aca="false">IF(OR($N229&lt;&gt;"Yes",$O229=""),0,$Y229*IF($Z229&lt;=7,12,19-$Z229)/12)</f>
        <v>0</v>
      </c>
      <c r="AC229" s="26" t="str">
        <f aca="false">IF(OR($J229="Yes",$L229="Yes",$N229="Yes"),"Yes","No")</f>
        <v>No</v>
      </c>
      <c r="AD229" s="14" t="n">
        <f aca="false">MAX($Q229,$U229,$Y229)</f>
        <v>0</v>
      </c>
      <c r="AE229" s="26" t="n">
        <f aca="false">$AD229+ROW()*0.000000001</f>
        <v>2.29E-007</v>
      </c>
      <c r="AF229" s="26" t="str">
        <f aca="false">IF($J229="Yes","A","")&amp;IF($L229="Yes","B","")&amp;IF($N229="Yes","C","")</f>
        <v/>
      </c>
    </row>
    <row r="230" customFormat="false" ht="15" hidden="false" customHeight="false" outlineLevel="0" collapsed="false">
      <c r="B230" s="22" t="s">
        <v>511</v>
      </c>
      <c r="C230" s="23" t="s">
        <v>512</v>
      </c>
      <c r="D230" s="23" t="s">
        <v>328</v>
      </c>
      <c r="E230" s="23" t="s">
        <v>328</v>
      </c>
      <c r="F230" s="22" t="s">
        <v>57</v>
      </c>
      <c r="G230" s="23" t="s">
        <v>58</v>
      </c>
      <c r="H230" s="24" t="n">
        <v>1</v>
      </c>
      <c r="I230" s="14" t="n">
        <v>0.2515</v>
      </c>
      <c r="J230" s="25" t="s">
        <v>59</v>
      </c>
      <c r="K230" s="25"/>
      <c r="L230" s="25" t="s">
        <v>59</v>
      </c>
      <c r="M230" s="25"/>
      <c r="N230" s="25" t="s">
        <v>59</v>
      </c>
      <c r="O230" s="25"/>
      <c r="P230" s="14" t="n">
        <v>0.2515</v>
      </c>
      <c r="Q230" s="14" t="n">
        <f aca="false">IF(AND($J230="Yes",$G230&lt;&gt;"Vendor day rates"),$I230-0.4*$P230,0)</f>
        <v>0</v>
      </c>
      <c r="R230" s="26" t="n">
        <f aca="false">IFERROR(MATCH($K230,MonthList,0),0)</f>
        <v>0</v>
      </c>
      <c r="S230" s="14" t="n">
        <f aca="false">IF(OR($J230&lt;&gt;"Yes",$K230=""),0,$Q230*MAX(0,7-$R230)/12)</f>
        <v>0</v>
      </c>
      <c r="T230" s="14" t="n">
        <f aca="false">IF(OR($J230&lt;&gt;"Yes",$K230=""),0,$Q230*IF($R230&lt;=7,12,19-$R230)/12)</f>
        <v>0</v>
      </c>
      <c r="U230" s="14" t="n">
        <f aca="false">IF(AND($L230="Yes",$G230&lt;&gt;"Vendor day rates"),$I230-0.4*$P230,0)</f>
        <v>0</v>
      </c>
      <c r="V230" s="26" t="n">
        <f aca="false">IFERROR(MATCH($M230,MonthList,0),0)</f>
        <v>0</v>
      </c>
      <c r="W230" s="14" t="n">
        <f aca="false">IF(OR($L230&lt;&gt;"Yes",$M230=""),0,$U230*MAX(0,7-$V230)/12)</f>
        <v>0</v>
      </c>
      <c r="X230" s="14" t="n">
        <f aca="false">IF(OR($L230&lt;&gt;"Yes",$M230=""),0,$U230*IF($V230&lt;=7,12,19-$V230)/12)</f>
        <v>0</v>
      </c>
      <c r="Y230" s="14" t="n">
        <f aca="false">IF(AND($N230="Yes",$G230&lt;&gt;"Vendor day rates"),$I230-0.4*$P230,0)</f>
        <v>0</v>
      </c>
      <c r="Z230" s="26" t="n">
        <f aca="false">IFERROR(MATCH($O230,MonthList,0),0)</f>
        <v>0</v>
      </c>
      <c r="AA230" s="14" t="n">
        <f aca="false">IF(OR($N230&lt;&gt;"Yes",$O230=""),0,$Y230*MAX(0,7-$Z230)/12)</f>
        <v>0</v>
      </c>
      <c r="AB230" s="14" t="n">
        <f aca="false">IF(OR($N230&lt;&gt;"Yes",$O230=""),0,$Y230*IF($Z230&lt;=7,12,19-$Z230)/12)</f>
        <v>0</v>
      </c>
      <c r="AC230" s="26" t="str">
        <f aca="false">IF(OR($J230="Yes",$L230="Yes",$N230="Yes"),"Yes","No")</f>
        <v>No</v>
      </c>
      <c r="AD230" s="14" t="n">
        <f aca="false">MAX($Q230,$U230,$Y230)</f>
        <v>0</v>
      </c>
      <c r="AE230" s="26" t="n">
        <f aca="false">$AD230+ROW()*0.000000001</f>
        <v>2.3E-007</v>
      </c>
      <c r="AF230" s="26" t="str">
        <f aca="false">IF($J230="Yes","A","")&amp;IF($L230="Yes","B","")&amp;IF($N230="Yes","C","")</f>
        <v/>
      </c>
    </row>
    <row r="231" customFormat="false" ht="15" hidden="false" customHeight="false" outlineLevel="0" collapsed="false">
      <c r="B231" s="22" t="s">
        <v>513</v>
      </c>
      <c r="C231" s="23" t="s">
        <v>514</v>
      </c>
      <c r="D231" s="23" t="s">
        <v>331</v>
      </c>
      <c r="E231" s="23" t="s">
        <v>440</v>
      </c>
      <c r="F231" s="22" t="s">
        <v>57</v>
      </c>
      <c r="G231" s="23" t="s">
        <v>149</v>
      </c>
      <c r="H231" s="24" t="n">
        <v>1</v>
      </c>
      <c r="I231" s="14" t="n">
        <v>0.2317</v>
      </c>
      <c r="J231" s="25" t="s">
        <v>59</v>
      </c>
      <c r="K231" s="25"/>
      <c r="L231" s="25" t="s">
        <v>59</v>
      </c>
      <c r="M231" s="25"/>
      <c r="N231" s="25" t="s">
        <v>59</v>
      </c>
      <c r="O231" s="25"/>
      <c r="P231" s="14" t="n">
        <v>0.2317</v>
      </c>
      <c r="Q231" s="14" t="n">
        <f aca="false">IF(AND($J231="Yes",$G231&lt;&gt;"Vendor day rates"),$I231-0.4*$P231,0)</f>
        <v>0</v>
      </c>
      <c r="R231" s="26" t="n">
        <f aca="false">IFERROR(MATCH($K231,MonthList,0),0)</f>
        <v>0</v>
      </c>
      <c r="S231" s="14" t="n">
        <f aca="false">IF(OR($J231&lt;&gt;"Yes",$K231=""),0,$Q231*MAX(0,7-$R231)/12)</f>
        <v>0</v>
      </c>
      <c r="T231" s="14" t="n">
        <f aca="false">IF(OR($J231&lt;&gt;"Yes",$K231=""),0,$Q231*IF($R231&lt;=7,12,19-$R231)/12)</f>
        <v>0</v>
      </c>
      <c r="U231" s="14" t="n">
        <f aca="false">IF(AND($L231="Yes",$G231&lt;&gt;"Vendor day rates"),$I231-0.4*$P231,0)</f>
        <v>0</v>
      </c>
      <c r="V231" s="26" t="n">
        <f aca="false">IFERROR(MATCH($M231,MonthList,0),0)</f>
        <v>0</v>
      </c>
      <c r="W231" s="14" t="n">
        <f aca="false">IF(OR($L231&lt;&gt;"Yes",$M231=""),0,$U231*MAX(0,7-$V231)/12)</f>
        <v>0</v>
      </c>
      <c r="X231" s="14" t="n">
        <f aca="false">IF(OR($L231&lt;&gt;"Yes",$M231=""),0,$U231*IF($V231&lt;=7,12,19-$V231)/12)</f>
        <v>0</v>
      </c>
      <c r="Y231" s="14" t="n">
        <f aca="false">IF(AND($N231="Yes",$G231&lt;&gt;"Vendor day rates"),$I231-0.4*$P231,0)</f>
        <v>0</v>
      </c>
      <c r="Z231" s="26" t="n">
        <f aca="false">IFERROR(MATCH($O231,MonthList,0),0)</f>
        <v>0</v>
      </c>
      <c r="AA231" s="14" t="n">
        <f aca="false">IF(OR($N231&lt;&gt;"Yes",$O231=""),0,$Y231*MAX(0,7-$Z231)/12)</f>
        <v>0</v>
      </c>
      <c r="AB231" s="14" t="n">
        <f aca="false">IF(OR($N231&lt;&gt;"Yes",$O231=""),0,$Y231*IF($Z231&lt;=7,12,19-$Z231)/12)</f>
        <v>0</v>
      </c>
      <c r="AC231" s="26" t="str">
        <f aca="false">IF(OR($J231="Yes",$L231="Yes",$N231="Yes"),"Yes","No")</f>
        <v>No</v>
      </c>
      <c r="AD231" s="14" t="n">
        <f aca="false">MAX($Q231,$U231,$Y231)</f>
        <v>0</v>
      </c>
      <c r="AE231" s="26" t="n">
        <f aca="false">$AD231+ROW()*0.000000001</f>
        <v>2.31E-007</v>
      </c>
      <c r="AF231" s="26" t="str">
        <f aca="false">IF($J231="Yes","A","")&amp;IF($L231="Yes","B","")&amp;IF($N231="Yes","C","")</f>
        <v/>
      </c>
    </row>
    <row r="232" customFormat="false" ht="15" hidden="false" customHeight="false" outlineLevel="0" collapsed="false">
      <c r="B232" s="22" t="s">
        <v>515</v>
      </c>
      <c r="C232" s="23" t="s">
        <v>516</v>
      </c>
      <c r="D232" s="23" t="s">
        <v>328</v>
      </c>
      <c r="E232" s="23" t="s">
        <v>517</v>
      </c>
      <c r="F232" s="22" t="s">
        <v>57</v>
      </c>
      <c r="G232" s="23" t="s">
        <v>149</v>
      </c>
      <c r="H232" s="24" t="n">
        <v>1</v>
      </c>
      <c r="I232" s="14" t="n">
        <v>0.2317</v>
      </c>
      <c r="J232" s="25" t="s">
        <v>59</v>
      </c>
      <c r="K232" s="25"/>
      <c r="L232" s="25" t="s">
        <v>59</v>
      </c>
      <c r="M232" s="25"/>
      <c r="N232" s="25" t="s">
        <v>59</v>
      </c>
      <c r="O232" s="25"/>
      <c r="P232" s="14" t="n">
        <v>0.2317</v>
      </c>
      <c r="Q232" s="14" t="n">
        <f aca="false">IF(AND($J232="Yes",$G232&lt;&gt;"Vendor day rates"),$I232-0.4*$P232,0)</f>
        <v>0</v>
      </c>
      <c r="R232" s="26" t="n">
        <f aca="false">IFERROR(MATCH($K232,MonthList,0),0)</f>
        <v>0</v>
      </c>
      <c r="S232" s="14" t="n">
        <f aca="false">IF(OR($J232&lt;&gt;"Yes",$K232=""),0,$Q232*MAX(0,7-$R232)/12)</f>
        <v>0</v>
      </c>
      <c r="T232" s="14" t="n">
        <f aca="false">IF(OR($J232&lt;&gt;"Yes",$K232=""),0,$Q232*IF($R232&lt;=7,12,19-$R232)/12)</f>
        <v>0</v>
      </c>
      <c r="U232" s="14" t="n">
        <f aca="false">IF(AND($L232="Yes",$G232&lt;&gt;"Vendor day rates"),$I232-0.4*$P232,0)</f>
        <v>0</v>
      </c>
      <c r="V232" s="26" t="n">
        <f aca="false">IFERROR(MATCH($M232,MonthList,0),0)</f>
        <v>0</v>
      </c>
      <c r="W232" s="14" t="n">
        <f aca="false">IF(OR($L232&lt;&gt;"Yes",$M232=""),0,$U232*MAX(0,7-$V232)/12)</f>
        <v>0</v>
      </c>
      <c r="X232" s="14" t="n">
        <f aca="false">IF(OR($L232&lt;&gt;"Yes",$M232=""),0,$U232*IF($V232&lt;=7,12,19-$V232)/12)</f>
        <v>0</v>
      </c>
      <c r="Y232" s="14" t="n">
        <f aca="false">IF(AND($N232="Yes",$G232&lt;&gt;"Vendor day rates"),$I232-0.4*$P232,0)</f>
        <v>0</v>
      </c>
      <c r="Z232" s="26" t="n">
        <f aca="false">IFERROR(MATCH($O232,MonthList,0),0)</f>
        <v>0</v>
      </c>
      <c r="AA232" s="14" t="n">
        <f aca="false">IF(OR($N232&lt;&gt;"Yes",$O232=""),0,$Y232*MAX(0,7-$Z232)/12)</f>
        <v>0</v>
      </c>
      <c r="AB232" s="14" t="n">
        <f aca="false">IF(OR($N232&lt;&gt;"Yes",$O232=""),0,$Y232*IF($Z232&lt;=7,12,19-$Z232)/12)</f>
        <v>0</v>
      </c>
      <c r="AC232" s="26" t="str">
        <f aca="false">IF(OR($J232="Yes",$L232="Yes",$N232="Yes"),"Yes","No")</f>
        <v>No</v>
      </c>
      <c r="AD232" s="14" t="n">
        <f aca="false">MAX($Q232,$U232,$Y232)</f>
        <v>0</v>
      </c>
      <c r="AE232" s="26" t="n">
        <f aca="false">$AD232+ROW()*0.000000001</f>
        <v>2.32E-007</v>
      </c>
      <c r="AF232" s="26" t="str">
        <f aca="false">IF($J232="Yes","A","")&amp;IF($L232="Yes","B","")&amp;IF($N232="Yes","C","")</f>
        <v/>
      </c>
    </row>
    <row r="233" customFormat="false" ht="15" hidden="false" customHeight="false" outlineLevel="0" collapsed="false">
      <c r="B233" s="22" t="s">
        <v>518</v>
      </c>
      <c r="C233" s="23" t="s">
        <v>519</v>
      </c>
      <c r="D233" s="23" t="s">
        <v>331</v>
      </c>
      <c r="E233" s="23" t="s">
        <v>130</v>
      </c>
      <c r="F233" s="22" t="s">
        <v>57</v>
      </c>
      <c r="G233" s="23" t="s">
        <v>149</v>
      </c>
      <c r="H233" s="24" t="n">
        <v>1</v>
      </c>
      <c r="I233" s="14" t="n">
        <v>0.2317</v>
      </c>
      <c r="J233" s="25" t="s">
        <v>59</v>
      </c>
      <c r="K233" s="25"/>
      <c r="L233" s="25" t="s">
        <v>59</v>
      </c>
      <c r="M233" s="25"/>
      <c r="N233" s="25" t="s">
        <v>59</v>
      </c>
      <c r="O233" s="25"/>
      <c r="P233" s="14" t="n">
        <v>0.2317</v>
      </c>
      <c r="Q233" s="14" t="n">
        <f aca="false">IF(AND($J233="Yes",$G233&lt;&gt;"Vendor day rates"),$I233-0.4*$P233,0)</f>
        <v>0</v>
      </c>
      <c r="R233" s="26" t="n">
        <f aca="false">IFERROR(MATCH($K233,MonthList,0),0)</f>
        <v>0</v>
      </c>
      <c r="S233" s="14" t="n">
        <f aca="false">IF(OR($J233&lt;&gt;"Yes",$K233=""),0,$Q233*MAX(0,7-$R233)/12)</f>
        <v>0</v>
      </c>
      <c r="T233" s="14" t="n">
        <f aca="false">IF(OR($J233&lt;&gt;"Yes",$K233=""),0,$Q233*IF($R233&lt;=7,12,19-$R233)/12)</f>
        <v>0</v>
      </c>
      <c r="U233" s="14" t="n">
        <f aca="false">IF(AND($L233="Yes",$G233&lt;&gt;"Vendor day rates"),$I233-0.4*$P233,0)</f>
        <v>0</v>
      </c>
      <c r="V233" s="26" t="n">
        <f aca="false">IFERROR(MATCH($M233,MonthList,0),0)</f>
        <v>0</v>
      </c>
      <c r="W233" s="14" t="n">
        <f aca="false">IF(OR($L233&lt;&gt;"Yes",$M233=""),0,$U233*MAX(0,7-$V233)/12)</f>
        <v>0</v>
      </c>
      <c r="X233" s="14" t="n">
        <f aca="false">IF(OR($L233&lt;&gt;"Yes",$M233=""),0,$U233*IF($V233&lt;=7,12,19-$V233)/12)</f>
        <v>0</v>
      </c>
      <c r="Y233" s="14" t="n">
        <f aca="false">IF(AND($N233="Yes",$G233&lt;&gt;"Vendor day rates"),$I233-0.4*$P233,0)</f>
        <v>0</v>
      </c>
      <c r="Z233" s="26" t="n">
        <f aca="false">IFERROR(MATCH($O233,MonthList,0),0)</f>
        <v>0</v>
      </c>
      <c r="AA233" s="14" t="n">
        <f aca="false">IF(OR($N233&lt;&gt;"Yes",$O233=""),0,$Y233*MAX(0,7-$Z233)/12)</f>
        <v>0</v>
      </c>
      <c r="AB233" s="14" t="n">
        <f aca="false">IF(OR($N233&lt;&gt;"Yes",$O233=""),0,$Y233*IF($Z233&lt;=7,12,19-$Z233)/12)</f>
        <v>0</v>
      </c>
      <c r="AC233" s="26" t="str">
        <f aca="false">IF(OR($J233="Yes",$L233="Yes",$N233="Yes"),"Yes","No")</f>
        <v>No</v>
      </c>
      <c r="AD233" s="14" t="n">
        <f aca="false">MAX($Q233,$U233,$Y233)</f>
        <v>0</v>
      </c>
      <c r="AE233" s="26" t="n">
        <f aca="false">$AD233+ROW()*0.000000001</f>
        <v>2.33E-007</v>
      </c>
      <c r="AF233" s="26" t="str">
        <f aca="false">IF($J233="Yes","A","")&amp;IF($L233="Yes","B","")&amp;IF($N233="Yes","C","")</f>
        <v/>
      </c>
    </row>
    <row r="234" customFormat="false" ht="15" hidden="false" customHeight="false" outlineLevel="0" collapsed="false">
      <c r="B234" s="22" t="s">
        <v>520</v>
      </c>
      <c r="C234" s="23" t="s">
        <v>521</v>
      </c>
      <c r="D234" s="23" t="s">
        <v>70</v>
      </c>
      <c r="E234" s="23" t="s">
        <v>522</v>
      </c>
      <c r="F234" s="22" t="s">
        <v>57</v>
      </c>
      <c r="G234" s="23" t="s">
        <v>58</v>
      </c>
      <c r="H234" s="24" t="n">
        <v>1</v>
      </c>
      <c r="I234" s="14" t="n">
        <v>0.239</v>
      </c>
      <c r="J234" s="25" t="s">
        <v>59</v>
      </c>
      <c r="K234" s="25"/>
      <c r="L234" s="25" t="s">
        <v>59</v>
      </c>
      <c r="M234" s="25"/>
      <c r="N234" s="25" t="s">
        <v>59</v>
      </c>
      <c r="O234" s="25"/>
      <c r="P234" s="14" t="n">
        <v>0.239</v>
      </c>
      <c r="Q234" s="14" t="n">
        <f aca="false">IF(AND($J234="Yes",$G234&lt;&gt;"Vendor day rates"),$I234-0.4*$P234,0)</f>
        <v>0</v>
      </c>
      <c r="R234" s="26" t="n">
        <f aca="false">IFERROR(MATCH($K234,MonthList,0),0)</f>
        <v>0</v>
      </c>
      <c r="S234" s="14" t="n">
        <f aca="false">IF(OR($J234&lt;&gt;"Yes",$K234=""),0,$Q234*MAX(0,7-$R234)/12)</f>
        <v>0</v>
      </c>
      <c r="T234" s="14" t="n">
        <f aca="false">IF(OR($J234&lt;&gt;"Yes",$K234=""),0,$Q234*IF($R234&lt;=7,12,19-$R234)/12)</f>
        <v>0</v>
      </c>
      <c r="U234" s="14" t="n">
        <f aca="false">IF(AND($L234="Yes",$G234&lt;&gt;"Vendor day rates"),$I234-0.4*$P234,0)</f>
        <v>0</v>
      </c>
      <c r="V234" s="26" t="n">
        <f aca="false">IFERROR(MATCH($M234,MonthList,0),0)</f>
        <v>0</v>
      </c>
      <c r="W234" s="14" t="n">
        <f aca="false">IF(OR($L234&lt;&gt;"Yes",$M234=""),0,$U234*MAX(0,7-$V234)/12)</f>
        <v>0</v>
      </c>
      <c r="X234" s="14" t="n">
        <f aca="false">IF(OR($L234&lt;&gt;"Yes",$M234=""),0,$U234*IF($V234&lt;=7,12,19-$V234)/12)</f>
        <v>0</v>
      </c>
      <c r="Y234" s="14" t="n">
        <f aca="false">IF(AND($N234="Yes",$G234&lt;&gt;"Vendor day rates"),$I234-0.4*$P234,0)</f>
        <v>0</v>
      </c>
      <c r="Z234" s="26" t="n">
        <f aca="false">IFERROR(MATCH($O234,MonthList,0),0)</f>
        <v>0</v>
      </c>
      <c r="AA234" s="14" t="n">
        <f aca="false">IF(OR($N234&lt;&gt;"Yes",$O234=""),0,$Y234*MAX(0,7-$Z234)/12)</f>
        <v>0</v>
      </c>
      <c r="AB234" s="14" t="n">
        <f aca="false">IF(OR($N234&lt;&gt;"Yes",$O234=""),0,$Y234*IF($Z234&lt;=7,12,19-$Z234)/12)</f>
        <v>0</v>
      </c>
      <c r="AC234" s="26" t="str">
        <f aca="false">IF(OR($J234="Yes",$L234="Yes",$N234="Yes"),"Yes","No")</f>
        <v>No</v>
      </c>
      <c r="AD234" s="14" t="n">
        <f aca="false">MAX($Q234,$U234,$Y234)</f>
        <v>0</v>
      </c>
      <c r="AE234" s="26" t="n">
        <f aca="false">$AD234+ROW()*0.000000001</f>
        <v>2.34E-007</v>
      </c>
      <c r="AF234" s="26" t="str">
        <f aca="false">IF($J234="Yes","A","")&amp;IF($L234="Yes","B","")&amp;IF($N234="Yes","C","")</f>
        <v/>
      </c>
    </row>
    <row r="235" customFormat="false" ht="15" hidden="false" customHeight="false" outlineLevel="0" collapsed="false">
      <c r="B235" s="22" t="s">
        <v>523</v>
      </c>
      <c r="C235" s="23" t="s">
        <v>504</v>
      </c>
      <c r="D235" s="23" t="s">
        <v>55</v>
      </c>
      <c r="E235" s="23" t="s">
        <v>142</v>
      </c>
      <c r="F235" s="22" t="s">
        <v>112</v>
      </c>
      <c r="G235" s="23" t="s">
        <v>58</v>
      </c>
      <c r="H235" s="24" t="n">
        <v>0.8</v>
      </c>
      <c r="I235" s="14" t="n">
        <v>0.1565</v>
      </c>
      <c r="J235" s="25" t="s">
        <v>59</v>
      </c>
      <c r="K235" s="25"/>
      <c r="L235" s="25" t="s">
        <v>59</v>
      </c>
      <c r="M235" s="25"/>
      <c r="N235" s="25" t="s">
        <v>59</v>
      </c>
      <c r="O235" s="25"/>
      <c r="P235" s="14" t="n">
        <v>0.1565</v>
      </c>
      <c r="Q235" s="14" t="n">
        <f aca="false">IF(AND($J235="Yes",$G235&lt;&gt;"Vendor day rates"),$I235-0.4*$P235,0)</f>
        <v>0</v>
      </c>
      <c r="R235" s="26" t="n">
        <f aca="false">IFERROR(MATCH($K235,MonthList,0),0)</f>
        <v>0</v>
      </c>
      <c r="S235" s="14" t="n">
        <f aca="false">IF(OR($J235&lt;&gt;"Yes",$K235=""),0,$Q235*MAX(0,7-$R235)/12)</f>
        <v>0</v>
      </c>
      <c r="T235" s="14" t="n">
        <f aca="false">IF(OR($J235&lt;&gt;"Yes",$K235=""),0,$Q235*IF($R235&lt;=7,12,19-$R235)/12)</f>
        <v>0</v>
      </c>
      <c r="U235" s="14" t="n">
        <f aca="false">IF(AND($L235="Yes",$G235&lt;&gt;"Vendor day rates"),$I235-0.4*$P235,0)</f>
        <v>0</v>
      </c>
      <c r="V235" s="26" t="n">
        <f aca="false">IFERROR(MATCH($M235,MonthList,0),0)</f>
        <v>0</v>
      </c>
      <c r="W235" s="14" t="n">
        <f aca="false">IF(OR($L235&lt;&gt;"Yes",$M235=""),0,$U235*MAX(0,7-$V235)/12)</f>
        <v>0</v>
      </c>
      <c r="X235" s="14" t="n">
        <f aca="false">IF(OR($L235&lt;&gt;"Yes",$M235=""),0,$U235*IF($V235&lt;=7,12,19-$V235)/12)</f>
        <v>0</v>
      </c>
      <c r="Y235" s="14" t="n">
        <f aca="false">IF(AND($N235="Yes",$G235&lt;&gt;"Vendor day rates"),$I235-0.4*$P235,0)</f>
        <v>0</v>
      </c>
      <c r="Z235" s="26" t="n">
        <f aca="false">IFERROR(MATCH($O235,MonthList,0),0)</f>
        <v>0</v>
      </c>
      <c r="AA235" s="14" t="n">
        <f aca="false">IF(OR($N235&lt;&gt;"Yes",$O235=""),0,$Y235*MAX(0,7-$Z235)/12)</f>
        <v>0</v>
      </c>
      <c r="AB235" s="14" t="n">
        <f aca="false">IF(OR($N235&lt;&gt;"Yes",$O235=""),0,$Y235*IF($Z235&lt;=7,12,19-$Z235)/12)</f>
        <v>0</v>
      </c>
      <c r="AC235" s="26" t="str">
        <f aca="false">IF(OR($J235="Yes",$L235="Yes",$N235="Yes"),"Yes","No")</f>
        <v>No</v>
      </c>
      <c r="AD235" s="14" t="n">
        <f aca="false">MAX($Q235,$U235,$Y235)</f>
        <v>0</v>
      </c>
      <c r="AE235" s="26" t="n">
        <f aca="false">$AD235+ROW()*0.000000001</f>
        <v>2.35E-007</v>
      </c>
      <c r="AF235" s="26" t="str">
        <f aca="false">IF($J235="Yes","A","")&amp;IF($L235="Yes","B","")&amp;IF($N235="Yes","C","")</f>
        <v/>
      </c>
    </row>
    <row r="236" customFormat="false" ht="15" hidden="false" customHeight="false" outlineLevel="0" collapsed="false">
      <c r="B236" s="22" t="s">
        <v>524</v>
      </c>
      <c r="C236" s="23" t="s">
        <v>54</v>
      </c>
      <c r="D236" s="23" t="s">
        <v>215</v>
      </c>
      <c r="E236" s="23" t="s">
        <v>394</v>
      </c>
      <c r="F236" s="22" t="s">
        <v>112</v>
      </c>
      <c r="G236" s="23" t="s">
        <v>58</v>
      </c>
      <c r="H236" s="24" t="n">
        <v>1</v>
      </c>
      <c r="I236" s="14" t="n">
        <v>0.2394</v>
      </c>
      <c r="J236" s="25" t="s">
        <v>59</v>
      </c>
      <c r="K236" s="25"/>
      <c r="L236" s="25" t="s">
        <v>59</v>
      </c>
      <c r="M236" s="25"/>
      <c r="N236" s="25" t="s">
        <v>59</v>
      </c>
      <c r="O236" s="25"/>
      <c r="P236" s="14" t="n">
        <v>0.2394</v>
      </c>
      <c r="Q236" s="14" t="n">
        <f aca="false">IF(AND($J236="Yes",$G236&lt;&gt;"Vendor day rates"),$I236-0.4*$P236,0)</f>
        <v>0</v>
      </c>
      <c r="R236" s="26" t="n">
        <f aca="false">IFERROR(MATCH($K236,MonthList,0),0)</f>
        <v>0</v>
      </c>
      <c r="S236" s="14" t="n">
        <f aca="false">IF(OR($J236&lt;&gt;"Yes",$K236=""),0,$Q236*MAX(0,7-$R236)/12)</f>
        <v>0</v>
      </c>
      <c r="T236" s="14" t="n">
        <f aca="false">IF(OR($J236&lt;&gt;"Yes",$K236=""),0,$Q236*IF($R236&lt;=7,12,19-$R236)/12)</f>
        <v>0</v>
      </c>
      <c r="U236" s="14" t="n">
        <f aca="false">IF(AND($L236="Yes",$G236&lt;&gt;"Vendor day rates"),$I236-0.4*$P236,0)</f>
        <v>0</v>
      </c>
      <c r="V236" s="26" t="n">
        <f aca="false">IFERROR(MATCH($M236,MonthList,0),0)</f>
        <v>0</v>
      </c>
      <c r="W236" s="14" t="n">
        <f aca="false">IF(OR($L236&lt;&gt;"Yes",$M236=""),0,$U236*MAX(0,7-$V236)/12)</f>
        <v>0</v>
      </c>
      <c r="X236" s="14" t="n">
        <f aca="false">IF(OR($L236&lt;&gt;"Yes",$M236=""),0,$U236*IF($V236&lt;=7,12,19-$V236)/12)</f>
        <v>0</v>
      </c>
      <c r="Y236" s="14" t="n">
        <f aca="false">IF(AND($N236="Yes",$G236&lt;&gt;"Vendor day rates"),$I236-0.4*$P236,0)</f>
        <v>0</v>
      </c>
      <c r="Z236" s="26" t="n">
        <f aca="false">IFERROR(MATCH($O236,MonthList,0),0)</f>
        <v>0</v>
      </c>
      <c r="AA236" s="14" t="n">
        <f aca="false">IF(OR($N236&lt;&gt;"Yes",$O236=""),0,$Y236*MAX(0,7-$Z236)/12)</f>
        <v>0</v>
      </c>
      <c r="AB236" s="14" t="n">
        <f aca="false">IF(OR($N236&lt;&gt;"Yes",$O236=""),0,$Y236*IF($Z236&lt;=7,12,19-$Z236)/12)</f>
        <v>0</v>
      </c>
      <c r="AC236" s="26" t="str">
        <f aca="false">IF(OR($J236="Yes",$L236="Yes",$N236="Yes"),"Yes","No")</f>
        <v>No</v>
      </c>
      <c r="AD236" s="14" t="n">
        <f aca="false">MAX($Q236,$U236,$Y236)</f>
        <v>0</v>
      </c>
      <c r="AE236" s="26" t="n">
        <f aca="false">$AD236+ROW()*0.000000001</f>
        <v>2.36E-007</v>
      </c>
      <c r="AF236" s="26" t="str">
        <f aca="false">IF($J236="Yes","A","")&amp;IF($L236="Yes","B","")&amp;IF($N236="Yes","C","")</f>
        <v/>
      </c>
    </row>
    <row r="237" customFormat="false" ht="15" hidden="false" customHeight="false" outlineLevel="0" collapsed="false">
      <c r="B237" s="22" t="s">
        <v>525</v>
      </c>
      <c r="C237" s="23" t="s">
        <v>54</v>
      </c>
      <c r="D237" s="23" t="s">
        <v>215</v>
      </c>
      <c r="E237" s="23" t="s">
        <v>375</v>
      </c>
      <c r="F237" s="22" t="s">
        <v>112</v>
      </c>
      <c r="G237" s="23" t="s">
        <v>58</v>
      </c>
      <c r="H237" s="24" t="n">
        <v>1</v>
      </c>
      <c r="I237" s="14" t="n">
        <v>0.1802</v>
      </c>
      <c r="J237" s="25" t="s">
        <v>59</v>
      </c>
      <c r="K237" s="25"/>
      <c r="L237" s="25" t="s">
        <v>59</v>
      </c>
      <c r="M237" s="25"/>
      <c r="N237" s="25" t="s">
        <v>59</v>
      </c>
      <c r="O237" s="25"/>
      <c r="P237" s="14" t="n">
        <v>0.1802</v>
      </c>
      <c r="Q237" s="14" t="n">
        <f aca="false">IF(AND($J237="Yes",$G237&lt;&gt;"Vendor day rates"),$I237-0.4*$P237,0)</f>
        <v>0</v>
      </c>
      <c r="R237" s="26" t="n">
        <f aca="false">IFERROR(MATCH($K237,MonthList,0),0)</f>
        <v>0</v>
      </c>
      <c r="S237" s="14" t="n">
        <f aca="false">IF(OR($J237&lt;&gt;"Yes",$K237=""),0,$Q237*MAX(0,7-$R237)/12)</f>
        <v>0</v>
      </c>
      <c r="T237" s="14" t="n">
        <f aca="false">IF(OR($J237&lt;&gt;"Yes",$K237=""),0,$Q237*IF($R237&lt;=7,12,19-$R237)/12)</f>
        <v>0</v>
      </c>
      <c r="U237" s="14" t="n">
        <f aca="false">IF(AND($L237="Yes",$G237&lt;&gt;"Vendor day rates"),$I237-0.4*$P237,0)</f>
        <v>0</v>
      </c>
      <c r="V237" s="26" t="n">
        <f aca="false">IFERROR(MATCH($M237,MonthList,0),0)</f>
        <v>0</v>
      </c>
      <c r="W237" s="14" t="n">
        <f aca="false">IF(OR($L237&lt;&gt;"Yes",$M237=""),0,$U237*MAX(0,7-$V237)/12)</f>
        <v>0</v>
      </c>
      <c r="X237" s="14" t="n">
        <f aca="false">IF(OR($L237&lt;&gt;"Yes",$M237=""),0,$U237*IF($V237&lt;=7,12,19-$V237)/12)</f>
        <v>0</v>
      </c>
      <c r="Y237" s="14" t="n">
        <f aca="false">IF(AND($N237="Yes",$G237&lt;&gt;"Vendor day rates"),$I237-0.4*$P237,0)</f>
        <v>0</v>
      </c>
      <c r="Z237" s="26" t="n">
        <f aca="false">IFERROR(MATCH($O237,MonthList,0),0)</f>
        <v>0</v>
      </c>
      <c r="AA237" s="14" t="n">
        <f aca="false">IF(OR($N237&lt;&gt;"Yes",$O237=""),0,$Y237*MAX(0,7-$Z237)/12)</f>
        <v>0</v>
      </c>
      <c r="AB237" s="14" t="n">
        <f aca="false">IF(OR($N237&lt;&gt;"Yes",$O237=""),0,$Y237*IF($Z237&lt;=7,12,19-$Z237)/12)</f>
        <v>0</v>
      </c>
      <c r="AC237" s="26" t="str">
        <f aca="false">IF(OR($J237="Yes",$L237="Yes",$N237="Yes"),"Yes","No")</f>
        <v>No</v>
      </c>
      <c r="AD237" s="14" t="n">
        <f aca="false">MAX($Q237,$U237,$Y237)</f>
        <v>0</v>
      </c>
      <c r="AE237" s="26" t="n">
        <f aca="false">$AD237+ROW()*0.000000001</f>
        <v>2.37E-007</v>
      </c>
      <c r="AF237" s="26" t="str">
        <f aca="false">IF($J237="Yes","A","")&amp;IF($L237="Yes","B","")&amp;IF($N237="Yes","C","")</f>
        <v/>
      </c>
    </row>
    <row r="238" customFormat="false" ht="15" hidden="false" customHeight="false" outlineLevel="0" collapsed="false">
      <c r="B238" s="22" t="s">
        <v>526</v>
      </c>
      <c r="C238" s="23" t="s">
        <v>54</v>
      </c>
      <c r="D238" s="23" t="s">
        <v>215</v>
      </c>
      <c r="E238" s="23" t="s">
        <v>373</v>
      </c>
      <c r="F238" s="22" t="s">
        <v>112</v>
      </c>
      <c r="G238" s="23" t="s">
        <v>58</v>
      </c>
      <c r="H238" s="24" t="n">
        <v>1</v>
      </c>
      <c r="I238" s="14" t="n">
        <v>0.2569</v>
      </c>
      <c r="J238" s="25" t="s">
        <v>59</v>
      </c>
      <c r="K238" s="25"/>
      <c r="L238" s="25" t="s">
        <v>59</v>
      </c>
      <c r="M238" s="25"/>
      <c r="N238" s="25" t="s">
        <v>59</v>
      </c>
      <c r="O238" s="25"/>
      <c r="P238" s="14" t="n">
        <v>0.2569</v>
      </c>
      <c r="Q238" s="14" t="n">
        <f aca="false">IF(AND($J238="Yes",$G238&lt;&gt;"Vendor day rates"),$I238-0.4*$P238,0)</f>
        <v>0</v>
      </c>
      <c r="R238" s="26" t="n">
        <f aca="false">IFERROR(MATCH($K238,MonthList,0),0)</f>
        <v>0</v>
      </c>
      <c r="S238" s="14" t="n">
        <f aca="false">IF(OR($J238&lt;&gt;"Yes",$K238=""),0,$Q238*MAX(0,7-$R238)/12)</f>
        <v>0</v>
      </c>
      <c r="T238" s="14" t="n">
        <f aca="false">IF(OR($J238&lt;&gt;"Yes",$K238=""),0,$Q238*IF($R238&lt;=7,12,19-$R238)/12)</f>
        <v>0</v>
      </c>
      <c r="U238" s="14" t="n">
        <f aca="false">IF(AND($L238="Yes",$G238&lt;&gt;"Vendor day rates"),$I238-0.4*$P238,0)</f>
        <v>0</v>
      </c>
      <c r="V238" s="26" t="n">
        <f aca="false">IFERROR(MATCH($M238,MonthList,0),0)</f>
        <v>0</v>
      </c>
      <c r="W238" s="14" t="n">
        <f aca="false">IF(OR($L238&lt;&gt;"Yes",$M238=""),0,$U238*MAX(0,7-$V238)/12)</f>
        <v>0</v>
      </c>
      <c r="X238" s="14" t="n">
        <f aca="false">IF(OR($L238&lt;&gt;"Yes",$M238=""),0,$U238*IF($V238&lt;=7,12,19-$V238)/12)</f>
        <v>0</v>
      </c>
      <c r="Y238" s="14" t="n">
        <f aca="false">IF(AND($N238="Yes",$G238&lt;&gt;"Vendor day rates"),$I238-0.4*$P238,0)</f>
        <v>0</v>
      </c>
      <c r="Z238" s="26" t="n">
        <f aca="false">IFERROR(MATCH($O238,MonthList,0),0)</f>
        <v>0</v>
      </c>
      <c r="AA238" s="14" t="n">
        <f aca="false">IF(OR($N238&lt;&gt;"Yes",$O238=""),0,$Y238*MAX(0,7-$Z238)/12)</f>
        <v>0</v>
      </c>
      <c r="AB238" s="14" t="n">
        <f aca="false">IF(OR($N238&lt;&gt;"Yes",$O238=""),0,$Y238*IF($Z238&lt;=7,12,19-$Z238)/12)</f>
        <v>0</v>
      </c>
      <c r="AC238" s="26" t="str">
        <f aca="false">IF(OR($J238="Yes",$L238="Yes",$N238="Yes"),"Yes","No")</f>
        <v>No</v>
      </c>
      <c r="AD238" s="14" t="n">
        <f aca="false">MAX($Q238,$U238,$Y238)</f>
        <v>0</v>
      </c>
      <c r="AE238" s="26" t="n">
        <f aca="false">$AD238+ROW()*0.000000001</f>
        <v>2.38E-007</v>
      </c>
      <c r="AF238" s="26" t="str">
        <f aca="false">IF($J238="Yes","A","")&amp;IF($L238="Yes","B","")&amp;IF($N238="Yes","C","")</f>
        <v/>
      </c>
    </row>
    <row r="239" customFormat="false" ht="15" hidden="false" customHeight="false" outlineLevel="0" collapsed="false">
      <c r="B239" s="22" t="s">
        <v>527</v>
      </c>
      <c r="C239" s="23" t="s">
        <v>54</v>
      </c>
      <c r="D239" s="23" t="s">
        <v>212</v>
      </c>
      <c r="E239" s="23" t="s">
        <v>528</v>
      </c>
      <c r="F239" s="22" t="s">
        <v>57</v>
      </c>
      <c r="G239" s="23" t="s">
        <v>476</v>
      </c>
      <c r="H239" s="24" t="n">
        <v>1</v>
      </c>
      <c r="I239" s="14" t="n">
        <v>0.0811</v>
      </c>
      <c r="J239" s="25" t="s">
        <v>59</v>
      </c>
      <c r="K239" s="25"/>
      <c r="L239" s="25" t="s">
        <v>59</v>
      </c>
      <c r="M239" s="25"/>
      <c r="N239" s="25" t="s">
        <v>59</v>
      </c>
      <c r="O239" s="25"/>
      <c r="P239" s="14" t="n">
        <v>0.2029</v>
      </c>
      <c r="Q239" s="14" t="n">
        <f aca="false">IF(AND($J239="Yes",$G239&lt;&gt;"Vendor day rates"),$I239-0.4*$P239,0)</f>
        <v>0</v>
      </c>
      <c r="R239" s="26" t="n">
        <f aca="false">IFERROR(MATCH($K239,MonthList,0),0)</f>
        <v>0</v>
      </c>
      <c r="S239" s="14" t="n">
        <f aca="false">IF(OR($J239&lt;&gt;"Yes",$K239=""),0,$Q239*MAX(0,7-$R239)/12)</f>
        <v>0</v>
      </c>
      <c r="T239" s="14" t="n">
        <f aca="false">IF(OR($J239&lt;&gt;"Yes",$K239=""),0,$Q239*IF($R239&lt;=7,12,19-$R239)/12)</f>
        <v>0</v>
      </c>
      <c r="U239" s="14" t="n">
        <f aca="false">IF(AND($L239="Yes",$G239&lt;&gt;"Vendor day rates"),$I239-0.4*$P239,0)</f>
        <v>0</v>
      </c>
      <c r="V239" s="26" t="n">
        <f aca="false">IFERROR(MATCH($M239,MonthList,0),0)</f>
        <v>0</v>
      </c>
      <c r="W239" s="14" t="n">
        <f aca="false">IF(OR($L239&lt;&gt;"Yes",$M239=""),0,$U239*MAX(0,7-$V239)/12)</f>
        <v>0</v>
      </c>
      <c r="X239" s="14" t="n">
        <f aca="false">IF(OR($L239&lt;&gt;"Yes",$M239=""),0,$U239*IF($V239&lt;=7,12,19-$V239)/12)</f>
        <v>0</v>
      </c>
      <c r="Y239" s="14" t="n">
        <f aca="false">IF(AND($N239="Yes",$G239&lt;&gt;"Vendor day rates"),$I239-0.4*$P239,0)</f>
        <v>0</v>
      </c>
      <c r="Z239" s="26" t="n">
        <f aca="false">IFERROR(MATCH($O239,MonthList,0),0)</f>
        <v>0</v>
      </c>
      <c r="AA239" s="14" t="n">
        <f aca="false">IF(OR($N239&lt;&gt;"Yes",$O239=""),0,$Y239*MAX(0,7-$Z239)/12)</f>
        <v>0</v>
      </c>
      <c r="AB239" s="14" t="n">
        <f aca="false">IF(OR($N239&lt;&gt;"Yes",$O239=""),0,$Y239*IF($Z239&lt;=7,12,19-$Z239)/12)</f>
        <v>0</v>
      </c>
      <c r="AC239" s="26" t="str">
        <f aca="false">IF(OR($J239="Yes",$L239="Yes",$N239="Yes"),"Yes","No")</f>
        <v>No</v>
      </c>
      <c r="AD239" s="14" t="n">
        <f aca="false">MAX($Q239,$U239,$Y239)</f>
        <v>0</v>
      </c>
      <c r="AE239" s="26" t="n">
        <f aca="false">$AD239+ROW()*0.000000001</f>
        <v>2.39E-007</v>
      </c>
      <c r="AF239" s="26" t="str">
        <f aca="false">IF($J239="Yes","A","")&amp;IF($L239="Yes","B","")&amp;IF($N239="Yes","C","")</f>
        <v/>
      </c>
    </row>
    <row r="240" customFormat="false" ht="15" hidden="false" customHeight="false" outlineLevel="0" collapsed="false">
      <c r="B240" s="22" t="s">
        <v>529</v>
      </c>
      <c r="C240" s="23" t="s">
        <v>54</v>
      </c>
      <c r="D240" s="23" t="s">
        <v>215</v>
      </c>
      <c r="E240" s="23" t="s">
        <v>530</v>
      </c>
      <c r="F240" s="22" t="s">
        <v>57</v>
      </c>
      <c r="G240" s="23" t="s">
        <v>304</v>
      </c>
      <c r="H240" s="24" t="n">
        <v>1</v>
      </c>
      <c r="I240" s="14" t="n">
        <v>0</v>
      </c>
      <c r="J240" s="25" t="s">
        <v>59</v>
      </c>
      <c r="K240" s="25"/>
      <c r="L240" s="25" t="s">
        <v>59</v>
      </c>
      <c r="M240" s="25"/>
      <c r="N240" s="25" t="s">
        <v>59</v>
      </c>
      <c r="O240" s="25"/>
      <c r="P240" s="14" t="n">
        <v>0.2758</v>
      </c>
      <c r="Q240" s="14" t="n">
        <f aca="false">IF(AND($J240="Yes",$G240&lt;&gt;"Vendor day rates"),$I240-0.4*$P240,0)</f>
        <v>0</v>
      </c>
      <c r="R240" s="26" t="n">
        <f aca="false">IFERROR(MATCH($K240,MonthList,0),0)</f>
        <v>0</v>
      </c>
      <c r="S240" s="14" t="n">
        <f aca="false">IF(OR($J240&lt;&gt;"Yes",$K240=""),0,$Q240*MAX(0,7-$R240)/12)</f>
        <v>0</v>
      </c>
      <c r="T240" s="14" t="n">
        <f aca="false">IF(OR($J240&lt;&gt;"Yes",$K240=""),0,$Q240*IF($R240&lt;=7,12,19-$R240)/12)</f>
        <v>0</v>
      </c>
      <c r="U240" s="14" t="n">
        <f aca="false">IF(AND($L240="Yes",$G240&lt;&gt;"Vendor day rates"),$I240-0.4*$P240,0)</f>
        <v>0</v>
      </c>
      <c r="V240" s="26" t="n">
        <f aca="false">IFERROR(MATCH($M240,MonthList,0),0)</f>
        <v>0</v>
      </c>
      <c r="W240" s="14" t="n">
        <f aca="false">IF(OR($L240&lt;&gt;"Yes",$M240=""),0,$U240*MAX(0,7-$V240)/12)</f>
        <v>0</v>
      </c>
      <c r="X240" s="14" t="n">
        <f aca="false">IF(OR($L240&lt;&gt;"Yes",$M240=""),0,$U240*IF($V240&lt;=7,12,19-$V240)/12)</f>
        <v>0</v>
      </c>
      <c r="Y240" s="14" t="n">
        <f aca="false">IF(AND($N240="Yes",$G240&lt;&gt;"Vendor day rates"),$I240-0.4*$P240,0)</f>
        <v>0</v>
      </c>
      <c r="Z240" s="26" t="n">
        <f aca="false">IFERROR(MATCH($O240,MonthList,0),0)</f>
        <v>0</v>
      </c>
      <c r="AA240" s="14" t="n">
        <f aca="false">IF(OR($N240&lt;&gt;"Yes",$O240=""),0,$Y240*MAX(0,7-$Z240)/12)</f>
        <v>0</v>
      </c>
      <c r="AB240" s="14" t="n">
        <f aca="false">IF(OR($N240&lt;&gt;"Yes",$O240=""),0,$Y240*IF($Z240&lt;=7,12,19-$Z240)/12)</f>
        <v>0</v>
      </c>
      <c r="AC240" s="26" t="str">
        <f aca="false">IF(OR($J240="Yes",$L240="Yes",$N240="Yes"),"Yes","No")</f>
        <v>No</v>
      </c>
      <c r="AD240" s="14" t="n">
        <f aca="false">MAX($Q240,$U240,$Y240)</f>
        <v>0</v>
      </c>
      <c r="AE240" s="26" t="n">
        <f aca="false">$AD240+ROW()*0.000000001</f>
        <v>2.4E-007</v>
      </c>
      <c r="AF240" s="26" t="str">
        <f aca="false">IF($J240="Yes","A","")&amp;IF($L240="Yes","B","")&amp;IF($N240="Yes","C","")</f>
        <v/>
      </c>
    </row>
    <row r="241" customFormat="false" ht="15" hidden="false" customHeight="false" outlineLevel="0" collapsed="false">
      <c r="B241" s="22" t="s">
        <v>531</v>
      </c>
      <c r="C241" s="23" t="s">
        <v>532</v>
      </c>
      <c r="D241" s="23"/>
      <c r="E241" s="23" t="s">
        <v>290</v>
      </c>
      <c r="F241" s="22" t="s">
        <v>57</v>
      </c>
      <c r="G241" s="23" t="s">
        <v>149</v>
      </c>
      <c r="H241" s="24" t="n">
        <v>1</v>
      </c>
      <c r="I241" s="14" t="n">
        <v>0.2317</v>
      </c>
      <c r="J241" s="25" t="s">
        <v>59</v>
      </c>
      <c r="K241" s="25"/>
      <c r="L241" s="25" t="s">
        <v>59</v>
      </c>
      <c r="M241" s="25"/>
      <c r="N241" s="25" t="s">
        <v>59</v>
      </c>
      <c r="O241" s="25"/>
      <c r="P241" s="14" t="n">
        <v>0.2317</v>
      </c>
      <c r="Q241" s="14" t="n">
        <f aca="false">IF(AND($J241="Yes",$G241&lt;&gt;"Vendor day rates"),$I241-0.4*$P241,0)</f>
        <v>0</v>
      </c>
      <c r="R241" s="26" t="n">
        <f aca="false">IFERROR(MATCH($K241,MonthList,0),0)</f>
        <v>0</v>
      </c>
      <c r="S241" s="14" t="n">
        <f aca="false">IF(OR($J241&lt;&gt;"Yes",$K241=""),0,$Q241*MAX(0,7-$R241)/12)</f>
        <v>0</v>
      </c>
      <c r="T241" s="14" t="n">
        <f aca="false">IF(OR($J241&lt;&gt;"Yes",$K241=""),0,$Q241*IF($R241&lt;=7,12,19-$R241)/12)</f>
        <v>0</v>
      </c>
      <c r="U241" s="14" t="n">
        <f aca="false">IF(AND($L241="Yes",$G241&lt;&gt;"Vendor day rates"),$I241-0.4*$P241,0)</f>
        <v>0</v>
      </c>
      <c r="V241" s="26" t="n">
        <f aca="false">IFERROR(MATCH($M241,MonthList,0),0)</f>
        <v>0</v>
      </c>
      <c r="W241" s="14" t="n">
        <f aca="false">IF(OR($L241&lt;&gt;"Yes",$M241=""),0,$U241*MAX(0,7-$V241)/12)</f>
        <v>0</v>
      </c>
      <c r="X241" s="14" t="n">
        <f aca="false">IF(OR($L241&lt;&gt;"Yes",$M241=""),0,$U241*IF($V241&lt;=7,12,19-$V241)/12)</f>
        <v>0</v>
      </c>
      <c r="Y241" s="14" t="n">
        <f aca="false">IF(AND($N241="Yes",$G241&lt;&gt;"Vendor day rates"),$I241-0.4*$P241,0)</f>
        <v>0</v>
      </c>
      <c r="Z241" s="26" t="n">
        <f aca="false">IFERROR(MATCH($O241,MonthList,0),0)</f>
        <v>0</v>
      </c>
      <c r="AA241" s="14" t="n">
        <f aca="false">IF(OR($N241&lt;&gt;"Yes",$O241=""),0,$Y241*MAX(0,7-$Z241)/12)</f>
        <v>0</v>
      </c>
      <c r="AB241" s="14" t="n">
        <f aca="false">IF(OR($N241&lt;&gt;"Yes",$O241=""),0,$Y241*IF($Z241&lt;=7,12,19-$Z241)/12)</f>
        <v>0</v>
      </c>
      <c r="AC241" s="26" t="str">
        <f aca="false">IF(OR($J241="Yes",$L241="Yes",$N241="Yes"),"Yes","No")</f>
        <v>No</v>
      </c>
      <c r="AD241" s="14" t="n">
        <f aca="false">MAX($Q241,$U241,$Y241)</f>
        <v>0</v>
      </c>
      <c r="AE241" s="26" t="n">
        <f aca="false">$AD241+ROW()*0.000000001</f>
        <v>2.41E-007</v>
      </c>
      <c r="AF241" s="26" t="str">
        <f aca="false">IF($J241="Yes","A","")&amp;IF($L241="Yes","B","")&amp;IF($N241="Yes","C","")</f>
        <v/>
      </c>
    </row>
    <row r="242" customFormat="false" ht="15" hidden="false" customHeight="false" outlineLevel="0" collapsed="false">
      <c r="B242" s="22" t="s">
        <v>533</v>
      </c>
      <c r="C242" s="23" t="s">
        <v>534</v>
      </c>
      <c r="D242" s="23"/>
      <c r="E242" s="23" t="s">
        <v>290</v>
      </c>
      <c r="F242" s="22" t="s">
        <v>57</v>
      </c>
      <c r="G242" s="23" t="s">
        <v>149</v>
      </c>
      <c r="H242" s="24" t="n">
        <v>1</v>
      </c>
      <c r="I242" s="14" t="n">
        <v>0.2317</v>
      </c>
      <c r="J242" s="25" t="s">
        <v>59</v>
      </c>
      <c r="K242" s="25"/>
      <c r="L242" s="25" t="s">
        <v>59</v>
      </c>
      <c r="M242" s="25"/>
      <c r="N242" s="25" t="s">
        <v>59</v>
      </c>
      <c r="O242" s="25"/>
      <c r="P242" s="14" t="n">
        <v>0.2317</v>
      </c>
      <c r="Q242" s="14" t="n">
        <f aca="false">IF(AND($J242="Yes",$G242&lt;&gt;"Vendor day rates"),$I242-0.4*$P242,0)</f>
        <v>0</v>
      </c>
      <c r="R242" s="26" t="n">
        <f aca="false">IFERROR(MATCH($K242,MonthList,0),0)</f>
        <v>0</v>
      </c>
      <c r="S242" s="14" t="n">
        <f aca="false">IF(OR($J242&lt;&gt;"Yes",$K242=""),0,$Q242*MAX(0,7-$R242)/12)</f>
        <v>0</v>
      </c>
      <c r="T242" s="14" t="n">
        <f aca="false">IF(OR($J242&lt;&gt;"Yes",$K242=""),0,$Q242*IF($R242&lt;=7,12,19-$R242)/12)</f>
        <v>0</v>
      </c>
      <c r="U242" s="14" t="n">
        <f aca="false">IF(AND($L242="Yes",$G242&lt;&gt;"Vendor day rates"),$I242-0.4*$P242,0)</f>
        <v>0</v>
      </c>
      <c r="V242" s="26" t="n">
        <f aca="false">IFERROR(MATCH($M242,MonthList,0),0)</f>
        <v>0</v>
      </c>
      <c r="W242" s="14" t="n">
        <f aca="false">IF(OR($L242&lt;&gt;"Yes",$M242=""),0,$U242*MAX(0,7-$V242)/12)</f>
        <v>0</v>
      </c>
      <c r="X242" s="14" t="n">
        <f aca="false">IF(OR($L242&lt;&gt;"Yes",$M242=""),0,$U242*IF($V242&lt;=7,12,19-$V242)/12)</f>
        <v>0</v>
      </c>
      <c r="Y242" s="14" t="n">
        <f aca="false">IF(AND($N242="Yes",$G242&lt;&gt;"Vendor day rates"),$I242-0.4*$P242,0)</f>
        <v>0</v>
      </c>
      <c r="Z242" s="26" t="n">
        <f aca="false">IFERROR(MATCH($O242,MonthList,0),0)</f>
        <v>0</v>
      </c>
      <c r="AA242" s="14" t="n">
        <f aca="false">IF(OR($N242&lt;&gt;"Yes",$O242=""),0,$Y242*MAX(0,7-$Z242)/12)</f>
        <v>0</v>
      </c>
      <c r="AB242" s="14" t="n">
        <f aca="false">IF(OR($N242&lt;&gt;"Yes",$O242=""),0,$Y242*IF($Z242&lt;=7,12,19-$Z242)/12)</f>
        <v>0</v>
      </c>
      <c r="AC242" s="26" t="str">
        <f aca="false">IF(OR($J242="Yes",$L242="Yes",$N242="Yes"),"Yes","No")</f>
        <v>No</v>
      </c>
      <c r="AD242" s="14" t="n">
        <f aca="false">MAX($Q242,$U242,$Y242)</f>
        <v>0</v>
      </c>
      <c r="AE242" s="26" t="n">
        <f aca="false">$AD242+ROW()*0.000000001</f>
        <v>2.42E-007</v>
      </c>
      <c r="AF242" s="26" t="str">
        <f aca="false">IF($J242="Yes","A","")&amp;IF($L242="Yes","B","")&amp;IF($N242="Yes","C","")</f>
        <v/>
      </c>
    </row>
    <row r="243" customFormat="false" ht="15" hidden="false" customHeight="false" outlineLevel="0" collapsed="false">
      <c r="B243" s="22" t="s">
        <v>535</v>
      </c>
      <c r="C243" s="23" t="s">
        <v>536</v>
      </c>
      <c r="D243" s="23"/>
      <c r="E243" s="23" t="s">
        <v>290</v>
      </c>
      <c r="F243" s="22" t="s">
        <v>57</v>
      </c>
      <c r="G243" s="23" t="s">
        <v>149</v>
      </c>
      <c r="H243" s="24" t="n">
        <v>1</v>
      </c>
      <c r="I243" s="14" t="n">
        <v>0.2317</v>
      </c>
      <c r="J243" s="25" t="s">
        <v>59</v>
      </c>
      <c r="K243" s="25"/>
      <c r="L243" s="25" t="s">
        <v>59</v>
      </c>
      <c r="M243" s="25"/>
      <c r="N243" s="25" t="s">
        <v>59</v>
      </c>
      <c r="O243" s="25"/>
      <c r="P243" s="14" t="n">
        <v>0.2317</v>
      </c>
      <c r="Q243" s="14" t="n">
        <f aca="false">IF(AND($J243="Yes",$G243&lt;&gt;"Vendor day rates"),$I243-0.4*$P243,0)</f>
        <v>0</v>
      </c>
      <c r="R243" s="26" t="n">
        <f aca="false">IFERROR(MATCH($K243,MonthList,0),0)</f>
        <v>0</v>
      </c>
      <c r="S243" s="14" t="n">
        <f aca="false">IF(OR($J243&lt;&gt;"Yes",$K243=""),0,$Q243*MAX(0,7-$R243)/12)</f>
        <v>0</v>
      </c>
      <c r="T243" s="14" t="n">
        <f aca="false">IF(OR($J243&lt;&gt;"Yes",$K243=""),0,$Q243*IF($R243&lt;=7,12,19-$R243)/12)</f>
        <v>0</v>
      </c>
      <c r="U243" s="14" t="n">
        <f aca="false">IF(AND($L243="Yes",$G243&lt;&gt;"Vendor day rates"),$I243-0.4*$P243,0)</f>
        <v>0</v>
      </c>
      <c r="V243" s="26" t="n">
        <f aca="false">IFERROR(MATCH($M243,MonthList,0),0)</f>
        <v>0</v>
      </c>
      <c r="W243" s="14" t="n">
        <f aca="false">IF(OR($L243&lt;&gt;"Yes",$M243=""),0,$U243*MAX(0,7-$V243)/12)</f>
        <v>0</v>
      </c>
      <c r="X243" s="14" t="n">
        <f aca="false">IF(OR($L243&lt;&gt;"Yes",$M243=""),0,$U243*IF($V243&lt;=7,12,19-$V243)/12)</f>
        <v>0</v>
      </c>
      <c r="Y243" s="14" t="n">
        <f aca="false">IF(AND($N243="Yes",$G243&lt;&gt;"Vendor day rates"),$I243-0.4*$P243,0)</f>
        <v>0</v>
      </c>
      <c r="Z243" s="26" t="n">
        <f aca="false">IFERROR(MATCH($O243,MonthList,0),0)</f>
        <v>0</v>
      </c>
      <c r="AA243" s="14" t="n">
        <f aca="false">IF(OR($N243&lt;&gt;"Yes",$O243=""),0,$Y243*MAX(0,7-$Z243)/12)</f>
        <v>0</v>
      </c>
      <c r="AB243" s="14" t="n">
        <f aca="false">IF(OR($N243&lt;&gt;"Yes",$O243=""),0,$Y243*IF($Z243&lt;=7,12,19-$Z243)/12)</f>
        <v>0</v>
      </c>
      <c r="AC243" s="26" t="str">
        <f aca="false">IF(OR($J243="Yes",$L243="Yes",$N243="Yes"),"Yes","No")</f>
        <v>No</v>
      </c>
      <c r="AD243" s="14" t="n">
        <f aca="false">MAX($Q243,$U243,$Y243)</f>
        <v>0</v>
      </c>
      <c r="AE243" s="26" t="n">
        <f aca="false">$AD243+ROW()*0.000000001</f>
        <v>2.43E-007</v>
      </c>
      <c r="AF243" s="26" t="str">
        <f aca="false">IF($J243="Yes","A","")&amp;IF($L243="Yes","B","")&amp;IF($N243="Yes","C","")</f>
        <v/>
      </c>
    </row>
    <row r="244" customFormat="false" ht="15" hidden="false" customHeight="false" outlineLevel="0" collapsed="false">
      <c r="B244" s="22" t="s">
        <v>537</v>
      </c>
      <c r="C244" s="23" t="s">
        <v>538</v>
      </c>
      <c r="D244" s="23"/>
      <c r="E244" s="23" t="s">
        <v>307</v>
      </c>
      <c r="F244" s="22" t="s">
        <v>57</v>
      </c>
      <c r="G244" s="23" t="s">
        <v>58</v>
      </c>
      <c r="H244" s="24" t="n">
        <v>1</v>
      </c>
      <c r="I244" s="14" t="n">
        <v>0.2502</v>
      </c>
      <c r="J244" s="25" t="s">
        <v>59</v>
      </c>
      <c r="K244" s="25"/>
      <c r="L244" s="25" t="s">
        <v>59</v>
      </c>
      <c r="M244" s="25"/>
      <c r="N244" s="25" t="s">
        <v>59</v>
      </c>
      <c r="O244" s="25"/>
      <c r="P244" s="14" t="n">
        <v>0.2502</v>
      </c>
      <c r="Q244" s="14" t="n">
        <f aca="false">IF(AND($J244="Yes",$G244&lt;&gt;"Vendor day rates"),$I244-0.4*$P244,0)</f>
        <v>0</v>
      </c>
      <c r="R244" s="26" t="n">
        <f aca="false">IFERROR(MATCH($K244,MonthList,0),0)</f>
        <v>0</v>
      </c>
      <c r="S244" s="14" t="n">
        <f aca="false">IF(OR($J244&lt;&gt;"Yes",$K244=""),0,$Q244*MAX(0,7-$R244)/12)</f>
        <v>0</v>
      </c>
      <c r="T244" s="14" t="n">
        <f aca="false">IF(OR($J244&lt;&gt;"Yes",$K244=""),0,$Q244*IF($R244&lt;=7,12,19-$R244)/12)</f>
        <v>0</v>
      </c>
      <c r="U244" s="14" t="n">
        <f aca="false">IF(AND($L244="Yes",$G244&lt;&gt;"Vendor day rates"),$I244-0.4*$P244,0)</f>
        <v>0</v>
      </c>
      <c r="V244" s="26" t="n">
        <f aca="false">IFERROR(MATCH($M244,MonthList,0),0)</f>
        <v>0</v>
      </c>
      <c r="W244" s="14" t="n">
        <f aca="false">IF(OR($L244&lt;&gt;"Yes",$M244=""),0,$U244*MAX(0,7-$V244)/12)</f>
        <v>0</v>
      </c>
      <c r="X244" s="14" t="n">
        <f aca="false">IF(OR($L244&lt;&gt;"Yes",$M244=""),0,$U244*IF($V244&lt;=7,12,19-$V244)/12)</f>
        <v>0</v>
      </c>
      <c r="Y244" s="14" t="n">
        <f aca="false">IF(AND($N244="Yes",$G244&lt;&gt;"Vendor day rates"),$I244-0.4*$P244,0)</f>
        <v>0</v>
      </c>
      <c r="Z244" s="26" t="n">
        <f aca="false">IFERROR(MATCH($O244,MonthList,0),0)</f>
        <v>0</v>
      </c>
      <c r="AA244" s="14" t="n">
        <f aca="false">IF(OR($N244&lt;&gt;"Yes",$O244=""),0,$Y244*MAX(0,7-$Z244)/12)</f>
        <v>0</v>
      </c>
      <c r="AB244" s="14" t="n">
        <f aca="false">IF(OR($N244&lt;&gt;"Yes",$O244=""),0,$Y244*IF($Z244&lt;=7,12,19-$Z244)/12)</f>
        <v>0</v>
      </c>
      <c r="AC244" s="26" t="str">
        <f aca="false">IF(OR($J244="Yes",$L244="Yes",$N244="Yes"),"Yes","No")</f>
        <v>No</v>
      </c>
      <c r="AD244" s="14" t="n">
        <f aca="false">MAX($Q244,$U244,$Y244)</f>
        <v>0</v>
      </c>
      <c r="AE244" s="26" t="n">
        <f aca="false">$AD244+ROW()*0.000000001</f>
        <v>2.44E-007</v>
      </c>
      <c r="AF244" s="26" t="str">
        <f aca="false">IF($J244="Yes","A","")&amp;IF($L244="Yes","B","")&amp;IF($N244="Yes","C","")</f>
        <v/>
      </c>
    </row>
    <row r="245" customFormat="false" ht="15" hidden="false" customHeight="false" outlineLevel="0" collapsed="false">
      <c r="B245" s="22" t="s">
        <v>539</v>
      </c>
      <c r="C245" s="23" t="s">
        <v>540</v>
      </c>
      <c r="D245" s="23" t="s">
        <v>147</v>
      </c>
      <c r="E245" s="23" t="s">
        <v>199</v>
      </c>
      <c r="F245" s="22" t="s">
        <v>57</v>
      </c>
      <c r="G245" s="23" t="s">
        <v>58</v>
      </c>
      <c r="H245" s="24" t="n">
        <v>1</v>
      </c>
      <c r="I245" s="14" t="n">
        <v>0.2258</v>
      </c>
      <c r="J245" s="25" t="s">
        <v>59</v>
      </c>
      <c r="K245" s="25"/>
      <c r="L245" s="25" t="s">
        <v>59</v>
      </c>
      <c r="M245" s="25"/>
      <c r="N245" s="25" t="s">
        <v>59</v>
      </c>
      <c r="O245" s="25"/>
      <c r="P245" s="14" t="n">
        <v>0.2258</v>
      </c>
      <c r="Q245" s="14" t="n">
        <f aca="false">IF(AND($J245="Yes",$G245&lt;&gt;"Vendor day rates"),$I245-0.4*$P245,0)</f>
        <v>0</v>
      </c>
      <c r="R245" s="26" t="n">
        <f aca="false">IFERROR(MATCH($K245,MonthList,0),0)</f>
        <v>0</v>
      </c>
      <c r="S245" s="14" t="n">
        <f aca="false">IF(OR($J245&lt;&gt;"Yes",$K245=""),0,$Q245*MAX(0,7-$R245)/12)</f>
        <v>0</v>
      </c>
      <c r="T245" s="14" t="n">
        <f aca="false">IF(OR($J245&lt;&gt;"Yes",$K245=""),0,$Q245*IF($R245&lt;=7,12,19-$R245)/12)</f>
        <v>0</v>
      </c>
      <c r="U245" s="14" t="n">
        <f aca="false">IF(AND($L245="Yes",$G245&lt;&gt;"Vendor day rates"),$I245-0.4*$P245,0)</f>
        <v>0</v>
      </c>
      <c r="V245" s="26" t="n">
        <f aca="false">IFERROR(MATCH($M245,MonthList,0),0)</f>
        <v>0</v>
      </c>
      <c r="W245" s="14" t="n">
        <f aca="false">IF(OR($L245&lt;&gt;"Yes",$M245=""),0,$U245*MAX(0,7-$V245)/12)</f>
        <v>0</v>
      </c>
      <c r="X245" s="14" t="n">
        <f aca="false">IF(OR($L245&lt;&gt;"Yes",$M245=""),0,$U245*IF($V245&lt;=7,12,19-$V245)/12)</f>
        <v>0</v>
      </c>
      <c r="Y245" s="14" t="n">
        <f aca="false">IF(AND($N245="Yes",$G245&lt;&gt;"Vendor day rates"),$I245-0.4*$P245,0)</f>
        <v>0</v>
      </c>
      <c r="Z245" s="26" t="n">
        <f aca="false">IFERROR(MATCH($O245,MonthList,0),0)</f>
        <v>0</v>
      </c>
      <c r="AA245" s="14" t="n">
        <f aca="false">IF(OR($N245&lt;&gt;"Yes",$O245=""),0,$Y245*MAX(0,7-$Z245)/12)</f>
        <v>0</v>
      </c>
      <c r="AB245" s="14" t="n">
        <f aca="false">IF(OR($N245&lt;&gt;"Yes",$O245=""),0,$Y245*IF($Z245&lt;=7,12,19-$Z245)/12)</f>
        <v>0</v>
      </c>
      <c r="AC245" s="26" t="str">
        <f aca="false">IF(OR($J245="Yes",$L245="Yes",$N245="Yes"),"Yes","No")</f>
        <v>No</v>
      </c>
      <c r="AD245" s="14" t="n">
        <f aca="false">MAX($Q245,$U245,$Y245)</f>
        <v>0</v>
      </c>
      <c r="AE245" s="26" t="n">
        <f aca="false">$AD245+ROW()*0.000000001</f>
        <v>2.45E-007</v>
      </c>
      <c r="AF245" s="26" t="str">
        <f aca="false">IF($J245="Yes","A","")&amp;IF($L245="Yes","B","")&amp;IF($N245="Yes","C","")</f>
        <v/>
      </c>
    </row>
    <row r="246" customFormat="false" ht="15" hidden="false" customHeight="false" outlineLevel="0" collapsed="false">
      <c r="B246" s="22" t="s">
        <v>541</v>
      </c>
      <c r="C246" s="23" t="s">
        <v>542</v>
      </c>
      <c r="D246" s="23" t="s">
        <v>158</v>
      </c>
      <c r="E246" s="23" t="s">
        <v>491</v>
      </c>
      <c r="F246" s="22" t="s">
        <v>57</v>
      </c>
      <c r="G246" s="23" t="s">
        <v>58</v>
      </c>
      <c r="H246" s="24" t="n">
        <v>1</v>
      </c>
      <c r="I246" s="14" t="n">
        <v>0.2465</v>
      </c>
      <c r="J246" s="25" t="s">
        <v>59</v>
      </c>
      <c r="K246" s="25"/>
      <c r="L246" s="25" t="s">
        <v>59</v>
      </c>
      <c r="M246" s="25"/>
      <c r="N246" s="25" t="s">
        <v>59</v>
      </c>
      <c r="O246" s="25"/>
      <c r="P246" s="14" t="n">
        <v>0.2465</v>
      </c>
      <c r="Q246" s="14" t="n">
        <f aca="false">IF(AND($J246="Yes",$G246&lt;&gt;"Vendor day rates"),$I246-0.4*$P246,0)</f>
        <v>0</v>
      </c>
      <c r="R246" s="26" t="n">
        <f aca="false">IFERROR(MATCH($K246,MonthList,0),0)</f>
        <v>0</v>
      </c>
      <c r="S246" s="14" t="n">
        <f aca="false">IF(OR($J246&lt;&gt;"Yes",$K246=""),0,$Q246*MAX(0,7-$R246)/12)</f>
        <v>0</v>
      </c>
      <c r="T246" s="14" t="n">
        <f aca="false">IF(OR($J246&lt;&gt;"Yes",$K246=""),0,$Q246*IF($R246&lt;=7,12,19-$R246)/12)</f>
        <v>0</v>
      </c>
      <c r="U246" s="14" t="n">
        <f aca="false">IF(AND($L246="Yes",$G246&lt;&gt;"Vendor day rates"),$I246-0.4*$P246,0)</f>
        <v>0</v>
      </c>
      <c r="V246" s="26" t="n">
        <f aca="false">IFERROR(MATCH($M246,MonthList,0),0)</f>
        <v>0</v>
      </c>
      <c r="W246" s="14" t="n">
        <f aca="false">IF(OR($L246&lt;&gt;"Yes",$M246=""),0,$U246*MAX(0,7-$V246)/12)</f>
        <v>0</v>
      </c>
      <c r="X246" s="14" t="n">
        <f aca="false">IF(OR($L246&lt;&gt;"Yes",$M246=""),0,$U246*IF($V246&lt;=7,12,19-$V246)/12)</f>
        <v>0</v>
      </c>
      <c r="Y246" s="14" t="n">
        <f aca="false">IF(AND($N246="Yes",$G246&lt;&gt;"Vendor day rates"),$I246-0.4*$P246,0)</f>
        <v>0</v>
      </c>
      <c r="Z246" s="26" t="n">
        <f aca="false">IFERROR(MATCH($O246,MonthList,0),0)</f>
        <v>0</v>
      </c>
      <c r="AA246" s="14" t="n">
        <f aca="false">IF(OR($N246&lt;&gt;"Yes",$O246=""),0,$Y246*MAX(0,7-$Z246)/12)</f>
        <v>0</v>
      </c>
      <c r="AB246" s="14" t="n">
        <f aca="false">IF(OR($N246&lt;&gt;"Yes",$O246=""),0,$Y246*IF($Z246&lt;=7,12,19-$Z246)/12)</f>
        <v>0</v>
      </c>
      <c r="AC246" s="26" t="str">
        <f aca="false">IF(OR($J246="Yes",$L246="Yes",$N246="Yes"),"Yes","No")</f>
        <v>No</v>
      </c>
      <c r="AD246" s="14" t="n">
        <f aca="false">MAX($Q246,$U246,$Y246)</f>
        <v>0</v>
      </c>
      <c r="AE246" s="26" t="n">
        <f aca="false">$AD246+ROW()*0.000000001</f>
        <v>2.46E-007</v>
      </c>
      <c r="AF246" s="26" t="str">
        <f aca="false">IF($J246="Yes","A","")&amp;IF($L246="Yes","B","")&amp;IF($N246="Yes","C","")</f>
        <v/>
      </c>
    </row>
    <row r="247" customFormat="false" ht="15" hidden="false" customHeight="false" outlineLevel="0" collapsed="false">
      <c r="B247" s="22" t="s">
        <v>543</v>
      </c>
      <c r="C247" s="23" t="s">
        <v>544</v>
      </c>
      <c r="D247" s="23" t="s">
        <v>158</v>
      </c>
      <c r="E247" s="23" t="s">
        <v>491</v>
      </c>
      <c r="F247" s="22" t="s">
        <v>57</v>
      </c>
      <c r="G247" s="23" t="s">
        <v>58</v>
      </c>
      <c r="H247" s="24" t="n">
        <v>1</v>
      </c>
      <c r="I247" s="14" t="n">
        <v>0.2591</v>
      </c>
      <c r="J247" s="25" t="s">
        <v>59</v>
      </c>
      <c r="K247" s="25"/>
      <c r="L247" s="25" t="s">
        <v>59</v>
      </c>
      <c r="M247" s="25"/>
      <c r="N247" s="25" t="s">
        <v>59</v>
      </c>
      <c r="O247" s="25"/>
      <c r="P247" s="14" t="n">
        <v>0.2591</v>
      </c>
      <c r="Q247" s="14" t="n">
        <f aca="false">IF(AND($J247="Yes",$G247&lt;&gt;"Vendor day rates"),$I247-0.4*$P247,0)</f>
        <v>0</v>
      </c>
      <c r="R247" s="26" t="n">
        <f aca="false">IFERROR(MATCH($K247,MonthList,0),0)</f>
        <v>0</v>
      </c>
      <c r="S247" s="14" t="n">
        <f aca="false">IF(OR($J247&lt;&gt;"Yes",$K247=""),0,$Q247*MAX(0,7-$R247)/12)</f>
        <v>0</v>
      </c>
      <c r="T247" s="14" t="n">
        <f aca="false">IF(OR($J247&lt;&gt;"Yes",$K247=""),0,$Q247*IF($R247&lt;=7,12,19-$R247)/12)</f>
        <v>0</v>
      </c>
      <c r="U247" s="14" t="n">
        <f aca="false">IF(AND($L247="Yes",$G247&lt;&gt;"Vendor day rates"),$I247-0.4*$P247,0)</f>
        <v>0</v>
      </c>
      <c r="V247" s="26" t="n">
        <f aca="false">IFERROR(MATCH($M247,MonthList,0),0)</f>
        <v>0</v>
      </c>
      <c r="W247" s="14" t="n">
        <f aca="false">IF(OR($L247&lt;&gt;"Yes",$M247=""),0,$U247*MAX(0,7-$V247)/12)</f>
        <v>0</v>
      </c>
      <c r="X247" s="14" t="n">
        <f aca="false">IF(OR($L247&lt;&gt;"Yes",$M247=""),0,$U247*IF($V247&lt;=7,12,19-$V247)/12)</f>
        <v>0</v>
      </c>
      <c r="Y247" s="14" t="n">
        <f aca="false">IF(AND($N247="Yes",$G247&lt;&gt;"Vendor day rates"),$I247-0.4*$P247,0)</f>
        <v>0</v>
      </c>
      <c r="Z247" s="26" t="n">
        <f aca="false">IFERROR(MATCH($O247,MonthList,0),0)</f>
        <v>0</v>
      </c>
      <c r="AA247" s="14" t="n">
        <f aca="false">IF(OR($N247&lt;&gt;"Yes",$O247=""),0,$Y247*MAX(0,7-$Z247)/12)</f>
        <v>0</v>
      </c>
      <c r="AB247" s="14" t="n">
        <f aca="false">IF(OR($N247&lt;&gt;"Yes",$O247=""),0,$Y247*IF($Z247&lt;=7,12,19-$Z247)/12)</f>
        <v>0</v>
      </c>
      <c r="AC247" s="26" t="str">
        <f aca="false">IF(OR($J247="Yes",$L247="Yes",$N247="Yes"),"Yes","No")</f>
        <v>No</v>
      </c>
      <c r="AD247" s="14" t="n">
        <f aca="false">MAX($Q247,$U247,$Y247)</f>
        <v>0</v>
      </c>
      <c r="AE247" s="26" t="n">
        <f aca="false">$AD247+ROW()*0.000000001</f>
        <v>2.47E-007</v>
      </c>
      <c r="AF247" s="26" t="str">
        <f aca="false">IF($J247="Yes","A","")&amp;IF($L247="Yes","B","")&amp;IF($N247="Yes","C","")</f>
        <v/>
      </c>
    </row>
    <row r="248" customFormat="false" ht="15" hidden="false" customHeight="false" outlineLevel="0" collapsed="false">
      <c r="B248" s="22" t="s">
        <v>545</v>
      </c>
      <c r="C248" s="23" t="s">
        <v>544</v>
      </c>
      <c r="D248" s="23" t="s">
        <v>158</v>
      </c>
      <c r="E248" s="23" t="s">
        <v>491</v>
      </c>
      <c r="F248" s="22" t="s">
        <v>57</v>
      </c>
      <c r="G248" s="23" t="s">
        <v>58</v>
      </c>
      <c r="H248" s="24" t="n">
        <v>1</v>
      </c>
      <c r="I248" s="14" t="n">
        <v>0.2434</v>
      </c>
      <c r="J248" s="25" t="s">
        <v>59</v>
      </c>
      <c r="K248" s="25"/>
      <c r="L248" s="25" t="s">
        <v>59</v>
      </c>
      <c r="M248" s="25"/>
      <c r="N248" s="25" t="s">
        <v>59</v>
      </c>
      <c r="O248" s="25"/>
      <c r="P248" s="14" t="n">
        <v>0.2434</v>
      </c>
      <c r="Q248" s="14" t="n">
        <f aca="false">IF(AND($J248="Yes",$G248&lt;&gt;"Vendor day rates"),$I248-0.4*$P248,0)</f>
        <v>0</v>
      </c>
      <c r="R248" s="26" t="n">
        <f aca="false">IFERROR(MATCH($K248,MonthList,0),0)</f>
        <v>0</v>
      </c>
      <c r="S248" s="14" t="n">
        <f aca="false">IF(OR($J248&lt;&gt;"Yes",$K248=""),0,$Q248*MAX(0,7-$R248)/12)</f>
        <v>0</v>
      </c>
      <c r="T248" s="14" t="n">
        <f aca="false">IF(OR($J248&lt;&gt;"Yes",$K248=""),0,$Q248*IF($R248&lt;=7,12,19-$R248)/12)</f>
        <v>0</v>
      </c>
      <c r="U248" s="14" t="n">
        <f aca="false">IF(AND($L248="Yes",$G248&lt;&gt;"Vendor day rates"),$I248-0.4*$P248,0)</f>
        <v>0</v>
      </c>
      <c r="V248" s="26" t="n">
        <f aca="false">IFERROR(MATCH($M248,MonthList,0),0)</f>
        <v>0</v>
      </c>
      <c r="W248" s="14" t="n">
        <f aca="false">IF(OR($L248&lt;&gt;"Yes",$M248=""),0,$U248*MAX(0,7-$V248)/12)</f>
        <v>0</v>
      </c>
      <c r="X248" s="14" t="n">
        <f aca="false">IF(OR($L248&lt;&gt;"Yes",$M248=""),0,$U248*IF($V248&lt;=7,12,19-$V248)/12)</f>
        <v>0</v>
      </c>
      <c r="Y248" s="14" t="n">
        <f aca="false">IF(AND($N248="Yes",$G248&lt;&gt;"Vendor day rates"),$I248-0.4*$P248,0)</f>
        <v>0</v>
      </c>
      <c r="Z248" s="26" t="n">
        <f aca="false">IFERROR(MATCH($O248,MonthList,0),0)</f>
        <v>0</v>
      </c>
      <c r="AA248" s="14" t="n">
        <f aca="false">IF(OR($N248&lt;&gt;"Yes",$O248=""),0,$Y248*MAX(0,7-$Z248)/12)</f>
        <v>0</v>
      </c>
      <c r="AB248" s="14" t="n">
        <f aca="false">IF(OR($N248&lt;&gt;"Yes",$O248=""),0,$Y248*IF($Z248&lt;=7,12,19-$Z248)/12)</f>
        <v>0</v>
      </c>
      <c r="AC248" s="26" t="str">
        <f aca="false">IF(OR($J248="Yes",$L248="Yes",$N248="Yes"),"Yes","No")</f>
        <v>No</v>
      </c>
      <c r="AD248" s="14" t="n">
        <f aca="false">MAX($Q248,$U248,$Y248)</f>
        <v>0</v>
      </c>
      <c r="AE248" s="26" t="n">
        <f aca="false">$AD248+ROW()*0.000000001</f>
        <v>2.48E-007</v>
      </c>
      <c r="AF248" s="26" t="str">
        <f aca="false">IF($J248="Yes","A","")&amp;IF($L248="Yes","B","")&amp;IF($N248="Yes","C","")</f>
        <v/>
      </c>
    </row>
    <row r="249" customFormat="false" ht="15" hidden="false" customHeight="false" outlineLevel="0" collapsed="false">
      <c r="B249" s="22" t="s">
        <v>546</v>
      </c>
      <c r="C249" s="23" t="s">
        <v>54</v>
      </c>
      <c r="D249" s="23" t="s">
        <v>204</v>
      </c>
      <c r="E249" s="23" t="s">
        <v>547</v>
      </c>
      <c r="F249" s="22" t="s">
        <v>57</v>
      </c>
      <c r="G249" s="23" t="s">
        <v>58</v>
      </c>
      <c r="H249" s="24" t="n">
        <v>1</v>
      </c>
      <c r="I249" s="14" t="n">
        <v>0.2869</v>
      </c>
      <c r="J249" s="25" t="s">
        <v>59</v>
      </c>
      <c r="K249" s="25"/>
      <c r="L249" s="25" t="s">
        <v>59</v>
      </c>
      <c r="M249" s="25"/>
      <c r="N249" s="25" t="s">
        <v>59</v>
      </c>
      <c r="O249" s="25"/>
      <c r="P249" s="14" t="n">
        <v>0.2869</v>
      </c>
      <c r="Q249" s="14" t="n">
        <f aca="false">IF(AND($J249="Yes",$G249&lt;&gt;"Vendor day rates"),$I249-0.4*$P249,0)</f>
        <v>0</v>
      </c>
      <c r="R249" s="26" t="n">
        <f aca="false">IFERROR(MATCH($K249,MonthList,0),0)</f>
        <v>0</v>
      </c>
      <c r="S249" s="14" t="n">
        <f aca="false">IF(OR($J249&lt;&gt;"Yes",$K249=""),0,$Q249*MAX(0,7-$R249)/12)</f>
        <v>0</v>
      </c>
      <c r="T249" s="14" t="n">
        <f aca="false">IF(OR($J249&lt;&gt;"Yes",$K249=""),0,$Q249*IF($R249&lt;=7,12,19-$R249)/12)</f>
        <v>0</v>
      </c>
      <c r="U249" s="14" t="n">
        <f aca="false">IF(AND($L249="Yes",$G249&lt;&gt;"Vendor day rates"),$I249-0.4*$P249,0)</f>
        <v>0</v>
      </c>
      <c r="V249" s="26" t="n">
        <f aca="false">IFERROR(MATCH($M249,MonthList,0),0)</f>
        <v>0</v>
      </c>
      <c r="W249" s="14" t="n">
        <f aca="false">IF(OR($L249&lt;&gt;"Yes",$M249=""),0,$U249*MAX(0,7-$V249)/12)</f>
        <v>0</v>
      </c>
      <c r="X249" s="14" t="n">
        <f aca="false">IF(OR($L249&lt;&gt;"Yes",$M249=""),0,$U249*IF($V249&lt;=7,12,19-$V249)/12)</f>
        <v>0</v>
      </c>
      <c r="Y249" s="14" t="n">
        <f aca="false">IF(AND($N249="Yes",$G249&lt;&gt;"Vendor day rates"),$I249-0.4*$P249,0)</f>
        <v>0</v>
      </c>
      <c r="Z249" s="26" t="n">
        <f aca="false">IFERROR(MATCH($O249,MonthList,0),0)</f>
        <v>0</v>
      </c>
      <c r="AA249" s="14" t="n">
        <f aca="false">IF(OR($N249&lt;&gt;"Yes",$O249=""),0,$Y249*MAX(0,7-$Z249)/12)</f>
        <v>0</v>
      </c>
      <c r="AB249" s="14" t="n">
        <f aca="false">IF(OR($N249&lt;&gt;"Yes",$O249=""),0,$Y249*IF($Z249&lt;=7,12,19-$Z249)/12)</f>
        <v>0</v>
      </c>
      <c r="AC249" s="26" t="str">
        <f aca="false">IF(OR($J249="Yes",$L249="Yes",$N249="Yes"),"Yes","No")</f>
        <v>No</v>
      </c>
      <c r="AD249" s="14" t="n">
        <f aca="false">MAX($Q249,$U249,$Y249)</f>
        <v>0</v>
      </c>
      <c r="AE249" s="26" t="n">
        <f aca="false">$AD249+ROW()*0.000000001</f>
        <v>2.49E-007</v>
      </c>
      <c r="AF249" s="26" t="str">
        <f aca="false">IF($J249="Yes","A","")&amp;IF($L249="Yes","B","")&amp;IF($N249="Yes","C","")</f>
        <v/>
      </c>
    </row>
    <row r="250" customFormat="false" ht="15" hidden="false" customHeight="false" outlineLevel="0" collapsed="false">
      <c r="B250" s="22" t="s">
        <v>548</v>
      </c>
      <c r="C250" s="23" t="s">
        <v>425</v>
      </c>
      <c r="D250" s="23" t="s">
        <v>204</v>
      </c>
      <c r="E250" s="23" t="s">
        <v>547</v>
      </c>
      <c r="F250" s="22" t="s">
        <v>57</v>
      </c>
      <c r="G250" s="23" t="s">
        <v>121</v>
      </c>
      <c r="H250" s="24" t="n">
        <v>1</v>
      </c>
      <c r="I250" s="14" t="n">
        <v>0.129</v>
      </c>
      <c r="J250" s="25" t="s">
        <v>59</v>
      </c>
      <c r="K250" s="25"/>
      <c r="L250" s="25" t="s">
        <v>59</v>
      </c>
      <c r="M250" s="25"/>
      <c r="N250" s="25" t="s">
        <v>59</v>
      </c>
      <c r="O250" s="25"/>
      <c r="P250" s="14" t="n">
        <v>0.3224</v>
      </c>
      <c r="Q250" s="14" t="n">
        <f aca="false">IF(AND($J250="Yes",$G250&lt;&gt;"Vendor day rates"),$I250-0.4*$P250,0)</f>
        <v>0</v>
      </c>
      <c r="R250" s="26" t="n">
        <f aca="false">IFERROR(MATCH($K250,MonthList,0),0)</f>
        <v>0</v>
      </c>
      <c r="S250" s="14" t="n">
        <f aca="false">IF(OR($J250&lt;&gt;"Yes",$K250=""),0,$Q250*MAX(0,7-$R250)/12)</f>
        <v>0</v>
      </c>
      <c r="T250" s="14" t="n">
        <f aca="false">IF(OR($J250&lt;&gt;"Yes",$K250=""),0,$Q250*IF($R250&lt;=7,12,19-$R250)/12)</f>
        <v>0</v>
      </c>
      <c r="U250" s="14" t="n">
        <f aca="false">IF(AND($L250="Yes",$G250&lt;&gt;"Vendor day rates"),$I250-0.4*$P250,0)</f>
        <v>0</v>
      </c>
      <c r="V250" s="26" t="n">
        <f aca="false">IFERROR(MATCH($M250,MonthList,0),0)</f>
        <v>0</v>
      </c>
      <c r="W250" s="14" t="n">
        <f aca="false">IF(OR($L250&lt;&gt;"Yes",$M250=""),0,$U250*MAX(0,7-$V250)/12)</f>
        <v>0</v>
      </c>
      <c r="X250" s="14" t="n">
        <f aca="false">IF(OR($L250&lt;&gt;"Yes",$M250=""),0,$U250*IF($V250&lt;=7,12,19-$V250)/12)</f>
        <v>0</v>
      </c>
      <c r="Y250" s="14" t="n">
        <f aca="false">IF(AND($N250="Yes",$G250&lt;&gt;"Vendor day rates"),$I250-0.4*$P250,0)</f>
        <v>0</v>
      </c>
      <c r="Z250" s="26" t="n">
        <f aca="false">IFERROR(MATCH($O250,MonthList,0),0)</f>
        <v>0</v>
      </c>
      <c r="AA250" s="14" t="n">
        <f aca="false">IF(OR($N250&lt;&gt;"Yes",$O250=""),0,$Y250*MAX(0,7-$Z250)/12)</f>
        <v>0</v>
      </c>
      <c r="AB250" s="14" t="n">
        <f aca="false">IF(OR($N250&lt;&gt;"Yes",$O250=""),0,$Y250*IF($Z250&lt;=7,12,19-$Z250)/12)</f>
        <v>0</v>
      </c>
      <c r="AC250" s="26" t="str">
        <f aca="false">IF(OR($J250="Yes",$L250="Yes",$N250="Yes"),"Yes","No")</f>
        <v>No</v>
      </c>
      <c r="AD250" s="14" t="n">
        <f aca="false">MAX($Q250,$U250,$Y250)</f>
        <v>0</v>
      </c>
      <c r="AE250" s="26" t="n">
        <f aca="false">$AD250+ROW()*0.000000001</f>
        <v>2.5E-007</v>
      </c>
      <c r="AF250" s="26" t="str">
        <f aca="false">IF($J250="Yes","A","")&amp;IF($L250="Yes","B","")&amp;IF($N250="Yes","C","")</f>
        <v/>
      </c>
    </row>
    <row r="251" customFormat="false" ht="15" hidden="false" customHeight="false" outlineLevel="0" collapsed="false">
      <c r="B251" s="22" t="s">
        <v>549</v>
      </c>
      <c r="C251" s="23" t="s">
        <v>550</v>
      </c>
      <c r="D251" s="23" t="s">
        <v>204</v>
      </c>
      <c r="E251" s="23" t="s">
        <v>547</v>
      </c>
      <c r="F251" s="22" t="s">
        <v>57</v>
      </c>
      <c r="G251" s="23" t="s">
        <v>121</v>
      </c>
      <c r="H251" s="24" t="n">
        <v>1</v>
      </c>
      <c r="I251" s="14" t="n">
        <v>0.1502</v>
      </c>
      <c r="J251" s="25" t="s">
        <v>59</v>
      </c>
      <c r="K251" s="25"/>
      <c r="L251" s="25" t="s">
        <v>59</v>
      </c>
      <c r="M251" s="25"/>
      <c r="N251" s="25" t="s">
        <v>59</v>
      </c>
      <c r="O251" s="25"/>
      <c r="P251" s="14" t="n">
        <v>0.3756</v>
      </c>
      <c r="Q251" s="14" t="n">
        <f aca="false">IF(AND($J251="Yes",$G251&lt;&gt;"Vendor day rates"),$I251-0.4*$P251,0)</f>
        <v>0</v>
      </c>
      <c r="R251" s="26" t="n">
        <f aca="false">IFERROR(MATCH($K251,MonthList,0),0)</f>
        <v>0</v>
      </c>
      <c r="S251" s="14" t="n">
        <f aca="false">IF(OR($J251&lt;&gt;"Yes",$K251=""),0,$Q251*MAX(0,7-$R251)/12)</f>
        <v>0</v>
      </c>
      <c r="T251" s="14" t="n">
        <f aca="false">IF(OR($J251&lt;&gt;"Yes",$K251=""),0,$Q251*IF($R251&lt;=7,12,19-$R251)/12)</f>
        <v>0</v>
      </c>
      <c r="U251" s="14" t="n">
        <f aca="false">IF(AND($L251="Yes",$G251&lt;&gt;"Vendor day rates"),$I251-0.4*$P251,0)</f>
        <v>0</v>
      </c>
      <c r="V251" s="26" t="n">
        <f aca="false">IFERROR(MATCH($M251,MonthList,0),0)</f>
        <v>0</v>
      </c>
      <c r="W251" s="14" t="n">
        <f aca="false">IF(OR($L251&lt;&gt;"Yes",$M251=""),0,$U251*MAX(0,7-$V251)/12)</f>
        <v>0</v>
      </c>
      <c r="X251" s="14" t="n">
        <f aca="false">IF(OR($L251&lt;&gt;"Yes",$M251=""),0,$U251*IF($V251&lt;=7,12,19-$V251)/12)</f>
        <v>0</v>
      </c>
      <c r="Y251" s="14" t="n">
        <f aca="false">IF(AND($N251="Yes",$G251&lt;&gt;"Vendor day rates"),$I251-0.4*$P251,0)</f>
        <v>0</v>
      </c>
      <c r="Z251" s="26" t="n">
        <f aca="false">IFERROR(MATCH($O251,MonthList,0),0)</f>
        <v>0</v>
      </c>
      <c r="AA251" s="14" t="n">
        <f aca="false">IF(OR($N251&lt;&gt;"Yes",$O251=""),0,$Y251*MAX(0,7-$Z251)/12)</f>
        <v>0</v>
      </c>
      <c r="AB251" s="14" t="n">
        <f aca="false">IF(OR($N251&lt;&gt;"Yes",$O251=""),0,$Y251*IF($Z251&lt;=7,12,19-$Z251)/12)</f>
        <v>0</v>
      </c>
      <c r="AC251" s="26" t="str">
        <f aca="false">IF(OR($J251="Yes",$L251="Yes",$N251="Yes"),"Yes","No")</f>
        <v>No</v>
      </c>
      <c r="AD251" s="14" t="n">
        <f aca="false">MAX($Q251,$U251,$Y251)</f>
        <v>0</v>
      </c>
      <c r="AE251" s="26" t="n">
        <f aca="false">$AD251+ROW()*0.000000001</f>
        <v>2.51E-007</v>
      </c>
      <c r="AF251" s="26" t="str">
        <f aca="false">IF($J251="Yes","A","")&amp;IF($L251="Yes","B","")&amp;IF($N251="Yes","C","")</f>
        <v/>
      </c>
    </row>
    <row r="252" customFormat="false" ht="15" hidden="false" customHeight="false" outlineLevel="0" collapsed="false">
      <c r="B252" s="22" t="s">
        <v>551</v>
      </c>
      <c r="C252" s="23" t="s">
        <v>552</v>
      </c>
      <c r="D252" s="23" t="s">
        <v>204</v>
      </c>
      <c r="E252" s="23" t="s">
        <v>547</v>
      </c>
      <c r="F252" s="22" t="s">
        <v>57</v>
      </c>
      <c r="G252" s="23" t="s">
        <v>121</v>
      </c>
      <c r="H252" s="24" t="n">
        <v>1</v>
      </c>
      <c r="I252" s="14" t="n">
        <v>0.1303</v>
      </c>
      <c r="J252" s="25" t="s">
        <v>59</v>
      </c>
      <c r="K252" s="25"/>
      <c r="L252" s="25" t="s">
        <v>59</v>
      </c>
      <c r="M252" s="25"/>
      <c r="N252" s="25" t="s">
        <v>59</v>
      </c>
      <c r="O252" s="25"/>
      <c r="P252" s="14" t="n">
        <v>0.3257</v>
      </c>
      <c r="Q252" s="14" t="n">
        <f aca="false">IF(AND($J252="Yes",$G252&lt;&gt;"Vendor day rates"),$I252-0.4*$P252,0)</f>
        <v>0</v>
      </c>
      <c r="R252" s="26" t="n">
        <f aca="false">IFERROR(MATCH($K252,MonthList,0),0)</f>
        <v>0</v>
      </c>
      <c r="S252" s="14" t="n">
        <f aca="false">IF(OR($J252&lt;&gt;"Yes",$K252=""),0,$Q252*MAX(0,7-$R252)/12)</f>
        <v>0</v>
      </c>
      <c r="T252" s="14" t="n">
        <f aca="false">IF(OR($J252&lt;&gt;"Yes",$K252=""),0,$Q252*IF($R252&lt;=7,12,19-$R252)/12)</f>
        <v>0</v>
      </c>
      <c r="U252" s="14" t="n">
        <f aca="false">IF(AND($L252="Yes",$G252&lt;&gt;"Vendor day rates"),$I252-0.4*$P252,0)</f>
        <v>0</v>
      </c>
      <c r="V252" s="26" t="n">
        <f aca="false">IFERROR(MATCH($M252,MonthList,0),0)</f>
        <v>0</v>
      </c>
      <c r="W252" s="14" t="n">
        <f aca="false">IF(OR($L252&lt;&gt;"Yes",$M252=""),0,$U252*MAX(0,7-$V252)/12)</f>
        <v>0</v>
      </c>
      <c r="X252" s="14" t="n">
        <f aca="false">IF(OR($L252&lt;&gt;"Yes",$M252=""),0,$U252*IF($V252&lt;=7,12,19-$V252)/12)</f>
        <v>0</v>
      </c>
      <c r="Y252" s="14" t="n">
        <f aca="false">IF(AND($N252="Yes",$G252&lt;&gt;"Vendor day rates"),$I252-0.4*$P252,0)</f>
        <v>0</v>
      </c>
      <c r="Z252" s="26" t="n">
        <f aca="false">IFERROR(MATCH($O252,MonthList,0),0)</f>
        <v>0</v>
      </c>
      <c r="AA252" s="14" t="n">
        <f aca="false">IF(OR($N252&lt;&gt;"Yes",$O252=""),0,$Y252*MAX(0,7-$Z252)/12)</f>
        <v>0</v>
      </c>
      <c r="AB252" s="14" t="n">
        <f aca="false">IF(OR($N252&lt;&gt;"Yes",$O252=""),0,$Y252*IF($Z252&lt;=7,12,19-$Z252)/12)</f>
        <v>0</v>
      </c>
      <c r="AC252" s="26" t="str">
        <f aca="false">IF(OR($J252="Yes",$L252="Yes",$N252="Yes"),"Yes","No")</f>
        <v>No</v>
      </c>
      <c r="AD252" s="14" t="n">
        <f aca="false">MAX($Q252,$U252,$Y252)</f>
        <v>0</v>
      </c>
      <c r="AE252" s="26" t="n">
        <f aca="false">$AD252+ROW()*0.000000001</f>
        <v>2.52E-007</v>
      </c>
      <c r="AF252" s="26" t="str">
        <f aca="false">IF($J252="Yes","A","")&amp;IF($L252="Yes","B","")&amp;IF($N252="Yes","C","")</f>
        <v/>
      </c>
    </row>
    <row r="253" customFormat="false" ht="15" hidden="false" customHeight="false" outlineLevel="0" collapsed="false">
      <c r="B253" s="22" t="s">
        <v>553</v>
      </c>
      <c r="C253" s="23" t="s">
        <v>116</v>
      </c>
      <c r="D253" s="23" t="s">
        <v>204</v>
      </c>
      <c r="E253" s="23" t="s">
        <v>287</v>
      </c>
      <c r="F253" s="22" t="s">
        <v>57</v>
      </c>
      <c r="G253" s="23" t="s">
        <v>58</v>
      </c>
      <c r="H253" s="24" t="n">
        <v>1</v>
      </c>
      <c r="I253" s="14" t="n">
        <v>0.277</v>
      </c>
      <c r="J253" s="25" t="s">
        <v>59</v>
      </c>
      <c r="K253" s="25"/>
      <c r="L253" s="25" t="s">
        <v>59</v>
      </c>
      <c r="M253" s="25"/>
      <c r="N253" s="25" t="s">
        <v>59</v>
      </c>
      <c r="O253" s="25"/>
      <c r="P253" s="14" t="n">
        <v>0.277</v>
      </c>
      <c r="Q253" s="14" t="n">
        <f aca="false">IF(AND($J253="Yes",$G253&lt;&gt;"Vendor day rates"),$I253-0.4*$P253,0)</f>
        <v>0</v>
      </c>
      <c r="R253" s="26" t="n">
        <f aca="false">IFERROR(MATCH($K253,MonthList,0),0)</f>
        <v>0</v>
      </c>
      <c r="S253" s="14" t="n">
        <f aca="false">IF(OR($J253&lt;&gt;"Yes",$K253=""),0,$Q253*MAX(0,7-$R253)/12)</f>
        <v>0</v>
      </c>
      <c r="T253" s="14" t="n">
        <f aca="false">IF(OR($J253&lt;&gt;"Yes",$K253=""),0,$Q253*IF($R253&lt;=7,12,19-$R253)/12)</f>
        <v>0</v>
      </c>
      <c r="U253" s="14" t="n">
        <f aca="false">IF(AND($L253="Yes",$G253&lt;&gt;"Vendor day rates"),$I253-0.4*$P253,0)</f>
        <v>0</v>
      </c>
      <c r="V253" s="26" t="n">
        <f aca="false">IFERROR(MATCH($M253,MonthList,0),0)</f>
        <v>0</v>
      </c>
      <c r="W253" s="14" t="n">
        <f aca="false">IF(OR($L253&lt;&gt;"Yes",$M253=""),0,$U253*MAX(0,7-$V253)/12)</f>
        <v>0</v>
      </c>
      <c r="X253" s="14" t="n">
        <f aca="false">IF(OR($L253&lt;&gt;"Yes",$M253=""),0,$U253*IF($V253&lt;=7,12,19-$V253)/12)</f>
        <v>0</v>
      </c>
      <c r="Y253" s="14" t="n">
        <f aca="false">IF(AND($N253="Yes",$G253&lt;&gt;"Vendor day rates"),$I253-0.4*$P253,0)</f>
        <v>0</v>
      </c>
      <c r="Z253" s="26" t="n">
        <f aca="false">IFERROR(MATCH($O253,MonthList,0),0)</f>
        <v>0</v>
      </c>
      <c r="AA253" s="14" t="n">
        <f aca="false">IF(OR($N253&lt;&gt;"Yes",$O253=""),0,$Y253*MAX(0,7-$Z253)/12)</f>
        <v>0</v>
      </c>
      <c r="AB253" s="14" t="n">
        <f aca="false">IF(OR($N253&lt;&gt;"Yes",$O253=""),0,$Y253*IF($Z253&lt;=7,12,19-$Z253)/12)</f>
        <v>0</v>
      </c>
      <c r="AC253" s="26" t="str">
        <f aca="false">IF(OR($J253="Yes",$L253="Yes",$N253="Yes"),"Yes","No")</f>
        <v>No</v>
      </c>
      <c r="AD253" s="14" t="n">
        <f aca="false">MAX($Q253,$U253,$Y253)</f>
        <v>0</v>
      </c>
      <c r="AE253" s="26" t="n">
        <f aca="false">$AD253+ROW()*0.000000001</f>
        <v>2.53E-007</v>
      </c>
      <c r="AF253" s="26" t="str">
        <f aca="false">IF($J253="Yes","A","")&amp;IF($L253="Yes","B","")&amp;IF($N253="Yes","C","")</f>
        <v/>
      </c>
    </row>
    <row r="254" customFormat="false" ht="15" hidden="false" customHeight="false" outlineLevel="0" collapsed="false">
      <c r="B254" s="22" t="s">
        <v>554</v>
      </c>
      <c r="C254" s="23" t="s">
        <v>351</v>
      </c>
      <c r="D254" s="23" t="s">
        <v>204</v>
      </c>
      <c r="E254" s="23" t="s">
        <v>287</v>
      </c>
      <c r="F254" s="22" t="s">
        <v>112</v>
      </c>
      <c r="G254" s="23" t="s">
        <v>58</v>
      </c>
      <c r="H254" s="24" t="n">
        <v>1</v>
      </c>
      <c r="I254" s="14" t="n">
        <v>0.1806</v>
      </c>
      <c r="J254" s="25" t="s">
        <v>59</v>
      </c>
      <c r="K254" s="25"/>
      <c r="L254" s="25" t="s">
        <v>59</v>
      </c>
      <c r="M254" s="25"/>
      <c r="N254" s="25" t="s">
        <v>59</v>
      </c>
      <c r="O254" s="25"/>
      <c r="P254" s="14" t="n">
        <v>0.1806</v>
      </c>
      <c r="Q254" s="14" t="n">
        <f aca="false">IF(AND($J254="Yes",$G254&lt;&gt;"Vendor day rates"),$I254-0.4*$P254,0)</f>
        <v>0</v>
      </c>
      <c r="R254" s="26" t="n">
        <f aca="false">IFERROR(MATCH($K254,MonthList,0),0)</f>
        <v>0</v>
      </c>
      <c r="S254" s="14" t="n">
        <f aca="false">IF(OR($J254&lt;&gt;"Yes",$K254=""),0,$Q254*MAX(0,7-$R254)/12)</f>
        <v>0</v>
      </c>
      <c r="T254" s="14" t="n">
        <f aca="false">IF(OR($J254&lt;&gt;"Yes",$K254=""),0,$Q254*IF($R254&lt;=7,12,19-$R254)/12)</f>
        <v>0</v>
      </c>
      <c r="U254" s="14" t="n">
        <f aca="false">IF(AND($L254="Yes",$G254&lt;&gt;"Vendor day rates"),$I254-0.4*$P254,0)</f>
        <v>0</v>
      </c>
      <c r="V254" s="26" t="n">
        <f aca="false">IFERROR(MATCH($M254,MonthList,0),0)</f>
        <v>0</v>
      </c>
      <c r="W254" s="14" t="n">
        <f aca="false">IF(OR($L254&lt;&gt;"Yes",$M254=""),0,$U254*MAX(0,7-$V254)/12)</f>
        <v>0</v>
      </c>
      <c r="X254" s="14" t="n">
        <f aca="false">IF(OR($L254&lt;&gt;"Yes",$M254=""),0,$U254*IF($V254&lt;=7,12,19-$V254)/12)</f>
        <v>0</v>
      </c>
      <c r="Y254" s="14" t="n">
        <f aca="false">IF(AND($N254="Yes",$G254&lt;&gt;"Vendor day rates"),$I254-0.4*$P254,0)</f>
        <v>0</v>
      </c>
      <c r="Z254" s="26" t="n">
        <f aca="false">IFERROR(MATCH($O254,MonthList,0),0)</f>
        <v>0</v>
      </c>
      <c r="AA254" s="14" t="n">
        <f aca="false">IF(OR($N254&lt;&gt;"Yes",$O254=""),0,$Y254*MAX(0,7-$Z254)/12)</f>
        <v>0</v>
      </c>
      <c r="AB254" s="14" t="n">
        <f aca="false">IF(OR($N254&lt;&gt;"Yes",$O254=""),0,$Y254*IF($Z254&lt;=7,12,19-$Z254)/12)</f>
        <v>0</v>
      </c>
      <c r="AC254" s="26" t="str">
        <f aca="false">IF(OR($J254="Yes",$L254="Yes",$N254="Yes"),"Yes","No")</f>
        <v>No</v>
      </c>
      <c r="AD254" s="14" t="n">
        <f aca="false">MAX($Q254,$U254,$Y254)</f>
        <v>0</v>
      </c>
      <c r="AE254" s="26" t="n">
        <f aca="false">$AD254+ROW()*0.000000001</f>
        <v>2.54E-007</v>
      </c>
      <c r="AF254" s="26" t="str">
        <f aca="false">IF($J254="Yes","A","")&amp;IF($L254="Yes","B","")&amp;IF($N254="Yes","C","")</f>
        <v/>
      </c>
    </row>
    <row r="255" customFormat="false" ht="15" hidden="false" customHeight="false" outlineLevel="0" collapsed="false">
      <c r="B255" s="22" t="s">
        <v>555</v>
      </c>
      <c r="C255" s="23" t="s">
        <v>556</v>
      </c>
      <c r="D255" s="23" t="s">
        <v>204</v>
      </c>
      <c r="E255" s="23" t="s">
        <v>287</v>
      </c>
      <c r="F255" s="22" t="s">
        <v>57</v>
      </c>
      <c r="G255" s="23" t="s">
        <v>58</v>
      </c>
      <c r="H255" s="24" t="n">
        <v>1</v>
      </c>
      <c r="I255" s="14" t="n">
        <v>0.2803</v>
      </c>
      <c r="J255" s="25" t="s">
        <v>59</v>
      </c>
      <c r="K255" s="25"/>
      <c r="L255" s="25" t="s">
        <v>59</v>
      </c>
      <c r="M255" s="25"/>
      <c r="N255" s="25" t="s">
        <v>59</v>
      </c>
      <c r="O255" s="25"/>
      <c r="P255" s="14" t="n">
        <v>0.2803</v>
      </c>
      <c r="Q255" s="14" t="n">
        <f aca="false">IF(AND($J255="Yes",$G255&lt;&gt;"Vendor day rates"),$I255-0.4*$P255,0)</f>
        <v>0</v>
      </c>
      <c r="R255" s="26" t="n">
        <f aca="false">IFERROR(MATCH($K255,MonthList,0),0)</f>
        <v>0</v>
      </c>
      <c r="S255" s="14" t="n">
        <f aca="false">IF(OR($J255&lt;&gt;"Yes",$K255=""),0,$Q255*MAX(0,7-$R255)/12)</f>
        <v>0</v>
      </c>
      <c r="T255" s="14" t="n">
        <f aca="false">IF(OR($J255&lt;&gt;"Yes",$K255=""),0,$Q255*IF($R255&lt;=7,12,19-$R255)/12)</f>
        <v>0</v>
      </c>
      <c r="U255" s="14" t="n">
        <f aca="false">IF(AND($L255="Yes",$G255&lt;&gt;"Vendor day rates"),$I255-0.4*$P255,0)</f>
        <v>0</v>
      </c>
      <c r="V255" s="26" t="n">
        <f aca="false">IFERROR(MATCH($M255,MonthList,0),0)</f>
        <v>0</v>
      </c>
      <c r="W255" s="14" t="n">
        <f aca="false">IF(OR($L255&lt;&gt;"Yes",$M255=""),0,$U255*MAX(0,7-$V255)/12)</f>
        <v>0</v>
      </c>
      <c r="X255" s="14" t="n">
        <f aca="false">IF(OR($L255&lt;&gt;"Yes",$M255=""),0,$U255*IF($V255&lt;=7,12,19-$V255)/12)</f>
        <v>0</v>
      </c>
      <c r="Y255" s="14" t="n">
        <f aca="false">IF(AND($N255="Yes",$G255&lt;&gt;"Vendor day rates"),$I255-0.4*$P255,0)</f>
        <v>0</v>
      </c>
      <c r="Z255" s="26" t="n">
        <f aca="false">IFERROR(MATCH($O255,MonthList,0),0)</f>
        <v>0</v>
      </c>
      <c r="AA255" s="14" t="n">
        <f aca="false">IF(OR($N255&lt;&gt;"Yes",$O255=""),0,$Y255*MAX(0,7-$Z255)/12)</f>
        <v>0</v>
      </c>
      <c r="AB255" s="14" t="n">
        <f aca="false">IF(OR($N255&lt;&gt;"Yes",$O255=""),0,$Y255*IF($Z255&lt;=7,12,19-$Z255)/12)</f>
        <v>0</v>
      </c>
      <c r="AC255" s="26" t="str">
        <f aca="false">IF(OR($J255="Yes",$L255="Yes",$N255="Yes"),"Yes","No")</f>
        <v>No</v>
      </c>
      <c r="AD255" s="14" t="n">
        <f aca="false">MAX($Q255,$U255,$Y255)</f>
        <v>0</v>
      </c>
      <c r="AE255" s="26" t="n">
        <f aca="false">$AD255+ROW()*0.000000001</f>
        <v>2.55E-007</v>
      </c>
      <c r="AF255" s="26" t="str">
        <f aca="false">IF($J255="Yes","A","")&amp;IF($L255="Yes","B","")&amp;IF($N255="Yes","C","")</f>
        <v/>
      </c>
    </row>
    <row r="256" customFormat="false" ht="15" hidden="false" customHeight="false" outlineLevel="0" collapsed="false">
      <c r="B256" s="22" t="s">
        <v>557</v>
      </c>
      <c r="C256" s="23" t="s">
        <v>403</v>
      </c>
      <c r="D256" s="23" t="s">
        <v>204</v>
      </c>
      <c r="E256" s="23" t="s">
        <v>287</v>
      </c>
      <c r="F256" s="22" t="s">
        <v>112</v>
      </c>
      <c r="G256" s="23" t="s">
        <v>58</v>
      </c>
      <c r="H256" s="24" t="n">
        <v>1</v>
      </c>
      <c r="I256" s="14" t="n">
        <v>0.1973</v>
      </c>
      <c r="J256" s="25" t="s">
        <v>59</v>
      </c>
      <c r="K256" s="25"/>
      <c r="L256" s="25" t="s">
        <v>59</v>
      </c>
      <c r="M256" s="25"/>
      <c r="N256" s="25" t="s">
        <v>59</v>
      </c>
      <c r="O256" s="25"/>
      <c r="P256" s="14" t="n">
        <v>0.1973</v>
      </c>
      <c r="Q256" s="14" t="n">
        <f aca="false">IF(AND($J256="Yes",$G256&lt;&gt;"Vendor day rates"),$I256-0.4*$P256,0)</f>
        <v>0</v>
      </c>
      <c r="R256" s="26" t="n">
        <f aca="false">IFERROR(MATCH($K256,MonthList,0),0)</f>
        <v>0</v>
      </c>
      <c r="S256" s="14" t="n">
        <f aca="false">IF(OR($J256&lt;&gt;"Yes",$K256=""),0,$Q256*MAX(0,7-$R256)/12)</f>
        <v>0</v>
      </c>
      <c r="T256" s="14" t="n">
        <f aca="false">IF(OR($J256&lt;&gt;"Yes",$K256=""),0,$Q256*IF($R256&lt;=7,12,19-$R256)/12)</f>
        <v>0</v>
      </c>
      <c r="U256" s="14" t="n">
        <f aca="false">IF(AND($L256="Yes",$G256&lt;&gt;"Vendor day rates"),$I256-0.4*$P256,0)</f>
        <v>0</v>
      </c>
      <c r="V256" s="26" t="n">
        <f aca="false">IFERROR(MATCH($M256,MonthList,0),0)</f>
        <v>0</v>
      </c>
      <c r="W256" s="14" t="n">
        <f aca="false">IF(OR($L256&lt;&gt;"Yes",$M256=""),0,$U256*MAX(0,7-$V256)/12)</f>
        <v>0</v>
      </c>
      <c r="X256" s="14" t="n">
        <f aca="false">IF(OR($L256&lt;&gt;"Yes",$M256=""),0,$U256*IF($V256&lt;=7,12,19-$V256)/12)</f>
        <v>0</v>
      </c>
      <c r="Y256" s="14" t="n">
        <f aca="false">IF(AND($N256="Yes",$G256&lt;&gt;"Vendor day rates"),$I256-0.4*$P256,0)</f>
        <v>0</v>
      </c>
      <c r="Z256" s="26" t="n">
        <f aca="false">IFERROR(MATCH($O256,MonthList,0),0)</f>
        <v>0</v>
      </c>
      <c r="AA256" s="14" t="n">
        <f aca="false">IF(OR($N256&lt;&gt;"Yes",$O256=""),0,$Y256*MAX(0,7-$Z256)/12)</f>
        <v>0</v>
      </c>
      <c r="AB256" s="14" t="n">
        <f aca="false">IF(OR($N256&lt;&gt;"Yes",$O256=""),0,$Y256*IF($Z256&lt;=7,12,19-$Z256)/12)</f>
        <v>0</v>
      </c>
      <c r="AC256" s="26" t="str">
        <f aca="false">IF(OR($J256="Yes",$L256="Yes",$N256="Yes"),"Yes","No")</f>
        <v>No</v>
      </c>
      <c r="AD256" s="14" t="n">
        <f aca="false">MAX($Q256,$U256,$Y256)</f>
        <v>0</v>
      </c>
      <c r="AE256" s="26" t="n">
        <f aca="false">$AD256+ROW()*0.000000001</f>
        <v>2.56E-007</v>
      </c>
      <c r="AF256" s="26" t="str">
        <f aca="false">IF($J256="Yes","A","")&amp;IF($L256="Yes","B","")&amp;IF($N256="Yes","C","")</f>
        <v/>
      </c>
    </row>
    <row r="257" customFormat="false" ht="15" hidden="false" customHeight="false" outlineLevel="0" collapsed="false">
      <c r="B257" s="22" t="s">
        <v>558</v>
      </c>
      <c r="C257" s="23" t="s">
        <v>559</v>
      </c>
      <c r="D257" s="23" t="s">
        <v>91</v>
      </c>
      <c r="E257" s="23" t="s">
        <v>92</v>
      </c>
      <c r="F257" s="22" t="s">
        <v>57</v>
      </c>
      <c r="G257" s="23" t="s">
        <v>476</v>
      </c>
      <c r="H257" s="24" t="n">
        <v>1</v>
      </c>
      <c r="I257" s="14" t="n">
        <v>0.0695</v>
      </c>
      <c r="J257" s="25" t="s">
        <v>59</v>
      </c>
      <c r="K257" s="25"/>
      <c r="L257" s="25" t="s">
        <v>59</v>
      </c>
      <c r="M257" s="25"/>
      <c r="N257" s="25" t="s">
        <v>59</v>
      </c>
      <c r="O257" s="25"/>
      <c r="P257" s="14" t="n">
        <v>0.2317</v>
      </c>
      <c r="Q257" s="14" t="n">
        <f aca="false">IF(AND($J257="Yes",$G257&lt;&gt;"Vendor day rates"),$I257-0.4*$P257,0)</f>
        <v>0</v>
      </c>
      <c r="R257" s="26" t="n">
        <f aca="false">IFERROR(MATCH($K257,MonthList,0),0)</f>
        <v>0</v>
      </c>
      <c r="S257" s="14" t="n">
        <f aca="false">IF(OR($J257&lt;&gt;"Yes",$K257=""),0,$Q257*MAX(0,7-$R257)/12)</f>
        <v>0</v>
      </c>
      <c r="T257" s="14" t="n">
        <f aca="false">IF(OR($J257&lt;&gt;"Yes",$K257=""),0,$Q257*IF($R257&lt;=7,12,19-$R257)/12)</f>
        <v>0</v>
      </c>
      <c r="U257" s="14" t="n">
        <f aca="false">IF(AND($L257="Yes",$G257&lt;&gt;"Vendor day rates"),$I257-0.4*$P257,0)</f>
        <v>0</v>
      </c>
      <c r="V257" s="26" t="n">
        <f aca="false">IFERROR(MATCH($M257,MonthList,0),0)</f>
        <v>0</v>
      </c>
      <c r="W257" s="14" t="n">
        <f aca="false">IF(OR($L257&lt;&gt;"Yes",$M257=""),0,$U257*MAX(0,7-$V257)/12)</f>
        <v>0</v>
      </c>
      <c r="X257" s="14" t="n">
        <f aca="false">IF(OR($L257&lt;&gt;"Yes",$M257=""),0,$U257*IF($V257&lt;=7,12,19-$V257)/12)</f>
        <v>0</v>
      </c>
      <c r="Y257" s="14" t="n">
        <f aca="false">IF(AND($N257="Yes",$G257&lt;&gt;"Vendor day rates"),$I257-0.4*$P257,0)</f>
        <v>0</v>
      </c>
      <c r="Z257" s="26" t="n">
        <f aca="false">IFERROR(MATCH($O257,MonthList,0),0)</f>
        <v>0</v>
      </c>
      <c r="AA257" s="14" t="n">
        <f aca="false">IF(OR($N257&lt;&gt;"Yes",$O257=""),0,$Y257*MAX(0,7-$Z257)/12)</f>
        <v>0</v>
      </c>
      <c r="AB257" s="14" t="n">
        <f aca="false">IF(OR($N257&lt;&gt;"Yes",$O257=""),0,$Y257*IF($Z257&lt;=7,12,19-$Z257)/12)</f>
        <v>0</v>
      </c>
      <c r="AC257" s="26" t="str">
        <f aca="false">IF(OR($J257="Yes",$L257="Yes",$N257="Yes"),"Yes","No")</f>
        <v>No</v>
      </c>
      <c r="AD257" s="14" t="n">
        <f aca="false">MAX($Q257,$U257,$Y257)</f>
        <v>0</v>
      </c>
      <c r="AE257" s="26" t="n">
        <f aca="false">$AD257+ROW()*0.000000001</f>
        <v>2.57E-007</v>
      </c>
      <c r="AF257" s="26" t="str">
        <f aca="false">IF($J257="Yes","A","")&amp;IF($L257="Yes","B","")&amp;IF($N257="Yes","C","")</f>
        <v/>
      </c>
    </row>
    <row r="258" customFormat="false" ht="15" hidden="false" customHeight="false" outlineLevel="0" collapsed="false">
      <c r="B258" s="22" t="s">
        <v>560</v>
      </c>
      <c r="C258" s="23" t="s">
        <v>561</v>
      </c>
      <c r="D258" s="23" t="s">
        <v>147</v>
      </c>
      <c r="E258" s="23" t="s">
        <v>199</v>
      </c>
      <c r="F258" s="22" t="s">
        <v>57</v>
      </c>
      <c r="G258" s="23" t="s">
        <v>149</v>
      </c>
      <c r="H258" s="24" t="n">
        <v>1</v>
      </c>
      <c r="I258" s="14" t="n">
        <v>0.2317</v>
      </c>
      <c r="J258" s="25" t="s">
        <v>59</v>
      </c>
      <c r="K258" s="25"/>
      <c r="L258" s="25" t="s">
        <v>59</v>
      </c>
      <c r="M258" s="25"/>
      <c r="N258" s="25" t="s">
        <v>59</v>
      </c>
      <c r="O258" s="25"/>
      <c r="P258" s="14" t="n">
        <v>0.2317</v>
      </c>
      <c r="Q258" s="14" t="n">
        <f aca="false">IF(AND($J258="Yes",$G258&lt;&gt;"Vendor day rates"),$I258-0.4*$P258,0)</f>
        <v>0</v>
      </c>
      <c r="R258" s="26" t="n">
        <f aca="false">IFERROR(MATCH($K258,MonthList,0),0)</f>
        <v>0</v>
      </c>
      <c r="S258" s="14" t="n">
        <f aca="false">IF(OR($J258&lt;&gt;"Yes",$K258=""),0,$Q258*MAX(0,7-$R258)/12)</f>
        <v>0</v>
      </c>
      <c r="T258" s="14" t="n">
        <f aca="false">IF(OR($J258&lt;&gt;"Yes",$K258=""),0,$Q258*IF($R258&lt;=7,12,19-$R258)/12)</f>
        <v>0</v>
      </c>
      <c r="U258" s="14" t="n">
        <f aca="false">IF(AND($L258="Yes",$G258&lt;&gt;"Vendor day rates"),$I258-0.4*$P258,0)</f>
        <v>0</v>
      </c>
      <c r="V258" s="26" t="n">
        <f aca="false">IFERROR(MATCH($M258,MonthList,0),0)</f>
        <v>0</v>
      </c>
      <c r="W258" s="14" t="n">
        <f aca="false">IF(OR($L258&lt;&gt;"Yes",$M258=""),0,$U258*MAX(0,7-$V258)/12)</f>
        <v>0</v>
      </c>
      <c r="X258" s="14" t="n">
        <f aca="false">IF(OR($L258&lt;&gt;"Yes",$M258=""),0,$U258*IF($V258&lt;=7,12,19-$V258)/12)</f>
        <v>0</v>
      </c>
      <c r="Y258" s="14" t="n">
        <f aca="false">IF(AND($N258="Yes",$G258&lt;&gt;"Vendor day rates"),$I258-0.4*$P258,0)</f>
        <v>0</v>
      </c>
      <c r="Z258" s="26" t="n">
        <f aca="false">IFERROR(MATCH($O258,MonthList,0),0)</f>
        <v>0</v>
      </c>
      <c r="AA258" s="14" t="n">
        <f aca="false">IF(OR($N258&lt;&gt;"Yes",$O258=""),0,$Y258*MAX(0,7-$Z258)/12)</f>
        <v>0</v>
      </c>
      <c r="AB258" s="14" t="n">
        <f aca="false">IF(OR($N258&lt;&gt;"Yes",$O258=""),0,$Y258*IF($Z258&lt;=7,12,19-$Z258)/12)</f>
        <v>0</v>
      </c>
      <c r="AC258" s="26" t="str">
        <f aca="false">IF(OR($J258="Yes",$L258="Yes",$N258="Yes"),"Yes","No")</f>
        <v>No</v>
      </c>
      <c r="AD258" s="14" t="n">
        <f aca="false">MAX($Q258,$U258,$Y258)</f>
        <v>0</v>
      </c>
      <c r="AE258" s="26" t="n">
        <f aca="false">$AD258+ROW()*0.000000001</f>
        <v>2.58E-007</v>
      </c>
      <c r="AF258" s="26" t="str">
        <f aca="false">IF($J258="Yes","A","")&amp;IF($L258="Yes","B","")&amp;IF($N258="Yes","C","")</f>
        <v/>
      </c>
    </row>
    <row r="259" customFormat="false" ht="15" hidden="false" customHeight="false" outlineLevel="0" collapsed="false">
      <c r="B259" s="22" t="s">
        <v>562</v>
      </c>
      <c r="C259" s="23" t="s">
        <v>351</v>
      </c>
      <c r="D259" s="23" t="s">
        <v>212</v>
      </c>
      <c r="E259" s="23" t="s">
        <v>563</v>
      </c>
      <c r="F259" s="22" t="s">
        <v>57</v>
      </c>
      <c r="G259" s="23" t="s">
        <v>149</v>
      </c>
      <c r="H259" s="24" t="n">
        <v>1</v>
      </c>
      <c r="I259" s="14" t="n">
        <v>0.2245</v>
      </c>
      <c r="J259" s="25" t="s">
        <v>59</v>
      </c>
      <c r="K259" s="25"/>
      <c r="L259" s="25" t="s">
        <v>59</v>
      </c>
      <c r="M259" s="25"/>
      <c r="N259" s="25" t="s">
        <v>59</v>
      </c>
      <c r="O259" s="25"/>
      <c r="P259" s="14" t="n">
        <v>0.2245</v>
      </c>
      <c r="Q259" s="14" t="n">
        <f aca="false">IF(AND($J259="Yes",$G259&lt;&gt;"Vendor day rates"),$I259-0.4*$P259,0)</f>
        <v>0</v>
      </c>
      <c r="R259" s="26" t="n">
        <f aca="false">IFERROR(MATCH($K259,MonthList,0),0)</f>
        <v>0</v>
      </c>
      <c r="S259" s="14" t="n">
        <f aca="false">IF(OR($J259&lt;&gt;"Yes",$K259=""),0,$Q259*MAX(0,7-$R259)/12)</f>
        <v>0</v>
      </c>
      <c r="T259" s="14" t="n">
        <f aca="false">IF(OR($J259&lt;&gt;"Yes",$K259=""),0,$Q259*IF($R259&lt;=7,12,19-$R259)/12)</f>
        <v>0</v>
      </c>
      <c r="U259" s="14" t="n">
        <f aca="false">IF(AND($L259="Yes",$G259&lt;&gt;"Vendor day rates"),$I259-0.4*$P259,0)</f>
        <v>0</v>
      </c>
      <c r="V259" s="26" t="n">
        <f aca="false">IFERROR(MATCH($M259,MonthList,0),0)</f>
        <v>0</v>
      </c>
      <c r="W259" s="14" t="n">
        <f aca="false">IF(OR($L259&lt;&gt;"Yes",$M259=""),0,$U259*MAX(0,7-$V259)/12)</f>
        <v>0</v>
      </c>
      <c r="X259" s="14" t="n">
        <f aca="false">IF(OR($L259&lt;&gt;"Yes",$M259=""),0,$U259*IF($V259&lt;=7,12,19-$V259)/12)</f>
        <v>0</v>
      </c>
      <c r="Y259" s="14" t="n">
        <f aca="false">IF(AND($N259="Yes",$G259&lt;&gt;"Vendor day rates"),$I259-0.4*$P259,0)</f>
        <v>0</v>
      </c>
      <c r="Z259" s="26" t="n">
        <f aca="false">IFERROR(MATCH($O259,MonthList,0),0)</f>
        <v>0</v>
      </c>
      <c r="AA259" s="14" t="n">
        <f aca="false">IF(OR($N259&lt;&gt;"Yes",$O259=""),0,$Y259*MAX(0,7-$Z259)/12)</f>
        <v>0</v>
      </c>
      <c r="AB259" s="14" t="n">
        <f aca="false">IF(OR($N259&lt;&gt;"Yes",$O259=""),0,$Y259*IF($Z259&lt;=7,12,19-$Z259)/12)</f>
        <v>0</v>
      </c>
      <c r="AC259" s="26" t="str">
        <f aca="false">IF(OR($J259="Yes",$L259="Yes",$N259="Yes"),"Yes","No")</f>
        <v>No</v>
      </c>
      <c r="AD259" s="14" t="n">
        <f aca="false">MAX($Q259,$U259,$Y259)</f>
        <v>0</v>
      </c>
      <c r="AE259" s="26" t="n">
        <f aca="false">$AD259+ROW()*0.000000001</f>
        <v>2.59E-007</v>
      </c>
      <c r="AF259" s="26" t="str">
        <f aca="false">IF($J259="Yes","A","")&amp;IF($L259="Yes","B","")&amp;IF($N259="Yes","C","")</f>
        <v/>
      </c>
    </row>
    <row r="260" customFormat="false" ht="15" hidden="false" customHeight="false" outlineLevel="0" collapsed="false">
      <c r="B260" s="22" t="s">
        <v>564</v>
      </c>
      <c r="C260" s="23" t="s">
        <v>54</v>
      </c>
      <c r="D260" s="23" t="s">
        <v>212</v>
      </c>
      <c r="E260" s="23" t="s">
        <v>325</v>
      </c>
      <c r="F260" s="22" t="s">
        <v>57</v>
      </c>
      <c r="G260" s="23" t="s">
        <v>58</v>
      </c>
      <c r="H260" s="24" t="n">
        <v>1</v>
      </c>
      <c r="I260" s="14" t="n">
        <v>0.2377</v>
      </c>
      <c r="J260" s="25" t="s">
        <v>59</v>
      </c>
      <c r="K260" s="25"/>
      <c r="L260" s="25" t="s">
        <v>59</v>
      </c>
      <c r="M260" s="25"/>
      <c r="N260" s="25" t="s">
        <v>59</v>
      </c>
      <c r="O260" s="25"/>
      <c r="P260" s="14" t="n">
        <v>0.2377</v>
      </c>
      <c r="Q260" s="14" t="n">
        <f aca="false">IF(AND($J260="Yes",$G260&lt;&gt;"Vendor day rates"),$I260-0.4*$P260,0)</f>
        <v>0</v>
      </c>
      <c r="R260" s="26" t="n">
        <f aca="false">IFERROR(MATCH($K260,MonthList,0),0)</f>
        <v>0</v>
      </c>
      <c r="S260" s="14" t="n">
        <f aca="false">IF(OR($J260&lt;&gt;"Yes",$K260=""),0,$Q260*MAX(0,7-$R260)/12)</f>
        <v>0</v>
      </c>
      <c r="T260" s="14" t="n">
        <f aca="false">IF(OR($J260&lt;&gt;"Yes",$K260=""),0,$Q260*IF($R260&lt;=7,12,19-$R260)/12)</f>
        <v>0</v>
      </c>
      <c r="U260" s="14" t="n">
        <f aca="false">IF(AND($L260="Yes",$G260&lt;&gt;"Vendor day rates"),$I260-0.4*$P260,0)</f>
        <v>0</v>
      </c>
      <c r="V260" s="26" t="n">
        <f aca="false">IFERROR(MATCH($M260,MonthList,0),0)</f>
        <v>0</v>
      </c>
      <c r="W260" s="14" t="n">
        <f aca="false">IF(OR($L260&lt;&gt;"Yes",$M260=""),0,$U260*MAX(0,7-$V260)/12)</f>
        <v>0</v>
      </c>
      <c r="X260" s="14" t="n">
        <f aca="false">IF(OR($L260&lt;&gt;"Yes",$M260=""),0,$U260*IF($V260&lt;=7,12,19-$V260)/12)</f>
        <v>0</v>
      </c>
      <c r="Y260" s="14" t="n">
        <f aca="false">IF(AND($N260="Yes",$G260&lt;&gt;"Vendor day rates"),$I260-0.4*$P260,0)</f>
        <v>0</v>
      </c>
      <c r="Z260" s="26" t="n">
        <f aca="false">IFERROR(MATCH($O260,MonthList,0),0)</f>
        <v>0</v>
      </c>
      <c r="AA260" s="14" t="n">
        <f aca="false">IF(OR($N260&lt;&gt;"Yes",$O260=""),0,$Y260*MAX(0,7-$Z260)/12)</f>
        <v>0</v>
      </c>
      <c r="AB260" s="14" t="n">
        <f aca="false">IF(OR($N260&lt;&gt;"Yes",$O260=""),0,$Y260*IF($Z260&lt;=7,12,19-$Z260)/12)</f>
        <v>0</v>
      </c>
      <c r="AC260" s="26" t="str">
        <f aca="false">IF(OR($J260="Yes",$L260="Yes",$N260="Yes"),"Yes","No")</f>
        <v>No</v>
      </c>
      <c r="AD260" s="14" t="n">
        <f aca="false">MAX($Q260,$U260,$Y260)</f>
        <v>0</v>
      </c>
      <c r="AE260" s="26" t="n">
        <f aca="false">$AD260+ROW()*0.000000001</f>
        <v>2.6E-007</v>
      </c>
      <c r="AF260" s="26" t="str">
        <f aca="false">IF($J260="Yes","A","")&amp;IF($L260="Yes","B","")&amp;IF($N260="Yes","C","")</f>
        <v/>
      </c>
    </row>
    <row r="261" customFormat="false" ht="15" hidden="false" customHeight="false" outlineLevel="0" collapsed="false">
      <c r="B261" s="22" t="s">
        <v>565</v>
      </c>
      <c r="C261" s="23" t="s">
        <v>54</v>
      </c>
      <c r="D261" s="23" t="s">
        <v>212</v>
      </c>
      <c r="E261" s="23" t="s">
        <v>325</v>
      </c>
      <c r="F261" s="22" t="s">
        <v>57</v>
      </c>
      <c r="G261" s="23" t="s">
        <v>58</v>
      </c>
      <c r="H261" s="24" t="n">
        <v>1</v>
      </c>
      <c r="I261" s="14" t="n">
        <v>0.1613</v>
      </c>
      <c r="J261" s="25" t="s">
        <v>59</v>
      </c>
      <c r="K261" s="25"/>
      <c r="L261" s="25" t="s">
        <v>59</v>
      </c>
      <c r="M261" s="25"/>
      <c r="N261" s="25" t="s">
        <v>59</v>
      </c>
      <c r="O261" s="25"/>
      <c r="P261" s="14" t="n">
        <v>0.1613</v>
      </c>
      <c r="Q261" s="14" t="n">
        <f aca="false">IF(AND($J261="Yes",$G261&lt;&gt;"Vendor day rates"),$I261-0.4*$P261,0)</f>
        <v>0</v>
      </c>
      <c r="R261" s="26" t="n">
        <f aca="false">IFERROR(MATCH($K261,MonthList,0),0)</f>
        <v>0</v>
      </c>
      <c r="S261" s="14" t="n">
        <f aca="false">IF(OR($J261&lt;&gt;"Yes",$K261=""),0,$Q261*MAX(0,7-$R261)/12)</f>
        <v>0</v>
      </c>
      <c r="T261" s="14" t="n">
        <f aca="false">IF(OR($J261&lt;&gt;"Yes",$K261=""),0,$Q261*IF($R261&lt;=7,12,19-$R261)/12)</f>
        <v>0</v>
      </c>
      <c r="U261" s="14" t="n">
        <f aca="false">IF(AND($L261="Yes",$G261&lt;&gt;"Vendor day rates"),$I261-0.4*$P261,0)</f>
        <v>0</v>
      </c>
      <c r="V261" s="26" t="n">
        <f aca="false">IFERROR(MATCH($M261,MonthList,0),0)</f>
        <v>0</v>
      </c>
      <c r="W261" s="14" t="n">
        <f aca="false">IF(OR($L261&lt;&gt;"Yes",$M261=""),0,$U261*MAX(0,7-$V261)/12)</f>
        <v>0</v>
      </c>
      <c r="X261" s="14" t="n">
        <f aca="false">IF(OR($L261&lt;&gt;"Yes",$M261=""),0,$U261*IF($V261&lt;=7,12,19-$V261)/12)</f>
        <v>0</v>
      </c>
      <c r="Y261" s="14" t="n">
        <f aca="false">IF(AND($N261="Yes",$G261&lt;&gt;"Vendor day rates"),$I261-0.4*$P261,0)</f>
        <v>0</v>
      </c>
      <c r="Z261" s="26" t="n">
        <f aca="false">IFERROR(MATCH($O261,MonthList,0),0)</f>
        <v>0</v>
      </c>
      <c r="AA261" s="14" t="n">
        <f aca="false">IF(OR($N261&lt;&gt;"Yes",$O261=""),0,$Y261*MAX(0,7-$Z261)/12)</f>
        <v>0</v>
      </c>
      <c r="AB261" s="14" t="n">
        <f aca="false">IF(OR($N261&lt;&gt;"Yes",$O261=""),0,$Y261*IF($Z261&lt;=7,12,19-$Z261)/12)</f>
        <v>0</v>
      </c>
      <c r="AC261" s="26" t="str">
        <f aca="false">IF(OR($J261="Yes",$L261="Yes",$N261="Yes"),"Yes","No")</f>
        <v>No</v>
      </c>
      <c r="AD261" s="14" t="n">
        <f aca="false">MAX($Q261,$U261,$Y261)</f>
        <v>0</v>
      </c>
      <c r="AE261" s="26" t="n">
        <f aca="false">$AD261+ROW()*0.000000001</f>
        <v>2.61E-007</v>
      </c>
      <c r="AF261" s="26" t="str">
        <f aca="false">IF($J261="Yes","A","")&amp;IF($L261="Yes","B","")&amp;IF($N261="Yes","C","")</f>
        <v/>
      </c>
    </row>
    <row r="262" customFormat="false" ht="15" hidden="false" customHeight="false" outlineLevel="0" collapsed="false">
      <c r="B262" s="22" t="s">
        <v>566</v>
      </c>
      <c r="C262" s="23" t="s">
        <v>567</v>
      </c>
      <c r="D262" s="23" t="s">
        <v>212</v>
      </c>
      <c r="E262" s="23" t="s">
        <v>568</v>
      </c>
      <c r="F262" s="22" t="s">
        <v>57</v>
      </c>
      <c r="G262" s="23" t="s">
        <v>58</v>
      </c>
      <c r="H262" s="24" t="n">
        <v>1</v>
      </c>
      <c r="I262" s="14" t="n">
        <v>0.0777</v>
      </c>
      <c r="J262" s="25" t="s">
        <v>59</v>
      </c>
      <c r="K262" s="25"/>
      <c r="L262" s="25" t="s">
        <v>59</v>
      </c>
      <c r="M262" s="25"/>
      <c r="N262" s="25" t="s">
        <v>59</v>
      </c>
      <c r="O262" s="25"/>
      <c r="P262" s="14" t="n">
        <v>0.0777</v>
      </c>
      <c r="Q262" s="14" t="n">
        <f aca="false">IF(AND($J262="Yes",$G262&lt;&gt;"Vendor day rates"),$I262-0.4*$P262,0)</f>
        <v>0</v>
      </c>
      <c r="R262" s="26" t="n">
        <f aca="false">IFERROR(MATCH($K262,MonthList,0),0)</f>
        <v>0</v>
      </c>
      <c r="S262" s="14" t="n">
        <f aca="false">IF(OR($J262&lt;&gt;"Yes",$K262=""),0,$Q262*MAX(0,7-$R262)/12)</f>
        <v>0</v>
      </c>
      <c r="T262" s="14" t="n">
        <f aca="false">IF(OR($J262&lt;&gt;"Yes",$K262=""),0,$Q262*IF($R262&lt;=7,12,19-$R262)/12)</f>
        <v>0</v>
      </c>
      <c r="U262" s="14" t="n">
        <f aca="false">IF(AND($L262="Yes",$G262&lt;&gt;"Vendor day rates"),$I262-0.4*$P262,0)</f>
        <v>0</v>
      </c>
      <c r="V262" s="26" t="n">
        <f aca="false">IFERROR(MATCH($M262,MonthList,0),0)</f>
        <v>0</v>
      </c>
      <c r="W262" s="14" t="n">
        <f aca="false">IF(OR($L262&lt;&gt;"Yes",$M262=""),0,$U262*MAX(0,7-$V262)/12)</f>
        <v>0</v>
      </c>
      <c r="X262" s="14" t="n">
        <f aca="false">IF(OR($L262&lt;&gt;"Yes",$M262=""),0,$U262*IF($V262&lt;=7,12,19-$V262)/12)</f>
        <v>0</v>
      </c>
      <c r="Y262" s="14" t="n">
        <f aca="false">IF(AND($N262="Yes",$G262&lt;&gt;"Vendor day rates"),$I262-0.4*$P262,0)</f>
        <v>0</v>
      </c>
      <c r="Z262" s="26" t="n">
        <f aca="false">IFERROR(MATCH($O262,MonthList,0),0)</f>
        <v>0</v>
      </c>
      <c r="AA262" s="14" t="n">
        <f aca="false">IF(OR($N262&lt;&gt;"Yes",$O262=""),0,$Y262*MAX(0,7-$Z262)/12)</f>
        <v>0</v>
      </c>
      <c r="AB262" s="14" t="n">
        <f aca="false">IF(OR($N262&lt;&gt;"Yes",$O262=""),0,$Y262*IF($Z262&lt;=7,12,19-$Z262)/12)</f>
        <v>0</v>
      </c>
      <c r="AC262" s="26" t="str">
        <f aca="false">IF(OR($J262="Yes",$L262="Yes",$N262="Yes"),"Yes","No")</f>
        <v>No</v>
      </c>
      <c r="AD262" s="14" t="n">
        <f aca="false">MAX($Q262,$U262,$Y262)</f>
        <v>0</v>
      </c>
      <c r="AE262" s="26" t="n">
        <f aca="false">$AD262+ROW()*0.000000001</f>
        <v>2.62E-007</v>
      </c>
      <c r="AF262" s="26" t="str">
        <f aca="false">IF($J262="Yes","A","")&amp;IF($L262="Yes","B","")&amp;IF($N262="Yes","C","")</f>
        <v/>
      </c>
    </row>
    <row r="263" customFormat="false" ht="15" hidden="false" customHeight="false" outlineLevel="0" collapsed="false">
      <c r="B263" s="22" t="s">
        <v>569</v>
      </c>
      <c r="C263" s="23" t="s">
        <v>570</v>
      </c>
      <c r="D263" s="23" t="s">
        <v>212</v>
      </c>
      <c r="E263" s="23" t="s">
        <v>571</v>
      </c>
      <c r="F263" s="22" t="s">
        <v>57</v>
      </c>
      <c r="G263" s="23" t="s">
        <v>58</v>
      </c>
      <c r="H263" s="24" t="n">
        <v>1</v>
      </c>
      <c r="I263" s="14" t="n">
        <v>0.1365</v>
      </c>
      <c r="J263" s="25" t="s">
        <v>59</v>
      </c>
      <c r="K263" s="25"/>
      <c r="L263" s="25" t="s">
        <v>59</v>
      </c>
      <c r="M263" s="25"/>
      <c r="N263" s="25" t="s">
        <v>59</v>
      </c>
      <c r="O263" s="25"/>
      <c r="P263" s="14" t="n">
        <v>0.1365</v>
      </c>
      <c r="Q263" s="14" t="n">
        <f aca="false">IF(AND($J263="Yes",$G263&lt;&gt;"Vendor day rates"),$I263-0.4*$P263,0)</f>
        <v>0</v>
      </c>
      <c r="R263" s="26" t="n">
        <f aca="false">IFERROR(MATCH($K263,MonthList,0),0)</f>
        <v>0</v>
      </c>
      <c r="S263" s="14" t="n">
        <f aca="false">IF(OR($J263&lt;&gt;"Yes",$K263=""),0,$Q263*MAX(0,7-$R263)/12)</f>
        <v>0</v>
      </c>
      <c r="T263" s="14" t="n">
        <f aca="false">IF(OR($J263&lt;&gt;"Yes",$K263=""),0,$Q263*IF($R263&lt;=7,12,19-$R263)/12)</f>
        <v>0</v>
      </c>
      <c r="U263" s="14" t="n">
        <f aca="false">IF(AND($L263="Yes",$G263&lt;&gt;"Vendor day rates"),$I263-0.4*$P263,0)</f>
        <v>0</v>
      </c>
      <c r="V263" s="26" t="n">
        <f aca="false">IFERROR(MATCH($M263,MonthList,0),0)</f>
        <v>0</v>
      </c>
      <c r="W263" s="14" t="n">
        <f aca="false">IF(OR($L263&lt;&gt;"Yes",$M263=""),0,$U263*MAX(0,7-$V263)/12)</f>
        <v>0</v>
      </c>
      <c r="X263" s="14" t="n">
        <f aca="false">IF(OR($L263&lt;&gt;"Yes",$M263=""),0,$U263*IF($V263&lt;=7,12,19-$V263)/12)</f>
        <v>0</v>
      </c>
      <c r="Y263" s="14" t="n">
        <f aca="false">IF(AND($N263="Yes",$G263&lt;&gt;"Vendor day rates"),$I263-0.4*$P263,0)</f>
        <v>0</v>
      </c>
      <c r="Z263" s="26" t="n">
        <f aca="false">IFERROR(MATCH($O263,MonthList,0),0)</f>
        <v>0</v>
      </c>
      <c r="AA263" s="14" t="n">
        <f aca="false">IF(OR($N263&lt;&gt;"Yes",$O263=""),0,$Y263*MAX(0,7-$Z263)/12)</f>
        <v>0</v>
      </c>
      <c r="AB263" s="14" t="n">
        <f aca="false">IF(OR($N263&lt;&gt;"Yes",$O263=""),0,$Y263*IF($Z263&lt;=7,12,19-$Z263)/12)</f>
        <v>0</v>
      </c>
      <c r="AC263" s="26" t="str">
        <f aca="false">IF(OR($J263="Yes",$L263="Yes",$N263="Yes"),"Yes","No")</f>
        <v>No</v>
      </c>
      <c r="AD263" s="14" t="n">
        <f aca="false">MAX($Q263,$U263,$Y263)</f>
        <v>0</v>
      </c>
      <c r="AE263" s="26" t="n">
        <f aca="false">$AD263+ROW()*0.000000001</f>
        <v>2.63E-007</v>
      </c>
      <c r="AF263" s="26" t="str">
        <f aca="false">IF($J263="Yes","A","")&amp;IF($L263="Yes","B","")&amp;IF($N263="Yes","C","")</f>
        <v/>
      </c>
    </row>
    <row r="264" customFormat="false" ht="15" hidden="false" customHeight="false" outlineLevel="0" collapsed="false">
      <c r="B264" s="22" t="s">
        <v>572</v>
      </c>
      <c r="C264" s="23" t="s">
        <v>116</v>
      </c>
      <c r="D264" s="23" t="s">
        <v>55</v>
      </c>
      <c r="E264" s="23" t="s">
        <v>142</v>
      </c>
      <c r="F264" s="22" t="s">
        <v>57</v>
      </c>
      <c r="G264" s="23" t="s">
        <v>58</v>
      </c>
      <c r="H264" s="24" t="n">
        <v>1</v>
      </c>
      <c r="I264" s="14" t="n">
        <v>0.1335</v>
      </c>
      <c r="J264" s="25" t="s">
        <v>59</v>
      </c>
      <c r="K264" s="25"/>
      <c r="L264" s="25" t="s">
        <v>59</v>
      </c>
      <c r="M264" s="25"/>
      <c r="N264" s="25" t="s">
        <v>59</v>
      </c>
      <c r="O264" s="25"/>
      <c r="P264" s="14" t="n">
        <v>0.1335</v>
      </c>
      <c r="Q264" s="14" t="n">
        <f aca="false">IF(AND($J264="Yes",$G264&lt;&gt;"Vendor day rates"),$I264-0.4*$P264,0)</f>
        <v>0</v>
      </c>
      <c r="R264" s="26" t="n">
        <f aca="false">IFERROR(MATCH($K264,MonthList,0),0)</f>
        <v>0</v>
      </c>
      <c r="S264" s="14" t="n">
        <f aca="false">IF(OR($J264&lt;&gt;"Yes",$K264=""),0,$Q264*MAX(0,7-$R264)/12)</f>
        <v>0</v>
      </c>
      <c r="T264" s="14" t="n">
        <f aca="false">IF(OR($J264&lt;&gt;"Yes",$K264=""),0,$Q264*IF($R264&lt;=7,12,19-$R264)/12)</f>
        <v>0</v>
      </c>
      <c r="U264" s="14" t="n">
        <f aca="false">IF(AND($L264="Yes",$G264&lt;&gt;"Vendor day rates"),$I264-0.4*$P264,0)</f>
        <v>0</v>
      </c>
      <c r="V264" s="26" t="n">
        <f aca="false">IFERROR(MATCH($M264,MonthList,0),0)</f>
        <v>0</v>
      </c>
      <c r="W264" s="14" t="n">
        <f aca="false">IF(OR($L264&lt;&gt;"Yes",$M264=""),0,$U264*MAX(0,7-$V264)/12)</f>
        <v>0</v>
      </c>
      <c r="X264" s="14" t="n">
        <f aca="false">IF(OR($L264&lt;&gt;"Yes",$M264=""),0,$U264*IF($V264&lt;=7,12,19-$V264)/12)</f>
        <v>0</v>
      </c>
      <c r="Y264" s="14" t="n">
        <f aca="false">IF(AND($N264="Yes",$G264&lt;&gt;"Vendor day rates"),$I264-0.4*$P264,0)</f>
        <v>0</v>
      </c>
      <c r="Z264" s="26" t="n">
        <f aca="false">IFERROR(MATCH($O264,MonthList,0),0)</f>
        <v>0</v>
      </c>
      <c r="AA264" s="14" t="n">
        <f aca="false">IF(OR($N264&lt;&gt;"Yes",$O264=""),0,$Y264*MAX(0,7-$Z264)/12)</f>
        <v>0</v>
      </c>
      <c r="AB264" s="14" t="n">
        <f aca="false">IF(OR($N264&lt;&gt;"Yes",$O264=""),0,$Y264*IF($Z264&lt;=7,12,19-$Z264)/12)</f>
        <v>0</v>
      </c>
      <c r="AC264" s="26" t="str">
        <f aca="false">IF(OR($J264="Yes",$L264="Yes",$N264="Yes"),"Yes","No")</f>
        <v>No</v>
      </c>
      <c r="AD264" s="14" t="n">
        <f aca="false">MAX($Q264,$U264,$Y264)</f>
        <v>0</v>
      </c>
      <c r="AE264" s="26" t="n">
        <f aca="false">$AD264+ROW()*0.000000001</f>
        <v>2.64E-007</v>
      </c>
      <c r="AF264" s="26" t="str">
        <f aca="false">IF($J264="Yes","A","")&amp;IF($L264="Yes","B","")&amp;IF($N264="Yes","C","")</f>
        <v/>
      </c>
    </row>
    <row r="265" customFormat="false" ht="15" hidden="false" customHeight="false" outlineLevel="0" collapsed="false">
      <c r="B265" s="22" t="s">
        <v>573</v>
      </c>
      <c r="C265" s="23" t="s">
        <v>116</v>
      </c>
      <c r="D265" s="23" t="s">
        <v>55</v>
      </c>
      <c r="E265" s="23" t="s">
        <v>142</v>
      </c>
      <c r="F265" s="22" t="s">
        <v>57</v>
      </c>
      <c r="G265" s="23" t="s">
        <v>58</v>
      </c>
      <c r="H265" s="24" t="n">
        <v>1</v>
      </c>
      <c r="I265" s="14" t="n">
        <v>0.2675</v>
      </c>
      <c r="J265" s="25" t="s">
        <v>59</v>
      </c>
      <c r="K265" s="25"/>
      <c r="L265" s="25" t="s">
        <v>59</v>
      </c>
      <c r="M265" s="25"/>
      <c r="N265" s="25" t="s">
        <v>59</v>
      </c>
      <c r="O265" s="25"/>
      <c r="P265" s="14" t="n">
        <v>0.2675</v>
      </c>
      <c r="Q265" s="14" t="n">
        <f aca="false">IF(AND($J265="Yes",$G265&lt;&gt;"Vendor day rates"),$I265-0.4*$P265,0)</f>
        <v>0</v>
      </c>
      <c r="R265" s="26" t="n">
        <f aca="false">IFERROR(MATCH($K265,MonthList,0),0)</f>
        <v>0</v>
      </c>
      <c r="S265" s="14" t="n">
        <f aca="false">IF(OR($J265&lt;&gt;"Yes",$K265=""),0,$Q265*MAX(0,7-$R265)/12)</f>
        <v>0</v>
      </c>
      <c r="T265" s="14" t="n">
        <f aca="false">IF(OR($J265&lt;&gt;"Yes",$K265=""),0,$Q265*IF($R265&lt;=7,12,19-$R265)/12)</f>
        <v>0</v>
      </c>
      <c r="U265" s="14" t="n">
        <f aca="false">IF(AND($L265="Yes",$G265&lt;&gt;"Vendor day rates"),$I265-0.4*$P265,0)</f>
        <v>0</v>
      </c>
      <c r="V265" s="26" t="n">
        <f aca="false">IFERROR(MATCH($M265,MonthList,0),0)</f>
        <v>0</v>
      </c>
      <c r="W265" s="14" t="n">
        <f aca="false">IF(OR($L265&lt;&gt;"Yes",$M265=""),0,$U265*MAX(0,7-$V265)/12)</f>
        <v>0</v>
      </c>
      <c r="X265" s="14" t="n">
        <f aca="false">IF(OR($L265&lt;&gt;"Yes",$M265=""),0,$U265*IF($V265&lt;=7,12,19-$V265)/12)</f>
        <v>0</v>
      </c>
      <c r="Y265" s="14" t="n">
        <f aca="false">IF(AND($N265="Yes",$G265&lt;&gt;"Vendor day rates"),$I265-0.4*$P265,0)</f>
        <v>0</v>
      </c>
      <c r="Z265" s="26" t="n">
        <f aca="false">IFERROR(MATCH($O265,MonthList,0),0)</f>
        <v>0</v>
      </c>
      <c r="AA265" s="14" t="n">
        <f aca="false">IF(OR($N265&lt;&gt;"Yes",$O265=""),0,$Y265*MAX(0,7-$Z265)/12)</f>
        <v>0</v>
      </c>
      <c r="AB265" s="14" t="n">
        <f aca="false">IF(OR($N265&lt;&gt;"Yes",$O265=""),0,$Y265*IF($Z265&lt;=7,12,19-$Z265)/12)</f>
        <v>0</v>
      </c>
      <c r="AC265" s="26" t="str">
        <f aca="false">IF(OR($J265="Yes",$L265="Yes",$N265="Yes"),"Yes","No")</f>
        <v>No</v>
      </c>
      <c r="AD265" s="14" t="n">
        <f aca="false">MAX($Q265,$U265,$Y265)</f>
        <v>0</v>
      </c>
      <c r="AE265" s="26" t="n">
        <f aca="false">$AD265+ROW()*0.000000001</f>
        <v>2.65E-007</v>
      </c>
      <c r="AF265" s="26" t="str">
        <f aca="false">IF($J265="Yes","A","")&amp;IF($L265="Yes","B","")&amp;IF($N265="Yes","C","")</f>
        <v/>
      </c>
    </row>
    <row r="266" customFormat="false" ht="15" hidden="false" customHeight="false" outlineLevel="0" collapsed="false">
      <c r="B266" s="22" t="s">
        <v>574</v>
      </c>
      <c r="C266" s="23" t="s">
        <v>116</v>
      </c>
      <c r="D266" s="23" t="s">
        <v>212</v>
      </c>
      <c r="E266" s="23" t="s">
        <v>575</v>
      </c>
      <c r="F266" s="22" t="s">
        <v>57</v>
      </c>
      <c r="G266" s="23" t="s">
        <v>58</v>
      </c>
      <c r="H266" s="24" t="n">
        <v>1</v>
      </c>
      <c r="I266" s="14" t="n">
        <v>0.2436</v>
      </c>
      <c r="J266" s="25" t="s">
        <v>59</v>
      </c>
      <c r="K266" s="25"/>
      <c r="L266" s="25" t="s">
        <v>59</v>
      </c>
      <c r="M266" s="25"/>
      <c r="N266" s="25" t="s">
        <v>59</v>
      </c>
      <c r="O266" s="25"/>
      <c r="P266" s="14" t="n">
        <v>0.2436</v>
      </c>
      <c r="Q266" s="14" t="n">
        <f aca="false">IF(AND($J266="Yes",$G266&lt;&gt;"Vendor day rates"),$I266-0.4*$P266,0)</f>
        <v>0</v>
      </c>
      <c r="R266" s="26" t="n">
        <f aca="false">IFERROR(MATCH($K266,MonthList,0),0)</f>
        <v>0</v>
      </c>
      <c r="S266" s="14" t="n">
        <f aca="false">IF(OR($J266&lt;&gt;"Yes",$K266=""),0,$Q266*MAX(0,7-$R266)/12)</f>
        <v>0</v>
      </c>
      <c r="T266" s="14" t="n">
        <f aca="false">IF(OR($J266&lt;&gt;"Yes",$K266=""),0,$Q266*IF($R266&lt;=7,12,19-$R266)/12)</f>
        <v>0</v>
      </c>
      <c r="U266" s="14" t="n">
        <f aca="false">IF(AND($L266="Yes",$G266&lt;&gt;"Vendor day rates"),$I266-0.4*$P266,0)</f>
        <v>0</v>
      </c>
      <c r="V266" s="26" t="n">
        <f aca="false">IFERROR(MATCH($M266,MonthList,0),0)</f>
        <v>0</v>
      </c>
      <c r="W266" s="14" t="n">
        <f aca="false">IF(OR($L266&lt;&gt;"Yes",$M266=""),0,$U266*MAX(0,7-$V266)/12)</f>
        <v>0</v>
      </c>
      <c r="X266" s="14" t="n">
        <f aca="false">IF(OR($L266&lt;&gt;"Yes",$M266=""),0,$U266*IF($V266&lt;=7,12,19-$V266)/12)</f>
        <v>0</v>
      </c>
      <c r="Y266" s="14" t="n">
        <f aca="false">IF(AND($N266="Yes",$G266&lt;&gt;"Vendor day rates"),$I266-0.4*$P266,0)</f>
        <v>0</v>
      </c>
      <c r="Z266" s="26" t="n">
        <f aca="false">IFERROR(MATCH($O266,MonthList,0),0)</f>
        <v>0</v>
      </c>
      <c r="AA266" s="14" t="n">
        <f aca="false">IF(OR($N266&lt;&gt;"Yes",$O266=""),0,$Y266*MAX(0,7-$Z266)/12)</f>
        <v>0</v>
      </c>
      <c r="AB266" s="14" t="n">
        <f aca="false">IF(OR($N266&lt;&gt;"Yes",$O266=""),0,$Y266*IF($Z266&lt;=7,12,19-$Z266)/12)</f>
        <v>0</v>
      </c>
      <c r="AC266" s="26" t="str">
        <f aca="false">IF(OR($J266="Yes",$L266="Yes",$N266="Yes"),"Yes","No")</f>
        <v>No</v>
      </c>
      <c r="AD266" s="14" t="n">
        <f aca="false">MAX($Q266,$U266,$Y266)</f>
        <v>0</v>
      </c>
      <c r="AE266" s="26" t="n">
        <f aca="false">$AD266+ROW()*0.000000001</f>
        <v>2.66E-007</v>
      </c>
      <c r="AF266" s="26" t="str">
        <f aca="false">IF($J266="Yes","A","")&amp;IF($L266="Yes","B","")&amp;IF($N266="Yes","C","")</f>
        <v/>
      </c>
    </row>
    <row r="267" customFormat="false" ht="15" hidden="false" customHeight="false" outlineLevel="0" collapsed="false">
      <c r="B267" s="22" t="s">
        <v>576</v>
      </c>
      <c r="C267" s="23" t="s">
        <v>577</v>
      </c>
      <c r="D267" s="23" t="s">
        <v>147</v>
      </c>
      <c r="E267" s="23" t="s">
        <v>259</v>
      </c>
      <c r="F267" s="22" t="s">
        <v>57</v>
      </c>
      <c r="G267" s="23" t="s">
        <v>58</v>
      </c>
      <c r="H267" s="24" t="n">
        <v>1</v>
      </c>
      <c r="I267" s="14" t="n">
        <v>0.2586</v>
      </c>
      <c r="J267" s="25" t="s">
        <v>59</v>
      </c>
      <c r="K267" s="25"/>
      <c r="L267" s="25" t="s">
        <v>59</v>
      </c>
      <c r="M267" s="25"/>
      <c r="N267" s="25" t="s">
        <v>59</v>
      </c>
      <c r="O267" s="25"/>
      <c r="P267" s="14" t="n">
        <v>0.2586</v>
      </c>
      <c r="Q267" s="14" t="n">
        <f aca="false">IF(AND($J267="Yes",$G267&lt;&gt;"Vendor day rates"),$I267-0.4*$P267,0)</f>
        <v>0</v>
      </c>
      <c r="R267" s="26" t="n">
        <f aca="false">IFERROR(MATCH($K267,MonthList,0),0)</f>
        <v>0</v>
      </c>
      <c r="S267" s="14" t="n">
        <f aca="false">IF(OR($J267&lt;&gt;"Yes",$K267=""),0,$Q267*MAX(0,7-$R267)/12)</f>
        <v>0</v>
      </c>
      <c r="T267" s="14" t="n">
        <f aca="false">IF(OR($J267&lt;&gt;"Yes",$K267=""),0,$Q267*IF($R267&lt;=7,12,19-$R267)/12)</f>
        <v>0</v>
      </c>
      <c r="U267" s="14" t="n">
        <f aca="false">IF(AND($L267="Yes",$G267&lt;&gt;"Vendor day rates"),$I267-0.4*$P267,0)</f>
        <v>0</v>
      </c>
      <c r="V267" s="26" t="n">
        <f aca="false">IFERROR(MATCH($M267,MonthList,0),0)</f>
        <v>0</v>
      </c>
      <c r="W267" s="14" t="n">
        <f aca="false">IF(OR($L267&lt;&gt;"Yes",$M267=""),0,$U267*MAX(0,7-$V267)/12)</f>
        <v>0</v>
      </c>
      <c r="X267" s="14" t="n">
        <f aca="false">IF(OR($L267&lt;&gt;"Yes",$M267=""),0,$U267*IF($V267&lt;=7,12,19-$V267)/12)</f>
        <v>0</v>
      </c>
      <c r="Y267" s="14" t="n">
        <f aca="false">IF(AND($N267="Yes",$G267&lt;&gt;"Vendor day rates"),$I267-0.4*$P267,0)</f>
        <v>0</v>
      </c>
      <c r="Z267" s="26" t="n">
        <f aca="false">IFERROR(MATCH($O267,MonthList,0),0)</f>
        <v>0</v>
      </c>
      <c r="AA267" s="14" t="n">
        <f aca="false">IF(OR($N267&lt;&gt;"Yes",$O267=""),0,$Y267*MAX(0,7-$Z267)/12)</f>
        <v>0</v>
      </c>
      <c r="AB267" s="14" t="n">
        <f aca="false">IF(OR($N267&lt;&gt;"Yes",$O267=""),0,$Y267*IF($Z267&lt;=7,12,19-$Z267)/12)</f>
        <v>0</v>
      </c>
      <c r="AC267" s="26" t="str">
        <f aca="false">IF(OR($J267="Yes",$L267="Yes",$N267="Yes"),"Yes","No")</f>
        <v>No</v>
      </c>
      <c r="AD267" s="14" t="n">
        <f aca="false">MAX($Q267,$U267,$Y267)</f>
        <v>0</v>
      </c>
      <c r="AE267" s="26" t="n">
        <f aca="false">$AD267+ROW()*0.000000001</f>
        <v>2.67E-007</v>
      </c>
      <c r="AF267" s="26" t="str">
        <f aca="false">IF($J267="Yes","A","")&amp;IF($L267="Yes","B","")&amp;IF($N267="Yes","C","")</f>
        <v/>
      </c>
    </row>
    <row r="268" customFormat="false" ht="15" hidden="false" customHeight="false" outlineLevel="0" collapsed="false">
      <c r="B268" s="22" t="s">
        <v>578</v>
      </c>
      <c r="C268" s="23" t="s">
        <v>141</v>
      </c>
      <c r="D268" s="23" t="s">
        <v>55</v>
      </c>
      <c r="E268" s="23" t="s">
        <v>56</v>
      </c>
      <c r="F268" s="22" t="s">
        <v>57</v>
      </c>
      <c r="G268" s="23" t="s">
        <v>58</v>
      </c>
      <c r="H268" s="24" t="n">
        <v>1</v>
      </c>
      <c r="I268" s="14" t="n">
        <v>0.216</v>
      </c>
      <c r="J268" s="25" t="s">
        <v>59</v>
      </c>
      <c r="K268" s="25"/>
      <c r="L268" s="25" t="s">
        <v>59</v>
      </c>
      <c r="M268" s="25"/>
      <c r="N268" s="25" t="s">
        <v>59</v>
      </c>
      <c r="O268" s="25"/>
      <c r="P268" s="14" t="n">
        <v>0.216</v>
      </c>
      <c r="Q268" s="14" t="n">
        <f aca="false">IF(AND($J268="Yes",$G268&lt;&gt;"Vendor day rates"),$I268-0.4*$P268,0)</f>
        <v>0</v>
      </c>
      <c r="R268" s="26" t="n">
        <f aca="false">IFERROR(MATCH($K268,MonthList,0),0)</f>
        <v>0</v>
      </c>
      <c r="S268" s="14" t="n">
        <f aca="false">IF(OR($J268&lt;&gt;"Yes",$K268=""),0,$Q268*MAX(0,7-$R268)/12)</f>
        <v>0</v>
      </c>
      <c r="T268" s="14" t="n">
        <f aca="false">IF(OR($J268&lt;&gt;"Yes",$K268=""),0,$Q268*IF($R268&lt;=7,12,19-$R268)/12)</f>
        <v>0</v>
      </c>
      <c r="U268" s="14" t="n">
        <f aca="false">IF(AND($L268="Yes",$G268&lt;&gt;"Vendor day rates"),$I268-0.4*$P268,0)</f>
        <v>0</v>
      </c>
      <c r="V268" s="26" t="n">
        <f aca="false">IFERROR(MATCH($M268,MonthList,0),0)</f>
        <v>0</v>
      </c>
      <c r="W268" s="14" t="n">
        <f aca="false">IF(OR($L268&lt;&gt;"Yes",$M268=""),0,$U268*MAX(0,7-$V268)/12)</f>
        <v>0</v>
      </c>
      <c r="X268" s="14" t="n">
        <f aca="false">IF(OR($L268&lt;&gt;"Yes",$M268=""),0,$U268*IF($V268&lt;=7,12,19-$V268)/12)</f>
        <v>0</v>
      </c>
      <c r="Y268" s="14" t="n">
        <f aca="false">IF(AND($N268="Yes",$G268&lt;&gt;"Vendor day rates"),$I268-0.4*$P268,0)</f>
        <v>0</v>
      </c>
      <c r="Z268" s="26" t="n">
        <f aca="false">IFERROR(MATCH($O268,MonthList,0),0)</f>
        <v>0</v>
      </c>
      <c r="AA268" s="14" t="n">
        <f aca="false">IF(OR($N268&lt;&gt;"Yes",$O268=""),0,$Y268*MAX(0,7-$Z268)/12)</f>
        <v>0</v>
      </c>
      <c r="AB268" s="14" t="n">
        <f aca="false">IF(OR($N268&lt;&gt;"Yes",$O268=""),0,$Y268*IF($Z268&lt;=7,12,19-$Z268)/12)</f>
        <v>0</v>
      </c>
      <c r="AC268" s="26" t="str">
        <f aca="false">IF(OR($J268="Yes",$L268="Yes",$N268="Yes"),"Yes","No")</f>
        <v>No</v>
      </c>
      <c r="AD268" s="14" t="n">
        <f aca="false">MAX($Q268,$U268,$Y268)</f>
        <v>0</v>
      </c>
      <c r="AE268" s="26" t="n">
        <f aca="false">$AD268+ROW()*0.000000001</f>
        <v>2.68E-007</v>
      </c>
      <c r="AF268" s="26" t="str">
        <f aca="false">IF($J268="Yes","A","")&amp;IF($L268="Yes","B","")&amp;IF($N268="Yes","C","")</f>
        <v/>
      </c>
    </row>
    <row r="269" customFormat="false" ht="15" hidden="false" customHeight="false" outlineLevel="0" collapsed="false">
      <c r="B269" s="22" t="s">
        <v>579</v>
      </c>
      <c r="C269" s="23" t="s">
        <v>580</v>
      </c>
      <c r="D269" s="23" t="s">
        <v>55</v>
      </c>
      <c r="E269" s="23" t="s">
        <v>56</v>
      </c>
      <c r="F269" s="22" t="s">
        <v>57</v>
      </c>
      <c r="G269" s="23" t="s">
        <v>58</v>
      </c>
      <c r="H269" s="24" t="n">
        <v>1</v>
      </c>
      <c r="I269" s="14" t="n">
        <v>0.2189</v>
      </c>
      <c r="J269" s="25" t="s">
        <v>59</v>
      </c>
      <c r="K269" s="25"/>
      <c r="L269" s="25" t="s">
        <v>59</v>
      </c>
      <c r="M269" s="25"/>
      <c r="N269" s="25" t="s">
        <v>59</v>
      </c>
      <c r="O269" s="25"/>
      <c r="P269" s="14" t="n">
        <v>0.2189</v>
      </c>
      <c r="Q269" s="14" t="n">
        <f aca="false">IF(AND($J269="Yes",$G269&lt;&gt;"Vendor day rates"),$I269-0.4*$P269,0)</f>
        <v>0</v>
      </c>
      <c r="R269" s="26" t="n">
        <f aca="false">IFERROR(MATCH($K269,MonthList,0),0)</f>
        <v>0</v>
      </c>
      <c r="S269" s="14" t="n">
        <f aca="false">IF(OR($J269&lt;&gt;"Yes",$K269=""),0,$Q269*MAX(0,7-$R269)/12)</f>
        <v>0</v>
      </c>
      <c r="T269" s="14" t="n">
        <f aca="false">IF(OR($J269&lt;&gt;"Yes",$K269=""),0,$Q269*IF($R269&lt;=7,12,19-$R269)/12)</f>
        <v>0</v>
      </c>
      <c r="U269" s="14" t="n">
        <f aca="false">IF(AND($L269="Yes",$G269&lt;&gt;"Vendor day rates"),$I269-0.4*$P269,0)</f>
        <v>0</v>
      </c>
      <c r="V269" s="26" t="n">
        <f aca="false">IFERROR(MATCH($M269,MonthList,0),0)</f>
        <v>0</v>
      </c>
      <c r="W269" s="14" t="n">
        <f aca="false">IF(OR($L269&lt;&gt;"Yes",$M269=""),0,$U269*MAX(0,7-$V269)/12)</f>
        <v>0</v>
      </c>
      <c r="X269" s="14" t="n">
        <f aca="false">IF(OR($L269&lt;&gt;"Yes",$M269=""),0,$U269*IF($V269&lt;=7,12,19-$V269)/12)</f>
        <v>0</v>
      </c>
      <c r="Y269" s="14" t="n">
        <f aca="false">IF(AND($N269="Yes",$G269&lt;&gt;"Vendor day rates"),$I269-0.4*$P269,0)</f>
        <v>0</v>
      </c>
      <c r="Z269" s="26" t="n">
        <f aca="false">IFERROR(MATCH($O269,MonthList,0),0)</f>
        <v>0</v>
      </c>
      <c r="AA269" s="14" t="n">
        <f aca="false">IF(OR($N269&lt;&gt;"Yes",$O269=""),0,$Y269*MAX(0,7-$Z269)/12)</f>
        <v>0</v>
      </c>
      <c r="AB269" s="14" t="n">
        <f aca="false">IF(OR($N269&lt;&gt;"Yes",$O269=""),0,$Y269*IF($Z269&lt;=7,12,19-$Z269)/12)</f>
        <v>0</v>
      </c>
      <c r="AC269" s="26" t="str">
        <f aca="false">IF(OR($J269="Yes",$L269="Yes",$N269="Yes"),"Yes","No")</f>
        <v>No</v>
      </c>
      <c r="AD269" s="14" t="n">
        <f aca="false">MAX($Q269,$U269,$Y269)</f>
        <v>0</v>
      </c>
      <c r="AE269" s="26" t="n">
        <f aca="false">$AD269+ROW()*0.000000001</f>
        <v>2.69E-007</v>
      </c>
      <c r="AF269" s="26" t="str">
        <f aca="false">IF($J269="Yes","A","")&amp;IF($L269="Yes","B","")&amp;IF($N269="Yes","C","")</f>
        <v/>
      </c>
    </row>
    <row r="270" customFormat="false" ht="15" hidden="false" customHeight="false" outlineLevel="0" collapsed="false">
      <c r="B270" s="22" t="s">
        <v>581</v>
      </c>
      <c r="C270" s="23" t="s">
        <v>582</v>
      </c>
      <c r="D270" s="23" t="s">
        <v>62</v>
      </c>
      <c r="E270" s="23" t="s">
        <v>67</v>
      </c>
      <c r="F270" s="22" t="s">
        <v>57</v>
      </c>
      <c r="G270" s="23" t="s">
        <v>121</v>
      </c>
      <c r="H270" s="24" t="n">
        <v>1</v>
      </c>
      <c r="I270" s="14" t="n">
        <v>0.0864</v>
      </c>
      <c r="J270" s="25" t="s">
        <v>59</v>
      </c>
      <c r="K270" s="25"/>
      <c r="L270" s="25" t="s">
        <v>59</v>
      </c>
      <c r="M270" s="25"/>
      <c r="N270" s="25" t="s">
        <v>59</v>
      </c>
      <c r="O270" s="25"/>
      <c r="P270" s="14" t="n">
        <v>0.216</v>
      </c>
      <c r="Q270" s="14" t="n">
        <f aca="false">IF(AND($J270="Yes",$G270&lt;&gt;"Vendor day rates"),$I270-0.4*$P270,0)</f>
        <v>0</v>
      </c>
      <c r="R270" s="26" t="n">
        <f aca="false">IFERROR(MATCH($K270,MonthList,0),0)</f>
        <v>0</v>
      </c>
      <c r="S270" s="14" t="n">
        <f aca="false">IF(OR($J270&lt;&gt;"Yes",$K270=""),0,$Q270*MAX(0,7-$R270)/12)</f>
        <v>0</v>
      </c>
      <c r="T270" s="14" t="n">
        <f aca="false">IF(OR($J270&lt;&gt;"Yes",$K270=""),0,$Q270*IF($R270&lt;=7,12,19-$R270)/12)</f>
        <v>0</v>
      </c>
      <c r="U270" s="14" t="n">
        <f aca="false">IF(AND($L270="Yes",$G270&lt;&gt;"Vendor day rates"),$I270-0.4*$P270,0)</f>
        <v>0</v>
      </c>
      <c r="V270" s="26" t="n">
        <f aca="false">IFERROR(MATCH($M270,MonthList,0),0)</f>
        <v>0</v>
      </c>
      <c r="W270" s="14" t="n">
        <f aca="false">IF(OR($L270&lt;&gt;"Yes",$M270=""),0,$U270*MAX(0,7-$V270)/12)</f>
        <v>0</v>
      </c>
      <c r="X270" s="14" t="n">
        <f aca="false">IF(OR($L270&lt;&gt;"Yes",$M270=""),0,$U270*IF($V270&lt;=7,12,19-$V270)/12)</f>
        <v>0</v>
      </c>
      <c r="Y270" s="14" t="n">
        <f aca="false">IF(AND($N270="Yes",$G270&lt;&gt;"Vendor day rates"),$I270-0.4*$P270,0)</f>
        <v>0</v>
      </c>
      <c r="Z270" s="26" t="n">
        <f aca="false">IFERROR(MATCH($O270,MonthList,0),0)</f>
        <v>0</v>
      </c>
      <c r="AA270" s="14" t="n">
        <f aca="false">IF(OR($N270&lt;&gt;"Yes",$O270=""),0,$Y270*MAX(0,7-$Z270)/12)</f>
        <v>0</v>
      </c>
      <c r="AB270" s="14" t="n">
        <f aca="false">IF(OR($N270&lt;&gt;"Yes",$O270=""),0,$Y270*IF($Z270&lt;=7,12,19-$Z270)/12)</f>
        <v>0</v>
      </c>
      <c r="AC270" s="26" t="str">
        <f aca="false">IF(OR($J270="Yes",$L270="Yes",$N270="Yes"),"Yes","No")</f>
        <v>No</v>
      </c>
      <c r="AD270" s="14" t="n">
        <f aca="false">MAX($Q270,$U270,$Y270)</f>
        <v>0</v>
      </c>
      <c r="AE270" s="26" t="n">
        <f aca="false">$AD270+ROW()*0.000000001</f>
        <v>2.7E-007</v>
      </c>
      <c r="AF270" s="26" t="str">
        <f aca="false">IF($J270="Yes","A","")&amp;IF($L270="Yes","B","")&amp;IF($N270="Yes","C","")</f>
        <v/>
      </c>
    </row>
    <row r="271" customFormat="false" ht="15" hidden="false" customHeight="false" outlineLevel="0" collapsed="false">
      <c r="B271" s="22" t="s">
        <v>583</v>
      </c>
      <c r="C271" s="23" t="s">
        <v>584</v>
      </c>
      <c r="D271" s="23" t="s">
        <v>62</v>
      </c>
      <c r="E271" s="23" t="s">
        <v>67</v>
      </c>
      <c r="F271" s="22" t="s">
        <v>57</v>
      </c>
      <c r="G271" s="23" t="s">
        <v>121</v>
      </c>
      <c r="H271" s="24" t="n">
        <v>1</v>
      </c>
      <c r="I271" s="14" t="n">
        <v>0.0872</v>
      </c>
      <c r="J271" s="25" t="s">
        <v>59</v>
      </c>
      <c r="K271" s="25"/>
      <c r="L271" s="25" t="s">
        <v>59</v>
      </c>
      <c r="M271" s="25"/>
      <c r="N271" s="25" t="s">
        <v>59</v>
      </c>
      <c r="O271" s="25"/>
      <c r="P271" s="14" t="n">
        <v>0.218</v>
      </c>
      <c r="Q271" s="14" t="n">
        <f aca="false">IF(AND($J271="Yes",$G271&lt;&gt;"Vendor day rates"),$I271-0.4*$P271,0)</f>
        <v>0</v>
      </c>
      <c r="R271" s="26" t="n">
        <f aca="false">IFERROR(MATCH($K271,MonthList,0),0)</f>
        <v>0</v>
      </c>
      <c r="S271" s="14" t="n">
        <f aca="false">IF(OR($J271&lt;&gt;"Yes",$K271=""),0,$Q271*MAX(0,7-$R271)/12)</f>
        <v>0</v>
      </c>
      <c r="T271" s="14" t="n">
        <f aca="false">IF(OR($J271&lt;&gt;"Yes",$K271=""),0,$Q271*IF($R271&lt;=7,12,19-$R271)/12)</f>
        <v>0</v>
      </c>
      <c r="U271" s="14" t="n">
        <f aca="false">IF(AND($L271="Yes",$G271&lt;&gt;"Vendor day rates"),$I271-0.4*$P271,0)</f>
        <v>0</v>
      </c>
      <c r="V271" s="26" t="n">
        <f aca="false">IFERROR(MATCH($M271,MonthList,0),0)</f>
        <v>0</v>
      </c>
      <c r="W271" s="14" t="n">
        <f aca="false">IF(OR($L271&lt;&gt;"Yes",$M271=""),0,$U271*MAX(0,7-$V271)/12)</f>
        <v>0</v>
      </c>
      <c r="X271" s="14" t="n">
        <f aca="false">IF(OR($L271&lt;&gt;"Yes",$M271=""),0,$U271*IF($V271&lt;=7,12,19-$V271)/12)</f>
        <v>0</v>
      </c>
      <c r="Y271" s="14" t="n">
        <f aca="false">IF(AND($N271="Yes",$G271&lt;&gt;"Vendor day rates"),$I271-0.4*$P271,0)</f>
        <v>0</v>
      </c>
      <c r="Z271" s="26" t="n">
        <f aca="false">IFERROR(MATCH($O271,MonthList,0),0)</f>
        <v>0</v>
      </c>
      <c r="AA271" s="14" t="n">
        <f aca="false">IF(OR($N271&lt;&gt;"Yes",$O271=""),0,$Y271*MAX(0,7-$Z271)/12)</f>
        <v>0</v>
      </c>
      <c r="AB271" s="14" t="n">
        <f aca="false">IF(OR($N271&lt;&gt;"Yes",$O271=""),0,$Y271*IF($Z271&lt;=7,12,19-$Z271)/12)</f>
        <v>0</v>
      </c>
      <c r="AC271" s="26" t="str">
        <f aca="false">IF(OR($J271="Yes",$L271="Yes",$N271="Yes"),"Yes","No")</f>
        <v>No</v>
      </c>
      <c r="AD271" s="14" t="n">
        <f aca="false">MAX($Q271,$U271,$Y271)</f>
        <v>0</v>
      </c>
      <c r="AE271" s="26" t="n">
        <f aca="false">$AD271+ROW()*0.000000001</f>
        <v>2.71E-007</v>
      </c>
      <c r="AF271" s="26" t="str">
        <f aca="false">IF($J271="Yes","A","")&amp;IF($L271="Yes","B","")&amp;IF($N271="Yes","C","")</f>
        <v/>
      </c>
    </row>
    <row r="272" customFormat="false" ht="15" hidden="false" customHeight="false" outlineLevel="0" collapsed="false">
      <c r="B272" s="22" t="s">
        <v>585</v>
      </c>
      <c r="C272" s="23" t="s">
        <v>586</v>
      </c>
      <c r="D272" s="23" t="s">
        <v>62</v>
      </c>
      <c r="E272" s="23" t="s">
        <v>63</v>
      </c>
      <c r="F272" s="22" t="s">
        <v>57</v>
      </c>
      <c r="G272" s="23" t="s">
        <v>121</v>
      </c>
      <c r="H272" s="24" t="n">
        <v>1</v>
      </c>
      <c r="I272" s="14" t="n">
        <v>0.0829</v>
      </c>
      <c r="J272" s="25" t="s">
        <v>59</v>
      </c>
      <c r="K272" s="25"/>
      <c r="L272" s="25" t="s">
        <v>59</v>
      </c>
      <c r="M272" s="25"/>
      <c r="N272" s="25" t="s">
        <v>59</v>
      </c>
      <c r="O272" s="25"/>
      <c r="P272" s="14" t="n">
        <v>0.2074</v>
      </c>
      <c r="Q272" s="14" t="n">
        <f aca="false">IF(AND($J272="Yes",$G272&lt;&gt;"Vendor day rates"),$I272-0.4*$P272,0)</f>
        <v>0</v>
      </c>
      <c r="R272" s="26" t="n">
        <f aca="false">IFERROR(MATCH($K272,MonthList,0),0)</f>
        <v>0</v>
      </c>
      <c r="S272" s="14" t="n">
        <f aca="false">IF(OR($J272&lt;&gt;"Yes",$K272=""),0,$Q272*MAX(0,7-$R272)/12)</f>
        <v>0</v>
      </c>
      <c r="T272" s="14" t="n">
        <f aca="false">IF(OR($J272&lt;&gt;"Yes",$K272=""),0,$Q272*IF($R272&lt;=7,12,19-$R272)/12)</f>
        <v>0</v>
      </c>
      <c r="U272" s="14" t="n">
        <f aca="false">IF(AND($L272="Yes",$G272&lt;&gt;"Vendor day rates"),$I272-0.4*$P272,0)</f>
        <v>0</v>
      </c>
      <c r="V272" s="26" t="n">
        <f aca="false">IFERROR(MATCH($M272,MonthList,0),0)</f>
        <v>0</v>
      </c>
      <c r="W272" s="14" t="n">
        <f aca="false">IF(OR($L272&lt;&gt;"Yes",$M272=""),0,$U272*MAX(0,7-$V272)/12)</f>
        <v>0</v>
      </c>
      <c r="X272" s="14" t="n">
        <f aca="false">IF(OR($L272&lt;&gt;"Yes",$M272=""),0,$U272*IF($V272&lt;=7,12,19-$V272)/12)</f>
        <v>0</v>
      </c>
      <c r="Y272" s="14" t="n">
        <f aca="false">IF(AND($N272="Yes",$G272&lt;&gt;"Vendor day rates"),$I272-0.4*$P272,0)</f>
        <v>0</v>
      </c>
      <c r="Z272" s="26" t="n">
        <f aca="false">IFERROR(MATCH($O272,MonthList,0),0)</f>
        <v>0</v>
      </c>
      <c r="AA272" s="14" t="n">
        <f aca="false">IF(OR($N272&lt;&gt;"Yes",$O272=""),0,$Y272*MAX(0,7-$Z272)/12)</f>
        <v>0</v>
      </c>
      <c r="AB272" s="14" t="n">
        <f aca="false">IF(OR($N272&lt;&gt;"Yes",$O272=""),0,$Y272*IF($Z272&lt;=7,12,19-$Z272)/12)</f>
        <v>0</v>
      </c>
      <c r="AC272" s="26" t="str">
        <f aca="false">IF(OR($J272="Yes",$L272="Yes",$N272="Yes"),"Yes","No")</f>
        <v>No</v>
      </c>
      <c r="AD272" s="14" t="n">
        <f aca="false">MAX($Q272,$U272,$Y272)</f>
        <v>0</v>
      </c>
      <c r="AE272" s="26" t="n">
        <f aca="false">$AD272+ROW()*0.000000001</f>
        <v>2.72E-007</v>
      </c>
      <c r="AF272" s="26" t="str">
        <f aca="false">IF($J272="Yes","A","")&amp;IF($L272="Yes","B","")&amp;IF($N272="Yes","C","")</f>
        <v/>
      </c>
    </row>
    <row r="273" customFormat="false" ht="15" hidden="false" customHeight="false" outlineLevel="0" collapsed="false">
      <c r="B273" s="22" t="s">
        <v>587</v>
      </c>
      <c r="C273" s="23" t="s">
        <v>588</v>
      </c>
      <c r="D273" s="23" t="s">
        <v>62</v>
      </c>
      <c r="E273" s="23" t="s">
        <v>67</v>
      </c>
      <c r="F273" s="22" t="s">
        <v>57</v>
      </c>
      <c r="G273" s="23" t="s">
        <v>58</v>
      </c>
      <c r="H273" s="24" t="n">
        <v>1</v>
      </c>
      <c r="I273" s="14" t="n">
        <v>0.216</v>
      </c>
      <c r="J273" s="25" t="s">
        <v>59</v>
      </c>
      <c r="K273" s="25"/>
      <c r="L273" s="25" t="s">
        <v>59</v>
      </c>
      <c r="M273" s="25"/>
      <c r="N273" s="25" t="s">
        <v>59</v>
      </c>
      <c r="O273" s="25"/>
      <c r="P273" s="14" t="n">
        <v>0.216</v>
      </c>
      <c r="Q273" s="14" t="n">
        <f aca="false">IF(AND($J273="Yes",$G273&lt;&gt;"Vendor day rates"),$I273-0.4*$P273,0)</f>
        <v>0</v>
      </c>
      <c r="R273" s="26" t="n">
        <f aca="false">IFERROR(MATCH($K273,MonthList,0),0)</f>
        <v>0</v>
      </c>
      <c r="S273" s="14" t="n">
        <f aca="false">IF(OR($J273&lt;&gt;"Yes",$K273=""),0,$Q273*MAX(0,7-$R273)/12)</f>
        <v>0</v>
      </c>
      <c r="T273" s="14" t="n">
        <f aca="false">IF(OR($J273&lt;&gt;"Yes",$K273=""),0,$Q273*IF($R273&lt;=7,12,19-$R273)/12)</f>
        <v>0</v>
      </c>
      <c r="U273" s="14" t="n">
        <f aca="false">IF(AND($L273="Yes",$G273&lt;&gt;"Vendor day rates"),$I273-0.4*$P273,0)</f>
        <v>0</v>
      </c>
      <c r="V273" s="26" t="n">
        <f aca="false">IFERROR(MATCH($M273,MonthList,0),0)</f>
        <v>0</v>
      </c>
      <c r="W273" s="14" t="n">
        <f aca="false">IF(OR($L273&lt;&gt;"Yes",$M273=""),0,$U273*MAX(0,7-$V273)/12)</f>
        <v>0</v>
      </c>
      <c r="X273" s="14" t="n">
        <f aca="false">IF(OR($L273&lt;&gt;"Yes",$M273=""),0,$U273*IF($V273&lt;=7,12,19-$V273)/12)</f>
        <v>0</v>
      </c>
      <c r="Y273" s="14" t="n">
        <f aca="false">IF(AND($N273="Yes",$G273&lt;&gt;"Vendor day rates"),$I273-0.4*$P273,0)</f>
        <v>0</v>
      </c>
      <c r="Z273" s="26" t="n">
        <f aca="false">IFERROR(MATCH($O273,MonthList,0),0)</f>
        <v>0</v>
      </c>
      <c r="AA273" s="14" t="n">
        <f aca="false">IF(OR($N273&lt;&gt;"Yes",$O273=""),0,$Y273*MAX(0,7-$Z273)/12)</f>
        <v>0</v>
      </c>
      <c r="AB273" s="14" t="n">
        <f aca="false">IF(OR($N273&lt;&gt;"Yes",$O273=""),0,$Y273*IF($Z273&lt;=7,12,19-$Z273)/12)</f>
        <v>0</v>
      </c>
      <c r="AC273" s="26" t="str">
        <f aca="false">IF(OR($J273="Yes",$L273="Yes",$N273="Yes"),"Yes","No")</f>
        <v>No</v>
      </c>
      <c r="AD273" s="14" t="n">
        <f aca="false">MAX($Q273,$U273,$Y273)</f>
        <v>0</v>
      </c>
      <c r="AE273" s="26" t="n">
        <f aca="false">$AD273+ROW()*0.000000001</f>
        <v>2.73E-007</v>
      </c>
      <c r="AF273" s="26" t="str">
        <f aca="false">IF($J273="Yes","A","")&amp;IF($L273="Yes","B","")&amp;IF($N273="Yes","C","")</f>
        <v/>
      </c>
    </row>
    <row r="274" customFormat="false" ht="15" hidden="false" customHeight="false" outlineLevel="0" collapsed="false">
      <c r="B274" s="22" t="s">
        <v>589</v>
      </c>
      <c r="C274" s="23" t="s">
        <v>116</v>
      </c>
      <c r="D274" s="23" t="s">
        <v>55</v>
      </c>
      <c r="E274" s="23" t="s">
        <v>56</v>
      </c>
      <c r="F274" s="22" t="s">
        <v>57</v>
      </c>
      <c r="G274" s="23" t="s">
        <v>58</v>
      </c>
      <c r="H274" s="24" t="n">
        <v>1</v>
      </c>
      <c r="I274" s="14" t="n">
        <v>0.2239</v>
      </c>
      <c r="J274" s="25" t="s">
        <v>59</v>
      </c>
      <c r="K274" s="25"/>
      <c r="L274" s="25" t="s">
        <v>59</v>
      </c>
      <c r="M274" s="25"/>
      <c r="N274" s="25" t="s">
        <v>59</v>
      </c>
      <c r="O274" s="25"/>
      <c r="P274" s="14" t="n">
        <v>0.2239</v>
      </c>
      <c r="Q274" s="14" t="n">
        <f aca="false">IF(AND($J274="Yes",$G274&lt;&gt;"Vendor day rates"),$I274-0.4*$P274,0)</f>
        <v>0</v>
      </c>
      <c r="R274" s="26" t="n">
        <f aca="false">IFERROR(MATCH($K274,MonthList,0),0)</f>
        <v>0</v>
      </c>
      <c r="S274" s="14" t="n">
        <f aca="false">IF(OR($J274&lt;&gt;"Yes",$K274=""),0,$Q274*MAX(0,7-$R274)/12)</f>
        <v>0</v>
      </c>
      <c r="T274" s="14" t="n">
        <f aca="false">IF(OR($J274&lt;&gt;"Yes",$K274=""),0,$Q274*IF($R274&lt;=7,12,19-$R274)/12)</f>
        <v>0</v>
      </c>
      <c r="U274" s="14" t="n">
        <f aca="false">IF(AND($L274="Yes",$G274&lt;&gt;"Vendor day rates"),$I274-0.4*$P274,0)</f>
        <v>0</v>
      </c>
      <c r="V274" s="26" t="n">
        <f aca="false">IFERROR(MATCH($M274,MonthList,0),0)</f>
        <v>0</v>
      </c>
      <c r="W274" s="14" t="n">
        <f aca="false">IF(OR($L274&lt;&gt;"Yes",$M274=""),0,$U274*MAX(0,7-$V274)/12)</f>
        <v>0</v>
      </c>
      <c r="X274" s="14" t="n">
        <f aca="false">IF(OR($L274&lt;&gt;"Yes",$M274=""),0,$U274*IF($V274&lt;=7,12,19-$V274)/12)</f>
        <v>0</v>
      </c>
      <c r="Y274" s="14" t="n">
        <f aca="false">IF(AND($N274="Yes",$G274&lt;&gt;"Vendor day rates"),$I274-0.4*$P274,0)</f>
        <v>0</v>
      </c>
      <c r="Z274" s="26" t="n">
        <f aca="false">IFERROR(MATCH($O274,MonthList,0),0)</f>
        <v>0</v>
      </c>
      <c r="AA274" s="14" t="n">
        <f aca="false">IF(OR($N274&lt;&gt;"Yes",$O274=""),0,$Y274*MAX(0,7-$Z274)/12)</f>
        <v>0</v>
      </c>
      <c r="AB274" s="14" t="n">
        <f aca="false">IF(OR($N274&lt;&gt;"Yes",$O274=""),0,$Y274*IF($Z274&lt;=7,12,19-$Z274)/12)</f>
        <v>0</v>
      </c>
      <c r="AC274" s="26" t="str">
        <f aca="false">IF(OR($J274="Yes",$L274="Yes",$N274="Yes"),"Yes","No")</f>
        <v>No</v>
      </c>
      <c r="AD274" s="14" t="n">
        <f aca="false">MAX($Q274,$U274,$Y274)</f>
        <v>0</v>
      </c>
      <c r="AE274" s="26" t="n">
        <f aca="false">$AD274+ROW()*0.000000001</f>
        <v>2.74E-007</v>
      </c>
      <c r="AF274" s="26" t="str">
        <f aca="false">IF($J274="Yes","A","")&amp;IF($L274="Yes","B","")&amp;IF($N274="Yes","C","")</f>
        <v/>
      </c>
    </row>
    <row r="275" customFormat="false" ht="15" hidden="false" customHeight="false" outlineLevel="0" collapsed="false">
      <c r="B275" s="22" t="s">
        <v>590</v>
      </c>
      <c r="C275" s="23" t="s">
        <v>591</v>
      </c>
      <c r="D275" s="23" t="s">
        <v>55</v>
      </c>
      <c r="E275" s="23" t="s">
        <v>56</v>
      </c>
      <c r="F275" s="22" t="s">
        <v>57</v>
      </c>
      <c r="G275" s="23" t="s">
        <v>58</v>
      </c>
      <c r="H275" s="24" t="n">
        <v>1</v>
      </c>
      <c r="I275" s="14" t="n">
        <v>0.198</v>
      </c>
      <c r="J275" s="25" t="s">
        <v>59</v>
      </c>
      <c r="K275" s="25"/>
      <c r="L275" s="25" t="s">
        <v>59</v>
      </c>
      <c r="M275" s="25"/>
      <c r="N275" s="25" t="s">
        <v>59</v>
      </c>
      <c r="O275" s="25"/>
      <c r="P275" s="14" t="n">
        <v>0.198</v>
      </c>
      <c r="Q275" s="14" t="n">
        <f aca="false">IF(AND($J275="Yes",$G275&lt;&gt;"Vendor day rates"),$I275-0.4*$P275,0)</f>
        <v>0</v>
      </c>
      <c r="R275" s="26" t="n">
        <f aca="false">IFERROR(MATCH($K275,MonthList,0),0)</f>
        <v>0</v>
      </c>
      <c r="S275" s="14" t="n">
        <f aca="false">IF(OR($J275&lt;&gt;"Yes",$K275=""),0,$Q275*MAX(0,7-$R275)/12)</f>
        <v>0</v>
      </c>
      <c r="T275" s="14" t="n">
        <f aca="false">IF(OR($J275&lt;&gt;"Yes",$K275=""),0,$Q275*IF($R275&lt;=7,12,19-$R275)/12)</f>
        <v>0</v>
      </c>
      <c r="U275" s="14" t="n">
        <f aca="false">IF(AND($L275="Yes",$G275&lt;&gt;"Vendor day rates"),$I275-0.4*$P275,0)</f>
        <v>0</v>
      </c>
      <c r="V275" s="26" t="n">
        <f aca="false">IFERROR(MATCH($M275,MonthList,0),0)</f>
        <v>0</v>
      </c>
      <c r="W275" s="14" t="n">
        <f aca="false">IF(OR($L275&lt;&gt;"Yes",$M275=""),0,$U275*MAX(0,7-$V275)/12)</f>
        <v>0</v>
      </c>
      <c r="X275" s="14" t="n">
        <f aca="false">IF(OR($L275&lt;&gt;"Yes",$M275=""),0,$U275*IF($V275&lt;=7,12,19-$V275)/12)</f>
        <v>0</v>
      </c>
      <c r="Y275" s="14" t="n">
        <f aca="false">IF(AND($N275="Yes",$G275&lt;&gt;"Vendor day rates"),$I275-0.4*$P275,0)</f>
        <v>0</v>
      </c>
      <c r="Z275" s="26" t="n">
        <f aca="false">IFERROR(MATCH($O275,MonthList,0),0)</f>
        <v>0</v>
      </c>
      <c r="AA275" s="14" t="n">
        <f aca="false">IF(OR($N275&lt;&gt;"Yes",$O275=""),0,$Y275*MAX(0,7-$Z275)/12)</f>
        <v>0</v>
      </c>
      <c r="AB275" s="14" t="n">
        <f aca="false">IF(OR($N275&lt;&gt;"Yes",$O275=""),0,$Y275*IF($Z275&lt;=7,12,19-$Z275)/12)</f>
        <v>0</v>
      </c>
      <c r="AC275" s="26" t="str">
        <f aca="false">IF(OR($J275="Yes",$L275="Yes",$N275="Yes"),"Yes","No")</f>
        <v>No</v>
      </c>
      <c r="AD275" s="14" t="n">
        <f aca="false">MAX($Q275,$U275,$Y275)</f>
        <v>0</v>
      </c>
      <c r="AE275" s="26" t="n">
        <f aca="false">$AD275+ROW()*0.000000001</f>
        <v>2.75E-007</v>
      </c>
      <c r="AF275" s="26" t="str">
        <f aca="false">IF($J275="Yes","A","")&amp;IF($L275="Yes","B","")&amp;IF($N275="Yes","C","")</f>
        <v/>
      </c>
    </row>
    <row r="276" customFormat="false" ht="15" hidden="false" customHeight="false" outlineLevel="0" collapsed="false">
      <c r="B276" s="22" t="s">
        <v>592</v>
      </c>
      <c r="C276" s="23" t="s">
        <v>593</v>
      </c>
      <c r="D276" s="23" t="s">
        <v>62</v>
      </c>
      <c r="E276" s="23" t="s">
        <v>67</v>
      </c>
      <c r="F276" s="22" t="s">
        <v>57</v>
      </c>
      <c r="G276" s="23" t="s">
        <v>58</v>
      </c>
      <c r="H276" s="24" t="n">
        <v>1</v>
      </c>
      <c r="I276" s="14" t="n">
        <v>0.216</v>
      </c>
      <c r="J276" s="25" t="s">
        <v>59</v>
      </c>
      <c r="K276" s="25"/>
      <c r="L276" s="25" t="s">
        <v>59</v>
      </c>
      <c r="M276" s="25"/>
      <c r="N276" s="25" t="s">
        <v>59</v>
      </c>
      <c r="O276" s="25"/>
      <c r="P276" s="14" t="n">
        <v>0.216</v>
      </c>
      <c r="Q276" s="14" t="n">
        <f aca="false">IF(AND($J276="Yes",$G276&lt;&gt;"Vendor day rates"),$I276-0.4*$P276,0)</f>
        <v>0</v>
      </c>
      <c r="R276" s="26" t="n">
        <f aca="false">IFERROR(MATCH($K276,MonthList,0),0)</f>
        <v>0</v>
      </c>
      <c r="S276" s="14" t="n">
        <f aca="false">IF(OR($J276&lt;&gt;"Yes",$K276=""),0,$Q276*MAX(0,7-$R276)/12)</f>
        <v>0</v>
      </c>
      <c r="T276" s="14" t="n">
        <f aca="false">IF(OR($J276&lt;&gt;"Yes",$K276=""),0,$Q276*IF($R276&lt;=7,12,19-$R276)/12)</f>
        <v>0</v>
      </c>
      <c r="U276" s="14" t="n">
        <f aca="false">IF(AND($L276="Yes",$G276&lt;&gt;"Vendor day rates"),$I276-0.4*$P276,0)</f>
        <v>0</v>
      </c>
      <c r="V276" s="26" t="n">
        <f aca="false">IFERROR(MATCH($M276,MonthList,0),0)</f>
        <v>0</v>
      </c>
      <c r="W276" s="14" t="n">
        <f aca="false">IF(OR($L276&lt;&gt;"Yes",$M276=""),0,$U276*MAX(0,7-$V276)/12)</f>
        <v>0</v>
      </c>
      <c r="X276" s="14" t="n">
        <f aca="false">IF(OR($L276&lt;&gt;"Yes",$M276=""),0,$U276*IF($V276&lt;=7,12,19-$V276)/12)</f>
        <v>0</v>
      </c>
      <c r="Y276" s="14" t="n">
        <f aca="false">IF(AND($N276="Yes",$G276&lt;&gt;"Vendor day rates"),$I276-0.4*$P276,0)</f>
        <v>0</v>
      </c>
      <c r="Z276" s="26" t="n">
        <f aca="false">IFERROR(MATCH($O276,MonthList,0),0)</f>
        <v>0</v>
      </c>
      <c r="AA276" s="14" t="n">
        <f aca="false">IF(OR($N276&lt;&gt;"Yes",$O276=""),0,$Y276*MAX(0,7-$Z276)/12)</f>
        <v>0</v>
      </c>
      <c r="AB276" s="14" t="n">
        <f aca="false">IF(OR($N276&lt;&gt;"Yes",$O276=""),0,$Y276*IF($Z276&lt;=7,12,19-$Z276)/12)</f>
        <v>0</v>
      </c>
      <c r="AC276" s="26" t="str">
        <f aca="false">IF(OR($J276="Yes",$L276="Yes",$N276="Yes"),"Yes","No")</f>
        <v>No</v>
      </c>
      <c r="AD276" s="14" t="n">
        <f aca="false">MAX($Q276,$U276,$Y276)</f>
        <v>0</v>
      </c>
      <c r="AE276" s="26" t="n">
        <f aca="false">$AD276+ROW()*0.000000001</f>
        <v>2.76E-007</v>
      </c>
      <c r="AF276" s="26" t="str">
        <f aca="false">IF($J276="Yes","A","")&amp;IF($L276="Yes","B","")&amp;IF($N276="Yes","C","")</f>
        <v/>
      </c>
    </row>
    <row r="277" customFormat="false" ht="15" hidden="false" customHeight="false" outlineLevel="0" collapsed="false">
      <c r="B277" s="22" t="s">
        <v>594</v>
      </c>
      <c r="C277" s="23" t="s">
        <v>595</v>
      </c>
      <c r="D277" s="23" t="s">
        <v>62</v>
      </c>
      <c r="E277" s="23" t="s">
        <v>224</v>
      </c>
      <c r="F277" s="22" t="s">
        <v>57</v>
      </c>
      <c r="G277" s="23" t="s">
        <v>58</v>
      </c>
      <c r="H277" s="24" t="n">
        <v>1</v>
      </c>
      <c r="I277" s="14" t="n">
        <v>0.1948</v>
      </c>
      <c r="J277" s="25" t="s">
        <v>59</v>
      </c>
      <c r="K277" s="25"/>
      <c r="L277" s="25" t="s">
        <v>59</v>
      </c>
      <c r="M277" s="25"/>
      <c r="N277" s="25" t="s">
        <v>59</v>
      </c>
      <c r="O277" s="25"/>
      <c r="P277" s="14" t="n">
        <v>0.1948</v>
      </c>
      <c r="Q277" s="14" t="n">
        <f aca="false">IF(AND($J277="Yes",$G277&lt;&gt;"Vendor day rates"),$I277-0.4*$P277,0)</f>
        <v>0</v>
      </c>
      <c r="R277" s="26" t="n">
        <f aca="false">IFERROR(MATCH($K277,MonthList,0),0)</f>
        <v>0</v>
      </c>
      <c r="S277" s="14" t="n">
        <f aca="false">IF(OR($J277&lt;&gt;"Yes",$K277=""),0,$Q277*MAX(0,7-$R277)/12)</f>
        <v>0</v>
      </c>
      <c r="T277" s="14" t="n">
        <f aca="false">IF(OR($J277&lt;&gt;"Yes",$K277=""),0,$Q277*IF($R277&lt;=7,12,19-$R277)/12)</f>
        <v>0</v>
      </c>
      <c r="U277" s="14" t="n">
        <f aca="false">IF(AND($L277="Yes",$G277&lt;&gt;"Vendor day rates"),$I277-0.4*$P277,0)</f>
        <v>0</v>
      </c>
      <c r="V277" s="26" t="n">
        <f aca="false">IFERROR(MATCH($M277,MonthList,0),0)</f>
        <v>0</v>
      </c>
      <c r="W277" s="14" t="n">
        <f aca="false">IF(OR($L277&lt;&gt;"Yes",$M277=""),0,$U277*MAX(0,7-$V277)/12)</f>
        <v>0</v>
      </c>
      <c r="X277" s="14" t="n">
        <f aca="false">IF(OR($L277&lt;&gt;"Yes",$M277=""),0,$U277*IF($V277&lt;=7,12,19-$V277)/12)</f>
        <v>0</v>
      </c>
      <c r="Y277" s="14" t="n">
        <f aca="false">IF(AND($N277="Yes",$G277&lt;&gt;"Vendor day rates"),$I277-0.4*$P277,0)</f>
        <v>0</v>
      </c>
      <c r="Z277" s="26" t="n">
        <f aca="false">IFERROR(MATCH($O277,MonthList,0),0)</f>
        <v>0</v>
      </c>
      <c r="AA277" s="14" t="n">
        <f aca="false">IF(OR($N277&lt;&gt;"Yes",$O277=""),0,$Y277*MAX(0,7-$Z277)/12)</f>
        <v>0</v>
      </c>
      <c r="AB277" s="14" t="n">
        <f aca="false">IF(OR($N277&lt;&gt;"Yes",$O277=""),0,$Y277*IF($Z277&lt;=7,12,19-$Z277)/12)</f>
        <v>0</v>
      </c>
      <c r="AC277" s="26" t="str">
        <f aca="false">IF(OR($J277="Yes",$L277="Yes",$N277="Yes"),"Yes","No")</f>
        <v>No</v>
      </c>
      <c r="AD277" s="14" t="n">
        <f aca="false">MAX($Q277,$U277,$Y277)</f>
        <v>0</v>
      </c>
      <c r="AE277" s="26" t="n">
        <f aca="false">$AD277+ROW()*0.000000001</f>
        <v>2.77E-007</v>
      </c>
      <c r="AF277" s="26" t="str">
        <f aca="false">IF($J277="Yes","A","")&amp;IF($L277="Yes","B","")&amp;IF($N277="Yes","C","")</f>
        <v/>
      </c>
    </row>
    <row r="278" customFormat="false" ht="15" hidden="false" customHeight="false" outlineLevel="0" collapsed="false">
      <c r="B278" s="22" t="s">
        <v>596</v>
      </c>
      <c r="C278" s="23" t="s">
        <v>597</v>
      </c>
      <c r="D278" s="23" t="s">
        <v>62</v>
      </c>
      <c r="E278" s="23" t="s">
        <v>224</v>
      </c>
      <c r="F278" s="22" t="s">
        <v>57</v>
      </c>
      <c r="G278" s="23" t="s">
        <v>149</v>
      </c>
      <c r="H278" s="24" t="n">
        <v>1</v>
      </c>
      <c r="I278" s="14" t="n">
        <v>0.1948</v>
      </c>
      <c r="J278" s="25" t="s">
        <v>59</v>
      </c>
      <c r="K278" s="25"/>
      <c r="L278" s="25" t="s">
        <v>59</v>
      </c>
      <c r="M278" s="25"/>
      <c r="N278" s="25" t="s">
        <v>59</v>
      </c>
      <c r="O278" s="25"/>
      <c r="P278" s="14" t="n">
        <v>0.1948</v>
      </c>
      <c r="Q278" s="14" t="n">
        <f aca="false">IF(AND($J278="Yes",$G278&lt;&gt;"Vendor day rates"),$I278-0.4*$P278,0)</f>
        <v>0</v>
      </c>
      <c r="R278" s="26" t="n">
        <f aca="false">IFERROR(MATCH($K278,MonthList,0),0)</f>
        <v>0</v>
      </c>
      <c r="S278" s="14" t="n">
        <f aca="false">IF(OR($J278&lt;&gt;"Yes",$K278=""),0,$Q278*MAX(0,7-$R278)/12)</f>
        <v>0</v>
      </c>
      <c r="T278" s="14" t="n">
        <f aca="false">IF(OR($J278&lt;&gt;"Yes",$K278=""),0,$Q278*IF($R278&lt;=7,12,19-$R278)/12)</f>
        <v>0</v>
      </c>
      <c r="U278" s="14" t="n">
        <f aca="false">IF(AND($L278="Yes",$G278&lt;&gt;"Vendor day rates"),$I278-0.4*$P278,0)</f>
        <v>0</v>
      </c>
      <c r="V278" s="26" t="n">
        <f aca="false">IFERROR(MATCH($M278,MonthList,0),0)</f>
        <v>0</v>
      </c>
      <c r="W278" s="14" t="n">
        <f aca="false">IF(OR($L278&lt;&gt;"Yes",$M278=""),0,$U278*MAX(0,7-$V278)/12)</f>
        <v>0</v>
      </c>
      <c r="X278" s="14" t="n">
        <f aca="false">IF(OR($L278&lt;&gt;"Yes",$M278=""),0,$U278*IF($V278&lt;=7,12,19-$V278)/12)</f>
        <v>0</v>
      </c>
      <c r="Y278" s="14" t="n">
        <f aca="false">IF(AND($N278="Yes",$G278&lt;&gt;"Vendor day rates"),$I278-0.4*$P278,0)</f>
        <v>0</v>
      </c>
      <c r="Z278" s="26" t="n">
        <f aca="false">IFERROR(MATCH($O278,MonthList,0),0)</f>
        <v>0</v>
      </c>
      <c r="AA278" s="14" t="n">
        <f aca="false">IF(OR($N278&lt;&gt;"Yes",$O278=""),0,$Y278*MAX(0,7-$Z278)/12)</f>
        <v>0</v>
      </c>
      <c r="AB278" s="14" t="n">
        <f aca="false">IF(OR($N278&lt;&gt;"Yes",$O278=""),0,$Y278*IF($Z278&lt;=7,12,19-$Z278)/12)</f>
        <v>0</v>
      </c>
      <c r="AC278" s="26" t="str">
        <f aca="false">IF(OR($J278="Yes",$L278="Yes",$N278="Yes"),"Yes","No")</f>
        <v>No</v>
      </c>
      <c r="AD278" s="14" t="n">
        <f aca="false">MAX($Q278,$U278,$Y278)</f>
        <v>0</v>
      </c>
      <c r="AE278" s="26" t="n">
        <f aca="false">$AD278+ROW()*0.000000001</f>
        <v>2.78E-007</v>
      </c>
      <c r="AF278" s="26" t="str">
        <f aca="false">IF($J278="Yes","A","")&amp;IF($L278="Yes","B","")&amp;IF($N278="Yes","C","")</f>
        <v/>
      </c>
    </row>
    <row r="279" customFormat="false" ht="15" hidden="false" customHeight="false" outlineLevel="0" collapsed="false">
      <c r="B279" s="22" t="s">
        <v>598</v>
      </c>
      <c r="C279" s="23" t="s">
        <v>141</v>
      </c>
      <c r="D279" s="23" t="s">
        <v>62</v>
      </c>
      <c r="E279" s="23" t="s">
        <v>56</v>
      </c>
      <c r="F279" s="22" t="s">
        <v>57</v>
      </c>
      <c r="G279" s="23" t="s">
        <v>58</v>
      </c>
      <c r="H279" s="24" t="n">
        <v>1</v>
      </c>
      <c r="I279" s="14" t="n">
        <v>0.216</v>
      </c>
      <c r="J279" s="25" t="s">
        <v>59</v>
      </c>
      <c r="K279" s="25"/>
      <c r="L279" s="25" t="s">
        <v>59</v>
      </c>
      <c r="M279" s="25"/>
      <c r="N279" s="25" t="s">
        <v>59</v>
      </c>
      <c r="O279" s="25"/>
      <c r="P279" s="14" t="n">
        <v>0.216</v>
      </c>
      <c r="Q279" s="14" t="n">
        <f aca="false">IF(AND($J279="Yes",$G279&lt;&gt;"Vendor day rates"),$I279-0.4*$P279,0)</f>
        <v>0</v>
      </c>
      <c r="R279" s="26" t="n">
        <f aca="false">IFERROR(MATCH($K279,MonthList,0),0)</f>
        <v>0</v>
      </c>
      <c r="S279" s="14" t="n">
        <f aca="false">IF(OR($J279&lt;&gt;"Yes",$K279=""),0,$Q279*MAX(0,7-$R279)/12)</f>
        <v>0</v>
      </c>
      <c r="T279" s="14" t="n">
        <f aca="false">IF(OR($J279&lt;&gt;"Yes",$K279=""),0,$Q279*IF($R279&lt;=7,12,19-$R279)/12)</f>
        <v>0</v>
      </c>
      <c r="U279" s="14" t="n">
        <f aca="false">IF(AND($L279="Yes",$G279&lt;&gt;"Vendor day rates"),$I279-0.4*$P279,0)</f>
        <v>0</v>
      </c>
      <c r="V279" s="26" t="n">
        <f aca="false">IFERROR(MATCH($M279,MonthList,0),0)</f>
        <v>0</v>
      </c>
      <c r="W279" s="14" t="n">
        <f aca="false">IF(OR($L279&lt;&gt;"Yes",$M279=""),0,$U279*MAX(0,7-$V279)/12)</f>
        <v>0</v>
      </c>
      <c r="X279" s="14" t="n">
        <f aca="false">IF(OR($L279&lt;&gt;"Yes",$M279=""),0,$U279*IF($V279&lt;=7,12,19-$V279)/12)</f>
        <v>0</v>
      </c>
      <c r="Y279" s="14" t="n">
        <f aca="false">IF(AND($N279="Yes",$G279&lt;&gt;"Vendor day rates"),$I279-0.4*$P279,0)</f>
        <v>0</v>
      </c>
      <c r="Z279" s="26" t="n">
        <f aca="false">IFERROR(MATCH($O279,MonthList,0),0)</f>
        <v>0</v>
      </c>
      <c r="AA279" s="14" t="n">
        <f aca="false">IF(OR($N279&lt;&gt;"Yes",$O279=""),0,$Y279*MAX(0,7-$Z279)/12)</f>
        <v>0</v>
      </c>
      <c r="AB279" s="14" t="n">
        <f aca="false">IF(OR($N279&lt;&gt;"Yes",$O279=""),0,$Y279*IF($Z279&lt;=7,12,19-$Z279)/12)</f>
        <v>0</v>
      </c>
      <c r="AC279" s="26" t="str">
        <f aca="false">IF(OR($J279="Yes",$L279="Yes",$N279="Yes"),"Yes","No")</f>
        <v>No</v>
      </c>
      <c r="AD279" s="14" t="n">
        <f aca="false">MAX($Q279,$U279,$Y279)</f>
        <v>0</v>
      </c>
      <c r="AE279" s="26" t="n">
        <f aca="false">$AD279+ROW()*0.000000001</f>
        <v>2.79E-007</v>
      </c>
      <c r="AF279" s="26" t="str">
        <f aca="false">IF($J279="Yes","A","")&amp;IF($L279="Yes","B","")&amp;IF($N279="Yes","C","")</f>
        <v/>
      </c>
    </row>
    <row r="280" customFormat="false" ht="15" hidden="false" customHeight="false" outlineLevel="0" collapsed="false">
      <c r="B280" s="22" t="s">
        <v>599</v>
      </c>
      <c r="C280" s="23" t="s">
        <v>600</v>
      </c>
      <c r="D280" s="23" t="s">
        <v>62</v>
      </c>
      <c r="E280" s="23" t="s">
        <v>95</v>
      </c>
      <c r="F280" s="22" t="s">
        <v>57</v>
      </c>
      <c r="G280" s="23" t="s">
        <v>58</v>
      </c>
      <c r="H280" s="24" t="n">
        <v>1</v>
      </c>
      <c r="I280" s="14" t="n">
        <v>0.207</v>
      </c>
      <c r="J280" s="25" t="s">
        <v>59</v>
      </c>
      <c r="K280" s="25"/>
      <c r="L280" s="25" t="s">
        <v>59</v>
      </c>
      <c r="M280" s="25"/>
      <c r="N280" s="25" t="s">
        <v>59</v>
      </c>
      <c r="O280" s="25"/>
      <c r="P280" s="14" t="n">
        <v>0.207</v>
      </c>
      <c r="Q280" s="14" t="n">
        <f aca="false">IF(AND($J280="Yes",$G280&lt;&gt;"Vendor day rates"),$I280-0.4*$P280,0)</f>
        <v>0</v>
      </c>
      <c r="R280" s="26" t="n">
        <f aca="false">IFERROR(MATCH($K280,MonthList,0),0)</f>
        <v>0</v>
      </c>
      <c r="S280" s="14" t="n">
        <f aca="false">IF(OR($J280&lt;&gt;"Yes",$K280=""),0,$Q280*MAX(0,7-$R280)/12)</f>
        <v>0</v>
      </c>
      <c r="T280" s="14" t="n">
        <f aca="false">IF(OR($J280&lt;&gt;"Yes",$K280=""),0,$Q280*IF($R280&lt;=7,12,19-$R280)/12)</f>
        <v>0</v>
      </c>
      <c r="U280" s="14" t="n">
        <f aca="false">IF(AND($L280="Yes",$G280&lt;&gt;"Vendor day rates"),$I280-0.4*$P280,0)</f>
        <v>0</v>
      </c>
      <c r="V280" s="26" t="n">
        <f aca="false">IFERROR(MATCH($M280,MonthList,0),0)</f>
        <v>0</v>
      </c>
      <c r="W280" s="14" t="n">
        <f aca="false">IF(OR($L280&lt;&gt;"Yes",$M280=""),0,$U280*MAX(0,7-$V280)/12)</f>
        <v>0</v>
      </c>
      <c r="X280" s="14" t="n">
        <f aca="false">IF(OR($L280&lt;&gt;"Yes",$M280=""),0,$U280*IF($V280&lt;=7,12,19-$V280)/12)</f>
        <v>0</v>
      </c>
      <c r="Y280" s="14" t="n">
        <f aca="false">IF(AND($N280="Yes",$G280&lt;&gt;"Vendor day rates"),$I280-0.4*$P280,0)</f>
        <v>0</v>
      </c>
      <c r="Z280" s="26" t="n">
        <f aca="false">IFERROR(MATCH($O280,MonthList,0),0)</f>
        <v>0</v>
      </c>
      <c r="AA280" s="14" t="n">
        <f aca="false">IF(OR($N280&lt;&gt;"Yes",$O280=""),0,$Y280*MAX(0,7-$Z280)/12)</f>
        <v>0</v>
      </c>
      <c r="AB280" s="14" t="n">
        <f aca="false">IF(OR($N280&lt;&gt;"Yes",$O280=""),0,$Y280*IF($Z280&lt;=7,12,19-$Z280)/12)</f>
        <v>0</v>
      </c>
      <c r="AC280" s="26" t="str">
        <f aca="false">IF(OR($J280="Yes",$L280="Yes",$N280="Yes"),"Yes","No")</f>
        <v>No</v>
      </c>
      <c r="AD280" s="14" t="n">
        <f aca="false">MAX($Q280,$U280,$Y280)</f>
        <v>0</v>
      </c>
      <c r="AE280" s="26" t="n">
        <f aca="false">$AD280+ROW()*0.000000001</f>
        <v>2.8E-007</v>
      </c>
      <c r="AF280" s="26" t="str">
        <f aca="false">IF($J280="Yes","A","")&amp;IF($L280="Yes","B","")&amp;IF($N280="Yes","C","")</f>
        <v/>
      </c>
    </row>
    <row r="281" customFormat="false" ht="15" hidden="false" customHeight="false" outlineLevel="0" collapsed="false">
      <c r="B281" s="22" t="s">
        <v>601</v>
      </c>
      <c r="C281" s="23" t="s">
        <v>602</v>
      </c>
      <c r="D281" s="23" t="s">
        <v>62</v>
      </c>
      <c r="E281" s="23" t="s">
        <v>95</v>
      </c>
      <c r="F281" s="22" t="s">
        <v>57</v>
      </c>
      <c r="G281" s="23" t="s">
        <v>58</v>
      </c>
      <c r="H281" s="24" t="n">
        <v>1</v>
      </c>
      <c r="I281" s="14" t="n">
        <v>0.1948</v>
      </c>
      <c r="J281" s="25" t="s">
        <v>59</v>
      </c>
      <c r="K281" s="25"/>
      <c r="L281" s="25" t="s">
        <v>59</v>
      </c>
      <c r="M281" s="25"/>
      <c r="N281" s="25" t="s">
        <v>59</v>
      </c>
      <c r="O281" s="25"/>
      <c r="P281" s="14" t="n">
        <v>0.1948</v>
      </c>
      <c r="Q281" s="14" t="n">
        <f aca="false">IF(AND($J281="Yes",$G281&lt;&gt;"Vendor day rates"),$I281-0.4*$P281,0)</f>
        <v>0</v>
      </c>
      <c r="R281" s="26" t="n">
        <f aca="false">IFERROR(MATCH($K281,MonthList,0),0)</f>
        <v>0</v>
      </c>
      <c r="S281" s="14" t="n">
        <f aca="false">IF(OR($J281&lt;&gt;"Yes",$K281=""),0,$Q281*MAX(0,7-$R281)/12)</f>
        <v>0</v>
      </c>
      <c r="T281" s="14" t="n">
        <f aca="false">IF(OR($J281&lt;&gt;"Yes",$K281=""),0,$Q281*IF($R281&lt;=7,12,19-$R281)/12)</f>
        <v>0</v>
      </c>
      <c r="U281" s="14" t="n">
        <f aca="false">IF(AND($L281="Yes",$G281&lt;&gt;"Vendor day rates"),$I281-0.4*$P281,0)</f>
        <v>0</v>
      </c>
      <c r="V281" s="26" t="n">
        <f aca="false">IFERROR(MATCH($M281,MonthList,0),0)</f>
        <v>0</v>
      </c>
      <c r="W281" s="14" t="n">
        <f aca="false">IF(OR($L281&lt;&gt;"Yes",$M281=""),0,$U281*MAX(0,7-$V281)/12)</f>
        <v>0</v>
      </c>
      <c r="X281" s="14" t="n">
        <f aca="false">IF(OR($L281&lt;&gt;"Yes",$M281=""),0,$U281*IF($V281&lt;=7,12,19-$V281)/12)</f>
        <v>0</v>
      </c>
      <c r="Y281" s="14" t="n">
        <f aca="false">IF(AND($N281="Yes",$G281&lt;&gt;"Vendor day rates"),$I281-0.4*$P281,0)</f>
        <v>0</v>
      </c>
      <c r="Z281" s="26" t="n">
        <f aca="false">IFERROR(MATCH($O281,MonthList,0),0)</f>
        <v>0</v>
      </c>
      <c r="AA281" s="14" t="n">
        <f aca="false">IF(OR($N281&lt;&gt;"Yes",$O281=""),0,$Y281*MAX(0,7-$Z281)/12)</f>
        <v>0</v>
      </c>
      <c r="AB281" s="14" t="n">
        <f aca="false">IF(OR($N281&lt;&gt;"Yes",$O281=""),0,$Y281*IF($Z281&lt;=7,12,19-$Z281)/12)</f>
        <v>0</v>
      </c>
      <c r="AC281" s="26" t="str">
        <f aca="false">IF(OR($J281="Yes",$L281="Yes",$N281="Yes"),"Yes","No")</f>
        <v>No</v>
      </c>
      <c r="AD281" s="14" t="n">
        <f aca="false">MAX($Q281,$U281,$Y281)</f>
        <v>0</v>
      </c>
      <c r="AE281" s="26" t="n">
        <f aca="false">$AD281+ROW()*0.000000001</f>
        <v>2.81E-007</v>
      </c>
      <c r="AF281" s="26" t="str">
        <f aca="false">IF($J281="Yes","A","")&amp;IF($L281="Yes","B","")&amp;IF($N281="Yes","C","")</f>
        <v/>
      </c>
    </row>
    <row r="282" customFormat="false" ht="15" hidden="false" customHeight="false" outlineLevel="0" collapsed="false">
      <c r="B282" s="22" t="s">
        <v>603</v>
      </c>
      <c r="C282" s="23" t="s">
        <v>602</v>
      </c>
      <c r="D282" s="23" t="s">
        <v>62</v>
      </c>
      <c r="E282" s="23" t="s">
        <v>95</v>
      </c>
      <c r="F282" s="22" t="s">
        <v>57</v>
      </c>
      <c r="G282" s="23" t="s">
        <v>149</v>
      </c>
      <c r="H282" s="24" t="n">
        <v>1</v>
      </c>
      <c r="I282" s="14" t="n">
        <v>0.1461</v>
      </c>
      <c r="J282" s="25" t="s">
        <v>59</v>
      </c>
      <c r="K282" s="25"/>
      <c r="L282" s="25" t="s">
        <v>59</v>
      </c>
      <c r="M282" s="25"/>
      <c r="N282" s="25" t="s">
        <v>59</v>
      </c>
      <c r="O282" s="25"/>
      <c r="P282" s="14" t="n">
        <v>0.1948</v>
      </c>
      <c r="Q282" s="14" t="n">
        <f aca="false">IF(AND($J282="Yes",$G282&lt;&gt;"Vendor day rates"),$I282-0.4*$P282,0)</f>
        <v>0</v>
      </c>
      <c r="R282" s="26" t="n">
        <f aca="false">IFERROR(MATCH($K282,MonthList,0),0)</f>
        <v>0</v>
      </c>
      <c r="S282" s="14" t="n">
        <f aca="false">IF(OR($J282&lt;&gt;"Yes",$K282=""),0,$Q282*MAX(0,7-$R282)/12)</f>
        <v>0</v>
      </c>
      <c r="T282" s="14" t="n">
        <f aca="false">IF(OR($J282&lt;&gt;"Yes",$K282=""),0,$Q282*IF($R282&lt;=7,12,19-$R282)/12)</f>
        <v>0</v>
      </c>
      <c r="U282" s="14" t="n">
        <f aca="false">IF(AND($L282="Yes",$G282&lt;&gt;"Vendor day rates"),$I282-0.4*$P282,0)</f>
        <v>0</v>
      </c>
      <c r="V282" s="26" t="n">
        <f aca="false">IFERROR(MATCH($M282,MonthList,0),0)</f>
        <v>0</v>
      </c>
      <c r="W282" s="14" t="n">
        <f aca="false">IF(OR($L282&lt;&gt;"Yes",$M282=""),0,$U282*MAX(0,7-$V282)/12)</f>
        <v>0</v>
      </c>
      <c r="X282" s="14" t="n">
        <f aca="false">IF(OR($L282&lt;&gt;"Yes",$M282=""),0,$U282*IF($V282&lt;=7,12,19-$V282)/12)</f>
        <v>0</v>
      </c>
      <c r="Y282" s="14" t="n">
        <f aca="false">IF(AND($N282="Yes",$G282&lt;&gt;"Vendor day rates"),$I282-0.4*$P282,0)</f>
        <v>0</v>
      </c>
      <c r="Z282" s="26" t="n">
        <f aca="false">IFERROR(MATCH($O282,MonthList,0),0)</f>
        <v>0</v>
      </c>
      <c r="AA282" s="14" t="n">
        <f aca="false">IF(OR($N282&lt;&gt;"Yes",$O282=""),0,$Y282*MAX(0,7-$Z282)/12)</f>
        <v>0</v>
      </c>
      <c r="AB282" s="14" t="n">
        <f aca="false">IF(OR($N282&lt;&gt;"Yes",$O282=""),0,$Y282*IF($Z282&lt;=7,12,19-$Z282)/12)</f>
        <v>0</v>
      </c>
      <c r="AC282" s="26" t="str">
        <f aca="false">IF(OR($J282="Yes",$L282="Yes",$N282="Yes"),"Yes","No")</f>
        <v>No</v>
      </c>
      <c r="AD282" s="14" t="n">
        <f aca="false">MAX($Q282,$U282,$Y282)</f>
        <v>0</v>
      </c>
      <c r="AE282" s="26" t="n">
        <f aca="false">$AD282+ROW()*0.000000001</f>
        <v>2.82E-007</v>
      </c>
      <c r="AF282" s="26" t="str">
        <f aca="false">IF($J282="Yes","A","")&amp;IF($L282="Yes","B","")&amp;IF($N282="Yes","C","")</f>
        <v/>
      </c>
    </row>
    <row r="283" customFormat="false" ht="15" hidden="false" customHeight="false" outlineLevel="0" collapsed="false">
      <c r="B283" s="22" t="s">
        <v>604</v>
      </c>
      <c r="C283" s="23" t="s">
        <v>605</v>
      </c>
      <c r="D283" s="23" t="s">
        <v>62</v>
      </c>
      <c r="E283" s="23" t="s">
        <v>95</v>
      </c>
      <c r="F283" s="22" t="s">
        <v>57</v>
      </c>
      <c r="G283" s="23" t="s">
        <v>149</v>
      </c>
      <c r="H283" s="24" t="n">
        <v>1</v>
      </c>
      <c r="I283" s="14" t="n">
        <v>0.1461</v>
      </c>
      <c r="J283" s="25" t="s">
        <v>59</v>
      </c>
      <c r="K283" s="25"/>
      <c r="L283" s="25" t="s">
        <v>59</v>
      </c>
      <c r="M283" s="25"/>
      <c r="N283" s="25" t="s">
        <v>59</v>
      </c>
      <c r="O283" s="25"/>
      <c r="P283" s="14" t="n">
        <v>0.1948</v>
      </c>
      <c r="Q283" s="14" t="n">
        <f aca="false">IF(AND($J283="Yes",$G283&lt;&gt;"Vendor day rates"),$I283-0.4*$P283,0)</f>
        <v>0</v>
      </c>
      <c r="R283" s="26" t="n">
        <f aca="false">IFERROR(MATCH($K283,MonthList,0),0)</f>
        <v>0</v>
      </c>
      <c r="S283" s="14" t="n">
        <f aca="false">IF(OR($J283&lt;&gt;"Yes",$K283=""),0,$Q283*MAX(0,7-$R283)/12)</f>
        <v>0</v>
      </c>
      <c r="T283" s="14" t="n">
        <f aca="false">IF(OR($J283&lt;&gt;"Yes",$K283=""),0,$Q283*IF($R283&lt;=7,12,19-$R283)/12)</f>
        <v>0</v>
      </c>
      <c r="U283" s="14" t="n">
        <f aca="false">IF(AND($L283="Yes",$G283&lt;&gt;"Vendor day rates"),$I283-0.4*$P283,0)</f>
        <v>0</v>
      </c>
      <c r="V283" s="26" t="n">
        <f aca="false">IFERROR(MATCH($M283,MonthList,0),0)</f>
        <v>0</v>
      </c>
      <c r="W283" s="14" t="n">
        <f aca="false">IF(OR($L283&lt;&gt;"Yes",$M283=""),0,$U283*MAX(0,7-$V283)/12)</f>
        <v>0</v>
      </c>
      <c r="X283" s="14" t="n">
        <f aca="false">IF(OR($L283&lt;&gt;"Yes",$M283=""),0,$U283*IF($V283&lt;=7,12,19-$V283)/12)</f>
        <v>0</v>
      </c>
      <c r="Y283" s="14" t="n">
        <f aca="false">IF(AND($N283="Yes",$G283&lt;&gt;"Vendor day rates"),$I283-0.4*$P283,0)</f>
        <v>0</v>
      </c>
      <c r="Z283" s="26" t="n">
        <f aca="false">IFERROR(MATCH($O283,MonthList,0),0)</f>
        <v>0</v>
      </c>
      <c r="AA283" s="14" t="n">
        <f aca="false">IF(OR($N283&lt;&gt;"Yes",$O283=""),0,$Y283*MAX(0,7-$Z283)/12)</f>
        <v>0</v>
      </c>
      <c r="AB283" s="14" t="n">
        <f aca="false">IF(OR($N283&lt;&gt;"Yes",$O283=""),0,$Y283*IF($Z283&lt;=7,12,19-$Z283)/12)</f>
        <v>0</v>
      </c>
      <c r="AC283" s="26" t="str">
        <f aca="false">IF(OR($J283="Yes",$L283="Yes",$N283="Yes"),"Yes","No")</f>
        <v>No</v>
      </c>
      <c r="AD283" s="14" t="n">
        <f aca="false">MAX($Q283,$U283,$Y283)</f>
        <v>0</v>
      </c>
      <c r="AE283" s="26" t="n">
        <f aca="false">$AD283+ROW()*0.000000001</f>
        <v>2.83E-007</v>
      </c>
      <c r="AF283" s="26" t="str">
        <f aca="false">IF($J283="Yes","A","")&amp;IF($L283="Yes","B","")&amp;IF($N283="Yes","C","")</f>
        <v/>
      </c>
    </row>
    <row r="284" customFormat="false" ht="15" hidden="false" customHeight="false" outlineLevel="0" collapsed="false">
      <c r="B284" s="22" t="s">
        <v>606</v>
      </c>
      <c r="C284" s="23" t="s">
        <v>607</v>
      </c>
      <c r="D284" s="23" t="s">
        <v>62</v>
      </c>
      <c r="E284" s="23" t="s">
        <v>95</v>
      </c>
      <c r="F284" s="22" t="s">
        <v>57</v>
      </c>
      <c r="G284" s="23" t="s">
        <v>149</v>
      </c>
      <c r="H284" s="24" t="n">
        <v>1</v>
      </c>
      <c r="I284" s="14" t="n">
        <v>0.1948</v>
      </c>
      <c r="J284" s="25" t="s">
        <v>59</v>
      </c>
      <c r="K284" s="25"/>
      <c r="L284" s="25" t="s">
        <v>59</v>
      </c>
      <c r="M284" s="25"/>
      <c r="N284" s="25" t="s">
        <v>59</v>
      </c>
      <c r="O284" s="25"/>
      <c r="P284" s="14" t="n">
        <v>0.1948</v>
      </c>
      <c r="Q284" s="14" t="n">
        <f aca="false">IF(AND($J284="Yes",$G284&lt;&gt;"Vendor day rates"),$I284-0.4*$P284,0)</f>
        <v>0</v>
      </c>
      <c r="R284" s="26" t="n">
        <f aca="false">IFERROR(MATCH($K284,MonthList,0),0)</f>
        <v>0</v>
      </c>
      <c r="S284" s="14" t="n">
        <f aca="false">IF(OR($J284&lt;&gt;"Yes",$K284=""),0,$Q284*MAX(0,7-$R284)/12)</f>
        <v>0</v>
      </c>
      <c r="T284" s="14" t="n">
        <f aca="false">IF(OR($J284&lt;&gt;"Yes",$K284=""),0,$Q284*IF($R284&lt;=7,12,19-$R284)/12)</f>
        <v>0</v>
      </c>
      <c r="U284" s="14" t="n">
        <f aca="false">IF(AND($L284="Yes",$G284&lt;&gt;"Vendor day rates"),$I284-0.4*$P284,0)</f>
        <v>0</v>
      </c>
      <c r="V284" s="26" t="n">
        <f aca="false">IFERROR(MATCH($M284,MonthList,0),0)</f>
        <v>0</v>
      </c>
      <c r="W284" s="14" t="n">
        <f aca="false">IF(OR($L284&lt;&gt;"Yes",$M284=""),0,$U284*MAX(0,7-$V284)/12)</f>
        <v>0</v>
      </c>
      <c r="X284" s="14" t="n">
        <f aca="false">IF(OR($L284&lt;&gt;"Yes",$M284=""),0,$U284*IF($V284&lt;=7,12,19-$V284)/12)</f>
        <v>0</v>
      </c>
      <c r="Y284" s="14" t="n">
        <f aca="false">IF(AND($N284="Yes",$G284&lt;&gt;"Vendor day rates"),$I284-0.4*$P284,0)</f>
        <v>0</v>
      </c>
      <c r="Z284" s="26" t="n">
        <f aca="false">IFERROR(MATCH($O284,MonthList,0),0)</f>
        <v>0</v>
      </c>
      <c r="AA284" s="14" t="n">
        <f aca="false">IF(OR($N284&lt;&gt;"Yes",$O284=""),0,$Y284*MAX(0,7-$Z284)/12)</f>
        <v>0</v>
      </c>
      <c r="AB284" s="14" t="n">
        <f aca="false">IF(OR($N284&lt;&gt;"Yes",$O284=""),0,$Y284*IF($Z284&lt;=7,12,19-$Z284)/12)</f>
        <v>0</v>
      </c>
      <c r="AC284" s="26" t="str">
        <f aca="false">IF(OR($J284="Yes",$L284="Yes",$N284="Yes"),"Yes","No")</f>
        <v>No</v>
      </c>
      <c r="AD284" s="14" t="n">
        <f aca="false">MAX($Q284,$U284,$Y284)</f>
        <v>0</v>
      </c>
      <c r="AE284" s="26" t="n">
        <f aca="false">$AD284+ROW()*0.000000001</f>
        <v>2.84E-007</v>
      </c>
      <c r="AF284" s="26" t="str">
        <f aca="false">IF($J284="Yes","A","")&amp;IF($L284="Yes","B","")&amp;IF($N284="Yes","C","")</f>
        <v/>
      </c>
    </row>
    <row r="285" customFormat="false" ht="15" hidden="false" customHeight="false" outlineLevel="0" collapsed="false">
      <c r="B285" s="22" t="s">
        <v>608</v>
      </c>
      <c r="C285" s="23" t="s">
        <v>609</v>
      </c>
      <c r="D285" s="23" t="s">
        <v>172</v>
      </c>
      <c r="E285" s="23" t="s">
        <v>265</v>
      </c>
      <c r="F285" s="22" t="s">
        <v>57</v>
      </c>
      <c r="G285" s="23" t="s">
        <v>58</v>
      </c>
      <c r="H285" s="24" t="n">
        <v>1</v>
      </c>
      <c r="I285" s="14" t="n">
        <v>0.244</v>
      </c>
      <c r="J285" s="25" t="s">
        <v>59</v>
      </c>
      <c r="K285" s="25"/>
      <c r="L285" s="25" t="s">
        <v>59</v>
      </c>
      <c r="M285" s="25"/>
      <c r="N285" s="25" t="s">
        <v>59</v>
      </c>
      <c r="O285" s="25"/>
      <c r="P285" s="14" t="n">
        <v>0.244</v>
      </c>
      <c r="Q285" s="14" t="n">
        <f aca="false">IF(AND($J285="Yes",$G285&lt;&gt;"Vendor day rates"),$I285-0.4*$P285,0)</f>
        <v>0</v>
      </c>
      <c r="R285" s="26" t="n">
        <f aca="false">IFERROR(MATCH($K285,MonthList,0),0)</f>
        <v>0</v>
      </c>
      <c r="S285" s="14" t="n">
        <f aca="false">IF(OR($J285&lt;&gt;"Yes",$K285=""),0,$Q285*MAX(0,7-$R285)/12)</f>
        <v>0</v>
      </c>
      <c r="T285" s="14" t="n">
        <f aca="false">IF(OR($J285&lt;&gt;"Yes",$K285=""),0,$Q285*IF($R285&lt;=7,12,19-$R285)/12)</f>
        <v>0</v>
      </c>
      <c r="U285" s="14" t="n">
        <f aca="false">IF(AND($L285="Yes",$G285&lt;&gt;"Vendor day rates"),$I285-0.4*$P285,0)</f>
        <v>0</v>
      </c>
      <c r="V285" s="26" t="n">
        <f aca="false">IFERROR(MATCH($M285,MonthList,0),0)</f>
        <v>0</v>
      </c>
      <c r="W285" s="14" t="n">
        <f aca="false">IF(OR($L285&lt;&gt;"Yes",$M285=""),0,$U285*MAX(0,7-$V285)/12)</f>
        <v>0</v>
      </c>
      <c r="X285" s="14" t="n">
        <f aca="false">IF(OR($L285&lt;&gt;"Yes",$M285=""),0,$U285*IF($V285&lt;=7,12,19-$V285)/12)</f>
        <v>0</v>
      </c>
      <c r="Y285" s="14" t="n">
        <f aca="false">IF(AND($N285="Yes",$G285&lt;&gt;"Vendor day rates"),$I285-0.4*$P285,0)</f>
        <v>0</v>
      </c>
      <c r="Z285" s="26" t="n">
        <f aca="false">IFERROR(MATCH($O285,MonthList,0),0)</f>
        <v>0</v>
      </c>
      <c r="AA285" s="14" t="n">
        <f aca="false">IF(OR($N285&lt;&gt;"Yes",$O285=""),0,$Y285*MAX(0,7-$Z285)/12)</f>
        <v>0</v>
      </c>
      <c r="AB285" s="14" t="n">
        <f aca="false">IF(OR($N285&lt;&gt;"Yes",$O285=""),0,$Y285*IF($Z285&lt;=7,12,19-$Z285)/12)</f>
        <v>0</v>
      </c>
      <c r="AC285" s="26" t="str">
        <f aca="false">IF(OR($J285="Yes",$L285="Yes",$N285="Yes"),"Yes","No")</f>
        <v>No</v>
      </c>
      <c r="AD285" s="14" t="n">
        <f aca="false">MAX($Q285,$U285,$Y285)</f>
        <v>0</v>
      </c>
      <c r="AE285" s="26" t="n">
        <f aca="false">$AD285+ROW()*0.000000001</f>
        <v>2.85E-007</v>
      </c>
      <c r="AF285" s="26" t="str">
        <f aca="false">IF($J285="Yes","A","")&amp;IF($L285="Yes","B","")&amp;IF($N285="Yes","C","")</f>
        <v/>
      </c>
    </row>
    <row r="286" customFormat="false" ht="15" hidden="false" customHeight="false" outlineLevel="0" collapsed="false">
      <c r="B286" s="22" t="s">
        <v>610</v>
      </c>
      <c r="C286" s="23" t="s">
        <v>611</v>
      </c>
      <c r="D286" s="23" t="s">
        <v>204</v>
      </c>
      <c r="E286" s="23" t="s">
        <v>365</v>
      </c>
      <c r="F286" s="22" t="s">
        <v>57</v>
      </c>
      <c r="G286" s="23" t="s">
        <v>58</v>
      </c>
      <c r="H286" s="24" t="n">
        <v>1</v>
      </c>
      <c r="I286" s="14" t="n">
        <v>0.2936</v>
      </c>
      <c r="J286" s="25" t="s">
        <v>59</v>
      </c>
      <c r="K286" s="25"/>
      <c r="L286" s="25" t="s">
        <v>59</v>
      </c>
      <c r="M286" s="25"/>
      <c r="N286" s="25" t="s">
        <v>59</v>
      </c>
      <c r="O286" s="25"/>
      <c r="P286" s="14" t="n">
        <v>0.2936</v>
      </c>
      <c r="Q286" s="14" t="n">
        <f aca="false">IF(AND($J286="Yes",$G286&lt;&gt;"Vendor day rates"),$I286-0.4*$P286,0)</f>
        <v>0</v>
      </c>
      <c r="R286" s="26" t="n">
        <f aca="false">IFERROR(MATCH($K286,MonthList,0),0)</f>
        <v>0</v>
      </c>
      <c r="S286" s="14" t="n">
        <f aca="false">IF(OR($J286&lt;&gt;"Yes",$K286=""),0,$Q286*MAX(0,7-$R286)/12)</f>
        <v>0</v>
      </c>
      <c r="T286" s="14" t="n">
        <f aca="false">IF(OR($J286&lt;&gt;"Yes",$K286=""),0,$Q286*IF($R286&lt;=7,12,19-$R286)/12)</f>
        <v>0</v>
      </c>
      <c r="U286" s="14" t="n">
        <f aca="false">IF(AND($L286="Yes",$G286&lt;&gt;"Vendor day rates"),$I286-0.4*$P286,0)</f>
        <v>0</v>
      </c>
      <c r="V286" s="26" t="n">
        <f aca="false">IFERROR(MATCH($M286,MonthList,0),0)</f>
        <v>0</v>
      </c>
      <c r="W286" s="14" t="n">
        <f aca="false">IF(OR($L286&lt;&gt;"Yes",$M286=""),0,$U286*MAX(0,7-$V286)/12)</f>
        <v>0</v>
      </c>
      <c r="X286" s="14" t="n">
        <f aca="false">IF(OR($L286&lt;&gt;"Yes",$M286=""),0,$U286*IF($V286&lt;=7,12,19-$V286)/12)</f>
        <v>0</v>
      </c>
      <c r="Y286" s="14" t="n">
        <f aca="false">IF(AND($N286="Yes",$G286&lt;&gt;"Vendor day rates"),$I286-0.4*$P286,0)</f>
        <v>0</v>
      </c>
      <c r="Z286" s="26" t="n">
        <f aca="false">IFERROR(MATCH($O286,MonthList,0),0)</f>
        <v>0</v>
      </c>
      <c r="AA286" s="14" t="n">
        <f aca="false">IF(OR($N286&lt;&gt;"Yes",$O286=""),0,$Y286*MAX(0,7-$Z286)/12)</f>
        <v>0</v>
      </c>
      <c r="AB286" s="14" t="n">
        <f aca="false">IF(OR($N286&lt;&gt;"Yes",$O286=""),0,$Y286*IF($Z286&lt;=7,12,19-$Z286)/12)</f>
        <v>0</v>
      </c>
      <c r="AC286" s="26" t="str">
        <f aca="false">IF(OR($J286="Yes",$L286="Yes",$N286="Yes"),"Yes","No")</f>
        <v>No</v>
      </c>
      <c r="AD286" s="14" t="n">
        <f aca="false">MAX($Q286,$U286,$Y286)</f>
        <v>0</v>
      </c>
      <c r="AE286" s="26" t="n">
        <f aca="false">$AD286+ROW()*0.000000001</f>
        <v>2.86E-007</v>
      </c>
      <c r="AF286" s="26" t="str">
        <f aca="false">IF($J286="Yes","A","")&amp;IF($L286="Yes","B","")&amp;IF($N286="Yes","C","")</f>
        <v/>
      </c>
    </row>
    <row r="287" customFormat="false" ht="15" hidden="false" customHeight="false" outlineLevel="0" collapsed="false">
      <c r="B287" s="22" t="s">
        <v>612</v>
      </c>
      <c r="C287" s="23" t="s">
        <v>613</v>
      </c>
      <c r="D287" s="23" t="s">
        <v>204</v>
      </c>
      <c r="E287" s="23" t="s">
        <v>365</v>
      </c>
      <c r="F287" s="22" t="s">
        <v>57</v>
      </c>
      <c r="G287" s="23" t="s">
        <v>58</v>
      </c>
      <c r="H287" s="24" t="n">
        <v>1</v>
      </c>
      <c r="I287" s="14" t="n">
        <v>0.2126</v>
      </c>
      <c r="J287" s="25" t="s">
        <v>59</v>
      </c>
      <c r="K287" s="25"/>
      <c r="L287" s="25" t="s">
        <v>59</v>
      </c>
      <c r="M287" s="25"/>
      <c r="N287" s="25" t="s">
        <v>59</v>
      </c>
      <c r="O287" s="25"/>
      <c r="P287" s="14" t="n">
        <v>0.2126</v>
      </c>
      <c r="Q287" s="14" t="n">
        <f aca="false">IF(AND($J287="Yes",$G287&lt;&gt;"Vendor day rates"),$I287-0.4*$P287,0)</f>
        <v>0</v>
      </c>
      <c r="R287" s="26" t="n">
        <f aca="false">IFERROR(MATCH($K287,MonthList,0),0)</f>
        <v>0</v>
      </c>
      <c r="S287" s="14" t="n">
        <f aca="false">IF(OR($J287&lt;&gt;"Yes",$K287=""),0,$Q287*MAX(0,7-$R287)/12)</f>
        <v>0</v>
      </c>
      <c r="T287" s="14" t="n">
        <f aca="false">IF(OR($J287&lt;&gt;"Yes",$K287=""),0,$Q287*IF($R287&lt;=7,12,19-$R287)/12)</f>
        <v>0</v>
      </c>
      <c r="U287" s="14" t="n">
        <f aca="false">IF(AND($L287="Yes",$G287&lt;&gt;"Vendor day rates"),$I287-0.4*$P287,0)</f>
        <v>0</v>
      </c>
      <c r="V287" s="26" t="n">
        <f aca="false">IFERROR(MATCH($M287,MonthList,0),0)</f>
        <v>0</v>
      </c>
      <c r="W287" s="14" t="n">
        <f aca="false">IF(OR($L287&lt;&gt;"Yes",$M287=""),0,$U287*MAX(0,7-$V287)/12)</f>
        <v>0</v>
      </c>
      <c r="X287" s="14" t="n">
        <f aca="false">IF(OR($L287&lt;&gt;"Yes",$M287=""),0,$U287*IF($V287&lt;=7,12,19-$V287)/12)</f>
        <v>0</v>
      </c>
      <c r="Y287" s="14" t="n">
        <f aca="false">IF(AND($N287="Yes",$G287&lt;&gt;"Vendor day rates"),$I287-0.4*$P287,0)</f>
        <v>0</v>
      </c>
      <c r="Z287" s="26" t="n">
        <f aca="false">IFERROR(MATCH($O287,MonthList,0),0)</f>
        <v>0</v>
      </c>
      <c r="AA287" s="14" t="n">
        <f aca="false">IF(OR($N287&lt;&gt;"Yes",$O287=""),0,$Y287*MAX(0,7-$Z287)/12)</f>
        <v>0</v>
      </c>
      <c r="AB287" s="14" t="n">
        <f aca="false">IF(OR($N287&lt;&gt;"Yes",$O287=""),0,$Y287*IF($Z287&lt;=7,12,19-$Z287)/12)</f>
        <v>0</v>
      </c>
      <c r="AC287" s="26" t="str">
        <f aca="false">IF(OR($J287="Yes",$L287="Yes",$N287="Yes"),"Yes","No")</f>
        <v>No</v>
      </c>
      <c r="AD287" s="14" t="n">
        <f aca="false">MAX($Q287,$U287,$Y287)</f>
        <v>0</v>
      </c>
      <c r="AE287" s="26" t="n">
        <f aca="false">$AD287+ROW()*0.000000001</f>
        <v>2.87E-007</v>
      </c>
      <c r="AF287" s="26" t="str">
        <f aca="false">IF($J287="Yes","A","")&amp;IF($L287="Yes","B","")&amp;IF($N287="Yes","C","")</f>
        <v/>
      </c>
    </row>
    <row r="288" customFormat="false" ht="15" hidden="false" customHeight="false" outlineLevel="0" collapsed="false">
      <c r="B288" s="22" t="s">
        <v>614</v>
      </c>
      <c r="C288" s="23" t="s">
        <v>615</v>
      </c>
      <c r="D288" s="23" t="s">
        <v>204</v>
      </c>
      <c r="E288" s="23" t="s">
        <v>507</v>
      </c>
      <c r="F288" s="22" t="s">
        <v>57</v>
      </c>
      <c r="G288" s="23" t="s">
        <v>149</v>
      </c>
      <c r="H288" s="24" t="n">
        <v>1</v>
      </c>
      <c r="I288" s="14" t="n">
        <v>0.2029</v>
      </c>
      <c r="J288" s="25" t="s">
        <v>59</v>
      </c>
      <c r="K288" s="25"/>
      <c r="L288" s="25" t="s">
        <v>59</v>
      </c>
      <c r="M288" s="25"/>
      <c r="N288" s="25" t="s">
        <v>59</v>
      </c>
      <c r="O288" s="25"/>
      <c r="P288" s="14" t="n">
        <v>0.2029</v>
      </c>
      <c r="Q288" s="14" t="n">
        <f aca="false">IF(AND($J288="Yes",$G288&lt;&gt;"Vendor day rates"),$I288-0.4*$P288,0)</f>
        <v>0</v>
      </c>
      <c r="R288" s="26" t="n">
        <f aca="false">IFERROR(MATCH($K288,MonthList,0),0)</f>
        <v>0</v>
      </c>
      <c r="S288" s="14" t="n">
        <f aca="false">IF(OR($J288&lt;&gt;"Yes",$K288=""),0,$Q288*MAX(0,7-$R288)/12)</f>
        <v>0</v>
      </c>
      <c r="T288" s="14" t="n">
        <f aca="false">IF(OR($J288&lt;&gt;"Yes",$K288=""),0,$Q288*IF($R288&lt;=7,12,19-$R288)/12)</f>
        <v>0</v>
      </c>
      <c r="U288" s="14" t="n">
        <f aca="false">IF(AND($L288="Yes",$G288&lt;&gt;"Vendor day rates"),$I288-0.4*$P288,0)</f>
        <v>0</v>
      </c>
      <c r="V288" s="26" t="n">
        <f aca="false">IFERROR(MATCH($M288,MonthList,0),0)</f>
        <v>0</v>
      </c>
      <c r="W288" s="14" t="n">
        <f aca="false">IF(OR($L288&lt;&gt;"Yes",$M288=""),0,$U288*MAX(0,7-$V288)/12)</f>
        <v>0</v>
      </c>
      <c r="X288" s="14" t="n">
        <f aca="false">IF(OR($L288&lt;&gt;"Yes",$M288=""),0,$U288*IF($V288&lt;=7,12,19-$V288)/12)</f>
        <v>0</v>
      </c>
      <c r="Y288" s="14" t="n">
        <f aca="false">IF(AND($N288="Yes",$G288&lt;&gt;"Vendor day rates"),$I288-0.4*$P288,0)</f>
        <v>0</v>
      </c>
      <c r="Z288" s="26" t="n">
        <f aca="false">IFERROR(MATCH($O288,MonthList,0),0)</f>
        <v>0</v>
      </c>
      <c r="AA288" s="14" t="n">
        <f aca="false">IF(OR($N288&lt;&gt;"Yes",$O288=""),0,$Y288*MAX(0,7-$Z288)/12)</f>
        <v>0</v>
      </c>
      <c r="AB288" s="14" t="n">
        <f aca="false">IF(OR($N288&lt;&gt;"Yes",$O288=""),0,$Y288*IF($Z288&lt;=7,12,19-$Z288)/12)</f>
        <v>0</v>
      </c>
      <c r="AC288" s="26" t="str">
        <f aca="false">IF(OR($J288="Yes",$L288="Yes",$N288="Yes"),"Yes","No")</f>
        <v>No</v>
      </c>
      <c r="AD288" s="14" t="n">
        <f aca="false">MAX($Q288,$U288,$Y288)</f>
        <v>0</v>
      </c>
      <c r="AE288" s="26" t="n">
        <f aca="false">$AD288+ROW()*0.000000001</f>
        <v>2.88E-007</v>
      </c>
      <c r="AF288" s="26" t="str">
        <f aca="false">IF($J288="Yes","A","")&amp;IF($L288="Yes","B","")&amp;IF($N288="Yes","C","")</f>
        <v/>
      </c>
    </row>
    <row r="289" customFormat="false" ht="15" hidden="false" customHeight="false" outlineLevel="0" collapsed="false">
      <c r="B289" s="22" t="s">
        <v>616</v>
      </c>
      <c r="C289" s="23" t="s">
        <v>615</v>
      </c>
      <c r="D289" s="23" t="s">
        <v>204</v>
      </c>
      <c r="E289" s="23" t="s">
        <v>507</v>
      </c>
      <c r="F289" s="22" t="s">
        <v>57</v>
      </c>
      <c r="G289" s="23" t="s">
        <v>149</v>
      </c>
      <c r="H289" s="24" t="n">
        <v>1</v>
      </c>
      <c r="I289" s="14" t="n">
        <v>0.2029</v>
      </c>
      <c r="J289" s="25" t="s">
        <v>59</v>
      </c>
      <c r="K289" s="25"/>
      <c r="L289" s="25" t="s">
        <v>59</v>
      </c>
      <c r="M289" s="25"/>
      <c r="N289" s="25" t="s">
        <v>59</v>
      </c>
      <c r="O289" s="25"/>
      <c r="P289" s="14" t="n">
        <v>0.2029</v>
      </c>
      <c r="Q289" s="14" t="n">
        <f aca="false">IF(AND($J289="Yes",$G289&lt;&gt;"Vendor day rates"),$I289-0.4*$P289,0)</f>
        <v>0</v>
      </c>
      <c r="R289" s="26" t="n">
        <f aca="false">IFERROR(MATCH($K289,MonthList,0),0)</f>
        <v>0</v>
      </c>
      <c r="S289" s="14" t="n">
        <f aca="false">IF(OR($J289&lt;&gt;"Yes",$K289=""),0,$Q289*MAX(0,7-$R289)/12)</f>
        <v>0</v>
      </c>
      <c r="T289" s="14" t="n">
        <f aca="false">IF(OR($J289&lt;&gt;"Yes",$K289=""),0,$Q289*IF($R289&lt;=7,12,19-$R289)/12)</f>
        <v>0</v>
      </c>
      <c r="U289" s="14" t="n">
        <f aca="false">IF(AND($L289="Yes",$G289&lt;&gt;"Vendor day rates"),$I289-0.4*$P289,0)</f>
        <v>0</v>
      </c>
      <c r="V289" s="26" t="n">
        <f aca="false">IFERROR(MATCH($M289,MonthList,0),0)</f>
        <v>0</v>
      </c>
      <c r="W289" s="14" t="n">
        <f aca="false">IF(OR($L289&lt;&gt;"Yes",$M289=""),0,$U289*MAX(0,7-$V289)/12)</f>
        <v>0</v>
      </c>
      <c r="X289" s="14" t="n">
        <f aca="false">IF(OR($L289&lt;&gt;"Yes",$M289=""),0,$U289*IF($V289&lt;=7,12,19-$V289)/12)</f>
        <v>0</v>
      </c>
      <c r="Y289" s="14" t="n">
        <f aca="false">IF(AND($N289="Yes",$G289&lt;&gt;"Vendor day rates"),$I289-0.4*$P289,0)</f>
        <v>0</v>
      </c>
      <c r="Z289" s="26" t="n">
        <f aca="false">IFERROR(MATCH($O289,MonthList,0),0)</f>
        <v>0</v>
      </c>
      <c r="AA289" s="14" t="n">
        <f aca="false">IF(OR($N289&lt;&gt;"Yes",$O289=""),0,$Y289*MAX(0,7-$Z289)/12)</f>
        <v>0</v>
      </c>
      <c r="AB289" s="14" t="n">
        <f aca="false">IF(OR($N289&lt;&gt;"Yes",$O289=""),0,$Y289*IF($Z289&lt;=7,12,19-$Z289)/12)</f>
        <v>0</v>
      </c>
      <c r="AC289" s="26" t="str">
        <f aca="false">IF(OR($J289="Yes",$L289="Yes",$N289="Yes"),"Yes","No")</f>
        <v>No</v>
      </c>
      <c r="AD289" s="14" t="n">
        <f aca="false">MAX($Q289,$U289,$Y289)</f>
        <v>0</v>
      </c>
      <c r="AE289" s="26" t="n">
        <f aca="false">$AD289+ROW()*0.000000001</f>
        <v>2.89E-007</v>
      </c>
      <c r="AF289" s="26" t="str">
        <f aca="false">IF($J289="Yes","A","")&amp;IF($L289="Yes","B","")&amp;IF($N289="Yes","C","")</f>
        <v/>
      </c>
    </row>
    <row r="290" customFormat="false" ht="15" hidden="false" customHeight="false" outlineLevel="0" collapsed="false">
      <c r="B290" s="22" t="s">
        <v>617</v>
      </c>
      <c r="C290" s="23" t="s">
        <v>618</v>
      </c>
      <c r="D290" s="23" t="s">
        <v>147</v>
      </c>
      <c r="E290" s="23" t="s">
        <v>167</v>
      </c>
      <c r="F290" s="22" t="s">
        <v>57</v>
      </c>
      <c r="G290" s="23" t="s">
        <v>121</v>
      </c>
      <c r="H290" s="24" t="n">
        <v>1</v>
      </c>
      <c r="I290" s="14" t="n">
        <v>0.0816</v>
      </c>
      <c r="J290" s="25" t="s">
        <v>59</v>
      </c>
      <c r="K290" s="25"/>
      <c r="L290" s="25" t="s">
        <v>59</v>
      </c>
      <c r="M290" s="25"/>
      <c r="N290" s="25" t="s">
        <v>59</v>
      </c>
      <c r="O290" s="25"/>
      <c r="P290" s="14" t="n">
        <v>0.204</v>
      </c>
      <c r="Q290" s="14" t="n">
        <f aca="false">IF(AND($J290="Yes",$G290&lt;&gt;"Vendor day rates"),$I290-0.4*$P290,0)</f>
        <v>0</v>
      </c>
      <c r="R290" s="26" t="n">
        <f aca="false">IFERROR(MATCH($K290,MonthList,0),0)</f>
        <v>0</v>
      </c>
      <c r="S290" s="14" t="n">
        <f aca="false">IF(OR($J290&lt;&gt;"Yes",$K290=""),0,$Q290*MAX(0,7-$R290)/12)</f>
        <v>0</v>
      </c>
      <c r="T290" s="14" t="n">
        <f aca="false">IF(OR($J290&lt;&gt;"Yes",$K290=""),0,$Q290*IF($R290&lt;=7,12,19-$R290)/12)</f>
        <v>0</v>
      </c>
      <c r="U290" s="14" t="n">
        <f aca="false">IF(AND($L290="Yes",$G290&lt;&gt;"Vendor day rates"),$I290-0.4*$P290,0)</f>
        <v>0</v>
      </c>
      <c r="V290" s="26" t="n">
        <f aca="false">IFERROR(MATCH($M290,MonthList,0),0)</f>
        <v>0</v>
      </c>
      <c r="W290" s="14" t="n">
        <f aca="false">IF(OR($L290&lt;&gt;"Yes",$M290=""),0,$U290*MAX(0,7-$V290)/12)</f>
        <v>0</v>
      </c>
      <c r="X290" s="14" t="n">
        <f aca="false">IF(OR($L290&lt;&gt;"Yes",$M290=""),0,$U290*IF($V290&lt;=7,12,19-$V290)/12)</f>
        <v>0</v>
      </c>
      <c r="Y290" s="14" t="n">
        <f aca="false">IF(AND($N290="Yes",$G290&lt;&gt;"Vendor day rates"),$I290-0.4*$P290,0)</f>
        <v>0</v>
      </c>
      <c r="Z290" s="26" t="n">
        <f aca="false">IFERROR(MATCH($O290,MonthList,0),0)</f>
        <v>0</v>
      </c>
      <c r="AA290" s="14" t="n">
        <f aca="false">IF(OR($N290&lt;&gt;"Yes",$O290=""),0,$Y290*MAX(0,7-$Z290)/12)</f>
        <v>0</v>
      </c>
      <c r="AB290" s="14" t="n">
        <f aca="false">IF(OR($N290&lt;&gt;"Yes",$O290=""),0,$Y290*IF($Z290&lt;=7,12,19-$Z290)/12)</f>
        <v>0</v>
      </c>
      <c r="AC290" s="26" t="str">
        <f aca="false">IF(OR($J290="Yes",$L290="Yes",$N290="Yes"),"Yes","No")</f>
        <v>No</v>
      </c>
      <c r="AD290" s="14" t="n">
        <f aca="false">MAX($Q290,$U290,$Y290)</f>
        <v>0</v>
      </c>
      <c r="AE290" s="26" t="n">
        <f aca="false">$AD290+ROW()*0.000000001</f>
        <v>2.9E-007</v>
      </c>
      <c r="AF290" s="26" t="str">
        <f aca="false">IF($J290="Yes","A","")&amp;IF($L290="Yes","B","")&amp;IF($N290="Yes","C","")</f>
        <v/>
      </c>
    </row>
    <row r="291" customFormat="false" ht="15" hidden="false" customHeight="false" outlineLevel="0" collapsed="false">
      <c r="B291" s="22" t="s">
        <v>619</v>
      </c>
      <c r="C291" s="23" t="s">
        <v>620</v>
      </c>
      <c r="D291" s="23" t="s">
        <v>147</v>
      </c>
      <c r="E291" s="23" t="s">
        <v>167</v>
      </c>
      <c r="F291" s="22" t="s">
        <v>57</v>
      </c>
      <c r="G291" s="23" t="s">
        <v>58</v>
      </c>
      <c r="H291" s="24" t="n">
        <v>1</v>
      </c>
      <c r="I291" s="14" t="n">
        <v>0.2038</v>
      </c>
      <c r="J291" s="25" t="s">
        <v>59</v>
      </c>
      <c r="K291" s="25"/>
      <c r="L291" s="25" t="s">
        <v>59</v>
      </c>
      <c r="M291" s="25"/>
      <c r="N291" s="25" t="s">
        <v>59</v>
      </c>
      <c r="O291" s="25"/>
      <c r="P291" s="14" t="n">
        <v>0.2038</v>
      </c>
      <c r="Q291" s="14" t="n">
        <f aca="false">IF(AND($J291="Yes",$G291&lt;&gt;"Vendor day rates"),$I291-0.4*$P291,0)</f>
        <v>0</v>
      </c>
      <c r="R291" s="26" t="n">
        <f aca="false">IFERROR(MATCH($K291,MonthList,0),0)</f>
        <v>0</v>
      </c>
      <c r="S291" s="14" t="n">
        <f aca="false">IF(OR($J291&lt;&gt;"Yes",$K291=""),0,$Q291*MAX(0,7-$R291)/12)</f>
        <v>0</v>
      </c>
      <c r="T291" s="14" t="n">
        <f aca="false">IF(OR($J291&lt;&gt;"Yes",$K291=""),0,$Q291*IF($R291&lt;=7,12,19-$R291)/12)</f>
        <v>0</v>
      </c>
      <c r="U291" s="14" t="n">
        <f aca="false">IF(AND($L291="Yes",$G291&lt;&gt;"Vendor day rates"),$I291-0.4*$P291,0)</f>
        <v>0</v>
      </c>
      <c r="V291" s="26" t="n">
        <f aca="false">IFERROR(MATCH($M291,MonthList,0),0)</f>
        <v>0</v>
      </c>
      <c r="W291" s="14" t="n">
        <f aca="false">IF(OR($L291&lt;&gt;"Yes",$M291=""),0,$U291*MAX(0,7-$V291)/12)</f>
        <v>0</v>
      </c>
      <c r="X291" s="14" t="n">
        <f aca="false">IF(OR($L291&lt;&gt;"Yes",$M291=""),0,$U291*IF($V291&lt;=7,12,19-$V291)/12)</f>
        <v>0</v>
      </c>
      <c r="Y291" s="14" t="n">
        <f aca="false">IF(AND($N291="Yes",$G291&lt;&gt;"Vendor day rates"),$I291-0.4*$P291,0)</f>
        <v>0</v>
      </c>
      <c r="Z291" s="26" t="n">
        <f aca="false">IFERROR(MATCH($O291,MonthList,0),0)</f>
        <v>0</v>
      </c>
      <c r="AA291" s="14" t="n">
        <f aca="false">IF(OR($N291&lt;&gt;"Yes",$O291=""),0,$Y291*MAX(0,7-$Z291)/12)</f>
        <v>0</v>
      </c>
      <c r="AB291" s="14" t="n">
        <f aca="false">IF(OR($N291&lt;&gt;"Yes",$O291=""),0,$Y291*IF($Z291&lt;=7,12,19-$Z291)/12)</f>
        <v>0</v>
      </c>
      <c r="AC291" s="26" t="str">
        <f aca="false">IF(OR($J291="Yes",$L291="Yes",$N291="Yes"),"Yes","No")</f>
        <v>No</v>
      </c>
      <c r="AD291" s="14" t="n">
        <f aca="false">MAX($Q291,$U291,$Y291)</f>
        <v>0</v>
      </c>
      <c r="AE291" s="26" t="n">
        <f aca="false">$AD291+ROW()*0.000000001</f>
        <v>2.91E-007</v>
      </c>
      <c r="AF291" s="26" t="str">
        <f aca="false">IF($J291="Yes","A","")&amp;IF($L291="Yes","B","")&amp;IF($N291="Yes","C","")</f>
        <v/>
      </c>
    </row>
    <row r="292" customFormat="false" ht="15" hidden="false" customHeight="false" outlineLevel="0" collapsed="false">
      <c r="B292" s="22" t="s">
        <v>621</v>
      </c>
      <c r="C292" s="23" t="s">
        <v>622</v>
      </c>
      <c r="D292" s="23" t="s">
        <v>147</v>
      </c>
      <c r="E292" s="23" t="s">
        <v>167</v>
      </c>
      <c r="F292" s="22" t="s">
        <v>57</v>
      </c>
      <c r="G292" s="23" t="s">
        <v>58</v>
      </c>
      <c r="H292" s="24" t="n">
        <v>1</v>
      </c>
      <c r="I292" s="14" t="n">
        <v>0.2209</v>
      </c>
      <c r="J292" s="25" t="s">
        <v>59</v>
      </c>
      <c r="K292" s="25"/>
      <c r="L292" s="25" t="s">
        <v>59</v>
      </c>
      <c r="M292" s="25"/>
      <c r="N292" s="25" t="s">
        <v>59</v>
      </c>
      <c r="O292" s="25"/>
      <c r="P292" s="14" t="n">
        <v>0.2209</v>
      </c>
      <c r="Q292" s="14" t="n">
        <f aca="false">IF(AND($J292="Yes",$G292&lt;&gt;"Vendor day rates"),$I292-0.4*$P292,0)</f>
        <v>0</v>
      </c>
      <c r="R292" s="26" t="n">
        <f aca="false">IFERROR(MATCH($K292,MonthList,0),0)</f>
        <v>0</v>
      </c>
      <c r="S292" s="14" t="n">
        <f aca="false">IF(OR($J292&lt;&gt;"Yes",$K292=""),0,$Q292*MAX(0,7-$R292)/12)</f>
        <v>0</v>
      </c>
      <c r="T292" s="14" t="n">
        <f aca="false">IF(OR($J292&lt;&gt;"Yes",$K292=""),0,$Q292*IF($R292&lt;=7,12,19-$R292)/12)</f>
        <v>0</v>
      </c>
      <c r="U292" s="14" t="n">
        <f aca="false">IF(AND($L292="Yes",$G292&lt;&gt;"Vendor day rates"),$I292-0.4*$P292,0)</f>
        <v>0</v>
      </c>
      <c r="V292" s="26" t="n">
        <f aca="false">IFERROR(MATCH($M292,MonthList,0),0)</f>
        <v>0</v>
      </c>
      <c r="W292" s="14" t="n">
        <f aca="false">IF(OR($L292&lt;&gt;"Yes",$M292=""),0,$U292*MAX(0,7-$V292)/12)</f>
        <v>0</v>
      </c>
      <c r="X292" s="14" t="n">
        <f aca="false">IF(OR($L292&lt;&gt;"Yes",$M292=""),0,$U292*IF($V292&lt;=7,12,19-$V292)/12)</f>
        <v>0</v>
      </c>
      <c r="Y292" s="14" t="n">
        <f aca="false">IF(AND($N292="Yes",$G292&lt;&gt;"Vendor day rates"),$I292-0.4*$P292,0)</f>
        <v>0</v>
      </c>
      <c r="Z292" s="26" t="n">
        <f aca="false">IFERROR(MATCH($O292,MonthList,0),0)</f>
        <v>0</v>
      </c>
      <c r="AA292" s="14" t="n">
        <f aca="false">IF(OR($N292&lt;&gt;"Yes",$O292=""),0,$Y292*MAX(0,7-$Z292)/12)</f>
        <v>0</v>
      </c>
      <c r="AB292" s="14" t="n">
        <f aca="false">IF(OR($N292&lt;&gt;"Yes",$O292=""),0,$Y292*IF($Z292&lt;=7,12,19-$Z292)/12)</f>
        <v>0</v>
      </c>
      <c r="AC292" s="26" t="str">
        <f aca="false">IF(OR($J292="Yes",$L292="Yes",$N292="Yes"),"Yes","No")</f>
        <v>No</v>
      </c>
      <c r="AD292" s="14" t="n">
        <f aca="false">MAX($Q292,$U292,$Y292)</f>
        <v>0</v>
      </c>
      <c r="AE292" s="26" t="n">
        <f aca="false">$AD292+ROW()*0.000000001</f>
        <v>2.92E-007</v>
      </c>
      <c r="AF292" s="26" t="str">
        <f aca="false">IF($J292="Yes","A","")&amp;IF($L292="Yes","B","")&amp;IF($N292="Yes","C","")</f>
        <v/>
      </c>
    </row>
    <row r="293" customFormat="false" ht="15" hidden="false" customHeight="false" outlineLevel="0" collapsed="false">
      <c r="B293" s="22" t="s">
        <v>623</v>
      </c>
      <c r="C293" s="23" t="s">
        <v>624</v>
      </c>
      <c r="D293" s="23" t="s">
        <v>328</v>
      </c>
      <c r="E293" s="23" t="s">
        <v>328</v>
      </c>
      <c r="F293" s="22" t="s">
        <v>57</v>
      </c>
      <c r="G293" s="23" t="s">
        <v>149</v>
      </c>
      <c r="H293" s="24" t="n">
        <v>1</v>
      </c>
      <c r="I293" s="14" t="n">
        <v>0.2029</v>
      </c>
      <c r="J293" s="25" t="s">
        <v>59</v>
      </c>
      <c r="K293" s="25"/>
      <c r="L293" s="25" t="s">
        <v>59</v>
      </c>
      <c r="M293" s="25"/>
      <c r="N293" s="25" t="s">
        <v>59</v>
      </c>
      <c r="O293" s="25"/>
      <c r="P293" s="14" t="n">
        <v>0.2029</v>
      </c>
      <c r="Q293" s="14" t="n">
        <f aca="false">IF(AND($J293="Yes",$G293&lt;&gt;"Vendor day rates"),$I293-0.4*$P293,0)</f>
        <v>0</v>
      </c>
      <c r="R293" s="26" t="n">
        <f aca="false">IFERROR(MATCH($K293,MonthList,0),0)</f>
        <v>0</v>
      </c>
      <c r="S293" s="14" t="n">
        <f aca="false">IF(OR($J293&lt;&gt;"Yes",$K293=""),0,$Q293*MAX(0,7-$R293)/12)</f>
        <v>0</v>
      </c>
      <c r="T293" s="14" t="n">
        <f aca="false">IF(OR($J293&lt;&gt;"Yes",$K293=""),0,$Q293*IF($R293&lt;=7,12,19-$R293)/12)</f>
        <v>0</v>
      </c>
      <c r="U293" s="14" t="n">
        <f aca="false">IF(AND($L293="Yes",$G293&lt;&gt;"Vendor day rates"),$I293-0.4*$P293,0)</f>
        <v>0</v>
      </c>
      <c r="V293" s="26" t="n">
        <f aca="false">IFERROR(MATCH($M293,MonthList,0),0)</f>
        <v>0</v>
      </c>
      <c r="W293" s="14" t="n">
        <f aca="false">IF(OR($L293&lt;&gt;"Yes",$M293=""),0,$U293*MAX(0,7-$V293)/12)</f>
        <v>0</v>
      </c>
      <c r="X293" s="14" t="n">
        <f aca="false">IF(OR($L293&lt;&gt;"Yes",$M293=""),0,$U293*IF($V293&lt;=7,12,19-$V293)/12)</f>
        <v>0</v>
      </c>
      <c r="Y293" s="14" t="n">
        <f aca="false">IF(AND($N293="Yes",$G293&lt;&gt;"Vendor day rates"),$I293-0.4*$P293,0)</f>
        <v>0</v>
      </c>
      <c r="Z293" s="26" t="n">
        <f aca="false">IFERROR(MATCH($O293,MonthList,0),0)</f>
        <v>0</v>
      </c>
      <c r="AA293" s="14" t="n">
        <f aca="false">IF(OR($N293&lt;&gt;"Yes",$O293=""),0,$Y293*MAX(0,7-$Z293)/12)</f>
        <v>0</v>
      </c>
      <c r="AB293" s="14" t="n">
        <f aca="false">IF(OR($N293&lt;&gt;"Yes",$O293=""),0,$Y293*IF($Z293&lt;=7,12,19-$Z293)/12)</f>
        <v>0</v>
      </c>
      <c r="AC293" s="26" t="str">
        <f aca="false">IF(OR($J293="Yes",$L293="Yes",$N293="Yes"),"Yes","No")</f>
        <v>No</v>
      </c>
      <c r="AD293" s="14" t="n">
        <f aca="false">MAX($Q293,$U293,$Y293)</f>
        <v>0</v>
      </c>
      <c r="AE293" s="26" t="n">
        <f aca="false">$AD293+ROW()*0.000000001</f>
        <v>2.93E-007</v>
      </c>
      <c r="AF293" s="26" t="str">
        <f aca="false">IF($J293="Yes","A","")&amp;IF($L293="Yes","B","")&amp;IF($N293="Yes","C","")</f>
        <v/>
      </c>
    </row>
    <row r="294" customFormat="false" ht="15" hidden="false" customHeight="false" outlineLevel="0" collapsed="false">
      <c r="B294" s="22" t="s">
        <v>625</v>
      </c>
      <c r="C294" s="23" t="s">
        <v>624</v>
      </c>
      <c r="D294" s="23" t="s">
        <v>328</v>
      </c>
      <c r="E294" s="23" t="s">
        <v>328</v>
      </c>
      <c r="F294" s="22" t="s">
        <v>57</v>
      </c>
      <c r="G294" s="23" t="s">
        <v>149</v>
      </c>
      <c r="H294" s="24" t="n">
        <v>1</v>
      </c>
      <c r="I294" s="14" t="n">
        <v>0.2029</v>
      </c>
      <c r="J294" s="25" t="s">
        <v>59</v>
      </c>
      <c r="K294" s="25"/>
      <c r="L294" s="25" t="s">
        <v>59</v>
      </c>
      <c r="M294" s="25"/>
      <c r="N294" s="25" t="s">
        <v>59</v>
      </c>
      <c r="O294" s="25"/>
      <c r="P294" s="14" t="n">
        <v>0.2029</v>
      </c>
      <c r="Q294" s="14" t="n">
        <f aca="false">IF(AND($J294="Yes",$G294&lt;&gt;"Vendor day rates"),$I294-0.4*$P294,0)</f>
        <v>0</v>
      </c>
      <c r="R294" s="26" t="n">
        <f aca="false">IFERROR(MATCH($K294,MonthList,0),0)</f>
        <v>0</v>
      </c>
      <c r="S294" s="14" t="n">
        <f aca="false">IF(OR($J294&lt;&gt;"Yes",$K294=""),0,$Q294*MAX(0,7-$R294)/12)</f>
        <v>0</v>
      </c>
      <c r="T294" s="14" t="n">
        <f aca="false">IF(OR($J294&lt;&gt;"Yes",$K294=""),0,$Q294*IF($R294&lt;=7,12,19-$R294)/12)</f>
        <v>0</v>
      </c>
      <c r="U294" s="14" t="n">
        <f aca="false">IF(AND($L294="Yes",$G294&lt;&gt;"Vendor day rates"),$I294-0.4*$P294,0)</f>
        <v>0</v>
      </c>
      <c r="V294" s="26" t="n">
        <f aca="false">IFERROR(MATCH($M294,MonthList,0),0)</f>
        <v>0</v>
      </c>
      <c r="W294" s="14" t="n">
        <f aca="false">IF(OR($L294&lt;&gt;"Yes",$M294=""),0,$U294*MAX(0,7-$V294)/12)</f>
        <v>0</v>
      </c>
      <c r="X294" s="14" t="n">
        <f aca="false">IF(OR($L294&lt;&gt;"Yes",$M294=""),0,$U294*IF($V294&lt;=7,12,19-$V294)/12)</f>
        <v>0</v>
      </c>
      <c r="Y294" s="14" t="n">
        <f aca="false">IF(AND($N294="Yes",$G294&lt;&gt;"Vendor day rates"),$I294-0.4*$P294,0)</f>
        <v>0</v>
      </c>
      <c r="Z294" s="26" t="n">
        <f aca="false">IFERROR(MATCH($O294,MonthList,0),0)</f>
        <v>0</v>
      </c>
      <c r="AA294" s="14" t="n">
        <f aca="false">IF(OR($N294&lt;&gt;"Yes",$O294=""),0,$Y294*MAX(0,7-$Z294)/12)</f>
        <v>0</v>
      </c>
      <c r="AB294" s="14" t="n">
        <f aca="false">IF(OR($N294&lt;&gt;"Yes",$O294=""),0,$Y294*IF($Z294&lt;=7,12,19-$Z294)/12)</f>
        <v>0</v>
      </c>
      <c r="AC294" s="26" t="str">
        <f aca="false">IF(OR($J294="Yes",$L294="Yes",$N294="Yes"),"Yes","No")</f>
        <v>No</v>
      </c>
      <c r="AD294" s="14" t="n">
        <f aca="false">MAX($Q294,$U294,$Y294)</f>
        <v>0</v>
      </c>
      <c r="AE294" s="26" t="n">
        <f aca="false">$AD294+ROW()*0.000000001</f>
        <v>2.94E-007</v>
      </c>
      <c r="AF294" s="26" t="str">
        <f aca="false">IF($J294="Yes","A","")&amp;IF($L294="Yes","B","")&amp;IF($N294="Yes","C","")</f>
        <v/>
      </c>
    </row>
    <row r="295" customFormat="false" ht="15" hidden="false" customHeight="false" outlineLevel="0" collapsed="false">
      <c r="B295" s="22" t="s">
        <v>626</v>
      </c>
      <c r="C295" s="23" t="s">
        <v>624</v>
      </c>
      <c r="D295" s="23" t="s">
        <v>328</v>
      </c>
      <c r="E295" s="23" t="s">
        <v>517</v>
      </c>
      <c r="F295" s="22" t="s">
        <v>57</v>
      </c>
      <c r="G295" s="23" t="s">
        <v>304</v>
      </c>
      <c r="H295" s="24" t="n">
        <v>1</v>
      </c>
      <c r="I295" s="14" t="n">
        <v>0</v>
      </c>
      <c r="J295" s="25" t="s">
        <v>59</v>
      </c>
      <c r="K295" s="25"/>
      <c r="L295" s="25" t="s">
        <v>59</v>
      </c>
      <c r="M295" s="25"/>
      <c r="N295" s="25" t="s">
        <v>59</v>
      </c>
      <c r="O295" s="25"/>
      <c r="P295" s="14" t="n">
        <v>0.2029</v>
      </c>
      <c r="Q295" s="14" t="n">
        <f aca="false">IF(AND($J295="Yes",$G295&lt;&gt;"Vendor day rates"),$I295-0.4*$P295,0)</f>
        <v>0</v>
      </c>
      <c r="R295" s="26" t="n">
        <f aca="false">IFERROR(MATCH($K295,MonthList,0),0)</f>
        <v>0</v>
      </c>
      <c r="S295" s="14" t="n">
        <f aca="false">IF(OR($J295&lt;&gt;"Yes",$K295=""),0,$Q295*MAX(0,7-$R295)/12)</f>
        <v>0</v>
      </c>
      <c r="T295" s="14" t="n">
        <f aca="false">IF(OR($J295&lt;&gt;"Yes",$K295=""),0,$Q295*IF($R295&lt;=7,12,19-$R295)/12)</f>
        <v>0</v>
      </c>
      <c r="U295" s="14" t="n">
        <f aca="false">IF(AND($L295="Yes",$G295&lt;&gt;"Vendor day rates"),$I295-0.4*$P295,0)</f>
        <v>0</v>
      </c>
      <c r="V295" s="26" t="n">
        <f aca="false">IFERROR(MATCH($M295,MonthList,0),0)</f>
        <v>0</v>
      </c>
      <c r="W295" s="14" t="n">
        <f aca="false">IF(OR($L295&lt;&gt;"Yes",$M295=""),0,$U295*MAX(0,7-$V295)/12)</f>
        <v>0</v>
      </c>
      <c r="X295" s="14" t="n">
        <f aca="false">IF(OR($L295&lt;&gt;"Yes",$M295=""),0,$U295*IF($V295&lt;=7,12,19-$V295)/12)</f>
        <v>0</v>
      </c>
      <c r="Y295" s="14" t="n">
        <f aca="false">IF(AND($N295="Yes",$G295&lt;&gt;"Vendor day rates"),$I295-0.4*$P295,0)</f>
        <v>0</v>
      </c>
      <c r="Z295" s="26" t="n">
        <f aca="false">IFERROR(MATCH($O295,MonthList,0),0)</f>
        <v>0</v>
      </c>
      <c r="AA295" s="14" t="n">
        <f aca="false">IF(OR($N295&lt;&gt;"Yes",$O295=""),0,$Y295*MAX(0,7-$Z295)/12)</f>
        <v>0</v>
      </c>
      <c r="AB295" s="14" t="n">
        <f aca="false">IF(OR($N295&lt;&gt;"Yes",$O295=""),0,$Y295*IF($Z295&lt;=7,12,19-$Z295)/12)</f>
        <v>0</v>
      </c>
      <c r="AC295" s="26" t="str">
        <f aca="false">IF(OR($J295="Yes",$L295="Yes",$N295="Yes"),"Yes","No")</f>
        <v>No</v>
      </c>
      <c r="AD295" s="14" t="n">
        <f aca="false">MAX($Q295,$U295,$Y295)</f>
        <v>0</v>
      </c>
      <c r="AE295" s="26" t="n">
        <f aca="false">$AD295+ROW()*0.000000001</f>
        <v>2.95E-007</v>
      </c>
      <c r="AF295" s="26" t="str">
        <f aca="false">IF($J295="Yes","A","")&amp;IF($L295="Yes","B","")&amp;IF($N295="Yes","C","")</f>
        <v/>
      </c>
    </row>
    <row r="296" customFormat="false" ht="15" hidden="false" customHeight="false" outlineLevel="0" collapsed="false">
      <c r="B296" s="22" t="s">
        <v>627</v>
      </c>
      <c r="C296" s="23" t="s">
        <v>628</v>
      </c>
      <c r="D296" s="23" t="s">
        <v>172</v>
      </c>
      <c r="E296" s="23" t="s">
        <v>181</v>
      </c>
      <c r="F296" s="22" t="s">
        <v>57</v>
      </c>
      <c r="G296" s="23" t="s">
        <v>149</v>
      </c>
      <c r="H296" s="24" t="n">
        <v>1</v>
      </c>
      <c r="I296" s="14" t="n">
        <v>0.2029</v>
      </c>
      <c r="J296" s="25" t="s">
        <v>59</v>
      </c>
      <c r="K296" s="25"/>
      <c r="L296" s="25" t="s">
        <v>59</v>
      </c>
      <c r="M296" s="25"/>
      <c r="N296" s="25" t="s">
        <v>59</v>
      </c>
      <c r="O296" s="25"/>
      <c r="P296" s="14" t="n">
        <v>0.2029</v>
      </c>
      <c r="Q296" s="14" t="n">
        <f aca="false">IF(AND($J296="Yes",$G296&lt;&gt;"Vendor day rates"),$I296-0.4*$P296,0)</f>
        <v>0</v>
      </c>
      <c r="R296" s="26" t="n">
        <f aca="false">IFERROR(MATCH($K296,MonthList,0),0)</f>
        <v>0</v>
      </c>
      <c r="S296" s="14" t="n">
        <f aca="false">IF(OR($J296&lt;&gt;"Yes",$K296=""),0,$Q296*MAX(0,7-$R296)/12)</f>
        <v>0</v>
      </c>
      <c r="T296" s="14" t="n">
        <f aca="false">IF(OR($J296&lt;&gt;"Yes",$K296=""),0,$Q296*IF($R296&lt;=7,12,19-$R296)/12)</f>
        <v>0</v>
      </c>
      <c r="U296" s="14" t="n">
        <f aca="false">IF(AND($L296="Yes",$G296&lt;&gt;"Vendor day rates"),$I296-0.4*$P296,0)</f>
        <v>0</v>
      </c>
      <c r="V296" s="26" t="n">
        <f aca="false">IFERROR(MATCH($M296,MonthList,0),0)</f>
        <v>0</v>
      </c>
      <c r="W296" s="14" t="n">
        <f aca="false">IF(OR($L296&lt;&gt;"Yes",$M296=""),0,$U296*MAX(0,7-$V296)/12)</f>
        <v>0</v>
      </c>
      <c r="X296" s="14" t="n">
        <f aca="false">IF(OR($L296&lt;&gt;"Yes",$M296=""),0,$U296*IF($V296&lt;=7,12,19-$V296)/12)</f>
        <v>0</v>
      </c>
      <c r="Y296" s="14" t="n">
        <f aca="false">IF(AND($N296="Yes",$G296&lt;&gt;"Vendor day rates"),$I296-0.4*$P296,0)</f>
        <v>0</v>
      </c>
      <c r="Z296" s="26" t="n">
        <f aca="false">IFERROR(MATCH($O296,MonthList,0),0)</f>
        <v>0</v>
      </c>
      <c r="AA296" s="14" t="n">
        <f aca="false">IF(OR($N296&lt;&gt;"Yes",$O296=""),0,$Y296*MAX(0,7-$Z296)/12)</f>
        <v>0</v>
      </c>
      <c r="AB296" s="14" t="n">
        <f aca="false">IF(OR($N296&lt;&gt;"Yes",$O296=""),0,$Y296*IF($Z296&lt;=7,12,19-$Z296)/12)</f>
        <v>0</v>
      </c>
      <c r="AC296" s="26" t="str">
        <f aca="false">IF(OR($J296="Yes",$L296="Yes",$N296="Yes"),"Yes","No")</f>
        <v>No</v>
      </c>
      <c r="AD296" s="14" t="n">
        <f aca="false">MAX($Q296,$U296,$Y296)</f>
        <v>0</v>
      </c>
      <c r="AE296" s="26" t="n">
        <f aca="false">$AD296+ROW()*0.000000001</f>
        <v>2.96E-007</v>
      </c>
      <c r="AF296" s="26" t="str">
        <f aca="false">IF($J296="Yes","A","")&amp;IF($L296="Yes","B","")&amp;IF($N296="Yes","C","")</f>
        <v/>
      </c>
    </row>
    <row r="297" customFormat="false" ht="15" hidden="false" customHeight="false" outlineLevel="0" collapsed="false">
      <c r="B297" s="22" t="s">
        <v>629</v>
      </c>
      <c r="C297" s="23" t="s">
        <v>630</v>
      </c>
      <c r="D297" s="23" t="s">
        <v>172</v>
      </c>
      <c r="E297" s="23" t="s">
        <v>265</v>
      </c>
      <c r="F297" s="22" t="s">
        <v>57</v>
      </c>
      <c r="G297" s="23" t="s">
        <v>58</v>
      </c>
      <c r="H297" s="24" t="n">
        <v>1</v>
      </c>
      <c r="I297" s="14" t="n">
        <v>0.2134</v>
      </c>
      <c r="J297" s="25" t="s">
        <v>59</v>
      </c>
      <c r="K297" s="25"/>
      <c r="L297" s="25" t="s">
        <v>59</v>
      </c>
      <c r="M297" s="25"/>
      <c r="N297" s="25" t="s">
        <v>59</v>
      </c>
      <c r="O297" s="25"/>
      <c r="P297" s="14" t="n">
        <v>0.2134</v>
      </c>
      <c r="Q297" s="14" t="n">
        <f aca="false">IF(AND($J297="Yes",$G297&lt;&gt;"Vendor day rates"),$I297-0.4*$P297,0)</f>
        <v>0</v>
      </c>
      <c r="R297" s="26" t="n">
        <f aca="false">IFERROR(MATCH($K297,MonthList,0),0)</f>
        <v>0</v>
      </c>
      <c r="S297" s="14" t="n">
        <f aca="false">IF(OR($J297&lt;&gt;"Yes",$K297=""),0,$Q297*MAX(0,7-$R297)/12)</f>
        <v>0</v>
      </c>
      <c r="T297" s="14" t="n">
        <f aca="false">IF(OR($J297&lt;&gt;"Yes",$K297=""),0,$Q297*IF($R297&lt;=7,12,19-$R297)/12)</f>
        <v>0</v>
      </c>
      <c r="U297" s="14" t="n">
        <f aca="false">IF(AND($L297="Yes",$G297&lt;&gt;"Vendor day rates"),$I297-0.4*$P297,0)</f>
        <v>0</v>
      </c>
      <c r="V297" s="26" t="n">
        <f aca="false">IFERROR(MATCH($M297,MonthList,0),0)</f>
        <v>0</v>
      </c>
      <c r="W297" s="14" t="n">
        <f aca="false">IF(OR($L297&lt;&gt;"Yes",$M297=""),0,$U297*MAX(0,7-$V297)/12)</f>
        <v>0</v>
      </c>
      <c r="X297" s="14" t="n">
        <f aca="false">IF(OR($L297&lt;&gt;"Yes",$M297=""),0,$U297*IF($V297&lt;=7,12,19-$V297)/12)</f>
        <v>0</v>
      </c>
      <c r="Y297" s="14" t="n">
        <f aca="false">IF(AND($N297="Yes",$G297&lt;&gt;"Vendor day rates"),$I297-0.4*$P297,0)</f>
        <v>0</v>
      </c>
      <c r="Z297" s="26" t="n">
        <f aca="false">IFERROR(MATCH($O297,MonthList,0),0)</f>
        <v>0</v>
      </c>
      <c r="AA297" s="14" t="n">
        <f aca="false">IF(OR($N297&lt;&gt;"Yes",$O297=""),0,$Y297*MAX(0,7-$Z297)/12)</f>
        <v>0</v>
      </c>
      <c r="AB297" s="14" t="n">
        <f aca="false">IF(OR($N297&lt;&gt;"Yes",$O297=""),0,$Y297*IF($Z297&lt;=7,12,19-$Z297)/12)</f>
        <v>0</v>
      </c>
      <c r="AC297" s="26" t="str">
        <f aca="false">IF(OR($J297="Yes",$L297="Yes",$N297="Yes"),"Yes","No")</f>
        <v>No</v>
      </c>
      <c r="AD297" s="14" t="n">
        <f aca="false">MAX($Q297,$U297,$Y297)</f>
        <v>0</v>
      </c>
      <c r="AE297" s="26" t="n">
        <f aca="false">$AD297+ROW()*0.000000001</f>
        <v>2.97E-007</v>
      </c>
      <c r="AF297" s="26" t="str">
        <f aca="false">IF($J297="Yes","A","")&amp;IF($L297="Yes","B","")&amp;IF($N297="Yes","C","")</f>
        <v/>
      </c>
    </row>
    <row r="298" customFormat="false" ht="15" hidden="false" customHeight="false" outlineLevel="0" collapsed="false">
      <c r="B298" s="22" t="s">
        <v>631</v>
      </c>
      <c r="C298" s="23" t="s">
        <v>632</v>
      </c>
      <c r="D298" s="23" t="s">
        <v>147</v>
      </c>
      <c r="E298" s="23" t="s">
        <v>253</v>
      </c>
      <c r="F298" s="22" t="s">
        <v>57</v>
      </c>
      <c r="G298" s="23" t="s">
        <v>121</v>
      </c>
      <c r="H298" s="24" t="n">
        <v>1</v>
      </c>
      <c r="I298" s="14" t="n">
        <v>0.0814</v>
      </c>
      <c r="J298" s="25" t="s">
        <v>59</v>
      </c>
      <c r="K298" s="25"/>
      <c r="L298" s="25" t="s">
        <v>59</v>
      </c>
      <c r="M298" s="25"/>
      <c r="N298" s="25" t="s">
        <v>59</v>
      </c>
      <c r="O298" s="25"/>
      <c r="P298" s="14" t="n">
        <v>0.2034</v>
      </c>
      <c r="Q298" s="14" t="n">
        <f aca="false">IF(AND($J298="Yes",$G298&lt;&gt;"Vendor day rates"),$I298-0.4*$P298,0)</f>
        <v>0</v>
      </c>
      <c r="R298" s="26" t="n">
        <f aca="false">IFERROR(MATCH($K298,MonthList,0),0)</f>
        <v>0</v>
      </c>
      <c r="S298" s="14" t="n">
        <f aca="false">IF(OR($J298&lt;&gt;"Yes",$K298=""),0,$Q298*MAX(0,7-$R298)/12)</f>
        <v>0</v>
      </c>
      <c r="T298" s="14" t="n">
        <f aca="false">IF(OR($J298&lt;&gt;"Yes",$K298=""),0,$Q298*IF($R298&lt;=7,12,19-$R298)/12)</f>
        <v>0</v>
      </c>
      <c r="U298" s="14" t="n">
        <f aca="false">IF(AND($L298="Yes",$G298&lt;&gt;"Vendor day rates"),$I298-0.4*$P298,0)</f>
        <v>0</v>
      </c>
      <c r="V298" s="26" t="n">
        <f aca="false">IFERROR(MATCH($M298,MonthList,0),0)</f>
        <v>0</v>
      </c>
      <c r="W298" s="14" t="n">
        <f aca="false">IF(OR($L298&lt;&gt;"Yes",$M298=""),0,$U298*MAX(0,7-$V298)/12)</f>
        <v>0</v>
      </c>
      <c r="X298" s="14" t="n">
        <f aca="false">IF(OR($L298&lt;&gt;"Yes",$M298=""),0,$U298*IF($V298&lt;=7,12,19-$V298)/12)</f>
        <v>0</v>
      </c>
      <c r="Y298" s="14" t="n">
        <f aca="false">IF(AND($N298="Yes",$G298&lt;&gt;"Vendor day rates"),$I298-0.4*$P298,0)</f>
        <v>0</v>
      </c>
      <c r="Z298" s="26" t="n">
        <f aca="false">IFERROR(MATCH($O298,MonthList,0),0)</f>
        <v>0</v>
      </c>
      <c r="AA298" s="14" t="n">
        <f aca="false">IF(OR($N298&lt;&gt;"Yes",$O298=""),0,$Y298*MAX(0,7-$Z298)/12)</f>
        <v>0</v>
      </c>
      <c r="AB298" s="14" t="n">
        <f aca="false">IF(OR($N298&lt;&gt;"Yes",$O298=""),0,$Y298*IF($Z298&lt;=7,12,19-$Z298)/12)</f>
        <v>0</v>
      </c>
      <c r="AC298" s="26" t="str">
        <f aca="false">IF(OR($J298="Yes",$L298="Yes",$N298="Yes"),"Yes","No")</f>
        <v>No</v>
      </c>
      <c r="AD298" s="14" t="n">
        <f aca="false">MAX($Q298,$U298,$Y298)</f>
        <v>0</v>
      </c>
      <c r="AE298" s="26" t="n">
        <f aca="false">$AD298+ROW()*0.000000001</f>
        <v>2.98E-007</v>
      </c>
      <c r="AF298" s="26" t="str">
        <f aca="false">IF($J298="Yes","A","")&amp;IF($L298="Yes","B","")&amp;IF($N298="Yes","C","")</f>
        <v/>
      </c>
    </row>
    <row r="299" customFormat="false" ht="15" hidden="false" customHeight="false" outlineLevel="0" collapsed="false">
      <c r="B299" s="22" t="s">
        <v>633</v>
      </c>
      <c r="C299" s="23" t="s">
        <v>632</v>
      </c>
      <c r="D299" s="23" t="s">
        <v>147</v>
      </c>
      <c r="E299" s="23" t="s">
        <v>253</v>
      </c>
      <c r="F299" s="22" t="s">
        <v>57</v>
      </c>
      <c r="G299" s="23" t="s">
        <v>121</v>
      </c>
      <c r="H299" s="24" t="n">
        <v>1</v>
      </c>
      <c r="I299" s="14" t="n">
        <v>0.0916</v>
      </c>
      <c r="J299" s="25" t="s">
        <v>59</v>
      </c>
      <c r="K299" s="25"/>
      <c r="L299" s="25" t="s">
        <v>59</v>
      </c>
      <c r="M299" s="25"/>
      <c r="N299" s="25" t="s">
        <v>59</v>
      </c>
      <c r="O299" s="25"/>
      <c r="P299" s="14" t="n">
        <v>0.2289</v>
      </c>
      <c r="Q299" s="14" t="n">
        <f aca="false">IF(AND($J299="Yes",$G299&lt;&gt;"Vendor day rates"),$I299-0.4*$P299,0)</f>
        <v>0</v>
      </c>
      <c r="R299" s="26" t="n">
        <f aca="false">IFERROR(MATCH($K299,MonthList,0),0)</f>
        <v>0</v>
      </c>
      <c r="S299" s="14" t="n">
        <f aca="false">IF(OR($J299&lt;&gt;"Yes",$K299=""),0,$Q299*MAX(0,7-$R299)/12)</f>
        <v>0</v>
      </c>
      <c r="T299" s="14" t="n">
        <f aca="false">IF(OR($J299&lt;&gt;"Yes",$K299=""),0,$Q299*IF($R299&lt;=7,12,19-$R299)/12)</f>
        <v>0</v>
      </c>
      <c r="U299" s="14" t="n">
        <f aca="false">IF(AND($L299="Yes",$G299&lt;&gt;"Vendor day rates"),$I299-0.4*$P299,0)</f>
        <v>0</v>
      </c>
      <c r="V299" s="26" t="n">
        <f aca="false">IFERROR(MATCH($M299,MonthList,0),0)</f>
        <v>0</v>
      </c>
      <c r="W299" s="14" t="n">
        <f aca="false">IF(OR($L299&lt;&gt;"Yes",$M299=""),0,$U299*MAX(0,7-$V299)/12)</f>
        <v>0</v>
      </c>
      <c r="X299" s="14" t="n">
        <f aca="false">IF(OR($L299&lt;&gt;"Yes",$M299=""),0,$U299*IF($V299&lt;=7,12,19-$V299)/12)</f>
        <v>0</v>
      </c>
      <c r="Y299" s="14" t="n">
        <f aca="false">IF(AND($N299="Yes",$G299&lt;&gt;"Vendor day rates"),$I299-0.4*$P299,0)</f>
        <v>0</v>
      </c>
      <c r="Z299" s="26" t="n">
        <f aca="false">IFERROR(MATCH($O299,MonthList,0),0)</f>
        <v>0</v>
      </c>
      <c r="AA299" s="14" t="n">
        <f aca="false">IF(OR($N299&lt;&gt;"Yes",$O299=""),0,$Y299*MAX(0,7-$Z299)/12)</f>
        <v>0</v>
      </c>
      <c r="AB299" s="14" t="n">
        <f aca="false">IF(OR($N299&lt;&gt;"Yes",$O299=""),0,$Y299*IF($Z299&lt;=7,12,19-$Z299)/12)</f>
        <v>0</v>
      </c>
      <c r="AC299" s="26" t="str">
        <f aca="false">IF(OR($J299="Yes",$L299="Yes",$N299="Yes"),"Yes","No")</f>
        <v>No</v>
      </c>
      <c r="AD299" s="14" t="n">
        <f aca="false">MAX($Q299,$U299,$Y299)</f>
        <v>0</v>
      </c>
      <c r="AE299" s="26" t="n">
        <f aca="false">$AD299+ROW()*0.000000001</f>
        <v>2.99E-007</v>
      </c>
      <c r="AF299" s="26" t="str">
        <f aca="false">IF($J299="Yes","A","")&amp;IF($L299="Yes","B","")&amp;IF($N299="Yes","C","")</f>
        <v/>
      </c>
    </row>
    <row r="300" customFormat="false" ht="15" hidden="false" customHeight="false" outlineLevel="0" collapsed="false">
      <c r="B300" s="22" t="s">
        <v>634</v>
      </c>
      <c r="C300" s="23" t="s">
        <v>635</v>
      </c>
      <c r="D300" s="23" t="s">
        <v>207</v>
      </c>
      <c r="E300" s="23" t="s">
        <v>388</v>
      </c>
      <c r="F300" s="22" t="s">
        <v>57</v>
      </c>
      <c r="G300" s="23" t="s">
        <v>58</v>
      </c>
      <c r="H300" s="24" t="n">
        <v>1</v>
      </c>
      <c r="I300" s="14" t="n">
        <v>0.1869</v>
      </c>
      <c r="J300" s="25" t="s">
        <v>59</v>
      </c>
      <c r="K300" s="25"/>
      <c r="L300" s="25" t="s">
        <v>59</v>
      </c>
      <c r="M300" s="25"/>
      <c r="N300" s="25" t="s">
        <v>59</v>
      </c>
      <c r="O300" s="25"/>
      <c r="P300" s="14" t="n">
        <v>0.1869</v>
      </c>
      <c r="Q300" s="14" t="n">
        <f aca="false">IF(AND($J300="Yes",$G300&lt;&gt;"Vendor day rates"),$I300-0.4*$P300,0)</f>
        <v>0</v>
      </c>
      <c r="R300" s="26" t="n">
        <f aca="false">IFERROR(MATCH($K300,MonthList,0),0)</f>
        <v>0</v>
      </c>
      <c r="S300" s="14" t="n">
        <f aca="false">IF(OR($J300&lt;&gt;"Yes",$K300=""),0,$Q300*MAX(0,7-$R300)/12)</f>
        <v>0</v>
      </c>
      <c r="T300" s="14" t="n">
        <f aca="false">IF(OR($J300&lt;&gt;"Yes",$K300=""),0,$Q300*IF($R300&lt;=7,12,19-$R300)/12)</f>
        <v>0</v>
      </c>
      <c r="U300" s="14" t="n">
        <f aca="false">IF(AND($L300="Yes",$G300&lt;&gt;"Vendor day rates"),$I300-0.4*$P300,0)</f>
        <v>0</v>
      </c>
      <c r="V300" s="26" t="n">
        <f aca="false">IFERROR(MATCH($M300,MonthList,0),0)</f>
        <v>0</v>
      </c>
      <c r="W300" s="14" t="n">
        <f aca="false">IF(OR($L300&lt;&gt;"Yes",$M300=""),0,$U300*MAX(0,7-$V300)/12)</f>
        <v>0</v>
      </c>
      <c r="X300" s="14" t="n">
        <f aca="false">IF(OR($L300&lt;&gt;"Yes",$M300=""),0,$U300*IF($V300&lt;=7,12,19-$V300)/12)</f>
        <v>0</v>
      </c>
      <c r="Y300" s="14" t="n">
        <f aca="false">IF(AND($N300="Yes",$G300&lt;&gt;"Vendor day rates"),$I300-0.4*$P300,0)</f>
        <v>0</v>
      </c>
      <c r="Z300" s="26" t="n">
        <f aca="false">IFERROR(MATCH($O300,MonthList,0),0)</f>
        <v>0</v>
      </c>
      <c r="AA300" s="14" t="n">
        <f aca="false">IF(OR($N300&lt;&gt;"Yes",$O300=""),0,$Y300*MAX(0,7-$Z300)/12)</f>
        <v>0</v>
      </c>
      <c r="AB300" s="14" t="n">
        <f aca="false">IF(OR($N300&lt;&gt;"Yes",$O300=""),0,$Y300*IF($Z300&lt;=7,12,19-$Z300)/12)</f>
        <v>0</v>
      </c>
      <c r="AC300" s="26" t="str">
        <f aca="false">IF(OR($J300="Yes",$L300="Yes",$N300="Yes"),"Yes","No")</f>
        <v>No</v>
      </c>
      <c r="AD300" s="14" t="n">
        <f aca="false">MAX($Q300,$U300,$Y300)</f>
        <v>0</v>
      </c>
      <c r="AE300" s="26" t="n">
        <f aca="false">$AD300+ROW()*0.000000001</f>
        <v>3E-007</v>
      </c>
      <c r="AF300" s="26" t="str">
        <f aca="false">IF($J300="Yes","A","")&amp;IF($L300="Yes","B","")&amp;IF($N300="Yes","C","")</f>
        <v/>
      </c>
    </row>
    <row r="301" customFormat="false" ht="15" hidden="false" customHeight="false" outlineLevel="0" collapsed="false">
      <c r="B301" s="22" t="s">
        <v>636</v>
      </c>
      <c r="C301" s="23" t="s">
        <v>637</v>
      </c>
      <c r="D301" s="23" t="s">
        <v>207</v>
      </c>
      <c r="E301" s="23" t="s">
        <v>388</v>
      </c>
      <c r="F301" s="22" t="s">
        <v>57</v>
      </c>
      <c r="G301" s="23" t="s">
        <v>304</v>
      </c>
      <c r="H301" s="24" t="n">
        <v>1</v>
      </c>
      <c r="I301" s="14" t="n">
        <v>0</v>
      </c>
      <c r="J301" s="25" t="s">
        <v>59</v>
      </c>
      <c r="K301" s="25"/>
      <c r="L301" s="25" t="s">
        <v>59</v>
      </c>
      <c r="M301" s="25"/>
      <c r="N301" s="25" t="s">
        <v>59</v>
      </c>
      <c r="O301" s="25"/>
      <c r="P301" s="14" t="n">
        <v>0.2029</v>
      </c>
      <c r="Q301" s="14" t="n">
        <f aca="false">IF(AND($J301="Yes",$G301&lt;&gt;"Vendor day rates"),$I301-0.4*$P301,0)</f>
        <v>0</v>
      </c>
      <c r="R301" s="26" t="n">
        <f aca="false">IFERROR(MATCH($K301,MonthList,0),0)</f>
        <v>0</v>
      </c>
      <c r="S301" s="14" t="n">
        <f aca="false">IF(OR($J301&lt;&gt;"Yes",$K301=""),0,$Q301*MAX(0,7-$R301)/12)</f>
        <v>0</v>
      </c>
      <c r="T301" s="14" t="n">
        <f aca="false">IF(OR($J301&lt;&gt;"Yes",$K301=""),0,$Q301*IF($R301&lt;=7,12,19-$R301)/12)</f>
        <v>0</v>
      </c>
      <c r="U301" s="14" t="n">
        <f aca="false">IF(AND($L301="Yes",$G301&lt;&gt;"Vendor day rates"),$I301-0.4*$P301,0)</f>
        <v>0</v>
      </c>
      <c r="V301" s="26" t="n">
        <f aca="false">IFERROR(MATCH($M301,MonthList,0),0)</f>
        <v>0</v>
      </c>
      <c r="W301" s="14" t="n">
        <f aca="false">IF(OR($L301&lt;&gt;"Yes",$M301=""),0,$U301*MAX(0,7-$V301)/12)</f>
        <v>0</v>
      </c>
      <c r="X301" s="14" t="n">
        <f aca="false">IF(OR($L301&lt;&gt;"Yes",$M301=""),0,$U301*IF($V301&lt;=7,12,19-$V301)/12)</f>
        <v>0</v>
      </c>
      <c r="Y301" s="14" t="n">
        <f aca="false">IF(AND($N301="Yes",$G301&lt;&gt;"Vendor day rates"),$I301-0.4*$P301,0)</f>
        <v>0</v>
      </c>
      <c r="Z301" s="26" t="n">
        <f aca="false">IFERROR(MATCH($O301,MonthList,0),0)</f>
        <v>0</v>
      </c>
      <c r="AA301" s="14" t="n">
        <f aca="false">IF(OR($N301&lt;&gt;"Yes",$O301=""),0,$Y301*MAX(0,7-$Z301)/12)</f>
        <v>0</v>
      </c>
      <c r="AB301" s="14" t="n">
        <f aca="false">IF(OR($N301&lt;&gt;"Yes",$O301=""),0,$Y301*IF($Z301&lt;=7,12,19-$Z301)/12)</f>
        <v>0</v>
      </c>
      <c r="AC301" s="26" t="str">
        <f aca="false">IF(OR($J301="Yes",$L301="Yes",$N301="Yes"),"Yes","No")</f>
        <v>No</v>
      </c>
      <c r="AD301" s="14" t="n">
        <f aca="false">MAX($Q301,$U301,$Y301)</f>
        <v>0</v>
      </c>
      <c r="AE301" s="26" t="n">
        <f aca="false">$AD301+ROW()*0.000000001</f>
        <v>3.01E-007</v>
      </c>
      <c r="AF301" s="26" t="str">
        <f aca="false">IF($J301="Yes","A","")&amp;IF($L301="Yes","B","")&amp;IF($N301="Yes","C","")</f>
        <v/>
      </c>
    </row>
    <row r="302" customFormat="false" ht="15" hidden="false" customHeight="false" outlineLevel="0" collapsed="false">
      <c r="B302" s="22" t="s">
        <v>638</v>
      </c>
      <c r="C302" s="23" t="s">
        <v>639</v>
      </c>
      <c r="D302" s="23" t="s">
        <v>215</v>
      </c>
      <c r="E302" s="23" t="s">
        <v>394</v>
      </c>
      <c r="F302" s="22" t="s">
        <v>112</v>
      </c>
      <c r="G302" s="23" t="s">
        <v>58</v>
      </c>
      <c r="H302" s="24" t="n">
        <v>1</v>
      </c>
      <c r="I302" s="14" t="n">
        <v>0.2245</v>
      </c>
      <c r="J302" s="25" t="s">
        <v>59</v>
      </c>
      <c r="K302" s="25"/>
      <c r="L302" s="25" t="s">
        <v>59</v>
      </c>
      <c r="M302" s="25"/>
      <c r="N302" s="25" t="s">
        <v>59</v>
      </c>
      <c r="O302" s="25"/>
      <c r="P302" s="14" t="n">
        <v>0.2245</v>
      </c>
      <c r="Q302" s="14" t="n">
        <f aca="false">IF(AND($J302="Yes",$G302&lt;&gt;"Vendor day rates"),$I302-0.4*$P302,0)</f>
        <v>0</v>
      </c>
      <c r="R302" s="26" t="n">
        <f aca="false">IFERROR(MATCH($K302,MonthList,0),0)</f>
        <v>0</v>
      </c>
      <c r="S302" s="14" t="n">
        <f aca="false">IF(OR($J302&lt;&gt;"Yes",$K302=""),0,$Q302*MAX(0,7-$R302)/12)</f>
        <v>0</v>
      </c>
      <c r="T302" s="14" t="n">
        <f aca="false">IF(OR($J302&lt;&gt;"Yes",$K302=""),0,$Q302*IF($R302&lt;=7,12,19-$R302)/12)</f>
        <v>0</v>
      </c>
      <c r="U302" s="14" t="n">
        <f aca="false">IF(AND($L302="Yes",$G302&lt;&gt;"Vendor day rates"),$I302-0.4*$P302,0)</f>
        <v>0</v>
      </c>
      <c r="V302" s="26" t="n">
        <f aca="false">IFERROR(MATCH($M302,MonthList,0),0)</f>
        <v>0</v>
      </c>
      <c r="W302" s="14" t="n">
        <f aca="false">IF(OR($L302&lt;&gt;"Yes",$M302=""),0,$U302*MAX(0,7-$V302)/12)</f>
        <v>0</v>
      </c>
      <c r="X302" s="14" t="n">
        <f aca="false">IF(OR($L302&lt;&gt;"Yes",$M302=""),0,$U302*IF($V302&lt;=7,12,19-$V302)/12)</f>
        <v>0</v>
      </c>
      <c r="Y302" s="14" t="n">
        <f aca="false">IF(AND($N302="Yes",$G302&lt;&gt;"Vendor day rates"),$I302-0.4*$P302,0)</f>
        <v>0</v>
      </c>
      <c r="Z302" s="26" t="n">
        <f aca="false">IFERROR(MATCH($O302,MonthList,0),0)</f>
        <v>0</v>
      </c>
      <c r="AA302" s="14" t="n">
        <f aca="false">IF(OR($N302&lt;&gt;"Yes",$O302=""),0,$Y302*MAX(0,7-$Z302)/12)</f>
        <v>0</v>
      </c>
      <c r="AB302" s="14" t="n">
        <f aca="false">IF(OR($N302&lt;&gt;"Yes",$O302=""),0,$Y302*IF($Z302&lt;=7,12,19-$Z302)/12)</f>
        <v>0</v>
      </c>
      <c r="AC302" s="26" t="str">
        <f aca="false">IF(OR($J302="Yes",$L302="Yes",$N302="Yes"),"Yes","No")</f>
        <v>No</v>
      </c>
      <c r="AD302" s="14" t="n">
        <f aca="false">MAX($Q302,$U302,$Y302)</f>
        <v>0</v>
      </c>
      <c r="AE302" s="26" t="n">
        <f aca="false">$AD302+ROW()*0.000000001</f>
        <v>3.02E-007</v>
      </c>
      <c r="AF302" s="26" t="str">
        <f aca="false">IF($J302="Yes","A","")&amp;IF($L302="Yes","B","")&amp;IF($N302="Yes","C","")</f>
        <v/>
      </c>
    </row>
    <row r="303" customFormat="false" ht="15" hidden="false" customHeight="false" outlineLevel="0" collapsed="false">
      <c r="B303" s="22" t="s">
        <v>640</v>
      </c>
      <c r="C303" s="23" t="s">
        <v>641</v>
      </c>
      <c r="D303" s="23" t="s">
        <v>215</v>
      </c>
      <c r="E303" s="23" t="s">
        <v>375</v>
      </c>
      <c r="F303" s="22" t="s">
        <v>57</v>
      </c>
      <c r="G303" s="23" t="s">
        <v>149</v>
      </c>
      <c r="H303" s="24" t="n">
        <v>1</v>
      </c>
      <c r="I303" s="14" t="n">
        <v>0.2317</v>
      </c>
      <c r="J303" s="25" t="s">
        <v>59</v>
      </c>
      <c r="K303" s="25"/>
      <c r="L303" s="25" t="s">
        <v>59</v>
      </c>
      <c r="M303" s="25"/>
      <c r="N303" s="25" t="s">
        <v>59</v>
      </c>
      <c r="O303" s="25"/>
      <c r="P303" s="14" t="n">
        <v>0.2317</v>
      </c>
      <c r="Q303" s="14" t="n">
        <f aca="false">IF(AND($J303="Yes",$G303&lt;&gt;"Vendor day rates"),$I303-0.4*$P303,0)</f>
        <v>0</v>
      </c>
      <c r="R303" s="26" t="n">
        <f aca="false">IFERROR(MATCH($K303,MonthList,0),0)</f>
        <v>0</v>
      </c>
      <c r="S303" s="14" t="n">
        <f aca="false">IF(OR($J303&lt;&gt;"Yes",$K303=""),0,$Q303*MAX(0,7-$R303)/12)</f>
        <v>0</v>
      </c>
      <c r="T303" s="14" t="n">
        <f aca="false">IF(OR($J303&lt;&gt;"Yes",$K303=""),0,$Q303*IF($R303&lt;=7,12,19-$R303)/12)</f>
        <v>0</v>
      </c>
      <c r="U303" s="14" t="n">
        <f aca="false">IF(AND($L303="Yes",$G303&lt;&gt;"Vendor day rates"),$I303-0.4*$P303,0)</f>
        <v>0</v>
      </c>
      <c r="V303" s="26" t="n">
        <f aca="false">IFERROR(MATCH($M303,MonthList,0),0)</f>
        <v>0</v>
      </c>
      <c r="W303" s="14" t="n">
        <f aca="false">IF(OR($L303&lt;&gt;"Yes",$M303=""),0,$U303*MAX(0,7-$V303)/12)</f>
        <v>0</v>
      </c>
      <c r="X303" s="14" t="n">
        <f aca="false">IF(OR($L303&lt;&gt;"Yes",$M303=""),0,$U303*IF($V303&lt;=7,12,19-$V303)/12)</f>
        <v>0</v>
      </c>
      <c r="Y303" s="14" t="n">
        <f aca="false">IF(AND($N303="Yes",$G303&lt;&gt;"Vendor day rates"),$I303-0.4*$P303,0)</f>
        <v>0</v>
      </c>
      <c r="Z303" s="26" t="n">
        <f aca="false">IFERROR(MATCH($O303,MonthList,0),0)</f>
        <v>0</v>
      </c>
      <c r="AA303" s="14" t="n">
        <f aca="false">IF(OR($N303&lt;&gt;"Yes",$O303=""),0,$Y303*MAX(0,7-$Z303)/12)</f>
        <v>0</v>
      </c>
      <c r="AB303" s="14" t="n">
        <f aca="false">IF(OR($N303&lt;&gt;"Yes",$O303=""),0,$Y303*IF($Z303&lt;=7,12,19-$Z303)/12)</f>
        <v>0</v>
      </c>
      <c r="AC303" s="26" t="str">
        <f aca="false">IF(OR($J303="Yes",$L303="Yes",$N303="Yes"),"Yes","No")</f>
        <v>No</v>
      </c>
      <c r="AD303" s="14" t="n">
        <f aca="false">MAX($Q303,$U303,$Y303)</f>
        <v>0</v>
      </c>
      <c r="AE303" s="26" t="n">
        <f aca="false">$AD303+ROW()*0.000000001</f>
        <v>3.03E-007</v>
      </c>
      <c r="AF303" s="26" t="str">
        <f aca="false">IF($J303="Yes","A","")&amp;IF($L303="Yes","B","")&amp;IF($N303="Yes","C","")</f>
        <v/>
      </c>
    </row>
    <row r="304" customFormat="false" ht="15" hidden="false" customHeight="false" outlineLevel="0" collapsed="false">
      <c r="B304" s="22" t="s">
        <v>642</v>
      </c>
      <c r="C304" s="23" t="s">
        <v>643</v>
      </c>
      <c r="D304" s="23" t="s">
        <v>207</v>
      </c>
      <c r="E304" s="23" t="s">
        <v>404</v>
      </c>
      <c r="F304" s="22" t="s">
        <v>112</v>
      </c>
      <c r="G304" s="23" t="s">
        <v>58</v>
      </c>
      <c r="H304" s="24" t="n">
        <v>1</v>
      </c>
      <c r="I304" s="14" t="n">
        <v>0.1444</v>
      </c>
      <c r="J304" s="25" t="s">
        <v>59</v>
      </c>
      <c r="K304" s="25"/>
      <c r="L304" s="25" t="s">
        <v>59</v>
      </c>
      <c r="M304" s="25"/>
      <c r="N304" s="25" t="s">
        <v>59</v>
      </c>
      <c r="O304" s="25"/>
      <c r="P304" s="14" t="n">
        <v>0.1444</v>
      </c>
      <c r="Q304" s="14" t="n">
        <f aca="false">IF(AND($J304="Yes",$G304&lt;&gt;"Vendor day rates"),$I304-0.4*$P304,0)</f>
        <v>0</v>
      </c>
      <c r="R304" s="26" t="n">
        <f aca="false">IFERROR(MATCH($K304,MonthList,0),0)</f>
        <v>0</v>
      </c>
      <c r="S304" s="14" t="n">
        <f aca="false">IF(OR($J304&lt;&gt;"Yes",$K304=""),0,$Q304*MAX(0,7-$R304)/12)</f>
        <v>0</v>
      </c>
      <c r="T304" s="14" t="n">
        <f aca="false">IF(OR($J304&lt;&gt;"Yes",$K304=""),0,$Q304*IF($R304&lt;=7,12,19-$R304)/12)</f>
        <v>0</v>
      </c>
      <c r="U304" s="14" t="n">
        <f aca="false">IF(AND($L304="Yes",$G304&lt;&gt;"Vendor day rates"),$I304-0.4*$P304,0)</f>
        <v>0</v>
      </c>
      <c r="V304" s="26" t="n">
        <f aca="false">IFERROR(MATCH($M304,MonthList,0),0)</f>
        <v>0</v>
      </c>
      <c r="W304" s="14" t="n">
        <f aca="false">IF(OR($L304&lt;&gt;"Yes",$M304=""),0,$U304*MAX(0,7-$V304)/12)</f>
        <v>0</v>
      </c>
      <c r="X304" s="14" t="n">
        <f aca="false">IF(OR($L304&lt;&gt;"Yes",$M304=""),0,$U304*IF($V304&lt;=7,12,19-$V304)/12)</f>
        <v>0</v>
      </c>
      <c r="Y304" s="14" t="n">
        <f aca="false">IF(AND($N304="Yes",$G304&lt;&gt;"Vendor day rates"),$I304-0.4*$P304,0)</f>
        <v>0</v>
      </c>
      <c r="Z304" s="26" t="n">
        <f aca="false">IFERROR(MATCH($O304,MonthList,0),0)</f>
        <v>0</v>
      </c>
      <c r="AA304" s="14" t="n">
        <f aca="false">IF(OR($N304&lt;&gt;"Yes",$O304=""),0,$Y304*MAX(0,7-$Z304)/12)</f>
        <v>0</v>
      </c>
      <c r="AB304" s="14" t="n">
        <f aca="false">IF(OR($N304&lt;&gt;"Yes",$O304=""),0,$Y304*IF($Z304&lt;=7,12,19-$Z304)/12)</f>
        <v>0</v>
      </c>
      <c r="AC304" s="26" t="str">
        <f aca="false">IF(OR($J304="Yes",$L304="Yes",$N304="Yes"),"Yes","No")</f>
        <v>No</v>
      </c>
      <c r="AD304" s="14" t="n">
        <f aca="false">MAX($Q304,$U304,$Y304)</f>
        <v>0</v>
      </c>
      <c r="AE304" s="26" t="n">
        <f aca="false">$AD304+ROW()*0.000000001</f>
        <v>3.04E-007</v>
      </c>
      <c r="AF304" s="26" t="str">
        <f aca="false">IF($J304="Yes","A","")&amp;IF($L304="Yes","B","")&amp;IF($N304="Yes","C","")</f>
        <v/>
      </c>
    </row>
    <row r="305" customFormat="false" ht="15" hidden="false" customHeight="false" outlineLevel="0" collapsed="false">
      <c r="B305" s="22" t="s">
        <v>644</v>
      </c>
      <c r="C305" s="23" t="s">
        <v>351</v>
      </c>
      <c r="D305" s="23" t="s">
        <v>207</v>
      </c>
      <c r="E305" s="23" t="s">
        <v>401</v>
      </c>
      <c r="F305" s="22" t="s">
        <v>57</v>
      </c>
      <c r="G305" s="23" t="s">
        <v>58</v>
      </c>
      <c r="H305" s="24" t="n">
        <v>1</v>
      </c>
      <c r="I305" s="14" t="n">
        <v>0.2085</v>
      </c>
      <c r="J305" s="25" t="s">
        <v>59</v>
      </c>
      <c r="K305" s="25"/>
      <c r="L305" s="25" t="s">
        <v>59</v>
      </c>
      <c r="M305" s="25"/>
      <c r="N305" s="25" t="s">
        <v>59</v>
      </c>
      <c r="O305" s="25"/>
      <c r="P305" s="14" t="n">
        <v>0.2085</v>
      </c>
      <c r="Q305" s="14" t="n">
        <f aca="false">IF(AND($J305="Yes",$G305&lt;&gt;"Vendor day rates"),$I305-0.4*$P305,0)</f>
        <v>0</v>
      </c>
      <c r="R305" s="26" t="n">
        <f aca="false">IFERROR(MATCH($K305,MonthList,0),0)</f>
        <v>0</v>
      </c>
      <c r="S305" s="14" t="n">
        <f aca="false">IF(OR($J305&lt;&gt;"Yes",$K305=""),0,$Q305*MAX(0,7-$R305)/12)</f>
        <v>0</v>
      </c>
      <c r="T305" s="14" t="n">
        <f aca="false">IF(OR($J305&lt;&gt;"Yes",$K305=""),0,$Q305*IF($R305&lt;=7,12,19-$R305)/12)</f>
        <v>0</v>
      </c>
      <c r="U305" s="14" t="n">
        <f aca="false">IF(AND($L305="Yes",$G305&lt;&gt;"Vendor day rates"),$I305-0.4*$P305,0)</f>
        <v>0</v>
      </c>
      <c r="V305" s="26" t="n">
        <f aca="false">IFERROR(MATCH($M305,MonthList,0),0)</f>
        <v>0</v>
      </c>
      <c r="W305" s="14" t="n">
        <f aca="false">IF(OR($L305&lt;&gt;"Yes",$M305=""),0,$U305*MAX(0,7-$V305)/12)</f>
        <v>0</v>
      </c>
      <c r="X305" s="14" t="n">
        <f aca="false">IF(OR($L305&lt;&gt;"Yes",$M305=""),0,$U305*IF($V305&lt;=7,12,19-$V305)/12)</f>
        <v>0</v>
      </c>
      <c r="Y305" s="14" t="n">
        <f aca="false">IF(AND($N305="Yes",$G305&lt;&gt;"Vendor day rates"),$I305-0.4*$P305,0)</f>
        <v>0</v>
      </c>
      <c r="Z305" s="26" t="n">
        <f aca="false">IFERROR(MATCH($O305,MonthList,0),0)</f>
        <v>0</v>
      </c>
      <c r="AA305" s="14" t="n">
        <f aca="false">IF(OR($N305&lt;&gt;"Yes",$O305=""),0,$Y305*MAX(0,7-$Z305)/12)</f>
        <v>0</v>
      </c>
      <c r="AB305" s="14" t="n">
        <f aca="false">IF(OR($N305&lt;&gt;"Yes",$O305=""),0,$Y305*IF($Z305&lt;=7,12,19-$Z305)/12)</f>
        <v>0</v>
      </c>
      <c r="AC305" s="26" t="str">
        <f aca="false">IF(OR($J305="Yes",$L305="Yes",$N305="Yes"),"Yes","No")</f>
        <v>No</v>
      </c>
      <c r="AD305" s="14" t="n">
        <f aca="false">MAX($Q305,$U305,$Y305)</f>
        <v>0</v>
      </c>
      <c r="AE305" s="26" t="n">
        <f aca="false">$AD305+ROW()*0.000000001</f>
        <v>3.05E-007</v>
      </c>
      <c r="AF305" s="26" t="str">
        <f aca="false">IF($J305="Yes","A","")&amp;IF($L305="Yes","B","")&amp;IF($N305="Yes","C","")</f>
        <v/>
      </c>
    </row>
    <row r="306" customFormat="false" ht="15" hidden="false" customHeight="false" outlineLevel="0" collapsed="false">
      <c r="B306" s="22" t="s">
        <v>645</v>
      </c>
      <c r="C306" s="23" t="s">
        <v>615</v>
      </c>
      <c r="D306" s="23" t="s">
        <v>207</v>
      </c>
      <c r="E306" s="23" t="s">
        <v>401</v>
      </c>
      <c r="F306" s="22" t="s">
        <v>57</v>
      </c>
      <c r="G306" s="23" t="s">
        <v>58</v>
      </c>
      <c r="H306" s="24" t="n">
        <v>1</v>
      </c>
      <c r="I306" s="14" t="n">
        <v>0.2135</v>
      </c>
      <c r="J306" s="25" t="s">
        <v>59</v>
      </c>
      <c r="K306" s="25"/>
      <c r="L306" s="25" t="s">
        <v>59</v>
      </c>
      <c r="M306" s="25"/>
      <c r="N306" s="25" t="s">
        <v>59</v>
      </c>
      <c r="O306" s="25"/>
      <c r="P306" s="14" t="n">
        <v>0.2135</v>
      </c>
      <c r="Q306" s="14" t="n">
        <f aca="false">IF(AND($J306="Yes",$G306&lt;&gt;"Vendor day rates"),$I306-0.4*$P306,0)</f>
        <v>0</v>
      </c>
      <c r="R306" s="26" t="n">
        <f aca="false">IFERROR(MATCH($K306,MonthList,0),0)</f>
        <v>0</v>
      </c>
      <c r="S306" s="14" t="n">
        <f aca="false">IF(OR($J306&lt;&gt;"Yes",$K306=""),0,$Q306*MAX(0,7-$R306)/12)</f>
        <v>0</v>
      </c>
      <c r="T306" s="14" t="n">
        <f aca="false">IF(OR($J306&lt;&gt;"Yes",$K306=""),0,$Q306*IF($R306&lt;=7,12,19-$R306)/12)</f>
        <v>0</v>
      </c>
      <c r="U306" s="14" t="n">
        <f aca="false">IF(AND($L306="Yes",$G306&lt;&gt;"Vendor day rates"),$I306-0.4*$P306,0)</f>
        <v>0</v>
      </c>
      <c r="V306" s="26" t="n">
        <f aca="false">IFERROR(MATCH($M306,MonthList,0),0)</f>
        <v>0</v>
      </c>
      <c r="W306" s="14" t="n">
        <f aca="false">IF(OR($L306&lt;&gt;"Yes",$M306=""),0,$U306*MAX(0,7-$V306)/12)</f>
        <v>0</v>
      </c>
      <c r="X306" s="14" t="n">
        <f aca="false">IF(OR($L306&lt;&gt;"Yes",$M306=""),0,$U306*IF($V306&lt;=7,12,19-$V306)/12)</f>
        <v>0</v>
      </c>
      <c r="Y306" s="14" t="n">
        <f aca="false">IF(AND($N306="Yes",$G306&lt;&gt;"Vendor day rates"),$I306-0.4*$P306,0)</f>
        <v>0</v>
      </c>
      <c r="Z306" s="26" t="n">
        <f aca="false">IFERROR(MATCH($O306,MonthList,0),0)</f>
        <v>0</v>
      </c>
      <c r="AA306" s="14" t="n">
        <f aca="false">IF(OR($N306&lt;&gt;"Yes",$O306=""),0,$Y306*MAX(0,7-$Z306)/12)</f>
        <v>0</v>
      </c>
      <c r="AB306" s="14" t="n">
        <f aca="false">IF(OR($N306&lt;&gt;"Yes",$O306=""),0,$Y306*IF($Z306&lt;=7,12,19-$Z306)/12)</f>
        <v>0</v>
      </c>
      <c r="AC306" s="26" t="str">
        <f aca="false">IF(OR($J306="Yes",$L306="Yes",$N306="Yes"),"Yes","No")</f>
        <v>No</v>
      </c>
      <c r="AD306" s="14" t="n">
        <f aca="false">MAX($Q306,$U306,$Y306)</f>
        <v>0</v>
      </c>
      <c r="AE306" s="26" t="n">
        <f aca="false">$AD306+ROW()*0.000000001</f>
        <v>3.06E-007</v>
      </c>
      <c r="AF306" s="26" t="str">
        <f aca="false">IF($J306="Yes","A","")&amp;IF($L306="Yes","B","")&amp;IF($N306="Yes","C","")</f>
        <v/>
      </c>
    </row>
    <row r="307" customFormat="false" ht="15" hidden="false" customHeight="false" outlineLevel="0" collapsed="false">
      <c r="B307" s="22" t="s">
        <v>646</v>
      </c>
      <c r="C307" s="23" t="s">
        <v>647</v>
      </c>
      <c r="D307" s="23" t="s">
        <v>207</v>
      </c>
      <c r="E307" s="23" t="s">
        <v>401</v>
      </c>
      <c r="F307" s="22" t="s">
        <v>57</v>
      </c>
      <c r="G307" s="23" t="s">
        <v>149</v>
      </c>
      <c r="H307" s="24" t="n">
        <v>1</v>
      </c>
      <c r="I307" s="14" t="n">
        <v>0.1521</v>
      </c>
      <c r="J307" s="25" t="s">
        <v>59</v>
      </c>
      <c r="K307" s="25"/>
      <c r="L307" s="25" t="s">
        <v>59</v>
      </c>
      <c r="M307" s="25"/>
      <c r="N307" s="25" t="s">
        <v>59</v>
      </c>
      <c r="O307" s="25"/>
      <c r="P307" s="14" t="n">
        <v>0.2029</v>
      </c>
      <c r="Q307" s="14" t="n">
        <f aca="false">IF(AND($J307="Yes",$G307&lt;&gt;"Vendor day rates"),$I307-0.4*$P307,0)</f>
        <v>0</v>
      </c>
      <c r="R307" s="26" t="n">
        <f aca="false">IFERROR(MATCH($K307,MonthList,0),0)</f>
        <v>0</v>
      </c>
      <c r="S307" s="14" t="n">
        <f aca="false">IF(OR($J307&lt;&gt;"Yes",$K307=""),0,$Q307*MAX(0,7-$R307)/12)</f>
        <v>0</v>
      </c>
      <c r="T307" s="14" t="n">
        <f aca="false">IF(OR($J307&lt;&gt;"Yes",$K307=""),0,$Q307*IF($R307&lt;=7,12,19-$R307)/12)</f>
        <v>0</v>
      </c>
      <c r="U307" s="14" t="n">
        <f aca="false">IF(AND($L307="Yes",$G307&lt;&gt;"Vendor day rates"),$I307-0.4*$P307,0)</f>
        <v>0</v>
      </c>
      <c r="V307" s="26" t="n">
        <f aca="false">IFERROR(MATCH($M307,MonthList,0),0)</f>
        <v>0</v>
      </c>
      <c r="W307" s="14" t="n">
        <f aca="false">IF(OR($L307&lt;&gt;"Yes",$M307=""),0,$U307*MAX(0,7-$V307)/12)</f>
        <v>0</v>
      </c>
      <c r="X307" s="14" t="n">
        <f aca="false">IF(OR($L307&lt;&gt;"Yes",$M307=""),0,$U307*IF($V307&lt;=7,12,19-$V307)/12)</f>
        <v>0</v>
      </c>
      <c r="Y307" s="14" t="n">
        <f aca="false">IF(AND($N307="Yes",$G307&lt;&gt;"Vendor day rates"),$I307-0.4*$P307,0)</f>
        <v>0</v>
      </c>
      <c r="Z307" s="26" t="n">
        <f aca="false">IFERROR(MATCH($O307,MonthList,0),0)</f>
        <v>0</v>
      </c>
      <c r="AA307" s="14" t="n">
        <f aca="false">IF(OR($N307&lt;&gt;"Yes",$O307=""),0,$Y307*MAX(0,7-$Z307)/12)</f>
        <v>0</v>
      </c>
      <c r="AB307" s="14" t="n">
        <f aca="false">IF(OR($N307&lt;&gt;"Yes",$O307=""),0,$Y307*IF($Z307&lt;=7,12,19-$Z307)/12)</f>
        <v>0</v>
      </c>
      <c r="AC307" s="26" t="str">
        <f aca="false">IF(OR($J307="Yes",$L307="Yes",$N307="Yes"),"Yes","No")</f>
        <v>No</v>
      </c>
      <c r="AD307" s="14" t="n">
        <f aca="false">MAX($Q307,$U307,$Y307)</f>
        <v>0</v>
      </c>
      <c r="AE307" s="26" t="n">
        <f aca="false">$AD307+ROW()*0.000000001</f>
        <v>3.07E-007</v>
      </c>
      <c r="AF307" s="26" t="str">
        <f aca="false">IF($J307="Yes","A","")&amp;IF($L307="Yes","B","")&amp;IF($N307="Yes","C","")</f>
        <v/>
      </c>
    </row>
    <row r="308" customFormat="false" ht="15" hidden="false" customHeight="false" outlineLevel="0" collapsed="false">
      <c r="B308" s="22" t="s">
        <v>648</v>
      </c>
      <c r="C308" s="23" t="s">
        <v>643</v>
      </c>
      <c r="D308" s="23" t="s">
        <v>207</v>
      </c>
      <c r="E308" s="23" t="s">
        <v>401</v>
      </c>
      <c r="F308" s="22" t="s">
        <v>57</v>
      </c>
      <c r="G308" s="23" t="s">
        <v>149</v>
      </c>
      <c r="H308" s="24" t="n">
        <v>1</v>
      </c>
      <c r="I308" s="14" t="n">
        <v>0.2029</v>
      </c>
      <c r="J308" s="25" t="s">
        <v>59</v>
      </c>
      <c r="K308" s="25"/>
      <c r="L308" s="25" t="s">
        <v>59</v>
      </c>
      <c r="M308" s="25"/>
      <c r="N308" s="25" t="s">
        <v>59</v>
      </c>
      <c r="O308" s="25"/>
      <c r="P308" s="14" t="n">
        <v>0.2029</v>
      </c>
      <c r="Q308" s="14" t="n">
        <f aca="false">IF(AND($J308="Yes",$G308&lt;&gt;"Vendor day rates"),$I308-0.4*$P308,0)</f>
        <v>0</v>
      </c>
      <c r="R308" s="26" t="n">
        <f aca="false">IFERROR(MATCH($K308,MonthList,0),0)</f>
        <v>0</v>
      </c>
      <c r="S308" s="14" t="n">
        <f aca="false">IF(OR($J308&lt;&gt;"Yes",$K308=""),0,$Q308*MAX(0,7-$R308)/12)</f>
        <v>0</v>
      </c>
      <c r="T308" s="14" t="n">
        <f aca="false">IF(OR($J308&lt;&gt;"Yes",$K308=""),0,$Q308*IF($R308&lt;=7,12,19-$R308)/12)</f>
        <v>0</v>
      </c>
      <c r="U308" s="14" t="n">
        <f aca="false">IF(AND($L308="Yes",$G308&lt;&gt;"Vendor day rates"),$I308-0.4*$P308,0)</f>
        <v>0</v>
      </c>
      <c r="V308" s="26" t="n">
        <f aca="false">IFERROR(MATCH($M308,MonthList,0),0)</f>
        <v>0</v>
      </c>
      <c r="W308" s="14" t="n">
        <f aca="false">IF(OR($L308&lt;&gt;"Yes",$M308=""),0,$U308*MAX(0,7-$V308)/12)</f>
        <v>0</v>
      </c>
      <c r="X308" s="14" t="n">
        <f aca="false">IF(OR($L308&lt;&gt;"Yes",$M308=""),0,$U308*IF($V308&lt;=7,12,19-$V308)/12)</f>
        <v>0</v>
      </c>
      <c r="Y308" s="14" t="n">
        <f aca="false">IF(AND($N308="Yes",$G308&lt;&gt;"Vendor day rates"),$I308-0.4*$P308,0)</f>
        <v>0</v>
      </c>
      <c r="Z308" s="26" t="n">
        <f aca="false">IFERROR(MATCH($O308,MonthList,0),0)</f>
        <v>0</v>
      </c>
      <c r="AA308" s="14" t="n">
        <f aca="false">IF(OR($N308&lt;&gt;"Yes",$O308=""),0,$Y308*MAX(0,7-$Z308)/12)</f>
        <v>0</v>
      </c>
      <c r="AB308" s="14" t="n">
        <f aca="false">IF(OR($N308&lt;&gt;"Yes",$O308=""),0,$Y308*IF($Z308&lt;=7,12,19-$Z308)/12)</f>
        <v>0</v>
      </c>
      <c r="AC308" s="26" t="str">
        <f aca="false">IF(OR($J308="Yes",$L308="Yes",$N308="Yes"),"Yes","No")</f>
        <v>No</v>
      </c>
      <c r="AD308" s="14" t="n">
        <f aca="false">MAX($Q308,$U308,$Y308)</f>
        <v>0</v>
      </c>
      <c r="AE308" s="26" t="n">
        <f aca="false">$AD308+ROW()*0.000000001</f>
        <v>3.08E-007</v>
      </c>
      <c r="AF308" s="26" t="str">
        <f aca="false">IF($J308="Yes","A","")&amp;IF($L308="Yes","B","")&amp;IF($N308="Yes","C","")</f>
        <v/>
      </c>
    </row>
    <row r="309" customFormat="false" ht="15" hidden="false" customHeight="false" outlineLevel="0" collapsed="false">
      <c r="B309" s="22" t="s">
        <v>649</v>
      </c>
      <c r="C309" s="23" t="s">
        <v>650</v>
      </c>
      <c r="D309" s="23" t="s">
        <v>172</v>
      </c>
      <c r="E309" s="23" t="s">
        <v>265</v>
      </c>
      <c r="F309" s="22" t="s">
        <v>57</v>
      </c>
      <c r="G309" s="23" t="s">
        <v>304</v>
      </c>
      <c r="H309" s="24" t="n">
        <v>1</v>
      </c>
      <c r="I309" s="14" t="n">
        <v>0</v>
      </c>
      <c r="J309" s="25" t="s">
        <v>59</v>
      </c>
      <c r="K309" s="25"/>
      <c r="L309" s="25" t="s">
        <v>59</v>
      </c>
      <c r="M309" s="25"/>
      <c r="N309" s="25" t="s">
        <v>59</v>
      </c>
      <c r="O309" s="25"/>
      <c r="P309" s="14" t="n">
        <v>0.2029</v>
      </c>
      <c r="Q309" s="14" t="n">
        <f aca="false">IF(AND($J309="Yes",$G309&lt;&gt;"Vendor day rates"),$I309-0.4*$P309,0)</f>
        <v>0</v>
      </c>
      <c r="R309" s="26" t="n">
        <f aca="false">IFERROR(MATCH($K309,MonthList,0),0)</f>
        <v>0</v>
      </c>
      <c r="S309" s="14" t="n">
        <f aca="false">IF(OR($J309&lt;&gt;"Yes",$K309=""),0,$Q309*MAX(0,7-$R309)/12)</f>
        <v>0</v>
      </c>
      <c r="T309" s="14" t="n">
        <f aca="false">IF(OR($J309&lt;&gt;"Yes",$K309=""),0,$Q309*IF($R309&lt;=7,12,19-$R309)/12)</f>
        <v>0</v>
      </c>
      <c r="U309" s="14" t="n">
        <f aca="false">IF(AND($L309="Yes",$G309&lt;&gt;"Vendor day rates"),$I309-0.4*$P309,0)</f>
        <v>0</v>
      </c>
      <c r="V309" s="26" t="n">
        <f aca="false">IFERROR(MATCH($M309,MonthList,0),0)</f>
        <v>0</v>
      </c>
      <c r="W309" s="14" t="n">
        <f aca="false">IF(OR($L309&lt;&gt;"Yes",$M309=""),0,$U309*MAX(0,7-$V309)/12)</f>
        <v>0</v>
      </c>
      <c r="X309" s="14" t="n">
        <f aca="false">IF(OR($L309&lt;&gt;"Yes",$M309=""),0,$U309*IF($V309&lt;=7,12,19-$V309)/12)</f>
        <v>0</v>
      </c>
      <c r="Y309" s="14" t="n">
        <f aca="false">IF(AND($N309="Yes",$G309&lt;&gt;"Vendor day rates"),$I309-0.4*$P309,0)</f>
        <v>0</v>
      </c>
      <c r="Z309" s="26" t="n">
        <f aca="false">IFERROR(MATCH($O309,MonthList,0),0)</f>
        <v>0</v>
      </c>
      <c r="AA309" s="14" t="n">
        <f aca="false">IF(OR($N309&lt;&gt;"Yes",$O309=""),0,$Y309*MAX(0,7-$Z309)/12)</f>
        <v>0</v>
      </c>
      <c r="AB309" s="14" t="n">
        <f aca="false">IF(OR($N309&lt;&gt;"Yes",$O309=""),0,$Y309*IF($Z309&lt;=7,12,19-$Z309)/12)</f>
        <v>0</v>
      </c>
      <c r="AC309" s="26" t="str">
        <f aca="false">IF(OR($J309="Yes",$L309="Yes",$N309="Yes"),"Yes","No")</f>
        <v>No</v>
      </c>
      <c r="AD309" s="14" t="n">
        <f aca="false">MAX($Q309,$U309,$Y309)</f>
        <v>0</v>
      </c>
      <c r="AE309" s="26" t="n">
        <f aca="false">$AD309+ROW()*0.000000001</f>
        <v>3.09E-007</v>
      </c>
      <c r="AF309" s="26" t="str">
        <f aca="false">IF($J309="Yes","A","")&amp;IF($L309="Yes","B","")&amp;IF($N309="Yes","C","")</f>
        <v/>
      </c>
    </row>
    <row r="310" customFormat="false" ht="15" hidden="false" customHeight="false" outlineLevel="0" collapsed="false">
      <c r="B310" s="22" t="s">
        <v>651</v>
      </c>
      <c r="C310" s="23" t="s">
        <v>641</v>
      </c>
      <c r="D310" s="23" t="s">
        <v>91</v>
      </c>
      <c r="E310" s="23" t="s">
        <v>239</v>
      </c>
      <c r="F310" s="22" t="s">
        <v>57</v>
      </c>
      <c r="G310" s="23" t="s">
        <v>58</v>
      </c>
      <c r="H310" s="24" t="n">
        <v>1</v>
      </c>
      <c r="I310" s="14" t="n">
        <v>0.1936</v>
      </c>
      <c r="J310" s="25" t="s">
        <v>59</v>
      </c>
      <c r="K310" s="25"/>
      <c r="L310" s="25" t="s">
        <v>59</v>
      </c>
      <c r="M310" s="25"/>
      <c r="N310" s="25" t="s">
        <v>59</v>
      </c>
      <c r="O310" s="25"/>
      <c r="P310" s="14" t="n">
        <v>0.1936</v>
      </c>
      <c r="Q310" s="14" t="n">
        <f aca="false">IF(AND($J310="Yes",$G310&lt;&gt;"Vendor day rates"),$I310-0.4*$P310,0)</f>
        <v>0</v>
      </c>
      <c r="R310" s="26" t="n">
        <f aca="false">IFERROR(MATCH($K310,MonthList,0),0)</f>
        <v>0</v>
      </c>
      <c r="S310" s="14" t="n">
        <f aca="false">IF(OR($J310&lt;&gt;"Yes",$K310=""),0,$Q310*MAX(0,7-$R310)/12)</f>
        <v>0</v>
      </c>
      <c r="T310" s="14" t="n">
        <f aca="false">IF(OR($J310&lt;&gt;"Yes",$K310=""),0,$Q310*IF($R310&lt;=7,12,19-$R310)/12)</f>
        <v>0</v>
      </c>
      <c r="U310" s="14" t="n">
        <f aca="false">IF(AND($L310="Yes",$G310&lt;&gt;"Vendor day rates"),$I310-0.4*$P310,0)</f>
        <v>0</v>
      </c>
      <c r="V310" s="26" t="n">
        <f aca="false">IFERROR(MATCH($M310,MonthList,0),0)</f>
        <v>0</v>
      </c>
      <c r="W310" s="14" t="n">
        <f aca="false">IF(OR($L310&lt;&gt;"Yes",$M310=""),0,$U310*MAX(0,7-$V310)/12)</f>
        <v>0</v>
      </c>
      <c r="X310" s="14" t="n">
        <f aca="false">IF(OR($L310&lt;&gt;"Yes",$M310=""),0,$U310*IF($V310&lt;=7,12,19-$V310)/12)</f>
        <v>0</v>
      </c>
      <c r="Y310" s="14" t="n">
        <f aca="false">IF(AND($N310="Yes",$G310&lt;&gt;"Vendor day rates"),$I310-0.4*$P310,0)</f>
        <v>0</v>
      </c>
      <c r="Z310" s="26" t="n">
        <f aca="false">IFERROR(MATCH($O310,MonthList,0),0)</f>
        <v>0</v>
      </c>
      <c r="AA310" s="14" t="n">
        <f aca="false">IF(OR($N310&lt;&gt;"Yes",$O310=""),0,$Y310*MAX(0,7-$Z310)/12)</f>
        <v>0</v>
      </c>
      <c r="AB310" s="14" t="n">
        <f aca="false">IF(OR($N310&lt;&gt;"Yes",$O310=""),0,$Y310*IF($Z310&lt;=7,12,19-$Z310)/12)</f>
        <v>0</v>
      </c>
      <c r="AC310" s="26" t="str">
        <f aca="false">IF(OR($J310="Yes",$L310="Yes",$N310="Yes"),"Yes","No")</f>
        <v>No</v>
      </c>
      <c r="AD310" s="14" t="n">
        <f aca="false">MAX($Q310,$U310,$Y310)</f>
        <v>0</v>
      </c>
      <c r="AE310" s="26" t="n">
        <f aca="false">$AD310+ROW()*0.000000001</f>
        <v>3.1E-007</v>
      </c>
      <c r="AF310" s="26" t="str">
        <f aca="false">IF($J310="Yes","A","")&amp;IF($L310="Yes","B","")&amp;IF($N310="Yes","C","")</f>
        <v/>
      </c>
    </row>
    <row r="311" customFormat="false" ht="15" hidden="false" customHeight="false" outlineLevel="0" collapsed="false">
      <c r="B311" s="22" t="s">
        <v>652</v>
      </c>
      <c r="C311" s="23" t="s">
        <v>238</v>
      </c>
      <c r="D311" s="23" t="s">
        <v>91</v>
      </c>
      <c r="E311" s="23" t="s">
        <v>239</v>
      </c>
      <c r="F311" s="22" t="s">
        <v>57</v>
      </c>
      <c r="G311" s="23" t="s">
        <v>58</v>
      </c>
      <c r="H311" s="24" t="n">
        <v>1</v>
      </c>
      <c r="I311" s="14" t="n">
        <v>0.2134</v>
      </c>
      <c r="J311" s="25" t="s">
        <v>59</v>
      </c>
      <c r="K311" s="25"/>
      <c r="L311" s="25" t="s">
        <v>59</v>
      </c>
      <c r="M311" s="25"/>
      <c r="N311" s="25" t="s">
        <v>59</v>
      </c>
      <c r="O311" s="25"/>
      <c r="P311" s="14" t="n">
        <v>0.2134</v>
      </c>
      <c r="Q311" s="14" t="n">
        <f aca="false">IF(AND($J311="Yes",$G311&lt;&gt;"Vendor day rates"),$I311-0.4*$P311,0)</f>
        <v>0</v>
      </c>
      <c r="R311" s="26" t="n">
        <f aca="false">IFERROR(MATCH($K311,MonthList,0),0)</f>
        <v>0</v>
      </c>
      <c r="S311" s="14" t="n">
        <f aca="false">IF(OR($J311&lt;&gt;"Yes",$K311=""),0,$Q311*MAX(0,7-$R311)/12)</f>
        <v>0</v>
      </c>
      <c r="T311" s="14" t="n">
        <f aca="false">IF(OR($J311&lt;&gt;"Yes",$K311=""),0,$Q311*IF($R311&lt;=7,12,19-$R311)/12)</f>
        <v>0</v>
      </c>
      <c r="U311" s="14" t="n">
        <f aca="false">IF(AND($L311="Yes",$G311&lt;&gt;"Vendor day rates"),$I311-0.4*$P311,0)</f>
        <v>0</v>
      </c>
      <c r="V311" s="26" t="n">
        <f aca="false">IFERROR(MATCH($M311,MonthList,0),0)</f>
        <v>0</v>
      </c>
      <c r="W311" s="14" t="n">
        <f aca="false">IF(OR($L311&lt;&gt;"Yes",$M311=""),0,$U311*MAX(0,7-$V311)/12)</f>
        <v>0</v>
      </c>
      <c r="X311" s="14" t="n">
        <f aca="false">IF(OR($L311&lt;&gt;"Yes",$M311=""),0,$U311*IF($V311&lt;=7,12,19-$V311)/12)</f>
        <v>0</v>
      </c>
      <c r="Y311" s="14" t="n">
        <f aca="false">IF(AND($N311="Yes",$G311&lt;&gt;"Vendor day rates"),$I311-0.4*$P311,0)</f>
        <v>0</v>
      </c>
      <c r="Z311" s="26" t="n">
        <f aca="false">IFERROR(MATCH($O311,MonthList,0),0)</f>
        <v>0</v>
      </c>
      <c r="AA311" s="14" t="n">
        <f aca="false">IF(OR($N311&lt;&gt;"Yes",$O311=""),0,$Y311*MAX(0,7-$Z311)/12)</f>
        <v>0</v>
      </c>
      <c r="AB311" s="14" t="n">
        <f aca="false">IF(OR($N311&lt;&gt;"Yes",$O311=""),0,$Y311*IF($Z311&lt;=7,12,19-$Z311)/12)</f>
        <v>0</v>
      </c>
      <c r="AC311" s="26" t="str">
        <f aca="false">IF(OR($J311="Yes",$L311="Yes",$N311="Yes"),"Yes","No")</f>
        <v>No</v>
      </c>
      <c r="AD311" s="14" t="n">
        <f aca="false">MAX($Q311,$U311,$Y311)</f>
        <v>0</v>
      </c>
      <c r="AE311" s="26" t="n">
        <f aca="false">$AD311+ROW()*0.000000001</f>
        <v>3.11E-007</v>
      </c>
      <c r="AF311" s="26" t="str">
        <f aca="false">IF($J311="Yes","A","")&amp;IF($L311="Yes","B","")&amp;IF($N311="Yes","C","")</f>
        <v/>
      </c>
    </row>
    <row r="312" customFormat="false" ht="15" hidden="false" customHeight="false" outlineLevel="0" collapsed="false">
      <c r="B312" s="22" t="s">
        <v>653</v>
      </c>
      <c r="C312" s="23" t="s">
        <v>654</v>
      </c>
      <c r="D312" s="23" t="s">
        <v>147</v>
      </c>
      <c r="E312" s="23" t="s">
        <v>409</v>
      </c>
      <c r="F312" s="22" t="s">
        <v>57</v>
      </c>
      <c r="G312" s="23" t="s">
        <v>58</v>
      </c>
      <c r="H312" s="24" t="n">
        <v>1</v>
      </c>
      <c r="I312" s="14" t="n">
        <v>0.2157</v>
      </c>
      <c r="J312" s="25" t="s">
        <v>59</v>
      </c>
      <c r="K312" s="25"/>
      <c r="L312" s="25" t="s">
        <v>59</v>
      </c>
      <c r="M312" s="25"/>
      <c r="N312" s="25" t="s">
        <v>59</v>
      </c>
      <c r="O312" s="25"/>
      <c r="P312" s="14" t="n">
        <v>0.2157</v>
      </c>
      <c r="Q312" s="14" t="n">
        <f aca="false">IF(AND($J312="Yes",$G312&lt;&gt;"Vendor day rates"),$I312-0.4*$P312,0)</f>
        <v>0</v>
      </c>
      <c r="R312" s="26" t="n">
        <f aca="false">IFERROR(MATCH($K312,MonthList,0),0)</f>
        <v>0</v>
      </c>
      <c r="S312" s="14" t="n">
        <f aca="false">IF(OR($J312&lt;&gt;"Yes",$K312=""),0,$Q312*MAX(0,7-$R312)/12)</f>
        <v>0</v>
      </c>
      <c r="T312" s="14" t="n">
        <f aca="false">IF(OR($J312&lt;&gt;"Yes",$K312=""),0,$Q312*IF($R312&lt;=7,12,19-$R312)/12)</f>
        <v>0</v>
      </c>
      <c r="U312" s="14" t="n">
        <f aca="false">IF(AND($L312="Yes",$G312&lt;&gt;"Vendor day rates"),$I312-0.4*$P312,0)</f>
        <v>0</v>
      </c>
      <c r="V312" s="26" t="n">
        <f aca="false">IFERROR(MATCH($M312,MonthList,0),0)</f>
        <v>0</v>
      </c>
      <c r="W312" s="14" t="n">
        <f aca="false">IF(OR($L312&lt;&gt;"Yes",$M312=""),0,$U312*MAX(0,7-$V312)/12)</f>
        <v>0</v>
      </c>
      <c r="X312" s="14" t="n">
        <f aca="false">IF(OR($L312&lt;&gt;"Yes",$M312=""),0,$U312*IF($V312&lt;=7,12,19-$V312)/12)</f>
        <v>0</v>
      </c>
      <c r="Y312" s="14" t="n">
        <f aca="false">IF(AND($N312="Yes",$G312&lt;&gt;"Vendor day rates"),$I312-0.4*$P312,0)</f>
        <v>0</v>
      </c>
      <c r="Z312" s="26" t="n">
        <f aca="false">IFERROR(MATCH($O312,MonthList,0),0)</f>
        <v>0</v>
      </c>
      <c r="AA312" s="14" t="n">
        <f aca="false">IF(OR($N312&lt;&gt;"Yes",$O312=""),0,$Y312*MAX(0,7-$Z312)/12)</f>
        <v>0</v>
      </c>
      <c r="AB312" s="14" t="n">
        <f aca="false">IF(OR($N312&lt;&gt;"Yes",$O312=""),0,$Y312*IF($Z312&lt;=7,12,19-$Z312)/12)</f>
        <v>0</v>
      </c>
      <c r="AC312" s="26" t="str">
        <f aca="false">IF(OR($J312="Yes",$L312="Yes",$N312="Yes"),"Yes","No")</f>
        <v>No</v>
      </c>
      <c r="AD312" s="14" t="n">
        <f aca="false">MAX($Q312,$U312,$Y312)</f>
        <v>0</v>
      </c>
      <c r="AE312" s="26" t="n">
        <f aca="false">$AD312+ROW()*0.000000001</f>
        <v>3.12E-007</v>
      </c>
      <c r="AF312" s="26" t="str">
        <f aca="false">IF($J312="Yes","A","")&amp;IF($L312="Yes","B","")&amp;IF($N312="Yes","C","")</f>
        <v/>
      </c>
    </row>
    <row r="313" customFormat="false" ht="15" hidden="false" customHeight="false" outlineLevel="0" collapsed="false">
      <c r="B313" s="22" t="s">
        <v>655</v>
      </c>
      <c r="C313" s="23" t="s">
        <v>141</v>
      </c>
      <c r="D313" s="23" t="s">
        <v>172</v>
      </c>
      <c r="E313" s="23" t="s">
        <v>419</v>
      </c>
      <c r="F313" s="22" t="s">
        <v>57</v>
      </c>
      <c r="G313" s="23" t="s">
        <v>149</v>
      </c>
      <c r="H313" s="24" t="n">
        <v>1</v>
      </c>
      <c r="I313" s="14" t="n">
        <v>0.2029</v>
      </c>
      <c r="J313" s="25" t="s">
        <v>59</v>
      </c>
      <c r="K313" s="25"/>
      <c r="L313" s="25" t="s">
        <v>59</v>
      </c>
      <c r="M313" s="25"/>
      <c r="N313" s="25" t="s">
        <v>59</v>
      </c>
      <c r="O313" s="25"/>
      <c r="P313" s="14" t="n">
        <v>0.2029</v>
      </c>
      <c r="Q313" s="14" t="n">
        <f aca="false">IF(AND($J313="Yes",$G313&lt;&gt;"Vendor day rates"),$I313-0.4*$P313,0)</f>
        <v>0</v>
      </c>
      <c r="R313" s="26" t="n">
        <f aca="false">IFERROR(MATCH($K313,MonthList,0),0)</f>
        <v>0</v>
      </c>
      <c r="S313" s="14" t="n">
        <f aca="false">IF(OR($J313&lt;&gt;"Yes",$K313=""),0,$Q313*MAX(0,7-$R313)/12)</f>
        <v>0</v>
      </c>
      <c r="T313" s="14" t="n">
        <f aca="false">IF(OR($J313&lt;&gt;"Yes",$K313=""),0,$Q313*IF($R313&lt;=7,12,19-$R313)/12)</f>
        <v>0</v>
      </c>
      <c r="U313" s="14" t="n">
        <f aca="false">IF(AND($L313="Yes",$G313&lt;&gt;"Vendor day rates"),$I313-0.4*$P313,0)</f>
        <v>0</v>
      </c>
      <c r="V313" s="26" t="n">
        <f aca="false">IFERROR(MATCH($M313,MonthList,0),0)</f>
        <v>0</v>
      </c>
      <c r="W313" s="14" t="n">
        <f aca="false">IF(OR($L313&lt;&gt;"Yes",$M313=""),0,$U313*MAX(0,7-$V313)/12)</f>
        <v>0</v>
      </c>
      <c r="X313" s="14" t="n">
        <f aca="false">IF(OR($L313&lt;&gt;"Yes",$M313=""),0,$U313*IF($V313&lt;=7,12,19-$V313)/12)</f>
        <v>0</v>
      </c>
      <c r="Y313" s="14" t="n">
        <f aca="false">IF(AND($N313="Yes",$G313&lt;&gt;"Vendor day rates"),$I313-0.4*$P313,0)</f>
        <v>0</v>
      </c>
      <c r="Z313" s="26" t="n">
        <f aca="false">IFERROR(MATCH($O313,MonthList,0),0)</f>
        <v>0</v>
      </c>
      <c r="AA313" s="14" t="n">
        <f aca="false">IF(OR($N313&lt;&gt;"Yes",$O313=""),0,$Y313*MAX(0,7-$Z313)/12)</f>
        <v>0</v>
      </c>
      <c r="AB313" s="14" t="n">
        <f aca="false">IF(OR($N313&lt;&gt;"Yes",$O313=""),0,$Y313*IF($Z313&lt;=7,12,19-$Z313)/12)</f>
        <v>0</v>
      </c>
      <c r="AC313" s="26" t="str">
        <f aca="false">IF(OR($J313="Yes",$L313="Yes",$N313="Yes"),"Yes","No")</f>
        <v>No</v>
      </c>
      <c r="AD313" s="14" t="n">
        <f aca="false">MAX($Q313,$U313,$Y313)</f>
        <v>0</v>
      </c>
      <c r="AE313" s="26" t="n">
        <f aca="false">$AD313+ROW()*0.000000001</f>
        <v>3.13E-007</v>
      </c>
      <c r="AF313" s="26" t="str">
        <f aca="false">IF($J313="Yes","A","")&amp;IF($L313="Yes","B","")&amp;IF($N313="Yes","C","")</f>
        <v/>
      </c>
    </row>
    <row r="314" customFormat="false" ht="15" hidden="false" customHeight="false" outlineLevel="0" collapsed="false">
      <c r="B314" s="22" t="s">
        <v>656</v>
      </c>
      <c r="C314" s="23" t="s">
        <v>141</v>
      </c>
      <c r="D314" s="23" t="s">
        <v>172</v>
      </c>
      <c r="E314" s="23" t="s">
        <v>265</v>
      </c>
      <c r="F314" s="22" t="s">
        <v>57</v>
      </c>
      <c r="G314" s="23" t="s">
        <v>304</v>
      </c>
      <c r="H314" s="24" t="n">
        <v>1</v>
      </c>
      <c r="I314" s="14" t="n">
        <v>0</v>
      </c>
      <c r="J314" s="25" t="s">
        <v>59</v>
      </c>
      <c r="K314" s="25"/>
      <c r="L314" s="25" t="s">
        <v>59</v>
      </c>
      <c r="M314" s="25"/>
      <c r="N314" s="25" t="s">
        <v>59</v>
      </c>
      <c r="O314" s="25"/>
      <c r="P314" s="14" t="n">
        <v>0.2029</v>
      </c>
      <c r="Q314" s="14" t="n">
        <f aca="false">IF(AND($J314="Yes",$G314&lt;&gt;"Vendor day rates"),$I314-0.4*$P314,0)</f>
        <v>0</v>
      </c>
      <c r="R314" s="26" t="n">
        <f aca="false">IFERROR(MATCH($K314,MonthList,0),0)</f>
        <v>0</v>
      </c>
      <c r="S314" s="14" t="n">
        <f aca="false">IF(OR($J314&lt;&gt;"Yes",$K314=""),0,$Q314*MAX(0,7-$R314)/12)</f>
        <v>0</v>
      </c>
      <c r="T314" s="14" t="n">
        <f aca="false">IF(OR($J314&lt;&gt;"Yes",$K314=""),0,$Q314*IF($R314&lt;=7,12,19-$R314)/12)</f>
        <v>0</v>
      </c>
      <c r="U314" s="14" t="n">
        <f aca="false">IF(AND($L314="Yes",$G314&lt;&gt;"Vendor day rates"),$I314-0.4*$P314,0)</f>
        <v>0</v>
      </c>
      <c r="V314" s="26" t="n">
        <f aca="false">IFERROR(MATCH($M314,MonthList,0),0)</f>
        <v>0</v>
      </c>
      <c r="W314" s="14" t="n">
        <f aca="false">IF(OR($L314&lt;&gt;"Yes",$M314=""),0,$U314*MAX(0,7-$V314)/12)</f>
        <v>0</v>
      </c>
      <c r="X314" s="14" t="n">
        <f aca="false">IF(OR($L314&lt;&gt;"Yes",$M314=""),0,$U314*IF($V314&lt;=7,12,19-$V314)/12)</f>
        <v>0</v>
      </c>
      <c r="Y314" s="14" t="n">
        <f aca="false">IF(AND($N314="Yes",$G314&lt;&gt;"Vendor day rates"),$I314-0.4*$P314,0)</f>
        <v>0</v>
      </c>
      <c r="Z314" s="26" t="n">
        <f aca="false">IFERROR(MATCH($O314,MonthList,0),0)</f>
        <v>0</v>
      </c>
      <c r="AA314" s="14" t="n">
        <f aca="false">IF(OR($N314&lt;&gt;"Yes",$O314=""),0,$Y314*MAX(0,7-$Z314)/12)</f>
        <v>0</v>
      </c>
      <c r="AB314" s="14" t="n">
        <f aca="false">IF(OR($N314&lt;&gt;"Yes",$O314=""),0,$Y314*IF($Z314&lt;=7,12,19-$Z314)/12)</f>
        <v>0</v>
      </c>
      <c r="AC314" s="26" t="str">
        <f aca="false">IF(OR($J314="Yes",$L314="Yes",$N314="Yes"),"Yes","No")</f>
        <v>No</v>
      </c>
      <c r="AD314" s="14" t="n">
        <f aca="false">MAX($Q314,$U314,$Y314)</f>
        <v>0</v>
      </c>
      <c r="AE314" s="26" t="n">
        <f aca="false">$AD314+ROW()*0.000000001</f>
        <v>3.14E-007</v>
      </c>
      <c r="AF314" s="26" t="str">
        <f aca="false">IF($J314="Yes","A","")&amp;IF($L314="Yes","B","")&amp;IF($N314="Yes","C","")</f>
        <v/>
      </c>
    </row>
    <row r="315" customFormat="false" ht="15" hidden="false" customHeight="false" outlineLevel="0" collapsed="false">
      <c r="B315" s="22" t="s">
        <v>657</v>
      </c>
      <c r="C315" s="23" t="s">
        <v>658</v>
      </c>
      <c r="D315" s="23" t="s">
        <v>158</v>
      </c>
      <c r="E315" s="23" t="s">
        <v>491</v>
      </c>
      <c r="F315" s="22" t="s">
        <v>57</v>
      </c>
      <c r="G315" s="23" t="s">
        <v>121</v>
      </c>
      <c r="H315" s="24" t="n">
        <v>1</v>
      </c>
      <c r="I315" s="14" t="n">
        <v>0.0825</v>
      </c>
      <c r="J315" s="25" t="s">
        <v>59</v>
      </c>
      <c r="K315" s="25"/>
      <c r="L315" s="25" t="s">
        <v>59</v>
      </c>
      <c r="M315" s="25"/>
      <c r="N315" s="25" t="s">
        <v>59</v>
      </c>
      <c r="O315" s="25"/>
      <c r="P315" s="14" t="n">
        <v>0.2062</v>
      </c>
      <c r="Q315" s="14" t="n">
        <f aca="false">IF(AND($J315="Yes",$G315&lt;&gt;"Vendor day rates"),$I315-0.4*$P315,0)</f>
        <v>0</v>
      </c>
      <c r="R315" s="26" t="n">
        <f aca="false">IFERROR(MATCH($K315,MonthList,0),0)</f>
        <v>0</v>
      </c>
      <c r="S315" s="14" t="n">
        <f aca="false">IF(OR($J315&lt;&gt;"Yes",$K315=""),0,$Q315*MAX(0,7-$R315)/12)</f>
        <v>0</v>
      </c>
      <c r="T315" s="14" t="n">
        <f aca="false">IF(OR($J315&lt;&gt;"Yes",$K315=""),0,$Q315*IF($R315&lt;=7,12,19-$R315)/12)</f>
        <v>0</v>
      </c>
      <c r="U315" s="14" t="n">
        <f aca="false">IF(AND($L315="Yes",$G315&lt;&gt;"Vendor day rates"),$I315-0.4*$P315,0)</f>
        <v>0</v>
      </c>
      <c r="V315" s="26" t="n">
        <f aca="false">IFERROR(MATCH($M315,MonthList,0),0)</f>
        <v>0</v>
      </c>
      <c r="W315" s="14" t="n">
        <f aca="false">IF(OR($L315&lt;&gt;"Yes",$M315=""),0,$U315*MAX(0,7-$V315)/12)</f>
        <v>0</v>
      </c>
      <c r="X315" s="14" t="n">
        <f aca="false">IF(OR($L315&lt;&gt;"Yes",$M315=""),0,$U315*IF($V315&lt;=7,12,19-$V315)/12)</f>
        <v>0</v>
      </c>
      <c r="Y315" s="14" t="n">
        <f aca="false">IF(AND($N315="Yes",$G315&lt;&gt;"Vendor day rates"),$I315-0.4*$P315,0)</f>
        <v>0</v>
      </c>
      <c r="Z315" s="26" t="n">
        <f aca="false">IFERROR(MATCH($O315,MonthList,0),0)</f>
        <v>0</v>
      </c>
      <c r="AA315" s="14" t="n">
        <f aca="false">IF(OR($N315&lt;&gt;"Yes",$O315=""),0,$Y315*MAX(0,7-$Z315)/12)</f>
        <v>0</v>
      </c>
      <c r="AB315" s="14" t="n">
        <f aca="false">IF(OR($N315&lt;&gt;"Yes",$O315=""),0,$Y315*IF($Z315&lt;=7,12,19-$Z315)/12)</f>
        <v>0</v>
      </c>
      <c r="AC315" s="26" t="str">
        <f aca="false">IF(OR($J315="Yes",$L315="Yes",$N315="Yes"),"Yes","No")</f>
        <v>No</v>
      </c>
      <c r="AD315" s="14" t="n">
        <f aca="false">MAX($Q315,$U315,$Y315)</f>
        <v>0</v>
      </c>
      <c r="AE315" s="26" t="n">
        <f aca="false">$AD315+ROW()*0.000000001</f>
        <v>3.15E-007</v>
      </c>
      <c r="AF315" s="26" t="str">
        <f aca="false">IF($J315="Yes","A","")&amp;IF($L315="Yes","B","")&amp;IF($N315="Yes","C","")</f>
        <v/>
      </c>
    </row>
    <row r="316" customFormat="false" ht="15" hidden="false" customHeight="false" outlineLevel="0" collapsed="false">
      <c r="B316" s="22" t="s">
        <v>659</v>
      </c>
      <c r="C316" s="23" t="s">
        <v>660</v>
      </c>
      <c r="D316" s="23" t="s">
        <v>158</v>
      </c>
      <c r="E316" s="23" t="s">
        <v>491</v>
      </c>
      <c r="F316" s="22" t="s">
        <v>57</v>
      </c>
      <c r="G316" s="23" t="s">
        <v>121</v>
      </c>
      <c r="H316" s="24" t="n">
        <v>1</v>
      </c>
      <c r="I316" s="14" t="n">
        <v>0.0871</v>
      </c>
      <c r="J316" s="25" t="s">
        <v>59</v>
      </c>
      <c r="K316" s="25"/>
      <c r="L316" s="25" t="s">
        <v>59</v>
      </c>
      <c r="M316" s="25"/>
      <c r="N316" s="25" t="s">
        <v>59</v>
      </c>
      <c r="O316" s="25"/>
      <c r="P316" s="14" t="n">
        <v>0.2177</v>
      </c>
      <c r="Q316" s="14" t="n">
        <f aca="false">IF(AND($J316="Yes",$G316&lt;&gt;"Vendor day rates"),$I316-0.4*$P316,0)</f>
        <v>0</v>
      </c>
      <c r="R316" s="26" t="n">
        <f aca="false">IFERROR(MATCH($K316,MonthList,0),0)</f>
        <v>0</v>
      </c>
      <c r="S316" s="14" t="n">
        <f aca="false">IF(OR($J316&lt;&gt;"Yes",$K316=""),0,$Q316*MAX(0,7-$R316)/12)</f>
        <v>0</v>
      </c>
      <c r="T316" s="14" t="n">
        <f aca="false">IF(OR($J316&lt;&gt;"Yes",$K316=""),0,$Q316*IF($R316&lt;=7,12,19-$R316)/12)</f>
        <v>0</v>
      </c>
      <c r="U316" s="14" t="n">
        <f aca="false">IF(AND($L316="Yes",$G316&lt;&gt;"Vendor day rates"),$I316-0.4*$P316,0)</f>
        <v>0</v>
      </c>
      <c r="V316" s="26" t="n">
        <f aca="false">IFERROR(MATCH($M316,MonthList,0),0)</f>
        <v>0</v>
      </c>
      <c r="W316" s="14" t="n">
        <f aca="false">IF(OR($L316&lt;&gt;"Yes",$M316=""),0,$U316*MAX(0,7-$V316)/12)</f>
        <v>0</v>
      </c>
      <c r="X316" s="14" t="n">
        <f aca="false">IF(OR($L316&lt;&gt;"Yes",$M316=""),0,$U316*IF($V316&lt;=7,12,19-$V316)/12)</f>
        <v>0</v>
      </c>
      <c r="Y316" s="14" t="n">
        <f aca="false">IF(AND($N316="Yes",$G316&lt;&gt;"Vendor day rates"),$I316-0.4*$P316,0)</f>
        <v>0</v>
      </c>
      <c r="Z316" s="26" t="n">
        <f aca="false">IFERROR(MATCH($O316,MonthList,0),0)</f>
        <v>0</v>
      </c>
      <c r="AA316" s="14" t="n">
        <f aca="false">IF(OR($N316&lt;&gt;"Yes",$O316=""),0,$Y316*MAX(0,7-$Z316)/12)</f>
        <v>0</v>
      </c>
      <c r="AB316" s="14" t="n">
        <f aca="false">IF(OR($N316&lt;&gt;"Yes",$O316=""),0,$Y316*IF($Z316&lt;=7,12,19-$Z316)/12)</f>
        <v>0</v>
      </c>
      <c r="AC316" s="26" t="str">
        <f aca="false">IF(OR($J316="Yes",$L316="Yes",$N316="Yes"),"Yes","No")</f>
        <v>No</v>
      </c>
      <c r="AD316" s="14" t="n">
        <f aca="false">MAX($Q316,$U316,$Y316)</f>
        <v>0</v>
      </c>
      <c r="AE316" s="26" t="n">
        <f aca="false">$AD316+ROW()*0.000000001</f>
        <v>3.16E-007</v>
      </c>
      <c r="AF316" s="26" t="str">
        <f aca="false">IF($J316="Yes","A","")&amp;IF($L316="Yes","B","")&amp;IF($N316="Yes","C","")</f>
        <v/>
      </c>
    </row>
    <row r="317" customFormat="false" ht="15" hidden="false" customHeight="false" outlineLevel="0" collapsed="false">
      <c r="B317" s="22" t="s">
        <v>661</v>
      </c>
      <c r="C317" s="23" t="s">
        <v>662</v>
      </c>
      <c r="D317" s="23" t="s">
        <v>158</v>
      </c>
      <c r="E317" s="23" t="s">
        <v>491</v>
      </c>
      <c r="F317" s="22" t="s">
        <v>57</v>
      </c>
      <c r="G317" s="23" t="s">
        <v>149</v>
      </c>
      <c r="H317" s="24" t="n">
        <v>1</v>
      </c>
      <c r="I317" s="14" t="n">
        <v>0.2029</v>
      </c>
      <c r="J317" s="25" t="s">
        <v>59</v>
      </c>
      <c r="K317" s="25"/>
      <c r="L317" s="25" t="s">
        <v>59</v>
      </c>
      <c r="M317" s="25"/>
      <c r="N317" s="25" t="s">
        <v>59</v>
      </c>
      <c r="O317" s="25"/>
      <c r="P317" s="14" t="n">
        <v>0.2029</v>
      </c>
      <c r="Q317" s="14" t="n">
        <f aca="false">IF(AND($J317="Yes",$G317&lt;&gt;"Vendor day rates"),$I317-0.4*$P317,0)</f>
        <v>0</v>
      </c>
      <c r="R317" s="26" t="n">
        <f aca="false">IFERROR(MATCH($K317,MonthList,0),0)</f>
        <v>0</v>
      </c>
      <c r="S317" s="14" t="n">
        <f aca="false">IF(OR($J317&lt;&gt;"Yes",$K317=""),0,$Q317*MAX(0,7-$R317)/12)</f>
        <v>0</v>
      </c>
      <c r="T317" s="14" t="n">
        <f aca="false">IF(OR($J317&lt;&gt;"Yes",$K317=""),0,$Q317*IF($R317&lt;=7,12,19-$R317)/12)</f>
        <v>0</v>
      </c>
      <c r="U317" s="14" t="n">
        <f aca="false">IF(AND($L317="Yes",$G317&lt;&gt;"Vendor day rates"),$I317-0.4*$P317,0)</f>
        <v>0</v>
      </c>
      <c r="V317" s="26" t="n">
        <f aca="false">IFERROR(MATCH($M317,MonthList,0),0)</f>
        <v>0</v>
      </c>
      <c r="W317" s="14" t="n">
        <f aca="false">IF(OR($L317&lt;&gt;"Yes",$M317=""),0,$U317*MAX(0,7-$V317)/12)</f>
        <v>0</v>
      </c>
      <c r="X317" s="14" t="n">
        <f aca="false">IF(OR($L317&lt;&gt;"Yes",$M317=""),0,$U317*IF($V317&lt;=7,12,19-$V317)/12)</f>
        <v>0</v>
      </c>
      <c r="Y317" s="14" t="n">
        <f aca="false">IF(AND($N317="Yes",$G317&lt;&gt;"Vendor day rates"),$I317-0.4*$P317,0)</f>
        <v>0</v>
      </c>
      <c r="Z317" s="26" t="n">
        <f aca="false">IFERROR(MATCH($O317,MonthList,0),0)</f>
        <v>0</v>
      </c>
      <c r="AA317" s="14" t="n">
        <f aca="false">IF(OR($N317&lt;&gt;"Yes",$O317=""),0,$Y317*MAX(0,7-$Z317)/12)</f>
        <v>0</v>
      </c>
      <c r="AB317" s="14" t="n">
        <f aca="false">IF(OR($N317&lt;&gt;"Yes",$O317=""),0,$Y317*IF($Z317&lt;=7,12,19-$Z317)/12)</f>
        <v>0</v>
      </c>
      <c r="AC317" s="26" t="str">
        <f aca="false">IF(OR($J317="Yes",$L317="Yes",$N317="Yes"),"Yes","No")</f>
        <v>No</v>
      </c>
      <c r="AD317" s="14" t="n">
        <f aca="false">MAX($Q317,$U317,$Y317)</f>
        <v>0</v>
      </c>
      <c r="AE317" s="26" t="n">
        <f aca="false">$AD317+ROW()*0.000000001</f>
        <v>3.17E-007</v>
      </c>
      <c r="AF317" s="26" t="str">
        <f aca="false">IF($J317="Yes","A","")&amp;IF($L317="Yes","B","")&amp;IF($N317="Yes","C","")</f>
        <v/>
      </c>
    </row>
    <row r="318" customFormat="false" ht="15" hidden="false" customHeight="false" outlineLevel="0" collapsed="false">
      <c r="B318" s="22" t="s">
        <v>663</v>
      </c>
      <c r="C318" s="23" t="s">
        <v>664</v>
      </c>
      <c r="D318" s="23" t="s">
        <v>158</v>
      </c>
      <c r="E318" s="23" t="s">
        <v>491</v>
      </c>
      <c r="F318" s="22" t="s">
        <v>57</v>
      </c>
      <c r="G318" s="23" t="s">
        <v>304</v>
      </c>
      <c r="H318" s="24" t="n">
        <v>1</v>
      </c>
      <c r="I318" s="14" t="n">
        <v>0</v>
      </c>
      <c r="J318" s="25" t="s">
        <v>59</v>
      </c>
      <c r="K318" s="25"/>
      <c r="L318" s="25" t="s">
        <v>59</v>
      </c>
      <c r="M318" s="25"/>
      <c r="N318" s="25" t="s">
        <v>59</v>
      </c>
      <c r="O318" s="25"/>
      <c r="P318" s="14" t="n">
        <v>0.2029</v>
      </c>
      <c r="Q318" s="14" t="n">
        <f aca="false">IF(AND($J318="Yes",$G318&lt;&gt;"Vendor day rates"),$I318-0.4*$P318,0)</f>
        <v>0</v>
      </c>
      <c r="R318" s="26" t="n">
        <f aca="false">IFERROR(MATCH($K318,MonthList,0),0)</f>
        <v>0</v>
      </c>
      <c r="S318" s="14" t="n">
        <f aca="false">IF(OR($J318&lt;&gt;"Yes",$K318=""),0,$Q318*MAX(0,7-$R318)/12)</f>
        <v>0</v>
      </c>
      <c r="T318" s="14" t="n">
        <f aca="false">IF(OR($J318&lt;&gt;"Yes",$K318=""),0,$Q318*IF($R318&lt;=7,12,19-$R318)/12)</f>
        <v>0</v>
      </c>
      <c r="U318" s="14" t="n">
        <f aca="false">IF(AND($L318="Yes",$G318&lt;&gt;"Vendor day rates"),$I318-0.4*$P318,0)</f>
        <v>0</v>
      </c>
      <c r="V318" s="26" t="n">
        <f aca="false">IFERROR(MATCH($M318,MonthList,0),0)</f>
        <v>0</v>
      </c>
      <c r="W318" s="14" t="n">
        <f aca="false">IF(OR($L318&lt;&gt;"Yes",$M318=""),0,$U318*MAX(0,7-$V318)/12)</f>
        <v>0</v>
      </c>
      <c r="X318" s="14" t="n">
        <f aca="false">IF(OR($L318&lt;&gt;"Yes",$M318=""),0,$U318*IF($V318&lt;=7,12,19-$V318)/12)</f>
        <v>0</v>
      </c>
      <c r="Y318" s="14" t="n">
        <f aca="false">IF(AND($N318="Yes",$G318&lt;&gt;"Vendor day rates"),$I318-0.4*$P318,0)</f>
        <v>0</v>
      </c>
      <c r="Z318" s="26" t="n">
        <f aca="false">IFERROR(MATCH($O318,MonthList,0),0)</f>
        <v>0</v>
      </c>
      <c r="AA318" s="14" t="n">
        <f aca="false">IF(OR($N318&lt;&gt;"Yes",$O318=""),0,$Y318*MAX(0,7-$Z318)/12)</f>
        <v>0</v>
      </c>
      <c r="AB318" s="14" t="n">
        <f aca="false">IF(OR($N318&lt;&gt;"Yes",$O318=""),0,$Y318*IF($Z318&lt;=7,12,19-$Z318)/12)</f>
        <v>0</v>
      </c>
      <c r="AC318" s="26" t="str">
        <f aca="false">IF(OR($J318="Yes",$L318="Yes",$N318="Yes"),"Yes","No")</f>
        <v>No</v>
      </c>
      <c r="AD318" s="14" t="n">
        <f aca="false">MAX($Q318,$U318,$Y318)</f>
        <v>0</v>
      </c>
      <c r="AE318" s="26" t="n">
        <f aca="false">$AD318+ROW()*0.000000001</f>
        <v>3.18E-007</v>
      </c>
      <c r="AF318" s="26" t="str">
        <f aca="false">IF($J318="Yes","A","")&amp;IF($L318="Yes","B","")&amp;IF($N318="Yes","C","")</f>
        <v/>
      </c>
    </row>
    <row r="319" customFormat="false" ht="15" hidden="false" customHeight="false" outlineLevel="0" collapsed="false">
      <c r="B319" s="22" t="s">
        <v>665</v>
      </c>
      <c r="C319" s="23" t="s">
        <v>666</v>
      </c>
      <c r="D319" s="23" t="s">
        <v>172</v>
      </c>
      <c r="E319" s="23" t="s">
        <v>428</v>
      </c>
      <c r="F319" s="22" t="s">
        <v>57</v>
      </c>
      <c r="G319" s="23" t="s">
        <v>58</v>
      </c>
      <c r="H319" s="24" t="n">
        <v>1</v>
      </c>
      <c r="I319" s="14" t="n">
        <v>0.2085</v>
      </c>
      <c r="J319" s="25" t="s">
        <v>59</v>
      </c>
      <c r="K319" s="25"/>
      <c r="L319" s="25" t="s">
        <v>59</v>
      </c>
      <c r="M319" s="25"/>
      <c r="N319" s="25" t="s">
        <v>59</v>
      </c>
      <c r="O319" s="25"/>
      <c r="P319" s="14" t="n">
        <v>0.2085</v>
      </c>
      <c r="Q319" s="14" t="n">
        <f aca="false">IF(AND($J319="Yes",$G319&lt;&gt;"Vendor day rates"),$I319-0.4*$P319,0)</f>
        <v>0</v>
      </c>
      <c r="R319" s="26" t="n">
        <f aca="false">IFERROR(MATCH($K319,MonthList,0),0)</f>
        <v>0</v>
      </c>
      <c r="S319" s="14" t="n">
        <f aca="false">IF(OR($J319&lt;&gt;"Yes",$K319=""),0,$Q319*MAX(0,7-$R319)/12)</f>
        <v>0</v>
      </c>
      <c r="T319" s="14" t="n">
        <f aca="false">IF(OR($J319&lt;&gt;"Yes",$K319=""),0,$Q319*IF($R319&lt;=7,12,19-$R319)/12)</f>
        <v>0</v>
      </c>
      <c r="U319" s="14" t="n">
        <f aca="false">IF(AND($L319="Yes",$G319&lt;&gt;"Vendor day rates"),$I319-0.4*$P319,0)</f>
        <v>0</v>
      </c>
      <c r="V319" s="26" t="n">
        <f aca="false">IFERROR(MATCH($M319,MonthList,0),0)</f>
        <v>0</v>
      </c>
      <c r="W319" s="14" t="n">
        <f aca="false">IF(OR($L319&lt;&gt;"Yes",$M319=""),0,$U319*MAX(0,7-$V319)/12)</f>
        <v>0</v>
      </c>
      <c r="X319" s="14" t="n">
        <f aca="false">IF(OR($L319&lt;&gt;"Yes",$M319=""),0,$U319*IF($V319&lt;=7,12,19-$V319)/12)</f>
        <v>0</v>
      </c>
      <c r="Y319" s="14" t="n">
        <f aca="false">IF(AND($N319="Yes",$G319&lt;&gt;"Vendor day rates"),$I319-0.4*$P319,0)</f>
        <v>0</v>
      </c>
      <c r="Z319" s="26" t="n">
        <f aca="false">IFERROR(MATCH($O319,MonthList,0),0)</f>
        <v>0</v>
      </c>
      <c r="AA319" s="14" t="n">
        <f aca="false">IF(OR($N319&lt;&gt;"Yes",$O319=""),0,$Y319*MAX(0,7-$Z319)/12)</f>
        <v>0</v>
      </c>
      <c r="AB319" s="14" t="n">
        <f aca="false">IF(OR($N319&lt;&gt;"Yes",$O319=""),0,$Y319*IF($Z319&lt;=7,12,19-$Z319)/12)</f>
        <v>0</v>
      </c>
      <c r="AC319" s="26" t="str">
        <f aca="false">IF(OR($J319="Yes",$L319="Yes",$N319="Yes"),"Yes","No")</f>
        <v>No</v>
      </c>
      <c r="AD319" s="14" t="n">
        <f aca="false">MAX($Q319,$U319,$Y319)</f>
        <v>0</v>
      </c>
      <c r="AE319" s="26" t="n">
        <f aca="false">$AD319+ROW()*0.000000001</f>
        <v>3.19E-007</v>
      </c>
      <c r="AF319" s="26" t="str">
        <f aca="false">IF($J319="Yes","A","")&amp;IF($L319="Yes","B","")&amp;IF($N319="Yes","C","")</f>
        <v/>
      </c>
    </row>
    <row r="320" customFormat="false" ht="15" hidden="false" customHeight="false" outlineLevel="0" collapsed="false">
      <c r="B320" s="22" t="s">
        <v>667</v>
      </c>
      <c r="C320" s="23" t="s">
        <v>238</v>
      </c>
      <c r="D320" s="23" t="s">
        <v>91</v>
      </c>
      <c r="E320" s="23" t="s">
        <v>432</v>
      </c>
      <c r="F320" s="22" t="s">
        <v>57</v>
      </c>
      <c r="G320" s="23" t="s">
        <v>58</v>
      </c>
      <c r="H320" s="24" t="n">
        <v>1</v>
      </c>
      <c r="I320" s="14" t="n">
        <v>0.2154</v>
      </c>
      <c r="J320" s="25" t="s">
        <v>59</v>
      </c>
      <c r="K320" s="25"/>
      <c r="L320" s="25" t="s">
        <v>59</v>
      </c>
      <c r="M320" s="25"/>
      <c r="N320" s="25" t="s">
        <v>59</v>
      </c>
      <c r="O320" s="25"/>
      <c r="P320" s="14" t="n">
        <v>0.2154</v>
      </c>
      <c r="Q320" s="14" t="n">
        <f aca="false">IF(AND($J320="Yes",$G320&lt;&gt;"Vendor day rates"),$I320-0.4*$P320,0)</f>
        <v>0</v>
      </c>
      <c r="R320" s="26" t="n">
        <f aca="false">IFERROR(MATCH($K320,MonthList,0),0)</f>
        <v>0</v>
      </c>
      <c r="S320" s="14" t="n">
        <f aca="false">IF(OR($J320&lt;&gt;"Yes",$K320=""),0,$Q320*MAX(0,7-$R320)/12)</f>
        <v>0</v>
      </c>
      <c r="T320" s="14" t="n">
        <f aca="false">IF(OR($J320&lt;&gt;"Yes",$K320=""),0,$Q320*IF($R320&lt;=7,12,19-$R320)/12)</f>
        <v>0</v>
      </c>
      <c r="U320" s="14" t="n">
        <f aca="false">IF(AND($L320="Yes",$G320&lt;&gt;"Vendor day rates"),$I320-0.4*$P320,0)</f>
        <v>0</v>
      </c>
      <c r="V320" s="26" t="n">
        <f aca="false">IFERROR(MATCH($M320,MonthList,0),0)</f>
        <v>0</v>
      </c>
      <c r="W320" s="14" t="n">
        <f aca="false">IF(OR($L320&lt;&gt;"Yes",$M320=""),0,$U320*MAX(0,7-$V320)/12)</f>
        <v>0</v>
      </c>
      <c r="X320" s="14" t="n">
        <f aca="false">IF(OR($L320&lt;&gt;"Yes",$M320=""),0,$U320*IF($V320&lt;=7,12,19-$V320)/12)</f>
        <v>0</v>
      </c>
      <c r="Y320" s="14" t="n">
        <f aca="false">IF(AND($N320="Yes",$G320&lt;&gt;"Vendor day rates"),$I320-0.4*$P320,0)</f>
        <v>0</v>
      </c>
      <c r="Z320" s="26" t="n">
        <f aca="false">IFERROR(MATCH($O320,MonthList,0),0)</f>
        <v>0</v>
      </c>
      <c r="AA320" s="14" t="n">
        <f aca="false">IF(OR($N320&lt;&gt;"Yes",$O320=""),0,$Y320*MAX(0,7-$Z320)/12)</f>
        <v>0</v>
      </c>
      <c r="AB320" s="14" t="n">
        <f aca="false">IF(OR($N320&lt;&gt;"Yes",$O320=""),0,$Y320*IF($Z320&lt;=7,12,19-$Z320)/12)</f>
        <v>0</v>
      </c>
      <c r="AC320" s="26" t="str">
        <f aca="false">IF(OR($J320="Yes",$L320="Yes",$N320="Yes"),"Yes","No")</f>
        <v>No</v>
      </c>
      <c r="AD320" s="14" t="n">
        <f aca="false">MAX($Q320,$U320,$Y320)</f>
        <v>0</v>
      </c>
      <c r="AE320" s="26" t="n">
        <f aca="false">$AD320+ROW()*0.000000001</f>
        <v>3.2E-007</v>
      </c>
      <c r="AF320" s="26" t="str">
        <f aca="false">IF($J320="Yes","A","")&amp;IF($L320="Yes","B","")&amp;IF($N320="Yes","C","")</f>
        <v/>
      </c>
    </row>
    <row r="321" customFormat="false" ht="15" hidden="false" customHeight="false" outlineLevel="0" collapsed="false">
      <c r="B321" s="22" t="s">
        <v>668</v>
      </c>
      <c r="C321" s="23" t="s">
        <v>238</v>
      </c>
      <c r="D321" s="23" t="s">
        <v>91</v>
      </c>
      <c r="E321" s="23" t="s">
        <v>432</v>
      </c>
      <c r="F321" s="22" t="s">
        <v>57</v>
      </c>
      <c r="G321" s="23" t="s">
        <v>58</v>
      </c>
      <c r="H321" s="24" t="n">
        <v>1</v>
      </c>
      <c r="I321" s="14" t="n">
        <v>0.2094</v>
      </c>
      <c r="J321" s="25" t="s">
        <v>59</v>
      </c>
      <c r="K321" s="25"/>
      <c r="L321" s="25" t="s">
        <v>59</v>
      </c>
      <c r="M321" s="25"/>
      <c r="N321" s="25" t="s">
        <v>59</v>
      </c>
      <c r="O321" s="25"/>
      <c r="P321" s="14" t="n">
        <v>0.2094</v>
      </c>
      <c r="Q321" s="14" t="n">
        <f aca="false">IF(AND($J321="Yes",$G321&lt;&gt;"Vendor day rates"),$I321-0.4*$P321,0)</f>
        <v>0</v>
      </c>
      <c r="R321" s="26" t="n">
        <f aca="false">IFERROR(MATCH($K321,MonthList,0),0)</f>
        <v>0</v>
      </c>
      <c r="S321" s="14" t="n">
        <f aca="false">IF(OR($J321&lt;&gt;"Yes",$K321=""),0,$Q321*MAX(0,7-$R321)/12)</f>
        <v>0</v>
      </c>
      <c r="T321" s="14" t="n">
        <f aca="false">IF(OR($J321&lt;&gt;"Yes",$K321=""),0,$Q321*IF($R321&lt;=7,12,19-$R321)/12)</f>
        <v>0</v>
      </c>
      <c r="U321" s="14" t="n">
        <f aca="false">IF(AND($L321="Yes",$G321&lt;&gt;"Vendor day rates"),$I321-0.4*$P321,0)</f>
        <v>0</v>
      </c>
      <c r="V321" s="26" t="n">
        <f aca="false">IFERROR(MATCH($M321,MonthList,0),0)</f>
        <v>0</v>
      </c>
      <c r="W321" s="14" t="n">
        <f aca="false">IF(OR($L321&lt;&gt;"Yes",$M321=""),0,$U321*MAX(0,7-$V321)/12)</f>
        <v>0</v>
      </c>
      <c r="X321" s="14" t="n">
        <f aca="false">IF(OR($L321&lt;&gt;"Yes",$M321=""),0,$U321*IF($V321&lt;=7,12,19-$V321)/12)</f>
        <v>0</v>
      </c>
      <c r="Y321" s="14" t="n">
        <f aca="false">IF(AND($N321="Yes",$G321&lt;&gt;"Vendor day rates"),$I321-0.4*$P321,0)</f>
        <v>0</v>
      </c>
      <c r="Z321" s="26" t="n">
        <f aca="false">IFERROR(MATCH($O321,MonthList,0),0)</f>
        <v>0</v>
      </c>
      <c r="AA321" s="14" t="n">
        <f aca="false">IF(OR($N321&lt;&gt;"Yes",$O321=""),0,$Y321*MAX(0,7-$Z321)/12)</f>
        <v>0</v>
      </c>
      <c r="AB321" s="14" t="n">
        <f aca="false">IF(OR($N321&lt;&gt;"Yes",$O321=""),0,$Y321*IF($Z321&lt;=7,12,19-$Z321)/12)</f>
        <v>0</v>
      </c>
      <c r="AC321" s="26" t="str">
        <f aca="false">IF(OR($J321="Yes",$L321="Yes",$N321="Yes"),"Yes","No")</f>
        <v>No</v>
      </c>
      <c r="AD321" s="14" t="n">
        <f aca="false">MAX($Q321,$U321,$Y321)</f>
        <v>0</v>
      </c>
      <c r="AE321" s="26" t="n">
        <f aca="false">$AD321+ROW()*0.000000001</f>
        <v>3.21E-007</v>
      </c>
      <c r="AF321" s="26" t="str">
        <f aca="false">IF($J321="Yes","A","")&amp;IF($L321="Yes","B","")&amp;IF($N321="Yes","C","")</f>
        <v/>
      </c>
    </row>
    <row r="322" customFormat="false" ht="15" hidden="false" customHeight="false" outlineLevel="0" collapsed="false">
      <c r="B322" s="22" t="s">
        <v>669</v>
      </c>
      <c r="C322" s="23" t="s">
        <v>670</v>
      </c>
      <c r="D322" s="23" t="s">
        <v>91</v>
      </c>
      <c r="E322" s="23" t="s">
        <v>432</v>
      </c>
      <c r="F322" s="22" t="s">
        <v>57</v>
      </c>
      <c r="G322" s="23" t="s">
        <v>58</v>
      </c>
      <c r="H322" s="24" t="n">
        <v>1</v>
      </c>
      <c r="I322" s="14" t="n">
        <v>0.2136</v>
      </c>
      <c r="J322" s="25" t="s">
        <v>59</v>
      </c>
      <c r="K322" s="25"/>
      <c r="L322" s="25" t="s">
        <v>59</v>
      </c>
      <c r="M322" s="25"/>
      <c r="N322" s="25" t="s">
        <v>59</v>
      </c>
      <c r="O322" s="25"/>
      <c r="P322" s="14" t="n">
        <v>0.2136</v>
      </c>
      <c r="Q322" s="14" t="n">
        <f aca="false">IF(AND($J322="Yes",$G322&lt;&gt;"Vendor day rates"),$I322-0.4*$P322,0)</f>
        <v>0</v>
      </c>
      <c r="R322" s="26" t="n">
        <f aca="false">IFERROR(MATCH($K322,MonthList,0),0)</f>
        <v>0</v>
      </c>
      <c r="S322" s="14" t="n">
        <f aca="false">IF(OR($J322&lt;&gt;"Yes",$K322=""),0,$Q322*MAX(0,7-$R322)/12)</f>
        <v>0</v>
      </c>
      <c r="T322" s="14" t="n">
        <f aca="false">IF(OR($J322&lt;&gt;"Yes",$K322=""),0,$Q322*IF($R322&lt;=7,12,19-$R322)/12)</f>
        <v>0</v>
      </c>
      <c r="U322" s="14" t="n">
        <f aca="false">IF(AND($L322="Yes",$G322&lt;&gt;"Vendor day rates"),$I322-0.4*$P322,0)</f>
        <v>0</v>
      </c>
      <c r="V322" s="26" t="n">
        <f aca="false">IFERROR(MATCH($M322,MonthList,0),0)</f>
        <v>0</v>
      </c>
      <c r="W322" s="14" t="n">
        <f aca="false">IF(OR($L322&lt;&gt;"Yes",$M322=""),0,$U322*MAX(0,7-$V322)/12)</f>
        <v>0</v>
      </c>
      <c r="X322" s="14" t="n">
        <f aca="false">IF(OR($L322&lt;&gt;"Yes",$M322=""),0,$U322*IF($V322&lt;=7,12,19-$V322)/12)</f>
        <v>0</v>
      </c>
      <c r="Y322" s="14" t="n">
        <f aca="false">IF(AND($N322="Yes",$G322&lt;&gt;"Vendor day rates"),$I322-0.4*$P322,0)</f>
        <v>0</v>
      </c>
      <c r="Z322" s="26" t="n">
        <f aca="false">IFERROR(MATCH($O322,MonthList,0),0)</f>
        <v>0</v>
      </c>
      <c r="AA322" s="14" t="n">
        <f aca="false">IF(OR($N322&lt;&gt;"Yes",$O322=""),0,$Y322*MAX(0,7-$Z322)/12)</f>
        <v>0</v>
      </c>
      <c r="AB322" s="14" t="n">
        <f aca="false">IF(OR($N322&lt;&gt;"Yes",$O322=""),0,$Y322*IF($Z322&lt;=7,12,19-$Z322)/12)</f>
        <v>0</v>
      </c>
      <c r="AC322" s="26" t="str">
        <f aca="false">IF(OR($J322="Yes",$L322="Yes",$N322="Yes"),"Yes","No")</f>
        <v>No</v>
      </c>
      <c r="AD322" s="14" t="n">
        <f aca="false">MAX($Q322,$U322,$Y322)</f>
        <v>0</v>
      </c>
      <c r="AE322" s="26" t="n">
        <f aca="false">$AD322+ROW()*0.000000001</f>
        <v>3.22E-007</v>
      </c>
      <c r="AF322" s="26" t="str">
        <f aca="false">IF($J322="Yes","A","")&amp;IF($L322="Yes","B","")&amp;IF($N322="Yes","C","")</f>
        <v/>
      </c>
    </row>
    <row r="323" customFormat="false" ht="15" hidden="false" customHeight="false" outlineLevel="0" collapsed="false">
      <c r="B323" s="22" t="s">
        <v>671</v>
      </c>
      <c r="C323" s="23" t="s">
        <v>611</v>
      </c>
      <c r="D323" s="23" t="s">
        <v>91</v>
      </c>
      <c r="E323" s="23" t="s">
        <v>432</v>
      </c>
      <c r="F323" s="22" t="s">
        <v>57</v>
      </c>
      <c r="G323" s="23" t="s">
        <v>58</v>
      </c>
      <c r="H323" s="24" t="n">
        <v>1</v>
      </c>
      <c r="I323" s="14" t="n">
        <v>0.2221</v>
      </c>
      <c r="J323" s="25" t="s">
        <v>59</v>
      </c>
      <c r="K323" s="25"/>
      <c r="L323" s="25" t="s">
        <v>59</v>
      </c>
      <c r="M323" s="25"/>
      <c r="N323" s="25" t="s">
        <v>59</v>
      </c>
      <c r="O323" s="25"/>
      <c r="P323" s="14" t="n">
        <v>0.2221</v>
      </c>
      <c r="Q323" s="14" t="n">
        <f aca="false">IF(AND($J323="Yes",$G323&lt;&gt;"Vendor day rates"),$I323-0.4*$P323,0)</f>
        <v>0</v>
      </c>
      <c r="R323" s="26" t="n">
        <f aca="false">IFERROR(MATCH($K323,MonthList,0),0)</f>
        <v>0</v>
      </c>
      <c r="S323" s="14" t="n">
        <f aca="false">IF(OR($J323&lt;&gt;"Yes",$K323=""),0,$Q323*MAX(0,7-$R323)/12)</f>
        <v>0</v>
      </c>
      <c r="T323" s="14" t="n">
        <f aca="false">IF(OR($J323&lt;&gt;"Yes",$K323=""),0,$Q323*IF($R323&lt;=7,12,19-$R323)/12)</f>
        <v>0</v>
      </c>
      <c r="U323" s="14" t="n">
        <f aca="false">IF(AND($L323="Yes",$G323&lt;&gt;"Vendor day rates"),$I323-0.4*$P323,0)</f>
        <v>0</v>
      </c>
      <c r="V323" s="26" t="n">
        <f aca="false">IFERROR(MATCH($M323,MonthList,0),0)</f>
        <v>0</v>
      </c>
      <c r="W323" s="14" t="n">
        <f aca="false">IF(OR($L323&lt;&gt;"Yes",$M323=""),0,$U323*MAX(0,7-$V323)/12)</f>
        <v>0</v>
      </c>
      <c r="X323" s="14" t="n">
        <f aca="false">IF(OR($L323&lt;&gt;"Yes",$M323=""),0,$U323*IF($V323&lt;=7,12,19-$V323)/12)</f>
        <v>0</v>
      </c>
      <c r="Y323" s="14" t="n">
        <f aca="false">IF(AND($N323="Yes",$G323&lt;&gt;"Vendor day rates"),$I323-0.4*$P323,0)</f>
        <v>0</v>
      </c>
      <c r="Z323" s="26" t="n">
        <f aca="false">IFERROR(MATCH($O323,MonthList,0),0)</f>
        <v>0</v>
      </c>
      <c r="AA323" s="14" t="n">
        <f aca="false">IF(OR($N323&lt;&gt;"Yes",$O323=""),0,$Y323*MAX(0,7-$Z323)/12)</f>
        <v>0</v>
      </c>
      <c r="AB323" s="14" t="n">
        <f aca="false">IF(OR($N323&lt;&gt;"Yes",$O323=""),0,$Y323*IF($Z323&lt;=7,12,19-$Z323)/12)</f>
        <v>0</v>
      </c>
      <c r="AC323" s="26" t="str">
        <f aca="false">IF(OR($J323="Yes",$L323="Yes",$N323="Yes"),"Yes","No")</f>
        <v>No</v>
      </c>
      <c r="AD323" s="14" t="n">
        <f aca="false">MAX($Q323,$U323,$Y323)</f>
        <v>0</v>
      </c>
      <c r="AE323" s="26" t="n">
        <f aca="false">$AD323+ROW()*0.000000001</f>
        <v>3.23E-007</v>
      </c>
      <c r="AF323" s="26" t="str">
        <f aca="false">IF($J323="Yes","A","")&amp;IF($L323="Yes","B","")&amp;IF($N323="Yes","C","")</f>
        <v/>
      </c>
    </row>
    <row r="324" customFormat="false" ht="15" hidden="false" customHeight="false" outlineLevel="0" collapsed="false">
      <c r="B324" s="22" t="s">
        <v>672</v>
      </c>
      <c r="C324" s="23" t="s">
        <v>602</v>
      </c>
      <c r="D324" s="23" t="s">
        <v>212</v>
      </c>
      <c r="E324" s="23" t="s">
        <v>528</v>
      </c>
      <c r="F324" s="22" t="s">
        <v>57</v>
      </c>
      <c r="G324" s="23" t="s">
        <v>476</v>
      </c>
      <c r="H324" s="24" t="n">
        <v>1</v>
      </c>
      <c r="I324" s="14" t="n">
        <v>0.0806</v>
      </c>
      <c r="J324" s="25" t="s">
        <v>59</v>
      </c>
      <c r="K324" s="25"/>
      <c r="L324" s="25" t="s">
        <v>59</v>
      </c>
      <c r="M324" s="25"/>
      <c r="N324" s="25" t="s">
        <v>59</v>
      </c>
      <c r="O324" s="25"/>
      <c r="P324" s="14" t="n">
        <v>0.2016</v>
      </c>
      <c r="Q324" s="14" t="n">
        <f aca="false">IF(AND($J324="Yes",$G324&lt;&gt;"Vendor day rates"),$I324-0.4*$P324,0)</f>
        <v>0</v>
      </c>
      <c r="R324" s="26" t="n">
        <f aca="false">IFERROR(MATCH($K324,MonthList,0),0)</f>
        <v>0</v>
      </c>
      <c r="S324" s="14" t="n">
        <f aca="false">IF(OR($J324&lt;&gt;"Yes",$K324=""),0,$Q324*MAX(0,7-$R324)/12)</f>
        <v>0</v>
      </c>
      <c r="T324" s="14" t="n">
        <f aca="false">IF(OR($J324&lt;&gt;"Yes",$K324=""),0,$Q324*IF($R324&lt;=7,12,19-$R324)/12)</f>
        <v>0</v>
      </c>
      <c r="U324" s="14" t="n">
        <f aca="false">IF(AND($L324="Yes",$G324&lt;&gt;"Vendor day rates"),$I324-0.4*$P324,0)</f>
        <v>0</v>
      </c>
      <c r="V324" s="26" t="n">
        <f aca="false">IFERROR(MATCH($M324,MonthList,0),0)</f>
        <v>0</v>
      </c>
      <c r="W324" s="14" t="n">
        <f aca="false">IF(OR($L324&lt;&gt;"Yes",$M324=""),0,$U324*MAX(0,7-$V324)/12)</f>
        <v>0</v>
      </c>
      <c r="X324" s="14" t="n">
        <f aca="false">IF(OR($L324&lt;&gt;"Yes",$M324=""),0,$U324*IF($V324&lt;=7,12,19-$V324)/12)</f>
        <v>0</v>
      </c>
      <c r="Y324" s="14" t="n">
        <f aca="false">IF(AND($N324="Yes",$G324&lt;&gt;"Vendor day rates"),$I324-0.4*$P324,0)</f>
        <v>0</v>
      </c>
      <c r="Z324" s="26" t="n">
        <f aca="false">IFERROR(MATCH($O324,MonthList,0),0)</f>
        <v>0</v>
      </c>
      <c r="AA324" s="14" t="n">
        <f aca="false">IF(OR($N324&lt;&gt;"Yes",$O324=""),0,$Y324*MAX(0,7-$Z324)/12)</f>
        <v>0</v>
      </c>
      <c r="AB324" s="14" t="n">
        <f aca="false">IF(OR($N324&lt;&gt;"Yes",$O324=""),0,$Y324*IF($Z324&lt;=7,12,19-$Z324)/12)</f>
        <v>0</v>
      </c>
      <c r="AC324" s="26" t="str">
        <f aca="false">IF(OR($J324="Yes",$L324="Yes",$N324="Yes"),"Yes","No")</f>
        <v>No</v>
      </c>
      <c r="AD324" s="14" t="n">
        <f aca="false">MAX($Q324,$U324,$Y324)</f>
        <v>0</v>
      </c>
      <c r="AE324" s="26" t="n">
        <f aca="false">$AD324+ROW()*0.000000001</f>
        <v>3.24E-007</v>
      </c>
      <c r="AF324" s="26" t="str">
        <f aca="false">IF($J324="Yes","A","")&amp;IF($L324="Yes","B","")&amp;IF($N324="Yes","C","")</f>
        <v/>
      </c>
    </row>
    <row r="325" customFormat="false" ht="15" hidden="false" customHeight="false" outlineLevel="0" collapsed="false">
      <c r="B325" s="22" t="s">
        <v>673</v>
      </c>
      <c r="C325" s="23" t="s">
        <v>602</v>
      </c>
      <c r="D325" s="23" t="s">
        <v>212</v>
      </c>
      <c r="E325" s="23" t="s">
        <v>528</v>
      </c>
      <c r="F325" s="22" t="s">
        <v>57</v>
      </c>
      <c r="G325" s="23" t="s">
        <v>476</v>
      </c>
      <c r="H325" s="24" t="n">
        <v>1</v>
      </c>
      <c r="I325" s="14" t="n">
        <v>0.0927</v>
      </c>
      <c r="J325" s="25" t="s">
        <v>59</v>
      </c>
      <c r="K325" s="25"/>
      <c r="L325" s="25" t="s">
        <v>59</v>
      </c>
      <c r="M325" s="25"/>
      <c r="N325" s="25" t="s">
        <v>59</v>
      </c>
      <c r="O325" s="25"/>
      <c r="P325" s="14" t="n">
        <v>0.2317</v>
      </c>
      <c r="Q325" s="14" t="n">
        <f aca="false">IF(AND($J325="Yes",$G325&lt;&gt;"Vendor day rates"),$I325-0.4*$P325,0)</f>
        <v>0</v>
      </c>
      <c r="R325" s="26" t="n">
        <f aca="false">IFERROR(MATCH($K325,MonthList,0),0)</f>
        <v>0</v>
      </c>
      <c r="S325" s="14" t="n">
        <f aca="false">IF(OR($J325&lt;&gt;"Yes",$K325=""),0,$Q325*MAX(0,7-$R325)/12)</f>
        <v>0</v>
      </c>
      <c r="T325" s="14" t="n">
        <f aca="false">IF(OR($J325&lt;&gt;"Yes",$K325=""),0,$Q325*IF($R325&lt;=7,12,19-$R325)/12)</f>
        <v>0</v>
      </c>
      <c r="U325" s="14" t="n">
        <f aca="false">IF(AND($L325="Yes",$G325&lt;&gt;"Vendor day rates"),$I325-0.4*$P325,0)</f>
        <v>0</v>
      </c>
      <c r="V325" s="26" t="n">
        <f aca="false">IFERROR(MATCH($M325,MonthList,0),0)</f>
        <v>0</v>
      </c>
      <c r="W325" s="14" t="n">
        <f aca="false">IF(OR($L325&lt;&gt;"Yes",$M325=""),0,$U325*MAX(0,7-$V325)/12)</f>
        <v>0</v>
      </c>
      <c r="X325" s="14" t="n">
        <f aca="false">IF(OR($L325&lt;&gt;"Yes",$M325=""),0,$U325*IF($V325&lt;=7,12,19-$V325)/12)</f>
        <v>0</v>
      </c>
      <c r="Y325" s="14" t="n">
        <f aca="false">IF(AND($N325="Yes",$G325&lt;&gt;"Vendor day rates"),$I325-0.4*$P325,0)</f>
        <v>0</v>
      </c>
      <c r="Z325" s="26" t="n">
        <f aca="false">IFERROR(MATCH($O325,MonthList,0),0)</f>
        <v>0</v>
      </c>
      <c r="AA325" s="14" t="n">
        <f aca="false">IF(OR($N325&lt;&gt;"Yes",$O325=""),0,$Y325*MAX(0,7-$Z325)/12)</f>
        <v>0</v>
      </c>
      <c r="AB325" s="14" t="n">
        <f aca="false">IF(OR($N325&lt;&gt;"Yes",$O325=""),0,$Y325*IF($Z325&lt;=7,12,19-$Z325)/12)</f>
        <v>0</v>
      </c>
      <c r="AC325" s="26" t="str">
        <f aca="false">IF(OR($J325="Yes",$L325="Yes",$N325="Yes"),"Yes","No")</f>
        <v>No</v>
      </c>
      <c r="AD325" s="14" t="n">
        <f aca="false">MAX($Q325,$U325,$Y325)</f>
        <v>0</v>
      </c>
      <c r="AE325" s="26" t="n">
        <f aca="false">$AD325+ROW()*0.000000001</f>
        <v>3.25E-007</v>
      </c>
      <c r="AF325" s="26" t="str">
        <f aca="false">IF($J325="Yes","A","")&amp;IF($L325="Yes","B","")&amp;IF($N325="Yes","C","")</f>
        <v/>
      </c>
    </row>
    <row r="326" customFormat="false" ht="15" hidden="false" customHeight="false" outlineLevel="0" collapsed="false">
      <c r="B326" s="22" t="s">
        <v>674</v>
      </c>
      <c r="C326" s="23" t="s">
        <v>675</v>
      </c>
      <c r="D326" s="23" t="s">
        <v>212</v>
      </c>
      <c r="E326" s="23" t="s">
        <v>528</v>
      </c>
      <c r="F326" s="22" t="s">
        <v>57</v>
      </c>
      <c r="G326" s="23" t="s">
        <v>476</v>
      </c>
      <c r="H326" s="24" t="n">
        <v>1</v>
      </c>
      <c r="I326" s="14" t="n">
        <v>0.0811</v>
      </c>
      <c r="J326" s="25" t="s">
        <v>59</v>
      </c>
      <c r="K326" s="25"/>
      <c r="L326" s="25" t="s">
        <v>59</v>
      </c>
      <c r="M326" s="25"/>
      <c r="N326" s="25" t="s">
        <v>59</v>
      </c>
      <c r="O326" s="25"/>
      <c r="P326" s="14" t="n">
        <v>0.2029</v>
      </c>
      <c r="Q326" s="14" t="n">
        <f aca="false">IF(AND($J326="Yes",$G326&lt;&gt;"Vendor day rates"),$I326-0.4*$P326,0)</f>
        <v>0</v>
      </c>
      <c r="R326" s="26" t="n">
        <f aca="false">IFERROR(MATCH($K326,MonthList,0),0)</f>
        <v>0</v>
      </c>
      <c r="S326" s="14" t="n">
        <f aca="false">IF(OR($J326&lt;&gt;"Yes",$K326=""),0,$Q326*MAX(0,7-$R326)/12)</f>
        <v>0</v>
      </c>
      <c r="T326" s="14" t="n">
        <f aca="false">IF(OR($J326&lt;&gt;"Yes",$K326=""),0,$Q326*IF($R326&lt;=7,12,19-$R326)/12)</f>
        <v>0</v>
      </c>
      <c r="U326" s="14" t="n">
        <f aca="false">IF(AND($L326="Yes",$G326&lt;&gt;"Vendor day rates"),$I326-0.4*$P326,0)</f>
        <v>0</v>
      </c>
      <c r="V326" s="26" t="n">
        <f aca="false">IFERROR(MATCH($M326,MonthList,0),0)</f>
        <v>0</v>
      </c>
      <c r="W326" s="14" t="n">
        <f aca="false">IF(OR($L326&lt;&gt;"Yes",$M326=""),0,$U326*MAX(0,7-$V326)/12)</f>
        <v>0</v>
      </c>
      <c r="X326" s="14" t="n">
        <f aca="false">IF(OR($L326&lt;&gt;"Yes",$M326=""),0,$U326*IF($V326&lt;=7,12,19-$V326)/12)</f>
        <v>0</v>
      </c>
      <c r="Y326" s="14" t="n">
        <f aca="false">IF(AND($N326="Yes",$G326&lt;&gt;"Vendor day rates"),$I326-0.4*$P326,0)</f>
        <v>0</v>
      </c>
      <c r="Z326" s="26" t="n">
        <f aca="false">IFERROR(MATCH($O326,MonthList,0),0)</f>
        <v>0</v>
      </c>
      <c r="AA326" s="14" t="n">
        <f aca="false">IF(OR($N326&lt;&gt;"Yes",$O326=""),0,$Y326*MAX(0,7-$Z326)/12)</f>
        <v>0</v>
      </c>
      <c r="AB326" s="14" t="n">
        <f aca="false">IF(OR($N326&lt;&gt;"Yes",$O326=""),0,$Y326*IF($Z326&lt;=7,12,19-$Z326)/12)</f>
        <v>0</v>
      </c>
      <c r="AC326" s="26" t="str">
        <f aca="false">IF(OR($J326="Yes",$L326="Yes",$N326="Yes"),"Yes","No")</f>
        <v>No</v>
      </c>
      <c r="AD326" s="14" t="n">
        <f aca="false">MAX($Q326,$U326,$Y326)</f>
        <v>0</v>
      </c>
      <c r="AE326" s="26" t="n">
        <f aca="false">$AD326+ROW()*0.000000001</f>
        <v>3.26E-007</v>
      </c>
      <c r="AF326" s="26" t="str">
        <f aca="false">IF($J326="Yes","A","")&amp;IF($L326="Yes","B","")&amp;IF($N326="Yes","C","")</f>
        <v/>
      </c>
    </row>
    <row r="327" customFormat="false" ht="15" hidden="false" customHeight="false" outlineLevel="0" collapsed="false">
      <c r="B327" s="22" t="s">
        <v>676</v>
      </c>
      <c r="C327" s="23" t="s">
        <v>675</v>
      </c>
      <c r="D327" s="23" t="s">
        <v>212</v>
      </c>
      <c r="E327" s="23" t="s">
        <v>528</v>
      </c>
      <c r="F327" s="22" t="s">
        <v>57</v>
      </c>
      <c r="G327" s="23" t="s">
        <v>476</v>
      </c>
      <c r="H327" s="24" t="n">
        <v>1</v>
      </c>
      <c r="I327" s="14" t="n">
        <v>0.0811</v>
      </c>
      <c r="J327" s="25" t="s">
        <v>59</v>
      </c>
      <c r="K327" s="25"/>
      <c r="L327" s="25" t="s">
        <v>59</v>
      </c>
      <c r="M327" s="25"/>
      <c r="N327" s="25" t="s">
        <v>59</v>
      </c>
      <c r="O327" s="25"/>
      <c r="P327" s="14" t="n">
        <v>0.2029</v>
      </c>
      <c r="Q327" s="14" t="n">
        <f aca="false">IF(AND($J327="Yes",$G327&lt;&gt;"Vendor day rates"),$I327-0.4*$P327,0)</f>
        <v>0</v>
      </c>
      <c r="R327" s="26" t="n">
        <f aca="false">IFERROR(MATCH($K327,MonthList,0),0)</f>
        <v>0</v>
      </c>
      <c r="S327" s="14" t="n">
        <f aca="false">IF(OR($J327&lt;&gt;"Yes",$K327=""),0,$Q327*MAX(0,7-$R327)/12)</f>
        <v>0</v>
      </c>
      <c r="T327" s="14" t="n">
        <f aca="false">IF(OR($J327&lt;&gt;"Yes",$K327=""),0,$Q327*IF($R327&lt;=7,12,19-$R327)/12)</f>
        <v>0</v>
      </c>
      <c r="U327" s="14" t="n">
        <f aca="false">IF(AND($L327="Yes",$G327&lt;&gt;"Vendor day rates"),$I327-0.4*$P327,0)</f>
        <v>0</v>
      </c>
      <c r="V327" s="26" t="n">
        <f aca="false">IFERROR(MATCH($M327,MonthList,0),0)</f>
        <v>0</v>
      </c>
      <c r="W327" s="14" t="n">
        <f aca="false">IF(OR($L327&lt;&gt;"Yes",$M327=""),0,$U327*MAX(0,7-$V327)/12)</f>
        <v>0</v>
      </c>
      <c r="X327" s="14" t="n">
        <f aca="false">IF(OR($L327&lt;&gt;"Yes",$M327=""),0,$U327*IF($V327&lt;=7,12,19-$V327)/12)</f>
        <v>0</v>
      </c>
      <c r="Y327" s="14" t="n">
        <f aca="false">IF(AND($N327="Yes",$G327&lt;&gt;"Vendor day rates"),$I327-0.4*$P327,0)</f>
        <v>0</v>
      </c>
      <c r="Z327" s="26" t="n">
        <f aca="false">IFERROR(MATCH($O327,MonthList,0),0)</f>
        <v>0</v>
      </c>
      <c r="AA327" s="14" t="n">
        <f aca="false">IF(OR($N327&lt;&gt;"Yes",$O327=""),0,$Y327*MAX(0,7-$Z327)/12)</f>
        <v>0</v>
      </c>
      <c r="AB327" s="14" t="n">
        <f aca="false">IF(OR($N327&lt;&gt;"Yes",$O327=""),0,$Y327*IF($Z327&lt;=7,12,19-$Z327)/12)</f>
        <v>0</v>
      </c>
      <c r="AC327" s="26" t="str">
        <f aca="false">IF(OR($J327="Yes",$L327="Yes",$N327="Yes"),"Yes","No")</f>
        <v>No</v>
      </c>
      <c r="AD327" s="14" t="n">
        <f aca="false">MAX($Q327,$U327,$Y327)</f>
        <v>0</v>
      </c>
      <c r="AE327" s="26" t="n">
        <f aca="false">$AD327+ROW()*0.000000001</f>
        <v>3.27E-007</v>
      </c>
      <c r="AF327" s="26" t="str">
        <f aca="false">IF($J327="Yes","A","")&amp;IF($L327="Yes","B","")&amp;IF($N327="Yes","C","")</f>
        <v/>
      </c>
    </row>
    <row r="328" customFormat="false" ht="15" hidden="false" customHeight="false" outlineLevel="0" collapsed="false">
      <c r="B328" s="22" t="s">
        <v>677</v>
      </c>
      <c r="C328" s="23" t="s">
        <v>675</v>
      </c>
      <c r="D328" s="23" t="s">
        <v>212</v>
      </c>
      <c r="E328" s="23" t="s">
        <v>528</v>
      </c>
      <c r="F328" s="22" t="s">
        <v>57</v>
      </c>
      <c r="G328" s="23" t="s">
        <v>476</v>
      </c>
      <c r="H328" s="24" t="n">
        <v>1</v>
      </c>
      <c r="I328" s="14" t="n">
        <v>0.0682</v>
      </c>
      <c r="J328" s="25" t="s">
        <v>59</v>
      </c>
      <c r="K328" s="25"/>
      <c r="L328" s="25" t="s">
        <v>59</v>
      </c>
      <c r="M328" s="25"/>
      <c r="N328" s="25" t="s">
        <v>59</v>
      </c>
      <c r="O328" s="25"/>
      <c r="P328" s="14" t="n">
        <v>0.1705</v>
      </c>
      <c r="Q328" s="14" t="n">
        <f aca="false">IF(AND($J328="Yes",$G328&lt;&gt;"Vendor day rates"),$I328-0.4*$P328,0)</f>
        <v>0</v>
      </c>
      <c r="R328" s="26" t="n">
        <f aca="false">IFERROR(MATCH($K328,MonthList,0),0)</f>
        <v>0</v>
      </c>
      <c r="S328" s="14" t="n">
        <f aca="false">IF(OR($J328&lt;&gt;"Yes",$K328=""),0,$Q328*MAX(0,7-$R328)/12)</f>
        <v>0</v>
      </c>
      <c r="T328" s="14" t="n">
        <f aca="false">IF(OR($J328&lt;&gt;"Yes",$K328=""),0,$Q328*IF($R328&lt;=7,12,19-$R328)/12)</f>
        <v>0</v>
      </c>
      <c r="U328" s="14" t="n">
        <f aca="false">IF(AND($L328="Yes",$G328&lt;&gt;"Vendor day rates"),$I328-0.4*$P328,0)</f>
        <v>0</v>
      </c>
      <c r="V328" s="26" t="n">
        <f aca="false">IFERROR(MATCH($M328,MonthList,0),0)</f>
        <v>0</v>
      </c>
      <c r="W328" s="14" t="n">
        <f aca="false">IF(OR($L328&lt;&gt;"Yes",$M328=""),0,$U328*MAX(0,7-$V328)/12)</f>
        <v>0</v>
      </c>
      <c r="X328" s="14" t="n">
        <f aca="false">IF(OR($L328&lt;&gt;"Yes",$M328=""),0,$U328*IF($V328&lt;=7,12,19-$V328)/12)</f>
        <v>0</v>
      </c>
      <c r="Y328" s="14" t="n">
        <f aca="false">IF(AND($N328="Yes",$G328&lt;&gt;"Vendor day rates"),$I328-0.4*$P328,0)</f>
        <v>0</v>
      </c>
      <c r="Z328" s="26" t="n">
        <f aca="false">IFERROR(MATCH($O328,MonthList,0),0)</f>
        <v>0</v>
      </c>
      <c r="AA328" s="14" t="n">
        <f aca="false">IF(OR($N328&lt;&gt;"Yes",$O328=""),0,$Y328*MAX(0,7-$Z328)/12)</f>
        <v>0</v>
      </c>
      <c r="AB328" s="14" t="n">
        <f aca="false">IF(OR($N328&lt;&gt;"Yes",$O328=""),0,$Y328*IF($Z328&lt;=7,12,19-$Z328)/12)</f>
        <v>0</v>
      </c>
      <c r="AC328" s="26" t="str">
        <f aca="false">IF(OR($J328="Yes",$L328="Yes",$N328="Yes"),"Yes","No")</f>
        <v>No</v>
      </c>
      <c r="AD328" s="14" t="n">
        <f aca="false">MAX($Q328,$U328,$Y328)</f>
        <v>0</v>
      </c>
      <c r="AE328" s="26" t="n">
        <f aca="false">$AD328+ROW()*0.000000001</f>
        <v>3.28E-007</v>
      </c>
      <c r="AF328" s="26" t="str">
        <f aca="false">IF($J328="Yes","A","")&amp;IF($L328="Yes","B","")&amp;IF($N328="Yes","C","")</f>
        <v/>
      </c>
    </row>
    <row r="329" customFormat="false" ht="15" hidden="false" customHeight="false" outlineLevel="0" collapsed="false">
      <c r="B329" s="22" t="s">
        <v>678</v>
      </c>
      <c r="C329" s="23" t="s">
        <v>675</v>
      </c>
      <c r="D329" s="23" t="s">
        <v>215</v>
      </c>
      <c r="E329" s="23" t="s">
        <v>530</v>
      </c>
      <c r="F329" s="22" t="s">
        <v>57</v>
      </c>
      <c r="G329" s="23" t="s">
        <v>304</v>
      </c>
      <c r="H329" s="24" t="n">
        <v>1</v>
      </c>
      <c r="I329" s="14" t="n">
        <v>0</v>
      </c>
      <c r="J329" s="25" t="s">
        <v>59</v>
      </c>
      <c r="K329" s="25"/>
      <c r="L329" s="25" t="s">
        <v>59</v>
      </c>
      <c r="M329" s="25"/>
      <c r="N329" s="25" t="s">
        <v>59</v>
      </c>
      <c r="O329" s="25"/>
      <c r="P329" s="14" t="n">
        <v>0.2029</v>
      </c>
      <c r="Q329" s="14" t="n">
        <f aca="false">IF(AND($J329="Yes",$G329&lt;&gt;"Vendor day rates"),$I329-0.4*$P329,0)</f>
        <v>0</v>
      </c>
      <c r="R329" s="26" t="n">
        <f aca="false">IFERROR(MATCH($K329,MonthList,0),0)</f>
        <v>0</v>
      </c>
      <c r="S329" s="14" t="n">
        <f aca="false">IF(OR($J329&lt;&gt;"Yes",$K329=""),0,$Q329*MAX(0,7-$R329)/12)</f>
        <v>0</v>
      </c>
      <c r="T329" s="14" t="n">
        <f aca="false">IF(OR($J329&lt;&gt;"Yes",$K329=""),0,$Q329*IF($R329&lt;=7,12,19-$R329)/12)</f>
        <v>0</v>
      </c>
      <c r="U329" s="14" t="n">
        <f aca="false">IF(AND($L329="Yes",$G329&lt;&gt;"Vendor day rates"),$I329-0.4*$P329,0)</f>
        <v>0</v>
      </c>
      <c r="V329" s="26" t="n">
        <f aca="false">IFERROR(MATCH($M329,MonthList,0),0)</f>
        <v>0</v>
      </c>
      <c r="W329" s="14" t="n">
        <f aca="false">IF(OR($L329&lt;&gt;"Yes",$M329=""),0,$U329*MAX(0,7-$V329)/12)</f>
        <v>0</v>
      </c>
      <c r="X329" s="14" t="n">
        <f aca="false">IF(OR($L329&lt;&gt;"Yes",$M329=""),0,$U329*IF($V329&lt;=7,12,19-$V329)/12)</f>
        <v>0</v>
      </c>
      <c r="Y329" s="14" t="n">
        <f aca="false">IF(AND($N329="Yes",$G329&lt;&gt;"Vendor day rates"),$I329-0.4*$P329,0)</f>
        <v>0</v>
      </c>
      <c r="Z329" s="26" t="n">
        <f aca="false">IFERROR(MATCH($O329,MonthList,0),0)</f>
        <v>0</v>
      </c>
      <c r="AA329" s="14" t="n">
        <f aca="false">IF(OR($N329&lt;&gt;"Yes",$O329=""),0,$Y329*MAX(0,7-$Z329)/12)</f>
        <v>0</v>
      </c>
      <c r="AB329" s="14" t="n">
        <f aca="false">IF(OR($N329&lt;&gt;"Yes",$O329=""),0,$Y329*IF($Z329&lt;=7,12,19-$Z329)/12)</f>
        <v>0</v>
      </c>
      <c r="AC329" s="26" t="str">
        <f aca="false">IF(OR($J329="Yes",$L329="Yes",$N329="Yes"),"Yes","No")</f>
        <v>No</v>
      </c>
      <c r="AD329" s="14" t="n">
        <f aca="false">MAX($Q329,$U329,$Y329)</f>
        <v>0</v>
      </c>
      <c r="AE329" s="26" t="n">
        <f aca="false">$AD329+ROW()*0.000000001</f>
        <v>3.29E-007</v>
      </c>
      <c r="AF329" s="26" t="str">
        <f aca="false">IF($J329="Yes","A","")&amp;IF($L329="Yes","B","")&amp;IF($N329="Yes","C","")</f>
        <v/>
      </c>
    </row>
    <row r="330" customFormat="false" ht="15" hidden="false" customHeight="false" outlineLevel="0" collapsed="false">
      <c r="B330" s="22" t="s">
        <v>679</v>
      </c>
      <c r="C330" s="23" t="s">
        <v>680</v>
      </c>
      <c r="D330" s="23"/>
      <c r="E330" s="23" t="s">
        <v>181</v>
      </c>
      <c r="F330" s="22" t="s">
        <v>57</v>
      </c>
      <c r="G330" s="23" t="s">
        <v>149</v>
      </c>
      <c r="H330" s="24" t="n">
        <v>1</v>
      </c>
      <c r="I330" s="14" t="n">
        <v>0.1869</v>
      </c>
      <c r="J330" s="25" t="s">
        <v>59</v>
      </c>
      <c r="K330" s="25"/>
      <c r="L330" s="25" t="s">
        <v>59</v>
      </c>
      <c r="M330" s="25"/>
      <c r="N330" s="25" t="s">
        <v>59</v>
      </c>
      <c r="O330" s="25"/>
      <c r="P330" s="14" t="n">
        <v>0.1869</v>
      </c>
      <c r="Q330" s="14" t="n">
        <f aca="false">IF(AND($J330="Yes",$G330&lt;&gt;"Vendor day rates"),$I330-0.4*$P330,0)</f>
        <v>0</v>
      </c>
      <c r="R330" s="26" t="n">
        <f aca="false">IFERROR(MATCH($K330,MonthList,0),0)</f>
        <v>0</v>
      </c>
      <c r="S330" s="14" t="n">
        <f aca="false">IF(OR($J330&lt;&gt;"Yes",$K330=""),0,$Q330*MAX(0,7-$R330)/12)</f>
        <v>0</v>
      </c>
      <c r="T330" s="14" t="n">
        <f aca="false">IF(OR($J330&lt;&gt;"Yes",$K330=""),0,$Q330*IF($R330&lt;=7,12,19-$R330)/12)</f>
        <v>0</v>
      </c>
      <c r="U330" s="14" t="n">
        <f aca="false">IF(AND($L330="Yes",$G330&lt;&gt;"Vendor day rates"),$I330-0.4*$P330,0)</f>
        <v>0</v>
      </c>
      <c r="V330" s="26" t="n">
        <f aca="false">IFERROR(MATCH($M330,MonthList,0),0)</f>
        <v>0</v>
      </c>
      <c r="W330" s="14" t="n">
        <f aca="false">IF(OR($L330&lt;&gt;"Yes",$M330=""),0,$U330*MAX(0,7-$V330)/12)</f>
        <v>0</v>
      </c>
      <c r="X330" s="14" t="n">
        <f aca="false">IF(OR($L330&lt;&gt;"Yes",$M330=""),0,$U330*IF($V330&lt;=7,12,19-$V330)/12)</f>
        <v>0</v>
      </c>
      <c r="Y330" s="14" t="n">
        <f aca="false">IF(AND($N330="Yes",$G330&lt;&gt;"Vendor day rates"),$I330-0.4*$P330,0)</f>
        <v>0</v>
      </c>
      <c r="Z330" s="26" t="n">
        <f aca="false">IFERROR(MATCH($O330,MonthList,0),0)</f>
        <v>0</v>
      </c>
      <c r="AA330" s="14" t="n">
        <f aca="false">IF(OR($N330&lt;&gt;"Yes",$O330=""),0,$Y330*MAX(0,7-$Z330)/12)</f>
        <v>0</v>
      </c>
      <c r="AB330" s="14" t="n">
        <f aca="false">IF(OR($N330&lt;&gt;"Yes",$O330=""),0,$Y330*IF($Z330&lt;=7,12,19-$Z330)/12)</f>
        <v>0</v>
      </c>
      <c r="AC330" s="26" t="str">
        <f aca="false">IF(OR($J330="Yes",$L330="Yes",$N330="Yes"),"Yes","No")</f>
        <v>No</v>
      </c>
      <c r="AD330" s="14" t="n">
        <f aca="false">MAX($Q330,$U330,$Y330)</f>
        <v>0</v>
      </c>
      <c r="AE330" s="26" t="n">
        <f aca="false">$AD330+ROW()*0.000000001</f>
        <v>3.3E-007</v>
      </c>
      <c r="AF330" s="26" t="str">
        <f aca="false">IF($J330="Yes","A","")&amp;IF($L330="Yes","B","")&amp;IF($N330="Yes","C","")</f>
        <v/>
      </c>
    </row>
    <row r="331" customFormat="false" ht="15" hidden="false" customHeight="false" outlineLevel="0" collapsed="false">
      <c r="B331" s="22" t="s">
        <v>681</v>
      </c>
      <c r="C331" s="23" t="s">
        <v>682</v>
      </c>
      <c r="D331" s="23" t="s">
        <v>212</v>
      </c>
      <c r="E331" s="23" t="s">
        <v>571</v>
      </c>
      <c r="F331" s="22" t="s">
        <v>57</v>
      </c>
      <c r="G331" s="23" t="s">
        <v>58</v>
      </c>
      <c r="H331" s="24" t="n">
        <v>1</v>
      </c>
      <c r="I331" s="14" t="n">
        <v>0.2003</v>
      </c>
      <c r="J331" s="25" t="s">
        <v>59</v>
      </c>
      <c r="K331" s="25"/>
      <c r="L331" s="25" t="s">
        <v>59</v>
      </c>
      <c r="M331" s="25"/>
      <c r="N331" s="25" t="s">
        <v>59</v>
      </c>
      <c r="O331" s="25"/>
      <c r="P331" s="14" t="n">
        <v>0.2003</v>
      </c>
      <c r="Q331" s="14" t="n">
        <f aca="false">IF(AND($J331="Yes",$G331&lt;&gt;"Vendor day rates"),$I331-0.4*$P331,0)</f>
        <v>0</v>
      </c>
      <c r="R331" s="26" t="n">
        <f aca="false">IFERROR(MATCH($K331,MonthList,0),0)</f>
        <v>0</v>
      </c>
      <c r="S331" s="14" t="n">
        <f aca="false">IF(OR($J331&lt;&gt;"Yes",$K331=""),0,$Q331*MAX(0,7-$R331)/12)</f>
        <v>0</v>
      </c>
      <c r="T331" s="14" t="n">
        <f aca="false">IF(OR($J331&lt;&gt;"Yes",$K331=""),0,$Q331*IF($R331&lt;=7,12,19-$R331)/12)</f>
        <v>0</v>
      </c>
      <c r="U331" s="14" t="n">
        <f aca="false">IF(AND($L331="Yes",$G331&lt;&gt;"Vendor day rates"),$I331-0.4*$P331,0)</f>
        <v>0</v>
      </c>
      <c r="V331" s="26" t="n">
        <f aca="false">IFERROR(MATCH($M331,MonthList,0),0)</f>
        <v>0</v>
      </c>
      <c r="W331" s="14" t="n">
        <f aca="false">IF(OR($L331&lt;&gt;"Yes",$M331=""),0,$U331*MAX(0,7-$V331)/12)</f>
        <v>0</v>
      </c>
      <c r="X331" s="14" t="n">
        <f aca="false">IF(OR($L331&lt;&gt;"Yes",$M331=""),0,$U331*IF($V331&lt;=7,12,19-$V331)/12)</f>
        <v>0</v>
      </c>
      <c r="Y331" s="14" t="n">
        <f aca="false">IF(AND($N331="Yes",$G331&lt;&gt;"Vendor day rates"),$I331-0.4*$P331,0)</f>
        <v>0</v>
      </c>
      <c r="Z331" s="26" t="n">
        <f aca="false">IFERROR(MATCH($O331,MonthList,0),0)</f>
        <v>0</v>
      </c>
      <c r="AA331" s="14" t="n">
        <f aca="false">IF(OR($N331&lt;&gt;"Yes",$O331=""),0,$Y331*MAX(0,7-$Z331)/12)</f>
        <v>0</v>
      </c>
      <c r="AB331" s="14" t="n">
        <f aca="false">IF(OR($N331&lt;&gt;"Yes",$O331=""),0,$Y331*IF($Z331&lt;=7,12,19-$Z331)/12)</f>
        <v>0</v>
      </c>
      <c r="AC331" s="26" t="str">
        <f aca="false">IF(OR($J331="Yes",$L331="Yes",$N331="Yes"),"Yes","No")</f>
        <v>No</v>
      </c>
      <c r="AD331" s="14" t="n">
        <f aca="false">MAX($Q331,$U331,$Y331)</f>
        <v>0</v>
      </c>
      <c r="AE331" s="26" t="n">
        <f aca="false">$AD331+ROW()*0.000000001</f>
        <v>3.31E-007</v>
      </c>
      <c r="AF331" s="26" t="str">
        <f aca="false">IF($J331="Yes","A","")&amp;IF($L331="Yes","B","")&amp;IF($N331="Yes","C","")</f>
        <v/>
      </c>
    </row>
    <row r="332" customFormat="false" ht="15" hidden="false" customHeight="false" outlineLevel="0" collapsed="false">
      <c r="B332" s="22" t="s">
        <v>683</v>
      </c>
      <c r="C332" s="23" t="s">
        <v>684</v>
      </c>
      <c r="D332" s="23" t="s">
        <v>212</v>
      </c>
      <c r="E332" s="23" t="s">
        <v>571</v>
      </c>
      <c r="F332" s="22" t="s">
        <v>57</v>
      </c>
      <c r="G332" s="23" t="s">
        <v>58</v>
      </c>
      <c r="H332" s="24" t="n">
        <v>1</v>
      </c>
      <c r="I332" s="14" t="n">
        <v>0.2055</v>
      </c>
      <c r="J332" s="25" t="s">
        <v>59</v>
      </c>
      <c r="K332" s="25"/>
      <c r="L332" s="25" t="s">
        <v>59</v>
      </c>
      <c r="M332" s="25"/>
      <c r="N332" s="25" t="s">
        <v>59</v>
      </c>
      <c r="O332" s="25"/>
      <c r="P332" s="14" t="n">
        <v>0.2055</v>
      </c>
      <c r="Q332" s="14" t="n">
        <f aca="false">IF(AND($J332="Yes",$G332&lt;&gt;"Vendor day rates"),$I332-0.4*$P332,0)</f>
        <v>0</v>
      </c>
      <c r="R332" s="26" t="n">
        <f aca="false">IFERROR(MATCH($K332,MonthList,0),0)</f>
        <v>0</v>
      </c>
      <c r="S332" s="14" t="n">
        <f aca="false">IF(OR($J332&lt;&gt;"Yes",$K332=""),0,$Q332*MAX(0,7-$R332)/12)</f>
        <v>0</v>
      </c>
      <c r="T332" s="14" t="n">
        <f aca="false">IF(OR($J332&lt;&gt;"Yes",$K332=""),0,$Q332*IF($R332&lt;=7,12,19-$R332)/12)</f>
        <v>0</v>
      </c>
      <c r="U332" s="14" t="n">
        <f aca="false">IF(AND($L332="Yes",$G332&lt;&gt;"Vendor day rates"),$I332-0.4*$P332,0)</f>
        <v>0</v>
      </c>
      <c r="V332" s="26" t="n">
        <f aca="false">IFERROR(MATCH($M332,MonthList,0),0)</f>
        <v>0</v>
      </c>
      <c r="W332" s="14" t="n">
        <f aca="false">IF(OR($L332&lt;&gt;"Yes",$M332=""),0,$U332*MAX(0,7-$V332)/12)</f>
        <v>0</v>
      </c>
      <c r="X332" s="14" t="n">
        <f aca="false">IF(OR($L332&lt;&gt;"Yes",$M332=""),0,$U332*IF($V332&lt;=7,12,19-$V332)/12)</f>
        <v>0</v>
      </c>
      <c r="Y332" s="14" t="n">
        <f aca="false">IF(AND($N332="Yes",$G332&lt;&gt;"Vendor day rates"),$I332-0.4*$P332,0)</f>
        <v>0</v>
      </c>
      <c r="Z332" s="26" t="n">
        <f aca="false">IFERROR(MATCH($O332,MonthList,0),0)</f>
        <v>0</v>
      </c>
      <c r="AA332" s="14" t="n">
        <f aca="false">IF(OR($N332&lt;&gt;"Yes",$O332=""),0,$Y332*MAX(0,7-$Z332)/12)</f>
        <v>0</v>
      </c>
      <c r="AB332" s="14" t="n">
        <f aca="false">IF(OR($N332&lt;&gt;"Yes",$O332=""),0,$Y332*IF($Z332&lt;=7,12,19-$Z332)/12)</f>
        <v>0</v>
      </c>
      <c r="AC332" s="26" t="str">
        <f aca="false">IF(OR($J332="Yes",$L332="Yes",$N332="Yes"),"Yes","No")</f>
        <v>No</v>
      </c>
      <c r="AD332" s="14" t="n">
        <f aca="false">MAX($Q332,$U332,$Y332)</f>
        <v>0</v>
      </c>
      <c r="AE332" s="26" t="n">
        <f aca="false">$AD332+ROW()*0.000000001</f>
        <v>3.32E-007</v>
      </c>
      <c r="AF332" s="26" t="str">
        <f aca="false">IF($J332="Yes","A","")&amp;IF($L332="Yes","B","")&amp;IF($N332="Yes","C","")</f>
        <v/>
      </c>
    </row>
    <row r="333" customFormat="false" ht="15" hidden="false" customHeight="false" outlineLevel="0" collapsed="false">
      <c r="B333" s="22" t="s">
        <v>685</v>
      </c>
      <c r="C333" s="23" t="s">
        <v>686</v>
      </c>
      <c r="D333" s="23" t="s">
        <v>147</v>
      </c>
      <c r="E333" s="23" t="s">
        <v>167</v>
      </c>
      <c r="F333" s="22" t="s">
        <v>57</v>
      </c>
      <c r="G333" s="23" t="s">
        <v>304</v>
      </c>
      <c r="H333" s="24" t="n">
        <v>1</v>
      </c>
      <c r="I333" s="14" t="n">
        <v>0</v>
      </c>
      <c r="J333" s="25" t="s">
        <v>59</v>
      </c>
      <c r="K333" s="25"/>
      <c r="L333" s="25" t="s">
        <v>59</v>
      </c>
      <c r="M333" s="25"/>
      <c r="N333" s="25" t="s">
        <v>59</v>
      </c>
      <c r="O333" s="25"/>
      <c r="P333" s="14" t="n">
        <v>0.2029</v>
      </c>
      <c r="Q333" s="14" t="n">
        <f aca="false">IF(AND($J333="Yes",$G333&lt;&gt;"Vendor day rates"),$I333-0.4*$P333,0)</f>
        <v>0</v>
      </c>
      <c r="R333" s="26" t="n">
        <f aca="false">IFERROR(MATCH($K333,MonthList,0),0)</f>
        <v>0</v>
      </c>
      <c r="S333" s="14" t="n">
        <f aca="false">IF(OR($J333&lt;&gt;"Yes",$K333=""),0,$Q333*MAX(0,7-$R333)/12)</f>
        <v>0</v>
      </c>
      <c r="T333" s="14" t="n">
        <f aca="false">IF(OR($J333&lt;&gt;"Yes",$K333=""),0,$Q333*IF($R333&lt;=7,12,19-$R333)/12)</f>
        <v>0</v>
      </c>
      <c r="U333" s="14" t="n">
        <f aca="false">IF(AND($L333="Yes",$G333&lt;&gt;"Vendor day rates"),$I333-0.4*$P333,0)</f>
        <v>0</v>
      </c>
      <c r="V333" s="26" t="n">
        <f aca="false">IFERROR(MATCH($M333,MonthList,0),0)</f>
        <v>0</v>
      </c>
      <c r="W333" s="14" t="n">
        <f aca="false">IF(OR($L333&lt;&gt;"Yes",$M333=""),0,$U333*MAX(0,7-$V333)/12)</f>
        <v>0</v>
      </c>
      <c r="X333" s="14" t="n">
        <f aca="false">IF(OR($L333&lt;&gt;"Yes",$M333=""),0,$U333*IF($V333&lt;=7,12,19-$V333)/12)</f>
        <v>0</v>
      </c>
      <c r="Y333" s="14" t="n">
        <f aca="false">IF(AND($N333="Yes",$G333&lt;&gt;"Vendor day rates"),$I333-0.4*$P333,0)</f>
        <v>0</v>
      </c>
      <c r="Z333" s="26" t="n">
        <f aca="false">IFERROR(MATCH($O333,MonthList,0),0)</f>
        <v>0</v>
      </c>
      <c r="AA333" s="14" t="n">
        <f aca="false">IF(OR($N333&lt;&gt;"Yes",$O333=""),0,$Y333*MAX(0,7-$Z333)/12)</f>
        <v>0</v>
      </c>
      <c r="AB333" s="14" t="n">
        <f aca="false">IF(OR($N333&lt;&gt;"Yes",$O333=""),0,$Y333*IF($Z333&lt;=7,12,19-$Z333)/12)</f>
        <v>0</v>
      </c>
      <c r="AC333" s="26" t="str">
        <f aca="false">IF(OR($J333="Yes",$L333="Yes",$N333="Yes"),"Yes","No")</f>
        <v>No</v>
      </c>
      <c r="AD333" s="14" t="n">
        <f aca="false">MAX($Q333,$U333,$Y333)</f>
        <v>0</v>
      </c>
      <c r="AE333" s="26" t="n">
        <f aca="false">$AD333+ROW()*0.000000001</f>
        <v>3.33E-007</v>
      </c>
      <c r="AF333" s="26" t="str">
        <f aca="false">IF($J333="Yes","A","")&amp;IF($L333="Yes","B","")&amp;IF($N333="Yes","C","")</f>
        <v/>
      </c>
    </row>
    <row r="334" customFormat="false" ht="15" hidden="false" customHeight="false" outlineLevel="0" collapsed="false">
      <c r="B334" s="22" t="s">
        <v>687</v>
      </c>
      <c r="C334" s="23" t="s">
        <v>688</v>
      </c>
      <c r="D334" s="23" t="s">
        <v>147</v>
      </c>
      <c r="E334" s="23" t="s">
        <v>167</v>
      </c>
      <c r="F334" s="22" t="s">
        <v>57</v>
      </c>
      <c r="G334" s="23" t="s">
        <v>304</v>
      </c>
      <c r="H334" s="24" t="n">
        <v>1</v>
      </c>
      <c r="I334" s="14" t="n">
        <v>0</v>
      </c>
      <c r="J334" s="25" t="s">
        <v>59</v>
      </c>
      <c r="K334" s="25"/>
      <c r="L334" s="25" t="s">
        <v>59</v>
      </c>
      <c r="M334" s="25"/>
      <c r="N334" s="25" t="s">
        <v>59</v>
      </c>
      <c r="O334" s="25"/>
      <c r="P334" s="14" t="n">
        <v>0.2029</v>
      </c>
      <c r="Q334" s="14" t="n">
        <f aca="false">IF(AND($J334="Yes",$G334&lt;&gt;"Vendor day rates"),$I334-0.4*$P334,0)</f>
        <v>0</v>
      </c>
      <c r="R334" s="26" t="n">
        <f aca="false">IFERROR(MATCH($K334,MonthList,0),0)</f>
        <v>0</v>
      </c>
      <c r="S334" s="14" t="n">
        <f aca="false">IF(OR($J334&lt;&gt;"Yes",$K334=""),0,$Q334*MAX(0,7-$R334)/12)</f>
        <v>0</v>
      </c>
      <c r="T334" s="14" t="n">
        <f aca="false">IF(OR($J334&lt;&gt;"Yes",$K334=""),0,$Q334*IF($R334&lt;=7,12,19-$R334)/12)</f>
        <v>0</v>
      </c>
      <c r="U334" s="14" t="n">
        <f aca="false">IF(AND($L334="Yes",$G334&lt;&gt;"Vendor day rates"),$I334-0.4*$P334,0)</f>
        <v>0</v>
      </c>
      <c r="V334" s="26" t="n">
        <f aca="false">IFERROR(MATCH($M334,MonthList,0),0)</f>
        <v>0</v>
      </c>
      <c r="W334" s="14" t="n">
        <f aca="false">IF(OR($L334&lt;&gt;"Yes",$M334=""),0,$U334*MAX(0,7-$V334)/12)</f>
        <v>0</v>
      </c>
      <c r="X334" s="14" t="n">
        <f aca="false">IF(OR($L334&lt;&gt;"Yes",$M334=""),0,$U334*IF($V334&lt;=7,12,19-$V334)/12)</f>
        <v>0</v>
      </c>
      <c r="Y334" s="14" t="n">
        <f aca="false">IF(AND($N334="Yes",$G334&lt;&gt;"Vendor day rates"),$I334-0.4*$P334,0)</f>
        <v>0</v>
      </c>
      <c r="Z334" s="26" t="n">
        <f aca="false">IFERROR(MATCH($O334,MonthList,0),0)</f>
        <v>0</v>
      </c>
      <c r="AA334" s="14" t="n">
        <f aca="false">IF(OR($N334&lt;&gt;"Yes",$O334=""),0,$Y334*MAX(0,7-$Z334)/12)</f>
        <v>0</v>
      </c>
      <c r="AB334" s="14" t="n">
        <f aca="false">IF(OR($N334&lt;&gt;"Yes",$O334=""),0,$Y334*IF($Z334&lt;=7,12,19-$Z334)/12)</f>
        <v>0</v>
      </c>
      <c r="AC334" s="26" t="str">
        <f aca="false">IF(OR($J334="Yes",$L334="Yes",$N334="Yes"),"Yes","No")</f>
        <v>No</v>
      </c>
      <c r="AD334" s="14" t="n">
        <f aca="false">MAX($Q334,$U334,$Y334)</f>
        <v>0</v>
      </c>
      <c r="AE334" s="26" t="n">
        <f aca="false">$AD334+ROW()*0.000000001</f>
        <v>3.34E-007</v>
      </c>
      <c r="AF334" s="26" t="str">
        <f aca="false">IF($J334="Yes","A","")&amp;IF($L334="Yes","B","")&amp;IF($N334="Yes","C","")</f>
        <v/>
      </c>
    </row>
    <row r="335" customFormat="false" ht="15" hidden="false" customHeight="false" outlineLevel="0" collapsed="false">
      <c r="B335" s="22" t="s">
        <v>689</v>
      </c>
      <c r="C335" s="23" t="s">
        <v>690</v>
      </c>
      <c r="D335" s="23" t="s">
        <v>158</v>
      </c>
      <c r="E335" s="23" t="s">
        <v>447</v>
      </c>
      <c r="F335" s="22" t="s">
        <v>57</v>
      </c>
      <c r="G335" s="23" t="s">
        <v>58</v>
      </c>
      <c r="H335" s="24" t="n">
        <v>1</v>
      </c>
      <c r="I335" s="14" t="n">
        <v>0.1869</v>
      </c>
      <c r="J335" s="25" t="s">
        <v>59</v>
      </c>
      <c r="K335" s="25"/>
      <c r="L335" s="25" t="s">
        <v>59</v>
      </c>
      <c r="M335" s="25"/>
      <c r="N335" s="25" t="s">
        <v>59</v>
      </c>
      <c r="O335" s="25"/>
      <c r="P335" s="14" t="n">
        <v>0.1869</v>
      </c>
      <c r="Q335" s="14" t="n">
        <f aca="false">IF(AND($J335="Yes",$G335&lt;&gt;"Vendor day rates"),$I335-0.4*$P335,0)</f>
        <v>0</v>
      </c>
      <c r="R335" s="26" t="n">
        <f aca="false">IFERROR(MATCH($K335,MonthList,0),0)</f>
        <v>0</v>
      </c>
      <c r="S335" s="14" t="n">
        <f aca="false">IF(OR($J335&lt;&gt;"Yes",$K335=""),0,$Q335*MAX(0,7-$R335)/12)</f>
        <v>0</v>
      </c>
      <c r="T335" s="14" t="n">
        <f aca="false">IF(OR($J335&lt;&gt;"Yes",$K335=""),0,$Q335*IF($R335&lt;=7,12,19-$R335)/12)</f>
        <v>0</v>
      </c>
      <c r="U335" s="14" t="n">
        <f aca="false">IF(AND($L335="Yes",$G335&lt;&gt;"Vendor day rates"),$I335-0.4*$P335,0)</f>
        <v>0</v>
      </c>
      <c r="V335" s="26" t="n">
        <f aca="false">IFERROR(MATCH($M335,MonthList,0),0)</f>
        <v>0</v>
      </c>
      <c r="W335" s="14" t="n">
        <f aca="false">IF(OR($L335&lt;&gt;"Yes",$M335=""),0,$U335*MAX(0,7-$V335)/12)</f>
        <v>0</v>
      </c>
      <c r="X335" s="14" t="n">
        <f aca="false">IF(OR($L335&lt;&gt;"Yes",$M335=""),0,$U335*IF($V335&lt;=7,12,19-$V335)/12)</f>
        <v>0</v>
      </c>
      <c r="Y335" s="14" t="n">
        <f aca="false">IF(AND($N335="Yes",$G335&lt;&gt;"Vendor day rates"),$I335-0.4*$P335,0)</f>
        <v>0</v>
      </c>
      <c r="Z335" s="26" t="n">
        <f aca="false">IFERROR(MATCH($O335,MonthList,0),0)</f>
        <v>0</v>
      </c>
      <c r="AA335" s="14" t="n">
        <f aca="false">IF(OR($N335&lt;&gt;"Yes",$O335=""),0,$Y335*MAX(0,7-$Z335)/12)</f>
        <v>0</v>
      </c>
      <c r="AB335" s="14" t="n">
        <f aca="false">IF(OR($N335&lt;&gt;"Yes",$O335=""),0,$Y335*IF($Z335&lt;=7,12,19-$Z335)/12)</f>
        <v>0</v>
      </c>
      <c r="AC335" s="26" t="str">
        <f aca="false">IF(OR($J335="Yes",$L335="Yes",$N335="Yes"),"Yes","No")</f>
        <v>No</v>
      </c>
      <c r="AD335" s="14" t="n">
        <f aca="false">MAX($Q335,$U335,$Y335)</f>
        <v>0</v>
      </c>
      <c r="AE335" s="26" t="n">
        <f aca="false">$AD335+ROW()*0.000000001</f>
        <v>3.35E-007</v>
      </c>
      <c r="AF335" s="26" t="str">
        <f aca="false">IF($J335="Yes","A","")&amp;IF($L335="Yes","B","")&amp;IF($N335="Yes","C","")</f>
        <v/>
      </c>
    </row>
    <row r="336" customFormat="false" ht="15" hidden="false" customHeight="false" outlineLevel="0" collapsed="false">
      <c r="B336" s="22" t="s">
        <v>691</v>
      </c>
      <c r="C336" s="23" t="s">
        <v>692</v>
      </c>
      <c r="D336" s="23" t="s">
        <v>158</v>
      </c>
      <c r="E336" s="23" t="s">
        <v>454</v>
      </c>
      <c r="F336" s="22" t="s">
        <v>57</v>
      </c>
      <c r="G336" s="23" t="s">
        <v>58</v>
      </c>
      <c r="H336" s="24" t="n">
        <v>1</v>
      </c>
      <c r="I336" s="14" t="n">
        <v>0.2124</v>
      </c>
      <c r="J336" s="25" t="s">
        <v>59</v>
      </c>
      <c r="K336" s="25"/>
      <c r="L336" s="25" t="s">
        <v>59</v>
      </c>
      <c r="M336" s="25"/>
      <c r="N336" s="25" t="s">
        <v>59</v>
      </c>
      <c r="O336" s="25"/>
      <c r="P336" s="14" t="n">
        <v>0.2124</v>
      </c>
      <c r="Q336" s="14" t="n">
        <f aca="false">IF(AND($J336="Yes",$G336&lt;&gt;"Vendor day rates"),$I336-0.4*$P336,0)</f>
        <v>0</v>
      </c>
      <c r="R336" s="26" t="n">
        <f aca="false">IFERROR(MATCH($K336,MonthList,0),0)</f>
        <v>0</v>
      </c>
      <c r="S336" s="14" t="n">
        <f aca="false">IF(OR($J336&lt;&gt;"Yes",$K336=""),0,$Q336*MAX(0,7-$R336)/12)</f>
        <v>0</v>
      </c>
      <c r="T336" s="14" t="n">
        <f aca="false">IF(OR($J336&lt;&gt;"Yes",$K336=""),0,$Q336*IF($R336&lt;=7,12,19-$R336)/12)</f>
        <v>0</v>
      </c>
      <c r="U336" s="14" t="n">
        <f aca="false">IF(AND($L336="Yes",$G336&lt;&gt;"Vendor day rates"),$I336-0.4*$P336,0)</f>
        <v>0</v>
      </c>
      <c r="V336" s="26" t="n">
        <f aca="false">IFERROR(MATCH($M336,MonthList,0),0)</f>
        <v>0</v>
      </c>
      <c r="W336" s="14" t="n">
        <f aca="false">IF(OR($L336&lt;&gt;"Yes",$M336=""),0,$U336*MAX(0,7-$V336)/12)</f>
        <v>0</v>
      </c>
      <c r="X336" s="14" t="n">
        <f aca="false">IF(OR($L336&lt;&gt;"Yes",$M336=""),0,$U336*IF($V336&lt;=7,12,19-$V336)/12)</f>
        <v>0</v>
      </c>
      <c r="Y336" s="14" t="n">
        <f aca="false">IF(AND($N336="Yes",$G336&lt;&gt;"Vendor day rates"),$I336-0.4*$P336,0)</f>
        <v>0</v>
      </c>
      <c r="Z336" s="26" t="n">
        <f aca="false">IFERROR(MATCH($O336,MonthList,0),0)</f>
        <v>0</v>
      </c>
      <c r="AA336" s="14" t="n">
        <f aca="false">IF(OR($N336&lt;&gt;"Yes",$O336=""),0,$Y336*MAX(0,7-$Z336)/12)</f>
        <v>0</v>
      </c>
      <c r="AB336" s="14" t="n">
        <f aca="false">IF(OR($N336&lt;&gt;"Yes",$O336=""),0,$Y336*IF($Z336&lt;=7,12,19-$Z336)/12)</f>
        <v>0</v>
      </c>
      <c r="AC336" s="26" t="str">
        <f aca="false">IF(OR($J336="Yes",$L336="Yes",$N336="Yes"),"Yes","No")</f>
        <v>No</v>
      </c>
      <c r="AD336" s="14" t="n">
        <f aca="false">MAX($Q336,$U336,$Y336)</f>
        <v>0</v>
      </c>
      <c r="AE336" s="26" t="n">
        <f aca="false">$AD336+ROW()*0.000000001</f>
        <v>3.36E-007</v>
      </c>
      <c r="AF336" s="26" t="str">
        <f aca="false">IF($J336="Yes","A","")&amp;IF($L336="Yes","B","")&amp;IF($N336="Yes","C","")</f>
        <v/>
      </c>
    </row>
    <row r="337" customFormat="false" ht="15" hidden="false" customHeight="false" outlineLevel="0" collapsed="false">
      <c r="B337" s="22" t="s">
        <v>693</v>
      </c>
      <c r="C337" s="23" t="s">
        <v>694</v>
      </c>
      <c r="D337" s="23" t="s">
        <v>158</v>
      </c>
      <c r="E337" s="23" t="s">
        <v>454</v>
      </c>
      <c r="F337" s="22" t="s">
        <v>57</v>
      </c>
      <c r="G337" s="23" t="s">
        <v>304</v>
      </c>
      <c r="H337" s="24" t="n">
        <v>1</v>
      </c>
      <c r="I337" s="14" t="n">
        <v>0</v>
      </c>
      <c r="J337" s="25" t="s">
        <v>59</v>
      </c>
      <c r="K337" s="25"/>
      <c r="L337" s="25" t="s">
        <v>59</v>
      </c>
      <c r="M337" s="25"/>
      <c r="N337" s="25" t="s">
        <v>59</v>
      </c>
      <c r="O337" s="25"/>
      <c r="P337" s="14" t="n">
        <v>0.2029</v>
      </c>
      <c r="Q337" s="14" t="n">
        <f aca="false">IF(AND($J337="Yes",$G337&lt;&gt;"Vendor day rates"),$I337-0.4*$P337,0)</f>
        <v>0</v>
      </c>
      <c r="R337" s="26" t="n">
        <f aca="false">IFERROR(MATCH($K337,MonthList,0),0)</f>
        <v>0</v>
      </c>
      <c r="S337" s="14" t="n">
        <f aca="false">IF(OR($J337&lt;&gt;"Yes",$K337=""),0,$Q337*MAX(0,7-$R337)/12)</f>
        <v>0</v>
      </c>
      <c r="T337" s="14" t="n">
        <f aca="false">IF(OR($J337&lt;&gt;"Yes",$K337=""),0,$Q337*IF($R337&lt;=7,12,19-$R337)/12)</f>
        <v>0</v>
      </c>
      <c r="U337" s="14" t="n">
        <f aca="false">IF(AND($L337="Yes",$G337&lt;&gt;"Vendor day rates"),$I337-0.4*$P337,0)</f>
        <v>0</v>
      </c>
      <c r="V337" s="26" t="n">
        <f aca="false">IFERROR(MATCH($M337,MonthList,0),0)</f>
        <v>0</v>
      </c>
      <c r="W337" s="14" t="n">
        <f aca="false">IF(OR($L337&lt;&gt;"Yes",$M337=""),0,$U337*MAX(0,7-$V337)/12)</f>
        <v>0</v>
      </c>
      <c r="X337" s="14" t="n">
        <f aca="false">IF(OR($L337&lt;&gt;"Yes",$M337=""),0,$U337*IF($V337&lt;=7,12,19-$V337)/12)</f>
        <v>0</v>
      </c>
      <c r="Y337" s="14" t="n">
        <f aca="false">IF(AND($N337="Yes",$G337&lt;&gt;"Vendor day rates"),$I337-0.4*$P337,0)</f>
        <v>0</v>
      </c>
      <c r="Z337" s="26" t="n">
        <f aca="false">IFERROR(MATCH($O337,MonthList,0),0)</f>
        <v>0</v>
      </c>
      <c r="AA337" s="14" t="n">
        <f aca="false">IF(OR($N337&lt;&gt;"Yes",$O337=""),0,$Y337*MAX(0,7-$Z337)/12)</f>
        <v>0</v>
      </c>
      <c r="AB337" s="14" t="n">
        <f aca="false">IF(OR($N337&lt;&gt;"Yes",$O337=""),0,$Y337*IF($Z337&lt;=7,12,19-$Z337)/12)</f>
        <v>0</v>
      </c>
      <c r="AC337" s="26" t="str">
        <f aca="false">IF(OR($J337="Yes",$L337="Yes",$N337="Yes"),"Yes","No")</f>
        <v>No</v>
      </c>
      <c r="AD337" s="14" t="n">
        <f aca="false">MAX($Q337,$U337,$Y337)</f>
        <v>0</v>
      </c>
      <c r="AE337" s="26" t="n">
        <f aca="false">$AD337+ROW()*0.000000001</f>
        <v>3.37E-007</v>
      </c>
      <c r="AF337" s="26" t="str">
        <f aca="false">IF($J337="Yes","A","")&amp;IF($L337="Yes","B","")&amp;IF($N337="Yes","C","")</f>
        <v/>
      </c>
    </row>
    <row r="338" customFormat="false" ht="15" hidden="false" customHeight="false" outlineLevel="0" collapsed="false">
      <c r="B338" s="22" t="s">
        <v>695</v>
      </c>
      <c r="C338" s="23" t="s">
        <v>90</v>
      </c>
      <c r="D338" s="23" t="s">
        <v>172</v>
      </c>
      <c r="E338" s="23" t="s">
        <v>414</v>
      </c>
      <c r="F338" s="22" t="s">
        <v>57</v>
      </c>
      <c r="G338" s="23" t="s">
        <v>58</v>
      </c>
      <c r="H338" s="24" t="n">
        <v>1</v>
      </c>
      <c r="I338" s="14" t="n">
        <v>0.2224</v>
      </c>
      <c r="J338" s="25" t="s">
        <v>59</v>
      </c>
      <c r="K338" s="25"/>
      <c r="L338" s="25" t="s">
        <v>59</v>
      </c>
      <c r="M338" s="25"/>
      <c r="N338" s="25" t="s">
        <v>59</v>
      </c>
      <c r="O338" s="25"/>
      <c r="P338" s="14" t="n">
        <v>0.2224</v>
      </c>
      <c r="Q338" s="14" t="n">
        <f aca="false">IF(AND($J338="Yes",$G338&lt;&gt;"Vendor day rates"),$I338-0.4*$P338,0)</f>
        <v>0</v>
      </c>
      <c r="R338" s="26" t="n">
        <f aca="false">IFERROR(MATCH($K338,MonthList,0),0)</f>
        <v>0</v>
      </c>
      <c r="S338" s="14" t="n">
        <f aca="false">IF(OR($J338&lt;&gt;"Yes",$K338=""),0,$Q338*MAX(0,7-$R338)/12)</f>
        <v>0</v>
      </c>
      <c r="T338" s="14" t="n">
        <f aca="false">IF(OR($J338&lt;&gt;"Yes",$K338=""),0,$Q338*IF($R338&lt;=7,12,19-$R338)/12)</f>
        <v>0</v>
      </c>
      <c r="U338" s="14" t="n">
        <f aca="false">IF(AND($L338="Yes",$G338&lt;&gt;"Vendor day rates"),$I338-0.4*$P338,0)</f>
        <v>0</v>
      </c>
      <c r="V338" s="26" t="n">
        <f aca="false">IFERROR(MATCH($M338,MonthList,0),0)</f>
        <v>0</v>
      </c>
      <c r="W338" s="14" t="n">
        <f aca="false">IF(OR($L338&lt;&gt;"Yes",$M338=""),0,$U338*MAX(0,7-$V338)/12)</f>
        <v>0</v>
      </c>
      <c r="X338" s="14" t="n">
        <f aca="false">IF(OR($L338&lt;&gt;"Yes",$M338=""),0,$U338*IF($V338&lt;=7,12,19-$V338)/12)</f>
        <v>0</v>
      </c>
      <c r="Y338" s="14" t="n">
        <f aca="false">IF(AND($N338="Yes",$G338&lt;&gt;"Vendor day rates"),$I338-0.4*$P338,0)</f>
        <v>0</v>
      </c>
      <c r="Z338" s="26" t="n">
        <f aca="false">IFERROR(MATCH($O338,MonthList,0),0)</f>
        <v>0</v>
      </c>
      <c r="AA338" s="14" t="n">
        <f aca="false">IF(OR($N338&lt;&gt;"Yes",$O338=""),0,$Y338*MAX(0,7-$Z338)/12)</f>
        <v>0</v>
      </c>
      <c r="AB338" s="14" t="n">
        <f aca="false">IF(OR($N338&lt;&gt;"Yes",$O338=""),0,$Y338*IF($Z338&lt;=7,12,19-$Z338)/12)</f>
        <v>0</v>
      </c>
      <c r="AC338" s="26" t="str">
        <f aca="false">IF(OR($J338="Yes",$L338="Yes",$N338="Yes"),"Yes","No")</f>
        <v>No</v>
      </c>
      <c r="AD338" s="14" t="n">
        <f aca="false">MAX($Q338,$U338,$Y338)</f>
        <v>0</v>
      </c>
      <c r="AE338" s="26" t="n">
        <f aca="false">$AD338+ROW()*0.000000001</f>
        <v>3.38E-007</v>
      </c>
      <c r="AF338" s="26" t="str">
        <f aca="false">IF($J338="Yes","A","")&amp;IF($L338="Yes","B","")&amp;IF($N338="Yes","C","")</f>
        <v/>
      </c>
    </row>
    <row r="339" customFormat="false" ht="15" hidden="false" customHeight="false" outlineLevel="0" collapsed="false">
      <c r="B339" s="22" t="s">
        <v>696</v>
      </c>
      <c r="C339" s="23" t="s">
        <v>697</v>
      </c>
      <c r="D339" s="23" t="s">
        <v>172</v>
      </c>
      <c r="E339" s="23" t="s">
        <v>414</v>
      </c>
      <c r="F339" s="22" t="s">
        <v>57</v>
      </c>
      <c r="G339" s="23" t="s">
        <v>304</v>
      </c>
      <c r="H339" s="24" t="n">
        <v>1</v>
      </c>
      <c r="I339" s="14" t="n">
        <v>0</v>
      </c>
      <c r="J339" s="25" t="s">
        <v>59</v>
      </c>
      <c r="K339" s="25"/>
      <c r="L339" s="25" t="s">
        <v>59</v>
      </c>
      <c r="M339" s="25"/>
      <c r="N339" s="25" t="s">
        <v>59</v>
      </c>
      <c r="O339" s="25"/>
      <c r="P339" s="14" t="n">
        <v>0.2029</v>
      </c>
      <c r="Q339" s="14" t="n">
        <f aca="false">IF(AND($J339="Yes",$G339&lt;&gt;"Vendor day rates"),$I339-0.4*$P339,0)</f>
        <v>0</v>
      </c>
      <c r="R339" s="26" t="n">
        <f aca="false">IFERROR(MATCH($K339,MonthList,0),0)</f>
        <v>0</v>
      </c>
      <c r="S339" s="14" t="n">
        <f aca="false">IF(OR($J339&lt;&gt;"Yes",$K339=""),0,$Q339*MAX(0,7-$R339)/12)</f>
        <v>0</v>
      </c>
      <c r="T339" s="14" t="n">
        <f aca="false">IF(OR($J339&lt;&gt;"Yes",$K339=""),0,$Q339*IF($R339&lt;=7,12,19-$R339)/12)</f>
        <v>0</v>
      </c>
      <c r="U339" s="14" t="n">
        <f aca="false">IF(AND($L339="Yes",$G339&lt;&gt;"Vendor day rates"),$I339-0.4*$P339,0)</f>
        <v>0</v>
      </c>
      <c r="V339" s="26" t="n">
        <f aca="false">IFERROR(MATCH($M339,MonthList,0),0)</f>
        <v>0</v>
      </c>
      <c r="W339" s="14" t="n">
        <f aca="false">IF(OR($L339&lt;&gt;"Yes",$M339=""),0,$U339*MAX(0,7-$V339)/12)</f>
        <v>0</v>
      </c>
      <c r="X339" s="14" t="n">
        <f aca="false">IF(OR($L339&lt;&gt;"Yes",$M339=""),0,$U339*IF($V339&lt;=7,12,19-$V339)/12)</f>
        <v>0</v>
      </c>
      <c r="Y339" s="14" t="n">
        <f aca="false">IF(AND($N339="Yes",$G339&lt;&gt;"Vendor day rates"),$I339-0.4*$P339,0)</f>
        <v>0</v>
      </c>
      <c r="Z339" s="26" t="n">
        <f aca="false">IFERROR(MATCH($O339,MonthList,0),0)</f>
        <v>0</v>
      </c>
      <c r="AA339" s="14" t="n">
        <f aca="false">IF(OR($N339&lt;&gt;"Yes",$O339=""),0,$Y339*MAX(0,7-$Z339)/12)</f>
        <v>0</v>
      </c>
      <c r="AB339" s="14" t="n">
        <f aca="false">IF(OR($N339&lt;&gt;"Yes",$O339=""),0,$Y339*IF($Z339&lt;=7,12,19-$Z339)/12)</f>
        <v>0</v>
      </c>
      <c r="AC339" s="26" t="str">
        <f aca="false">IF(OR($J339="Yes",$L339="Yes",$N339="Yes"),"Yes","No")</f>
        <v>No</v>
      </c>
      <c r="AD339" s="14" t="n">
        <f aca="false">MAX($Q339,$U339,$Y339)</f>
        <v>0</v>
      </c>
      <c r="AE339" s="26" t="n">
        <f aca="false">$AD339+ROW()*0.000000001</f>
        <v>3.39E-007</v>
      </c>
      <c r="AF339" s="26" t="str">
        <f aca="false">IF($J339="Yes","A","")&amp;IF($L339="Yes","B","")&amp;IF($N339="Yes","C","")</f>
        <v/>
      </c>
    </row>
    <row r="340" customFormat="false" ht="15" hidden="false" customHeight="false" outlineLevel="0" collapsed="false">
      <c r="B340" s="22" t="s">
        <v>698</v>
      </c>
      <c r="C340" s="23" t="s">
        <v>90</v>
      </c>
      <c r="D340" s="23" t="s">
        <v>172</v>
      </c>
      <c r="E340" s="23" t="s">
        <v>414</v>
      </c>
      <c r="F340" s="22" t="s">
        <v>57</v>
      </c>
      <c r="G340" s="23" t="s">
        <v>58</v>
      </c>
      <c r="H340" s="24" t="n">
        <v>1</v>
      </c>
      <c r="I340" s="14" t="n">
        <v>0.1796</v>
      </c>
      <c r="J340" s="25" t="s">
        <v>59</v>
      </c>
      <c r="K340" s="25"/>
      <c r="L340" s="25" t="s">
        <v>59</v>
      </c>
      <c r="M340" s="25"/>
      <c r="N340" s="25" t="s">
        <v>59</v>
      </c>
      <c r="O340" s="25"/>
      <c r="P340" s="14" t="n">
        <v>0.1796</v>
      </c>
      <c r="Q340" s="14" t="n">
        <f aca="false">IF(AND($J340="Yes",$G340&lt;&gt;"Vendor day rates"),$I340-0.4*$P340,0)</f>
        <v>0</v>
      </c>
      <c r="R340" s="26" t="n">
        <f aca="false">IFERROR(MATCH($K340,MonthList,0),0)</f>
        <v>0</v>
      </c>
      <c r="S340" s="14" t="n">
        <f aca="false">IF(OR($J340&lt;&gt;"Yes",$K340=""),0,$Q340*MAX(0,7-$R340)/12)</f>
        <v>0</v>
      </c>
      <c r="T340" s="14" t="n">
        <f aca="false">IF(OR($J340&lt;&gt;"Yes",$K340=""),0,$Q340*IF($R340&lt;=7,12,19-$R340)/12)</f>
        <v>0</v>
      </c>
      <c r="U340" s="14" t="n">
        <f aca="false">IF(AND($L340="Yes",$G340&lt;&gt;"Vendor day rates"),$I340-0.4*$P340,0)</f>
        <v>0</v>
      </c>
      <c r="V340" s="26" t="n">
        <f aca="false">IFERROR(MATCH($M340,MonthList,0),0)</f>
        <v>0</v>
      </c>
      <c r="W340" s="14" t="n">
        <f aca="false">IF(OR($L340&lt;&gt;"Yes",$M340=""),0,$U340*MAX(0,7-$V340)/12)</f>
        <v>0</v>
      </c>
      <c r="X340" s="14" t="n">
        <f aca="false">IF(OR($L340&lt;&gt;"Yes",$M340=""),0,$U340*IF($V340&lt;=7,12,19-$V340)/12)</f>
        <v>0</v>
      </c>
      <c r="Y340" s="14" t="n">
        <f aca="false">IF(AND($N340="Yes",$G340&lt;&gt;"Vendor day rates"),$I340-0.4*$P340,0)</f>
        <v>0</v>
      </c>
      <c r="Z340" s="26" t="n">
        <f aca="false">IFERROR(MATCH($O340,MonthList,0),0)</f>
        <v>0</v>
      </c>
      <c r="AA340" s="14" t="n">
        <f aca="false">IF(OR($N340&lt;&gt;"Yes",$O340=""),0,$Y340*MAX(0,7-$Z340)/12)</f>
        <v>0</v>
      </c>
      <c r="AB340" s="14" t="n">
        <f aca="false">IF(OR($N340&lt;&gt;"Yes",$O340=""),0,$Y340*IF($Z340&lt;=7,12,19-$Z340)/12)</f>
        <v>0</v>
      </c>
      <c r="AC340" s="26" t="str">
        <f aca="false">IF(OR($J340="Yes",$L340="Yes",$N340="Yes"),"Yes","No")</f>
        <v>No</v>
      </c>
      <c r="AD340" s="14" t="n">
        <f aca="false">MAX($Q340,$U340,$Y340)</f>
        <v>0</v>
      </c>
      <c r="AE340" s="26" t="n">
        <f aca="false">$AD340+ROW()*0.000000001</f>
        <v>3.4E-007</v>
      </c>
      <c r="AF340" s="26" t="str">
        <f aca="false">IF($J340="Yes","A","")&amp;IF($L340="Yes","B","")&amp;IF($N340="Yes","C","")</f>
        <v/>
      </c>
    </row>
    <row r="341" customFormat="false" ht="15" hidden="false" customHeight="false" outlineLevel="0" collapsed="false">
      <c r="B341" s="22" t="s">
        <v>699</v>
      </c>
      <c r="C341" s="23" t="s">
        <v>61</v>
      </c>
      <c r="D341" s="23" t="s">
        <v>91</v>
      </c>
      <c r="E341" s="23" t="s">
        <v>239</v>
      </c>
      <c r="F341" s="22" t="s">
        <v>57</v>
      </c>
      <c r="G341" s="23" t="s">
        <v>58</v>
      </c>
      <c r="H341" s="24" t="n">
        <v>1</v>
      </c>
      <c r="I341" s="14" t="n">
        <v>0.2218</v>
      </c>
      <c r="J341" s="25" t="s">
        <v>59</v>
      </c>
      <c r="K341" s="25"/>
      <c r="L341" s="25" t="s">
        <v>59</v>
      </c>
      <c r="M341" s="25"/>
      <c r="N341" s="25" t="s">
        <v>59</v>
      </c>
      <c r="O341" s="25"/>
      <c r="P341" s="14" t="n">
        <v>0.2218</v>
      </c>
      <c r="Q341" s="14" t="n">
        <f aca="false">IF(AND($J341="Yes",$G341&lt;&gt;"Vendor day rates"),$I341-0.4*$P341,0)</f>
        <v>0</v>
      </c>
      <c r="R341" s="26" t="n">
        <f aca="false">IFERROR(MATCH($K341,MonthList,0),0)</f>
        <v>0</v>
      </c>
      <c r="S341" s="14" t="n">
        <f aca="false">IF(OR($J341&lt;&gt;"Yes",$K341=""),0,$Q341*MAX(0,7-$R341)/12)</f>
        <v>0</v>
      </c>
      <c r="T341" s="14" t="n">
        <f aca="false">IF(OR($J341&lt;&gt;"Yes",$K341=""),0,$Q341*IF($R341&lt;=7,12,19-$R341)/12)</f>
        <v>0</v>
      </c>
      <c r="U341" s="14" t="n">
        <f aca="false">IF(AND($L341="Yes",$G341&lt;&gt;"Vendor day rates"),$I341-0.4*$P341,0)</f>
        <v>0</v>
      </c>
      <c r="V341" s="26" t="n">
        <f aca="false">IFERROR(MATCH($M341,MonthList,0),0)</f>
        <v>0</v>
      </c>
      <c r="W341" s="14" t="n">
        <f aca="false">IF(OR($L341&lt;&gt;"Yes",$M341=""),0,$U341*MAX(0,7-$V341)/12)</f>
        <v>0</v>
      </c>
      <c r="X341" s="14" t="n">
        <f aca="false">IF(OR($L341&lt;&gt;"Yes",$M341=""),0,$U341*IF($V341&lt;=7,12,19-$V341)/12)</f>
        <v>0</v>
      </c>
      <c r="Y341" s="14" t="n">
        <f aca="false">IF(AND($N341="Yes",$G341&lt;&gt;"Vendor day rates"),$I341-0.4*$P341,0)</f>
        <v>0</v>
      </c>
      <c r="Z341" s="26" t="n">
        <f aca="false">IFERROR(MATCH($O341,MonthList,0),0)</f>
        <v>0</v>
      </c>
      <c r="AA341" s="14" t="n">
        <f aca="false">IF(OR($N341&lt;&gt;"Yes",$O341=""),0,$Y341*MAX(0,7-$Z341)/12)</f>
        <v>0</v>
      </c>
      <c r="AB341" s="14" t="n">
        <f aca="false">IF(OR($N341&lt;&gt;"Yes",$O341=""),0,$Y341*IF($Z341&lt;=7,12,19-$Z341)/12)</f>
        <v>0</v>
      </c>
      <c r="AC341" s="26" t="str">
        <f aca="false">IF(OR($J341="Yes",$L341="Yes",$N341="Yes"),"Yes","No")</f>
        <v>No</v>
      </c>
      <c r="AD341" s="14" t="n">
        <f aca="false">MAX($Q341,$U341,$Y341)</f>
        <v>0</v>
      </c>
      <c r="AE341" s="26" t="n">
        <f aca="false">$AD341+ROW()*0.000000001</f>
        <v>3.41E-007</v>
      </c>
      <c r="AF341" s="26" t="str">
        <f aca="false">IF($J341="Yes","A","")&amp;IF($L341="Yes","B","")&amp;IF($N341="Yes","C","")</f>
        <v/>
      </c>
    </row>
    <row r="342" customFormat="false" ht="15" hidden="false" customHeight="false" outlineLevel="0" collapsed="false">
      <c r="B342" s="22" t="s">
        <v>700</v>
      </c>
      <c r="C342" s="23" t="s">
        <v>61</v>
      </c>
      <c r="D342" s="23" t="s">
        <v>91</v>
      </c>
      <c r="E342" s="23" t="s">
        <v>432</v>
      </c>
      <c r="F342" s="22" t="s">
        <v>57</v>
      </c>
      <c r="G342" s="23" t="s">
        <v>58</v>
      </c>
      <c r="H342" s="24" t="n">
        <v>1</v>
      </c>
      <c r="I342" s="14" t="n">
        <v>0.2333</v>
      </c>
      <c r="J342" s="25" t="s">
        <v>59</v>
      </c>
      <c r="K342" s="25"/>
      <c r="L342" s="25" t="s">
        <v>59</v>
      </c>
      <c r="M342" s="25"/>
      <c r="N342" s="25" t="s">
        <v>59</v>
      </c>
      <c r="O342" s="25"/>
      <c r="P342" s="14" t="n">
        <v>0.2333</v>
      </c>
      <c r="Q342" s="14" t="n">
        <f aca="false">IF(AND($J342="Yes",$G342&lt;&gt;"Vendor day rates"),$I342-0.4*$P342,0)</f>
        <v>0</v>
      </c>
      <c r="R342" s="26" t="n">
        <f aca="false">IFERROR(MATCH($K342,MonthList,0),0)</f>
        <v>0</v>
      </c>
      <c r="S342" s="14" t="n">
        <f aca="false">IF(OR($J342&lt;&gt;"Yes",$K342=""),0,$Q342*MAX(0,7-$R342)/12)</f>
        <v>0</v>
      </c>
      <c r="T342" s="14" t="n">
        <f aca="false">IF(OR($J342&lt;&gt;"Yes",$K342=""),0,$Q342*IF($R342&lt;=7,12,19-$R342)/12)</f>
        <v>0</v>
      </c>
      <c r="U342" s="14" t="n">
        <f aca="false">IF(AND($L342="Yes",$G342&lt;&gt;"Vendor day rates"),$I342-0.4*$P342,0)</f>
        <v>0</v>
      </c>
      <c r="V342" s="26" t="n">
        <f aca="false">IFERROR(MATCH($M342,MonthList,0),0)</f>
        <v>0</v>
      </c>
      <c r="W342" s="14" t="n">
        <f aca="false">IF(OR($L342&lt;&gt;"Yes",$M342=""),0,$U342*MAX(0,7-$V342)/12)</f>
        <v>0</v>
      </c>
      <c r="X342" s="14" t="n">
        <f aca="false">IF(OR($L342&lt;&gt;"Yes",$M342=""),0,$U342*IF($V342&lt;=7,12,19-$V342)/12)</f>
        <v>0</v>
      </c>
      <c r="Y342" s="14" t="n">
        <f aca="false">IF(AND($N342="Yes",$G342&lt;&gt;"Vendor day rates"),$I342-0.4*$P342,0)</f>
        <v>0</v>
      </c>
      <c r="Z342" s="26" t="n">
        <f aca="false">IFERROR(MATCH($O342,MonthList,0),0)</f>
        <v>0</v>
      </c>
      <c r="AA342" s="14" t="n">
        <f aca="false">IF(OR($N342&lt;&gt;"Yes",$O342=""),0,$Y342*MAX(0,7-$Z342)/12)</f>
        <v>0</v>
      </c>
      <c r="AB342" s="14" t="n">
        <f aca="false">IF(OR($N342&lt;&gt;"Yes",$O342=""),0,$Y342*IF($Z342&lt;=7,12,19-$Z342)/12)</f>
        <v>0</v>
      </c>
      <c r="AC342" s="26" t="str">
        <f aca="false">IF(OR($J342="Yes",$L342="Yes",$N342="Yes"),"Yes","No")</f>
        <v>No</v>
      </c>
      <c r="AD342" s="14" t="n">
        <f aca="false">MAX($Q342,$U342,$Y342)</f>
        <v>0</v>
      </c>
      <c r="AE342" s="26" t="n">
        <f aca="false">$AD342+ROW()*0.000000001</f>
        <v>3.42E-007</v>
      </c>
      <c r="AF342" s="26" t="str">
        <f aca="false">IF($J342="Yes","A","")&amp;IF($L342="Yes","B","")&amp;IF($N342="Yes","C","")</f>
        <v/>
      </c>
    </row>
    <row r="343" customFormat="false" ht="15" hidden="false" customHeight="false" outlineLevel="0" collapsed="false">
      <c r="B343" s="22" t="s">
        <v>701</v>
      </c>
      <c r="C343" s="23" t="s">
        <v>141</v>
      </c>
      <c r="D343" s="23" t="s">
        <v>91</v>
      </c>
      <c r="E343" s="23" t="s">
        <v>432</v>
      </c>
      <c r="F343" s="22" t="s">
        <v>57</v>
      </c>
      <c r="G343" s="23" t="s">
        <v>304</v>
      </c>
      <c r="H343" s="24" t="n">
        <v>1</v>
      </c>
      <c r="I343" s="14" t="n">
        <v>0</v>
      </c>
      <c r="J343" s="25" t="s">
        <v>59</v>
      </c>
      <c r="K343" s="25"/>
      <c r="L343" s="25" t="s">
        <v>59</v>
      </c>
      <c r="M343" s="25"/>
      <c r="N343" s="25" t="s">
        <v>59</v>
      </c>
      <c r="O343" s="25"/>
      <c r="P343" s="14" t="n">
        <v>0.2029</v>
      </c>
      <c r="Q343" s="14" t="n">
        <f aca="false">IF(AND($J343="Yes",$G343&lt;&gt;"Vendor day rates"),$I343-0.4*$P343,0)</f>
        <v>0</v>
      </c>
      <c r="R343" s="26" t="n">
        <f aca="false">IFERROR(MATCH($K343,MonthList,0),0)</f>
        <v>0</v>
      </c>
      <c r="S343" s="14" t="n">
        <f aca="false">IF(OR($J343&lt;&gt;"Yes",$K343=""),0,$Q343*MAX(0,7-$R343)/12)</f>
        <v>0</v>
      </c>
      <c r="T343" s="14" t="n">
        <f aca="false">IF(OR($J343&lt;&gt;"Yes",$K343=""),0,$Q343*IF($R343&lt;=7,12,19-$R343)/12)</f>
        <v>0</v>
      </c>
      <c r="U343" s="14" t="n">
        <f aca="false">IF(AND($L343="Yes",$G343&lt;&gt;"Vendor day rates"),$I343-0.4*$P343,0)</f>
        <v>0</v>
      </c>
      <c r="V343" s="26" t="n">
        <f aca="false">IFERROR(MATCH($M343,MonthList,0),0)</f>
        <v>0</v>
      </c>
      <c r="W343" s="14" t="n">
        <f aca="false">IF(OR($L343&lt;&gt;"Yes",$M343=""),0,$U343*MAX(0,7-$V343)/12)</f>
        <v>0</v>
      </c>
      <c r="X343" s="14" t="n">
        <f aca="false">IF(OR($L343&lt;&gt;"Yes",$M343=""),0,$U343*IF($V343&lt;=7,12,19-$V343)/12)</f>
        <v>0</v>
      </c>
      <c r="Y343" s="14" t="n">
        <f aca="false">IF(AND($N343="Yes",$G343&lt;&gt;"Vendor day rates"),$I343-0.4*$P343,0)</f>
        <v>0</v>
      </c>
      <c r="Z343" s="26" t="n">
        <f aca="false">IFERROR(MATCH($O343,MonthList,0),0)</f>
        <v>0</v>
      </c>
      <c r="AA343" s="14" t="n">
        <f aca="false">IF(OR($N343&lt;&gt;"Yes",$O343=""),0,$Y343*MAX(0,7-$Z343)/12)</f>
        <v>0</v>
      </c>
      <c r="AB343" s="14" t="n">
        <f aca="false">IF(OR($N343&lt;&gt;"Yes",$O343=""),0,$Y343*IF($Z343&lt;=7,12,19-$Z343)/12)</f>
        <v>0</v>
      </c>
      <c r="AC343" s="26" t="str">
        <f aca="false">IF(OR($J343="Yes",$L343="Yes",$N343="Yes"),"Yes","No")</f>
        <v>No</v>
      </c>
      <c r="AD343" s="14" t="n">
        <f aca="false">MAX($Q343,$U343,$Y343)</f>
        <v>0</v>
      </c>
      <c r="AE343" s="26" t="n">
        <f aca="false">$AD343+ROW()*0.000000001</f>
        <v>3.43E-007</v>
      </c>
      <c r="AF343" s="26" t="str">
        <f aca="false">IF($J343="Yes","A","")&amp;IF($L343="Yes","B","")&amp;IF($N343="Yes","C","")</f>
        <v/>
      </c>
    </row>
    <row r="344" customFormat="false" ht="15" hidden="false" customHeight="false" outlineLevel="0" collapsed="false">
      <c r="B344" s="22" t="s">
        <v>702</v>
      </c>
      <c r="C344" s="23" t="s">
        <v>675</v>
      </c>
      <c r="D344" s="23" t="s">
        <v>172</v>
      </c>
      <c r="E344" s="23" t="s">
        <v>265</v>
      </c>
      <c r="F344" s="22" t="s">
        <v>57</v>
      </c>
      <c r="G344" s="23" t="s">
        <v>304</v>
      </c>
      <c r="H344" s="24" t="n">
        <v>1</v>
      </c>
      <c r="I344" s="14" t="n">
        <v>0</v>
      </c>
      <c r="J344" s="25" t="s">
        <v>59</v>
      </c>
      <c r="K344" s="25"/>
      <c r="L344" s="25" t="s">
        <v>59</v>
      </c>
      <c r="M344" s="25"/>
      <c r="N344" s="25" t="s">
        <v>59</v>
      </c>
      <c r="O344" s="25"/>
      <c r="P344" s="14" t="n">
        <v>0.2029</v>
      </c>
      <c r="Q344" s="14" t="n">
        <f aca="false">IF(AND($J344="Yes",$G344&lt;&gt;"Vendor day rates"),$I344-0.4*$P344,0)</f>
        <v>0</v>
      </c>
      <c r="R344" s="26" t="n">
        <f aca="false">IFERROR(MATCH($K344,MonthList,0),0)</f>
        <v>0</v>
      </c>
      <c r="S344" s="14" t="n">
        <f aca="false">IF(OR($J344&lt;&gt;"Yes",$K344=""),0,$Q344*MAX(0,7-$R344)/12)</f>
        <v>0</v>
      </c>
      <c r="T344" s="14" t="n">
        <f aca="false">IF(OR($J344&lt;&gt;"Yes",$K344=""),0,$Q344*IF($R344&lt;=7,12,19-$R344)/12)</f>
        <v>0</v>
      </c>
      <c r="U344" s="14" t="n">
        <f aca="false">IF(AND($L344="Yes",$G344&lt;&gt;"Vendor day rates"),$I344-0.4*$P344,0)</f>
        <v>0</v>
      </c>
      <c r="V344" s="26" t="n">
        <f aca="false">IFERROR(MATCH($M344,MonthList,0),0)</f>
        <v>0</v>
      </c>
      <c r="W344" s="14" t="n">
        <f aca="false">IF(OR($L344&lt;&gt;"Yes",$M344=""),0,$U344*MAX(0,7-$V344)/12)</f>
        <v>0</v>
      </c>
      <c r="X344" s="14" t="n">
        <f aca="false">IF(OR($L344&lt;&gt;"Yes",$M344=""),0,$U344*IF($V344&lt;=7,12,19-$V344)/12)</f>
        <v>0</v>
      </c>
      <c r="Y344" s="14" t="n">
        <f aca="false">IF(AND($N344="Yes",$G344&lt;&gt;"Vendor day rates"),$I344-0.4*$P344,0)</f>
        <v>0</v>
      </c>
      <c r="Z344" s="26" t="n">
        <f aca="false">IFERROR(MATCH($O344,MonthList,0),0)</f>
        <v>0</v>
      </c>
      <c r="AA344" s="14" t="n">
        <f aca="false">IF(OR($N344&lt;&gt;"Yes",$O344=""),0,$Y344*MAX(0,7-$Z344)/12)</f>
        <v>0</v>
      </c>
      <c r="AB344" s="14" t="n">
        <f aca="false">IF(OR($N344&lt;&gt;"Yes",$O344=""),0,$Y344*IF($Z344&lt;=7,12,19-$Z344)/12)</f>
        <v>0</v>
      </c>
      <c r="AC344" s="26" t="str">
        <f aca="false">IF(OR($J344="Yes",$L344="Yes",$N344="Yes"),"Yes","No")</f>
        <v>No</v>
      </c>
      <c r="AD344" s="14" t="n">
        <f aca="false">MAX($Q344,$U344,$Y344)</f>
        <v>0</v>
      </c>
      <c r="AE344" s="26" t="n">
        <f aca="false">$AD344+ROW()*0.000000001</f>
        <v>3.44E-007</v>
      </c>
      <c r="AF344" s="26" t="str">
        <f aca="false">IF($J344="Yes","A","")&amp;IF($L344="Yes","B","")&amp;IF($N344="Yes","C","")</f>
        <v/>
      </c>
    </row>
    <row r="345" customFormat="false" ht="15" hidden="false" customHeight="false" outlineLevel="0" collapsed="false">
      <c r="B345" s="22" t="s">
        <v>703</v>
      </c>
      <c r="C345" s="23" t="s">
        <v>704</v>
      </c>
      <c r="D345" s="23" t="s">
        <v>147</v>
      </c>
      <c r="E345" s="23" t="s">
        <v>199</v>
      </c>
      <c r="F345" s="22" t="s">
        <v>57</v>
      </c>
      <c r="G345" s="23" t="s">
        <v>476</v>
      </c>
      <c r="H345" s="24" t="n">
        <v>1</v>
      </c>
      <c r="I345" s="14" t="n">
        <v>0.0811</v>
      </c>
      <c r="J345" s="25" t="s">
        <v>59</v>
      </c>
      <c r="K345" s="25"/>
      <c r="L345" s="25" t="s">
        <v>59</v>
      </c>
      <c r="M345" s="25"/>
      <c r="N345" s="25" t="s">
        <v>59</v>
      </c>
      <c r="O345" s="25"/>
      <c r="P345" s="14" t="n">
        <v>0.2029</v>
      </c>
      <c r="Q345" s="14" t="n">
        <f aca="false">IF(AND($J345="Yes",$G345&lt;&gt;"Vendor day rates"),$I345-0.4*$P345,0)</f>
        <v>0</v>
      </c>
      <c r="R345" s="26" t="n">
        <f aca="false">IFERROR(MATCH($K345,MonthList,0),0)</f>
        <v>0</v>
      </c>
      <c r="S345" s="14" t="n">
        <f aca="false">IF(OR($J345&lt;&gt;"Yes",$K345=""),0,$Q345*MAX(0,7-$R345)/12)</f>
        <v>0</v>
      </c>
      <c r="T345" s="14" t="n">
        <f aca="false">IF(OR($J345&lt;&gt;"Yes",$K345=""),0,$Q345*IF($R345&lt;=7,12,19-$R345)/12)</f>
        <v>0</v>
      </c>
      <c r="U345" s="14" t="n">
        <f aca="false">IF(AND($L345="Yes",$G345&lt;&gt;"Vendor day rates"),$I345-0.4*$P345,0)</f>
        <v>0</v>
      </c>
      <c r="V345" s="26" t="n">
        <f aca="false">IFERROR(MATCH($M345,MonthList,0),0)</f>
        <v>0</v>
      </c>
      <c r="W345" s="14" t="n">
        <f aca="false">IF(OR($L345&lt;&gt;"Yes",$M345=""),0,$U345*MAX(0,7-$V345)/12)</f>
        <v>0</v>
      </c>
      <c r="X345" s="14" t="n">
        <f aca="false">IF(OR($L345&lt;&gt;"Yes",$M345=""),0,$U345*IF($V345&lt;=7,12,19-$V345)/12)</f>
        <v>0</v>
      </c>
      <c r="Y345" s="14" t="n">
        <f aca="false">IF(AND($N345="Yes",$G345&lt;&gt;"Vendor day rates"),$I345-0.4*$P345,0)</f>
        <v>0</v>
      </c>
      <c r="Z345" s="26" t="n">
        <f aca="false">IFERROR(MATCH($O345,MonthList,0),0)</f>
        <v>0</v>
      </c>
      <c r="AA345" s="14" t="n">
        <f aca="false">IF(OR($N345&lt;&gt;"Yes",$O345=""),0,$Y345*MAX(0,7-$Z345)/12)</f>
        <v>0</v>
      </c>
      <c r="AB345" s="14" t="n">
        <f aca="false">IF(OR($N345&lt;&gt;"Yes",$O345=""),0,$Y345*IF($Z345&lt;=7,12,19-$Z345)/12)</f>
        <v>0</v>
      </c>
      <c r="AC345" s="26" t="str">
        <f aca="false">IF(OR($J345="Yes",$L345="Yes",$N345="Yes"),"Yes","No")</f>
        <v>No</v>
      </c>
      <c r="AD345" s="14" t="n">
        <f aca="false">MAX($Q345,$U345,$Y345)</f>
        <v>0</v>
      </c>
      <c r="AE345" s="26" t="n">
        <f aca="false">$AD345+ROW()*0.000000001</f>
        <v>3.45E-007</v>
      </c>
      <c r="AF345" s="26" t="str">
        <f aca="false">IF($J345="Yes","A","")&amp;IF($L345="Yes","B","")&amp;IF($N345="Yes","C","")</f>
        <v/>
      </c>
    </row>
    <row r="346" customFormat="false" ht="15" hidden="false" customHeight="false" outlineLevel="0" collapsed="false">
      <c r="B346" s="22" t="s">
        <v>705</v>
      </c>
      <c r="C346" s="23" t="s">
        <v>706</v>
      </c>
      <c r="D346" s="23" t="s">
        <v>172</v>
      </c>
      <c r="E346" s="23" t="s">
        <v>419</v>
      </c>
      <c r="F346" s="22" t="s">
        <v>57</v>
      </c>
      <c r="G346" s="23" t="s">
        <v>58</v>
      </c>
      <c r="H346" s="24" t="n">
        <v>1</v>
      </c>
      <c r="I346" s="14" t="n">
        <v>0.2403</v>
      </c>
      <c r="J346" s="25" t="s">
        <v>59</v>
      </c>
      <c r="K346" s="25"/>
      <c r="L346" s="25" t="s">
        <v>59</v>
      </c>
      <c r="M346" s="25"/>
      <c r="N346" s="25" t="s">
        <v>59</v>
      </c>
      <c r="O346" s="25"/>
      <c r="P346" s="14" t="n">
        <v>0.2403</v>
      </c>
      <c r="Q346" s="14" t="n">
        <f aca="false">IF(AND($J346="Yes",$G346&lt;&gt;"Vendor day rates"),$I346-0.4*$P346,0)</f>
        <v>0</v>
      </c>
      <c r="R346" s="26" t="n">
        <f aca="false">IFERROR(MATCH($K346,MonthList,0),0)</f>
        <v>0</v>
      </c>
      <c r="S346" s="14" t="n">
        <f aca="false">IF(OR($J346&lt;&gt;"Yes",$K346=""),0,$Q346*MAX(0,7-$R346)/12)</f>
        <v>0</v>
      </c>
      <c r="T346" s="14" t="n">
        <f aca="false">IF(OR($J346&lt;&gt;"Yes",$K346=""),0,$Q346*IF($R346&lt;=7,12,19-$R346)/12)</f>
        <v>0</v>
      </c>
      <c r="U346" s="14" t="n">
        <f aca="false">IF(AND($L346="Yes",$G346&lt;&gt;"Vendor day rates"),$I346-0.4*$P346,0)</f>
        <v>0</v>
      </c>
      <c r="V346" s="26" t="n">
        <f aca="false">IFERROR(MATCH($M346,MonthList,0),0)</f>
        <v>0</v>
      </c>
      <c r="W346" s="14" t="n">
        <f aca="false">IF(OR($L346&lt;&gt;"Yes",$M346=""),0,$U346*MAX(0,7-$V346)/12)</f>
        <v>0</v>
      </c>
      <c r="X346" s="14" t="n">
        <f aca="false">IF(OR($L346&lt;&gt;"Yes",$M346=""),0,$U346*IF($V346&lt;=7,12,19-$V346)/12)</f>
        <v>0</v>
      </c>
      <c r="Y346" s="14" t="n">
        <f aca="false">IF(AND($N346="Yes",$G346&lt;&gt;"Vendor day rates"),$I346-0.4*$P346,0)</f>
        <v>0</v>
      </c>
      <c r="Z346" s="26" t="n">
        <f aca="false">IFERROR(MATCH($O346,MonthList,0),0)</f>
        <v>0</v>
      </c>
      <c r="AA346" s="14" t="n">
        <f aca="false">IF(OR($N346&lt;&gt;"Yes",$O346=""),0,$Y346*MAX(0,7-$Z346)/12)</f>
        <v>0</v>
      </c>
      <c r="AB346" s="14" t="n">
        <f aca="false">IF(OR($N346&lt;&gt;"Yes",$O346=""),0,$Y346*IF($Z346&lt;=7,12,19-$Z346)/12)</f>
        <v>0</v>
      </c>
      <c r="AC346" s="26" t="str">
        <f aca="false">IF(OR($J346="Yes",$L346="Yes",$N346="Yes"),"Yes","No")</f>
        <v>No</v>
      </c>
      <c r="AD346" s="14" t="n">
        <f aca="false">MAX($Q346,$U346,$Y346)</f>
        <v>0</v>
      </c>
      <c r="AE346" s="26" t="n">
        <f aca="false">$AD346+ROW()*0.000000001</f>
        <v>3.46E-007</v>
      </c>
      <c r="AF346" s="26" t="str">
        <f aca="false">IF($J346="Yes","A","")&amp;IF($L346="Yes","B","")&amp;IF($N346="Yes","C","")</f>
        <v/>
      </c>
    </row>
    <row r="347" customFormat="false" ht="15" hidden="false" customHeight="false" outlineLevel="0" collapsed="false">
      <c r="B347" s="22" t="s">
        <v>707</v>
      </c>
      <c r="C347" s="23" t="s">
        <v>708</v>
      </c>
      <c r="D347" s="23" t="s">
        <v>172</v>
      </c>
      <c r="E347" s="23" t="s">
        <v>419</v>
      </c>
      <c r="F347" s="22" t="s">
        <v>57</v>
      </c>
      <c r="G347" s="23" t="s">
        <v>58</v>
      </c>
      <c r="H347" s="24" t="n">
        <v>1</v>
      </c>
      <c r="I347" s="14" t="n">
        <v>0.2378</v>
      </c>
      <c r="J347" s="25" t="s">
        <v>59</v>
      </c>
      <c r="K347" s="25"/>
      <c r="L347" s="25" t="s">
        <v>59</v>
      </c>
      <c r="M347" s="25"/>
      <c r="N347" s="25" t="s">
        <v>59</v>
      </c>
      <c r="O347" s="25"/>
      <c r="P347" s="14" t="n">
        <v>0.2378</v>
      </c>
      <c r="Q347" s="14" t="n">
        <f aca="false">IF(AND($J347="Yes",$G347&lt;&gt;"Vendor day rates"),$I347-0.4*$P347,0)</f>
        <v>0</v>
      </c>
      <c r="R347" s="26" t="n">
        <f aca="false">IFERROR(MATCH($K347,MonthList,0),0)</f>
        <v>0</v>
      </c>
      <c r="S347" s="14" t="n">
        <f aca="false">IF(OR($J347&lt;&gt;"Yes",$K347=""),0,$Q347*MAX(0,7-$R347)/12)</f>
        <v>0</v>
      </c>
      <c r="T347" s="14" t="n">
        <f aca="false">IF(OR($J347&lt;&gt;"Yes",$K347=""),0,$Q347*IF($R347&lt;=7,12,19-$R347)/12)</f>
        <v>0</v>
      </c>
      <c r="U347" s="14" t="n">
        <f aca="false">IF(AND($L347="Yes",$G347&lt;&gt;"Vendor day rates"),$I347-0.4*$P347,0)</f>
        <v>0</v>
      </c>
      <c r="V347" s="26" t="n">
        <f aca="false">IFERROR(MATCH($M347,MonthList,0),0)</f>
        <v>0</v>
      </c>
      <c r="W347" s="14" t="n">
        <f aca="false">IF(OR($L347&lt;&gt;"Yes",$M347=""),0,$U347*MAX(0,7-$V347)/12)</f>
        <v>0</v>
      </c>
      <c r="X347" s="14" t="n">
        <f aca="false">IF(OR($L347&lt;&gt;"Yes",$M347=""),0,$U347*IF($V347&lt;=7,12,19-$V347)/12)</f>
        <v>0</v>
      </c>
      <c r="Y347" s="14" t="n">
        <f aca="false">IF(AND($N347="Yes",$G347&lt;&gt;"Vendor day rates"),$I347-0.4*$P347,0)</f>
        <v>0</v>
      </c>
      <c r="Z347" s="26" t="n">
        <f aca="false">IFERROR(MATCH($O347,MonthList,0),0)</f>
        <v>0</v>
      </c>
      <c r="AA347" s="14" t="n">
        <f aca="false">IF(OR($N347&lt;&gt;"Yes",$O347=""),0,$Y347*MAX(0,7-$Z347)/12)</f>
        <v>0</v>
      </c>
      <c r="AB347" s="14" t="n">
        <f aca="false">IF(OR($N347&lt;&gt;"Yes",$O347=""),0,$Y347*IF($Z347&lt;=7,12,19-$Z347)/12)</f>
        <v>0</v>
      </c>
      <c r="AC347" s="26" t="str">
        <f aca="false">IF(OR($J347="Yes",$L347="Yes",$N347="Yes"),"Yes","No")</f>
        <v>No</v>
      </c>
      <c r="AD347" s="14" t="n">
        <f aca="false">MAX($Q347,$U347,$Y347)</f>
        <v>0</v>
      </c>
      <c r="AE347" s="26" t="n">
        <f aca="false">$AD347+ROW()*0.000000001</f>
        <v>3.47E-007</v>
      </c>
      <c r="AF347" s="26" t="str">
        <f aca="false">IF($J347="Yes","A","")&amp;IF($L347="Yes","B","")&amp;IF($N347="Yes","C","")</f>
        <v/>
      </c>
    </row>
    <row r="348" customFormat="false" ht="15" hidden="false" customHeight="false" outlineLevel="0" collapsed="false">
      <c r="B348" s="22" t="s">
        <v>709</v>
      </c>
      <c r="C348" s="23" t="s">
        <v>708</v>
      </c>
      <c r="D348" s="23" t="s">
        <v>172</v>
      </c>
      <c r="E348" s="23" t="s">
        <v>419</v>
      </c>
      <c r="F348" s="22" t="s">
        <v>57</v>
      </c>
      <c r="G348" s="23" t="s">
        <v>58</v>
      </c>
      <c r="H348" s="24" t="n">
        <v>1</v>
      </c>
      <c r="I348" s="14" t="n">
        <v>0.243</v>
      </c>
      <c r="J348" s="25" t="s">
        <v>59</v>
      </c>
      <c r="K348" s="25"/>
      <c r="L348" s="25" t="s">
        <v>59</v>
      </c>
      <c r="M348" s="25"/>
      <c r="N348" s="25" t="s">
        <v>59</v>
      </c>
      <c r="O348" s="25"/>
      <c r="P348" s="14" t="n">
        <v>0.243</v>
      </c>
      <c r="Q348" s="14" t="n">
        <f aca="false">IF(AND($J348="Yes",$G348&lt;&gt;"Vendor day rates"),$I348-0.4*$P348,0)</f>
        <v>0</v>
      </c>
      <c r="R348" s="26" t="n">
        <f aca="false">IFERROR(MATCH($K348,MonthList,0),0)</f>
        <v>0</v>
      </c>
      <c r="S348" s="14" t="n">
        <f aca="false">IF(OR($J348&lt;&gt;"Yes",$K348=""),0,$Q348*MAX(0,7-$R348)/12)</f>
        <v>0</v>
      </c>
      <c r="T348" s="14" t="n">
        <f aca="false">IF(OR($J348&lt;&gt;"Yes",$K348=""),0,$Q348*IF($R348&lt;=7,12,19-$R348)/12)</f>
        <v>0</v>
      </c>
      <c r="U348" s="14" t="n">
        <f aca="false">IF(AND($L348="Yes",$G348&lt;&gt;"Vendor day rates"),$I348-0.4*$P348,0)</f>
        <v>0</v>
      </c>
      <c r="V348" s="26" t="n">
        <f aca="false">IFERROR(MATCH($M348,MonthList,0),0)</f>
        <v>0</v>
      </c>
      <c r="W348" s="14" t="n">
        <f aca="false">IF(OR($L348&lt;&gt;"Yes",$M348=""),0,$U348*MAX(0,7-$V348)/12)</f>
        <v>0</v>
      </c>
      <c r="X348" s="14" t="n">
        <f aca="false">IF(OR($L348&lt;&gt;"Yes",$M348=""),0,$U348*IF($V348&lt;=7,12,19-$V348)/12)</f>
        <v>0</v>
      </c>
      <c r="Y348" s="14" t="n">
        <f aca="false">IF(AND($N348="Yes",$G348&lt;&gt;"Vendor day rates"),$I348-0.4*$P348,0)</f>
        <v>0</v>
      </c>
      <c r="Z348" s="26" t="n">
        <f aca="false">IFERROR(MATCH($O348,MonthList,0),0)</f>
        <v>0</v>
      </c>
      <c r="AA348" s="14" t="n">
        <f aca="false">IF(OR($N348&lt;&gt;"Yes",$O348=""),0,$Y348*MAX(0,7-$Z348)/12)</f>
        <v>0</v>
      </c>
      <c r="AB348" s="14" t="n">
        <f aca="false">IF(OR($N348&lt;&gt;"Yes",$O348=""),0,$Y348*IF($Z348&lt;=7,12,19-$Z348)/12)</f>
        <v>0</v>
      </c>
      <c r="AC348" s="26" t="str">
        <f aca="false">IF(OR($J348="Yes",$L348="Yes",$N348="Yes"),"Yes","No")</f>
        <v>No</v>
      </c>
      <c r="AD348" s="14" t="n">
        <f aca="false">MAX($Q348,$U348,$Y348)</f>
        <v>0</v>
      </c>
      <c r="AE348" s="26" t="n">
        <f aca="false">$AD348+ROW()*0.000000001</f>
        <v>3.48E-007</v>
      </c>
      <c r="AF348" s="26" t="str">
        <f aca="false">IF($J348="Yes","A","")&amp;IF($L348="Yes","B","")&amp;IF($N348="Yes","C","")</f>
        <v/>
      </c>
    </row>
    <row r="349" customFormat="false" ht="15" hidden="false" customHeight="false" outlineLevel="0" collapsed="false">
      <c r="B349" s="22" t="s">
        <v>710</v>
      </c>
      <c r="C349" s="23" t="s">
        <v>711</v>
      </c>
      <c r="D349" s="23" t="s">
        <v>172</v>
      </c>
      <c r="E349" s="23" t="s">
        <v>419</v>
      </c>
      <c r="F349" s="22" t="s">
        <v>57</v>
      </c>
      <c r="G349" s="23" t="s">
        <v>58</v>
      </c>
      <c r="H349" s="24" t="n">
        <v>1</v>
      </c>
      <c r="I349" s="14" t="n">
        <v>0.227</v>
      </c>
      <c r="J349" s="25" t="s">
        <v>59</v>
      </c>
      <c r="K349" s="25"/>
      <c r="L349" s="25" t="s">
        <v>59</v>
      </c>
      <c r="M349" s="25"/>
      <c r="N349" s="25" t="s">
        <v>59</v>
      </c>
      <c r="O349" s="25"/>
      <c r="P349" s="14" t="n">
        <v>0.227</v>
      </c>
      <c r="Q349" s="14" t="n">
        <f aca="false">IF(AND($J349="Yes",$G349&lt;&gt;"Vendor day rates"),$I349-0.4*$P349,0)</f>
        <v>0</v>
      </c>
      <c r="R349" s="26" t="n">
        <f aca="false">IFERROR(MATCH($K349,MonthList,0),0)</f>
        <v>0</v>
      </c>
      <c r="S349" s="14" t="n">
        <f aca="false">IF(OR($J349&lt;&gt;"Yes",$K349=""),0,$Q349*MAX(0,7-$R349)/12)</f>
        <v>0</v>
      </c>
      <c r="T349" s="14" t="n">
        <f aca="false">IF(OR($J349&lt;&gt;"Yes",$K349=""),0,$Q349*IF($R349&lt;=7,12,19-$R349)/12)</f>
        <v>0</v>
      </c>
      <c r="U349" s="14" t="n">
        <f aca="false">IF(AND($L349="Yes",$G349&lt;&gt;"Vendor day rates"),$I349-0.4*$P349,0)</f>
        <v>0</v>
      </c>
      <c r="V349" s="26" t="n">
        <f aca="false">IFERROR(MATCH($M349,MonthList,0),0)</f>
        <v>0</v>
      </c>
      <c r="W349" s="14" t="n">
        <f aca="false">IF(OR($L349&lt;&gt;"Yes",$M349=""),0,$U349*MAX(0,7-$V349)/12)</f>
        <v>0</v>
      </c>
      <c r="X349" s="14" t="n">
        <f aca="false">IF(OR($L349&lt;&gt;"Yes",$M349=""),0,$U349*IF($V349&lt;=7,12,19-$V349)/12)</f>
        <v>0</v>
      </c>
      <c r="Y349" s="14" t="n">
        <f aca="false">IF(AND($N349="Yes",$G349&lt;&gt;"Vendor day rates"),$I349-0.4*$P349,0)</f>
        <v>0</v>
      </c>
      <c r="Z349" s="26" t="n">
        <f aca="false">IFERROR(MATCH($O349,MonthList,0),0)</f>
        <v>0</v>
      </c>
      <c r="AA349" s="14" t="n">
        <f aca="false">IF(OR($N349&lt;&gt;"Yes",$O349=""),0,$Y349*MAX(0,7-$Z349)/12)</f>
        <v>0</v>
      </c>
      <c r="AB349" s="14" t="n">
        <f aca="false">IF(OR($N349&lt;&gt;"Yes",$O349=""),0,$Y349*IF($Z349&lt;=7,12,19-$Z349)/12)</f>
        <v>0</v>
      </c>
      <c r="AC349" s="26" t="str">
        <f aca="false">IF(OR($J349="Yes",$L349="Yes",$N349="Yes"),"Yes","No")</f>
        <v>No</v>
      </c>
      <c r="AD349" s="14" t="n">
        <f aca="false">MAX($Q349,$U349,$Y349)</f>
        <v>0</v>
      </c>
      <c r="AE349" s="26" t="n">
        <f aca="false">$AD349+ROW()*0.000000001</f>
        <v>3.49E-007</v>
      </c>
      <c r="AF349" s="26" t="str">
        <f aca="false">IF($J349="Yes","A","")&amp;IF($L349="Yes","B","")&amp;IF($N349="Yes","C","")</f>
        <v/>
      </c>
    </row>
    <row r="350" customFormat="false" ht="15" hidden="false" customHeight="false" outlineLevel="0" collapsed="false">
      <c r="B350" s="22" t="s">
        <v>712</v>
      </c>
      <c r="C350" s="23" t="s">
        <v>713</v>
      </c>
      <c r="D350" s="23" t="s">
        <v>147</v>
      </c>
      <c r="E350" s="23" t="s">
        <v>199</v>
      </c>
      <c r="F350" s="22" t="s">
        <v>57</v>
      </c>
      <c r="G350" s="23" t="s">
        <v>58</v>
      </c>
      <c r="H350" s="24" t="n">
        <v>1</v>
      </c>
      <c r="I350" s="14" t="n">
        <v>0.2061</v>
      </c>
      <c r="J350" s="25" t="s">
        <v>59</v>
      </c>
      <c r="K350" s="25"/>
      <c r="L350" s="25" t="s">
        <v>59</v>
      </c>
      <c r="M350" s="25"/>
      <c r="N350" s="25" t="s">
        <v>59</v>
      </c>
      <c r="O350" s="25"/>
      <c r="P350" s="14" t="n">
        <v>0.2061</v>
      </c>
      <c r="Q350" s="14" t="n">
        <f aca="false">IF(AND($J350="Yes",$G350&lt;&gt;"Vendor day rates"),$I350-0.4*$P350,0)</f>
        <v>0</v>
      </c>
      <c r="R350" s="26" t="n">
        <f aca="false">IFERROR(MATCH($K350,MonthList,0),0)</f>
        <v>0</v>
      </c>
      <c r="S350" s="14" t="n">
        <f aca="false">IF(OR($J350&lt;&gt;"Yes",$K350=""),0,$Q350*MAX(0,7-$R350)/12)</f>
        <v>0</v>
      </c>
      <c r="T350" s="14" t="n">
        <f aca="false">IF(OR($J350&lt;&gt;"Yes",$K350=""),0,$Q350*IF($R350&lt;=7,12,19-$R350)/12)</f>
        <v>0</v>
      </c>
      <c r="U350" s="14" t="n">
        <f aca="false">IF(AND($L350="Yes",$G350&lt;&gt;"Vendor day rates"),$I350-0.4*$P350,0)</f>
        <v>0</v>
      </c>
      <c r="V350" s="26" t="n">
        <f aca="false">IFERROR(MATCH($M350,MonthList,0),0)</f>
        <v>0</v>
      </c>
      <c r="W350" s="14" t="n">
        <f aca="false">IF(OR($L350&lt;&gt;"Yes",$M350=""),0,$U350*MAX(0,7-$V350)/12)</f>
        <v>0</v>
      </c>
      <c r="X350" s="14" t="n">
        <f aca="false">IF(OR($L350&lt;&gt;"Yes",$M350=""),0,$U350*IF($V350&lt;=7,12,19-$V350)/12)</f>
        <v>0</v>
      </c>
      <c r="Y350" s="14" t="n">
        <f aca="false">IF(AND($N350="Yes",$G350&lt;&gt;"Vendor day rates"),$I350-0.4*$P350,0)</f>
        <v>0</v>
      </c>
      <c r="Z350" s="26" t="n">
        <f aca="false">IFERROR(MATCH($O350,MonthList,0),0)</f>
        <v>0</v>
      </c>
      <c r="AA350" s="14" t="n">
        <f aca="false">IF(OR($N350&lt;&gt;"Yes",$O350=""),0,$Y350*MAX(0,7-$Z350)/12)</f>
        <v>0</v>
      </c>
      <c r="AB350" s="14" t="n">
        <f aca="false">IF(OR($N350&lt;&gt;"Yes",$O350=""),0,$Y350*IF($Z350&lt;=7,12,19-$Z350)/12)</f>
        <v>0</v>
      </c>
      <c r="AC350" s="26" t="str">
        <f aca="false">IF(OR($J350="Yes",$L350="Yes",$N350="Yes"),"Yes","No")</f>
        <v>No</v>
      </c>
      <c r="AD350" s="14" t="n">
        <f aca="false">MAX($Q350,$U350,$Y350)</f>
        <v>0</v>
      </c>
      <c r="AE350" s="26" t="n">
        <f aca="false">$AD350+ROW()*0.000000001</f>
        <v>3.5E-007</v>
      </c>
      <c r="AF350" s="26" t="str">
        <f aca="false">IF($J350="Yes","A","")&amp;IF($L350="Yes","B","")&amp;IF($N350="Yes","C","")</f>
        <v/>
      </c>
    </row>
    <row r="351" customFormat="false" ht="15" hidden="false" customHeight="false" outlineLevel="0" collapsed="false">
      <c r="B351" s="22" t="s">
        <v>714</v>
      </c>
      <c r="C351" s="23" t="s">
        <v>715</v>
      </c>
      <c r="D351" s="23"/>
      <c r="E351" s="23" t="s">
        <v>176</v>
      </c>
      <c r="F351" s="22" t="s">
        <v>112</v>
      </c>
      <c r="G351" s="23" t="s">
        <v>58</v>
      </c>
      <c r="H351" s="24" t="n">
        <v>1</v>
      </c>
      <c r="I351" s="14" t="n">
        <v>0.1497</v>
      </c>
      <c r="J351" s="25" t="s">
        <v>59</v>
      </c>
      <c r="K351" s="25"/>
      <c r="L351" s="25" t="s">
        <v>59</v>
      </c>
      <c r="M351" s="25"/>
      <c r="N351" s="25" t="s">
        <v>59</v>
      </c>
      <c r="O351" s="25"/>
      <c r="P351" s="14" t="n">
        <v>0.1497</v>
      </c>
      <c r="Q351" s="14" t="n">
        <f aca="false">IF(AND($J351="Yes",$G351&lt;&gt;"Vendor day rates"),$I351-0.4*$P351,0)</f>
        <v>0</v>
      </c>
      <c r="R351" s="26" t="n">
        <f aca="false">IFERROR(MATCH($K351,MonthList,0),0)</f>
        <v>0</v>
      </c>
      <c r="S351" s="14" t="n">
        <f aca="false">IF(OR($J351&lt;&gt;"Yes",$K351=""),0,$Q351*MAX(0,7-$R351)/12)</f>
        <v>0</v>
      </c>
      <c r="T351" s="14" t="n">
        <f aca="false">IF(OR($J351&lt;&gt;"Yes",$K351=""),0,$Q351*IF($R351&lt;=7,12,19-$R351)/12)</f>
        <v>0</v>
      </c>
      <c r="U351" s="14" t="n">
        <f aca="false">IF(AND($L351="Yes",$G351&lt;&gt;"Vendor day rates"),$I351-0.4*$P351,0)</f>
        <v>0</v>
      </c>
      <c r="V351" s="26" t="n">
        <f aca="false">IFERROR(MATCH($M351,MonthList,0),0)</f>
        <v>0</v>
      </c>
      <c r="W351" s="14" t="n">
        <f aca="false">IF(OR($L351&lt;&gt;"Yes",$M351=""),0,$U351*MAX(0,7-$V351)/12)</f>
        <v>0</v>
      </c>
      <c r="X351" s="14" t="n">
        <f aca="false">IF(OR($L351&lt;&gt;"Yes",$M351=""),0,$U351*IF($V351&lt;=7,12,19-$V351)/12)</f>
        <v>0</v>
      </c>
      <c r="Y351" s="14" t="n">
        <f aca="false">IF(AND($N351="Yes",$G351&lt;&gt;"Vendor day rates"),$I351-0.4*$P351,0)</f>
        <v>0</v>
      </c>
      <c r="Z351" s="26" t="n">
        <f aca="false">IFERROR(MATCH($O351,MonthList,0),0)</f>
        <v>0</v>
      </c>
      <c r="AA351" s="14" t="n">
        <f aca="false">IF(OR($N351&lt;&gt;"Yes",$O351=""),0,$Y351*MAX(0,7-$Z351)/12)</f>
        <v>0</v>
      </c>
      <c r="AB351" s="14" t="n">
        <f aca="false">IF(OR($N351&lt;&gt;"Yes",$O351=""),0,$Y351*IF($Z351&lt;=7,12,19-$Z351)/12)</f>
        <v>0</v>
      </c>
      <c r="AC351" s="26" t="str">
        <f aca="false">IF(OR($J351="Yes",$L351="Yes",$N351="Yes"),"Yes","No")</f>
        <v>No</v>
      </c>
      <c r="AD351" s="14" t="n">
        <f aca="false">MAX($Q351,$U351,$Y351)</f>
        <v>0</v>
      </c>
      <c r="AE351" s="26" t="n">
        <f aca="false">$AD351+ROW()*0.000000001</f>
        <v>3.51E-007</v>
      </c>
      <c r="AF351" s="26" t="str">
        <f aca="false">IF($J351="Yes","A","")&amp;IF($L351="Yes","B","")&amp;IF($N351="Yes","C","")</f>
        <v/>
      </c>
    </row>
    <row r="352" customFormat="false" ht="15" hidden="false" customHeight="false" outlineLevel="0" collapsed="false">
      <c r="B352" s="22" t="s">
        <v>716</v>
      </c>
      <c r="C352" s="23" t="s">
        <v>717</v>
      </c>
      <c r="D352" s="23"/>
      <c r="E352" s="23" t="s">
        <v>176</v>
      </c>
      <c r="F352" s="22" t="s">
        <v>57</v>
      </c>
      <c r="G352" s="23" t="s">
        <v>58</v>
      </c>
      <c r="H352" s="24" t="n">
        <v>1</v>
      </c>
      <c r="I352" s="14" t="n">
        <v>0.2271</v>
      </c>
      <c r="J352" s="25" t="s">
        <v>59</v>
      </c>
      <c r="K352" s="25"/>
      <c r="L352" s="25" t="s">
        <v>59</v>
      </c>
      <c r="M352" s="25"/>
      <c r="N352" s="25" t="s">
        <v>59</v>
      </c>
      <c r="O352" s="25"/>
      <c r="P352" s="14" t="n">
        <v>0.2271</v>
      </c>
      <c r="Q352" s="14" t="n">
        <f aca="false">IF(AND($J352="Yes",$G352&lt;&gt;"Vendor day rates"),$I352-0.4*$P352,0)</f>
        <v>0</v>
      </c>
      <c r="R352" s="26" t="n">
        <f aca="false">IFERROR(MATCH($K352,MonthList,0),0)</f>
        <v>0</v>
      </c>
      <c r="S352" s="14" t="n">
        <f aca="false">IF(OR($J352&lt;&gt;"Yes",$K352=""),0,$Q352*MAX(0,7-$R352)/12)</f>
        <v>0</v>
      </c>
      <c r="T352" s="14" t="n">
        <f aca="false">IF(OR($J352&lt;&gt;"Yes",$K352=""),0,$Q352*IF($R352&lt;=7,12,19-$R352)/12)</f>
        <v>0</v>
      </c>
      <c r="U352" s="14" t="n">
        <f aca="false">IF(AND($L352="Yes",$G352&lt;&gt;"Vendor day rates"),$I352-0.4*$P352,0)</f>
        <v>0</v>
      </c>
      <c r="V352" s="26" t="n">
        <f aca="false">IFERROR(MATCH($M352,MonthList,0),0)</f>
        <v>0</v>
      </c>
      <c r="W352" s="14" t="n">
        <f aca="false">IF(OR($L352&lt;&gt;"Yes",$M352=""),0,$U352*MAX(0,7-$V352)/12)</f>
        <v>0</v>
      </c>
      <c r="X352" s="14" t="n">
        <f aca="false">IF(OR($L352&lt;&gt;"Yes",$M352=""),0,$U352*IF($V352&lt;=7,12,19-$V352)/12)</f>
        <v>0</v>
      </c>
      <c r="Y352" s="14" t="n">
        <f aca="false">IF(AND($N352="Yes",$G352&lt;&gt;"Vendor day rates"),$I352-0.4*$P352,0)</f>
        <v>0</v>
      </c>
      <c r="Z352" s="26" t="n">
        <f aca="false">IFERROR(MATCH($O352,MonthList,0),0)</f>
        <v>0</v>
      </c>
      <c r="AA352" s="14" t="n">
        <f aca="false">IF(OR($N352&lt;&gt;"Yes",$O352=""),0,$Y352*MAX(0,7-$Z352)/12)</f>
        <v>0</v>
      </c>
      <c r="AB352" s="14" t="n">
        <f aca="false">IF(OR($N352&lt;&gt;"Yes",$O352=""),0,$Y352*IF($Z352&lt;=7,12,19-$Z352)/12)</f>
        <v>0</v>
      </c>
      <c r="AC352" s="26" t="str">
        <f aca="false">IF(OR($J352="Yes",$L352="Yes",$N352="Yes"),"Yes","No")</f>
        <v>No</v>
      </c>
      <c r="AD352" s="14" t="n">
        <f aca="false">MAX($Q352,$U352,$Y352)</f>
        <v>0</v>
      </c>
      <c r="AE352" s="26" t="n">
        <f aca="false">$AD352+ROW()*0.000000001</f>
        <v>3.52E-007</v>
      </c>
      <c r="AF352" s="26" t="str">
        <f aca="false">IF($J352="Yes","A","")&amp;IF($L352="Yes","B","")&amp;IF($N352="Yes","C","")</f>
        <v/>
      </c>
    </row>
    <row r="353" customFormat="false" ht="15" hidden="false" customHeight="false" outlineLevel="0" collapsed="false">
      <c r="B353" s="22" t="s">
        <v>718</v>
      </c>
      <c r="C353" s="23" t="s">
        <v>719</v>
      </c>
      <c r="D353" s="23"/>
      <c r="E353" s="23" t="s">
        <v>176</v>
      </c>
      <c r="F353" s="22" t="s">
        <v>57</v>
      </c>
      <c r="G353" s="23" t="s">
        <v>58</v>
      </c>
      <c r="H353" s="24" t="n">
        <v>1</v>
      </c>
      <c r="I353" s="14" t="n">
        <v>0.1759</v>
      </c>
      <c r="J353" s="25" t="s">
        <v>59</v>
      </c>
      <c r="K353" s="25"/>
      <c r="L353" s="25" t="s">
        <v>59</v>
      </c>
      <c r="M353" s="25"/>
      <c r="N353" s="25" t="s">
        <v>59</v>
      </c>
      <c r="O353" s="25"/>
      <c r="P353" s="14" t="n">
        <v>0.1759</v>
      </c>
      <c r="Q353" s="14" t="n">
        <f aca="false">IF(AND($J353="Yes",$G353&lt;&gt;"Vendor day rates"),$I353-0.4*$P353,0)</f>
        <v>0</v>
      </c>
      <c r="R353" s="26" t="n">
        <f aca="false">IFERROR(MATCH($K353,MonthList,0),0)</f>
        <v>0</v>
      </c>
      <c r="S353" s="14" t="n">
        <f aca="false">IF(OR($J353&lt;&gt;"Yes",$K353=""),0,$Q353*MAX(0,7-$R353)/12)</f>
        <v>0</v>
      </c>
      <c r="T353" s="14" t="n">
        <f aca="false">IF(OR($J353&lt;&gt;"Yes",$K353=""),0,$Q353*IF($R353&lt;=7,12,19-$R353)/12)</f>
        <v>0</v>
      </c>
      <c r="U353" s="14" t="n">
        <f aca="false">IF(AND($L353="Yes",$G353&lt;&gt;"Vendor day rates"),$I353-0.4*$P353,0)</f>
        <v>0</v>
      </c>
      <c r="V353" s="26" t="n">
        <f aca="false">IFERROR(MATCH($M353,MonthList,0),0)</f>
        <v>0</v>
      </c>
      <c r="W353" s="14" t="n">
        <f aca="false">IF(OR($L353&lt;&gt;"Yes",$M353=""),0,$U353*MAX(0,7-$V353)/12)</f>
        <v>0</v>
      </c>
      <c r="X353" s="14" t="n">
        <f aca="false">IF(OR($L353&lt;&gt;"Yes",$M353=""),0,$U353*IF($V353&lt;=7,12,19-$V353)/12)</f>
        <v>0</v>
      </c>
      <c r="Y353" s="14" t="n">
        <f aca="false">IF(AND($N353="Yes",$G353&lt;&gt;"Vendor day rates"),$I353-0.4*$P353,0)</f>
        <v>0</v>
      </c>
      <c r="Z353" s="26" t="n">
        <f aca="false">IFERROR(MATCH($O353,MonthList,0),0)</f>
        <v>0</v>
      </c>
      <c r="AA353" s="14" t="n">
        <f aca="false">IF(OR($N353&lt;&gt;"Yes",$O353=""),0,$Y353*MAX(0,7-$Z353)/12)</f>
        <v>0</v>
      </c>
      <c r="AB353" s="14" t="n">
        <f aca="false">IF(OR($N353&lt;&gt;"Yes",$O353=""),0,$Y353*IF($Z353&lt;=7,12,19-$Z353)/12)</f>
        <v>0</v>
      </c>
      <c r="AC353" s="26" t="str">
        <f aca="false">IF(OR($J353="Yes",$L353="Yes",$N353="Yes"),"Yes","No")</f>
        <v>No</v>
      </c>
      <c r="AD353" s="14" t="n">
        <f aca="false">MAX($Q353,$U353,$Y353)</f>
        <v>0</v>
      </c>
      <c r="AE353" s="26" t="n">
        <f aca="false">$AD353+ROW()*0.000000001</f>
        <v>3.53E-007</v>
      </c>
      <c r="AF353" s="26" t="str">
        <f aca="false">IF($J353="Yes","A","")&amp;IF($L353="Yes","B","")&amp;IF($N353="Yes","C","")</f>
        <v/>
      </c>
    </row>
    <row r="354" customFormat="false" ht="15" hidden="false" customHeight="false" outlineLevel="0" collapsed="false">
      <c r="B354" s="22" t="s">
        <v>720</v>
      </c>
      <c r="C354" s="23" t="s">
        <v>721</v>
      </c>
      <c r="D354" s="23" t="s">
        <v>158</v>
      </c>
      <c r="E354" s="23" t="s">
        <v>469</v>
      </c>
      <c r="F354" s="22" t="s">
        <v>57</v>
      </c>
      <c r="G354" s="23" t="s">
        <v>476</v>
      </c>
      <c r="H354" s="24" t="n">
        <v>1</v>
      </c>
      <c r="I354" s="14" t="n">
        <v>0.0811</v>
      </c>
      <c r="J354" s="25" t="s">
        <v>59</v>
      </c>
      <c r="K354" s="25"/>
      <c r="L354" s="25" t="s">
        <v>59</v>
      </c>
      <c r="M354" s="25"/>
      <c r="N354" s="25" t="s">
        <v>59</v>
      </c>
      <c r="O354" s="25"/>
      <c r="P354" s="14" t="n">
        <v>0.2029</v>
      </c>
      <c r="Q354" s="14" t="n">
        <f aca="false">IF(AND($J354="Yes",$G354&lt;&gt;"Vendor day rates"),$I354-0.4*$P354,0)</f>
        <v>0</v>
      </c>
      <c r="R354" s="26" t="n">
        <f aca="false">IFERROR(MATCH($K354,MonthList,0),0)</f>
        <v>0</v>
      </c>
      <c r="S354" s="14" t="n">
        <f aca="false">IF(OR($J354&lt;&gt;"Yes",$K354=""),0,$Q354*MAX(0,7-$R354)/12)</f>
        <v>0</v>
      </c>
      <c r="T354" s="14" t="n">
        <f aca="false">IF(OR($J354&lt;&gt;"Yes",$K354=""),0,$Q354*IF($R354&lt;=7,12,19-$R354)/12)</f>
        <v>0</v>
      </c>
      <c r="U354" s="14" t="n">
        <f aca="false">IF(AND($L354="Yes",$G354&lt;&gt;"Vendor day rates"),$I354-0.4*$P354,0)</f>
        <v>0</v>
      </c>
      <c r="V354" s="26" t="n">
        <f aca="false">IFERROR(MATCH($M354,MonthList,0),0)</f>
        <v>0</v>
      </c>
      <c r="W354" s="14" t="n">
        <f aca="false">IF(OR($L354&lt;&gt;"Yes",$M354=""),0,$U354*MAX(0,7-$V354)/12)</f>
        <v>0</v>
      </c>
      <c r="X354" s="14" t="n">
        <f aca="false">IF(OR($L354&lt;&gt;"Yes",$M354=""),0,$U354*IF($V354&lt;=7,12,19-$V354)/12)</f>
        <v>0</v>
      </c>
      <c r="Y354" s="14" t="n">
        <f aca="false">IF(AND($N354="Yes",$G354&lt;&gt;"Vendor day rates"),$I354-0.4*$P354,0)</f>
        <v>0</v>
      </c>
      <c r="Z354" s="26" t="n">
        <f aca="false">IFERROR(MATCH($O354,MonthList,0),0)</f>
        <v>0</v>
      </c>
      <c r="AA354" s="14" t="n">
        <f aca="false">IF(OR($N354&lt;&gt;"Yes",$O354=""),0,$Y354*MAX(0,7-$Z354)/12)</f>
        <v>0</v>
      </c>
      <c r="AB354" s="14" t="n">
        <f aca="false">IF(OR($N354&lt;&gt;"Yes",$O354=""),0,$Y354*IF($Z354&lt;=7,12,19-$Z354)/12)</f>
        <v>0</v>
      </c>
      <c r="AC354" s="26" t="str">
        <f aca="false">IF(OR($J354="Yes",$L354="Yes",$N354="Yes"),"Yes","No")</f>
        <v>No</v>
      </c>
      <c r="AD354" s="14" t="n">
        <f aca="false">MAX($Q354,$U354,$Y354)</f>
        <v>0</v>
      </c>
      <c r="AE354" s="26" t="n">
        <f aca="false">$AD354+ROW()*0.000000001</f>
        <v>3.54E-007</v>
      </c>
      <c r="AF354" s="26" t="str">
        <f aca="false">IF($J354="Yes","A","")&amp;IF($L354="Yes","B","")&amp;IF($N354="Yes","C","")</f>
        <v/>
      </c>
    </row>
    <row r="355" customFormat="false" ht="15" hidden="false" customHeight="false" outlineLevel="0" collapsed="false">
      <c r="B355" s="22" t="s">
        <v>722</v>
      </c>
      <c r="C355" s="23" t="s">
        <v>723</v>
      </c>
      <c r="D355" s="23" t="s">
        <v>331</v>
      </c>
      <c r="E355" s="23" t="s">
        <v>130</v>
      </c>
      <c r="F355" s="22" t="s">
        <v>112</v>
      </c>
      <c r="G355" s="23" t="s">
        <v>149</v>
      </c>
      <c r="H355" s="24" t="n">
        <v>1</v>
      </c>
      <c r="I355" s="14" t="n">
        <v>0.1749</v>
      </c>
      <c r="J355" s="25" t="s">
        <v>64</v>
      </c>
      <c r="K355" s="25" t="s">
        <v>724</v>
      </c>
      <c r="L355" s="25" t="s">
        <v>59</v>
      </c>
      <c r="M355" s="25"/>
      <c r="N355" s="25" t="s">
        <v>59</v>
      </c>
      <c r="O355" s="25"/>
      <c r="P355" s="14" t="n">
        <v>0.1749</v>
      </c>
      <c r="Q355" s="14" t="n">
        <f aca="false">IF(AND($J355="Yes",$G355&lt;&gt;"Vendor day rates"),$I355-0.4*$P355,0)</f>
        <v>0.10494</v>
      </c>
      <c r="R355" s="26" t="n">
        <f aca="false">IFERROR(MATCH($K355,MonthList,0),0)</f>
        <v>7</v>
      </c>
      <c r="S355" s="14" t="n">
        <f aca="false">IF(OR($J355&lt;&gt;"Yes",$K355=""),0,$Q355*MAX(0,7-$R355)/12)</f>
        <v>0</v>
      </c>
      <c r="T355" s="14" t="n">
        <f aca="false">IF(OR($J355&lt;&gt;"Yes",$K355=""),0,$Q355*IF($R355&lt;=7,12,19-$R355)/12)</f>
        <v>0.10494</v>
      </c>
      <c r="U355" s="14" t="n">
        <f aca="false">IF(AND($L355="Yes",$G355&lt;&gt;"Vendor day rates"),$I355-0.4*$P355,0)</f>
        <v>0</v>
      </c>
      <c r="V355" s="26" t="n">
        <f aca="false">IFERROR(MATCH($M355,MonthList,0),0)</f>
        <v>0</v>
      </c>
      <c r="W355" s="14" t="n">
        <f aca="false">IF(OR($L355&lt;&gt;"Yes",$M355=""),0,$U355*MAX(0,7-$V355)/12)</f>
        <v>0</v>
      </c>
      <c r="X355" s="14" t="n">
        <f aca="false">IF(OR($L355&lt;&gt;"Yes",$M355=""),0,$U355*IF($V355&lt;=7,12,19-$V355)/12)</f>
        <v>0</v>
      </c>
      <c r="Y355" s="14" t="n">
        <f aca="false">IF(AND($N355="Yes",$G355&lt;&gt;"Vendor day rates"),$I355-0.4*$P355,0)</f>
        <v>0</v>
      </c>
      <c r="Z355" s="26" t="n">
        <f aca="false">IFERROR(MATCH($O355,MonthList,0),0)</f>
        <v>0</v>
      </c>
      <c r="AA355" s="14" t="n">
        <f aca="false">IF(OR($N355&lt;&gt;"Yes",$O355=""),0,$Y355*MAX(0,7-$Z355)/12)</f>
        <v>0</v>
      </c>
      <c r="AB355" s="14" t="n">
        <f aca="false">IF(OR($N355&lt;&gt;"Yes",$O355=""),0,$Y355*IF($Z355&lt;=7,12,19-$Z355)/12)</f>
        <v>0</v>
      </c>
      <c r="AC355" s="26" t="str">
        <f aca="false">IF(OR($J355="Yes",$L355="Yes",$N355="Yes"),"Yes","No")</f>
        <v>Yes</v>
      </c>
      <c r="AD355" s="14" t="n">
        <f aca="false">MAX($Q355,$U355,$Y355)</f>
        <v>0.10494</v>
      </c>
      <c r="AE355" s="26" t="n">
        <f aca="false">$AD355+ROW()*0.000000001</f>
        <v>0.104940355</v>
      </c>
      <c r="AF355" s="26" t="str">
        <f aca="false">IF($J355="Yes","A","")&amp;IF($L355="Yes","B","")&amp;IF($N355="Yes","C","")</f>
        <v>A</v>
      </c>
    </row>
    <row r="356" customFormat="false" ht="15" hidden="false" customHeight="false" outlineLevel="0" collapsed="false">
      <c r="B356" s="22" t="s">
        <v>725</v>
      </c>
      <c r="C356" s="23" t="s">
        <v>726</v>
      </c>
      <c r="D356" s="23" t="s">
        <v>158</v>
      </c>
      <c r="E356" s="23" t="s">
        <v>469</v>
      </c>
      <c r="F356" s="22" t="s">
        <v>57</v>
      </c>
      <c r="G356" s="23" t="s">
        <v>121</v>
      </c>
      <c r="H356" s="24" t="n">
        <v>1</v>
      </c>
      <c r="I356" s="14" t="n">
        <v>0.0778</v>
      </c>
      <c r="J356" s="25" t="s">
        <v>59</v>
      </c>
      <c r="K356" s="25"/>
      <c r="L356" s="25" t="s">
        <v>59</v>
      </c>
      <c r="M356" s="25"/>
      <c r="N356" s="25" t="s">
        <v>59</v>
      </c>
      <c r="O356" s="25"/>
      <c r="P356" s="14" t="n">
        <v>0.1945</v>
      </c>
      <c r="Q356" s="14" t="n">
        <f aca="false">IF(AND($J356="Yes",$G356&lt;&gt;"Vendor day rates"),$I356-0.4*$P356,0)</f>
        <v>0</v>
      </c>
      <c r="R356" s="26" t="n">
        <f aca="false">IFERROR(MATCH($K356,MonthList,0),0)</f>
        <v>0</v>
      </c>
      <c r="S356" s="14" t="n">
        <f aca="false">IF(OR($J356&lt;&gt;"Yes",$K356=""),0,$Q356*MAX(0,7-$R356)/12)</f>
        <v>0</v>
      </c>
      <c r="T356" s="14" t="n">
        <f aca="false">IF(OR($J356&lt;&gt;"Yes",$K356=""),0,$Q356*IF($R356&lt;=7,12,19-$R356)/12)</f>
        <v>0</v>
      </c>
      <c r="U356" s="14" t="n">
        <f aca="false">IF(AND($L356="Yes",$G356&lt;&gt;"Vendor day rates"),$I356-0.4*$P356,0)</f>
        <v>0</v>
      </c>
      <c r="V356" s="26" t="n">
        <f aca="false">IFERROR(MATCH($M356,MonthList,0),0)</f>
        <v>0</v>
      </c>
      <c r="W356" s="14" t="n">
        <f aca="false">IF(OR($L356&lt;&gt;"Yes",$M356=""),0,$U356*MAX(0,7-$V356)/12)</f>
        <v>0</v>
      </c>
      <c r="X356" s="14" t="n">
        <f aca="false">IF(OR($L356&lt;&gt;"Yes",$M356=""),0,$U356*IF($V356&lt;=7,12,19-$V356)/12)</f>
        <v>0</v>
      </c>
      <c r="Y356" s="14" t="n">
        <f aca="false">IF(AND($N356="Yes",$G356&lt;&gt;"Vendor day rates"),$I356-0.4*$P356,0)</f>
        <v>0</v>
      </c>
      <c r="Z356" s="26" t="n">
        <f aca="false">IFERROR(MATCH($O356,MonthList,0),0)</f>
        <v>0</v>
      </c>
      <c r="AA356" s="14" t="n">
        <f aca="false">IF(OR($N356&lt;&gt;"Yes",$O356=""),0,$Y356*MAX(0,7-$Z356)/12)</f>
        <v>0</v>
      </c>
      <c r="AB356" s="14" t="n">
        <f aca="false">IF(OR($N356&lt;&gt;"Yes",$O356=""),0,$Y356*IF($Z356&lt;=7,12,19-$Z356)/12)</f>
        <v>0</v>
      </c>
      <c r="AC356" s="26" t="str">
        <f aca="false">IF(OR($J356="Yes",$L356="Yes",$N356="Yes"),"Yes","No")</f>
        <v>No</v>
      </c>
      <c r="AD356" s="14" t="n">
        <f aca="false">MAX($Q356,$U356,$Y356)</f>
        <v>0</v>
      </c>
      <c r="AE356" s="26" t="n">
        <f aca="false">$AD356+ROW()*0.000000001</f>
        <v>3.56E-007</v>
      </c>
      <c r="AF356" s="26" t="str">
        <f aca="false">IF($J356="Yes","A","")&amp;IF($L356="Yes","B","")&amp;IF($N356="Yes","C","")</f>
        <v/>
      </c>
    </row>
    <row r="357" customFormat="false" ht="15" hidden="false" customHeight="false" outlineLevel="0" collapsed="false">
      <c r="B357" s="22" t="s">
        <v>727</v>
      </c>
      <c r="C357" s="23" t="s">
        <v>726</v>
      </c>
      <c r="D357" s="23" t="s">
        <v>158</v>
      </c>
      <c r="E357" s="23" t="s">
        <v>469</v>
      </c>
      <c r="F357" s="22" t="s">
        <v>57</v>
      </c>
      <c r="G357" s="23" t="s">
        <v>476</v>
      </c>
      <c r="H357" s="24" t="n">
        <v>1</v>
      </c>
      <c r="I357" s="14" t="n">
        <v>0.0811</v>
      </c>
      <c r="J357" s="25" t="s">
        <v>59</v>
      </c>
      <c r="K357" s="25"/>
      <c r="L357" s="25" t="s">
        <v>59</v>
      </c>
      <c r="M357" s="25"/>
      <c r="N357" s="25" t="s">
        <v>59</v>
      </c>
      <c r="O357" s="25"/>
      <c r="P357" s="14" t="n">
        <v>0.2029</v>
      </c>
      <c r="Q357" s="14" t="n">
        <f aca="false">IF(AND($J357="Yes",$G357&lt;&gt;"Vendor day rates"),$I357-0.4*$P357,0)</f>
        <v>0</v>
      </c>
      <c r="R357" s="26" t="n">
        <f aca="false">IFERROR(MATCH($K357,MonthList,0),0)</f>
        <v>0</v>
      </c>
      <c r="S357" s="14" t="n">
        <f aca="false">IF(OR($J357&lt;&gt;"Yes",$K357=""),0,$Q357*MAX(0,7-$R357)/12)</f>
        <v>0</v>
      </c>
      <c r="T357" s="14" t="n">
        <f aca="false">IF(OR($J357&lt;&gt;"Yes",$K357=""),0,$Q357*IF($R357&lt;=7,12,19-$R357)/12)</f>
        <v>0</v>
      </c>
      <c r="U357" s="14" t="n">
        <f aca="false">IF(AND($L357="Yes",$G357&lt;&gt;"Vendor day rates"),$I357-0.4*$P357,0)</f>
        <v>0</v>
      </c>
      <c r="V357" s="26" t="n">
        <f aca="false">IFERROR(MATCH($M357,MonthList,0),0)</f>
        <v>0</v>
      </c>
      <c r="W357" s="14" t="n">
        <f aca="false">IF(OR($L357&lt;&gt;"Yes",$M357=""),0,$U357*MAX(0,7-$V357)/12)</f>
        <v>0</v>
      </c>
      <c r="X357" s="14" t="n">
        <f aca="false">IF(OR($L357&lt;&gt;"Yes",$M357=""),0,$U357*IF($V357&lt;=7,12,19-$V357)/12)</f>
        <v>0</v>
      </c>
      <c r="Y357" s="14" t="n">
        <f aca="false">IF(AND($N357="Yes",$G357&lt;&gt;"Vendor day rates"),$I357-0.4*$P357,0)</f>
        <v>0</v>
      </c>
      <c r="Z357" s="26" t="n">
        <f aca="false">IFERROR(MATCH($O357,MonthList,0),0)</f>
        <v>0</v>
      </c>
      <c r="AA357" s="14" t="n">
        <f aca="false">IF(OR($N357&lt;&gt;"Yes",$O357=""),0,$Y357*MAX(0,7-$Z357)/12)</f>
        <v>0</v>
      </c>
      <c r="AB357" s="14" t="n">
        <f aca="false">IF(OR($N357&lt;&gt;"Yes",$O357=""),0,$Y357*IF($Z357&lt;=7,12,19-$Z357)/12)</f>
        <v>0</v>
      </c>
      <c r="AC357" s="26" t="str">
        <f aca="false">IF(OR($J357="Yes",$L357="Yes",$N357="Yes"),"Yes","No")</f>
        <v>No</v>
      </c>
      <c r="AD357" s="14" t="n">
        <f aca="false">MAX($Q357,$U357,$Y357)</f>
        <v>0</v>
      </c>
      <c r="AE357" s="26" t="n">
        <f aca="false">$AD357+ROW()*0.000000001</f>
        <v>3.57E-007</v>
      </c>
      <c r="AF357" s="26" t="str">
        <f aca="false">IF($J357="Yes","A","")&amp;IF($L357="Yes","B","")&amp;IF($N357="Yes","C","")</f>
        <v/>
      </c>
    </row>
    <row r="358" customFormat="false" ht="15" hidden="false" customHeight="false" outlineLevel="0" collapsed="false">
      <c r="B358" s="22" t="s">
        <v>728</v>
      </c>
      <c r="C358" s="23" t="s">
        <v>729</v>
      </c>
      <c r="D358" s="23" t="s">
        <v>147</v>
      </c>
      <c r="E358" s="23" t="s">
        <v>256</v>
      </c>
      <c r="F358" s="22" t="s">
        <v>57</v>
      </c>
      <c r="G358" s="23" t="s">
        <v>121</v>
      </c>
      <c r="H358" s="24" t="n">
        <v>1</v>
      </c>
      <c r="I358" s="14" t="n">
        <v>0.0863</v>
      </c>
      <c r="J358" s="25" t="s">
        <v>59</v>
      </c>
      <c r="K358" s="25"/>
      <c r="L358" s="25" t="s">
        <v>59</v>
      </c>
      <c r="M358" s="25"/>
      <c r="N358" s="25" t="s">
        <v>59</v>
      </c>
      <c r="O358" s="25"/>
      <c r="P358" s="14" t="n">
        <v>0.2156</v>
      </c>
      <c r="Q358" s="14" t="n">
        <f aca="false">IF(AND($J358="Yes",$G358&lt;&gt;"Vendor day rates"),$I358-0.4*$P358,0)</f>
        <v>0</v>
      </c>
      <c r="R358" s="26" t="n">
        <f aca="false">IFERROR(MATCH($K358,MonthList,0),0)</f>
        <v>0</v>
      </c>
      <c r="S358" s="14" t="n">
        <f aca="false">IF(OR($J358&lt;&gt;"Yes",$K358=""),0,$Q358*MAX(0,7-$R358)/12)</f>
        <v>0</v>
      </c>
      <c r="T358" s="14" t="n">
        <f aca="false">IF(OR($J358&lt;&gt;"Yes",$K358=""),0,$Q358*IF($R358&lt;=7,12,19-$R358)/12)</f>
        <v>0</v>
      </c>
      <c r="U358" s="14" t="n">
        <f aca="false">IF(AND($L358="Yes",$G358&lt;&gt;"Vendor day rates"),$I358-0.4*$P358,0)</f>
        <v>0</v>
      </c>
      <c r="V358" s="26" t="n">
        <f aca="false">IFERROR(MATCH($M358,MonthList,0),0)</f>
        <v>0</v>
      </c>
      <c r="W358" s="14" t="n">
        <f aca="false">IF(OR($L358&lt;&gt;"Yes",$M358=""),0,$U358*MAX(0,7-$V358)/12)</f>
        <v>0</v>
      </c>
      <c r="X358" s="14" t="n">
        <f aca="false">IF(OR($L358&lt;&gt;"Yes",$M358=""),0,$U358*IF($V358&lt;=7,12,19-$V358)/12)</f>
        <v>0</v>
      </c>
      <c r="Y358" s="14" t="n">
        <f aca="false">IF(AND($N358="Yes",$G358&lt;&gt;"Vendor day rates"),$I358-0.4*$P358,0)</f>
        <v>0</v>
      </c>
      <c r="Z358" s="26" t="n">
        <f aca="false">IFERROR(MATCH($O358,MonthList,0),0)</f>
        <v>0</v>
      </c>
      <c r="AA358" s="14" t="n">
        <f aca="false">IF(OR($N358&lt;&gt;"Yes",$O358=""),0,$Y358*MAX(0,7-$Z358)/12)</f>
        <v>0</v>
      </c>
      <c r="AB358" s="14" t="n">
        <f aca="false">IF(OR($N358&lt;&gt;"Yes",$O358=""),0,$Y358*IF($Z358&lt;=7,12,19-$Z358)/12)</f>
        <v>0</v>
      </c>
      <c r="AC358" s="26" t="str">
        <f aca="false">IF(OR($J358="Yes",$L358="Yes",$N358="Yes"),"Yes","No")</f>
        <v>No</v>
      </c>
      <c r="AD358" s="14" t="n">
        <f aca="false">MAX($Q358,$U358,$Y358)</f>
        <v>0</v>
      </c>
      <c r="AE358" s="26" t="n">
        <f aca="false">$AD358+ROW()*0.000000001</f>
        <v>3.58E-007</v>
      </c>
      <c r="AF358" s="26" t="str">
        <f aca="false">IF($J358="Yes","A","")&amp;IF($L358="Yes","B","")&amp;IF($N358="Yes","C","")</f>
        <v/>
      </c>
    </row>
    <row r="359" customFormat="false" ht="15" hidden="false" customHeight="false" outlineLevel="0" collapsed="false">
      <c r="B359" s="22" t="s">
        <v>730</v>
      </c>
      <c r="C359" s="23" t="s">
        <v>729</v>
      </c>
      <c r="D359" s="23" t="s">
        <v>147</v>
      </c>
      <c r="E359" s="23" t="s">
        <v>256</v>
      </c>
      <c r="F359" s="22" t="s">
        <v>57</v>
      </c>
      <c r="G359" s="23" t="s">
        <v>121</v>
      </c>
      <c r="H359" s="24" t="n">
        <v>1</v>
      </c>
      <c r="I359" s="14" t="n">
        <v>0.0875</v>
      </c>
      <c r="J359" s="25" t="s">
        <v>59</v>
      </c>
      <c r="K359" s="25"/>
      <c r="L359" s="25" t="s">
        <v>59</v>
      </c>
      <c r="M359" s="25"/>
      <c r="N359" s="25" t="s">
        <v>59</v>
      </c>
      <c r="O359" s="25"/>
      <c r="P359" s="14" t="n">
        <v>0.2187</v>
      </c>
      <c r="Q359" s="14" t="n">
        <f aca="false">IF(AND($J359="Yes",$G359&lt;&gt;"Vendor day rates"),$I359-0.4*$P359,0)</f>
        <v>0</v>
      </c>
      <c r="R359" s="26" t="n">
        <f aca="false">IFERROR(MATCH($K359,MonthList,0),0)</f>
        <v>0</v>
      </c>
      <c r="S359" s="14" t="n">
        <f aca="false">IF(OR($J359&lt;&gt;"Yes",$K359=""),0,$Q359*MAX(0,7-$R359)/12)</f>
        <v>0</v>
      </c>
      <c r="T359" s="14" t="n">
        <f aca="false">IF(OR($J359&lt;&gt;"Yes",$K359=""),0,$Q359*IF($R359&lt;=7,12,19-$R359)/12)</f>
        <v>0</v>
      </c>
      <c r="U359" s="14" t="n">
        <f aca="false">IF(AND($L359="Yes",$G359&lt;&gt;"Vendor day rates"),$I359-0.4*$P359,0)</f>
        <v>0</v>
      </c>
      <c r="V359" s="26" t="n">
        <f aca="false">IFERROR(MATCH($M359,MonthList,0),0)</f>
        <v>0</v>
      </c>
      <c r="W359" s="14" t="n">
        <f aca="false">IF(OR($L359&lt;&gt;"Yes",$M359=""),0,$U359*MAX(0,7-$V359)/12)</f>
        <v>0</v>
      </c>
      <c r="X359" s="14" t="n">
        <f aca="false">IF(OR($L359&lt;&gt;"Yes",$M359=""),0,$U359*IF($V359&lt;=7,12,19-$V359)/12)</f>
        <v>0</v>
      </c>
      <c r="Y359" s="14" t="n">
        <f aca="false">IF(AND($N359="Yes",$G359&lt;&gt;"Vendor day rates"),$I359-0.4*$P359,0)</f>
        <v>0</v>
      </c>
      <c r="Z359" s="26" t="n">
        <f aca="false">IFERROR(MATCH($O359,MonthList,0),0)</f>
        <v>0</v>
      </c>
      <c r="AA359" s="14" t="n">
        <f aca="false">IF(OR($N359&lt;&gt;"Yes",$O359=""),0,$Y359*MAX(0,7-$Z359)/12)</f>
        <v>0</v>
      </c>
      <c r="AB359" s="14" t="n">
        <f aca="false">IF(OR($N359&lt;&gt;"Yes",$O359=""),0,$Y359*IF($Z359&lt;=7,12,19-$Z359)/12)</f>
        <v>0</v>
      </c>
      <c r="AC359" s="26" t="str">
        <f aca="false">IF(OR($J359="Yes",$L359="Yes",$N359="Yes"),"Yes","No")</f>
        <v>No</v>
      </c>
      <c r="AD359" s="14" t="n">
        <f aca="false">MAX($Q359,$U359,$Y359)</f>
        <v>0</v>
      </c>
      <c r="AE359" s="26" t="n">
        <f aca="false">$AD359+ROW()*0.000000001</f>
        <v>3.59E-007</v>
      </c>
      <c r="AF359" s="26" t="str">
        <f aca="false">IF($J359="Yes","A","")&amp;IF($L359="Yes","B","")&amp;IF($N359="Yes","C","")</f>
        <v/>
      </c>
    </row>
    <row r="360" customFormat="false" ht="15" hidden="false" customHeight="false" outlineLevel="0" collapsed="false">
      <c r="B360" s="22" t="s">
        <v>731</v>
      </c>
      <c r="C360" s="23" t="s">
        <v>611</v>
      </c>
      <c r="D360" s="23" t="s">
        <v>212</v>
      </c>
      <c r="E360" s="23" t="s">
        <v>575</v>
      </c>
      <c r="F360" s="22" t="s">
        <v>57</v>
      </c>
      <c r="G360" s="23" t="s">
        <v>58</v>
      </c>
      <c r="H360" s="24" t="n">
        <v>1</v>
      </c>
      <c r="I360" s="14" t="n">
        <v>0.1766</v>
      </c>
      <c r="J360" s="25" t="s">
        <v>59</v>
      </c>
      <c r="K360" s="25"/>
      <c r="L360" s="25" t="s">
        <v>59</v>
      </c>
      <c r="M360" s="25"/>
      <c r="N360" s="25" t="s">
        <v>59</v>
      </c>
      <c r="O360" s="25"/>
      <c r="P360" s="14" t="n">
        <v>0.1766</v>
      </c>
      <c r="Q360" s="14" t="n">
        <f aca="false">IF(AND($J360="Yes",$G360&lt;&gt;"Vendor day rates"),$I360-0.4*$P360,0)</f>
        <v>0</v>
      </c>
      <c r="R360" s="26" t="n">
        <f aca="false">IFERROR(MATCH($K360,MonthList,0),0)</f>
        <v>0</v>
      </c>
      <c r="S360" s="14" t="n">
        <f aca="false">IF(OR($J360&lt;&gt;"Yes",$K360=""),0,$Q360*MAX(0,7-$R360)/12)</f>
        <v>0</v>
      </c>
      <c r="T360" s="14" t="n">
        <f aca="false">IF(OR($J360&lt;&gt;"Yes",$K360=""),0,$Q360*IF($R360&lt;=7,12,19-$R360)/12)</f>
        <v>0</v>
      </c>
      <c r="U360" s="14" t="n">
        <f aca="false">IF(AND($L360="Yes",$G360&lt;&gt;"Vendor day rates"),$I360-0.4*$P360,0)</f>
        <v>0</v>
      </c>
      <c r="V360" s="26" t="n">
        <f aca="false">IFERROR(MATCH($M360,MonthList,0),0)</f>
        <v>0</v>
      </c>
      <c r="W360" s="14" t="n">
        <f aca="false">IF(OR($L360&lt;&gt;"Yes",$M360=""),0,$U360*MAX(0,7-$V360)/12)</f>
        <v>0</v>
      </c>
      <c r="X360" s="14" t="n">
        <f aca="false">IF(OR($L360&lt;&gt;"Yes",$M360=""),0,$U360*IF($V360&lt;=7,12,19-$V360)/12)</f>
        <v>0</v>
      </c>
      <c r="Y360" s="14" t="n">
        <f aca="false">IF(AND($N360="Yes",$G360&lt;&gt;"Vendor day rates"),$I360-0.4*$P360,0)</f>
        <v>0</v>
      </c>
      <c r="Z360" s="26" t="n">
        <f aca="false">IFERROR(MATCH($O360,MonthList,0),0)</f>
        <v>0</v>
      </c>
      <c r="AA360" s="14" t="n">
        <f aca="false">IF(OR($N360&lt;&gt;"Yes",$O360=""),0,$Y360*MAX(0,7-$Z360)/12)</f>
        <v>0</v>
      </c>
      <c r="AB360" s="14" t="n">
        <f aca="false">IF(OR($N360&lt;&gt;"Yes",$O360=""),0,$Y360*IF($Z360&lt;=7,12,19-$Z360)/12)</f>
        <v>0</v>
      </c>
      <c r="AC360" s="26" t="str">
        <f aca="false">IF(OR($J360="Yes",$L360="Yes",$N360="Yes"),"Yes","No")</f>
        <v>No</v>
      </c>
      <c r="AD360" s="14" t="n">
        <f aca="false">MAX($Q360,$U360,$Y360)</f>
        <v>0</v>
      </c>
      <c r="AE360" s="26" t="n">
        <f aca="false">$AD360+ROW()*0.000000001</f>
        <v>3.6E-007</v>
      </c>
      <c r="AF360" s="26" t="str">
        <f aca="false">IF($J360="Yes","A","")&amp;IF($L360="Yes","B","")&amp;IF($N360="Yes","C","")</f>
        <v/>
      </c>
    </row>
    <row r="361" customFormat="false" ht="15" hidden="false" customHeight="false" outlineLevel="0" collapsed="false">
      <c r="B361" s="22" t="s">
        <v>732</v>
      </c>
      <c r="C361" s="23" t="s">
        <v>611</v>
      </c>
      <c r="D361" s="23" t="s">
        <v>212</v>
      </c>
      <c r="E361" s="23" t="s">
        <v>575</v>
      </c>
      <c r="F361" s="22" t="s">
        <v>57</v>
      </c>
      <c r="G361" s="23" t="s">
        <v>58</v>
      </c>
      <c r="H361" s="24" t="n">
        <v>1</v>
      </c>
      <c r="I361" s="14" t="n">
        <v>0.1344</v>
      </c>
      <c r="J361" s="25" t="s">
        <v>59</v>
      </c>
      <c r="K361" s="25"/>
      <c r="L361" s="25" t="s">
        <v>59</v>
      </c>
      <c r="M361" s="25"/>
      <c r="N361" s="25" t="s">
        <v>59</v>
      </c>
      <c r="O361" s="25"/>
      <c r="P361" s="14" t="n">
        <v>0.1344</v>
      </c>
      <c r="Q361" s="14" t="n">
        <f aca="false">IF(AND($J361="Yes",$G361&lt;&gt;"Vendor day rates"),$I361-0.4*$P361,0)</f>
        <v>0</v>
      </c>
      <c r="R361" s="26" t="n">
        <f aca="false">IFERROR(MATCH($K361,MonthList,0),0)</f>
        <v>0</v>
      </c>
      <c r="S361" s="14" t="n">
        <f aca="false">IF(OR($J361&lt;&gt;"Yes",$K361=""),0,$Q361*MAX(0,7-$R361)/12)</f>
        <v>0</v>
      </c>
      <c r="T361" s="14" t="n">
        <f aca="false">IF(OR($J361&lt;&gt;"Yes",$K361=""),0,$Q361*IF($R361&lt;=7,12,19-$R361)/12)</f>
        <v>0</v>
      </c>
      <c r="U361" s="14" t="n">
        <f aca="false">IF(AND($L361="Yes",$G361&lt;&gt;"Vendor day rates"),$I361-0.4*$P361,0)</f>
        <v>0</v>
      </c>
      <c r="V361" s="26" t="n">
        <f aca="false">IFERROR(MATCH($M361,MonthList,0),0)</f>
        <v>0</v>
      </c>
      <c r="W361" s="14" t="n">
        <f aca="false">IF(OR($L361&lt;&gt;"Yes",$M361=""),0,$U361*MAX(0,7-$V361)/12)</f>
        <v>0</v>
      </c>
      <c r="X361" s="14" t="n">
        <f aca="false">IF(OR($L361&lt;&gt;"Yes",$M361=""),0,$U361*IF($V361&lt;=7,12,19-$V361)/12)</f>
        <v>0</v>
      </c>
      <c r="Y361" s="14" t="n">
        <f aca="false">IF(AND($N361="Yes",$G361&lt;&gt;"Vendor day rates"),$I361-0.4*$P361,0)</f>
        <v>0</v>
      </c>
      <c r="Z361" s="26" t="n">
        <f aca="false">IFERROR(MATCH($O361,MonthList,0),0)</f>
        <v>0</v>
      </c>
      <c r="AA361" s="14" t="n">
        <f aca="false">IF(OR($N361&lt;&gt;"Yes",$O361=""),0,$Y361*MAX(0,7-$Z361)/12)</f>
        <v>0</v>
      </c>
      <c r="AB361" s="14" t="n">
        <f aca="false">IF(OR($N361&lt;&gt;"Yes",$O361=""),0,$Y361*IF($Z361&lt;=7,12,19-$Z361)/12)</f>
        <v>0</v>
      </c>
      <c r="AC361" s="26" t="str">
        <f aca="false">IF(OR($J361="Yes",$L361="Yes",$N361="Yes"),"Yes","No")</f>
        <v>No</v>
      </c>
      <c r="AD361" s="14" t="n">
        <f aca="false">MAX($Q361,$U361,$Y361)</f>
        <v>0</v>
      </c>
      <c r="AE361" s="26" t="n">
        <f aca="false">$AD361+ROW()*0.000000001</f>
        <v>3.61E-007</v>
      </c>
      <c r="AF361" s="26" t="str">
        <f aca="false">IF($J361="Yes","A","")&amp;IF($L361="Yes","B","")&amp;IF($N361="Yes","C","")</f>
        <v/>
      </c>
    </row>
    <row r="362" customFormat="false" ht="15" hidden="false" customHeight="false" outlineLevel="0" collapsed="false">
      <c r="B362" s="22" t="s">
        <v>733</v>
      </c>
      <c r="C362" s="23" t="s">
        <v>611</v>
      </c>
      <c r="D362" s="23" t="s">
        <v>212</v>
      </c>
      <c r="E362" s="23" t="s">
        <v>575</v>
      </c>
      <c r="F362" s="22" t="s">
        <v>57</v>
      </c>
      <c r="G362" s="23" t="s">
        <v>58</v>
      </c>
      <c r="H362" s="24" t="n">
        <v>1</v>
      </c>
      <c r="I362" s="14" t="n">
        <v>0.1621</v>
      </c>
      <c r="J362" s="25" t="s">
        <v>59</v>
      </c>
      <c r="K362" s="25"/>
      <c r="L362" s="25" t="s">
        <v>59</v>
      </c>
      <c r="M362" s="25"/>
      <c r="N362" s="25" t="s">
        <v>59</v>
      </c>
      <c r="O362" s="25"/>
      <c r="P362" s="14" t="n">
        <v>0.1621</v>
      </c>
      <c r="Q362" s="14" t="n">
        <f aca="false">IF(AND($J362="Yes",$G362&lt;&gt;"Vendor day rates"),$I362-0.4*$P362,0)</f>
        <v>0</v>
      </c>
      <c r="R362" s="26" t="n">
        <f aca="false">IFERROR(MATCH($K362,MonthList,0),0)</f>
        <v>0</v>
      </c>
      <c r="S362" s="14" t="n">
        <f aca="false">IF(OR($J362&lt;&gt;"Yes",$K362=""),0,$Q362*MAX(0,7-$R362)/12)</f>
        <v>0</v>
      </c>
      <c r="T362" s="14" t="n">
        <f aca="false">IF(OR($J362&lt;&gt;"Yes",$K362=""),0,$Q362*IF($R362&lt;=7,12,19-$R362)/12)</f>
        <v>0</v>
      </c>
      <c r="U362" s="14" t="n">
        <f aca="false">IF(AND($L362="Yes",$G362&lt;&gt;"Vendor day rates"),$I362-0.4*$P362,0)</f>
        <v>0</v>
      </c>
      <c r="V362" s="26" t="n">
        <f aca="false">IFERROR(MATCH($M362,MonthList,0),0)</f>
        <v>0</v>
      </c>
      <c r="W362" s="14" t="n">
        <f aca="false">IF(OR($L362&lt;&gt;"Yes",$M362=""),0,$U362*MAX(0,7-$V362)/12)</f>
        <v>0</v>
      </c>
      <c r="X362" s="14" t="n">
        <f aca="false">IF(OR($L362&lt;&gt;"Yes",$M362=""),0,$U362*IF($V362&lt;=7,12,19-$V362)/12)</f>
        <v>0</v>
      </c>
      <c r="Y362" s="14" t="n">
        <f aca="false">IF(AND($N362="Yes",$G362&lt;&gt;"Vendor day rates"),$I362-0.4*$P362,0)</f>
        <v>0</v>
      </c>
      <c r="Z362" s="26" t="n">
        <f aca="false">IFERROR(MATCH($O362,MonthList,0),0)</f>
        <v>0</v>
      </c>
      <c r="AA362" s="14" t="n">
        <f aca="false">IF(OR($N362&lt;&gt;"Yes",$O362=""),0,$Y362*MAX(0,7-$Z362)/12)</f>
        <v>0</v>
      </c>
      <c r="AB362" s="14" t="n">
        <f aca="false">IF(OR($N362&lt;&gt;"Yes",$O362=""),0,$Y362*IF($Z362&lt;=7,12,19-$Z362)/12)</f>
        <v>0</v>
      </c>
      <c r="AC362" s="26" t="str">
        <f aca="false">IF(OR($J362="Yes",$L362="Yes",$N362="Yes"),"Yes","No")</f>
        <v>No</v>
      </c>
      <c r="AD362" s="14" t="n">
        <f aca="false">MAX($Q362,$U362,$Y362)</f>
        <v>0</v>
      </c>
      <c r="AE362" s="26" t="n">
        <f aca="false">$AD362+ROW()*0.000000001</f>
        <v>3.62E-007</v>
      </c>
      <c r="AF362" s="26" t="str">
        <f aca="false">IF($J362="Yes","A","")&amp;IF($L362="Yes","B","")&amp;IF($N362="Yes","C","")</f>
        <v/>
      </c>
    </row>
    <row r="363" customFormat="false" ht="15" hidden="false" customHeight="false" outlineLevel="0" collapsed="false">
      <c r="B363" s="22" t="s">
        <v>734</v>
      </c>
      <c r="C363" s="23" t="s">
        <v>611</v>
      </c>
      <c r="D363" s="23" t="s">
        <v>212</v>
      </c>
      <c r="E363" s="23" t="s">
        <v>575</v>
      </c>
      <c r="F363" s="22" t="s">
        <v>57</v>
      </c>
      <c r="G363" s="23" t="s">
        <v>58</v>
      </c>
      <c r="H363" s="24" t="n">
        <v>1</v>
      </c>
      <c r="I363" s="14" t="n">
        <v>0.2032</v>
      </c>
      <c r="J363" s="25" t="s">
        <v>59</v>
      </c>
      <c r="K363" s="25"/>
      <c r="L363" s="25" t="s">
        <v>59</v>
      </c>
      <c r="M363" s="25"/>
      <c r="N363" s="25" t="s">
        <v>59</v>
      </c>
      <c r="O363" s="25"/>
      <c r="P363" s="14" t="n">
        <v>0.2032</v>
      </c>
      <c r="Q363" s="14" t="n">
        <f aca="false">IF(AND($J363="Yes",$G363&lt;&gt;"Vendor day rates"),$I363-0.4*$P363,0)</f>
        <v>0</v>
      </c>
      <c r="R363" s="26" t="n">
        <f aca="false">IFERROR(MATCH($K363,MonthList,0),0)</f>
        <v>0</v>
      </c>
      <c r="S363" s="14" t="n">
        <f aca="false">IF(OR($J363&lt;&gt;"Yes",$K363=""),0,$Q363*MAX(0,7-$R363)/12)</f>
        <v>0</v>
      </c>
      <c r="T363" s="14" t="n">
        <f aca="false">IF(OR($J363&lt;&gt;"Yes",$K363=""),0,$Q363*IF($R363&lt;=7,12,19-$R363)/12)</f>
        <v>0</v>
      </c>
      <c r="U363" s="14" t="n">
        <f aca="false">IF(AND($L363="Yes",$G363&lt;&gt;"Vendor day rates"),$I363-0.4*$P363,0)</f>
        <v>0</v>
      </c>
      <c r="V363" s="26" t="n">
        <f aca="false">IFERROR(MATCH($M363,MonthList,0),0)</f>
        <v>0</v>
      </c>
      <c r="W363" s="14" t="n">
        <f aca="false">IF(OR($L363&lt;&gt;"Yes",$M363=""),0,$U363*MAX(0,7-$V363)/12)</f>
        <v>0</v>
      </c>
      <c r="X363" s="14" t="n">
        <f aca="false">IF(OR($L363&lt;&gt;"Yes",$M363=""),0,$U363*IF($V363&lt;=7,12,19-$V363)/12)</f>
        <v>0</v>
      </c>
      <c r="Y363" s="14" t="n">
        <f aca="false">IF(AND($N363="Yes",$G363&lt;&gt;"Vendor day rates"),$I363-0.4*$P363,0)</f>
        <v>0</v>
      </c>
      <c r="Z363" s="26" t="n">
        <f aca="false">IFERROR(MATCH($O363,MonthList,0),0)</f>
        <v>0</v>
      </c>
      <c r="AA363" s="14" t="n">
        <f aca="false">IF(OR($N363&lt;&gt;"Yes",$O363=""),0,$Y363*MAX(0,7-$Z363)/12)</f>
        <v>0</v>
      </c>
      <c r="AB363" s="14" t="n">
        <f aca="false">IF(OR($N363&lt;&gt;"Yes",$O363=""),0,$Y363*IF($Z363&lt;=7,12,19-$Z363)/12)</f>
        <v>0</v>
      </c>
      <c r="AC363" s="26" t="str">
        <f aca="false">IF(OR($J363="Yes",$L363="Yes",$N363="Yes"),"Yes","No")</f>
        <v>No</v>
      </c>
      <c r="AD363" s="14" t="n">
        <f aca="false">MAX($Q363,$U363,$Y363)</f>
        <v>0</v>
      </c>
      <c r="AE363" s="26" t="n">
        <f aca="false">$AD363+ROW()*0.000000001</f>
        <v>3.63E-007</v>
      </c>
      <c r="AF363" s="26" t="str">
        <f aca="false">IF($J363="Yes","A","")&amp;IF($L363="Yes","B","")&amp;IF($N363="Yes","C","")</f>
        <v/>
      </c>
    </row>
    <row r="364" customFormat="false" ht="15" hidden="false" customHeight="false" outlineLevel="0" collapsed="false">
      <c r="B364" s="22" t="s">
        <v>735</v>
      </c>
      <c r="C364" s="23" t="s">
        <v>736</v>
      </c>
      <c r="D364" s="23" t="s">
        <v>212</v>
      </c>
      <c r="E364" s="23" t="s">
        <v>575</v>
      </c>
      <c r="F364" s="22" t="s">
        <v>57</v>
      </c>
      <c r="G364" s="23" t="s">
        <v>476</v>
      </c>
      <c r="H364" s="24" t="n">
        <v>1</v>
      </c>
      <c r="I364" s="14" t="n">
        <v>0.0682</v>
      </c>
      <c r="J364" s="25" t="s">
        <v>59</v>
      </c>
      <c r="K364" s="25"/>
      <c r="L364" s="25" t="s">
        <v>59</v>
      </c>
      <c r="M364" s="25"/>
      <c r="N364" s="25" t="s">
        <v>59</v>
      </c>
      <c r="O364" s="25"/>
      <c r="P364" s="14" t="n">
        <v>0.1705</v>
      </c>
      <c r="Q364" s="14" t="n">
        <f aca="false">IF(AND($J364="Yes",$G364&lt;&gt;"Vendor day rates"),$I364-0.4*$P364,0)</f>
        <v>0</v>
      </c>
      <c r="R364" s="26" t="n">
        <f aca="false">IFERROR(MATCH($K364,MonthList,0),0)</f>
        <v>0</v>
      </c>
      <c r="S364" s="14" t="n">
        <f aca="false">IF(OR($J364&lt;&gt;"Yes",$K364=""),0,$Q364*MAX(0,7-$R364)/12)</f>
        <v>0</v>
      </c>
      <c r="T364" s="14" t="n">
        <f aca="false">IF(OR($J364&lt;&gt;"Yes",$K364=""),0,$Q364*IF($R364&lt;=7,12,19-$R364)/12)</f>
        <v>0</v>
      </c>
      <c r="U364" s="14" t="n">
        <f aca="false">IF(AND($L364="Yes",$G364&lt;&gt;"Vendor day rates"),$I364-0.4*$P364,0)</f>
        <v>0</v>
      </c>
      <c r="V364" s="26" t="n">
        <f aca="false">IFERROR(MATCH($M364,MonthList,0),0)</f>
        <v>0</v>
      </c>
      <c r="W364" s="14" t="n">
        <f aca="false">IF(OR($L364&lt;&gt;"Yes",$M364=""),0,$U364*MAX(0,7-$V364)/12)</f>
        <v>0</v>
      </c>
      <c r="X364" s="14" t="n">
        <f aca="false">IF(OR($L364&lt;&gt;"Yes",$M364=""),0,$U364*IF($V364&lt;=7,12,19-$V364)/12)</f>
        <v>0</v>
      </c>
      <c r="Y364" s="14" t="n">
        <f aca="false">IF(AND($N364="Yes",$G364&lt;&gt;"Vendor day rates"),$I364-0.4*$P364,0)</f>
        <v>0</v>
      </c>
      <c r="Z364" s="26" t="n">
        <f aca="false">IFERROR(MATCH($O364,MonthList,0),0)</f>
        <v>0</v>
      </c>
      <c r="AA364" s="14" t="n">
        <f aca="false">IF(OR($N364&lt;&gt;"Yes",$O364=""),0,$Y364*MAX(0,7-$Z364)/12)</f>
        <v>0</v>
      </c>
      <c r="AB364" s="14" t="n">
        <f aca="false">IF(OR($N364&lt;&gt;"Yes",$O364=""),0,$Y364*IF($Z364&lt;=7,12,19-$Z364)/12)</f>
        <v>0</v>
      </c>
      <c r="AC364" s="26" t="str">
        <f aca="false">IF(OR($J364="Yes",$L364="Yes",$N364="Yes"),"Yes","No")</f>
        <v>No</v>
      </c>
      <c r="AD364" s="14" t="n">
        <f aca="false">MAX($Q364,$U364,$Y364)</f>
        <v>0</v>
      </c>
      <c r="AE364" s="26" t="n">
        <f aca="false">$AD364+ROW()*0.000000001</f>
        <v>3.64E-007</v>
      </c>
      <c r="AF364" s="26" t="str">
        <f aca="false">IF($J364="Yes","A","")&amp;IF($L364="Yes","B","")&amp;IF($N364="Yes","C","")</f>
        <v/>
      </c>
    </row>
    <row r="365" customFormat="false" ht="15" hidden="false" customHeight="false" outlineLevel="0" collapsed="false">
      <c r="B365" s="22" t="s">
        <v>737</v>
      </c>
      <c r="C365" s="23" t="s">
        <v>611</v>
      </c>
      <c r="D365" s="23" t="s">
        <v>212</v>
      </c>
      <c r="E365" s="23" t="s">
        <v>575</v>
      </c>
      <c r="F365" s="22" t="s">
        <v>57</v>
      </c>
      <c r="G365" s="23" t="s">
        <v>58</v>
      </c>
      <c r="H365" s="24" t="n">
        <v>1</v>
      </c>
      <c r="I365" s="14" t="n">
        <v>0.1936</v>
      </c>
      <c r="J365" s="25" t="s">
        <v>59</v>
      </c>
      <c r="K365" s="25"/>
      <c r="L365" s="25" t="s">
        <v>59</v>
      </c>
      <c r="M365" s="25"/>
      <c r="N365" s="25" t="s">
        <v>59</v>
      </c>
      <c r="O365" s="25"/>
      <c r="P365" s="14" t="n">
        <v>0.1936</v>
      </c>
      <c r="Q365" s="14" t="n">
        <f aca="false">IF(AND($J365="Yes",$G365&lt;&gt;"Vendor day rates"),$I365-0.4*$P365,0)</f>
        <v>0</v>
      </c>
      <c r="R365" s="26" t="n">
        <f aca="false">IFERROR(MATCH($K365,MonthList,0),0)</f>
        <v>0</v>
      </c>
      <c r="S365" s="14" t="n">
        <f aca="false">IF(OR($J365&lt;&gt;"Yes",$K365=""),0,$Q365*MAX(0,7-$R365)/12)</f>
        <v>0</v>
      </c>
      <c r="T365" s="14" t="n">
        <f aca="false">IF(OR($J365&lt;&gt;"Yes",$K365=""),0,$Q365*IF($R365&lt;=7,12,19-$R365)/12)</f>
        <v>0</v>
      </c>
      <c r="U365" s="14" t="n">
        <f aca="false">IF(AND($L365="Yes",$G365&lt;&gt;"Vendor day rates"),$I365-0.4*$P365,0)</f>
        <v>0</v>
      </c>
      <c r="V365" s="26" t="n">
        <f aca="false">IFERROR(MATCH($M365,MonthList,0),0)</f>
        <v>0</v>
      </c>
      <c r="W365" s="14" t="n">
        <f aca="false">IF(OR($L365&lt;&gt;"Yes",$M365=""),0,$U365*MAX(0,7-$V365)/12)</f>
        <v>0</v>
      </c>
      <c r="X365" s="14" t="n">
        <f aca="false">IF(OR($L365&lt;&gt;"Yes",$M365=""),0,$U365*IF($V365&lt;=7,12,19-$V365)/12)</f>
        <v>0</v>
      </c>
      <c r="Y365" s="14" t="n">
        <f aca="false">IF(AND($N365="Yes",$G365&lt;&gt;"Vendor day rates"),$I365-0.4*$P365,0)</f>
        <v>0</v>
      </c>
      <c r="Z365" s="26" t="n">
        <f aca="false">IFERROR(MATCH($O365,MonthList,0),0)</f>
        <v>0</v>
      </c>
      <c r="AA365" s="14" t="n">
        <f aca="false">IF(OR($N365&lt;&gt;"Yes",$O365=""),0,$Y365*MAX(0,7-$Z365)/12)</f>
        <v>0</v>
      </c>
      <c r="AB365" s="14" t="n">
        <f aca="false">IF(OR($N365&lt;&gt;"Yes",$O365=""),0,$Y365*IF($Z365&lt;=7,12,19-$Z365)/12)</f>
        <v>0</v>
      </c>
      <c r="AC365" s="26" t="str">
        <f aca="false">IF(OR($J365="Yes",$L365="Yes",$N365="Yes"),"Yes","No")</f>
        <v>No</v>
      </c>
      <c r="AD365" s="14" t="n">
        <f aca="false">MAX($Q365,$U365,$Y365)</f>
        <v>0</v>
      </c>
      <c r="AE365" s="26" t="n">
        <f aca="false">$AD365+ROW()*0.000000001</f>
        <v>3.65E-007</v>
      </c>
      <c r="AF365" s="26" t="str">
        <f aca="false">IF($J365="Yes","A","")&amp;IF($L365="Yes","B","")&amp;IF($N365="Yes","C","")</f>
        <v/>
      </c>
    </row>
    <row r="366" customFormat="false" ht="15" hidden="false" customHeight="false" outlineLevel="0" collapsed="false">
      <c r="B366" s="22" t="s">
        <v>738</v>
      </c>
      <c r="C366" s="23" t="s">
        <v>611</v>
      </c>
      <c r="D366" s="23" t="s">
        <v>212</v>
      </c>
      <c r="E366" s="23" t="s">
        <v>575</v>
      </c>
      <c r="F366" s="22" t="s">
        <v>57</v>
      </c>
      <c r="G366" s="23" t="s">
        <v>58</v>
      </c>
      <c r="H366" s="24" t="n">
        <v>1</v>
      </c>
      <c r="I366" s="14" t="n">
        <v>0.2391</v>
      </c>
      <c r="J366" s="25" t="s">
        <v>59</v>
      </c>
      <c r="K366" s="25"/>
      <c r="L366" s="25" t="s">
        <v>59</v>
      </c>
      <c r="M366" s="25"/>
      <c r="N366" s="25" t="s">
        <v>59</v>
      </c>
      <c r="O366" s="25"/>
      <c r="P366" s="14" t="n">
        <v>0.2391</v>
      </c>
      <c r="Q366" s="14" t="n">
        <f aca="false">IF(AND($J366="Yes",$G366&lt;&gt;"Vendor day rates"),$I366-0.4*$P366,0)</f>
        <v>0</v>
      </c>
      <c r="R366" s="26" t="n">
        <f aca="false">IFERROR(MATCH($K366,MonthList,0),0)</f>
        <v>0</v>
      </c>
      <c r="S366" s="14" t="n">
        <f aca="false">IF(OR($J366&lt;&gt;"Yes",$K366=""),0,$Q366*MAX(0,7-$R366)/12)</f>
        <v>0</v>
      </c>
      <c r="T366" s="14" t="n">
        <f aca="false">IF(OR($J366&lt;&gt;"Yes",$K366=""),0,$Q366*IF($R366&lt;=7,12,19-$R366)/12)</f>
        <v>0</v>
      </c>
      <c r="U366" s="14" t="n">
        <f aca="false">IF(AND($L366="Yes",$G366&lt;&gt;"Vendor day rates"),$I366-0.4*$P366,0)</f>
        <v>0</v>
      </c>
      <c r="V366" s="26" t="n">
        <f aca="false">IFERROR(MATCH($M366,MonthList,0),0)</f>
        <v>0</v>
      </c>
      <c r="W366" s="14" t="n">
        <f aca="false">IF(OR($L366&lt;&gt;"Yes",$M366=""),0,$U366*MAX(0,7-$V366)/12)</f>
        <v>0</v>
      </c>
      <c r="X366" s="14" t="n">
        <f aca="false">IF(OR($L366&lt;&gt;"Yes",$M366=""),0,$U366*IF($V366&lt;=7,12,19-$V366)/12)</f>
        <v>0</v>
      </c>
      <c r="Y366" s="14" t="n">
        <f aca="false">IF(AND($N366="Yes",$G366&lt;&gt;"Vendor day rates"),$I366-0.4*$P366,0)</f>
        <v>0</v>
      </c>
      <c r="Z366" s="26" t="n">
        <f aca="false">IFERROR(MATCH($O366,MonthList,0),0)</f>
        <v>0</v>
      </c>
      <c r="AA366" s="14" t="n">
        <f aca="false">IF(OR($N366&lt;&gt;"Yes",$O366=""),0,$Y366*MAX(0,7-$Z366)/12)</f>
        <v>0</v>
      </c>
      <c r="AB366" s="14" t="n">
        <f aca="false">IF(OR($N366&lt;&gt;"Yes",$O366=""),0,$Y366*IF($Z366&lt;=7,12,19-$Z366)/12)</f>
        <v>0</v>
      </c>
      <c r="AC366" s="26" t="str">
        <f aca="false">IF(OR($J366="Yes",$L366="Yes",$N366="Yes"),"Yes","No")</f>
        <v>No</v>
      </c>
      <c r="AD366" s="14" t="n">
        <f aca="false">MAX($Q366,$U366,$Y366)</f>
        <v>0</v>
      </c>
      <c r="AE366" s="26" t="n">
        <f aca="false">$AD366+ROW()*0.000000001</f>
        <v>3.66E-007</v>
      </c>
      <c r="AF366" s="26" t="str">
        <f aca="false">IF($J366="Yes","A","")&amp;IF($L366="Yes","B","")&amp;IF($N366="Yes","C","")</f>
        <v/>
      </c>
    </row>
    <row r="367" customFormat="false" ht="15" hidden="false" customHeight="false" outlineLevel="0" collapsed="false">
      <c r="B367" s="22" t="s">
        <v>739</v>
      </c>
      <c r="C367" s="23" t="s">
        <v>490</v>
      </c>
      <c r="D367" s="23" t="s">
        <v>158</v>
      </c>
      <c r="E367" s="23" t="s">
        <v>491</v>
      </c>
      <c r="F367" s="22" t="s">
        <v>57</v>
      </c>
      <c r="G367" s="23" t="s">
        <v>58</v>
      </c>
      <c r="H367" s="24" t="n">
        <v>1</v>
      </c>
      <c r="I367" s="14" t="n">
        <v>0.2033</v>
      </c>
      <c r="J367" s="25" t="s">
        <v>59</v>
      </c>
      <c r="K367" s="25"/>
      <c r="L367" s="25" t="s">
        <v>59</v>
      </c>
      <c r="M367" s="25"/>
      <c r="N367" s="25" t="s">
        <v>59</v>
      </c>
      <c r="O367" s="25"/>
      <c r="P367" s="14" t="n">
        <v>0.2033</v>
      </c>
      <c r="Q367" s="14" t="n">
        <f aca="false">IF(AND($J367="Yes",$G367&lt;&gt;"Vendor day rates"),$I367-0.4*$P367,0)</f>
        <v>0</v>
      </c>
      <c r="R367" s="26" t="n">
        <f aca="false">IFERROR(MATCH($K367,MonthList,0),0)</f>
        <v>0</v>
      </c>
      <c r="S367" s="14" t="n">
        <f aca="false">IF(OR($J367&lt;&gt;"Yes",$K367=""),0,$Q367*MAX(0,7-$R367)/12)</f>
        <v>0</v>
      </c>
      <c r="T367" s="14" t="n">
        <f aca="false">IF(OR($J367&lt;&gt;"Yes",$K367=""),0,$Q367*IF($R367&lt;=7,12,19-$R367)/12)</f>
        <v>0</v>
      </c>
      <c r="U367" s="14" t="n">
        <f aca="false">IF(AND($L367="Yes",$G367&lt;&gt;"Vendor day rates"),$I367-0.4*$P367,0)</f>
        <v>0</v>
      </c>
      <c r="V367" s="26" t="n">
        <f aca="false">IFERROR(MATCH($M367,MonthList,0),0)</f>
        <v>0</v>
      </c>
      <c r="W367" s="14" t="n">
        <f aca="false">IF(OR($L367&lt;&gt;"Yes",$M367=""),0,$U367*MAX(0,7-$V367)/12)</f>
        <v>0</v>
      </c>
      <c r="X367" s="14" t="n">
        <f aca="false">IF(OR($L367&lt;&gt;"Yes",$M367=""),0,$U367*IF($V367&lt;=7,12,19-$V367)/12)</f>
        <v>0</v>
      </c>
      <c r="Y367" s="14" t="n">
        <f aca="false">IF(AND($N367="Yes",$G367&lt;&gt;"Vendor day rates"),$I367-0.4*$P367,0)</f>
        <v>0</v>
      </c>
      <c r="Z367" s="26" t="n">
        <f aca="false">IFERROR(MATCH($O367,MonthList,0),0)</f>
        <v>0</v>
      </c>
      <c r="AA367" s="14" t="n">
        <f aca="false">IF(OR($N367&lt;&gt;"Yes",$O367=""),0,$Y367*MAX(0,7-$Z367)/12)</f>
        <v>0</v>
      </c>
      <c r="AB367" s="14" t="n">
        <f aca="false">IF(OR($N367&lt;&gt;"Yes",$O367=""),0,$Y367*IF($Z367&lt;=7,12,19-$Z367)/12)</f>
        <v>0</v>
      </c>
      <c r="AC367" s="26" t="str">
        <f aca="false">IF(OR($J367="Yes",$L367="Yes",$N367="Yes"),"Yes","No")</f>
        <v>No</v>
      </c>
      <c r="AD367" s="14" t="n">
        <f aca="false">MAX($Q367,$U367,$Y367)</f>
        <v>0</v>
      </c>
      <c r="AE367" s="26" t="n">
        <f aca="false">$AD367+ROW()*0.000000001</f>
        <v>3.67E-007</v>
      </c>
      <c r="AF367" s="26" t="str">
        <f aca="false">IF($J367="Yes","A","")&amp;IF($L367="Yes","B","")&amp;IF($N367="Yes","C","")</f>
        <v/>
      </c>
    </row>
    <row r="368" customFormat="false" ht="15" hidden="false" customHeight="false" outlineLevel="0" collapsed="false">
      <c r="B368" s="22" t="s">
        <v>740</v>
      </c>
      <c r="C368" s="23" t="s">
        <v>602</v>
      </c>
      <c r="D368" s="23" t="s">
        <v>91</v>
      </c>
      <c r="E368" s="23" t="s">
        <v>92</v>
      </c>
      <c r="F368" s="22" t="s">
        <v>57</v>
      </c>
      <c r="G368" s="23" t="s">
        <v>121</v>
      </c>
      <c r="H368" s="24" t="n">
        <v>1</v>
      </c>
      <c r="I368" s="14" t="n">
        <v>0.0758</v>
      </c>
      <c r="J368" s="25" t="s">
        <v>59</v>
      </c>
      <c r="K368" s="25"/>
      <c r="L368" s="25" t="s">
        <v>59</v>
      </c>
      <c r="M368" s="25"/>
      <c r="N368" s="25" t="s">
        <v>59</v>
      </c>
      <c r="O368" s="25"/>
      <c r="P368" s="14" t="n">
        <v>0.1895</v>
      </c>
      <c r="Q368" s="14" t="n">
        <f aca="false">IF(AND($J368="Yes",$G368&lt;&gt;"Vendor day rates"),$I368-0.4*$P368,0)</f>
        <v>0</v>
      </c>
      <c r="R368" s="26" t="n">
        <f aca="false">IFERROR(MATCH($K368,MonthList,0),0)</f>
        <v>0</v>
      </c>
      <c r="S368" s="14" t="n">
        <f aca="false">IF(OR($J368&lt;&gt;"Yes",$K368=""),0,$Q368*MAX(0,7-$R368)/12)</f>
        <v>0</v>
      </c>
      <c r="T368" s="14" t="n">
        <f aca="false">IF(OR($J368&lt;&gt;"Yes",$K368=""),0,$Q368*IF($R368&lt;=7,12,19-$R368)/12)</f>
        <v>0</v>
      </c>
      <c r="U368" s="14" t="n">
        <f aca="false">IF(AND($L368="Yes",$G368&lt;&gt;"Vendor day rates"),$I368-0.4*$P368,0)</f>
        <v>0</v>
      </c>
      <c r="V368" s="26" t="n">
        <f aca="false">IFERROR(MATCH($M368,MonthList,0),0)</f>
        <v>0</v>
      </c>
      <c r="W368" s="14" t="n">
        <f aca="false">IF(OR($L368&lt;&gt;"Yes",$M368=""),0,$U368*MAX(0,7-$V368)/12)</f>
        <v>0</v>
      </c>
      <c r="X368" s="14" t="n">
        <f aca="false">IF(OR($L368&lt;&gt;"Yes",$M368=""),0,$U368*IF($V368&lt;=7,12,19-$V368)/12)</f>
        <v>0</v>
      </c>
      <c r="Y368" s="14" t="n">
        <f aca="false">IF(AND($N368="Yes",$G368&lt;&gt;"Vendor day rates"),$I368-0.4*$P368,0)</f>
        <v>0</v>
      </c>
      <c r="Z368" s="26" t="n">
        <f aca="false">IFERROR(MATCH($O368,MonthList,0),0)</f>
        <v>0</v>
      </c>
      <c r="AA368" s="14" t="n">
        <f aca="false">IF(OR($N368&lt;&gt;"Yes",$O368=""),0,$Y368*MAX(0,7-$Z368)/12)</f>
        <v>0</v>
      </c>
      <c r="AB368" s="14" t="n">
        <f aca="false">IF(OR($N368&lt;&gt;"Yes",$O368=""),0,$Y368*IF($Z368&lt;=7,12,19-$Z368)/12)</f>
        <v>0</v>
      </c>
      <c r="AC368" s="26" t="str">
        <f aca="false">IF(OR($J368="Yes",$L368="Yes",$N368="Yes"),"Yes","No")</f>
        <v>No</v>
      </c>
      <c r="AD368" s="14" t="n">
        <f aca="false">MAX($Q368,$U368,$Y368)</f>
        <v>0</v>
      </c>
      <c r="AE368" s="26" t="n">
        <f aca="false">$AD368+ROW()*0.000000001</f>
        <v>3.68E-007</v>
      </c>
      <c r="AF368" s="26" t="str">
        <f aca="false">IF($J368="Yes","A","")&amp;IF($L368="Yes","B","")&amp;IF($N368="Yes","C","")</f>
        <v/>
      </c>
    </row>
    <row r="369" customFormat="false" ht="15" hidden="false" customHeight="false" outlineLevel="0" collapsed="false">
      <c r="B369" s="22" t="s">
        <v>741</v>
      </c>
      <c r="C369" s="23" t="s">
        <v>742</v>
      </c>
      <c r="D369" s="23" t="s">
        <v>91</v>
      </c>
      <c r="E369" s="23" t="s">
        <v>92</v>
      </c>
      <c r="F369" s="22" t="s">
        <v>57</v>
      </c>
      <c r="G369" s="23" t="s">
        <v>121</v>
      </c>
      <c r="H369" s="24" t="n">
        <v>1</v>
      </c>
      <c r="I369" s="14" t="n">
        <v>0.0921</v>
      </c>
      <c r="J369" s="25" t="s">
        <v>59</v>
      </c>
      <c r="K369" s="25"/>
      <c r="L369" s="25" t="s">
        <v>59</v>
      </c>
      <c r="M369" s="25"/>
      <c r="N369" s="25" t="s">
        <v>59</v>
      </c>
      <c r="O369" s="25"/>
      <c r="P369" s="14" t="n">
        <v>0.2303</v>
      </c>
      <c r="Q369" s="14" t="n">
        <f aca="false">IF(AND($J369="Yes",$G369&lt;&gt;"Vendor day rates"),$I369-0.4*$P369,0)</f>
        <v>0</v>
      </c>
      <c r="R369" s="26" t="n">
        <f aca="false">IFERROR(MATCH($K369,MonthList,0),0)</f>
        <v>0</v>
      </c>
      <c r="S369" s="14" t="n">
        <f aca="false">IF(OR($J369&lt;&gt;"Yes",$K369=""),0,$Q369*MAX(0,7-$R369)/12)</f>
        <v>0</v>
      </c>
      <c r="T369" s="14" t="n">
        <f aca="false">IF(OR($J369&lt;&gt;"Yes",$K369=""),0,$Q369*IF($R369&lt;=7,12,19-$R369)/12)</f>
        <v>0</v>
      </c>
      <c r="U369" s="14" t="n">
        <f aca="false">IF(AND($L369="Yes",$G369&lt;&gt;"Vendor day rates"),$I369-0.4*$P369,0)</f>
        <v>0</v>
      </c>
      <c r="V369" s="26" t="n">
        <f aca="false">IFERROR(MATCH($M369,MonthList,0),0)</f>
        <v>0</v>
      </c>
      <c r="W369" s="14" t="n">
        <f aca="false">IF(OR($L369&lt;&gt;"Yes",$M369=""),0,$U369*MAX(0,7-$V369)/12)</f>
        <v>0</v>
      </c>
      <c r="X369" s="14" t="n">
        <f aca="false">IF(OR($L369&lt;&gt;"Yes",$M369=""),0,$U369*IF($V369&lt;=7,12,19-$V369)/12)</f>
        <v>0</v>
      </c>
      <c r="Y369" s="14" t="n">
        <f aca="false">IF(AND($N369="Yes",$G369&lt;&gt;"Vendor day rates"),$I369-0.4*$P369,0)</f>
        <v>0</v>
      </c>
      <c r="Z369" s="26" t="n">
        <f aca="false">IFERROR(MATCH($O369,MonthList,0),0)</f>
        <v>0</v>
      </c>
      <c r="AA369" s="14" t="n">
        <f aca="false">IF(OR($N369&lt;&gt;"Yes",$O369=""),0,$Y369*MAX(0,7-$Z369)/12)</f>
        <v>0</v>
      </c>
      <c r="AB369" s="14" t="n">
        <f aca="false">IF(OR($N369&lt;&gt;"Yes",$O369=""),0,$Y369*IF($Z369&lt;=7,12,19-$Z369)/12)</f>
        <v>0</v>
      </c>
      <c r="AC369" s="26" t="str">
        <f aca="false">IF(OR($J369="Yes",$L369="Yes",$N369="Yes"),"Yes","No")</f>
        <v>No</v>
      </c>
      <c r="AD369" s="14" t="n">
        <f aca="false">MAX($Q369,$U369,$Y369)</f>
        <v>0</v>
      </c>
      <c r="AE369" s="26" t="n">
        <f aca="false">$AD369+ROW()*0.000000001</f>
        <v>3.69E-007</v>
      </c>
      <c r="AF369" s="26" t="str">
        <f aca="false">IF($J369="Yes","A","")&amp;IF($L369="Yes","B","")&amp;IF($N369="Yes","C","")</f>
        <v/>
      </c>
    </row>
    <row r="370" customFormat="false" ht="15" hidden="false" customHeight="false" outlineLevel="0" collapsed="false">
      <c r="B370" s="22" t="s">
        <v>743</v>
      </c>
      <c r="C370" s="23" t="s">
        <v>744</v>
      </c>
      <c r="D370" s="23" t="s">
        <v>91</v>
      </c>
      <c r="E370" s="23" t="s">
        <v>92</v>
      </c>
      <c r="F370" s="22" t="s">
        <v>57</v>
      </c>
      <c r="G370" s="23" t="s">
        <v>121</v>
      </c>
      <c r="H370" s="24" t="n">
        <v>1</v>
      </c>
      <c r="I370" s="14" t="n">
        <v>0.0825</v>
      </c>
      <c r="J370" s="25" t="s">
        <v>59</v>
      </c>
      <c r="K370" s="25"/>
      <c r="L370" s="25" t="s">
        <v>59</v>
      </c>
      <c r="M370" s="25"/>
      <c r="N370" s="25" t="s">
        <v>59</v>
      </c>
      <c r="O370" s="25"/>
      <c r="P370" s="14" t="n">
        <v>0.2062</v>
      </c>
      <c r="Q370" s="14" t="n">
        <f aca="false">IF(AND($J370="Yes",$G370&lt;&gt;"Vendor day rates"),$I370-0.4*$P370,0)</f>
        <v>0</v>
      </c>
      <c r="R370" s="26" t="n">
        <f aca="false">IFERROR(MATCH($K370,MonthList,0),0)</f>
        <v>0</v>
      </c>
      <c r="S370" s="14" t="n">
        <f aca="false">IF(OR($J370&lt;&gt;"Yes",$K370=""),0,$Q370*MAX(0,7-$R370)/12)</f>
        <v>0</v>
      </c>
      <c r="T370" s="14" t="n">
        <f aca="false">IF(OR($J370&lt;&gt;"Yes",$K370=""),0,$Q370*IF($R370&lt;=7,12,19-$R370)/12)</f>
        <v>0</v>
      </c>
      <c r="U370" s="14" t="n">
        <f aca="false">IF(AND($L370="Yes",$G370&lt;&gt;"Vendor day rates"),$I370-0.4*$P370,0)</f>
        <v>0</v>
      </c>
      <c r="V370" s="26" t="n">
        <f aca="false">IFERROR(MATCH($M370,MonthList,0),0)</f>
        <v>0</v>
      </c>
      <c r="W370" s="14" t="n">
        <f aca="false">IF(OR($L370&lt;&gt;"Yes",$M370=""),0,$U370*MAX(0,7-$V370)/12)</f>
        <v>0</v>
      </c>
      <c r="X370" s="14" t="n">
        <f aca="false">IF(OR($L370&lt;&gt;"Yes",$M370=""),0,$U370*IF($V370&lt;=7,12,19-$V370)/12)</f>
        <v>0</v>
      </c>
      <c r="Y370" s="14" t="n">
        <f aca="false">IF(AND($N370="Yes",$G370&lt;&gt;"Vendor day rates"),$I370-0.4*$P370,0)</f>
        <v>0</v>
      </c>
      <c r="Z370" s="26" t="n">
        <f aca="false">IFERROR(MATCH($O370,MonthList,0),0)</f>
        <v>0</v>
      </c>
      <c r="AA370" s="14" t="n">
        <f aca="false">IF(OR($N370&lt;&gt;"Yes",$O370=""),0,$Y370*MAX(0,7-$Z370)/12)</f>
        <v>0</v>
      </c>
      <c r="AB370" s="14" t="n">
        <f aca="false">IF(OR($N370&lt;&gt;"Yes",$O370=""),0,$Y370*IF($Z370&lt;=7,12,19-$Z370)/12)</f>
        <v>0</v>
      </c>
      <c r="AC370" s="26" t="str">
        <f aca="false">IF(OR($J370="Yes",$L370="Yes",$N370="Yes"),"Yes","No")</f>
        <v>No</v>
      </c>
      <c r="AD370" s="14" t="n">
        <f aca="false">MAX($Q370,$U370,$Y370)</f>
        <v>0</v>
      </c>
      <c r="AE370" s="26" t="n">
        <f aca="false">$AD370+ROW()*0.000000001</f>
        <v>3.7E-007</v>
      </c>
      <c r="AF370" s="26" t="str">
        <f aca="false">IF($J370="Yes","A","")&amp;IF($L370="Yes","B","")&amp;IF($N370="Yes","C","")</f>
        <v/>
      </c>
    </row>
    <row r="371" customFormat="false" ht="15" hidden="false" customHeight="false" outlineLevel="0" collapsed="false">
      <c r="B371" s="22" t="s">
        <v>745</v>
      </c>
      <c r="C371" s="23" t="s">
        <v>746</v>
      </c>
      <c r="D371" s="23" t="s">
        <v>147</v>
      </c>
      <c r="E371" s="23" t="s">
        <v>148</v>
      </c>
      <c r="F371" s="22" t="s">
        <v>57</v>
      </c>
      <c r="G371" s="23" t="s">
        <v>58</v>
      </c>
      <c r="H371" s="24" t="n">
        <v>1</v>
      </c>
      <c r="I371" s="14" t="n">
        <v>0.2051</v>
      </c>
      <c r="J371" s="25" t="s">
        <v>59</v>
      </c>
      <c r="K371" s="25"/>
      <c r="L371" s="25" t="s">
        <v>59</v>
      </c>
      <c r="M371" s="25"/>
      <c r="N371" s="25" t="s">
        <v>59</v>
      </c>
      <c r="O371" s="25"/>
      <c r="P371" s="14" t="n">
        <v>0.2051</v>
      </c>
      <c r="Q371" s="14" t="n">
        <f aca="false">IF(AND($J371="Yes",$G371&lt;&gt;"Vendor day rates"),$I371-0.4*$P371,0)</f>
        <v>0</v>
      </c>
      <c r="R371" s="26" t="n">
        <f aca="false">IFERROR(MATCH($K371,MonthList,0),0)</f>
        <v>0</v>
      </c>
      <c r="S371" s="14" t="n">
        <f aca="false">IF(OR($J371&lt;&gt;"Yes",$K371=""),0,$Q371*MAX(0,7-$R371)/12)</f>
        <v>0</v>
      </c>
      <c r="T371" s="14" t="n">
        <f aca="false">IF(OR($J371&lt;&gt;"Yes",$K371=""),0,$Q371*IF($R371&lt;=7,12,19-$R371)/12)</f>
        <v>0</v>
      </c>
      <c r="U371" s="14" t="n">
        <f aca="false">IF(AND($L371="Yes",$G371&lt;&gt;"Vendor day rates"),$I371-0.4*$P371,0)</f>
        <v>0</v>
      </c>
      <c r="V371" s="26" t="n">
        <f aca="false">IFERROR(MATCH($M371,MonthList,0),0)</f>
        <v>0</v>
      </c>
      <c r="W371" s="14" t="n">
        <f aca="false">IF(OR($L371&lt;&gt;"Yes",$M371=""),0,$U371*MAX(0,7-$V371)/12)</f>
        <v>0</v>
      </c>
      <c r="X371" s="14" t="n">
        <f aca="false">IF(OR($L371&lt;&gt;"Yes",$M371=""),0,$U371*IF($V371&lt;=7,12,19-$V371)/12)</f>
        <v>0</v>
      </c>
      <c r="Y371" s="14" t="n">
        <f aca="false">IF(AND($N371="Yes",$G371&lt;&gt;"Vendor day rates"),$I371-0.4*$P371,0)</f>
        <v>0</v>
      </c>
      <c r="Z371" s="26" t="n">
        <f aca="false">IFERROR(MATCH($O371,MonthList,0),0)</f>
        <v>0</v>
      </c>
      <c r="AA371" s="14" t="n">
        <f aca="false">IF(OR($N371&lt;&gt;"Yes",$O371=""),0,$Y371*MAX(0,7-$Z371)/12)</f>
        <v>0</v>
      </c>
      <c r="AB371" s="14" t="n">
        <f aca="false">IF(OR($N371&lt;&gt;"Yes",$O371=""),0,$Y371*IF($Z371&lt;=7,12,19-$Z371)/12)</f>
        <v>0</v>
      </c>
      <c r="AC371" s="26" t="str">
        <f aca="false">IF(OR($J371="Yes",$L371="Yes",$N371="Yes"),"Yes","No")</f>
        <v>No</v>
      </c>
      <c r="AD371" s="14" t="n">
        <f aca="false">MAX($Q371,$U371,$Y371)</f>
        <v>0</v>
      </c>
      <c r="AE371" s="26" t="n">
        <f aca="false">$AD371+ROW()*0.000000001</f>
        <v>3.71E-007</v>
      </c>
      <c r="AF371" s="26" t="str">
        <f aca="false">IF($J371="Yes","A","")&amp;IF($L371="Yes","B","")&amp;IF($N371="Yes","C","")</f>
        <v/>
      </c>
    </row>
    <row r="372" customFormat="false" ht="15" hidden="false" customHeight="false" outlineLevel="0" collapsed="false">
      <c r="B372" s="22" t="s">
        <v>747</v>
      </c>
      <c r="C372" s="23" t="s">
        <v>748</v>
      </c>
      <c r="D372" s="23" t="s">
        <v>147</v>
      </c>
      <c r="E372" s="23" t="s">
        <v>148</v>
      </c>
      <c r="F372" s="22" t="s">
        <v>57</v>
      </c>
      <c r="G372" s="23" t="s">
        <v>58</v>
      </c>
      <c r="H372" s="24" t="n">
        <v>1</v>
      </c>
      <c r="I372" s="14" t="n">
        <v>0.1835</v>
      </c>
      <c r="J372" s="25" t="s">
        <v>59</v>
      </c>
      <c r="K372" s="25"/>
      <c r="L372" s="25" t="s">
        <v>59</v>
      </c>
      <c r="M372" s="25"/>
      <c r="N372" s="25" t="s">
        <v>59</v>
      </c>
      <c r="O372" s="25"/>
      <c r="P372" s="14" t="n">
        <v>0.1835</v>
      </c>
      <c r="Q372" s="14" t="n">
        <f aca="false">IF(AND($J372="Yes",$G372&lt;&gt;"Vendor day rates"),$I372-0.4*$P372,0)</f>
        <v>0</v>
      </c>
      <c r="R372" s="26" t="n">
        <f aca="false">IFERROR(MATCH($K372,MonthList,0),0)</f>
        <v>0</v>
      </c>
      <c r="S372" s="14" t="n">
        <f aca="false">IF(OR($J372&lt;&gt;"Yes",$K372=""),0,$Q372*MAX(0,7-$R372)/12)</f>
        <v>0</v>
      </c>
      <c r="T372" s="14" t="n">
        <f aca="false">IF(OR($J372&lt;&gt;"Yes",$K372=""),0,$Q372*IF($R372&lt;=7,12,19-$R372)/12)</f>
        <v>0</v>
      </c>
      <c r="U372" s="14" t="n">
        <f aca="false">IF(AND($L372="Yes",$G372&lt;&gt;"Vendor day rates"),$I372-0.4*$P372,0)</f>
        <v>0</v>
      </c>
      <c r="V372" s="26" t="n">
        <f aca="false">IFERROR(MATCH($M372,MonthList,0),0)</f>
        <v>0</v>
      </c>
      <c r="W372" s="14" t="n">
        <f aca="false">IF(OR($L372&lt;&gt;"Yes",$M372=""),0,$U372*MAX(0,7-$V372)/12)</f>
        <v>0</v>
      </c>
      <c r="X372" s="14" t="n">
        <f aca="false">IF(OR($L372&lt;&gt;"Yes",$M372=""),0,$U372*IF($V372&lt;=7,12,19-$V372)/12)</f>
        <v>0</v>
      </c>
      <c r="Y372" s="14" t="n">
        <f aca="false">IF(AND($N372="Yes",$G372&lt;&gt;"Vendor day rates"),$I372-0.4*$P372,0)</f>
        <v>0</v>
      </c>
      <c r="Z372" s="26" t="n">
        <f aca="false">IFERROR(MATCH($O372,MonthList,0),0)</f>
        <v>0</v>
      </c>
      <c r="AA372" s="14" t="n">
        <f aca="false">IF(OR($N372&lt;&gt;"Yes",$O372=""),0,$Y372*MAX(0,7-$Z372)/12)</f>
        <v>0</v>
      </c>
      <c r="AB372" s="14" t="n">
        <f aca="false">IF(OR($N372&lt;&gt;"Yes",$O372=""),0,$Y372*IF($Z372&lt;=7,12,19-$Z372)/12)</f>
        <v>0</v>
      </c>
      <c r="AC372" s="26" t="str">
        <f aca="false">IF(OR($J372="Yes",$L372="Yes",$N372="Yes"),"Yes","No")</f>
        <v>No</v>
      </c>
      <c r="AD372" s="14" t="n">
        <f aca="false">MAX($Q372,$U372,$Y372)</f>
        <v>0</v>
      </c>
      <c r="AE372" s="26" t="n">
        <f aca="false">$AD372+ROW()*0.000000001</f>
        <v>3.72E-007</v>
      </c>
      <c r="AF372" s="26" t="str">
        <f aca="false">IF($J372="Yes","A","")&amp;IF($L372="Yes","B","")&amp;IF($N372="Yes","C","")</f>
        <v/>
      </c>
    </row>
    <row r="373" customFormat="false" ht="15" hidden="false" customHeight="false" outlineLevel="0" collapsed="false">
      <c r="B373" s="22" t="s">
        <v>749</v>
      </c>
      <c r="C373" s="23" t="s">
        <v>425</v>
      </c>
      <c r="D373" s="23" t="s">
        <v>204</v>
      </c>
      <c r="E373" s="23" t="s">
        <v>507</v>
      </c>
      <c r="F373" s="22" t="s">
        <v>57</v>
      </c>
      <c r="G373" s="23" t="s">
        <v>58</v>
      </c>
      <c r="H373" s="24" t="n">
        <v>1</v>
      </c>
      <c r="I373" s="14" t="n">
        <v>0.219</v>
      </c>
      <c r="J373" s="25" t="s">
        <v>59</v>
      </c>
      <c r="K373" s="25"/>
      <c r="L373" s="25" t="s">
        <v>59</v>
      </c>
      <c r="M373" s="25"/>
      <c r="N373" s="25" t="s">
        <v>59</v>
      </c>
      <c r="O373" s="25"/>
      <c r="P373" s="14" t="n">
        <v>0.219</v>
      </c>
      <c r="Q373" s="14" t="n">
        <f aca="false">IF(AND($J373="Yes",$G373&lt;&gt;"Vendor day rates"),$I373-0.4*$P373,0)</f>
        <v>0</v>
      </c>
      <c r="R373" s="26" t="n">
        <f aca="false">IFERROR(MATCH($K373,MonthList,0),0)</f>
        <v>0</v>
      </c>
      <c r="S373" s="14" t="n">
        <f aca="false">IF(OR($J373&lt;&gt;"Yes",$K373=""),0,$Q373*MAX(0,7-$R373)/12)</f>
        <v>0</v>
      </c>
      <c r="T373" s="14" t="n">
        <f aca="false">IF(OR($J373&lt;&gt;"Yes",$K373=""),0,$Q373*IF($R373&lt;=7,12,19-$R373)/12)</f>
        <v>0</v>
      </c>
      <c r="U373" s="14" t="n">
        <f aca="false">IF(AND($L373="Yes",$G373&lt;&gt;"Vendor day rates"),$I373-0.4*$P373,0)</f>
        <v>0</v>
      </c>
      <c r="V373" s="26" t="n">
        <f aca="false">IFERROR(MATCH($M373,MonthList,0),0)</f>
        <v>0</v>
      </c>
      <c r="W373" s="14" t="n">
        <f aca="false">IF(OR($L373&lt;&gt;"Yes",$M373=""),0,$U373*MAX(0,7-$V373)/12)</f>
        <v>0</v>
      </c>
      <c r="X373" s="14" t="n">
        <f aca="false">IF(OR($L373&lt;&gt;"Yes",$M373=""),0,$U373*IF($V373&lt;=7,12,19-$V373)/12)</f>
        <v>0</v>
      </c>
      <c r="Y373" s="14" t="n">
        <f aca="false">IF(AND($N373="Yes",$G373&lt;&gt;"Vendor day rates"),$I373-0.4*$P373,0)</f>
        <v>0</v>
      </c>
      <c r="Z373" s="26" t="n">
        <f aca="false">IFERROR(MATCH($O373,MonthList,0),0)</f>
        <v>0</v>
      </c>
      <c r="AA373" s="14" t="n">
        <f aca="false">IF(OR($N373&lt;&gt;"Yes",$O373=""),0,$Y373*MAX(0,7-$Z373)/12)</f>
        <v>0</v>
      </c>
      <c r="AB373" s="14" t="n">
        <f aca="false">IF(OR($N373&lt;&gt;"Yes",$O373=""),0,$Y373*IF($Z373&lt;=7,12,19-$Z373)/12)</f>
        <v>0</v>
      </c>
      <c r="AC373" s="26" t="str">
        <f aca="false">IF(OR($J373="Yes",$L373="Yes",$N373="Yes"),"Yes","No")</f>
        <v>No</v>
      </c>
      <c r="AD373" s="14" t="n">
        <f aca="false">MAX($Q373,$U373,$Y373)</f>
        <v>0</v>
      </c>
      <c r="AE373" s="26" t="n">
        <f aca="false">$AD373+ROW()*0.000000001</f>
        <v>3.73E-007</v>
      </c>
      <c r="AF373" s="26" t="str">
        <f aca="false">IF($J373="Yes","A","")&amp;IF($L373="Yes","B","")&amp;IF($N373="Yes","C","")</f>
        <v/>
      </c>
    </row>
    <row r="374" customFormat="false" ht="15" hidden="false" customHeight="false" outlineLevel="0" collapsed="false">
      <c r="B374" s="22" t="s">
        <v>750</v>
      </c>
      <c r="C374" s="23" t="s">
        <v>425</v>
      </c>
      <c r="D374" s="23" t="s">
        <v>204</v>
      </c>
      <c r="E374" s="23" t="s">
        <v>365</v>
      </c>
      <c r="F374" s="22" t="s">
        <v>57</v>
      </c>
      <c r="G374" s="23" t="s">
        <v>58</v>
      </c>
      <c r="H374" s="24" t="n">
        <v>1</v>
      </c>
      <c r="I374" s="14" t="n">
        <v>0.2264</v>
      </c>
      <c r="J374" s="25" t="s">
        <v>59</v>
      </c>
      <c r="K374" s="25"/>
      <c r="L374" s="25" t="s">
        <v>59</v>
      </c>
      <c r="M374" s="25"/>
      <c r="N374" s="25" t="s">
        <v>59</v>
      </c>
      <c r="O374" s="25"/>
      <c r="P374" s="14" t="n">
        <v>0.2264</v>
      </c>
      <c r="Q374" s="14" t="n">
        <f aca="false">IF(AND($J374="Yes",$G374&lt;&gt;"Vendor day rates"),$I374-0.4*$P374,0)</f>
        <v>0</v>
      </c>
      <c r="R374" s="26" t="n">
        <f aca="false">IFERROR(MATCH($K374,MonthList,0),0)</f>
        <v>0</v>
      </c>
      <c r="S374" s="14" t="n">
        <f aca="false">IF(OR($J374&lt;&gt;"Yes",$K374=""),0,$Q374*MAX(0,7-$R374)/12)</f>
        <v>0</v>
      </c>
      <c r="T374" s="14" t="n">
        <f aca="false">IF(OR($J374&lt;&gt;"Yes",$K374=""),0,$Q374*IF($R374&lt;=7,12,19-$R374)/12)</f>
        <v>0</v>
      </c>
      <c r="U374" s="14" t="n">
        <f aca="false">IF(AND($L374="Yes",$G374&lt;&gt;"Vendor day rates"),$I374-0.4*$P374,0)</f>
        <v>0</v>
      </c>
      <c r="V374" s="26" t="n">
        <f aca="false">IFERROR(MATCH($M374,MonthList,0),0)</f>
        <v>0</v>
      </c>
      <c r="W374" s="14" t="n">
        <f aca="false">IF(OR($L374&lt;&gt;"Yes",$M374=""),0,$U374*MAX(0,7-$V374)/12)</f>
        <v>0</v>
      </c>
      <c r="X374" s="14" t="n">
        <f aca="false">IF(OR($L374&lt;&gt;"Yes",$M374=""),0,$U374*IF($V374&lt;=7,12,19-$V374)/12)</f>
        <v>0</v>
      </c>
      <c r="Y374" s="14" t="n">
        <f aca="false">IF(AND($N374="Yes",$G374&lt;&gt;"Vendor day rates"),$I374-0.4*$P374,0)</f>
        <v>0</v>
      </c>
      <c r="Z374" s="26" t="n">
        <f aca="false">IFERROR(MATCH($O374,MonthList,0),0)</f>
        <v>0</v>
      </c>
      <c r="AA374" s="14" t="n">
        <f aca="false">IF(OR($N374&lt;&gt;"Yes",$O374=""),0,$Y374*MAX(0,7-$Z374)/12)</f>
        <v>0</v>
      </c>
      <c r="AB374" s="14" t="n">
        <f aca="false">IF(OR($N374&lt;&gt;"Yes",$O374=""),0,$Y374*IF($Z374&lt;=7,12,19-$Z374)/12)</f>
        <v>0</v>
      </c>
      <c r="AC374" s="26" t="str">
        <f aca="false">IF(OR($J374="Yes",$L374="Yes",$N374="Yes"),"Yes","No")</f>
        <v>No</v>
      </c>
      <c r="AD374" s="14" t="n">
        <f aca="false">MAX($Q374,$U374,$Y374)</f>
        <v>0</v>
      </c>
      <c r="AE374" s="26" t="n">
        <f aca="false">$AD374+ROW()*0.000000001</f>
        <v>3.74E-007</v>
      </c>
      <c r="AF374" s="26" t="str">
        <f aca="false">IF($J374="Yes","A","")&amp;IF($L374="Yes","B","")&amp;IF($N374="Yes","C","")</f>
        <v/>
      </c>
    </row>
    <row r="375" customFormat="false" ht="15" hidden="false" customHeight="false" outlineLevel="0" collapsed="false">
      <c r="B375" s="22" t="s">
        <v>751</v>
      </c>
      <c r="C375" s="23" t="s">
        <v>425</v>
      </c>
      <c r="D375" s="23" t="s">
        <v>207</v>
      </c>
      <c r="E375" s="23" t="s">
        <v>388</v>
      </c>
      <c r="F375" s="22" t="s">
        <v>57</v>
      </c>
      <c r="G375" s="23" t="s">
        <v>58</v>
      </c>
      <c r="H375" s="24" t="n">
        <v>1</v>
      </c>
      <c r="I375" s="14" t="n">
        <v>0.2194</v>
      </c>
      <c r="J375" s="25" t="s">
        <v>59</v>
      </c>
      <c r="K375" s="25"/>
      <c r="L375" s="25" t="s">
        <v>59</v>
      </c>
      <c r="M375" s="25"/>
      <c r="N375" s="25" t="s">
        <v>59</v>
      </c>
      <c r="O375" s="25"/>
      <c r="P375" s="14" t="n">
        <v>0.2194</v>
      </c>
      <c r="Q375" s="14" t="n">
        <f aca="false">IF(AND($J375="Yes",$G375&lt;&gt;"Vendor day rates"),$I375-0.4*$P375,0)</f>
        <v>0</v>
      </c>
      <c r="R375" s="26" t="n">
        <f aca="false">IFERROR(MATCH($K375,MonthList,0),0)</f>
        <v>0</v>
      </c>
      <c r="S375" s="14" t="n">
        <f aca="false">IF(OR($J375&lt;&gt;"Yes",$K375=""),0,$Q375*MAX(0,7-$R375)/12)</f>
        <v>0</v>
      </c>
      <c r="T375" s="14" t="n">
        <f aca="false">IF(OR($J375&lt;&gt;"Yes",$K375=""),0,$Q375*IF($R375&lt;=7,12,19-$R375)/12)</f>
        <v>0</v>
      </c>
      <c r="U375" s="14" t="n">
        <f aca="false">IF(AND($L375="Yes",$G375&lt;&gt;"Vendor day rates"),$I375-0.4*$P375,0)</f>
        <v>0</v>
      </c>
      <c r="V375" s="26" t="n">
        <f aca="false">IFERROR(MATCH($M375,MonthList,0),0)</f>
        <v>0</v>
      </c>
      <c r="W375" s="14" t="n">
        <f aca="false">IF(OR($L375&lt;&gt;"Yes",$M375=""),0,$U375*MAX(0,7-$V375)/12)</f>
        <v>0</v>
      </c>
      <c r="X375" s="14" t="n">
        <f aca="false">IF(OR($L375&lt;&gt;"Yes",$M375=""),0,$U375*IF($V375&lt;=7,12,19-$V375)/12)</f>
        <v>0</v>
      </c>
      <c r="Y375" s="14" t="n">
        <f aca="false">IF(AND($N375="Yes",$G375&lt;&gt;"Vendor day rates"),$I375-0.4*$P375,0)</f>
        <v>0</v>
      </c>
      <c r="Z375" s="26" t="n">
        <f aca="false">IFERROR(MATCH($O375,MonthList,0),0)</f>
        <v>0</v>
      </c>
      <c r="AA375" s="14" t="n">
        <f aca="false">IF(OR($N375&lt;&gt;"Yes",$O375=""),0,$Y375*MAX(0,7-$Z375)/12)</f>
        <v>0</v>
      </c>
      <c r="AB375" s="14" t="n">
        <f aca="false">IF(OR($N375&lt;&gt;"Yes",$O375=""),0,$Y375*IF($Z375&lt;=7,12,19-$Z375)/12)</f>
        <v>0</v>
      </c>
      <c r="AC375" s="26" t="str">
        <f aca="false">IF(OR($J375="Yes",$L375="Yes",$N375="Yes"),"Yes","No")</f>
        <v>No</v>
      </c>
      <c r="AD375" s="14" t="n">
        <f aca="false">MAX($Q375,$U375,$Y375)</f>
        <v>0</v>
      </c>
      <c r="AE375" s="26" t="n">
        <f aca="false">$AD375+ROW()*0.000000001</f>
        <v>3.75E-007</v>
      </c>
      <c r="AF375" s="26" t="str">
        <f aca="false">IF($J375="Yes","A","")&amp;IF($L375="Yes","B","")&amp;IF($N375="Yes","C","")</f>
        <v/>
      </c>
    </row>
    <row r="376" customFormat="false" ht="15" hidden="false" customHeight="false" outlineLevel="0" collapsed="false">
      <c r="B376" s="22" t="s">
        <v>752</v>
      </c>
      <c r="C376" s="23" t="s">
        <v>141</v>
      </c>
      <c r="D376" s="23" t="s">
        <v>204</v>
      </c>
      <c r="E376" s="23" t="s">
        <v>287</v>
      </c>
      <c r="F376" s="22" t="s">
        <v>57</v>
      </c>
      <c r="G376" s="23" t="s">
        <v>58</v>
      </c>
      <c r="H376" s="24" t="n">
        <v>1</v>
      </c>
      <c r="I376" s="14" t="n">
        <v>0.2792</v>
      </c>
      <c r="J376" s="25" t="s">
        <v>59</v>
      </c>
      <c r="K376" s="25"/>
      <c r="L376" s="25" t="s">
        <v>59</v>
      </c>
      <c r="M376" s="25"/>
      <c r="N376" s="25" t="s">
        <v>59</v>
      </c>
      <c r="O376" s="25"/>
      <c r="P376" s="14" t="n">
        <v>0.2792</v>
      </c>
      <c r="Q376" s="14" t="n">
        <f aca="false">IF(AND($J376="Yes",$G376&lt;&gt;"Vendor day rates"),$I376-0.4*$P376,0)</f>
        <v>0</v>
      </c>
      <c r="R376" s="26" t="n">
        <f aca="false">IFERROR(MATCH($K376,MonthList,0),0)</f>
        <v>0</v>
      </c>
      <c r="S376" s="14" t="n">
        <f aca="false">IF(OR($J376&lt;&gt;"Yes",$K376=""),0,$Q376*MAX(0,7-$R376)/12)</f>
        <v>0</v>
      </c>
      <c r="T376" s="14" t="n">
        <f aca="false">IF(OR($J376&lt;&gt;"Yes",$K376=""),0,$Q376*IF($R376&lt;=7,12,19-$R376)/12)</f>
        <v>0</v>
      </c>
      <c r="U376" s="14" t="n">
        <f aca="false">IF(AND($L376="Yes",$G376&lt;&gt;"Vendor day rates"),$I376-0.4*$P376,0)</f>
        <v>0</v>
      </c>
      <c r="V376" s="26" t="n">
        <f aca="false">IFERROR(MATCH($M376,MonthList,0),0)</f>
        <v>0</v>
      </c>
      <c r="W376" s="14" t="n">
        <f aca="false">IF(OR($L376&lt;&gt;"Yes",$M376=""),0,$U376*MAX(0,7-$V376)/12)</f>
        <v>0</v>
      </c>
      <c r="X376" s="14" t="n">
        <f aca="false">IF(OR($L376&lt;&gt;"Yes",$M376=""),0,$U376*IF($V376&lt;=7,12,19-$V376)/12)</f>
        <v>0</v>
      </c>
      <c r="Y376" s="14" t="n">
        <f aca="false">IF(AND($N376="Yes",$G376&lt;&gt;"Vendor day rates"),$I376-0.4*$P376,0)</f>
        <v>0</v>
      </c>
      <c r="Z376" s="26" t="n">
        <f aca="false">IFERROR(MATCH($O376,MonthList,0),0)</f>
        <v>0</v>
      </c>
      <c r="AA376" s="14" t="n">
        <f aca="false">IF(OR($N376&lt;&gt;"Yes",$O376=""),0,$Y376*MAX(0,7-$Z376)/12)</f>
        <v>0</v>
      </c>
      <c r="AB376" s="14" t="n">
        <f aca="false">IF(OR($N376&lt;&gt;"Yes",$O376=""),0,$Y376*IF($Z376&lt;=7,12,19-$Z376)/12)</f>
        <v>0</v>
      </c>
      <c r="AC376" s="26" t="str">
        <f aca="false">IF(OR($J376="Yes",$L376="Yes",$N376="Yes"),"Yes","No")</f>
        <v>No</v>
      </c>
      <c r="AD376" s="14" t="n">
        <f aca="false">MAX($Q376,$U376,$Y376)</f>
        <v>0</v>
      </c>
      <c r="AE376" s="26" t="n">
        <f aca="false">$AD376+ROW()*0.000000001</f>
        <v>3.76E-007</v>
      </c>
      <c r="AF376" s="26" t="str">
        <f aca="false">IF($J376="Yes","A","")&amp;IF($L376="Yes","B","")&amp;IF($N376="Yes","C","")</f>
        <v/>
      </c>
    </row>
    <row r="377" customFormat="false" ht="15" hidden="false" customHeight="false" outlineLevel="0" collapsed="false">
      <c r="B377" s="22" t="s">
        <v>753</v>
      </c>
      <c r="C377" s="23" t="s">
        <v>754</v>
      </c>
      <c r="D377" s="23" t="s">
        <v>158</v>
      </c>
      <c r="E377" s="23" t="s">
        <v>447</v>
      </c>
      <c r="F377" s="22" t="s">
        <v>57</v>
      </c>
      <c r="G377" s="23" t="s">
        <v>304</v>
      </c>
      <c r="H377" s="24" t="n">
        <v>1</v>
      </c>
      <c r="I377" s="14" t="n">
        <v>0</v>
      </c>
      <c r="J377" s="25" t="s">
        <v>59</v>
      </c>
      <c r="K377" s="25"/>
      <c r="L377" s="25" t="s">
        <v>59</v>
      </c>
      <c r="M377" s="25"/>
      <c r="N377" s="25" t="s">
        <v>59</v>
      </c>
      <c r="O377" s="25"/>
      <c r="P377" s="14" t="n">
        <v>0.2016</v>
      </c>
      <c r="Q377" s="14" t="n">
        <f aca="false">IF(AND($J377="Yes",$G377&lt;&gt;"Vendor day rates"),$I377-0.4*$P377,0)</f>
        <v>0</v>
      </c>
      <c r="R377" s="26" t="n">
        <f aca="false">IFERROR(MATCH($K377,MonthList,0),0)</f>
        <v>0</v>
      </c>
      <c r="S377" s="14" t="n">
        <f aca="false">IF(OR($J377&lt;&gt;"Yes",$K377=""),0,$Q377*MAX(0,7-$R377)/12)</f>
        <v>0</v>
      </c>
      <c r="T377" s="14" t="n">
        <f aca="false">IF(OR($J377&lt;&gt;"Yes",$K377=""),0,$Q377*IF($R377&lt;=7,12,19-$R377)/12)</f>
        <v>0</v>
      </c>
      <c r="U377" s="14" t="n">
        <f aca="false">IF(AND($L377="Yes",$G377&lt;&gt;"Vendor day rates"),$I377-0.4*$P377,0)</f>
        <v>0</v>
      </c>
      <c r="V377" s="26" t="n">
        <f aca="false">IFERROR(MATCH($M377,MonthList,0),0)</f>
        <v>0</v>
      </c>
      <c r="W377" s="14" t="n">
        <f aca="false">IF(OR($L377&lt;&gt;"Yes",$M377=""),0,$U377*MAX(0,7-$V377)/12)</f>
        <v>0</v>
      </c>
      <c r="X377" s="14" t="n">
        <f aca="false">IF(OR($L377&lt;&gt;"Yes",$M377=""),0,$U377*IF($V377&lt;=7,12,19-$V377)/12)</f>
        <v>0</v>
      </c>
      <c r="Y377" s="14" t="n">
        <f aca="false">IF(AND($N377="Yes",$G377&lt;&gt;"Vendor day rates"),$I377-0.4*$P377,0)</f>
        <v>0</v>
      </c>
      <c r="Z377" s="26" t="n">
        <f aca="false">IFERROR(MATCH($O377,MonthList,0),0)</f>
        <v>0</v>
      </c>
      <c r="AA377" s="14" t="n">
        <f aca="false">IF(OR($N377&lt;&gt;"Yes",$O377=""),0,$Y377*MAX(0,7-$Z377)/12)</f>
        <v>0</v>
      </c>
      <c r="AB377" s="14" t="n">
        <f aca="false">IF(OR($N377&lt;&gt;"Yes",$O377=""),0,$Y377*IF($Z377&lt;=7,12,19-$Z377)/12)</f>
        <v>0</v>
      </c>
      <c r="AC377" s="26" t="str">
        <f aca="false">IF(OR($J377="Yes",$L377="Yes",$N377="Yes"),"Yes","No")</f>
        <v>No</v>
      </c>
      <c r="AD377" s="14" t="n">
        <f aca="false">MAX($Q377,$U377,$Y377)</f>
        <v>0</v>
      </c>
      <c r="AE377" s="26" t="n">
        <f aca="false">$AD377+ROW()*0.000000001</f>
        <v>3.77E-007</v>
      </c>
      <c r="AF377" s="26" t="str">
        <f aca="false">IF($J377="Yes","A","")&amp;IF($L377="Yes","B","")&amp;IF($N377="Yes","C","")</f>
        <v/>
      </c>
    </row>
    <row r="378" customFormat="false" ht="15" hidden="false" customHeight="false" outlineLevel="0" collapsed="false">
      <c r="B378" s="22" t="s">
        <v>755</v>
      </c>
      <c r="C378" s="23" t="s">
        <v>141</v>
      </c>
      <c r="D378" s="23" t="s">
        <v>207</v>
      </c>
      <c r="E378" s="23" t="s">
        <v>388</v>
      </c>
      <c r="F378" s="22" t="s">
        <v>57</v>
      </c>
      <c r="G378" s="23" t="s">
        <v>304</v>
      </c>
      <c r="H378" s="24" t="n">
        <v>1</v>
      </c>
      <c r="I378" s="14" t="n">
        <v>0</v>
      </c>
      <c r="J378" s="25" t="s">
        <v>59</v>
      </c>
      <c r="K378" s="25"/>
      <c r="L378" s="25" t="s">
        <v>59</v>
      </c>
      <c r="M378" s="25"/>
      <c r="N378" s="25" t="s">
        <v>59</v>
      </c>
      <c r="O378" s="25"/>
      <c r="P378" s="14" t="n">
        <v>0.2029</v>
      </c>
      <c r="Q378" s="14" t="n">
        <f aca="false">IF(AND($J378="Yes",$G378&lt;&gt;"Vendor day rates"),$I378-0.4*$P378,0)</f>
        <v>0</v>
      </c>
      <c r="R378" s="26" t="n">
        <f aca="false">IFERROR(MATCH($K378,MonthList,0),0)</f>
        <v>0</v>
      </c>
      <c r="S378" s="14" t="n">
        <f aca="false">IF(OR($J378&lt;&gt;"Yes",$K378=""),0,$Q378*MAX(0,7-$R378)/12)</f>
        <v>0</v>
      </c>
      <c r="T378" s="14" t="n">
        <f aca="false">IF(OR($J378&lt;&gt;"Yes",$K378=""),0,$Q378*IF($R378&lt;=7,12,19-$R378)/12)</f>
        <v>0</v>
      </c>
      <c r="U378" s="14" t="n">
        <f aca="false">IF(AND($L378="Yes",$G378&lt;&gt;"Vendor day rates"),$I378-0.4*$P378,0)</f>
        <v>0</v>
      </c>
      <c r="V378" s="26" t="n">
        <f aca="false">IFERROR(MATCH($M378,MonthList,0),0)</f>
        <v>0</v>
      </c>
      <c r="W378" s="14" t="n">
        <f aca="false">IF(OR($L378&lt;&gt;"Yes",$M378=""),0,$U378*MAX(0,7-$V378)/12)</f>
        <v>0</v>
      </c>
      <c r="X378" s="14" t="n">
        <f aca="false">IF(OR($L378&lt;&gt;"Yes",$M378=""),0,$U378*IF($V378&lt;=7,12,19-$V378)/12)</f>
        <v>0</v>
      </c>
      <c r="Y378" s="14" t="n">
        <f aca="false">IF(AND($N378="Yes",$G378&lt;&gt;"Vendor day rates"),$I378-0.4*$P378,0)</f>
        <v>0</v>
      </c>
      <c r="Z378" s="26" t="n">
        <f aca="false">IFERROR(MATCH($O378,MonthList,0),0)</f>
        <v>0</v>
      </c>
      <c r="AA378" s="14" t="n">
        <f aca="false">IF(OR($N378&lt;&gt;"Yes",$O378=""),0,$Y378*MAX(0,7-$Z378)/12)</f>
        <v>0</v>
      </c>
      <c r="AB378" s="14" t="n">
        <f aca="false">IF(OR($N378&lt;&gt;"Yes",$O378=""),0,$Y378*IF($Z378&lt;=7,12,19-$Z378)/12)</f>
        <v>0</v>
      </c>
      <c r="AC378" s="26" t="str">
        <f aca="false">IF(OR($J378="Yes",$L378="Yes",$N378="Yes"),"Yes","No")</f>
        <v>No</v>
      </c>
      <c r="AD378" s="14" t="n">
        <f aca="false">MAX($Q378,$U378,$Y378)</f>
        <v>0</v>
      </c>
      <c r="AE378" s="26" t="n">
        <f aca="false">$AD378+ROW()*0.000000001</f>
        <v>3.78E-007</v>
      </c>
      <c r="AF378" s="26" t="str">
        <f aca="false">IF($J378="Yes","A","")&amp;IF($L378="Yes","B","")&amp;IF($N378="Yes","C","")</f>
        <v/>
      </c>
    </row>
    <row r="379" customFormat="false" ht="15" hidden="false" customHeight="false" outlineLevel="0" collapsed="false">
      <c r="B379" s="22" t="s">
        <v>756</v>
      </c>
      <c r="C379" s="23" t="s">
        <v>141</v>
      </c>
      <c r="D379" s="23" t="s">
        <v>207</v>
      </c>
      <c r="E379" s="23" t="s">
        <v>401</v>
      </c>
      <c r="F379" s="22" t="s">
        <v>57</v>
      </c>
      <c r="G379" s="23" t="s">
        <v>149</v>
      </c>
      <c r="H379" s="24" t="n">
        <v>1</v>
      </c>
      <c r="I379" s="14" t="n">
        <v>0.2029</v>
      </c>
      <c r="J379" s="25" t="s">
        <v>59</v>
      </c>
      <c r="K379" s="25"/>
      <c r="L379" s="25" t="s">
        <v>59</v>
      </c>
      <c r="M379" s="25"/>
      <c r="N379" s="25" t="s">
        <v>59</v>
      </c>
      <c r="O379" s="25"/>
      <c r="P379" s="14" t="n">
        <v>0.2029</v>
      </c>
      <c r="Q379" s="14" t="n">
        <f aca="false">IF(AND($J379="Yes",$G379&lt;&gt;"Vendor day rates"),$I379-0.4*$P379,0)</f>
        <v>0</v>
      </c>
      <c r="R379" s="26" t="n">
        <f aca="false">IFERROR(MATCH($K379,MonthList,0),0)</f>
        <v>0</v>
      </c>
      <c r="S379" s="14" t="n">
        <f aca="false">IF(OR($J379&lt;&gt;"Yes",$K379=""),0,$Q379*MAX(0,7-$R379)/12)</f>
        <v>0</v>
      </c>
      <c r="T379" s="14" t="n">
        <f aca="false">IF(OR($J379&lt;&gt;"Yes",$K379=""),0,$Q379*IF($R379&lt;=7,12,19-$R379)/12)</f>
        <v>0</v>
      </c>
      <c r="U379" s="14" t="n">
        <f aca="false">IF(AND($L379="Yes",$G379&lt;&gt;"Vendor day rates"),$I379-0.4*$P379,0)</f>
        <v>0</v>
      </c>
      <c r="V379" s="26" t="n">
        <f aca="false">IFERROR(MATCH($M379,MonthList,0),0)</f>
        <v>0</v>
      </c>
      <c r="W379" s="14" t="n">
        <f aca="false">IF(OR($L379&lt;&gt;"Yes",$M379=""),0,$U379*MAX(0,7-$V379)/12)</f>
        <v>0</v>
      </c>
      <c r="X379" s="14" t="n">
        <f aca="false">IF(OR($L379&lt;&gt;"Yes",$M379=""),0,$U379*IF($V379&lt;=7,12,19-$V379)/12)</f>
        <v>0</v>
      </c>
      <c r="Y379" s="14" t="n">
        <f aca="false">IF(AND($N379="Yes",$G379&lt;&gt;"Vendor day rates"),$I379-0.4*$P379,0)</f>
        <v>0</v>
      </c>
      <c r="Z379" s="26" t="n">
        <f aca="false">IFERROR(MATCH($O379,MonthList,0),0)</f>
        <v>0</v>
      </c>
      <c r="AA379" s="14" t="n">
        <f aca="false">IF(OR($N379&lt;&gt;"Yes",$O379=""),0,$Y379*MAX(0,7-$Z379)/12)</f>
        <v>0</v>
      </c>
      <c r="AB379" s="14" t="n">
        <f aca="false">IF(OR($N379&lt;&gt;"Yes",$O379=""),0,$Y379*IF($Z379&lt;=7,12,19-$Z379)/12)</f>
        <v>0</v>
      </c>
      <c r="AC379" s="26" t="str">
        <f aca="false">IF(OR($J379="Yes",$L379="Yes",$N379="Yes"),"Yes","No")</f>
        <v>No</v>
      </c>
      <c r="AD379" s="14" t="n">
        <f aca="false">MAX($Q379,$U379,$Y379)</f>
        <v>0</v>
      </c>
      <c r="AE379" s="26" t="n">
        <f aca="false">$AD379+ROW()*0.000000001</f>
        <v>3.79E-007</v>
      </c>
      <c r="AF379" s="26" t="str">
        <f aca="false">IF($J379="Yes","A","")&amp;IF($L379="Yes","B","")&amp;IF($N379="Yes","C","")</f>
        <v/>
      </c>
    </row>
    <row r="380" customFormat="false" ht="15" hidden="false" customHeight="false" outlineLevel="0" collapsed="false">
      <c r="B380" s="22" t="s">
        <v>757</v>
      </c>
      <c r="C380" s="23" t="s">
        <v>758</v>
      </c>
      <c r="D380" s="23" t="s">
        <v>70</v>
      </c>
      <c r="E380" s="23" t="s">
        <v>101</v>
      </c>
      <c r="F380" s="22" t="s">
        <v>57</v>
      </c>
      <c r="G380" s="23" t="s">
        <v>58</v>
      </c>
      <c r="H380" s="24" t="n">
        <v>1</v>
      </c>
      <c r="I380" s="14" t="n">
        <v>0.211</v>
      </c>
      <c r="J380" s="25" t="s">
        <v>59</v>
      </c>
      <c r="K380" s="25"/>
      <c r="L380" s="25" t="s">
        <v>59</v>
      </c>
      <c r="M380" s="25"/>
      <c r="N380" s="25" t="s">
        <v>59</v>
      </c>
      <c r="O380" s="25"/>
      <c r="P380" s="14" t="n">
        <v>0.211</v>
      </c>
      <c r="Q380" s="14" t="n">
        <f aca="false">IF(AND($J380="Yes",$G380&lt;&gt;"Vendor day rates"),$I380-0.4*$P380,0)</f>
        <v>0</v>
      </c>
      <c r="R380" s="26" t="n">
        <f aca="false">IFERROR(MATCH($K380,MonthList,0),0)</f>
        <v>0</v>
      </c>
      <c r="S380" s="14" t="n">
        <f aca="false">IF(OR($J380&lt;&gt;"Yes",$K380=""),0,$Q380*MAX(0,7-$R380)/12)</f>
        <v>0</v>
      </c>
      <c r="T380" s="14" t="n">
        <f aca="false">IF(OR($J380&lt;&gt;"Yes",$K380=""),0,$Q380*IF($R380&lt;=7,12,19-$R380)/12)</f>
        <v>0</v>
      </c>
      <c r="U380" s="14" t="n">
        <f aca="false">IF(AND($L380="Yes",$G380&lt;&gt;"Vendor day rates"),$I380-0.4*$P380,0)</f>
        <v>0</v>
      </c>
      <c r="V380" s="26" t="n">
        <f aca="false">IFERROR(MATCH($M380,MonthList,0),0)</f>
        <v>0</v>
      </c>
      <c r="W380" s="14" t="n">
        <f aca="false">IF(OR($L380&lt;&gt;"Yes",$M380=""),0,$U380*MAX(0,7-$V380)/12)</f>
        <v>0</v>
      </c>
      <c r="X380" s="14" t="n">
        <f aca="false">IF(OR($L380&lt;&gt;"Yes",$M380=""),0,$U380*IF($V380&lt;=7,12,19-$V380)/12)</f>
        <v>0</v>
      </c>
      <c r="Y380" s="14" t="n">
        <f aca="false">IF(AND($N380="Yes",$G380&lt;&gt;"Vendor day rates"),$I380-0.4*$P380,0)</f>
        <v>0</v>
      </c>
      <c r="Z380" s="26" t="n">
        <f aca="false">IFERROR(MATCH($O380,MonthList,0),0)</f>
        <v>0</v>
      </c>
      <c r="AA380" s="14" t="n">
        <f aca="false">IF(OR($N380&lt;&gt;"Yes",$O380=""),0,$Y380*MAX(0,7-$Z380)/12)</f>
        <v>0</v>
      </c>
      <c r="AB380" s="14" t="n">
        <f aca="false">IF(OR($N380&lt;&gt;"Yes",$O380=""),0,$Y380*IF($Z380&lt;=7,12,19-$Z380)/12)</f>
        <v>0</v>
      </c>
      <c r="AC380" s="26" t="str">
        <f aca="false">IF(OR($J380="Yes",$L380="Yes",$N380="Yes"),"Yes","No")</f>
        <v>No</v>
      </c>
      <c r="AD380" s="14" t="n">
        <f aca="false">MAX($Q380,$U380,$Y380)</f>
        <v>0</v>
      </c>
      <c r="AE380" s="26" t="n">
        <f aca="false">$AD380+ROW()*0.000000001</f>
        <v>3.8E-007</v>
      </c>
      <c r="AF380" s="26" t="str">
        <f aca="false">IF($J380="Yes","A","")&amp;IF($L380="Yes","B","")&amp;IF($N380="Yes","C","")</f>
        <v/>
      </c>
    </row>
    <row r="381" customFormat="false" ht="15" hidden="false" customHeight="false" outlineLevel="0" collapsed="false">
      <c r="B381" s="22" t="s">
        <v>759</v>
      </c>
      <c r="C381" s="23" t="s">
        <v>61</v>
      </c>
      <c r="D381" s="23" t="s">
        <v>212</v>
      </c>
      <c r="E381" s="23" t="s">
        <v>325</v>
      </c>
      <c r="F381" s="22" t="s">
        <v>57</v>
      </c>
      <c r="G381" s="23" t="s">
        <v>58</v>
      </c>
      <c r="H381" s="24" t="n">
        <v>1</v>
      </c>
      <c r="I381" s="14" t="n">
        <v>0.2103</v>
      </c>
      <c r="J381" s="25" t="s">
        <v>59</v>
      </c>
      <c r="K381" s="25"/>
      <c r="L381" s="25" t="s">
        <v>59</v>
      </c>
      <c r="M381" s="25"/>
      <c r="N381" s="25" t="s">
        <v>59</v>
      </c>
      <c r="O381" s="25"/>
      <c r="P381" s="14" t="n">
        <v>0.2103</v>
      </c>
      <c r="Q381" s="14" t="n">
        <f aca="false">IF(AND($J381="Yes",$G381&lt;&gt;"Vendor day rates"),$I381-0.4*$P381,0)</f>
        <v>0</v>
      </c>
      <c r="R381" s="26" t="n">
        <f aca="false">IFERROR(MATCH($K381,MonthList,0),0)</f>
        <v>0</v>
      </c>
      <c r="S381" s="14" t="n">
        <f aca="false">IF(OR($J381&lt;&gt;"Yes",$K381=""),0,$Q381*MAX(0,7-$R381)/12)</f>
        <v>0</v>
      </c>
      <c r="T381" s="14" t="n">
        <f aca="false">IF(OR($J381&lt;&gt;"Yes",$K381=""),0,$Q381*IF($R381&lt;=7,12,19-$R381)/12)</f>
        <v>0</v>
      </c>
      <c r="U381" s="14" t="n">
        <f aca="false">IF(AND($L381="Yes",$G381&lt;&gt;"Vendor day rates"),$I381-0.4*$P381,0)</f>
        <v>0</v>
      </c>
      <c r="V381" s="26" t="n">
        <f aca="false">IFERROR(MATCH($M381,MonthList,0),0)</f>
        <v>0</v>
      </c>
      <c r="W381" s="14" t="n">
        <f aca="false">IF(OR($L381&lt;&gt;"Yes",$M381=""),0,$U381*MAX(0,7-$V381)/12)</f>
        <v>0</v>
      </c>
      <c r="X381" s="14" t="n">
        <f aca="false">IF(OR($L381&lt;&gt;"Yes",$M381=""),0,$U381*IF($V381&lt;=7,12,19-$V381)/12)</f>
        <v>0</v>
      </c>
      <c r="Y381" s="14" t="n">
        <f aca="false">IF(AND($N381="Yes",$G381&lt;&gt;"Vendor day rates"),$I381-0.4*$P381,0)</f>
        <v>0</v>
      </c>
      <c r="Z381" s="26" t="n">
        <f aca="false">IFERROR(MATCH($O381,MonthList,0),0)</f>
        <v>0</v>
      </c>
      <c r="AA381" s="14" t="n">
        <f aca="false">IF(OR($N381&lt;&gt;"Yes",$O381=""),0,$Y381*MAX(0,7-$Z381)/12)</f>
        <v>0</v>
      </c>
      <c r="AB381" s="14" t="n">
        <f aca="false">IF(OR($N381&lt;&gt;"Yes",$O381=""),0,$Y381*IF($Z381&lt;=7,12,19-$Z381)/12)</f>
        <v>0</v>
      </c>
      <c r="AC381" s="26" t="str">
        <f aca="false">IF(OR($J381="Yes",$L381="Yes",$N381="Yes"),"Yes","No")</f>
        <v>No</v>
      </c>
      <c r="AD381" s="14" t="n">
        <f aca="false">MAX($Q381,$U381,$Y381)</f>
        <v>0</v>
      </c>
      <c r="AE381" s="26" t="n">
        <f aca="false">$AD381+ROW()*0.000000001</f>
        <v>3.81E-007</v>
      </c>
      <c r="AF381" s="26" t="str">
        <f aca="false">IF($J381="Yes","A","")&amp;IF($L381="Yes","B","")&amp;IF($N381="Yes","C","")</f>
        <v/>
      </c>
    </row>
    <row r="382" customFormat="false" ht="15" hidden="false" customHeight="false" outlineLevel="0" collapsed="false">
      <c r="B382" s="22" t="s">
        <v>760</v>
      </c>
      <c r="C382" s="23" t="s">
        <v>761</v>
      </c>
      <c r="D382" s="23" t="s">
        <v>158</v>
      </c>
      <c r="E382" s="23" t="s">
        <v>454</v>
      </c>
      <c r="F382" s="22" t="s">
        <v>57</v>
      </c>
      <c r="G382" s="23" t="s">
        <v>149</v>
      </c>
      <c r="H382" s="24" t="n">
        <v>1</v>
      </c>
      <c r="I382" s="14" t="n">
        <v>0.2016</v>
      </c>
      <c r="J382" s="25" t="s">
        <v>59</v>
      </c>
      <c r="K382" s="25"/>
      <c r="L382" s="25" t="s">
        <v>59</v>
      </c>
      <c r="M382" s="25"/>
      <c r="N382" s="25" t="s">
        <v>59</v>
      </c>
      <c r="O382" s="25"/>
      <c r="P382" s="14" t="n">
        <v>0.2016</v>
      </c>
      <c r="Q382" s="14" t="n">
        <f aca="false">IF(AND($J382="Yes",$G382&lt;&gt;"Vendor day rates"),$I382-0.4*$P382,0)</f>
        <v>0</v>
      </c>
      <c r="R382" s="26" t="n">
        <f aca="false">IFERROR(MATCH($K382,MonthList,0),0)</f>
        <v>0</v>
      </c>
      <c r="S382" s="14" t="n">
        <f aca="false">IF(OR($J382&lt;&gt;"Yes",$K382=""),0,$Q382*MAX(0,7-$R382)/12)</f>
        <v>0</v>
      </c>
      <c r="T382" s="14" t="n">
        <f aca="false">IF(OR($J382&lt;&gt;"Yes",$K382=""),0,$Q382*IF($R382&lt;=7,12,19-$R382)/12)</f>
        <v>0</v>
      </c>
      <c r="U382" s="14" t="n">
        <f aca="false">IF(AND($L382="Yes",$G382&lt;&gt;"Vendor day rates"),$I382-0.4*$P382,0)</f>
        <v>0</v>
      </c>
      <c r="V382" s="26" t="n">
        <f aca="false">IFERROR(MATCH($M382,MonthList,0),0)</f>
        <v>0</v>
      </c>
      <c r="W382" s="14" t="n">
        <f aca="false">IF(OR($L382&lt;&gt;"Yes",$M382=""),0,$U382*MAX(0,7-$V382)/12)</f>
        <v>0</v>
      </c>
      <c r="X382" s="14" t="n">
        <f aca="false">IF(OR($L382&lt;&gt;"Yes",$M382=""),0,$U382*IF($V382&lt;=7,12,19-$V382)/12)</f>
        <v>0</v>
      </c>
      <c r="Y382" s="14" t="n">
        <f aca="false">IF(AND($N382="Yes",$G382&lt;&gt;"Vendor day rates"),$I382-0.4*$P382,0)</f>
        <v>0</v>
      </c>
      <c r="Z382" s="26" t="n">
        <f aca="false">IFERROR(MATCH($O382,MonthList,0),0)</f>
        <v>0</v>
      </c>
      <c r="AA382" s="14" t="n">
        <f aca="false">IF(OR($N382&lt;&gt;"Yes",$O382=""),0,$Y382*MAX(0,7-$Z382)/12)</f>
        <v>0</v>
      </c>
      <c r="AB382" s="14" t="n">
        <f aca="false">IF(OR($N382&lt;&gt;"Yes",$O382=""),0,$Y382*IF($Z382&lt;=7,12,19-$Z382)/12)</f>
        <v>0</v>
      </c>
      <c r="AC382" s="26" t="str">
        <f aca="false">IF(OR($J382="Yes",$L382="Yes",$N382="Yes"),"Yes","No")</f>
        <v>No</v>
      </c>
      <c r="AD382" s="14" t="n">
        <f aca="false">MAX($Q382,$U382,$Y382)</f>
        <v>0</v>
      </c>
      <c r="AE382" s="26" t="n">
        <f aca="false">$AD382+ROW()*0.000000001</f>
        <v>3.82E-007</v>
      </c>
      <c r="AF382" s="26" t="str">
        <f aca="false">IF($J382="Yes","A","")&amp;IF($L382="Yes","B","")&amp;IF($N382="Yes","C","")</f>
        <v/>
      </c>
    </row>
    <row r="383" customFormat="false" ht="15" hidden="false" customHeight="false" outlineLevel="0" collapsed="false">
      <c r="B383" s="22" t="s">
        <v>762</v>
      </c>
      <c r="C383" s="23" t="s">
        <v>763</v>
      </c>
      <c r="D383" s="23" t="s">
        <v>328</v>
      </c>
      <c r="E383" s="23" t="s">
        <v>517</v>
      </c>
      <c r="F383" s="22" t="s">
        <v>57</v>
      </c>
      <c r="G383" s="23" t="s">
        <v>149</v>
      </c>
      <c r="H383" s="24" t="n">
        <v>1</v>
      </c>
      <c r="I383" s="14" t="n">
        <v>0.2016</v>
      </c>
      <c r="J383" s="25" t="s">
        <v>59</v>
      </c>
      <c r="K383" s="25"/>
      <c r="L383" s="25" t="s">
        <v>59</v>
      </c>
      <c r="M383" s="25"/>
      <c r="N383" s="25" t="s">
        <v>59</v>
      </c>
      <c r="O383" s="25"/>
      <c r="P383" s="14" t="n">
        <v>0.2016</v>
      </c>
      <c r="Q383" s="14" t="n">
        <f aca="false">IF(AND($J383="Yes",$G383&lt;&gt;"Vendor day rates"),$I383-0.4*$P383,0)</f>
        <v>0</v>
      </c>
      <c r="R383" s="26" t="n">
        <f aca="false">IFERROR(MATCH($K383,MonthList,0),0)</f>
        <v>0</v>
      </c>
      <c r="S383" s="14" t="n">
        <f aca="false">IF(OR($J383&lt;&gt;"Yes",$K383=""),0,$Q383*MAX(0,7-$R383)/12)</f>
        <v>0</v>
      </c>
      <c r="T383" s="14" t="n">
        <f aca="false">IF(OR($J383&lt;&gt;"Yes",$K383=""),0,$Q383*IF($R383&lt;=7,12,19-$R383)/12)</f>
        <v>0</v>
      </c>
      <c r="U383" s="14" t="n">
        <f aca="false">IF(AND($L383="Yes",$G383&lt;&gt;"Vendor day rates"),$I383-0.4*$P383,0)</f>
        <v>0</v>
      </c>
      <c r="V383" s="26" t="n">
        <f aca="false">IFERROR(MATCH($M383,MonthList,0),0)</f>
        <v>0</v>
      </c>
      <c r="W383" s="14" t="n">
        <f aca="false">IF(OR($L383&lt;&gt;"Yes",$M383=""),0,$U383*MAX(0,7-$V383)/12)</f>
        <v>0</v>
      </c>
      <c r="X383" s="14" t="n">
        <f aca="false">IF(OR($L383&lt;&gt;"Yes",$M383=""),0,$U383*IF($V383&lt;=7,12,19-$V383)/12)</f>
        <v>0</v>
      </c>
      <c r="Y383" s="14" t="n">
        <f aca="false">IF(AND($N383="Yes",$G383&lt;&gt;"Vendor day rates"),$I383-0.4*$P383,0)</f>
        <v>0</v>
      </c>
      <c r="Z383" s="26" t="n">
        <f aca="false">IFERROR(MATCH($O383,MonthList,0),0)</f>
        <v>0</v>
      </c>
      <c r="AA383" s="14" t="n">
        <f aca="false">IF(OR($N383&lt;&gt;"Yes",$O383=""),0,$Y383*MAX(0,7-$Z383)/12)</f>
        <v>0</v>
      </c>
      <c r="AB383" s="14" t="n">
        <f aca="false">IF(OR($N383&lt;&gt;"Yes",$O383=""),0,$Y383*IF($Z383&lt;=7,12,19-$Z383)/12)</f>
        <v>0</v>
      </c>
      <c r="AC383" s="26" t="str">
        <f aca="false">IF(OR($J383="Yes",$L383="Yes",$N383="Yes"),"Yes","No")</f>
        <v>No</v>
      </c>
      <c r="AD383" s="14" t="n">
        <f aca="false">MAX($Q383,$U383,$Y383)</f>
        <v>0</v>
      </c>
      <c r="AE383" s="26" t="n">
        <f aca="false">$AD383+ROW()*0.000000001</f>
        <v>3.83E-007</v>
      </c>
      <c r="AF383" s="26" t="str">
        <f aca="false">IF($J383="Yes","A","")&amp;IF($L383="Yes","B","")&amp;IF($N383="Yes","C","")</f>
        <v/>
      </c>
    </row>
    <row r="384" customFormat="false" ht="15" hidden="false" customHeight="false" outlineLevel="0" collapsed="false">
      <c r="B384" s="22" t="s">
        <v>764</v>
      </c>
      <c r="C384" s="23" t="s">
        <v>765</v>
      </c>
      <c r="D384" s="23"/>
      <c r="E384" s="23" t="s">
        <v>307</v>
      </c>
      <c r="F384" s="22" t="s">
        <v>57</v>
      </c>
      <c r="G384" s="23" t="s">
        <v>149</v>
      </c>
      <c r="H384" s="24" t="n">
        <v>1</v>
      </c>
      <c r="I384" s="14" t="n">
        <v>0.2029</v>
      </c>
      <c r="J384" s="25" t="s">
        <v>59</v>
      </c>
      <c r="K384" s="25"/>
      <c r="L384" s="25" t="s">
        <v>59</v>
      </c>
      <c r="M384" s="25"/>
      <c r="N384" s="25" t="s">
        <v>59</v>
      </c>
      <c r="O384" s="25"/>
      <c r="P384" s="14" t="n">
        <v>0.2029</v>
      </c>
      <c r="Q384" s="14" t="n">
        <f aca="false">IF(AND($J384="Yes",$G384&lt;&gt;"Vendor day rates"),$I384-0.4*$P384,0)</f>
        <v>0</v>
      </c>
      <c r="R384" s="26" t="n">
        <f aca="false">IFERROR(MATCH($K384,MonthList,0),0)</f>
        <v>0</v>
      </c>
      <c r="S384" s="14" t="n">
        <f aca="false">IF(OR($J384&lt;&gt;"Yes",$K384=""),0,$Q384*MAX(0,7-$R384)/12)</f>
        <v>0</v>
      </c>
      <c r="T384" s="14" t="n">
        <f aca="false">IF(OR($J384&lt;&gt;"Yes",$K384=""),0,$Q384*IF($R384&lt;=7,12,19-$R384)/12)</f>
        <v>0</v>
      </c>
      <c r="U384" s="14" t="n">
        <f aca="false">IF(AND($L384="Yes",$G384&lt;&gt;"Vendor day rates"),$I384-0.4*$P384,0)</f>
        <v>0</v>
      </c>
      <c r="V384" s="26" t="n">
        <f aca="false">IFERROR(MATCH($M384,MonthList,0),0)</f>
        <v>0</v>
      </c>
      <c r="W384" s="14" t="n">
        <f aca="false">IF(OR($L384&lt;&gt;"Yes",$M384=""),0,$U384*MAX(0,7-$V384)/12)</f>
        <v>0</v>
      </c>
      <c r="X384" s="14" t="n">
        <f aca="false">IF(OR($L384&lt;&gt;"Yes",$M384=""),0,$U384*IF($V384&lt;=7,12,19-$V384)/12)</f>
        <v>0</v>
      </c>
      <c r="Y384" s="14" t="n">
        <f aca="false">IF(AND($N384="Yes",$G384&lt;&gt;"Vendor day rates"),$I384-0.4*$P384,0)</f>
        <v>0</v>
      </c>
      <c r="Z384" s="26" t="n">
        <f aca="false">IFERROR(MATCH($O384,MonthList,0),0)</f>
        <v>0</v>
      </c>
      <c r="AA384" s="14" t="n">
        <f aca="false">IF(OR($N384&lt;&gt;"Yes",$O384=""),0,$Y384*MAX(0,7-$Z384)/12)</f>
        <v>0</v>
      </c>
      <c r="AB384" s="14" t="n">
        <f aca="false">IF(OR($N384&lt;&gt;"Yes",$O384=""),0,$Y384*IF($Z384&lt;=7,12,19-$Z384)/12)</f>
        <v>0</v>
      </c>
      <c r="AC384" s="26" t="str">
        <f aca="false">IF(OR($J384="Yes",$L384="Yes",$N384="Yes"),"Yes","No")</f>
        <v>No</v>
      </c>
      <c r="AD384" s="14" t="n">
        <f aca="false">MAX($Q384,$U384,$Y384)</f>
        <v>0</v>
      </c>
      <c r="AE384" s="26" t="n">
        <f aca="false">$AD384+ROW()*0.000000001</f>
        <v>3.84E-007</v>
      </c>
      <c r="AF384" s="26" t="str">
        <f aca="false">IF($J384="Yes","A","")&amp;IF($L384="Yes","B","")&amp;IF($N384="Yes","C","")</f>
        <v/>
      </c>
    </row>
    <row r="385" customFormat="false" ht="15" hidden="false" customHeight="false" outlineLevel="0" collapsed="false">
      <c r="B385" s="22" t="s">
        <v>766</v>
      </c>
      <c r="C385" s="23" t="s">
        <v>767</v>
      </c>
      <c r="D385" s="23" t="s">
        <v>212</v>
      </c>
      <c r="E385" s="23" t="s">
        <v>563</v>
      </c>
      <c r="F385" s="22" t="s">
        <v>57</v>
      </c>
      <c r="G385" s="23" t="s">
        <v>476</v>
      </c>
      <c r="H385" s="24" t="n">
        <v>1</v>
      </c>
      <c r="I385" s="14" t="n">
        <v>0.0609</v>
      </c>
      <c r="J385" s="25" t="s">
        <v>59</v>
      </c>
      <c r="K385" s="25"/>
      <c r="L385" s="25" t="s">
        <v>59</v>
      </c>
      <c r="M385" s="25"/>
      <c r="N385" s="25" t="s">
        <v>59</v>
      </c>
      <c r="O385" s="25"/>
      <c r="P385" s="14" t="n">
        <v>0.2029</v>
      </c>
      <c r="Q385" s="14" t="n">
        <f aca="false">IF(AND($J385="Yes",$G385&lt;&gt;"Vendor day rates"),$I385-0.4*$P385,0)</f>
        <v>0</v>
      </c>
      <c r="R385" s="26" t="n">
        <f aca="false">IFERROR(MATCH($K385,MonthList,0),0)</f>
        <v>0</v>
      </c>
      <c r="S385" s="14" t="n">
        <f aca="false">IF(OR($J385&lt;&gt;"Yes",$K385=""),0,$Q385*MAX(0,7-$R385)/12)</f>
        <v>0</v>
      </c>
      <c r="T385" s="14" t="n">
        <f aca="false">IF(OR($J385&lt;&gt;"Yes",$K385=""),0,$Q385*IF($R385&lt;=7,12,19-$R385)/12)</f>
        <v>0</v>
      </c>
      <c r="U385" s="14" t="n">
        <f aca="false">IF(AND($L385="Yes",$G385&lt;&gt;"Vendor day rates"),$I385-0.4*$P385,0)</f>
        <v>0</v>
      </c>
      <c r="V385" s="26" t="n">
        <f aca="false">IFERROR(MATCH($M385,MonthList,0),0)</f>
        <v>0</v>
      </c>
      <c r="W385" s="14" t="n">
        <f aca="false">IF(OR($L385&lt;&gt;"Yes",$M385=""),0,$U385*MAX(0,7-$V385)/12)</f>
        <v>0</v>
      </c>
      <c r="X385" s="14" t="n">
        <f aca="false">IF(OR($L385&lt;&gt;"Yes",$M385=""),0,$U385*IF($V385&lt;=7,12,19-$V385)/12)</f>
        <v>0</v>
      </c>
      <c r="Y385" s="14" t="n">
        <f aca="false">IF(AND($N385="Yes",$G385&lt;&gt;"Vendor day rates"),$I385-0.4*$P385,0)</f>
        <v>0</v>
      </c>
      <c r="Z385" s="26" t="n">
        <f aca="false">IFERROR(MATCH($O385,MonthList,0),0)</f>
        <v>0</v>
      </c>
      <c r="AA385" s="14" t="n">
        <f aca="false">IF(OR($N385&lt;&gt;"Yes",$O385=""),0,$Y385*MAX(0,7-$Z385)/12)</f>
        <v>0</v>
      </c>
      <c r="AB385" s="14" t="n">
        <f aca="false">IF(OR($N385&lt;&gt;"Yes",$O385=""),0,$Y385*IF($Z385&lt;=7,12,19-$Z385)/12)</f>
        <v>0</v>
      </c>
      <c r="AC385" s="26" t="str">
        <f aca="false">IF(OR($J385="Yes",$L385="Yes",$N385="Yes"),"Yes","No")</f>
        <v>No</v>
      </c>
      <c r="AD385" s="14" t="n">
        <f aca="false">MAX($Q385,$U385,$Y385)</f>
        <v>0</v>
      </c>
      <c r="AE385" s="26" t="n">
        <f aca="false">$AD385+ROW()*0.000000001</f>
        <v>3.85E-007</v>
      </c>
      <c r="AF385" s="26" t="str">
        <f aca="false">IF($J385="Yes","A","")&amp;IF($L385="Yes","B","")&amp;IF($N385="Yes","C","")</f>
        <v/>
      </c>
    </row>
    <row r="386" customFormat="false" ht="15" hidden="false" customHeight="false" outlineLevel="0" collapsed="false">
      <c r="B386" s="22" t="s">
        <v>768</v>
      </c>
      <c r="C386" s="23" t="s">
        <v>769</v>
      </c>
      <c r="D386" s="23" t="s">
        <v>158</v>
      </c>
      <c r="E386" s="23" t="s">
        <v>447</v>
      </c>
      <c r="F386" s="22" t="s">
        <v>57</v>
      </c>
      <c r="G386" s="23" t="s">
        <v>121</v>
      </c>
      <c r="H386" s="24" t="n">
        <v>1</v>
      </c>
      <c r="I386" s="14" t="n">
        <v>0.0748</v>
      </c>
      <c r="J386" s="25" t="s">
        <v>59</v>
      </c>
      <c r="K386" s="25"/>
      <c r="L386" s="25" t="s">
        <v>59</v>
      </c>
      <c r="M386" s="25"/>
      <c r="N386" s="25" t="s">
        <v>59</v>
      </c>
      <c r="O386" s="25"/>
      <c r="P386" s="14" t="n">
        <v>0.1869</v>
      </c>
      <c r="Q386" s="14" t="n">
        <f aca="false">IF(AND($J386="Yes",$G386&lt;&gt;"Vendor day rates"),$I386-0.4*$P386,0)</f>
        <v>0</v>
      </c>
      <c r="R386" s="26" t="n">
        <f aca="false">IFERROR(MATCH($K386,MonthList,0),0)</f>
        <v>0</v>
      </c>
      <c r="S386" s="14" t="n">
        <f aca="false">IF(OR($J386&lt;&gt;"Yes",$K386=""),0,$Q386*MAX(0,7-$R386)/12)</f>
        <v>0</v>
      </c>
      <c r="T386" s="14" t="n">
        <f aca="false">IF(OR($J386&lt;&gt;"Yes",$K386=""),0,$Q386*IF($R386&lt;=7,12,19-$R386)/12)</f>
        <v>0</v>
      </c>
      <c r="U386" s="14" t="n">
        <f aca="false">IF(AND($L386="Yes",$G386&lt;&gt;"Vendor day rates"),$I386-0.4*$P386,0)</f>
        <v>0</v>
      </c>
      <c r="V386" s="26" t="n">
        <f aca="false">IFERROR(MATCH($M386,MonthList,0),0)</f>
        <v>0</v>
      </c>
      <c r="W386" s="14" t="n">
        <f aca="false">IF(OR($L386&lt;&gt;"Yes",$M386=""),0,$U386*MAX(0,7-$V386)/12)</f>
        <v>0</v>
      </c>
      <c r="X386" s="14" t="n">
        <f aca="false">IF(OR($L386&lt;&gt;"Yes",$M386=""),0,$U386*IF($V386&lt;=7,12,19-$V386)/12)</f>
        <v>0</v>
      </c>
      <c r="Y386" s="14" t="n">
        <f aca="false">IF(AND($N386="Yes",$G386&lt;&gt;"Vendor day rates"),$I386-0.4*$P386,0)</f>
        <v>0</v>
      </c>
      <c r="Z386" s="26" t="n">
        <f aca="false">IFERROR(MATCH($O386,MonthList,0),0)</f>
        <v>0</v>
      </c>
      <c r="AA386" s="14" t="n">
        <f aca="false">IF(OR($N386&lt;&gt;"Yes",$O386=""),0,$Y386*MAX(0,7-$Z386)/12)</f>
        <v>0</v>
      </c>
      <c r="AB386" s="14" t="n">
        <f aca="false">IF(OR($N386&lt;&gt;"Yes",$O386=""),0,$Y386*IF($Z386&lt;=7,12,19-$Z386)/12)</f>
        <v>0</v>
      </c>
      <c r="AC386" s="26" t="str">
        <f aca="false">IF(OR($J386="Yes",$L386="Yes",$N386="Yes"),"Yes","No")</f>
        <v>No</v>
      </c>
      <c r="AD386" s="14" t="n">
        <f aca="false">MAX($Q386,$U386,$Y386)</f>
        <v>0</v>
      </c>
      <c r="AE386" s="26" t="n">
        <f aca="false">$AD386+ROW()*0.000000001</f>
        <v>3.86E-007</v>
      </c>
      <c r="AF386" s="26" t="str">
        <f aca="false">IF($J386="Yes","A","")&amp;IF($L386="Yes","B","")&amp;IF($N386="Yes","C","")</f>
        <v/>
      </c>
    </row>
    <row r="387" customFormat="false" ht="15" hidden="false" customHeight="false" outlineLevel="0" collapsed="false">
      <c r="B387" s="22" t="s">
        <v>770</v>
      </c>
      <c r="C387" s="23" t="s">
        <v>771</v>
      </c>
      <c r="D387" s="23" t="s">
        <v>204</v>
      </c>
      <c r="E387" s="23" t="s">
        <v>547</v>
      </c>
      <c r="F387" s="22" t="s">
        <v>57</v>
      </c>
      <c r="G387" s="23" t="s">
        <v>121</v>
      </c>
      <c r="H387" s="24" t="n">
        <v>1</v>
      </c>
      <c r="I387" s="14" t="n">
        <v>0.1073</v>
      </c>
      <c r="J387" s="25" t="s">
        <v>59</v>
      </c>
      <c r="K387" s="25"/>
      <c r="L387" s="25" t="s">
        <v>59</v>
      </c>
      <c r="M387" s="25"/>
      <c r="N387" s="25" t="s">
        <v>59</v>
      </c>
      <c r="O387" s="25"/>
      <c r="P387" s="14" t="n">
        <v>0.2683</v>
      </c>
      <c r="Q387" s="14" t="n">
        <f aca="false">IF(AND($J387="Yes",$G387&lt;&gt;"Vendor day rates"),$I387-0.4*$P387,0)</f>
        <v>0</v>
      </c>
      <c r="R387" s="26" t="n">
        <f aca="false">IFERROR(MATCH($K387,MonthList,0),0)</f>
        <v>0</v>
      </c>
      <c r="S387" s="14" t="n">
        <f aca="false">IF(OR($J387&lt;&gt;"Yes",$K387=""),0,$Q387*MAX(0,7-$R387)/12)</f>
        <v>0</v>
      </c>
      <c r="T387" s="14" t="n">
        <f aca="false">IF(OR($J387&lt;&gt;"Yes",$K387=""),0,$Q387*IF($R387&lt;=7,12,19-$R387)/12)</f>
        <v>0</v>
      </c>
      <c r="U387" s="14" t="n">
        <f aca="false">IF(AND($L387="Yes",$G387&lt;&gt;"Vendor day rates"),$I387-0.4*$P387,0)</f>
        <v>0</v>
      </c>
      <c r="V387" s="26" t="n">
        <f aca="false">IFERROR(MATCH($M387,MonthList,0),0)</f>
        <v>0</v>
      </c>
      <c r="W387" s="14" t="n">
        <f aca="false">IF(OR($L387&lt;&gt;"Yes",$M387=""),0,$U387*MAX(0,7-$V387)/12)</f>
        <v>0</v>
      </c>
      <c r="X387" s="14" t="n">
        <f aca="false">IF(OR($L387&lt;&gt;"Yes",$M387=""),0,$U387*IF($V387&lt;=7,12,19-$V387)/12)</f>
        <v>0</v>
      </c>
      <c r="Y387" s="14" t="n">
        <f aca="false">IF(AND($N387="Yes",$G387&lt;&gt;"Vendor day rates"),$I387-0.4*$P387,0)</f>
        <v>0</v>
      </c>
      <c r="Z387" s="26" t="n">
        <f aca="false">IFERROR(MATCH($O387,MonthList,0),0)</f>
        <v>0</v>
      </c>
      <c r="AA387" s="14" t="n">
        <f aca="false">IF(OR($N387&lt;&gt;"Yes",$O387=""),0,$Y387*MAX(0,7-$Z387)/12)</f>
        <v>0</v>
      </c>
      <c r="AB387" s="14" t="n">
        <f aca="false">IF(OR($N387&lt;&gt;"Yes",$O387=""),0,$Y387*IF($Z387&lt;=7,12,19-$Z387)/12)</f>
        <v>0</v>
      </c>
      <c r="AC387" s="26" t="str">
        <f aca="false">IF(OR($J387="Yes",$L387="Yes",$N387="Yes"),"Yes","No")</f>
        <v>No</v>
      </c>
      <c r="AD387" s="14" t="n">
        <f aca="false">MAX($Q387,$U387,$Y387)</f>
        <v>0</v>
      </c>
      <c r="AE387" s="26" t="n">
        <f aca="false">$AD387+ROW()*0.000000001</f>
        <v>3.87E-007</v>
      </c>
      <c r="AF387" s="26" t="str">
        <f aca="false">IF($J387="Yes","A","")&amp;IF($L387="Yes","B","")&amp;IF($N387="Yes","C","")</f>
        <v/>
      </c>
    </row>
    <row r="388" customFormat="false" ht="15" hidden="false" customHeight="false" outlineLevel="0" collapsed="false">
      <c r="B388" s="22" t="s">
        <v>772</v>
      </c>
      <c r="C388" s="23" t="s">
        <v>744</v>
      </c>
      <c r="D388" s="23" t="s">
        <v>204</v>
      </c>
      <c r="E388" s="23" t="s">
        <v>547</v>
      </c>
      <c r="F388" s="22" t="s">
        <v>57</v>
      </c>
      <c r="G388" s="23" t="s">
        <v>121</v>
      </c>
      <c r="H388" s="24" t="n">
        <v>1</v>
      </c>
      <c r="I388" s="14" t="n">
        <v>0.1044</v>
      </c>
      <c r="J388" s="25" t="s">
        <v>59</v>
      </c>
      <c r="K388" s="25"/>
      <c r="L388" s="25" t="s">
        <v>59</v>
      </c>
      <c r="M388" s="25"/>
      <c r="N388" s="25" t="s">
        <v>59</v>
      </c>
      <c r="O388" s="25"/>
      <c r="P388" s="14" t="n">
        <v>0.2609</v>
      </c>
      <c r="Q388" s="14" t="n">
        <f aca="false">IF(AND($J388="Yes",$G388&lt;&gt;"Vendor day rates"),$I388-0.4*$P388,0)</f>
        <v>0</v>
      </c>
      <c r="R388" s="26" t="n">
        <f aca="false">IFERROR(MATCH($K388,MonthList,0),0)</f>
        <v>0</v>
      </c>
      <c r="S388" s="14" t="n">
        <f aca="false">IF(OR($J388&lt;&gt;"Yes",$K388=""),0,$Q388*MAX(0,7-$R388)/12)</f>
        <v>0</v>
      </c>
      <c r="T388" s="14" t="n">
        <f aca="false">IF(OR($J388&lt;&gt;"Yes",$K388=""),0,$Q388*IF($R388&lt;=7,12,19-$R388)/12)</f>
        <v>0</v>
      </c>
      <c r="U388" s="14" t="n">
        <f aca="false">IF(AND($L388="Yes",$G388&lt;&gt;"Vendor day rates"),$I388-0.4*$P388,0)</f>
        <v>0</v>
      </c>
      <c r="V388" s="26" t="n">
        <f aca="false">IFERROR(MATCH($M388,MonthList,0),0)</f>
        <v>0</v>
      </c>
      <c r="W388" s="14" t="n">
        <f aca="false">IF(OR($L388&lt;&gt;"Yes",$M388=""),0,$U388*MAX(0,7-$V388)/12)</f>
        <v>0</v>
      </c>
      <c r="X388" s="14" t="n">
        <f aca="false">IF(OR($L388&lt;&gt;"Yes",$M388=""),0,$U388*IF($V388&lt;=7,12,19-$V388)/12)</f>
        <v>0</v>
      </c>
      <c r="Y388" s="14" t="n">
        <f aca="false">IF(AND($N388="Yes",$G388&lt;&gt;"Vendor day rates"),$I388-0.4*$P388,0)</f>
        <v>0</v>
      </c>
      <c r="Z388" s="26" t="n">
        <f aca="false">IFERROR(MATCH($O388,MonthList,0),0)</f>
        <v>0</v>
      </c>
      <c r="AA388" s="14" t="n">
        <f aca="false">IF(OR($N388&lt;&gt;"Yes",$O388=""),0,$Y388*MAX(0,7-$Z388)/12)</f>
        <v>0</v>
      </c>
      <c r="AB388" s="14" t="n">
        <f aca="false">IF(OR($N388&lt;&gt;"Yes",$O388=""),0,$Y388*IF($Z388&lt;=7,12,19-$Z388)/12)</f>
        <v>0</v>
      </c>
      <c r="AC388" s="26" t="str">
        <f aca="false">IF(OR($J388="Yes",$L388="Yes",$N388="Yes"),"Yes","No")</f>
        <v>No</v>
      </c>
      <c r="AD388" s="14" t="n">
        <f aca="false">MAX($Q388,$U388,$Y388)</f>
        <v>0</v>
      </c>
      <c r="AE388" s="26" t="n">
        <f aca="false">$AD388+ROW()*0.000000001</f>
        <v>3.88E-007</v>
      </c>
      <c r="AF388" s="26" t="str">
        <f aca="false">IF($J388="Yes","A","")&amp;IF($L388="Yes","B","")&amp;IF($N388="Yes","C","")</f>
        <v/>
      </c>
    </row>
    <row r="389" customFormat="false" ht="15" hidden="false" customHeight="false" outlineLevel="0" collapsed="false">
      <c r="B389" s="22" t="s">
        <v>773</v>
      </c>
      <c r="C389" s="23" t="s">
        <v>615</v>
      </c>
      <c r="D389" s="23" t="s">
        <v>207</v>
      </c>
      <c r="E389" s="23" t="s">
        <v>401</v>
      </c>
      <c r="F389" s="22" t="s">
        <v>57</v>
      </c>
      <c r="G389" s="23" t="s">
        <v>58</v>
      </c>
      <c r="H389" s="24" t="n">
        <v>1</v>
      </c>
      <c r="I389" s="14" t="n">
        <v>0.2033</v>
      </c>
      <c r="J389" s="25" t="s">
        <v>59</v>
      </c>
      <c r="K389" s="25"/>
      <c r="L389" s="25" t="s">
        <v>59</v>
      </c>
      <c r="M389" s="25"/>
      <c r="N389" s="25" t="s">
        <v>59</v>
      </c>
      <c r="O389" s="25"/>
      <c r="P389" s="14" t="n">
        <v>0.2033</v>
      </c>
      <c r="Q389" s="14" t="n">
        <f aca="false">IF(AND($J389="Yes",$G389&lt;&gt;"Vendor day rates"),$I389-0.4*$P389,0)</f>
        <v>0</v>
      </c>
      <c r="R389" s="26" t="n">
        <f aca="false">IFERROR(MATCH($K389,MonthList,0),0)</f>
        <v>0</v>
      </c>
      <c r="S389" s="14" t="n">
        <f aca="false">IF(OR($J389&lt;&gt;"Yes",$K389=""),0,$Q389*MAX(0,7-$R389)/12)</f>
        <v>0</v>
      </c>
      <c r="T389" s="14" t="n">
        <f aca="false">IF(OR($J389&lt;&gt;"Yes",$K389=""),0,$Q389*IF($R389&lt;=7,12,19-$R389)/12)</f>
        <v>0</v>
      </c>
      <c r="U389" s="14" t="n">
        <f aca="false">IF(AND($L389="Yes",$G389&lt;&gt;"Vendor day rates"),$I389-0.4*$P389,0)</f>
        <v>0</v>
      </c>
      <c r="V389" s="26" t="n">
        <f aca="false">IFERROR(MATCH($M389,MonthList,0),0)</f>
        <v>0</v>
      </c>
      <c r="W389" s="14" t="n">
        <f aca="false">IF(OR($L389&lt;&gt;"Yes",$M389=""),0,$U389*MAX(0,7-$V389)/12)</f>
        <v>0</v>
      </c>
      <c r="X389" s="14" t="n">
        <f aca="false">IF(OR($L389&lt;&gt;"Yes",$M389=""),0,$U389*IF($V389&lt;=7,12,19-$V389)/12)</f>
        <v>0</v>
      </c>
      <c r="Y389" s="14" t="n">
        <f aca="false">IF(AND($N389="Yes",$G389&lt;&gt;"Vendor day rates"),$I389-0.4*$P389,0)</f>
        <v>0</v>
      </c>
      <c r="Z389" s="26" t="n">
        <f aca="false">IFERROR(MATCH($O389,MonthList,0),0)</f>
        <v>0</v>
      </c>
      <c r="AA389" s="14" t="n">
        <f aca="false">IF(OR($N389&lt;&gt;"Yes",$O389=""),0,$Y389*MAX(0,7-$Z389)/12)</f>
        <v>0</v>
      </c>
      <c r="AB389" s="14" t="n">
        <f aca="false">IF(OR($N389&lt;&gt;"Yes",$O389=""),0,$Y389*IF($Z389&lt;=7,12,19-$Z389)/12)</f>
        <v>0</v>
      </c>
      <c r="AC389" s="26" t="str">
        <f aca="false">IF(OR($J389="Yes",$L389="Yes",$N389="Yes"),"Yes","No")</f>
        <v>No</v>
      </c>
      <c r="AD389" s="14" t="n">
        <f aca="false">MAX($Q389,$U389,$Y389)</f>
        <v>0</v>
      </c>
      <c r="AE389" s="26" t="n">
        <f aca="false">$AD389+ROW()*0.000000001</f>
        <v>3.89E-007</v>
      </c>
      <c r="AF389" s="26" t="str">
        <f aca="false">IF($J389="Yes","A","")&amp;IF($L389="Yes","B","")&amp;IF($N389="Yes","C","")</f>
        <v/>
      </c>
    </row>
    <row r="390" customFormat="false" ht="15" hidden="false" customHeight="false" outlineLevel="0" collapsed="false">
      <c r="B390" s="22" t="s">
        <v>774</v>
      </c>
      <c r="C390" s="23" t="s">
        <v>775</v>
      </c>
      <c r="D390" s="23" t="s">
        <v>204</v>
      </c>
      <c r="E390" s="23" t="s">
        <v>287</v>
      </c>
      <c r="F390" s="22" t="s">
        <v>57</v>
      </c>
      <c r="G390" s="23" t="s">
        <v>58</v>
      </c>
      <c r="H390" s="24" t="n">
        <v>1</v>
      </c>
      <c r="I390" s="14" t="n">
        <v>0.1945</v>
      </c>
      <c r="J390" s="25" t="s">
        <v>59</v>
      </c>
      <c r="K390" s="25"/>
      <c r="L390" s="25" t="s">
        <v>59</v>
      </c>
      <c r="M390" s="25"/>
      <c r="N390" s="25" t="s">
        <v>59</v>
      </c>
      <c r="O390" s="25"/>
      <c r="P390" s="14" t="n">
        <v>0.1945</v>
      </c>
      <c r="Q390" s="14" t="n">
        <f aca="false">IF(AND($J390="Yes",$G390&lt;&gt;"Vendor day rates"),$I390-0.4*$P390,0)</f>
        <v>0</v>
      </c>
      <c r="R390" s="26" t="n">
        <f aca="false">IFERROR(MATCH($K390,MonthList,0),0)</f>
        <v>0</v>
      </c>
      <c r="S390" s="14" t="n">
        <f aca="false">IF(OR($J390&lt;&gt;"Yes",$K390=""),0,$Q390*MAX(0,7-$R390)/12)</f>
        <v>0</v>
      </c>
      <c r="T390" s="14" t="n">
        <f aca="false">IF(OR($J390&lt;&gt;"Yes",$K390=""),0,$Q390*IF($R390&lt;=7,12,19-$R390)/12)</f>
        <v>0</v>
      </c>
      <c r="U390" s="14" t="n">
        <f aca="false">IF(AND($L390="Yes",$G390&lt;&gt;"Vendor day rates"),$I390-0.4*$P390,0)</f>
        <v>0</v>
      </c>
      <c r="V390" s="26" t="n">
        <f aca="false">IFERROR(MATCH($M390,MonthList,0),0)</f>
        <v>0</v>
      </c>
      <c r="W390" s="14" t="n">
        <f aca="false">IF(OR($L390&lt;&gt;"Yes",$M390=""),0,$U390*MAX(0,7-$V390)/12)</f>
        <v>0</v>
      </c>
      <c r="X390" s="14" t="n">
        <f aca="false">IF(OR($L390&lt;&gt;"Yes",$M390=""),0,$U390*IF($V390&lt;=7,12,19-$V390)/12)</f>
        <v>0</v>
      </c>
      <c r="Y390" s="14" t="n">
        <f aca="false">IF(AND($N390="Yes",$G390&lt;&gt;"Vendor day rates"),$I390-0.4*$P390,0)</f>
        <v>0</v>
      </c>
      <c r="Z390" s="26" t="n">
        <f aca="false">IFERROR(MATCH($O390,MonthList,0),0)</f>
        <v>0</v>
      </c>
      <c r="AA390" s="14" t="n">
        <f aca="false">IF(OR($N390&lt;&gt;"Yes",$O390=""),0,$Y390*MAX(0,7-$Z390)/12)</f>
        <v>0</v>
      </c>
      <c r="AB390" s="14" t="n">
        <f aca="false">IF(OR($N390&lt;&gt;"Yes",$O390=""),0,$Y390*IF($Z390&lt;=7,12,19-$Z390)/12)</f>
        <v>0</v>
      </c>
      <c r="AC390" s="26" t="str">
        <f aca="false">IF(OR($J390="Yes",$L390="Yes",$N390="Yes"),"Yes","No")</f>
        <v>No</v>
      </c>
      <c r="AD390" s="14" t="n">
        <f aca="false">MAX($Q390,$U390,$Y390)</f>
        <v>0</v>
      </c>
      <c r="AE390" s="26" t="n">
        <f aca="false">$AD390+ROW()*0.000000001</f>
        <v>3.9E-007</v>
      </c>
      <c r="AF390" s="26" t="str">
        <f aca="false">IF($J390="Yes","A","")&amp;IF($L390="Yes","B","")&amp;IF($N390="Yes","C","")</f>
        <v/>
      </c>
    </row>
    <row r="391" customFormat="false" ht="15" hidden="false" customHeight="false" outlineLevel="0" collapsed="false">
      <c r="B391" s="22" t="s">
        <v>776</v>
      </c>
      <c r="C391" s="23" t="s">
        <v>637</v>
      </c>
      <c r="D391" s="23" t="s">
        <v>204</v>
      </c>
      <c r="E391" s="23" t="s">
        <v>507</v>
      </c>
      <c r="F391" s="22" t="s">
        <v>57</v>
      </c>
      <c r="G391" s="23" t="s">
        <v>149</v>
      </c>
      <c r="H391" s="24" t="n">
        <v>1</v>
      </c>
      <c r="I391" s="14" t="n">
        <v>0.2029</v>
      </c>
      <c r="J391" s="25" t="s">
        <v>59</v>
      </c>
      <c r="K391" s="25"/>
      <c r="L391" s="25" t="s">
        <v>59</v>
      </c>
      <c r="M391" s="25"/>
      <c r="N391" s="25" t="s">
        <v>59</v>
      </c>
      <c r="O391" s="25"/>
      <c r="P391" s="14" t="n">
        <v>0.2029</v>
      </c>
      <c r="Q391" s="14" t="n">
        <f aca="false">IF(AND($J391="Yes",$G391&lt;&gt;"Vendor day rates"),$I391-0.4*$P391,0)</f>
        <v>0</v>
      </c>
      <c r="R391" s="26" t="n">
        <f aca="false">IFERROR(MATCH($K391,MonthList,0),0)</f>
        <v>0</v>
      </c>
      <c r="S391" s="14" t="n">
        <f aca="false">IF(OR($J391&lt;&gt;"Yes",$K391=""),0,$Q391*MAX(0,7-$R391)/12)</f>
        <v>0</v>
      </c>
      <c r="T391" s="14" t="n">
        <f aca="false">IF(OR($J391&lt;&gt;"Yes",$K391=""),0,$Q391*IF($R391&lt;=7,12,19-$R391)/12)</f>
        <v>0</v>
      </c>
      <c r="U391" s="14" t="n">
        <f aca="false">IF(AND($L391="Yes",$G391&lt;&gt;"Vendor day rates"),$I391-0.4*$P391,0)</f>
        <v>0</v>
      </c>
      <c r="V391" s="26" t="n">
        <f aca="false">IFERROR(MATCH($M391,MonthList,0),0)</f>
        <v>0</v>
      </c>
      <c r="W391" s="14" t="n">
        <f aca="false">IF(OR($L391&lt;&gt;"Yes",$M391=""),0,$U391*MAX(0,7-$V391)/12)</f>
        <v>0</v>
      </c>
      <c r="X391" s="14" t="n">
        <f aca="false">IF(OR($L391&lt;&gt;"Yes",$M391=""),0,$U391*IF($V391&lt;=7,12,19-$V391)/12)</f>
        <v>0</v>
      </c>
      <c r="Y391" s="14" t="n">
        <f aca="false">IF(AND($N391="Yes",$G391&lt;&gt;"Vendor day rates"),$I391-0.4*$P391,0)</f>
        <v>0</v>
      </c>
      <c r="Z391" s="26" t="n">
        <f aca="false">IFERROR(MATCH($O391,MonthList,0),0)</f>
        <v>0</v>
      </c>
      <c r="AA391" s="14" t="n">
        <f aca="false">IF(OR($N391&lt;&gt;"Yes",$O391=""),0,$Y391*MAX(0,7-$Z391)/12)</f>
        <v>0</v>
      </c>
      <c r="AB391" s="14" t="n">
        <f aca="false">IF(OR($N391&lt;&gt;"Yes",$O391=""),0,$Y391*IF($Z391&lt;=7,12,19-$Z391)/12)</f>
        <v>0</v>
      </c>
      <c r="AC391" s="26" t="str">
        <f aca="false">IF(OR($J391="Yes",$L391="Yes",$N391="Yes"),"Yes","No")</f>
        <v>No</v>
      </c>
      <c r="AD391" s="14" t="n">
        <f aca="false">MAX($Q391,$U391,$Y391)</f>
        <v>0</v>
      </c>
      <c r="AE391" s="26" t="n">
        <f aca="false">$AD391+ROW()*0.000000001</f>
        <v>3.91E-007</v>
      </c>
      <c r="AF391" s="26" t="str">
        <f aca="false">IF($J391="Yes","A","")&amp;IF($L391="Yes","B","")&amp;IF($N391="Yes","C","")</f>
        <v/>
      </c>
    </row>
    <row r="392" customFormat="false" ht="15" hidden="false" customHeight="false" outlineLevel="0" collapsed="false">
      <c r="B392" s="22" t="s">
        <v>777</v>
      </c>
      <c r="C392" s="23" t="s">
        <v>90</v>
      </c>
      <c r="D392" s="23" t="s">
        <v>91</v>
      </c>
      <c r="E392" s="23" t="s">
        <v>92</v>
      </c>
      <c r="F392" s="22" t="s">
        <v>57</v>
      </c>
      <c r="G392" s="23" t="s">
        <v>476</v>
      </c>
      <c r="H392" s="24" t="n">
        <v>1</v>
      </c>
      <c r="I392" s="14" t="n">
        <v>0.0811</v>
      </c>
      <c r="J392" s="25" t="s">
        <v>59</v>
      </c>
      <c r="K392" s="25"/>
      <c r="L392" s="25" t="s">
        <v>59</v>
      </c>
      <c r="M392" s="25"/>
      <c r="N392" s="25" t="s">
        <v>59</v>
      </c>
      <c r="O392" s="25"/>
      <c r="P392" s="14" t="n">
        <v>0.2029</v>
      </c>
      <c r="Q392" s="14" t="n">
        <f aca="false">IF(AND($J392="Yes",$G392&lt;&gt;"Vendor day rates"),$I392-0.4*$P392,0)</f>
        <v>0</v>
      </c>
      <c r="R392" s="26" t="n">
        <f aca="false">IFERROR(MATCH($K392,MonthList,0),0)</f>
        <v>0</v>
      </c>
      <c r="S392" s="14" t="n">
        <f aca="false">IF(OR($J392&lt;&gt;"Yes",$K392=""),0,$Q392*MAX(0,7-$R392)/12)</f>
        <v>0</v>
      </c>
      <c r="T392" s="14" t="n">
        <f aca="false">IF(OR($J392&lt;&gt;"Yes",$K392=""),0,$Q392*IF($R392&lt;=7,12,19-$R392)/12)</f>
        <v>0</v>
      </c>
      <c r="U392" s="14" t="n">
        <f aca="false">IF(AND($L392="Yes",$G392&lt;&gt;"Vendor day rates"),$I392-0.4*$P392,0)</f>
        <v>0</v>
      </c>
      <c r="V392" s="26" t="n">
        <f aca="false">IFERROR(MATCH($M392,MonthList,0),0)</f>
        <v>0</v>
      </c>
      <c r="W392" s="14" t="n">
        <f aca="false">IF(OR($L392&lt;&gt;"Yes",$M392=""),0,$U392*MAX(0,7-$V392)/12)</f>
        <v>0</v>
      </c>
      <c r="X392" s="14" t="n">
        <f aca="false">IF(OR($L392&lt;&gt;"Yes",$M392=""),0,$U392*IF($V392&lt;=7,12,19-$V392)/12)</f>
        <v>0</v>
      </c>
      <c r="Y392" s="14" t="n">
        <f aca="false">IF(AND($N392="Yes",$G392&lt;&gt;"Vendor day rates"),$I392-0.4*$P392,0)</f>
        <v>0</v>
      </c>
      <c r="Z392" s="26" t="n">
        <f aca="false">IFERROR(MATCH($O392,MonthList,0),0)</f>
        <v>0</v>
      </c>
      <c r="AA392" s="14" t="n">
        <f aca="false">IF(OR($N392&lt;&gt;"Yes",$O392=""),0,$Y392*MAX(0,7-$Z392)/12)</f>
        <v>0</v>
      </c>
      <c r="AB392" s="14" t="n">
        <f aca="false">IF(OR($N392&lt;&gt;"Yes",$O392=""),0,$Y392*IF($Z392&lt;=7,12,19-$Z392)/12)</f>
        <v>0</v>
      </c>
      <c r="AC392" s="26" t="str">
        <f aca="false">IF(OR($J392="Yes",$L392="Yes",$N392="Yes"),"Yes","No")</f>
        <v>No</v>
      </c>
      <c r="AD392" s="14" t="n">
        <f aca="false">MAX($Q392,$U392,$Y392)</f>
        <v>0</v>
      </c>
      <c r="AE392" s="26" t="n">
        <f aca="false">$AD392+ROW()*0.000000001</f>
        <v>3.92E-007</v>
      </c>
      <c r="AF392" s="26" t="str">
        <f aca="false">IF($J392="Yes","A","")&amp;IF($L392="Yes","B","")&amp;IF($N392="Yes","C","")</f>
        <v/>
      </c>
    </row>
    <row r="393" customFormat="false" ht="15" hidden="false" customHeight="false" outlineLevel="0" collapsed="false">
      <c r="B393" s="22" t="s">
        <v>778</v>
      </c>
      <c r="C393" s="23" t="s">
        <v>779</v>
      </c>
      <c r="D393" s="23" t="s">
        <v>212</v>
      </c>
      <c r="E393" s="23" t="s">
        <v>568</v>
      </c>
      <c r="F393" s="22" t="s">
        <v>57</v>
      </c>
      <c r="G393" s="23" t="s">
        <v>58</v>
      </c>
      <c r="H393" s="24" t="n">
        <v>1</v>
      </c>
      <c r="I393" s="14" t="n">
        <v>0.2429</v>
      </c>
      <c r="J393" s="25" t="s">
        <v>59</v>
      </c>
      <c r="K393" s="25"/>
      <c r="L393" s="25" t="s">
        <v>59</v>
      </c>
      <c r="M393" s="25"/>
      <c r="N393" s="25" t="s">
        <v>59</v>
      </c>
      <c r="O393" s="25"/>
      <c r="P393" s="14" t="n">
        <v>0.2429</v>
      </c>
      <c r="Q393" s="14" t="n">
        <f aca="false">IF(AND($J393="Yes",$G393&lt;&gt;"Vendor day rates"),$I393-0.4*$P393,0)</f>
        <v>0</v>
      </c>
      <c r="R393" s="26" t="n">
        <f aca="false">IFERROR(MATCH($K393,MonthList,0),0)</f>
        <v>0</v>
      </c>
      <c r="S393" s="14" t="n">
        <f aca="false">IF(OR($J393&lt;&gt;"Yes",$K393=""),0,$Q393*MAX(0,7-$R393)/12)</f>
        <v>0</v>
      </c>
      <c r="T393" s="14" t="n">
        <f aca="false">IF(OR($J393&lt;&gt;"Yes",$K393=""),0,$Q393*IF($R393&lt;=7,12,19-$R393)/12)</f>
        <v>0</v>
      </c>
      <c r="U393" s="14" t="n">
        <f aca="false">IF(AND($L393="Yes",$G393&lt;&gt;"Vendor day rates"),$I393-0.4*$P393,0)</f>
        <v>0</v>
      </c>
      <c r="V393" s="26" t="n">
        <f aca="false">IFERROR(MATCH($M393,MonthList,0),0)</f>
        <v>0</v>
      </c>
      <c r="W393" s="14" t="n">
        <f aca="false">IF(OR($L393&lt;&gt;"Yes",$M393=""),0,$U393*MAX(0,7-$V393)/12)</f>
        <v>0</v>
      </c>
      <c r="X393" s="14" t="n">
        <f aca="false">IF(OR($L393&lt;&gt;"Yes",$M393=""),0,$U393*IF($V393&lt;=7,12,19-$V393)/12)</f>
        <v>0</v>
      </c>
      <c r="Y393" s="14" t="n">
        <f aca="false">IF(AND($N393="Yes",$G393&lt;&gt;"Vendor day rates"),$I393-0.4*$P393,0)</f>
        <v>0</v>
      </c>
      <c r="Z393" s="26" t="n">
        <f aca="false">IFERROR(MATCH($O393,MonthList,0),0)</f>
        <v>0</v>
      </c>
      <c r="AA393" s="14" t="n">
        <f aca="false">IF(OR($N393&lt;&gt;"Yes",$O393=""),0,$Y393*MAX(0,7-$Z393)/12)</f>
        <v>0</v>
      </c>
      <c r="AB393" s="14" t="n">
        <f aca="false">IF(OR($N393&lt;&gt;"Yes",$O393=""),0,$Y393*IF($Z393&lt;=7,12,19-$Z393)/12)</f>
        <v>0</v>
      </c>
      <c r="AC393" s="26" t="str">
        <f aca="false">IF(OR($J393="Yes",$L393="Yes",$N393="Yes"),"Yes","No")</f>
        <v>No</v>
      </c>
      <c r="AD393" s="14" t="n">
        <f aca="false">MAX($Q393,$U393,$Y393)</f>
        <v>0</v>
      </c>
      <c r="AE393" s="26" t="n">
        <f aca="false">$AD393+ROW()*0.000000001</f>
        <v>3.93E-007</v>
      </c>
      <c r="AF393" s="26" t="str">
        <f aca="false">IF($J393="Yes","A","")&amp;IF($L393="Yes","B","")&amp;IF($N393="Yes","C","")</f>
        <v/>
      </c>
    </row>
    <row r="394" customFormat="false" ht="15" hidden="false" customHeight="false" outlineLevel="0" collapsed="false">
      <c r="B394" s="22" t="s">
        <v>780</v>
      </c>
      <c r="C394" s="23" t="s">
        <v>611</v>
      </c>
      <c r="D394" s="23" t="s">
        <v>212</v>
      </c>
      <c r="E394" s="23" t="s">
        <v>325</v>
      </c>
      <c r="F394" s="22" t="s">
        <v>57</v>
      </c>
      <c r="G394" s="23" t="s">
        <v>58</v>
      </c>
      <c r="H394" s="24" t="n">
        <v>1</v>
      </c>
      <c r="I394" s="14" t="n">
        <v>0.2626</v>
      </c>
      <c r="J394" s="25" t="s">
        <v>59</v>
      </c>
      <c r="K394" s="25"/>
      <c r="L394" s="25" t="s">
        <v>59</v>
      </c>
      <c r="M394" s="25"/>
      <c r="N394" s="25" t="s">
        <v>59</v>
      </c>
      <c r="O394" s="25"/>
      <c r="P394" s="14" t="n">
        <v>0.2626</v>
      </c>
      <c r="Q394" s="14" t="n">
        <f aca="false">IF(AND($J394="Yes",$G394&lt;&gt;"Vendor day rates"),$I394-0.4*$P394,0)</f>
        <v>0</v>
      </c>
      <c r="R394" s="26" t="n">
        <f aca="false">IFERROR(MATCH($K394,MonthList,0),0)</f>
        <v>0</v>
      </c>
      <c r="S394" s="14" t="n">
        <f aca="false">IF(OR($J394&lt;&gt;"Yes",$K394=""),0,$Q394*MAX(0,7-$R394)/12)</f>
        <v>0</v>
      </c>
      <c r="T394" s="14" t="n">
        <f aca="false">IF(OR($J394&lt;&gt;"Yes",$K394=""),0,$Q394*IF($R394&lt;=7,12,19-$R394)/12)</f>
        <v>0</v>
      </c>
      <c r="U394" s="14" t="n">
        <f aca="false">IF(AND($L394="Yes",$G394&lt;&gt;"Vendor day rates"),$I394-0.4*$P394,0)</f>
        <v>0</v>
      </c>
      <c r="V394" s="26" t="n">
        <f aca="false">IFERROR(MATCH($M394,MonthList,0),0)</f>
        <v>0</v>
      </c>
      <c r="W394" s="14" t="n">
        <f aca="false">IF(OR($L394&lt;&gt;"Yes",$M394=""),0,$U394*MAX(0,7-$V394)/12)</f>
        <v>0</v>
      </c>
      <c r="X394" s="14" t="n">
        <f aca="false">IF(OR($L394&lt;&gt;"Yes",$M394=""),0,$U394*IF($V394&lt;=7,12,19-$V394)/12)</f>
        <v>0</v>
      </c>
      <c r="Y394" s="14" t="n">
        <f aca="false">IF(AND($N394="Yes",$G394&lt;&gt;"Vendor day rates"),$I394-0.4*$P394,0)</f>
        <v>0</v>
      </c>
      <c r="Z394" s="26" t="n">
        <f aca="false">IFERROR(MATCH($O394,MonthList,0),0)</f>
        <v>0</v>
      </c>
      <c r="AA394" s="14" t="n">
        <f aca="false">IF(OR($N394&lt;&gt;"Yes",$O394=""),0,$Y394*MAX(0,7-$Z394)/12)</f>
        <v>0</v>
      </c>
      <c r="AB394" s="14" t="n">
        <f aca="false">IF(OR($N394&lt;&gt;"Yes",$O394=""),0,$Y394*IF($Z394&lt;=7,12,19-$Z394)/12)</f>
        <v>0</v>
      </c>
      <c r="AC394" s="26" t="str">
        <f aca="false">IF(OR($J394="Yes",$L394="Yes",$N394="Yes"),"Yes","No")</f>
        <v>No</v>
      </c>
      <c r="AD394" s="14" t="n">
        <f aca="false">MAX($Q394,$U394,$Y394)</f>
        <v>0</v>
      </c>
      <c r="AE394" s="26" t="n">
        <f aca="false">$AD394+ROW()*0.000000001</f>
        <v>3.94E-007</v>
      </c>
      <c r="AF394" s="26" t="str">
        <f aca="false">IF($J394="Yes","A","")&amp;IF($L394="Yes","B","")&amp;IF($N394="Yes","C","")</f>
        <v/>
      </c>
    </row>
    <row r="395" customFormat="false" ht="15" hidden="false" customHeight="false" outlineLevel="0" collapsed="false">
      <c r="B395" s="22" t="s">
        <v>781</v>
      </c>
      <c r="C395" s="23" t="s">
        <v>611</v>
      </c>
      <c r="D395" s="23" t="s">
        <v>212</v>
      </c>
      <c r="E395" s="23" t="s">
        <v>325</v>
      </c>
      <c r="F395" s="22" t="s">
        <v>57</v>
      </c>
      <c r="G395" s="23" t="s">
        <v>58</v>
      </c>
      <c r="H395" s="24" t="n">
        <v>1</v>
      </c>
      <c r="I395" s="14" t="n">
        <v>0.1475</v>
      </c>
      <c r="J395" s="25" t="s">
        <v>59</v>
      </c>
      <c r="K395" s="25"/>
      <c r="L395" s="25" t="s">
        <v>59</v>
      </c>
      <c r="M395" s="25"/>
      <c r="N395" s="25" t="s">
        <v>59</v>
      </c>
      <c r="O395" s="25"/>
      <c r="P395" s="14" t="n">
        <v>0.1475</v>
      </c>
      <c r="Q395" s="14" t="n">
        <f aca="false">IF(AND($J395="Yes",$G395&lt;&gt;"Vendor day rates"),$I395-0.4*$P395,0)</f>
        <v>0</v>
      </c>
      <c r="R395" s="26" t="n">
        <f aca="false">IFERROR(MATCH($K395,MonthList,0),0)</f>
        <v>0</v>
      </c>
      <c r="S395" s="14" t="n">
        <f aca="false">IF(OR($J395&lt;&gt;"Yes",$K395=""),0,$Q395*MAX(0,7-$R395)/12)</f>
        <v>0</v>
      </c>
      <c r="T395" s="14" t="n">
        <f aca="false">IF(OR($J395&lt;&gt;"Yes",$K395=""),0,$Q395*IF($R395&lt;=7,12,19-$R395)/12)</f>
        <v>0</v>
      </c>
      <c r="U395" s="14" t="n">
        <f aca="false">IF(AND($L395="Yes",$G395&lt;&gt;"Vendor day rates"),$I395-0.4*$P395,0)</f>
        <v>0</v>
      </c>
      <c r="V395" s="26" t="n">
        <f aca="false">IFERROR(MATCH($M395,MonthList,0),0)</f>
        <v>0</v>
      </c>
      <c r="W395" s="14" t="n">
        <f aca="false">IF(OR($L395&lt;&gt;"Yes",$M395=""),0,$U395*MAX(0,7-$V395)/12)</f>
        <v>0</v>
      </c>
      <c r="X395" s="14" t="n">
        <f aca="false">IF(OR($L395&lt;&gt;"Yes",$M395=""),0,$U395*IF($V395&lt;=7,12,19-$V395)/12)</f>
        <v>0</v>
      </c>
      <c r="Y395" s="14" t="n">
        <f aca="false">IF(AND($N395="Yes",$G395&lt;&gt;"Vendor day rates"),$I395-0.4*$P395,0)</f>
        <v>0</v>
      </c>
      <c r="Z395" s="26" t="n">
        <f aca="false">IFERROR(MATCH($O395,MonthList,0),0)</f>
        <v>0</v>
      </c>
      <c r="AA395" s="14" t="n">
        <f aca="false">IF(OR($N395&lt;&gt;"Yes",$O395=""),0,$Y395*MAX(0,7-$Z395)/12)</f>
        <v>0</v>
      </c>
      <c r="AB395" s="14" t="n">
        <f aca="false">IF(OR($N395&lt;&gt;"Yes",$O395=""),0,$Y395*IF($Z395&lt;=7,12,19-$Z395)/12)</f>
        <v>0</v>
      </c>
      <c r="AC395" s="26" t="str">
        <f aca="false">IF(OR($J395="Yes",$L395="Yes",$N395="Yes"),"Yes","No")</f>
        <v>No</v>
      </c>
      <c r="AD395" s="14" t="n">
        <f aca="false">MAX($Q395,$U395,$Y395)</f>
        <v>0</v>
      </c>
      <c r="AE395" s="26" t="n">
        <f aca="false">$AD395+ROW()*0.000000001</f>
        <v>3.95E-007</v>
      </c>
      <c r="AF395" s="26" t="str">
        <f aca="false">IF($J395="Yes","A","")&amp;IF($L395="Yes","B","")&amp;IF($N395="Yes","C","")</f>
        <v/>
      </c>
    </row>
    <row r="396" customFormat="false" ht="15" hidden="false" customHeight="false" outlineLevel="0" collapsed="false">
      <c r="B396" s="22" t="s">
        <v>782</v>
      </c>
      <c r="C396" s="23" t="s">
        <v>611</v>
      </c>
      <c r="D396" s="23" t="s">
        <v>212</v>
      </c>
      <c r="E396" s="23" t="s">
        <v>783</v>
      </c>
      <c r="F396" s="22" t="s">
        <v>57</v>
      </c>
      <c r="G396" s="23" t="s">
        <v>58</v>
      </c>
      <c r="H396" s="24" t="n">
        <v>1</v>
      </c>
      <c r="I396" s="14" t="n">
        <v>0.2592</v>
      </c>
      <c r="J396" s="25" t="s">
        <v>59</v>
      </c>
      <c r="K396" s="25"/>
      <c r="L396" s="25" t="s">
        <v>59</v>
      </c>
      <c r="M396" s="25"/>
      <c r="N396" s="25" t="s">
        <v>59</v>
      </c>
      <c r="O396" s="25"/>
      <c r="P396" s="14" t="n">
        <v>0.2592</v>
      </c>
      <c r="Q396" s="14" t="n">
        <f aca="false">IF(AND($J396="Yes",$G396&lt;&gt;"Vendor day rates"),$I396-0.4*$P396,0)</f>
        <v>0</v>
      </c>
      <c r="R396" s="26" t="n">
        <f aca="false">IFERROR(MATCH($K396,MonthList,0),0)</f>
        <v>0</v>
      </c>
      <c r="S396" s="14" t="n">
        <f aca="false">IF(OR($J396&lt;&gt;"Yes",$K396=""),0,$Q396*MAX(0,7-$R396)/12)</f>
        <v>0</v>
      </c>
      <c r="T396" s="14" t="n">
        <f aca="false">IF(OR($J396&lt;&gt;"Yes",$K396=""),0,$Q396*IF($R396&lt;=7,12,19-$R396)/12)</f>
        <v>0</v>
      </c>
      <c r="U396" s="14" t="n">
        <f aca="false">IF(AND($L396="Yes",$G396&lt;&gt;"Vendor day rates"),$I396-0.4*$P396,0)</f>
        <v>0</v>
      </c>
      <c r="V396" s="26" t="n">
        <f aca="false">IFERROR(MATCH($M396,MonthList,0),0)</f>
        <v>0</v>
      </c>
      <c r="W396" s="14" t="n">
        <f aca="false">IF(OR($L396&lt;&gt;"Yes",$M396=""),0,$U396*MAX(0,7-$V396)/12)</f>
        <v>0</v>
      </c>
      <c r="X396" s="14" t="n">
        <f aca="false">IF(OR($L396&lt;&gt;"Yes",$M396=""),0,$U396*IF($V396&lt;=7,12,19-$V396)/12)</f>
        <v>0</v>
      </c>
      <c r="Y396" s="14" t="n">
        <f aca="false">IF(AND($N396="Yes",$G396&lt;&gt;"Vendor day rates"),$I396-0.4*$P396,0)</f>
        <v>0</v>
      </c>
      <c r="Z396" s="26" t="n">
        <f aca="false">IFERROR(MATCH($O396,MonthList,0),0)</f>
        <v>0</v>
      </c>
      <c r="AA396" s="14" t="n">
        <f aca="false">IF(OR($N396&lt;&gt;"Yes",$O396=""),0,$Y396*MAX(0,7-$Z396)/12)</f>
        <v>0</v>
      </c>
      <c r="AB396" s="14" t="n">
        <f aca="false">IF(OR($N396&lt;&gt;"Yes",$O396=""),0,$Y396*IF($Z396&lt;=7,12,19-$Z396)/12)</f>
        <v>0</v>
      </c>
      <c r="AC396" s="26" t="str">
        <f aca="false">IF(OR($J396="Yes",$L396="Yes",$N396="Yes"),"Yes","No")</f>
        <v>No</v>
      </c>
      <c r="AD396" s="14" t="n">
        <f aca="false">MAX($Q396,$U396,$Y396)</f>
        <v>0</v>
      </c>
      <c r="AE396" s="26" t="n">
        <f aca="false">$AD396+ROW()*0.000000001</f>
        <v>3.96E-007</v>
      </c>
      <c r="AF396" s="26" t="str">
        <f aca="false">IF($J396="Yes","A","")&amp;IF($L396="Yes","B","")&amp;IF($N396="Yes","C","")</f>
        <v/>
      </c>
    </row>
    <row r="397" customFormat="false" ht="15" hidden="false" customHeight="false" outlineLevel="0" collapsed="false">
      <c r="B397" s="22" t="s">
        <v>784</v>
      </c>
      <c r="C397" s="23" t="s">
        <v>785</v>
      </c>
      <c r="D397" s="23" t="s">
        <v>212</v>
      </c>
      <c r="E397" s="23" t="s">
        <v>563</v>
      </c>
      <c r="F397" s="22" t="s">
        <v>57</v>
      </c>
      <c r="G397" s="23" t="s">
        <v>476</v>
      </c>
      <c r="H397" s="24" t="n">
        <v>1</v>
      </c>
      <c r="I397" s="14" t="n">
        <v>0.0927</v>
      </c>
      <c r="J397" s="25" t="s">
        <v>59</v>
      </c>
      <c r="K397" s="25"/>
      <c r="L397" s="25" t="s">
        <v>59</v>
      </c>
      <c r="M397" s="25"/>
      <c r="N397" s="25" t="s">
        <v>59</v>
      </c>
      <c r="O397" s="25"/>
      <c r="P397" s="14" t="n">
        <v>0.2317</v>
      </c>
      <c r="Q397" s="14" t="n">
        <f aca="false">IF(AND($J397="Yes",$G397&lt;&gt;"Vendor day rates"),$I397-0.4*$P397,0)</f>
        <v>0</v>
      </c>
      <c r="R397" s="26" t="n">
        <f aca="false">IFERROR(MATCH($K397,MonthList,0),0)</f>
        <v>0</v>
      </c>
      <c r="S397" s="14" t="n">
        <f aca="false">IF(OR($J397&lt;&gt;"Yes",$K397=""),0,$Q397*MAX(0,7-$R397)/12)</f>
        <v>0</v>
      </c>
      <c r="T397" s="14" t="n">
        <f aca="false">IF(OR($J397&lt;&gt;"Yes",$K397=""),0,$Q397*IF($R397&lt;=7,12,19-$R397)/12)</f>
        <v>0</v>
      </c>
      <c r="U397" s="14" t="n">
        <f aca="false">IF(AND($L397="Yes",$G397&lt;&gt;"Vendor day rates"),$I397-0.4*$P397,0)</f>
        <v>0</v>
      </c>
      <c r="V397" s="26" t="n">
        <f aca="false">IFERROR(MATCH($M397,MonthList,0),0)</f>
        <v>0</v>
      </c>
      <c r="W397" s="14" t="n">
        <f aca="false">IF(OR($L397&lt;&gt;"Yes",$M397=""),0,$U397*MAX(0,7-$V397)/12)</f>
        <v>0</v>
      </c>
      <c r="X397" s="14" t="n">
        <f aca="false">IF(OR($L397&lt;&gt;"Yes",$M397=""),0,$U397*IF($V397&lt;=7,12,19-$V397)/12)</f>
        <v>0</v>
      </c>
      <c r="Y397" s="14" t="n">
        <f aca="false">IF(AND($N397="Yes",$G397&lt;&gt;"Vendor day rates"),$I397-0.4*$P397,0)</f>
        <v>0</v>
      </c>
      <c r="Z397" s="26" t="n">
        <f aca="false">IFERROR(MATCH($O397,MonthList,0),0)</f>
        <v>0</v>
      </c>
      <c r="AA397" s="14" t="n">
        <f aca="false">IF(OR($N397&lt;&gt;"Yes",$O397=""),0,$Y397*MAX(0,7-$Z397)/12)</f>
        <v>0</v>
      </c>
      <c r="AB397" s="14" t="n">
        <f aca="false">IF(OR($N397&lt;&gt;"Yes",$O397=""),0,$Y397*IF($Z397&lt;=7,12,19-$Z397)/12)</f>
        <v>0</v>
      </c>
      <c r="AC397" s="26" t="str">
        <f aca="false">IF(OR($J397="Yes",$L397="Yes",$N397="Yes"),"Yes","No")</f>
        <v>No</v>
      </c>
      <c r="AD397" s="14" t="n">
        <f aca="false">MAX($Q397,$U397,$Y397)</f>
        <v>0</v>
      </c>
      <c r="AE397" s="26" t="n">
        <f aca="false">$AD397+ROW()*0.000000001</f>
        <v>3.97E-007</v>
      </c>
      <c r="AF397" s="26" t="str">
        <f aca="false">IF($J397="Yes","A","")&amp;IF($L397="Yes","B","")&amp;IF($N397="Yes","C","")</f>
        <v/>
      </c>
    </row>
    <row r="398" customFormat="false" ht="15" hidden="false" customHeight="false" outlineLevel="0" collapsed="false">
      <c r="B398" s="22" t="s">
        <v>786</v>
      </c>
      <c r="C398" s="23" t="s">
        <v>787</v>
      </c>
      <c r="D398" s="23" t="s">
        <v>212</v>
      </c>
      <c r="E398" s="23" t="s">
        <v>568</v>
      </c>
      <c r="F398" s="22" t="s">
        <v>57</v>
      </c>
      <c r="G398" s="23" t="s">
        <v>149</v>
      </c>
      <c r="H398" s="24" t="n">
        <v>1</v>
      </c>
      <c r="I398" s="14" t="n">
        <v>0.1705</v>
      </c>
      <c r="J398" s="25" t="s">
        <v>59</v>
      </c>
      <c r="K398" s="25"/>
      <c r="L398" s="25" t="s">
        <v>59</v>
      </c>
      <c r="M398" s="25"/>
      <c r="N398" s="25" t="s">
        <v>59</v>
      </c>
      <c r="O398" s="25"/>
      <c r="P398" s="14" t="n">
        <v>0.1705</v>
      </c>
      <c r="Q398" s="14" t="n">
        <f aca="false">IF(AND($J398="Yes",$G398&lt;&gt;"Vendor day rates"),$I398-0.4*$P398,0)</f>
        <v>0</v>
      </c>
      <c r="R398" s="26" t="n">
        <f aca="false">IFERROR(MATCH($K398,MonthList,0),0)</f>
        <v>0</v>
      </c>
      <c r="S398" s="14" t="n">
        <f aca="false">IF(OR($J398&lt;&gt;"Yes",$K398=""),0,$Q398*MAX(0,7-$R398)/12)</f>
        <v>0</v>
      </c>
      <c r="T398" s="14" t="n">
        <f aca="false">IF(OR($J398&lt;&gt;"Yes",$K398=""),0,$Q398*IF($R398&lt;=7,12,19-$R398)/12)</f>
        <v>0</v>
      </c>
      <c r="U398" s="14" t="n">
        <f aca="false">IF(AND($L398="Yes",$G398&lt;&gt;"Vendor day rates"),$I398-0.4*$P398,0)</f>
        <v>0</v>
      </c>
      <c r="V398" s="26" t="n">
        <f aca="false">IFERROR(MATCH($M398,MonthList,0),0)</f>
        <v>0</v>
      </c>
      <c r="W398" s="14" t="n">
        <f aca="false">IF(OR($L398&lt;&gt;"Yes",$M398=""),0,$U398*MAX(0,7-$V398)/12)</f>
        <v>0</v>
      </c>
      <c r="X398" s="14" t="n">
        <f aca="false">IF(OR($L398&lt;&gt;"Yes",$M398=""),0,$U398*IF($V398&lt;=7,12,19-$V398)/12)</f>
        <v>0</v>
      </c>
      <c r="Y398" s="14" t="n">
        <f aca="false">IF(AND($N398="Yes",$G398&lt;&gt;"Vendor day rates"),$I398-0.4*$P398,0)</f>
        <v>0</v>
      </c>
      <c r="Z398" s="26" t="n">
        <f aca="false">IFERROR(MATCH($O398,MonthList,0),0)</f>
        <v>0</v>
      </c>
      <c r="AA398" s="14" t="n">
        <f aca="false">IF(OR($N398&lt;&gt;"Yes",$O398=""),0,$Y398*MAX(0,7-$Z398)/12)</f>
        <v>0</v>
      </c>
      <c r="AB398" s="14" t="n">
        <f aca="false">IF(OR($N398&lt;&gt;"Yes",$O398=""),0,$Y398*IF($Z398&lt;=7,12,19-$Z398)/12)</f>
        <v>0</v>
      </c>
      <c r="AC398" s="26" t="str">
        <f aca="false">IF(OR($J398="Yes",$L398="Yes",$N398="Yes"),"Yes","No")</f>
        <v>No</v>
      </c>
      <c r="AD398" s="14" t="n">
        <f aca="false">MAX($Q398,$U398,$Y398)</f>
        <v>0</v>
      </c>
      <c r="AE398" s="26" t="n">
        <f aca="false">$AD398+ROW()*0.000000001</f>
        <v>3.98E-007</v>
      </c>
      <c r="AF398" s="26" t="str">
        <f aca="false">IF($J398="Yes","A","")&amp;IF($L398="Yes","B","")&amp;IF($N398="Yes","C","")</f>
        <v/>
      </c>
    </row>
    <row r="399" customFormat="false" ht="15" hidden="false" customHeight="false" outlineLevel="0" collapsed="false">
      <c r="B399" s="22" t="s">
        <v>788</v>
      </c>
      <c r="C399" s="23" t="s">
        <v>141</v>
      </c>
      <c r="D399" s="23" t="s">
        <v>212</v>
      </c>
      <c r="E399" s="23" t="s">
        <v>575</v>
      </c>
      <c r="F399" s="22" t="s">
        <v>57</v>
      </c>
      <c r="G399" s="23" t="s">
        <v>304</v>
      </c>
      <c r="H399" s="24" t="n">
        <v>1</v>
      </c>
      <c r="I399" s="14" t="n">
        <v>0</v>
      </c>
      <c r="J399" s="25" t="s">
        <v>59</v>
      </c>
      <c r="K399" s="25"/>
      <c r="L399" s="25" t="s">
        <v>59</v>
      </c>
      <c r="M399" s="25"/>
      <c r="N399" s="25" t="s">
        <v>59</v>
      </c>
      <c r="O399" s="25"/>
      <c r="P399" s="14" t="n">
        <v>0.2029</v>
      </c>
      <c r="Q399" s="14" t="n">
        <f aca="false">IF(AND($J399="Yes",$G399&lt;&gt;"Vendor day rates"),$I399-0.4*$P399,0)</f>
        <v>0</v>
      </c>
      <c r="R399" s="26" t="n">
        <f aca="false">IFERROR(MATCH($K399,MonthList,0),0)</f>
        <v>0</v>
      </c>
      <c r="S399" s="14" t="n">
        <f aca="false">IF(OR($J399&lt;&gt;"Yes",$K399=""),0,$Q399*MAX(0,7-$R399)/12)</f>
        <v>0</v>
      </c>
      <c r="T399" s="14" t="n">
        <f aca="false">IF(OR($J399&lt;&gt;"Yes",$K399=""),0,$Q399*IF($R399&lt;=7,12,19-$R399)/12)</f>
        <v>0</v>
      </c>
      <c r="U399" s="14" t="n">
        <f aca="false">IF(AND($L399="Yes",$G399&lt;&gt;"Vendor day rates"),$I399-0.4*$P399,0)</f>
        <v>0</v>
      </c>
      <c r="V399" s="26" t="n">
        <f aca="false">IFERROR(MATCH($M399,MonthList,0),0)</f>
        <v>0</v>
      </c>
      <c r="W399" s="14" t="n">
        <f aca="false">IF(OR($L399&lt;&gt;"Yes",$M399=""),0,$U399*MAX(0,7-$V399)/12)</f>
        <v>0</v>
      </c>
      <c r="X399" s="14" t="n">
        <f aca="false">IF(OR($L399&lt;&gt;"Yes",$M399=""),0,$U399*IF($V399&lt;=7,12,19-$V399)/12)</f>
        <v>0</v>
      </c>
      <c r="Y399" s="14" t="n">
        <f aca="false">IF(AND($N399="Yes",$G399&lt;&gt;"Vendor day rates"),$I399-0.4*$P399,0)</f>
        <v>0</v>
      </c>
      <c r="Z399" s="26" t="n">
        <f aca="false">IFERROR(MATCH($O399,MonthList,0),0)</f>
        <v>0</v>
      </c>
      <c r="AA399" s="14" t="n">
        <f aca="false">IF(OR($N399&lt;&gt;"Yes",$O399=""),0,$Y399*MAX(0,7-$Z399)/12)</f>
        <v>0</v>
      </c>
      <c r="AB399" s="14" t="n">
        <f aca="false">IF(OR($N399&lt;&gt;"Yes",$O399=""),0,$Y399*IF($Z399&lt;=7,12,19-$Z399)/12)</f>
        <v>0</v>
      </c>
      <c r="AC399" s="26" t="str">
        <f aca="false">IF(OR($J399="Yes",$L399="Yes",$N399="Yes"),"Yes","No")</f>
        <v>No</v>
      </c>
      <c r="AD399" s="14" t="n">
        <f aca="false">MAX($Q399,$U399,$Y399)</f>
        <v>0</v>
      </c>
      <c r="AE399" s="26" t="n">
        <f aca="false">$AD399+ROW()*0.000000001</f>
        <v>3.99E-007</v>
      </c>
      <c r="AF399" s="26" t="str">
        <f aca="false">IF($J399="Yes","A","")&amp;IF($L399="Yes","B","")&amp;IF($N399="Yes","C","")</f>
        <v/>
      </c>
    </row>
    <row r="400" customFormat="false" ht="15" hidden="false" customHeight="false" outlineLevel="0" collapsed="false">
      <c r="B400" s="22" t="s">
        <v>789</v>
      </c>
      <c r="C400" s="23" t="s">
        <v>141</v>
      </c>
      <c r="D400" s="23" t="s">
        <v>212</v>
      </c>
      <c r="E400" s="23" t="s">
        <v>790</v>
      </c>
      <c r="F400" s="22" t="s">
        <v>57</v>
      </c>
      <c r="G400" s="23" t="s">
        <v>149</v>
      </c>
      <c r="H400" s="24" t="n">
        <v>1</v>
      </c>
      <c r="I400" s="14" t="n">
        <v>0.2029</v>
      </c>
      <c r="J400" s="25" t="s">
        <v>59</v>
      </c>
      <c r="K400" s="25"/>
      <c r="L400" s="25" t="s">
        <v>59</v>
      </c>
      <c r="M400" s="25"/>
      <c r="N400" s="25" t="s">
        <v>59</v>
      </c>
      <c r="O400" s="25"/>
      <c r="P400" s="14" t="n">
        <v>0.2029</v>
      </c>
      <c r="Q400" s="14" t="n">
        <f aca="false">IF(AND($J400="Yes",$G400&lt;&gt;"Vendor day rates"),$I400-0.4*$P400,0)</f>
        <v>0</v>
      </c>
      <c r="R400" s="26" t="n">
        <f aca="false">IFERROR(MATCH($K400,MonthList,0),0)</f>
        <v>0</v>
      </c>
      <c r="S400" s="14" t="n">
        <f aca="false">IF(OR($J400&lt;&gt;"Yes",$K400=""),0,$Q400*MAX(0,7-$R400)/12)</f>
        <v>0</v>
      </c>
      <c r="T400" s="14" t="n">
        <f aca="false">IF(OR($J400&lt;&gt;"Yes",$K400=""),0,$Q400*IF($R400&lt;=7,12,19-$R400)/12)</f>
        <v>0</v>
      </c>
      <c r="U400" s="14" t="n">
        <f aca="false">IF(AND($L400="Yes",$G400&lt;&gt;"Vendor day rates"),$I400-0.4*$P400,0)</f>
        <v>0</v>
      </c>
      <c r="V400" s="26" t="n">
        <f aca="false">IFERROR(MATCH($M400,MonthList,0),0)</f>
        <v>0</v>
      </c>
      <c r="W400" s="14" t="n">
        <f aca="false">IF(OR($L400&lt;&gt;"Yes",$M400=""),0,$U400*MAX(0,7-$V400)/12)</f>
        <v>0</v>
      </c>
      <c r="X400" s="14" t="n">
        <f aca="false">IF(OR($L400&lt;&gt;"Yes",$M400=""),0,$U400*IF($V400&lt;=7,12,19-$V400)/12)</f>
        <v>0</v>
      </c>
      <c r="Y400" s="14" t="n">
        <f aca="false">IF(AND($N400="Yes",$G400&lt;&gt;"Vendor day rates"),$I400-0.4*$P400,0)</f>
        <v>0</v>
      </c>
      <c r="Z400" s="26" t="n">
        <f aca="false">IFERROR(MATCH($O400,MonthList,0),0)</f>
        <v>0</v>
      </c>
      <c r="AA400" s="14" t="n">
        <f aca="false">IF(OR($N400&lt;&gt;"Yes",$O400=""),0,$Y400*MAX(0,7-$Z400)/12)</f>
        <v>0</v>
      </c>
      <c r="AB400" s="14" t="n">
        <f aca="false">IF(OR($N400&lt;&gt;"Yes",$O400=""),0,$Y400*IF($Z400&lt;=7,12,19-$Z400)/12)</f>
        <v>0</v>
      </c>
      <c r="AC400" s="26" t="str">
        <f aca="false">IF(OR($J400="Yes",$L400="Yes",$N400="Yes"),"Yes","No")</f>
        <v>No</v>
      </c>
      <c r="AD400" s="14" t="n">
        <f aca="false">MAX($Q400,$U400,$Y400)</f>
        <v>0</v>
      </c>
      <c r="AE400" s="26" t="n">
        <f aca="false">$AD400+ROW()*0.000000001</f>
        <v>4E-007</v>
      </c>
      <c r="AF400" s="26" t="str">
        <f aca="false">IF($J400="Yes","A","")&amp;IF($L400="Yes","B","")&amp;IF($N400="Yes","C","")</f>
        <v/>
      </c>
    </row>
    <row r="401" customFormat="false" ht="15" hidden="false" customHeight="false" outlineLevel="0" collapsed="false">
      <c r="B401" s="22" t="s">
        <v>791</v>
      </c>
      <c r="C401" s="23" t="s">
        <v>141</v>
      </c>
      <c r="D401" s="23" t="s">
        <v>212</v>
      </c>
      <c r="E401" s="23" t="s">
        <v>563</v>
      </c>
      <c r="F401" s="22" t="s">
        <v>57</v>
      </c>
      <c r="G401" s="23" t="s">
        <v>149</v>
      </c>
      <c r="H401" s="24" t="n">
        <v>1</v>
      </c>
      <c r="I401" s="14" t="n">
        <v>0.1279</v>
      </c>
      <c r="J401" s="25" t="s">
        <v>59</v>
      </c>
      <c r="K401" s="25"/>
      <c r="L401" s="25" t="s">
        <v>59</v>
      </c>
      <c r="M401" s="25"/>
      <c r="N401" s="25" t="s">
        <v>59</v>
      </c>
      <c r="O401" s="25"/>
      <c r="P401" s="14" t="n">
        <v>0.1705</v>
      </c>
      <c r="Q401" s="14" t="n">
        <f aca="false">IF(AND($J401="Yes",$G401&lt;&gt;"Vendor day rates"),$I401-0.4*$P401,0)</f>
        <v>0</v>
      </c>
      <c r="R401" s="26" t="n">
        <f aca="false">IFERROR(MATCH($K401,MonthList,0),0)</f>
        <v>0</v>
      </c>
      <c r="S401" s="14" t="n">
        <f aca="false">IF(OR($J401&lt;&gt;"Yes",$K401=""),0,$Q401*MAX(0,7-$R401)/12)</f>
        <v>0</v>
      </c>
      <c r="T401" s="14" t="n">
        <f aca="false">IF(OR($J401&lt;&gt;"Yes",$K401=""),0,$Q401*IF($R401&lt;=7,12,19-$R401)/12)</f>
        <v>0</v>
      </c>
      <c r="U401" s="14" t="n">
        <f aca="false">IF(AND($L401="Yes",$G401&lt;&gt;"Vendor day rates"),$I401-0.4*$P401,0)</f>
        <v>0</v>
      </c>
      <c r="V401" s="26" t="n">
        <f aca="false">IFERROR(MATCH($M401,MonthList,0),0)</f>
        <v>0</v>
      </c>
      <c r="W401" s="14" t="n">
        <f aca="false">IF(OR($L401&lt;&gt;"Yes",$M401=""),0,$U401*MAX(0,7-$V401)/12)</f>
        <v>0</v>
      </c>
      <c r="X401" s="14" t="n">
        <f aca="false">IF(OR($L401&lt;&gt;"Yes",$M401=""),0,$U401*IF($V401&lt;=7,12,19-$V401)/12)</f>
        <v>0</v>
      </c>
      <c r="Y401" s="14" t="n">
        <f aca="false">IF(AND($N401="Yes",$G401&lt;&gt;"Vendor day rates"),$I401-0.4*$P401,0)</f>
        <v>0</v>
      </c>
      <c r="Z401" s="26" t="n">
        <f aca="false">IFERROR(MATCH($O401,MonthList,0),0)</f>
        <v>0</v>
      </c>
      <c r="AA401" s="14" t="n">
        <f aca="false">IF(OR($N401&lt;&gt;"Yes",$O401=""),0,$Y401*MAX(0,7-$Z401)/12)</f>
        <v>0</v>
      </c>
      <c r="AB401" s="14" t="n">
        <f aca="false">IF(OR($N401&lt;&gt;"Yes",$O401=""),0,$Y401*IF($Z401&lt;=7,12,19-$Z401)/12)</f>
        <v>0</v>
      </c>
      <c r="AC401" s="26" t="str">
        <f aca="false">IF(OR($J401="Yes",$L401="Yes",$N401="Yes"),"Yes","No")</f>
        <v>No</v>
      </c>
      <c r="AD401" s="14" t="n">
        <f aca="false">MAX($Q401,$U401,$Y401)</f>
        <v>0</v>
      </c>
      <c r="AE401" s="26" t="n">
        <f aca="false">$AD401+ROW()*0.000000001</f>
        <v>4.01E-007</v>
      </c>
      <c r="AF401" s="26" t="str">
        <f aca="false">IF($J401="Yes","A","")&amp;IF($L401="Yes","B","")&amp;IF($N401="Yes","C","")</f>
        <v/>
      </c>
    </row>
    <row r="402" customFormat="false" ht="15" hidden="false" customHeight="false" outlineLevel="0" collapsed="false">
      <c r="B402" s="22" t="s">
        <v>792</v>
      </c>
      <c r="C402" s="23" t="s">
        <v>54</v>
      </c>
      <c r="D402" s="23" t="s">
        <v>212</v>
      </c>
      <c r="E402" s="23" t="s">
        <v>790</v>
      </c>
      <c r="F402" s="22" t="s">
        <v>57</v>
      </c>
      <c r="G402" s="23" t="s">
        <v>58</v>
      </c>
      <c r="H402" s="24" t="n">
        <v>1</v>
      </c>
      <c r="I402" s="14" t="n">
        <v>0.1825</v>
      </c>
      <c r="J402" s="25" t="s">
        <v>59</v>
      </c>
      <c r="K402" s="25"/>
      <c r="L402" s="25" t="s">
        <v>59</v>
      </c>
      <c r="M402" s="25"/>
      <c r="N402" s="25" t="s">
        <v>59</v>
      </c>
      <c r="O402" s="25"/>
      <c r="P402" s="14" t="n">
        <v>0.1825</v>
      </c>
      <c r="Q402" s="14" t="n">
        <f aca="false">IF(AND($J402="Yes",$G402&lt;&gt;"Vendor day rates"),$I402-0.4*$P402,0)</f>
        <v>0</v>
      </c>
      <c r="R402" s="26" t="n">
        <f aca="false">IFERROR(MATCH($K402,MonthList,0),0)</f>
        <v>0</v>
      </c>
      <c r="S402" s="14" t="n">
        <f aca="false">IF(OR($J402&lt;&gt;"Yes",$K402=""),0,$Q402*MAX(0,7-$R402)/12)</f>
        <v>0</v>
      </c>
      <c r="T402" s="14" t="n">
        <f aca="false">IF(OR($J402&lt;&gt;"Yes",$K402=""),0,$Q402*IF($R402&lt;=7,12,19-$R402)/12)</f>
        <v>0</v>
      </c>
      <c r="U402" s="14" t="n">
        <f aca="false">IF(AND($L402="Yes",$G402&lt;&gt;"Vendor day rates"),$I402-0.4*$P402,0)</f>
        <v>0</v>
      </c>
      <c r="V402" s="26" t="n">
        <f aca="false">IFERROR(MATCH($M402,MonthList,0),0)</f>
        <v>0</v>
      </c>
      <c r="W402" s="14" t="n">
        <f aca="false">IF(OR($L402&lt;&gt;"Yes",$M402=""),0,$U402*MAX(0,7-$V402)/12)</f>
        <v>0</v>
      </c>
      <c r="X402" s="14" t="n">
        <f aca="false">IF(OR($L402&lt;&gt;"Yes",$M402=""),0,$U402*IF($V402&lt;=7,12,19-$V402)/12)</f>
        <v>0</v>
      </c>
      <c r="Y402" s="14" t="n">
        <f aca="false">IF(AND($N402="Yes",$G402&lt;&gt;"Vendor day rates"),$I402-0.4*$P402,0)</f>
        <v>0</v>
      </c>
      <c r="Z402" s="26" t="n">
        <f aca="false">IFERROR(MATCH($O402,MonthList,0),0)</f>
        <v>0</v>
      </c>
      <c r="AA402" s="14" t="n">
        <f aca="false">IF(OR($N402&lt;&gt;"Yes",$O402=""),0,$Y402*MAX(0,7-$Z402)/12)</f>
        <v>0</v>
      </c>
      <c r="AB402" s="14" t="n">
        <f aca="false">IF(OR($N402&lt;&gt;"Yes",$O402=""),0,$Y402*IF($Z402&lt;=7,12,19-$Z402)/12)</f>
        <v>0</v>
      </c>
      <c r="AC402" s="26" t="str">
        <f aca="false">IF(OR($J402="Yes",$L402="Yes",$N402="Yes"),"Yes","No")</f>
        <v>No</v>
      </c>
      <c r="AD402" s="14" t="n">
        <f aca="false">MAX($Q402,$U402,$Y402)</f>
        <v>0</v>
      </c>
      <c r="AE402" s="26" t="n">
        <f aca="false">$AD402+ROW()*0.000000001</f>
        <v>4.02E-007</v>
      </c>
      <c r="AF402" s="26" t="str">
        <f aca="false">IF($J402="Yes","A","")&amp;IF($L402="Yes","B","")&amp;IF($N402="Yes","C","")</f>
        <v/>
      </c>
    </row>
    <row r="403" customFormat="false" ht="15" hidden="false" customHeight="false" outlineLevel="0" collapsed="false">
      <c r="B403" s="22" t="s">
        <v>793</v>
      </c>
      <c r="C403" s="23" t="s">
        <v>425</v>
      </c>
      <c r="D403" s="23" t="s">
        <v>212</v>
      </c>
      <c r="E403" s="23" t="s">
        <v>783</v>
      </c>
      <c r="F403" s="22" t="s">
        <v>57</v>
      </c>
      <c r="G403" s="23" t="s">
        <v>58</v>
      </c>
      <c r="H403" s="24" t="n">
        <v>1</v>
      </c>
      <c r="I403" s="14" t="n">
        <v>0.2136</v>
      </c>
      <c r="J403" s="25" t="s">
        <v>59</v>
      </c>
      <c r="K403" s="25"/>
      <c r="L403" s="25" t="s">
        <v>59</v>
      </c>
      <c r="M403" s="25"/>
      <c r="N403" s="25" t="s">
        <v>59</v>
      </c>
      <c r="O403" s="25"/>
      <c r="P403" s="14" t="n">
        <v>0.2136</v>
      </c>
      <c r="Q403" s="14" t="n">
        <f aca="false">IF(AND($J403="Yes",$G403&lt;&gt;"Vendor day rates"),$I403-0.4*$P403,0)</f>
        <v>0</v>
      </c>
      <c r="R403" s="26" t="n">
        <f aca="false">IFERROR(MATCH($K403,MonthList,0),0)</f>
        <v>0</v>
      </c>
      <c r="S403" s="14" t="n">
        <f aca="false">IF(OR($J403&lt;&gt;"Yes",$K403=""),0,$Q403*MAX(0,7-$R403)/12)</f>
        <v>0</v>
      </c>
      <c r="T403" s="14" t="n">
        <f aca="false">IF(OR($J403&lt;&gt;"Yes",$K403=""),0,$Q403*IF($R403&lt;=7,12,19-$R403)/12)</f>
        <v>0</v>
      </c>
      <c r="U403" s="14" t="n">
        <f aca="false">IF(AND($L403="Yes",$G403&lt;&gt;"Vendor day rates"),$I403-0.4*$P403,0)</f>
        <v>0</v>
      </c>
      <c r="V403" s="26" t="n">
        <f aca="false">IFERROR(MATCH($M403,MonthList,0),0)</f>
        <v>0</v>
      </c>
      <c r="W403" s="14" t="n">
        <f aca="false">IF(OR($L403&lt;&gt;"Yes",$M403=""),0,$U403*MAX(0,7-$V403)/12)</f>
        <v>0</v>
      </c>
      <c r="X403" s="14" t="n">
        <f aca="false">IF(OR($L403&lt;&gt;"Yes",$M403=""),0,$U403*IF($V403&lt;=7,12,19-$V403)/12)</f>
        <v>0</v>
      </c>
      <c r="Y403" s="14" t="n">
        <f aca="false">IF(AND($N403="Yes",$G403&lt;&gt;"Vendor day rates"),$I403-0.4*$P403,0)</f>
        <v>0</v>
      </c>
      <c r="Z403" s="26" t="n">
        <f aca="false">IFERROR(MATCH($O403,MonthList,0),0)</f>
        <v>0</v>
      </c>
      <c r="AA403" s="14" t="n">
        <f aca="false">IF(OR($N403&lt;&gt;"Yes",$O403=""),0,$Y403*MAX(0,7-$Z403)/12)</f>
        <v>0</v>
      </c>
      <c r="AB403" s="14" t="n">
        <f aca="false">IF(OR($N403&lt;&gt;"Yes",$O403=""),0,$Y403*IF($Z403&lt;=7,12,19-$Z403)/12)</f>
        <v>0</v>
      </c>
      <c r="AC403" s="26" t="str">
        <f aca="false">IF(OR($J403="Yes",$L403="Yes",$N403="Yes"),"Yes","No")</f>
        <v>No</v>
      </c>
      <c r="AD403" s="14" t="n">
        <f aca="false">MAX($Q403,$U403,$Y403)</f>
        <v>0</v>
      </c>
      <c r="AE403" s="26" t="n">
        <f aca="false">$AD403+ROW()*0.000000001</f>
        <v>4.03E-007</v>
      </c>
      <c r="AF403" s="26" t="str">
        <f aca="false">IF($J403="Yes","A","")&amp;IF($L403="Yes","B","")&amp;IF($N403="Yes","C","")</f>
        <v/>
      </c>
    </row>
    <row r="404" customFormat="false" ht="15" hidden="false" customHeight="false" outlineLevel="0" collapsed="false">
      <c r="B404" s="22" t="s">
        <v>794</v>
      </c>
      <c r="C404" s="23" t="s">
        <v>795</v>
      </c>
      <c r="D404" s="23" t="s">
        <v>212</v>
      </c>
      <c r="E404" s="23" t="s">
        <v>571</v>
      </c>
      <c r="F404" s="22" t="s">
        <v>57</v>
      </c>
      <c r="G404" s="23" t="s">
        <v>58</v>
      </c>
      <c r="H404" s="24" t="n">
        <v>1</v>
      </c>
      <c r="I404" s="14" t="n">
        <v>0.2061</v>
      </c>
      <c r="J404" s="25" t="s">
        <v>59</v>
      </c>
      <c r="K404" s="25"/>
      <c r="L404" s="25" t="s">
        <v>59</v>
      </c>
      <c r="M404" s="25"/>
      <c r="N404" s="25" t="s">
        <v>59</v>
      </c>
      <c r="O404" s="25"/>
      <c r="P404" s="14" t="n">
        <v>0.2061</v>
      </c>
      <c r="Q404" s="14" t="n">
        <f aca="false">IF(AND($J404="Yes",$G404&lt;&gt;"Vendor day rates"),$I404-0.4*$P404,0)</f>
        <v>0</v>
      </c>
      <c r="R404" s="26" t="n">
        <f aca="false">IFERROR(MATCH($K404,MonthList,0),0)</f>
        <v>0</v>
      </c>
      <c r="S404" s="14" t="n">
        <f aca="false">IF(OR($J404&lt;&gt;"Yes",$K404=""),0,$Q404*MAX(0,7-$R404)/12)</f>
        <v>0</v>
      </c>
      <c r="T404" s="14" t="n">
        <f aca="false">IF(OR($J404&lt;&gt;"Yes",$K404=""),0,$Q404*IF($R404&lt;=7,12,19-$R404)/12)</f>
        <v>0</v>
      </c>
      <c r="U404" s="14" t="n">
        <f aca="false">IF(AND($L404="Yes",$G404&lt;&gt;"Vendor day rates"),$I404-0.4*$P404,0)</f>
        <v>0</v>
      </c>
      <c r="V404" s="26" t="n">
        <f aca="false">IFERROR(MATCH($M404,MonthList,0),0)</f>
        <v>0</v>
      </c>
      <c r="W404" s="14" t="n">
        <f aca="false">IF(OR($L404&lt;&gt;"Yes",$M404=""),0,$U404*MAX(0,7-$V404)/12)</f>
        <v>0</v>
      </c>
      <c r="X404" s="14" t="n">
        <f aca="false">IF(OR($L404&lt;&gt;"Yes",$M404=""),0,$U404*IF($V404&lt;=7,12,19-$V404)/12)</f>
        <v>0</v>
      </c>
      <c r="Y404" s="14" t="n">
        <f aca="false">IF(AND($N404="Yes",$G404&lt;&gt;"Vendor day rates"),$I404-0.4*$P404,0)</f>
        <v>0</v>
      </c>
      <c r="Z404" s="26" t="n">
        <f aca="false">IFERROR(MATCH($O404,MonthList,0),0)</f>
        <v>0</v>
      </c>
      <c r="AA404" s="14" t="n">
        <f aca="false">IF(OR($N404&lt;&gt;"Yes",$O404=""),0,$Y404*MAX(0,7-$Z404)/12)</f>
        <v>0</v>
      </c>
      <c r="AB404" s="14" t="n">
        <f aca="false">IF(OR($N404&lt;&gt;"Yes",$O404=""),0,$Y404*IF($Z404&lt;=7,12,19-$Z404)/12)</f>
        <v>0</v>
      </c>
      <c r="AC404" s="26" t="str">
        <f aca="false">IF(OR($J404="Yes",$L404="Yes",$N404="Yes"),"Yes","No")</f>
        <v>No</v>
      </c>
      <c r="AD404" s="14" t="n">
        <f aca="false">MAX($Q404,$U404,$Y404)</f>
        <v>0</v>
      </c>
      <c r="AE404" s="26" t="n">
        <f aca="false">$AD404+ROW()*0.000000001</f>
        <v>4.04E-007</v>
      </c>
      <c r="AF404" s="26" t="str">
        <f aca="false">IF($J404="Yes","A","")&amp;IF($L404="Yes","B","")&amp;IF($N404="Yes","C","")</f>
        <v/>
      </c>
    </row>
    <row r="405" customFormat="false" ht="15" hidden="false" customHeight="false" outlineLevel="0" collapsed="false">
      <c r="B405" s="22" t="s">
        <v>796</v>
      </c>
      <c r="C405" s="23" t="s">
        <v>116</v>
      </c>
      <c r="D405" s="23" t="s">
        <v>212</v>
      </c>
      <c r="E405" s="23" t="s">
        <v>790</v>
      </c>
      <c r="F405" s="22" t="s">
        <v>57</v>
      </c>
      <c r="G405" s="23" t="s">
        <v>58</v>
      </c>
      <c r="H405" s="24" t="n">
        <v>1</v>
      </c>
      <c r="I405" s="14" t="n">
        <v>0.133</v>
      </c>
      <c r="J405" s="25" t="s">
        <v>59</v>
      </c>
      <c r="K405" s="25"/>
      <c r="L405" s="25" t="s">
        <v>59</v>
      </c>
      <c r="M405" s="25"/>
      <c r="N405" s="25" t="s">
        <v>59</v>
      </c>
      <c r="O405" s="25"/>
      <c r="P405" s="14" t="n">
        <v>0.133</v>
      </c>
      <c r="Q405" s="14" t="n">
        <f aca="false">IF(AND($J405="Yes",$G405&lt;&gt;"Vendor day rates"),$I405-0.4*$P405,0)</f>
        <v>0</v>
      </c>
      <c r="R405" s="26" t="n">
        <f aca="false">IFERROR(MATCH($K405,MonthList,0),0)</f>
        <v>0</v>
      </c>
      <c r="S405" s="14" t="n">
        <f aca="false">IF(OR($J405&lt;&gt;"Yes",$K405=""),0,$Q405*MAX(0,7-$R405)/12)</f>
        <v>0</v>
      </c>
      <c r="T405" s="14" t="n">
        <f aca="false">IF(OR($J405&lt;&gt;"Yes",$K405=""),0,$Q405*IF($R405&lt;=7,12,19-$R405)/12)</f>
        <v>0</v>
      </c>
      <c r="U405" s="14" t="n">
        <f aca="false">IF(AND($L405="Yes",$G405&lt;&gt;"Vendor day rates"),$I405-0.4*$P405,0)</f>
        <v>0</v>
      </c>
      <c r="V405" s="26" t="n">
        <f aca="false">IFERROR(MATCH($M405,MonthList,0),0)</f>
        <v>0</v>
      </c>
      <c r="W405" s="14" t="n">
        <f aca="false">IF(OR($L405&lt;&gt;"Yes",$M405=""),0,$U405*MAX(0,7-$V405)/12)</f>
        <v>0</v>
      </c>
      <c r="X405" s="14" t="n">
        <f aca="false">IF(OR($L405&lt;&gt;"Yes",$M405=""),0,$U405*IF($V405&lt;=7,12,19-$V405)/12)</f>
        <v>0</v>
      </c>
      <c r="Y405" s="14" t="n">
        <f aca="false">IF(AND($N405="Yes",$G405&lt;&gt;"Vendor day rates"),$I405-0.4*$P405,0)</f>
        <v>0</v>
      </c>
      <c r="Z405" s="26" t="n">
        <f aca="false">IFERROR(MATCH($O405,MonthList,0),0)</f>
        <v>0</v>
      </c>
      <c r="AA405" s="14" t="n">
        <f aca="false">IF(OR($N405&lt;&gt;"Yes",$O405=""),0,$Y405*MAX(0,7-$Z405)/12)</f>
        <v>0</v>
      </c>
      <c r="AB405" s="14" t="n">
        <f aca="false">IF(OR($N405&lt;&gt;"Yes",$O405=""),0,$Y405*IF($Z405&lt;=7,12,19-$Z405)/12)</f>
        <v>0</v>
      </c>
      <c r="AC405" s="26" t="str">
        <f aca="false">IF(OR($J405="Yes",$L405="Yes",$N405="Yes"),"Yes","No")</f>
        <v>No</v>
      </c>
      <c r="AD405" s="14" t="n">
        <f aca="false">MAX($Q405,$U405,$Y405)</f>
        <v>0</v>
      </c>
      <c r="AE405" s="26" t="n">
        <f aca="false">$AD405+ROW()*0.000000001</f>
        <v>4.05E-007</v>
      </c>
      <c r="AF405" s="26" t="str">
        <f aca="false">IF($J405="Yes","A","")&amp;IF($L405="Yes","B","")&amp;IF($N405="Yes","C","")</f>
        <v/>
      </c>
    </row>
    <row r="406" customFormat="false" ht="15" hidden="false" customHeight="false" outlineLevel="0" collapsed="false">
      <c r="B406" s="22" t="s">
        <v>797</v>
      </c>
      <c r="C406" s="23" t="s">
        <v>611</v>
      </c>
      <c r="D406" s="23" t="s">
        <v>55</v>
      </c>
      <c r="E406" s="23" t="s">
        <v>142</v>
      </c>
      <c r="F406" s="22" t="s">
        <v>57</v>
      </c>
      <c r="G406" s="23" t="s">
        <v>58</v>
      </c>
      <c r="H406" s="24" t="n">
        <v>1</v>
      </c>
      <c r="I406" s="14" t="n">
        <v>0.2472</v>
      </c>
      <c r="J406" s="25" t="s">
        <v>59</v>
      </c>
      <c r="K406" s="25"/>
      <c r="L406" s="25" t="s">
        <v>59</v>
      </c>
      <c r="M406" s="25"/>
      <c r="N406" s="25" t="s">
        <v>59</v>
      </c>
      <c r="O406" s="25"/>
      <c r="P406" s="14" t="n">
        <v>0.2472</v>
      </c>
      <c r="Q406" s="14" t="n">
        <f aca="false">IF(AND($J406="Yes",$G406&lt;&gt;"Vendor day rates"),$I406-0.4*$P406,0)</f>
        <v>0</v>
      </c>
      <c r="R406" s="26" t="n">
        <f aca="false">IFERROR(MATCH($K406,MonthList,0),0)</f>
        <v>0</v>
      </c>
      <c r="S406" s="14" t="n">
        <f aca="false">IF(OR($J406&lt;&gt;"Yes",$K406=""),0,$Q406*MAX(0,7-$R406)/12)</f>
        <v>0</v>
      </c>
      <c r="T406" s="14" t="n">
        <f aca="false">IF(OR($J406&lt;&gt;"Yes",$K406=""),0,$Q406*IF($R406&lt;=7,12,19-$R406)/12)</f>
        <v>0</v>
      </c>
      <c r="U406" s="14" t="n">
        <f aca="false">IF(AND($L406="Yes",$G406&lt;&gt;"Vendor day rates"),$I406-0.4*$P406,0)</f>
        <v>0</v>
      </c>
      <c r="V406" s="26" t="n">
        <f aca="false">IFERROR(MATCH($M406,MonthList,0),0)</f>
        <v>0</v>
      </c>
      <c r="W406" s="14" t="n">
        <f aca="false">IF(OR($L406&lt;&gt;"Yes",$M406=""),0,$U406*MAX(0,7-$V406)/12)</f>
        <v>0</v>
      </c>
      <c r="X406" s="14" t="n">
        <f aca="false">IF(OR($L406&lt;&gt;"Yes",$M406=""),0,$U406*IF($V406&lt;=7,12,19-$V406)/12)</f>
        <v>0</v>
      </c>
      <c r="Y406" s="14" t="n">
        <f aca="false">IF(AND($N406="Yes",$G406&lt;&gt;"Vendor day rates"),$I406-0.4*$P406,0)</f>
        <v>0</v>
      </c>
      <c r="Z406" s="26" t="n">
        <f aca="false">IFERROR(MATCH($O406,MonthList,0),0)</f>
        <v>0</v>
      </c>
      <c r="AA406" s="14" t="n">
        <f aca="false">IF(OR($N406&lt;&gt;"Yes",$O406=""),0,$Y406*MAX(0,7-$Z406)/12)</f>
        <v>0</v>
      </c>
      <c r="AB406" s="14" t="n">
        <f aca="false">IF(OR($N406&lt;&gt;"Yes",$O406=""),0,$Y406*IF($Z406&lt;=7,12,19-$Z406)/12)</f>
        <v>0</v>
      </c>
      <c r="AC406" s="26" t="str">
        <f aca="false">IF(OR($J406="Yes",$L406="Yes",$N406="Yes"),"Yes","No")</f>
        <v>No</v>
      </c>
      <c r="AD406" s="14" t="n">
        <f aca="false">MAX($Q406,$U406,$Y406)</f>
        <v>0</v>
      </c>
      <c r="AE406" s="26" t="n">
        <f aca="false">$AD406+ROW()*0.000000001</f>
        <v>4.06E-007</v>
      </c>
      <c r="AF406" s="26" t="str">
        <f aca="false">IF($J406="Yes","A","")&amp;IF($L406="Yes","B","")&amp;IF($N406="Yes","C","")</f>
        <v/>
      </c>
    </row>
    <row r="407" customFormat="false" ht="15" hidden="false" customHeight="false" outlineLevel="0" collapsed="false">
      <c r="B407" s="22" t="s">
        <v>798</v>
      </c>
      <c r="C407" s="23" t="s">
        <v>799</v>
      </c>
      <c r="D407" s="23" t="s">
        <v>147</v>
      </c>
      <c r="E407" s="23" t="s">
        <v>259</v>
      </c>
      <c r="F407" s="22" t="s">
        <v>57</v>
      </c>
      <c r="G407" s="23" t="s">
        <v>58</v>
      </c>
      <c r="H407" s="24" t="n">
        <v>1</v>
      </c>
      <c r="I407" s="14" t="n">
        <v>0.2272</v>
      </c>
      <c r="J407" s="25" t="s">
        <v>59</v>
      </c>
      <c r="K407" s="25"/>
      <c r="L407" s="25" t="s">
        <v>59</v>
      </c>
      <c r="M407" s="25"/>
      <c r="N407" s="25" t="s">
        <v>59</v>
      </c>
      <c r="O407" s="25"/>
      <c r="P407" s="14" t="n">
        <v>0.2272</v>
      </c>
      <c r="Q407" s="14" t="n">
        <f aca="false">IF(AND($J407="Yes",$G407&lt;&gt;"Vendor day rates"),$I407-0.4*$P407,0)</f>
        <v>0</v>
      </c>
      <c r="R407" s="26" t="n">
        <f aca="false">IFERROR(MATCH($K407,MonthList,0),0)</f>
        <v>0</v>
      </c>
      <c r="S407" s="14" t="n">
        <f aca="false">IF(OR($J407&lt;&gt;"Yes",$K407=""),0,$Q407*MAX(0,7-$R407)/12)</f>
        <v>0</v>
      </c>
      <c r="T407" s="14" t="n">
        <f aca="false">IF(OR($J407&lt;&gt;"Yes",$K407=""),0,$Q407*IF($R407&lt;=7,12,19-$R407)/12)</f>
        <v>0</v>
      </c>
      <c r="U407" s="14" t="n">
        <f aca="false">IF(AND($L407="Yes",$G407&lt;&gt;"Vendor day rates"),$I407-0.4*$P407,0)</f>
        <v>0</v>
      </c>
      <c r="V407" s="26" t="n">
        <f aca="false">IFERROR(MATCH($M407,MonthList,0),0)</f>
        <v>0</v>
      </c>
      <c r="W407" s="14" t="n">
        <f aca="false">IF(OR($L407&lt;&gt;"Yes",$M407=""),0,$U407*MAX(0,7-$V407)/12)</f>
        <v>0</v>
      </c>
      <c r="X407" s="14" t="n">
        <f aca="false">IF(OR($L407&lt;&gt;"Yes",$M407=""),0,$U407*IF($V407&lt;=7,12,19-$V407)/12)</f>
        <v>0</v>
      </c>
      <c r="Y407" s="14" t="n">
        <f aca="false">IF(AND($N407="Yes",$G407&lt;&gt;"Vendor day rates"),$I407-0.4*$P407,0)</f>
        <v>0</v>
      </c>
      <c r="Z407" s="26" t="n">
        <f aca="false">IFERROR(MATCH($O407,MonthList,0),0)</f>
        <v>0</v>
      </c>
      <c r="AA407" s="14" t="n">
        <f aca="false">IF(OR($N407&lt;&gt;"Yes",$O407=""),0,$Y407*MAX(0,7-$Z407)/12)</f>
        <v>0</v>
      </c>
      <c r="AB407" s="14" t="n">
        <f aca="false">IF(OR($N407&lt;&gt;"Yes",$O407=""),0,$Y407*IF($Z407&lt;=7,12,19-$Z407)/12)</f>
        <v>0</v>
      </c>
      <c r="AC407" s="26" t="str">
        <f aca="false">IF(OR($J407="Yes",$L407="Yes",$N407="Yes"),"Yes","No")</f>
        <v>No</v>
      </c>
      <c r="AD407" s="14" t="n">
        <f aca="false">MAX($Q407,$U407,$Y407)</f>
        <v>0</v>
      </c>
      <c r="AE407" s="26" t="n">
        <f aca="false">$AD407+ROW()*0.000000001</f>
        <v>4.07E-007</v>
      </c>
      <c r="AF407" s="26" t="str">
        <f aca="false">IF($J407="Yes","A","")&amp;IF($L407="Yes","B","")&amp;IF($N407="Yes","C","")</f>
        <v/>
      </c>
    </row>
    <row r="408" customFormat="false" ht="15" hidden="false" customHeight="false" outlineLevel="0" collapsed="false">
      <c r="B408" s="22" t="s">
        <v>800</v>
      </c>
      <c r="C408" s="23" t="s">
        <v>801</v>
      </c>
      <c r="D408" s="23" t="s">
        <v>147</v>
      </c>
      <c r="E408" s="23" t="s">
        <v>259</v>
      </c>
      <c r="F408" s="22" t="s">
        <v>57</v>
      </c>
      <c r="G408" s="23" t="s">
        <v>58</v>
      </c>
      <c r="H408" s="24" t="n">
        <v>1</v>
      </c>
      <c r="I408" s="14" t="n">
        <v>0.2136</v>
      </c>
      <c r="J408" s="25" t="s">
        <v>59</v>
      </c>
      <c r="K408" s="25"/>
      <c r="L408" s="25" t="s">
        <v>59</v>
      </c>
      <c r="M408" s="25"/>
      <c r="N408" s="25" t="s">
        <v>59</v>
      </c>
      <c r="O408" s="25"/>
      <c r="P408" s="14" t="n">
        <v>0.2136</v>
      </c>
      <c r="Q408" s="14" t="n">
        <f aca="false">IF(AND($J408="Yes",$G408&lt;&gt;"Vendor day rates"),$I408-0.4*$P408,0)</f>
        <v>0</v>
      </c>
      <c r="R408" s="26" t="n">
        <f aca="false">IFERROR(MATCH($K408,MonthList,0),0)</f>
        <v>0</v>
      </c>
      <c r="S408" s="14" t="n">
        <f aca="false">IF(OR($J408&lt;&gt;"Yes",$K408=""),0,$Q408*MAX(0,7-$R408)/12)</f>
        <v>0</v>
      </c>
      <c r="T408" s="14" t="n">
        <f aca="false">IF(OR($J408&lt;&gt;"Yes",$K408=""),0,$Q408*IF($R408&lt;=7,12,19-$R408)/12)</f>
        <v>0</v>
      </c>
      <c r="U408" s="14" t="n">
        <f aca="false">IF(AND($L408="Yes",$G408&lt;&gt;"Vendor day rates"),$I408-0.4*$P408,0)</f>
        <v>0</v>
      </c>
      <c r="V408" s="26" t="n">
        <f aca="false">IFERROR(MATCH($M408,MonthList,0),0)</f>
        <v>0</v>
      </c>
      <c r="W408" s="14" t="n">
        <f aca="false">IF(OR($L408&lt;&gt;"Yes",$M408=""),0,$U408*MAX(0,7-$V408)/12)</f>
        <v>0</v>
      </c>
      <c r="X408" s="14" t="n">
        <f aca="false">IF(OR($L408&lt;&gt;"Yes",$M408=""),0,$U408*IF($V408&lt;=7,12,19-$V408)/12)</f>
        <v>0</v>
      </c>
      <c r="Y408" s="14" t="n">
        <f aca="false">IF(AND($N408="Yes",$G408&lt;&gt;"Vendor day rates"),$I408-0.4*$P408,0)</f>
        <v>0</v>
      </c>
      <c r="Z408" s="26" t="n">
        <f aca="false">IFERROR(MATCH($O408,MonthList,0),0)</f>
        <v>0</v>
      </c>
      <c r="AA408" s="14" t="n">
        <f aca="false">IF(OR($N408&lt;&gt;"Yes",$O408=""),0,$Y408*MAX(0,7-$Z408)/12)</f>
        <v>0</v>
      </c>
      <c r="AB408" s="14" t="n">
        <f aca="false">IF(OR($N408&lt;&gt;"Yes",$O408=""),0,$Y408*IF($Z408&lt;=7,12,19-$Z408)/12)</f>
        <v>0</v>
      </c>
      <c r="AC408" s="26" t="str">
        <f aca="false">IF(OR($J408="Yes",$L408="Yes",$N408="Yes"),"Yes","No")</f>
        <v>No</v>
      </c>
      <c r="AD408" s="14" t="n">
        <f aca="false">MAX($Q408,$U408,$Y408)</f>
        <v>0</v>
      </c>
      <c r="AE408" s="26" t="n">
        <f aca="false">$AD408+ROW()*0.000000001</f>
        <v>4.08E-007</v>
      </c>
      <c r="AF408" s="26" t="str">
        <f aca="false">IF($J408="Yes","A","")&amp;IF($L408="Yes","B","")&amp;IF($N408="Yes","C","")</f>
        <v/>
      </c>
    </row>
    <row r="409" customFormat="false" ht="15" hidden="false" customHeight="false" outlineLevel="0" collapsed="false">
      <c r="B409" s="22" t="s">
        <v>802</v>
      </c>
      <c r="C409" s="23" t="s">
        <v>803</v>
      </c>
      <c r="D409" s="23" t="s">
        <v>152</v>
      </c>
      <c r="E409" s="23" t="s">
        <v>230</v>
      </c>
      <c r="F409" s="22" t="s">
        <v>112</v>
      </c>
      <c r="G409" s="23" t="s">
        <v>58</v>
      </c>
      <c r="H409" s="24" t="n">
        <v>1</v>
      </c>
      <c r="I409" s="14" t="n">
        <v>0.1143</v>
      </c>
      <c r="J409" s="25" t="s">
        <v>59</v>
      </c>
      <c r="K409" s="25"/>
      <c r="L409" s="25" t="s">
        <v>59</v>
      </c>
      <c r="M409" s="25"/>
      <c r="N409" s="25" t="s">
        <v>59</v>
      </c>
      <c r="O409" s="25"/>
      <c r="P409" s="14" t="n">
        <v>0.1143</v>
      </c>
      <c r="Q409" s="14" t="n">
        <f aca="false">IF(AND($J409="Yes",$G409&lt;&gt;"Vendor day rates"),$I409-0.4*$P409,0)</f>
        <v>0</v>
      </c>
      <c r="R409" s="26" t="n">
        <f aca="false">IFERROR(MATCH($K409,MonthList,0),0)</f>
        <v>0</v>
      </c>
      <c r="S409" s="14" t="n">
        <f aca="false">IF(OR($J409&lt;&gt;"Yes",$K409=""),0,$Q409*MAX(0,7-$R409)/12)</f>
        <v>0</v>
      </c>
      <c r="T409" s="14" t="n">
        <f aca="false">IF(OR($J409&lt;&gt;"Yes",$K409=""),0,$Q409*IF($R409&lt;=7,12,19-$R409)/12)</f>
        <v>0</v>
      </c>
      <c r="U409" s="14" t="n">
        <f aca="false">IF(AND($L409="Yes",$G409&lt;&gt;"Vendor day rates"),$I409-0.4*$P409,0)</f>
        <v>0</v>
      </c>
      <c r="V409" s="26" t="n">
        <f aca="false">IFERROR(MATCH($M409,MonthList,0),0)</f>
        <v>0</v>
      </c>
      <c r="W409" s="14" t="n">
        <f aca="false">IF(OR($L409&lt;&gt;"Yes",$M409=""),0,$U409*MAX(0,7-$V409)/12)</f>
        <v>0</v>
      </c>
      <c r="X409" s="14" t="n">
        <f aca="false">IF(OR($L409&lt;&gt;"Yes",$M409=""),0,$U409*IF($V409&lt;=7,12,19-$V409)/12)</f>
        <v>0</v>
      </c>
      <c r="Y409" s="14" t="n">
        <f aca="false">IF(AND($N409="Yes",$G409&lt;&gt;"Vendor day rates"),$I409-0.4*$P409,0)</f>
        <v>0</v>
      </c>
      <c r="Z409" s="26" t="n">
        <f aca="false">IFERROR(MATCH($O409,MonthList,0),0)</f>
        <v>0</v>
      </c>
      <c r="AA409" s="14" t="n">
        <f aca="false">IF(OR($N409&lt;&gt;"Yes",$O409=""),0,$Y409*MAX(0,7-$Z409)/12)</f>
        <v>0</v>
      </c>
      <c r="AB409" s="14" t="n">
        <f aca="false">IF(OR($N409&lt;&gt;"Yes",$O409=""),0,$Y409*IF($Z409&lt;=7,12,19-$Z409)/12)</f>
        <v>0</v>
      </c>
      <c r="AC409" s="26" t="str">
        <f aca="false">IF(OR($J409="Yes",$L409="Yes",$N409="Yes"),"Yes","No")</f>
        <v>No</v>
      </c>
      <c r="AD409" s="14" t="n">
        <f aca="false">MAX($Q409,$U409,$Y409)</f>
        <v>0</v>
      </c>
      <c r="AE409" s="26" t="n">
        <f aca="false">$AD409+ROW()*0.000000001</f>
        <v>4.09E-007</v>
      </c>
      <c r="AF409" s="26" t="str">
        <f aca="false">IF($J409="Yes","A","")&amp;IF($L409="Yes","B","")&amp;IF($N409="Yes","C","")</f>
        <v/>
      </c>
    </row>
    <row r="410" customFormat="false" ht="15" hidden="false" customHeight="false" outlineLevel="0" collapsed="false">
      <c r="B410" s="22" t="s">
        <v>804</v>
      </c>
      <c r="C410" s="23" t="s">
        <v>141</v>
      </c>
      <c r="D410" s="23" t="s">
        <v>152</v>
      </c>
      <c r="E410" s="23" t="s">
        <v>347</v>
      </c>
      <c r="F410" s="22" t="s">
        <v>112</v>
      </c>
      <c r="G410" s="23" t="s">
        <v>58</v>
      </c>
      <c r="H410" s="24" t="n">
        <v>0.8</v>
      </c>
      <c r="I410" s="14" t="n">
        <v>0.1187</v>
      </c>
      <c r="J410" s="25" t="s">
        <v>59</v>
      </c>
      <c r="K410" s="25"/>
      <c r="L410" s="25" t="s">
        <v>59</v>
      </c>
      <c r="M410" s="25"/>
      <c r="N410" s="25" t="s">
        <v>59</v>
      </c>
      <c r="O410" s="25"/>
      <c r="P410" s="14" t="n">
        <v>0.1187</v>
      </c>
      <c r="Q410" s="14" t="n">
        <f aca="false">IF(AND($J410="Yes",$G410&lt;&gt;"Vendor day rates"),$I410-0.4*$P410,0)</f>
        <v>0</v>
      </c>
      <c r="R410" s="26" t="n">
        <f aca="false">IFERROR(MATCH($K410,MonthList,0),0)</f>
        <v>0</v>
      </c>
      <c r="S410" s="14" t="n">
        <f aca="false">IF(OR($J410&lt;&gt;"Yes",$K410=""),0,$Q410*MAX(0,7-$R410)/12)</f>
        <v>0</v>
      </c>
      <c r="T410" s="14" t="n">
        <f aca="false">IF(OR($J410&lt;&gt;"Yes",$K410=""),0,$Q410*IF($R410&lt;=7,12,19-$R410)/12)</f>
        <v>0</v>
      </c>
      <c r="U410" s="14" t="n">
        <f aca="false">IF(AND($L410="Yes",$G410&lt;&gt;"Vendor day rates"),$I410-0.4*$P410,0)</f>
        <v>0</v>
      </c>
      <c r="V410" s="26" t="n">
        <f aca="false">IFERROR(MATCH($M410,MonthList,0),0)</f>
        <v>0</v>
      </c>
      <c r="W410" s="14" t="n">
        <f aca="false">IF(OR($L410&lt;&gt;"Yes",$M410=""),0,$U410*MAX(0,7-$V410)/12)</f>
        <v>0</v>
      </c>
      <c r="X410" s="14" t="n">
        <f aca="false">IF(OR($L410&lt;&gt;"Yes",$M410=""),0,$U410*IF($V410&lt;=7,12,19-$V410)/12)</f>
        <v>0</v>
      </c>
      <c r="Y410" s="14" t="n">
        <f aca="false">IF(AND($N410="Yes",$G410&lt;&gt;"Vendor day rates"),$I410-0.4*$P410,0)</f>
        <v>0</v>
      </c>
      <c r="Z410" s="26" t="n">
        <f aca="false">IFERROR(MATCH($O410,MonthList,0),0)</f>
        <v>0</v>
      </c>
      <c r="AA410" s="14" t="n">
        <f aca="false">IF(OR($N410&lt;&gt;"Yes",$O410=""),0,$Y410*MAX(0,7-$Z410)/12)</f>
        <v>0</v>
      </c>
      <c r="AB410" s="14" t="n">
        <f aca="false">IF(OR($N410&lt;&gt;"Yes",$O410=""),0,$Y410*IF($Z410&lt;=7,12,19-$Z410)/12)</f>
        <v>0</v>
      </c>
      <c r="AC410" s="26" t="str">
        <f aca="false">IF(OR($J410="Yes",$L410="Yes",$N410="Yes"),"Yes","No")</f>
        <v>No</v>
      </c>
      <c r="AD410" s="14" t="n">
        <f aca="false">MAX($Q410,$U410,$Y410)</f>
        <v>0</v>
      </c>
      <c r="AE410" s="26" t="n">
        <f aca="false">$AD410+ROW()*0.000000001</f>
        <v>4.1E-007</v>
      </c>
      <c r="AF410" s="26" t="str">
        <f aca="false">IF($J410="Yes","A","")&amp;IF($L410="Yes","B","")&amp;IF($N410="Yes","C","")</f>
        <v/>
      </c>
    </row>
    <row r="411" customFormat="false" ht="15" hidden="false" customHeight="false" outlineLevel="0" collapsed="false">
      <c r="B411" s="22" t="s">
        <v>805</v>
      </c>
      <c r="C411" s="23" t="s">
        <v>141</v>
      </c>
      <c r="D411" s="23" t="s">
        <v>152</v>
      </c>
      <c r="E411" s="23" t="s">
        <v>347</v>
      </c>
      <c r="F411" s="22" t="s">
        <v>112</v>
      </c>
      <c r="G411" s="23" t="s">
        <v>58</v>
      </c>
      <c r="H411" s="24" t="n">
        <v>1</v>
      </c>
      <c r="I411" s="14" t="n">
        <v>0.1545</v>
      </c>
      <c r="J411" s="25" t="s">
        <v>59</v>
      </c>
      <c r="K411" s="25"/>
      <c r="L411" s="25" t="s">
        <v>59</v>
      </c>
      <c r="M411" s="25"/>
      <c r="N411" s="25" t="s">
        <v>59</v>
      </c>
      <c r="O411" s="25"/>
      <c r="P411" s="14" t="n">
        <v>0.1545</v>
      </c>
      <c r="Q411" s="14" t="n">
        <f aca="false">IF(AND($J411="Yes",$G411&lt;&gt;"Vendor day rates"),$I411-0.4*$P411,0)</f>
        <v>0</v>
      </c>
      <c r="R411" s="26" t="n">
        <f aca="false">IFERROR(MATCH($K411,MonthList,0),0)</f>
        <v>0</v>
      </c>
      <c r="S411" s="14" t="n">
        <f aca="false">IF(OR($J411&lt;&gt;"Yes",$K411=""),0,$Q411*MAX(0,7-$R411)/12)</f>
        <v>0</v>
      </c>
      <c r="T411" s="14" t="n">
        <f aca="false">IF(OR($J411&lt;&gt;"Yes",$K411=""),0,$Q411*IF($R411&lt;=7,12,19-$R411)/12)</f>
        <v>0</v>
      </c>
      <c r="U411" s="14" t="n">
        <f aca="false">IF(AND($L411="Yes",$G411&lt;&gt;"Vendor day rates"),$I411-0.4*$P411,0)</f>
        <v>0</v>
      </c>
      <c r="V411" s="26" t="n">
        <f aca="false">IFERROR(MATCH($M411,MonthList,0),0)</f>
        <v>0</v>
      </c>
      <c r="W411" s="14" t="n">
        <f aca="false">IF(OR($L411&lt;&gt;"Yes",$M411=""),0,$U411*MAX(0,7-$V411)/12)</f>
        <v>0</v>
      </c>
      <c r="X411" s="14" t="n">
        <f aca="false">IF(OR($L411&lt;&gt;"Yes",$M411=""),0,$U411*IF($V411&lt;=7,12,19-$V411)/12)</f>
        <v>0</v>
      </c>
      <c r="Y411" s="14" t="n">
        <f aca="false">IF(AND($N411="Yes",$G411&lt;&gt;"Vendor day rates"),$I411-0.4*$P411,0)</f>
        <v>0</v>
      </c>
      <c r="Z411" s="26" t="n">
        <f aca="false">IFERROR(MATCH($O411,MonthList,0),0)</f>
        <v>0</v>
      </c>
      <c r="AA411" s="14" t="n">
        <f aca="false">IF(OR($N411&lt;&gt;"Yes",$O411=""),0,$Y411*MAX(0,7-$Z411)/12)</f>
        <v>0</v>
      </c>
      <c r="AB411" s="14" t="n">
        <f aca="false">IF(OR($N411&lt;&gt;"Yes",$O411=""),0,$Y411*IF($Z411&lt;=7,12,19-$Z411)/12)</f>
        <v>0</v>
      </c>
      <c r="AC411" s="26" t="str">
        <f aca="false">IF(OR($J411="Yes",$L411="Yes",$N411="Yes"),"Yes","No")</f>
        <v>No</v>
      </c>
      <c r="AD411" s="14" t="n">
        <f aca="false">MAX($Q411,$U411,$Y411)</f>
        <v>0</v>
      </c>
      <c r="AE411" s="26" t="n">
        <f aca="false">$AD411+ROW()*0.000000001</f>
        <v>4.11E-007</v>
      </c>
      <c r="AF411" s="26" t="str">
        <f aca="false">IF($J411="Yes","A","")&amp;IF($L411="Yes","B","")&amp;IF($N411="Yes","C","")</f>
        <v/>
      </c>
    </row>
    <row r="412" customFormat="false" ht="15" hidden="false" customHeight="false" outlineLevel="0" collapsed="false">
      <c r="B412" s="22" t="s">
        <v>806</v>
      </c>
      <c r="C412" s="23" t="s">
        <v>807</v>
      </c>
      <c r="D412" s="23" t="s">
        <v>62</v>
      </c>
      <c r="E412" s="23" t="s">
        <v>401</v>
      </c>
      <c r="F412" s="22" t="s">
        <v>57</v>
      </c>
      <c r="G412" s="23" t="s">
        <v>121</v>
      </c>
      <c r="H412" s="24" t="n">
        <v>1</v>
      </c>
      <c r="I412" s="14" t="n">
        <v>0.0547</v>
      </c>
      <c r="J412" s="25" t="s">
        <v>59</v>
      </c>
      <c r="K412" s="25"/>
      <c r="L412" s="25" t="s">
        <v>59</v>
      </c>
      <c r="M412" s="25"/>
      <c r="N412" s="25" t="s">
        <v>59</v>
      </c>
      <c r="O412" s="25"/>
      <c r="P412" s="14" t="n">
        <v>0.1368</v>
      </c>
      <c r="Q412" s="14" t="n">
        <f aca="false">IF(AND($J412="Yes",$G412&lt;&gt;"Vendor day rates"),$I412-0.4*$P412,0)</f>
        <v>0</v>
      </c>
      <c r="R412" s="26" t="n">
        <f aca="false">IFERROR(MATCH($K412,MonthList,0),0)</f>
        <v>0</v>
      </c>
      <c r="S412" s="14" t="n">
        <f aca="false">IF(OR($J412&lt;&gt;"Yes",$K412=""),0,$Q412*MAX(0,7-$R412)/12)</f>
        <v>0</v>
      </c>
      <c r="T412" s="14" t="n">
        <f aca="false">IF(OR($J412&lt;&gt;"Yes",$K412=""),0,$Q412*IF($R412&lt;=7,12,19-$R412)/12)</f>
        <v>0</v>
      </c>
      <c r="U412" s="14" t="n">
        <f aca="false">IF(AND($L412="Yes",$G412&lt;&gt;"Vendor day rates"),$I412-0.4*$P412,0)</f>
        <v>0</v>
      </c>
      <c r="V412" s="26" t="n">
        <f aca="false">IFERROR(MATCH($M412,MonthList,0),0)</f>
        <v>0</v>
      </c>
      <c r="W412" s="14" t="n">
        <f aca="false">IF(OR($L412&lt;&gt;"Yes",$M412=""),0,$U412*MAX(0,7-$V412)/12)</f>
        <v>0</v>
      </c>
      <c r="X412" s="14" t="n">
        <f aca="false">IF(OR($L412&lt;&gt;"Yes",$M412=""),0,$U412*IF($V412&lt;=7,12,19-$V412)/12)</f>
        <v>0</v>
      </c>
      <c r="Y412" s="14" t="n">
        <f aca="false">IF(AND($N412="Yes",$G412&lt;&gt;"Vendor day rates"),$I412-0.4*$P412,0)</f>
        <v>0</v>
      </c>
      <c r="Z412" s="26" t="n">
        <f aca="false">IFERROR(MATCH($O412,MonthList,0),0)</f>
        <v>0</v>
      </c>
      <c r="AA412" s="14" t="n">
        <f aca="false">IF(OR($N412&lt;&gt;"Yes",$O412=""),0,$Y412*MAX(0,7-$Z412)/12)</f>
        <v>0</v>
      </c>
      <c r="AB412" s="14" t="n">
        <f aca="false">IF(OR($N412&lt;&gt;"Yes",$O412=""),0,$Y412*IF($Z412&lt;=7,12,19-$Z412)/12)</f>
        <v>0</v>
      </c>
      <c r="AC412" s="26" t="str">
        <f aca="false">IF(OR($J412="Yes",$L412="Yes",$N412="Yes"),"Yes","No")</f>
        <v>No</v>
      </c>
      <c r="AD412" s="14" t="n">
        <f aca="false">MAX($Q412,$U412,$Y412)</f>
        <v>0</v>
      </c>
      <c r="AE412" s="26" t="n">
        <f aca="false">$AD412+ROW()*0.000000001</f>
        <v>4.12E-007</v>
      </c>
      <c r="AF412" s="26" t="str">
        <f aca="false">IF($J412="Yes","A","")&amp;IF($L412="Yes","B","")&amp;IF($N412="Yes","C","")</f>
        <v/>
      </c>
    </row>
    <row r="413" customFormat="false" ht="15" hidden="false" customHeight="false" outlineLevel="0" collapsed="false">
      <c r="B413" s="22" t="s">
        <v>808</v>
      </c>
      <c r="C413" s="23" t="s">
        <v>136</v>
      </c>
      <c r="D413" s="23" t="s">
        <v>62</v>
      </c>
      <c r="E413" s="23" t="s">
        <v>63</v>
      </c>
      <c r="F413" s="22" t="s">
        <v>57</v>
      </c>
      <c r="G413" s="23" t="s">
        <v>121</v>
      </c>
      <c r="H413" s="24" t="n">
        <v>1</v>
      </c>
      <c r="I413" s="14" t="n">
        <v>0.071</v>
      </c>
      <c r="J413" s="25" t="s">
        <v>59</v>
      </c>
      <c r="K413" s="25"/>
      <c r="L413" s="25" t="s">
        <v>59</v>
      </c>
      <c r="M413" s="25"/>
      <c r="N413" s="25" t="s">
        <v>59</v>
      </c>
      <c r="O413" s="25"/>
      <c r="P413" s="14" t="n">
        <v>0.1775</v>
      </c>
      <c r="Q413" s="14" t="n">
        <f aca="false">IF(AND($J413="Yes",$G413&lt;&gt;"Vendor day rates"),$I413-0.4*$P413,0)</f>
        <v>0</v>
      </c>
      <c r="R413" s="26" t="n">
        <f aca="false">IFERROR(MATCH($K413,MonthList,0),0)</f>
        <v>0</v>
      </c>
      <c r="S413" s="14" t="n">
        <f aca="false">IF(OR($J413&lt;&gt;"Yes",$K413=""),0,$Q413*MAX(0,7-$R413)/12)</f>
        <v>0</v>
      </c>
      <c r="T413" s="14" t="n">
        <f aca="false">IF(OR($J413&lt;&gt;"Yes",$K413=""),0,$Q413*IF($R413&lt;=7,12,19-$R413)/12)</f>
        <v>0</v>
      </c>
      <c r="U413" s="14" t="n">
        <f aca="false">IF(AND($L413="Yes",$G413&lt;&gt;"Vendor day rates"),$I413-0.4*$P413,0)</f>
        <v>0</v>
      </c>
      <c r="V413" s="26" t="n">
        <f aca="false">IFERROR(MATCH($M413,MonthList,0),0)</f>
        <v>0</v>
      </c>
      <c r="W413" s="14" t="n">
        <f aca="false">IF(OR($L413&lt;&gt;"Yes",$M413=""),0,$U413*MAX(0,7-$V413)/12)</f>
        <v>0</v>
      </c>
      <c r="X413" s="14" t="n">
        <f aca="false">IF(OR($L413&lt;&gt;"Yes",$M413=""),0,$U413*IF($V413&lt;=7,12,19-$V413)/12)</f>
        <v>0</v>
      </c>
      <c r="Y413" s="14" t="n">
        <f aca="false">IF(AND($N413="Yes",$G413&lt;&gt;"Vendor day rates"),$I413-0.4*$P413,0)</f>
        <v>0</v>
      </c>
      <c r="Z413" s="26" t="n">
        <f aca="false">IFERROR(MATCH($O413,MonthList,0),0)</f>
        <v>0</v>
      </c>
      <c r="AA413" s="14" t="n">
        <f aca="false">IF(OR($N413&lt;&gt;"Yes",$O413=""),0,$Y413*MAX(0,7-$Z413)/12)</f>
        <v>0</v>
      </c>
      <c r="AB413" s="14" t="n">
        <f aca="false">IF(OR($N413&lt;&gt;"Yes",$O413=""),0,$Y413*IF($Z413&lt;=7,12,19-$Z413)/12)</f>
        <v>0</v>
      </c>
      <c r="AC413" s="26" t="str">
        <f aca="false">IF(OR($J413="Yes",$L413="Yes",$N413="Yes"),"Yes","No")</f>
        <v>No</v>
      </c>
      <c r="AD413" s="14" t="n">
        <f aca="false">MAX($Q413,$U413,$Y413)</f>
        <v>0</v>
      </c>
      <c r="AE413" s="26" t="n">
        <f aca="false">$AD413+ROW()*0.000000001</f>
        <v>4.13E-007</v>
      </c>
      <c r="AF413" s="26" t="str">
        <f aca="false">IF($J413="Yes","A","")&amp;IF($L413="Yes","B","")&amp;IF($N413="Yes","C","")</f>
        <v/>
      </c>
    </row>
    <row r="414" customFormat="false" ht="15" hidden="false" customHeight="false" outlineLevel="0" collapsed="false">
      <c r="B414" s="22" t="s">
        <v>809</v>
      </c>
      <c r="C414" s="23" t="s">
        <v>810</v>
      </c>
      <c r="D414" s="23" t="s">
        <v>152</v>
      </c>
      <c r="E414" s="23" t="s">
        <v>347</v>
      </c>
      <c r="F414" s="22" t="s">
        <v>112</v>
      </c>
      <c r="G414" s="23" t="s">
        <v>58</v>
      </c>
      <c r="H414" s="24" t="n">
        <v>1</v>
      </c>
      <c r="I414" s="14" t="n">
        <v>0.158</v>
      </c>
      <c r="J414" s="25" t="s">
        <v>59</v>
      </c>
      <c r="K414" s="25"/>
      <c r="L414" s="25" t="s">
        <v>59</v>
      </c>
      <c r="M414" s="25"/>
      <c r="N414" s="25" t="s">
        <v>59</v>
      </c>
      <c r="O414" s="25"/>
      <c r="P414" s="14" t="n">
        <v>0.158</v>
      </c>
      <c r="Q414" s="14" t="n">
        <f aca="false">IF(AND($J414="Yes",$G414&lt;&gt;"Vendor day rates"),$I414-0.4*$P414,0)</f>
        <v>0</v>
      </c>
      <c r="R414" s="26" t="n">
        <f aca="false">IFERROR(MATCH($K414,MonthList,0),0)</f>
        <v>0</v>
      </c>
      <c r="S414" s="14" t="n">
        <f aca="false">IF(OR($J414&lt;&gt;"Yes",$K414=""),0,$Q414*MAX(0,7-$R414)/12)</f>
        <v>0</v>
      </c>
      <c r="T414" s="14" t="n">
        <f aca="false">IF(OR($J414&lt;&gt;"Yes",$K414=""),0,$Q414*IF($R414&lt;=7,12,19-$R414)/12)</f>
        <v>0</v>
      </c>
      <c r="U414" s="14" t="n">
        <f aca="false">IF(AND($L414="Yes",$G414&lt;&gt;"Vendor day rates"),$I414-0.4*$P414,0)</f>
        <v>0</v>
      </c>
      <c r="V414" s="26" t="n">
        <f aca="false">IFERROR(MATCH($M414,MonthList,0),0)</f>
        <v>0</v>
      </c>
      <c r="W414" s="14" t="n">
        <f aca="false">IF(OR($L414&lt;&gt;"Yes",$M414=""),0,$U414*MAX(0,7-$V414)/12)</f>
        <v>0</v>
      </c>
      <c r="X414" s="14" t="n">
        <f aca="false">IF(OR($L414&lt;&gt;"Yes",$M414=""),0,$U414*IF($V414&lt;=7,12,19-$V414)/12)</f>
        <v>0</v>
      </c>
      <c r="Y414" s="14" t="n">
        <f aca="false">IF(AND($N414="Yes",$G414&lt;&gt;"Vendor day rates"),$I414-0.4*$P414,0)</f>
        <v>0</v>
      </c>
      <c r="Z414" s="26" t="n">
        <f aca="false">IFERROR(MATCH($O414,MonthList,0),0)</f>
        <v>0</v>
      </c>
      <c r="AA414" s="14" t="n">
        <f aca="false">IF(OR($N414&lt;&gt;"Yes",$O414=""),0,$Y414*MAX(0,7-$Z414)/12)</f>
        <v>0</v>
      </c>
      <c r="AB414" s="14" t="n">
        <f aca="false">IF(OR($N414&lt;&gt;"Yes",$O414=""),0,$Y414*IF($Z414&lt;=7,12,19-$Z414)/12)</f>
        <v>0</v>
      </c>
      <c r="AC414" s="26" t="str">
        <f aca="false">IF(OR($J414="Yes",$L414="Yes",$N414="Yes"),"Yes","No")</f>
        <v>No</v>
      </c>
      <c r="AD414" s="14" t="n">
        <f aca="false">MAX($Q414,$U414,$Y414)</f>
        <v>0</v>
      </c>
      <c r="AE414" s="26" t="n">
        <f aca="false">$AD414+ROW()*0.000000001</f>
        <v>4.14E-007</v>
      </c>
      <c r="AF414" s="26" t="str">
        <f aca="false">IF($J414="Yes","A","")&amp;IF($L414="Yes","B","")&amp;IF($N414="Yes","C","")</f>
        <v/>
      </c>
    </row>
    <row r="415" customFormat="false" ht="15" hidden="false" customHeight="false" outlineLevel="0" collapsed="false">
      <c r="B415" s="22" t="s">
        <v>811</v>
      </c>
      <c r="C415" s="23" t="s">
        <v>810</v>
      </c>
      <c r="D415" s="23" t="s">
        <v>152</v>
      </c>
      <c r="E415" s="23" t="s">
        <v>347</v>
      </c>
      <c r="F415" s="22" t="s">
        <v>112</v>
      </c>
      <c r="G415" s="23" t="s">
        <v>58</v>
      </c>
      <c r="H415" s="24" t="n">
        <v>1</v>
      </c>
      <c r="I415" s="14" t="n">
        <v>0.1383</v>
      </c>
      <c r="J415" s="25" t="s">
        <v>59</v>
      </c>
      <c r="K415" s="25"/>
      <c r="L415" s="25" t="s">
        <v>59</v>
      </c>
      <c r="M415" s="25"/>
      <c r="N415" s="25" t="s">
        <v>59</v>
      </c>
      <c r="O415" s="25"/>
      <c r="P415" s="14" t="n">
        <v>0.1383</v>
      </c>
      <c r="Q415" s="14" t="n">
        <f aca="false">IF(AND($J415="Yes",$G415&lt;&gt;"Vendor day rates"),$I415-0.4*$P415,0)</f>
        <v>0</v>
      </c>
      <c r="R415" s="26" t="n">
        <f aca="false">IFERROR(MATCH($K415,MonthList,0),0)</f>
        <v>0</v>
      </c>
      <c r="S415" s="14" t="n">
        <f aca="false">IF(OR($J415&lt;&gt;"Yes",$K415=""),0,$Q415*MAX(0,7-$R415)/12)</f>
        <v>0</v>
      </c>
      <c r="T415" s="14" t="n">
        <f aca="false">IF(OR($J415&lt;&gt;"Yes",$K415=""),0,$Q415*IF($R415&lt;=7,12,19-$R415)/12)</f>
        <v>0</v>
      </c>
      <c r="U415" s="14" t="n">
        <f aca="false">IF(AND($L415="Yes",$G415&lt;&gt;"Vendor day rates"),$I415-0.4*$P415,0)</f>
        <v>0</v>
      </c>
      <c r="V415" s="26" t="n">
        <f aca="false">IFERROR(MATCH($M415,MonthList,0),0)</f>
        <v>0</v>
      </c>
      <c r="W415" s="14" t="n">
        <f aca="false">IF(OR($L415&lt;&gt;"Yes",$M415=""),0,$U415*MAX(0,7-$V415)/12)</f>
        <v>0</v>
      </c>
      <c r="X415" s="14" t="n">
        <f aca="false">IF(OR($L415&lt;&gt;"Yes",$M415=""),0,$U415*IF($V415&lt;=7,12,19-$V415)/12)</f>
        <v>0</v>
      </c>
      <c r="Y415" s="14" t="n">
        <f aca="false">IF(AND($N415="Yes",$G415&lt;&gt;"Vendor day rates"),$I415-0.4*$P415,0)</f>
        <v>0</v>
      </c>
      <c r="Z415" s="26" t="n">
        <f aca="false">IFERROR(MATCH($O415,MonthList,0),0)</f>
        <v>0</v>
      </c>
      <c r="AA415" s="14" t="n">
        <f aca="false">IF(OR($N415&lt;&gt;"Yes",$O415=""),0,$Y415*MAX(0,7-$Z415)/12)</f>
        <v>0</v>
      </c>
      <c r="AB415" s="14" t="n">
        <f aca="false">IF(OR($N415&lt;&gt;"Yes",$O415=""),0,$Y415*IF($Z415&lt;=7,12,19-$Z415)/12)</f>
        <v>0</v>
      </c>
      <c r="AC415" s="26" t="str">
        <f aca="false">IF(OR($J415="Yes",$L415="Yes",$N415="Yes"),"Yes","No")</f>
        <v>No</v>
      </c>
      <c r="AD415" s="14" t="n">
        <f aca="false">MAX($Q415,$U415,$Y415)</f>
        <v>0</v>
      </c>
      <c r="AE415" s="26" t="n">
        <f aca="false">$AD415+ROW()*0.000000001</f>
        <v>4.15E-007</v>
      </c>
      <c r="AF415" s="26" t="str">
        <f aca="false">IF($J415="Yes","A","")&amp;IF($L415="Yes","B","")&amp;IF($N415="Yes","C","")</f>
        <v/>
      </c>
    </row>
    <row r="416" customFormat="false" ht="15" hidden="false" customHeight="false" outlineLevel="0" collapsed="false">
      <c r="B416" s="22" t="s">
        <v>812</v>
      </c>
      <c r="C416" s="23" t="s">
        <v>810</v>
      </c>
      <c r="D416" s="23" t="s">
        <v>152</v>
      </c>
      <c r="E416" s="23" t="s">
        <v>347</v>
      </c>
      <c r="F416" s="22" t="s">
        <v>112</v>
      </c>
      <c r="G416" s="23" t="s">
        <v>58</v>
      </c>
      <c r="H416" s="24" t="n">
        <v>1</v>
      </c>
      <c r="I416" s="14" t="n">
        <v>0.15</v>
      </c>
      <c r="J416" s="25" t="s">
        <v>59</v>
      </c>
      <c r="K416" s="25"/>
      <c r="L416" s="25" t="s">
        <v>59</v>
      </c>
      <c r="M416" s="25"/>
      <c r="N416" s="25" t="s">
        <v>59</v>
      </c>
      <c r="O416" s="25"/>
      <c r="P416" s="14" t="n">
        <v>0.15</v>
      </c>
      <c r="Q416" s="14" t="n">
        <f aca="false">IF(AND($J416="Yes",$G416&lt;&gt;"Vendor day rates"),$I416-0.4*$P416,0)</f>
        <v>0</v>
      </c>
      <c r="R416" s="26" t="n">
        <f aca="false">IFERROR(MATCH($K416,MonthList,0),0)</f>
        <v>0</v>
      </c>
      <c r="S416" s="14" t="n">
        <f aca="false">IF(OR($J416&lt;&gt;"Yes",$K416=""),0,$Q416*MAX(0,7-$R416)/12)</f>
        <v>0</v>
      </c>
      <c r="T416" s="14" t="n">
        <f aca="false">IF(OR($J416&lt;&gt;"Yes",$K416=""),0,$Q416*IF($R416&lt;=7,12,19-$R416)/12)</f>
        <v>0</v>
      </c>
      <c r="U416" s="14" t="n">
        <f aca="false">IF(AND($L416="Yes",$G416&lt;&gt;"Vendor day rates"),$I416-0.4*$P416,0)</f>
        <v>0</v>
      </c>
      <c r="V416" s="26" t="n">
        <f aca="false">IFERROR(MATCH($M416,MonthList,0),0)</f>
        <v>0</v>
      </c>
      <c r="W416" s="14" t="n">
        <f aca="false">IF(OR($L416&lt;&gt;"Yes",$M416=""),0,$U416*MAX(0,7-$V416)/12)</f>
        <v>0</v>
      </c>
      <c r="X416" s="14" t="n">
        <f aca="false">IF(OR($L416&lt;&gt;"Yes",$M416=""),0,$U416*IF($V416&lt;=7,12,19-$V416)/12)</f>
        <v>0</v>
      </c>
      <c r="Y416" s="14" t="n">
        <f aca="false">IF(AND($N416="Yes",$G416&lt;&gt;"Vendor day rates"),$I416-0.4*$P416,0)</f>
        <v>0</v>
      </c>
      <c r="Z416" s="26" t="n">
        <f aca="false">IFERROR(MATCH($O416,MonthList,0),0)</f>
        <v>0</v>
      </c>
      <c r="AA416" s="14" t="n">
        <f aca="false">IF(OR($N416&lt;&gt;"Yes",$O416=""),0,$Y416*MAX(0,7-$Z416)/12)</f>
        <v>0</v>
      </c>
      <c r="AB416" s="14" t="n">
        <f aca="false">IF(OR($N416&lt;&gt;"Yes",$O416=""),0,$Y416*IF($Z416&lt;=7,12,19-$Z416)/12)</f>
        <v>0</v>
      </c>
      <c r="AC416" s="26" t="str">
        <f aca="false">IF(OR($J416="Yes",$L416="Yes",$N416="Yes"),"Yes","No")</f>
        <v>No</v>
      </c>
      <c r="AD416" s="14" t="n">
        <f aca="false">MAX($Q416,$U416,$Y416)</f>
        <v>0</v>
      </c>
      <c r="AE416" s="26" t="n">
        <f aca="false">$AD416+ROW()*0.000000001</f>
        <v>4.16E-007</v>
      </c>
      <c r="AF416" s="26" t="str">
        <f aca="false">IF($J416="Yes","A","")&amp;IF($L416="Yes","B","")&amp;IF($N416="Yes","C","")</f>
        <v/>
      </c>
    </row>
    <row r="417" customFormat="false" ht="15" hidden="false" customHeight="false" outlineLevel="0" collapsed="false">
      <c r="B417" s="22" t="s">
        <v>813</v>
      </c>
      <c r="C417" s="23" t="s">
        <v>814</v>
      </c>
      <c r="D417" s="23" t="s">
        <v>62</v>
      </c>
      <c r="E417" s="23" t="s">
        <v>104</v>
      </c>
      <c r="F417" s="22" t="s">
        <v>57</v>
      </c>
      <c r="G417" s="23" t="s">
        <v>58</v>
      </c>
      <c r="H417" s="24" t="n">
        <v>1</v>
      </c>
      <c r="I417" s="14" t="n">
        <v>0.1659</v>
      </c>
      <c r="J417" s="25" t="s">
        <v>59</v>
      </c>
      <c r="K417" s="25"/>
      <c r="L417" s="25" t="s">
        <v>59</v>
      </c>
      <c r="M417" s="25"/>
      <c r="N417" s="25" t="s">
        <v>59</v>
      </c>
      <c r="O417" s="25"/>
      <c r="P417" s="14" t="n">
        <v>0.1659</v>
      </c>
      <c r="Q417" s="14" t="n">
        <f aca="false">IF(AND($J417="Yes",$G417&lt;&gt;"Vendor day rates"),$I417-0.4*$P417,0)</f>
        <v>0</v>
      </c>
      <c r="R417" s="26" t="n">
        <f aca="false">IFERROR(MATCH($K417,MonthList,0),0)</f>
        <v>0</v>
      </c>
      <c r="S417" s="14" t="n">
        <f aca="false">IF(OR($J417&lt;&gt;"Yes",$K417=""),0,$Q417*MAX(0,7-$R417)/12)</f>
        <v>0</v>
      </c>
      <c r="T417" s="14" t="n">
        <f aca="false">IF(OR($J417&lt;&gt;"Yes",$K417=""),0,$Q417*IF($R417&lt;=7,12,19-$R417)/12)</f>
        <v>0</v>
      </c>
      <c r="U417" s="14" t="n">
        <f aca="false">IF(AND($L417="Yes",$G417&lt;&gt;"Vendor day rates"),$I417-0.4*$P417,0)</f>
        <v>0</v>
      </c>
      <c r="V417" s="26" t="n">
        <f aca="false">IFERROR(MATCH($M417,MonthList,0),0)</f>
        <v>0</v>
      </c>
      <c r="W417" s="14" t="n">
        <f aca="false">IF(OR($L417&lt;&gt;"Yes",$M417=""),0,$U417*MAX(0,7-$V417)/12)</f>
        <v>0</v>
      </c>
      <c r="X417" s="14" t="n">
        <f aca="false">IF(OR($L417&lt;&gt;"Yes",$M417=""),0,$U417*IF($V417&lt;=7,12,19-$V417)/12)</f>
        <v>0</v>
      </c>
      <c r="Y417" s="14" t="n">
        <f aca="false">IF(AND($N417="Yes",$G417&lt;&gt;"Vendor day rates"),$I417-0.4*$P417,0)</f>
        <v>0</v>
      </c>
      <c r="Z417" s="26" t="n">
        <f aca="false">IFERROR(MATCH($O417,MonthList,0),0)</f>
        <v>0</v>
      </c>
      <c r="AA417" s="14" t="n">
        <f aca="false">IF(OR($N417&lt;&gt;"Yes",$O417=""),0,$Y417*MAX(0,7-$Z417)/12)</f>
        <v>0</v>
      </c>
      <c r="AB417" s="14" t="n">
        <f aca="false">IF(OR($N417&lt;&gt;"Yes",$O417=""),0,$Y417*IF($Z417&lt;=7,12,19-$Z417)/12)</f>
        <v>0</v>
      </c>
      <c r="AC417" s="26" t="str">
        <f aca="false">IF(OR($J417="Yes",$L417="Yes",$N417="Yes"),"Yes","No")</f>
        <v>No</v>
      </c>
      <c r="AD417" s="14" t="n">
        <f aca="false">MAX($Q417,$U417,$Y417)</f>
        <v>0</v>
      </c>
      <c r="AE417" s="26" t="n">
        <f aca="false">$AD417+ROW()*0.000000001</f>
        <v>4.17E-007</v>
      </c>
      <c r="AF417" s="26" t="str">
        <f aca="false">IF($J417="Yes","A","")&amp;IF($L417="Yes","B","")&amp;IF($N417="Yes","C","")</f>
        <v/>
      </c>
    </row>
    <row r="418" customFormat="false" ht="15" hidden="false" customHeight="false" outlineLevel="0" collapsed="false">
      <c r="B418" s="22" t="s">
        <v>815</v>
      </c>
      <c r="C418" s="23" t="s">
        <v>602</v>
      </c>
      <c r="D418" s="23" t="s">
        <v>152</v>
      </c>
      <c r="E418" s="23" t="s">
        <v>347</v>
      </c>
      <c r="F418" s="22" t="s">
        <v>112</v>
      </c>
      <c r="G418" s="23" t="s">
        <v>58</v>
      </c>
      <c r="H418" s="24" t="n">
        <v>1</v>
      </c>
      <c r="I418" s="14" t="n">
        <v>0.1557</v>
      </c>
      <c r="J418" s="25" t="s">
        <v>59</v>
      </c>
      <c r="K418" s="25"/>
      <c r="L418" s="25" t="s">
        <v>59</v>
      </c>
      <c r="M418" s="25"/>
      <c r="N418" s="25" t="s">
        <v>59</v>
      </c>
      <c r="O418" s="25"/>
      <c r="P418" s="14" t="n">
        <v>0.1557</v>
      </c>
      <c r="Q418" s="14" t="n">
        <f aca="false">IF(AND($J418="Yes",$G418&lt;&gt;"Vendor day rates"),$I418-0.4*$P418,0)</f>
        <v>0</v>
      </c>
      <c r="R418" s="26" t="n">
        <f aca="false">IFERROR(MATCH($K418,MonthList,0),0)</f>
        <v>0</v>
      </c>
      <c r="S418" s="14" t="n">
        <f aca="false">IF(OR($J418&lt;&gt;"Yes",$K418=""),0,$Q418*MAX(0,7-$R418)/12)</f>
        <v>0</v>
      </c>
      <c r="T418" s="14" t="n">
        <f aca="false">IF(OR($J418&lt;&gt;"Yes",$K418=""),0,$Q418*IF($R418&lt;=7,12,19-$R418)/12)</f>
        <v>0</v>
      </c>
      <c r="U418" s="14" t="n">
        <f aca="false">IF(AND($L418="Yes",$G418&lt;&gt;"Vendor day rates"),$I418-0.4*$P418,0)</f>
        <v>0</v>
      </c>
      <c r="V418" s="26" t="n">
        <f aca="false">IFERROR(MATCH($M418,MonthList,0),0)</f>
        <v>0</v>
      </c>
      <c r="W418" s="14" t="n">
        <f aca="false">IF(OR($L418&lt;&gt;"Yes",$M418=""),0,$U418*MAX(0,7-$V418)/12)</f>
        <v>0</v>
      </c>
      <c r="X418" s="14" t="n">
        <f aca="false">IF(OR($L418&lt;&gt;"Yes",$M418=""),0,$U418*IF($V418&lt;=7,12,19-$V418)/12)</f>
        <v>0</v>
      </c>
      <c r="Y418" s="14" t="n">
        <f aca="false">IF(AND($N418="Yes",$G418&lt;&gt;"Vendor day rates"),$I418-0.4*$P418,0)</f>
        <v>0</v>
      </c>
      <c r="Z418" s="26" t="n">
        <f aca="false">IFERROR(MATCH($O418,MonthList,0),0)</f>
        <v>0</v>
      </c>
      <c r="AA418" s="14" t="n">
        <f aca="false">IF(OR($N418&lt;&gt;"Yes",$O418=""),0,$Y418*MAX(0,7-$Z418)/12)</f>
        <v>0</v>
      </c>
      <c r="AB418" s="14" t="n">
        <f aca="false">IF(OR($N418&lt;&gt;"Yes",$O418=""),0,$Y418*IF($Z418&lt;=7,12,19-$Z418)/12)</f>
        <v>0</v>
      </c>
      <c r="AC418" s="26" t="str">
        <f aca="false">IF(OR($J418="Yes",$L418="Yes",$N418="Yes"),"Yes","No")</f>
        <v>No</v>
      </c>
      <c r="AD418" s="14" t="n">
        <f aca="false">MAX($Q418,$U418,$Y418)</f>
        <v>0</v>
      </c>
      <c r="AE418" s="26" t="n">
        <f aca="false">$AD418+ROW()*0.000000001</f>
        <v>4.18E-007</v>
      </c>
      <c r="AF418" s="26" t="str">
        <f aca="false">IF($J418="Yes","A","")&amp;IF($L418="Yes","B","")&amp;IF($N418="Yes","C","")</f>
        <v/>
      </c>
    </row>
    <row r="419" customFormat="false" ht="15" hidden="false" customHeight="false" outlineLevel="0" collapsed="false">
      <c r="B419" s="22" t="s">
        <v>816</v>
      </c>
      <c r="C419" s="23" t="s">
        <v>602</v>
      </c>
      <c r="D419" s="23" t="s">
        <v>55</v>
      </c>
      <c r="E419" s="23" t="s">
        <v>56</v>
      </c>
      <c r="F419" s="22" t="s">
        <v>112</v>
      </c>
      <c r="G419" s="23" t="s">
        <v>58</v>
      </c>
      <c r="H419" s="24" t="n">
        <v>1</v>
      </c>
      <c r="I419" s="14" t="n">
        <v>0.1387</v>
      </c>
      <c r="J419" s="25" t="s">
        <v>59</v>
      </c>
      <c r="K419" s="25"/>
      <c r="L419" s="25" t="s">
        <v>59</v>
      </c>
      <c r="M419" s="25"/>
      <c r="N419" s="25" t="s">
        <v>59</v>
      </c>
      <c r="O419" s="25"/>
      <c r="P419" s="14" t="n">
        <v>0.1387</v>
      </c>
      <c r="Q419" s="14" t="n">
        <f aca="false">IF(AND($J419="Yes",$G419&lt;&gt;"Vendor day rates"),$I419-0.4*$P419,0)</f>
        <v>0</v>
      </c>
      <c r="R419" s="26" t="n">
        <f aca="false">IFERROR(MATCH($K419,MonthList,0),0)</f>
        <v>0</v>
      </c>
      <c r="S419" s="14" t="n">
        <f aca="false">IF(OR($J419&lt;&gt;"Yes",$K419=""),0,$Q419*MAX(0,7-$R419)/12)</f>
        <v>0</v>
      </c>
      <c r="T419" s="14" t="n">
        <f aca="false">IF(OR($J419&lt;&gt;"Yes",$K419=""),0,$Q419*IF($R419&lt;=7,12,19-$R419)/12)</f>
        <v>0</v>
      </c>
      <c r="U419" s="14" t="n">
        <f aca="false">IF(AND($L419="Yes",$G419&lt;&gt;"Vendor day rates"),$I419-0.4*$P419,0)</f>
        <v>0</v>
      </c>
      <c r="V419" s="26" t="n">
        <f aca="false">IFERROR(MATCH($M419,MonthList,0),0)</f>
        <v>0</v>
      </c>
      <c r="W419" s="14" t="n">
        <f aca="false">IF(OR($L419&lt;&gt;"Yes",$M419=""),0,$U419*MAX(0,7-$V419)/12)</f>
        <v>0</v>
      </c>
      <c r="X419" s="14" t="n">
        <f aca="false">IF(OR($L419&lt;&gt;"Yes",$M419=""),0,$U419*IF($V419&lt;=7,12,19-$V419)/12)</f>
        <v>0</v>
      </c>
      <c r="Y419" s="14" t="n">
        <f aca="false">IF(AND($N419="Yes",$G419&lt;&gt;"Vendor day rates"),$I419-0.4*$P419,0)</f>
        <v>0</v>
      </c>
      <c r="Z419" s="26" t="n">
        <f aca="false">IFERROR(MATCH($O419,MonthList,0),0)</f>
        <v>0</v>
      </c>
      <c r="AA419" s="14" t="n">
        <f aca="false">IF(OR($N419&lt;&gt;"Yes",$O419=""),0,$Y419*MAX(0,7-$Z419)/12)</f>
        <v>0</v>
      </c>
      <c r="AB419" s="14" t="n">
        <f aca="false">IF(OR($N419&lt;&gt;"Yes",$O419=""),0,$Y419*IF($Z419&lt;=7,12,19-$Z419)/12)</f>
        <v>0</v>
      </c>
      <c r="AC419" s="26" t="str">
        <f aca="false">IF(OR($J419="Yes",$L419="Yes",$N419="Yes"),"Yes","No")</f>
        <v>No</v>
      </c>
      <c r="AD419" s="14" t="n">
        <f aca="false">MAX($Q419,$U419,$Y419)</f>
        <v>0</v>
      </c>
      <c r="AE419" s="26" t="n">
        <f aca="false">$AD419+ROW()*0.000000001</f>
        <v>4.19E-007</v>
      </c>
      <c r="AF419" s="26" t="str">
        <f aca="false">IF($J419="Yes","A","")&amp;IF($L419="Yes","B","")&amp;IF($N419="Yes","C","")</f>
        <v/>
      </c>
    </row>
    <row r="420" customFormat="false" ht="15" hidden="false" customHeight="false" outlineLevel="0" collapsed="false">
      <c r="B420" s="22" t="s">
        <v>817</v>
      </c>
      <c r="C420" s="23" t="s">
        <v>615</v>
      </c>
      <c r="D420" s="23" t="s">
        <v>204</v>
      </c>
      <c r="E420" s="23" t="s">
        <v>365</v>
      </c>
      <c r="F420" s="22" t="s">
        <v>57</v>
      </c>
      <c r="G420" s="23" t="s">
        <v>58</v>
      </c>
      <c r="H420" s="24" t="n">
        <v>1</v>
      </c>
      <c r="I420" s="14" t="n">
        <v>0.18</v>
      </c>
      <c r="J420" s="25" t="s">
        <v>59</v>
      </c>
      <c r="K420" s="25"/>
      <c r="L420" s="25" t="s">
        <v>59</v>
      </c>
      <c r="M420" s="25"/>
      <c r="N420" s="25" t="s">
        <v>59</v>
      </c>
      <c r="O420" s="25"/>
      <c r="P420" s="14" t="n">
        <v>0.18</v>
      </c>
      <c r="Q420" s="14" t="n">
        <f aca="false">IF(AND($J420="Yes",$G420&lt;&gt;"Vendor day rates"),$I420-0.4*$P420,0)</f>
        <v>0</v>
      </c>
      <c r="R420" s="26" t="n">
        <f aca="false">IFERROR(MATCH($K420,MonthList,0),0)</f>
        <v>0</v>
      </c>
      <c r="S420" s="14" t="n">
        <f aca="false">IF(OR($J420&lt;&gt;"Yes",$K420=""),0,$Q420*MAX(0,7-$R420)/12)</f>
        <v>0</v>
      </c>
      <c r="T420" s="14" t="n">
        <f aca="false">IF(OR($J420&lt;&gt;"Yes",$K420=""),0,$Q420*IF($R420&lt;=7,12,19-$R420)/12)</f>
        <v>0</v>
      </c>
      <c r="U420" s="14" t="n">
        <f aca="false">IF(AND($L420="Yes",$G420&lt;&gt;"Vendor day rates"),$I420-0.4*$P420,0)</f>
        <v>0</v>
      </c>
      <c r="V420" s="26" t="n">
        <f aca="false">IFERROR(MATCH($M420,MonthList,0),0)</f>
        <v>0</v>
      </c>
      <c r="W420" s="14" t="n">
        <f aca="false">IF(OR($L420&lt;&gt;"Yes",$M420=""),0,$U420*MAX(0,7-$V420)/12)</f>
        <v>0</v>
      </c>
      <c r="X420" s="14" t="n">
        <f aca="false">IF(OR($L420&lt;&gt;"Yes",$M420=""),0,$U420*IF($V420&lt;=7,12,19-$V420)/12)</f>
        <v>0</v>
      </c>
      <c r="Y420" s="14" t="n">
        <f aca="false">IF(AND($N420="Yes",$G420&lt;&gt;"Vendor day rates"),$I420-0.4*$P420,0)</f>
        <v>0</v>
      </c>
      <c r="Z420" s="26" t="n">
        <f aca="false">IFERROR(MATCH($O420,MonthList,0),0)</f>
        <v>0</v>
      </c>
      <c r="AA420" s="14" t="n">
        <f aca="false">IF(OR($N420&lt;&gt;"Yes",$O420=""),0,$Y420*MAX(0,7-$Z420)/12)</f>
        <v>0</v>
      </c>
      <c r="AB420" s="14" t="n">
        <f aca="false">IF(OR($N420&lt;&gt;"Yes",$O420=""),0,$Y420*IF($Z420&lt;=7,12,19-$Z420)/12)</f>
        <v>0</v>
      </c>
      <c r="AC420" s="26" t="str">
        <f aca="false">IF(OR($J420="Yes",$L420="Yes",$N420="Yes"),"Yes","No")</f>
        <v>No</v>
      </c>
      <c r="AD420" s="14" t="n">
        <f aca="false">MAX($Q420,$U420,$Y420)</f>
        <v>0</v>
      </c>
      <c r="AE420" s="26" t="n">
        <f aca="false">$AD420+ROW()*0.000000001</f>
        <v>4.2E-007</v>
      </c>
      <c r="AF420" s="26" t="str">
        <f aca="false">IF($J420="Yes","A","")&amp;IF($L420="Yes","B","")&amp;IF($N420="Yes","C","")</f>
        <v/>
      </c>
    </row>
    <row r="421" customFormat="false" ht="15" hidden="false" customHeight="false" outlineLevel="0" collapsed="false">
      <c r="B421" s="22" t="s">
        <v>818</v>
      </c>
      <c r="C421" s="23" t="s">
        <v>819</v>
      </c>
      <c r="D421" s="23" t="s">
        <v>204</v>
      </c>
      <c r="E421" s="23" t="s">
        <v>365</v>
      </c>
      <c r="F421" s="22" t="s">
        <v>57</v>
      </c>
      <c r="G421" s="23" t="s">
        <v>58</v>
      </c>
      <c r="H421" s="24" t="n">
        <v>1</v>
      </c>
      <c r="I421" s="14" t="n">
        <v>0.1464</v>
      </c>
      <c r="J421" s="25" t="s">
        <v>59</v>
      </c>
      <c r="K421" s="25"/>
      <c r="L421" s="25" t="s">
        <v>59</v>
      </c>
      <c r="M421" s="25"/>
      <c r="N421" s="25" t="s">
        <v>59</v>
      </c>
      <c r="O421" s="25"/>
      <c r="P421" s="14" t="n">
        <v>0.1464</v>
      </c>
      <c r="Q421" s="14" t="n">
        <f aca="false">IF(AND($J421="Yes",$G421&lt;&gt;"Vendor day rates"),$I421-0.4*$P421,0)</f>
        <v>0</v>
      </c>
      <c r="R421" s="26" t="n">
        <f aca="false">IFERROR(MATCH($K421,MonthList,0),0)</f>
        <v>0</v>
      </c>
      <c r="S421" s="14" t="n">
        <f aca="false">IF(OR($J421&lt;&gt;"Yes",$K421=""),0,$Q421*MAX(0,7-$R421)/12)</f>
        <v>0</v>
      </c>
      <c r="T421" s="14" t="n">
        <f aca="false">IF(OR($J421&lt;&gt;"Yes",$K421=""),0,$Q421*IF($R421&lt;=7,12,19-$R421)/12)</f>
        <v>0</v>
      </c>
      <c r="U421" s="14" t="n">
        <f aca="false">IF(AND($L421="Yes",$G421&lt;&gt;"Vendor day rates"),$I421-0.4*$P421,0)</f>
        <v>0</v>
      </c>
      <c r="V421" s="26" t="n">
        <f aca="false">IFERROR(MATCH($M421,MonthList,0),0)</f>
        <v>0</v>
      </c>
      <c r="W421" s="14" t="n">
        <f aca="false">IF(OR($L421&lt;&gt;"Yes",$M421=""),0,$U421*MAX(0,7-$V421)/12)</f>
        <v>0</v>
      </c>
      <c r="X421" s="14" t="n">
        <f aca="false">IF(OR($L421&lt;&gt;"Yes",$M421=""),0,$U421*IF($V421&lt;=7,12,19-$V421)/12)</f>
        <v>0</v>
      </c>
      <c r="Y421" s="14" t="n">
        <f aca="false">IF(AND($N421="Yes",$G421&lt;&gt;"Vendor day rates"),$I421-0.4*$P421,0)</f>
        <v>0</v>
      </c>
      <c r="Z421" s="26" t="n">
        <f aca="false">IFERROR(MATCH($O421,MonthList,0),0)</f>
        <v>0</v>
      </c>
      <c r="AA421" s="14" t="n">
        <f aca="false">IF(OR($N421&lt;&gt;"Yes",$O421=""),0,$Y421*MAX(0,7-$Z421)/12)</f>
        <v>0</v>
      </c>
      <c r="AB421" s="14" t="n">
        <f aca="false">IF(OR($N421&lt;&gt;"Yes",$O421=""),0,$Y421*IF($Z421&lt;=7,12,19-$Z421)/12)</f>
        <v>0</v>
      </c>
      <c r="AC421" s="26" t="str">
        <f aca="false">IF(OR($J421="Yes",$L421="Yes",$N421="Yes"),"Yes","No")</f>
        <v>No</v>
      </c>
      <c r="AD421" s="14" t="n">
        <f aca="false">MAX($Q421,$U421,$Y421)</f>
        <v>0</v>
      </c>
      <c r="AE421" s="26" t="n">
        <f aca="false">$AD421+ROW()*0.000000001</f>
        <v>4.21E-007</v>
      </c>
      <c r="AF421" s="26" t="str">
        <f aca="false">IF($J421="Yes","A","")&amp;IF($L421="Yes","B","")&amp;IF($N421="Yes","C","")</f>
        <v/>
      </c>
    </row>
    <row r="422" customFormat="false" ht="15" hidden="false" customHeight="false" outlineLevel="0" collapsed="false">
      <c r="B422" s="22" t="s">
        <v>820</v>
      </c>
      <c r="C422" s="23" t="s">
        <v>615</v>
      </c>
      <c r="D422" s="23" t="s">
        <v>204</v>
      </c>
      <c r="E422" s="23" t="s">
        <v>365</v>
      </c>
      <c r="F422" s="22" t="s">
        <v>57</v>
      </c>
      <c r="G422" s="23" t="s">
        <v>58</v>
      </c>
      <c r="H422" s="24" t="n">
        <v>1</v>
      </c>
      <c r="I422" s="14" t="n">
        <v>0.18</v>
      </c>
      <c r="J422" s="25" t="s">
        <v>59</v>
      </c>
      <c r="K422" s="25"/>
      <c r="L422" s="25" t="s">
        <v>59</v>
      </c>
      <c r="M422" s="25"/>
      <c r="N422" s="25" t="s">
        <v>59</v>
      </c>
      <c r="O422" s="25"/>
      <c r="P422" s="14" t="n">
        <v>0.18</v>
      </c>
      <c r="Q422" s="14" t="n">
        <f aca="false">IF(AND($J422="Yes",$G422&lt;&gt;"Vendor day rates"),$I422-0.4*$P422,0)</f>
        <v>0</v>
      </c>
      <c r="R422" s="26" t="n">
        <f aca="false">IFERROR(MATCH($K422,MonthList,0),0)</f>
        <v>0</v>
      </c>
      <c r="S422" s="14" t="n">
        <f aca="false">IF(OR($J422&lt;&gt;"Yes",$K422=""),0,$Q422*MAX(0,7-$R422)/12)</f>
        <v>0</v>
      </c>
      <c r="T422" s="14" t="n">
        <f aca="false">IF(OR($J422&lt;&gt;"Yes",$K422=""),0,$Q422*IF($R422&lt;=7,12,19-$R422)/12)</f>
        <v>0</v>
      </c>
      <c r="U422" s="14" t="n">
        <f aca="false">IF(AND($L422="Yes",$G422&lt;&gt;"Vendor day rates"),$I422-0.4*$P422,0)</f>
        <v>0</v>
      </c>
      <c r="V422" s="26" t="n">
        <f aca="false">IFERROR(MATCH($M422,MonthList,0),0)</f>
        <v>0</v>
      </c>
      <c r="W422" s="14" t="n">
        <f aca="false">IF(OR($L422&lt;&gt;"Yes",$M422=""),0,$U422*MAX(0,7-$V422)/12)</f>
        <v>0</v>
      </c>
      <c r="X422" s="14" t="n">
        <f aca="false">IF(OR($L422&lt;&gt;"Yes",$M422=""),0,$U422*IF($V422&lt;=7,12,19-$V422)/12)</f>
        <v>0</v>
      </c>
      <c r="Y422" s="14" t="n">
        <f aca="false">IF(AND($N422="Yes",$G422&lt;&gt;"Vendor day rates"),$I422-0.4*$P422,0)</f>
        <v>0</v>
      </c>
      <c r="Z422" s="26" t="n">
        <f aca="false">IFERROR(MATCH($O422,MonthList,0),0)</f>
        <v>0</v>
      </c>
      <c r="AA422" s="14" t="n">
        <f aca="false">IF(OR($N422&lt;&gt;"Yes",$O422=""),0,$Y422*MAX(0,7-$Z422)/12)</f>
        <v>0</v>
      </c>
      <c r="AB422" s="14" t="n">
        <f aca="false">IF(OR($N422&lt;&gt;"Yes",$O422=""),0,$Y422*IF($Z422&lt;=7,12,19-$Z422)/12)</f>
        <v>0</v>
      </c>
      <c r="AC422" s="26" t="str">
        <f aca="false">IF(OR($J422="Yes",$L422="Yes",$N422="Yes"),"Yes","No")</f>
        <v>No</v>
      </c>
      <c r="AD422" s="14" t="n">
        <f aca="false">MAX($Q422,$U422,$Y422)</f>
        <v>0</v>
      </c>
      <c r="AE422" s="26" t="n">
        <f aca="false">$AD422+ROW()*0.000000001</f>
        <v>4.22E-007</v>
      </c>
      <c r="AF422" s="26" t="str">
        <f aca="false">IF($J422="Yes","A","")&amp;IF($L422="Yes","B","")&amp;IF($N422="Yes","C","")</f>
        <v/>
      </c>
    </row>
    <row r="423" customFormat="false" ht="15" hidden="false" customHeight="false" outlineLevel="0" collapsed="false">
      <c r="B423" s="22" t="s">
        <v>821</v>
      </c>
      <c r="C423" s="23" t="s">
        <v>822</v>
      </c>
      <c r="D423" s="23" t="s">
        <v>204</v>
      </c>
      <c r="E423" s="23" t="s">
        <v>365</v>
      </c>
      <c r="F423" s="22" t="s">
        <v>57</v>
      </c>
      <c r="G423" s="23" t="s">
        <v>58</v>
      </c>
      <c r="H423" s="24" t="n">
        <v>1</v>
      </c>
      <c r="I423" s="14" t="n">
        <v>0.2166</v>
      </c>
      <c r="J423" s="25" t="s">
        <v>59</v>
      </c>
      <c r="K423" s="25"/>
      <c r="L423" s="25" t="s">
        <v>59</v>
      </c>
      <c r="M423" s="25"/>
      <c r="N423" s="25" t="s">
        <v>59</v>
      </c>
      <c r="O423" s="25"/>
      <c r="P423" s="14" t="n">
        <v>0.2166</v>
      </c>
      <c r="Q423" s="14" t="n">
        <f aca="false">IF(AND($J423="Yes",$G423&lt;&gt;"Vendor day rates"),$I423-0.4*$P423,0)</f>
        <v>0</v>
      </c>
      <c r="R423" s="26" t="n">
        <f aca="false">IFERROR(MATCH($K423,MonthList,0),0)</f>
        <v>0</v>
      </c>
      <c r="S423" s="14" t="n">
        <f aca="false">IF(OR($J423&lt;&gt;"Yes",$K423=""),0,$Q423*MAX(0,7-$R423)/12)</f>
        <v>0</v>
      </c>
      <c r="T423" s="14" t="n">
        <f aca="false">IF(OR($J423&lt;&gt;"Yes",$K423=""),0,$Q423*IF($R423&lt;=7,12,19-$R423)/12)</f>
        <v>0</v>
      </c>
      <c r="U423" s="14" t="n">
        <f aca="false">IF(AND($L423="Yes",$G423&lt;&gt;"Vendor day rates"),$I423-0.4*$P423,0)</f>
        <v>0</v>
      </c>
      <c r="V423" s="26" t="n">
        <f aca="false">IFERROR(MATCH($M423,MonthList,0),0)</f>
        <v>0</v>
      </c>
      <c r="W423" s="14" t="n">
        <f aca="false">IF(OR($L423&lt;&gt;"Yes",$M423=""),0,$U423*MAX(0,7-$V423)/12)</f>
        <v>0</v>
      </c>
      <c r="X423" s="14" t="n">
        <f aca="false">IF(OR($L423&lt;&gt;"Yes",$M423=""),0,$U423*IF($V423&lt;=7,12,19-$V423)/12)</f>
        <v>0</v>
      </c>
      <c r="Y423" s="14" t="n">
        <f aca="false">IF(AND($N423="Yes",$G423&lt;&gt;"Vendor day rates"),$I423-0.4*$P423,0)</f>
        <v>0</v>
      </c>
      <c r="Z423" s="26" t="n">
        <f aca="false">IFERROR(MATCH($O423,MonthList,0),0)</f>
        <v>0</v>
      </c>
      <c r="AA423" s="14" t="n">
        <f aca="false">IF(OR($N423&lt;&gt;"Yes",$O423=""),0,$Y423*MAX(0,7-$Z423)/12)</f>
        <v>0</v>
      </c>
      <c r="AB423" s="14" t="n">
        <f aca="false">IF(OR($N423&lt;&gt;"Yes",$O423=""),0,$Y423*IF($Z423&lt;=7,12,19-$Z423)/12)</f>
        <v>0</v>
      </c>
      <c r="AC423" s="26" t="str">
        <f aca="false">IF(OR($J423="Yes",$L423="Yes",$N423="Yes"),"Yes","No")</f>
        <v>No</v>
      </c>
      <c r="AD423" s="14" t="n">
        <f aca="false">MAX($Q423,$U423,$Y423)</f>
        <v>0</v>
      </c>
      <c r="AE423" s="26" t="n">
        <f aca="false">$AD423+ROW()*0.000000001</f>
        <v>4.23E-007</v>
      </c>
      <c r="AF423" s="26" t="str">
        <f aca="false">IF($J423="Yes","A","")&amp;IF($L423="Yes","B","")&amp;IF($N423="Yes","C","")</f>
        <v/>
      </c>
    </row>
    <row r="424" customFormat="false" ht="15" hidden="false" customHeight="false" outlineLevel="0" collapsed="false">
      <c r="B424" s="22" t="s">
        <v>823</v>
      </c>
      <c r="C424" s="23" t="s">
        <v>682</v>
      </c>
      <c r="D424" s="23" t="s">
        <v>215</v>
      </c>
      <c r="E424" s="23" t="s">
        <v>373</v>
      </c>
      <c r="F424" s="22" t="s">
        <v>112</v>
      </c>
      <c r="G424" s="23" t="s">
        <v>58</v>
      </c>
      <c r="H424" s="24" t="n">
        <v>1</v>
      </c>
      <c r="I424" s="14" t="n">
        <v>0.1364</v>
      </c>
      <c r="J424" s="25" t="s">
        <v>59</v>
      </c>
      <c r="K424" s="25"/>
      <c r="L424" s="25" t="s">
        <v>59</v>
      </c>
      <c r="M424" s="25"/>
      <c r="N424" s="25" t="s">
        <v>59</v>
      </c>
      <c r="O424" s="25"/>
      <c r="P424" s="14" t="n">
        <v>0.1364</v>
      </c>
      <c r="Q424" s="14" t="n">
        <f aca="false">IF(AND($J424="Yes",$G424&lt;&gt;"Vendor day rates"),$I424-0.4*$P424,0)</f>
        <v>0</v>
      </c>
      <c r="R424" s="26" t="n">
        <f aca="false">IFERROR(MATCH($K424,MonthList,0),0)</f>
        <v>0</v>
      </c>
      <c r="S424" s="14" t="n">
        <f aca="false">IF(OR($J424&lt;&gt;"Yes",$K424=""),0,$Q424*MAX(0,7-$R424)/12)</f>
        <v>0</v>
      </c>
      <c r="T424" s="14" t="n">
        <f aca="false">IF(OR($J424&lt;&gt;"Yes",$K424=""),0,$Q424*IF($R424&lt;=7,12,19-$R424)/12)</f>
        <v>0</v>
      </c>
      <c r="U424" s="14" t="n">
        <f aca="false">IF(AND($L424="Yes",$G424&lt;&gt;"Vendor day rates"),$I424-0.4*$P424,0)</f>
        <v>0</v>
      </c>
      <c r="V424" s="26" t="n">
        <f aca="false">IFERROR(MATCH($M424,MonthList,0),0)</f>
        <v>0</v>
      </c>
      <c r="W424" s="14" t="n">
        <f aca="false">IF(OR($L424&lt;&gt;"Yes",$M424=""),0,$U424*MAX(0,7-$V424)/12)</f>
        <v>0</v>
      </c>
      <c r="X424" s="14" t="n">
        <f aca="false">IF(OR($L424&lt;&gt;"Yes",$M424=""),0,$U424*IF($V424&lt;=7,12,19-$V424)/12)</f>
        <v>0</v>
      </c>
      <c r="Y424" s="14" t="n">
        <f aca="false">IF(AND($N424="Yes",$G424&lt;&gt;"Vendor day rates"),$I424-0.4*$P424,0)</f>
        <v>0</v>
      </c>
      <c r="Z424" s="26" t="n">
        <f aca="false">IFERROR(MATCH($O424,MonthList,0),0)</f>
        <v>0</v>
      </c>
      <c r="AA424" s="14" t="n">
        <f aca="false">IF(OR($N424&lt;&gt;"Yes",$O424=""),0,$Y424*MAX(0,7-$Z424)/12)</f>
        <v>0</v>
      </c>
      <c r="AB424" s="14" t="n">
        <f aca="false">IF(OR($N424&lt;&gt;"Yes",$O424=""),0,$Y424*IF($Z424&lt;=7,12,19-$Z424)/12)</f>
        <v>0</v>
      </c>
      <c r="AC424" s="26" t="str">
        <f aca="false">IF(OR($J424="Yes",$L424="Yes",$N424="Yes"),"Yes","No")</f>
        <v>No</v>
      </c>
      <c r="AD424" s="14" t="n">
        <f aca="false">MAX($Q424,$U424,$Y424)</f>
        <v>0</v>
      </c>
      <c r="AE424" s="26" t="n">
        <f aca="false">$AD424+ROW()*0.000000001</f>
        <v>4.24E-007</v>
      </c>
      <c r="AF424" s="26" t="str">
        <f aca="false">IF($J424="Yes","A","")&amp;IF($L424="Yes","B","")&amp;IF($N424="Yes","C","")</f>
        <v/>
      </c>
    </row>
    <row r="425" customFormat="false" ht="15" hidden="false" customHeight="false" outlineLevel="0" collapsed="false">
      <c r="B425" s="22" t="s">
        <v>824</v>
      </c>
      <c r="C425" s="23" t="s">
        <v>825</v>
      </c>
      <c r="D425" s="23" t="s">
        <v>215</v>
      </c>
      <c r="E425" s="23" t="s">
        <v>373</v>
      </c>
      <c r="F425" s="22" t="s">
        <v>112</v>
      </c>
      <c r="G425" s="23" t="s">
        <v>58</v>
      </c>
      <c r="H425" s="24" t="n">
        <v>1</v>
      </c>
      <c r="I425" s="14" t="n">
        <v>0.175</v>
      </c>
      <c r="J425" s="25" t="s">
        <v>59</v>
      </c>
      <c r="K425" s="25"/>
      <c r="L425" s="25" t="s">
        <v>59</v>
      </c>
      <c r="M425" s="25"/>
      <c r="N425" s="25" t="s">
        <v>59</v>
      </c>
      <c r="O425" s="25"/>
      <c r="P425" s="14" t="n">
        <v>0.175</v>
      </c>
      <c r="Q425" s="14" t="n">
        <f aca="false">IF(AND($J425="Yes",$G425&lt;&gt;"Vendor day rates"),$I425-0.4*$P425,0)</f>
        <v>0</v>
      </c>
      <c r="R425" s="26" t="n">
        <f aca="false">IFERROR(MATCH($K425,MonthList,0),0)</f>
        <v>0</v>
      </c>
      <c r="S425" s="14" t="n">
        <f aca="false">IF(OR($J425&lt;&gt;"Yes",$K425=""),0,$Q425*MAX(0,7-$R425)/12)</f>
        <v>0</v>
      </c>
      <c r="T425" s="14" t="n">
        <f aca="false">IF(OR($J425&lt;&gt;"Yes",$K425=""),0,$Q425*IF($R425&lt;=7,12,19-$R425)/12)</f>
        <v>0</v>
      </c>
      <c r="U425" s="14" t="n">
        <f aca="false">IF(AND($L425="Yes",$G425&lt;&gt;"Vendor day rates"),$I425-0.4*$P425,0)</f>
        <v>0</v>
      </c>
      <c r="V425" s="26" t="n">
        <f aca="false">IFERROR(MATCH($M425,MonthList,0),0)</f>
        <v>0</v>
      </c>
      <c r="W425" s="14" t="n">
        <f aca="false">IF(OR($L425&lt;&gt;"Yes",$M425=""),0,$U425*MAX(0,7-$V425)/12)</f>
        <v>0</v>
      </c>
      <c r="X425" s="14" t="n">
        <f aca="false">IF(OR($L425&lt;&gt;"Yes",$M425=""),0,$U425*IF($V425&lt;=7,12,19-$V425)/12)</f>
        <v>0</v>
      </c>
      <c r="Y425" s="14" t="n">
        <f aca="false">IF(AND($N425="Yes",$G425&lt;&gt;"Vendor day rates"),$I425-0.4*$P425,0)</f>
        <v>0</v>
      </c>
      <c r="Z425" s="26" t="n">
        <f aca="false">IFERROR(MATCH($O425,MonthList,0),0)</f>
        <v>0</v>
      </c>
      <c r="AA425" s="14" t="n">
        <f aca="false">IF(OR($N425&lt;&gt;"Yes",$O425=""),0,$Y425*MAX(0,7-$Z425)/12)</f>
        <v>0</v>
      </c>
      <c r="AB425" s="14" t="n">
        <f aca="false">IF(OR($N425&lt;&gt;"Yes",$O425=""),0,$Y425*IF($Z425&lt;=7,12,19-$Z425)/12)</f>
        <v>0</v>
      </c>
      <c r="AC425" s="26" t="str">
        <f aca="false">IF(OR($J425="Yes",$L425="Yes",$N425="Yes"),"Yes","No")</f>
        <v>No</v>
      </c>
      <c r="AD425" s="14" t="n">
        <f aca="false">MAX($Q425,$U425,$Y425)</f>
        <v>0</v>
      </c>
      <c r="AE425" s="26" t="n">
        <f aca="false">$AD425+ROW()*0.000000001</f>
        <v>4.25E-007</v>
      </c>
      <c r="AF425" s="26" t="str">
        <f aca="false">IF($J425="Yes","A","")&amp;IF($L425="Yes","B","")&amp;IF($N425="Yes","C","")</f>
        <v/>
      </c>
    </row>
    <row r="426" customFormat="false" ht="15" hidden="false" customHeight="false" outlineLevel="0" collapsed="false">
      <c r="B426" s="22" t="s">
        <v>826</v>
      </c>
      <c r="C426" s="23" t="s">
        <v>827</v>
      </c>
      <c r="D426" s="23" t="s">
        <v>215</v>
      </c>
      <c r="E426" s="23" t="s">
        <v>373</v>
      </c>
      <c r="F426" s="22" t="s">
        <v>112</v>
      </c>
      <c r="G426" s="23" t="s">
        <v>58</v>
      </c>
      <c r="H426" s="24" t="n">
        <v>1</v>
      </c>
      <c r="I426" s="14" t="n">
        <v>0.135</v>
      </c>
      <c r="J426" s="25" t="s">
        <v>59</v>
      </c>
      <c r="K426" s="25"/>
      <c r="L426" s="25" t="s">
        <v>59</v>
      </c>
      <c r="M426" s="25"/>
      <c r="N426" s="25" t="s">
        <v>59</v>
      </c>
      <c r="O426" s="25"/>
      <c r="P426" s="14" t="n">
        <v>0.135</v>
      </c>
      <c r="Q426" s="14" t="n">
        <f aca="false">IF(AND($J426="Yes",$G426&lt;&gt;"Vendor day rates"),$I426-0.4*$P426,0)</f>
        <v>0</v>
      </c>
      <c r="R426" s="26" t="n">
        <f aca="false">IFERROR(MATCH($K426,MonthList,0),0)</f>
        <v>0</v>
      </c>
      <c r="S426" s="14" t="n">
        <f aca="false">IF(OR($J426&lt;&gt;"Yes",$K426=""),0,$Q426*MAX(0,7-$R426)/12)</f>
        <v>0</v>
      </c>
      <c r="T426" s="14" t="n">
        <f aca="false">IF(OR($J426&lt;&gt;"Yes",$K426=""),0,$Q426*IF($R426&lt;=7,12,19-$R426)/12)</f>
        <v>0</v>
      </c>
      <c r="U426" s="14" t="n">
        <f aca="false">IF(AND($L426="Yes",$G426&lt;&gt;"Vendor day rates"),$I426-0.4*$P426,0)</f>
        <v>0</v>
      </c>
      <c r="V426" s="26" t="n">
        <f aca="false">IFERROR(MATCH($M426,MonthList,0),0)</f>
        <v>0</v>
      </c>
      <c r="W426" s="14" t="n">
        <f aca="false">IF(OR($L426&lt;&gt;"Yes",$M426=""),0,$U426*MAX(0,7-$V426)/12)</f>
        <v>0</v>
      </c>
      <c r="X426" s="14" t="n">
        <f aca="false">IF(OR($L426&lt;&gt;"Yes",$M426=""),0,$U426*IF($V426&lt;=7,12,19-$V426)/12)</f>
        <v>0</v>
      </c>
      <c r="Y426" s="14" t="n">
        <f aca="false">IF(AND($N426="Yes",$G426&lt;&gt;"Vendor day rates"),$I426-0.4*$P426,0)</f>
        <v>0</v>
      </c>
      <c r="Z426" s="26" t="n">
        <f aca="false">IFERROR(MATCH($O426,MonthList,0),0)</f>
        <v>0</v>
      </c>
      <c r="AA426" s="14" t="n">
        <f aca="false">IF(OR($N426&lt;&gt;"Yes",$O426=""),0,$Y426*MAX(0,7-$Z426)/12)</f>
        <v>0</v>
      </c>
      <c r="AB426" s="14" t="n">
        <f aca="false">IF(OR($N426&lt;&gt;"Yes",$O426=""),0,$Y426*IF($Z426&lt;=7,12,19-$Z426)/12)</f>
        <v>0</v>
      </c>
      <c r="AC426" s="26" t="str">
        <f aca="false">IF(OR($J426="Yes",$L426="Yes",$N426="Yes"),"Yes","No")</f>
        <v>No</v>
      </c>
      <c r="AD426" s="14" t="n">
        <f aca="false">MAX($Q426,$U426,$Y426)</f>
        <v>0</v>
      </c>
      <c r="AE426" s="26" t="n">
        <f aca="false">$AD426+ROW()*0.000000001</f>
        <v>4.26E-007</v>
      </c>
      <c r="AF426" s="26" t="str">
        <f aca="false">IF($J426="Yes","A","")&amp;IF($L426="Yes","B","")&amp;IF($N426="Yes","C","")</f>
        <v/>
      </c>
    </row>
    <row r="427" customFormat="false" ht="15" hidden="false" customHeight="false" outlineLevel="0" collapsed="false">
      <c r="B427" s="22" t="s">
        <v>828</v>
      </c>
      <c r="C427" s="23" t="s">
        <v>829</v>
      </c>
      <c r="D427" s="23" t="s">
        <v>147</v>
      </c>
      <c r="E427" s="23" t="s">
        <v>167</v>
      </c>
      <c r="F427" s="22" t="s">
        <v>57</v>
      </c>
      <c r="G427" s="23" t="s">
        <v>149</v>
      </c>
      <c r="H427" s="24" t="n">
        <v>1</v>
      </c>
      <c r="I427" s="14" t="n">
        <v>0.1705</v>
      </c>
      <c r="J427" s="25" t="s">
        <v>59</v>
      </c>
      <c r="K427" s="25"/>
      <c r="L427" s="25" t="s">
        <v>59</v>
      </c>
      <c r="M427" s="25"/>
      <c r="N427" s="25" t="s">
        <v>59</v>
      </c>
      <c r="O427" s="25"/>
      <c r="P427" s="14" t="n">
        <v>0.1705</v>
      </c>
      <c r="Q427" s="14" t="n">
        <f aca="false">IF(AND($J427="Yes",$G427&lt;&gt;"Vendor day rates"),$I427-0.4*$P427,0)</f>
        <v>0</v>
      </c>
      <c r="R427" s="26" t="n">
        <f aca="false">IFERROR(MATCH($K427,MonthList,0),0)</f>
        <v>0</v>
      </c>
      <c r="S427" s="14" t="n">
        <f aca="false">IF(OR($J427&lt;&gt;"Yes",$K427=""),0,$Q427*MAX(0,7-$R427)/12)</f>
        <v>0</v>
      </c>
      <c r="T427" s="14" t="n">
        <f aca="false">IF(OR($J427&lt;&gt;"Yes",$K427=""),0,$Q427*IF($R427&lt;=7,12,19-$R427)/12)</f>
        <v>0</v>
      </c>
      <c r="U427" s="14" t="n">
        <f aca="false">IF(AND($L427="Yes",$G427&lt;&gt;"Vendor day rates"),$I427-0.4*$P427,0)</f>
        <v>0</v>
      </c>
      <c r="V427" s="26" t="n">
        <f aca="false">IFERROR(MATCH($M427,MonthList,0),0)</f>
        <v>0</v>
      </c>
      <c r="W427" s="14" t="n">
        <f aca="false">IF(OR($L427&lt;&gt;"Yes",$M427=""),0,$U427*MAX(0,7-$V427)/12)</f>
        <v>0</v>
      </c>
      <c r="X427" s="14" t="n">
        <f aca="false">IF(OR($L427&lt;&gt;"Yes",$M427=""),0,$U427*IF($V427&lt;=7,12,19-$V427)/12)</f>
        <v>0</v>
      </c>
      <c r="Y427" s="14" t="n">
        <f aca="false">IF(AND($N427="Yes",$G427&lt;&gt;"Vendor day rates"),$I427-0.4*$P427,0)</f>
        <v>0</v>
      </c>
      <c r="Z427" s="26" t="n">
        <f aca="false">IFERROR(MATCH($O427,MonthList,0),0)</f>
        <v>0</v>
      </c>
      <c r="AA427" s="14" t="n">
        <f aca="false">IF(OR($N427&lt;&gt;"Yes",$O427=""),0,$Y427*MAX(0,7-$Z427)/12)</f>
        <v>0</v>
      </c>
      <c r="AB427" s="14" t="n">
        <f aca="false">IF(OR($N427&lt;&gt;"Yes",$O427=""),0,$Y427*IF($Z427&lt;=7,12,19-$Z427)/12)</f>
        <v>0</v>
      </c>
      <c r="AC427" s="26" t="str">
        <f aca="false">IF(OR($J427="Yes",$L427="Yes",$N427="Yes"),"Yes","No")</f>
        <v>No</v>
      </c>
      <c r="AD427" s="14" t="n">
        <f aca="false">MAX($Q427,$U427,$Y427)</f>
        <v>0</v>
      </c>
      <c r="AE427" s="26" t="n">
        <f aca="false">$AD427+ROW()*0.000000001</f>
        <v>4.27E-007</v>
      </c>
      <c r="AF427" s="26" t="str">
        <f aca="false">IF($J427="Yes","A","")&amp;IF($L427="Yes","B","")&amp;IF($N427="Yes","C","")</f>
        <v/>
      </c>
    </row>
    <row r="428" customFormat="false" ht="15" hidden="false" customHeight="false" outlineLevel="0" collapsed="false">
      <c r="B428" s="22" t="s">
        <v>830</v>
      </c>
      <c r="C428" s="23" t="s">
        <v>120</v>
      </c>
      <c r="D428" s="23" t="s">
        <v>328</v>
      </c>
      <c r="E428" s="23" t="s">
        <v>328</v>
      </c>
      <c r="F428" s="22" t="s">
        <v>57</v>
      </c>
      <c r="G428" s="23" t="s">
        <v>476</v>
      </c>
      <c r="H428" s="24" t="n">
        <v>1</v>
      </c>
      <c r="I428" s="14" t="n">
        <v>0.0682</v>
      </c>
      <c r="J428" s="25" t="s">
        <v>59</v>
      </c>
      <c r="K428" s="25"/>
      <c r="L428" s="25" t="s">
        <v>59</v>
      </c>
      <c r="M428" s="25"/>
      <c r="N428" s="25" t="s">
        <v>59</v>
      </c>
      <c r="O428" s="25"/>
      <c r="P428" s="14" t="n">
        <v>0.1705</v>
      </c>
      <c r="Q428" s="14" t="n">
        <f aca="false">IF(AND($J428="Yes",$G428&lt;&gt;"Vendor day rates"),$I428-0.4*$P428,0)</f>
        <v>0</v>
      </c>
      <c r="R428" s="26" t="n">
        <f aca="false">IFERROR(MATCH($K428,MonthList,0),0)</f>
        <v>0</v>
      </c>
      <c r="S428" s="14" t="n">
        <f aca="false">IF(OR($J428&lt;&gt;"Yes",$K428=""),0,$Q428*MAX(0,7-$R428)/12)</f>
        <v>0</v>
      </c>
      <c r="T428" s="14" t="n">
        <f aca="false">IF(OR($J428&lt;&gt;"Yes",$K428=""),0,$Q428*IF($R428&lt;=7,12,19-$R428)/12)</f>
        <v>0</v>
      </c>
      <c r="U428" s="14" t="n">
        <f aca="false">IF(AND($L428="Yes",$G428&lt;&gt;"Vendor day rates"),$I428-0.4*$P428,0)</f>
        <v>0</v>
      </c>
      <c r="V428" s="26" t="n">
        <f aca="false">IFERROR(MATCH($M428,MonthList,0),0)</f>
        <v>0</v>
      </c>
      <c r="W428" s="14" t="n">
        <f aca="false">IF(OR($L428&lt;&gt;"Yes",$M428=""),0,$U428*MAX(0,7-$V428)/12)</f>
        <v>0</v>
      </c>
      <c r="X428" s="14" t="n">
        <f aca="false">IF(OR($L428&lt;&gt;"Yes",$M428=""),0,$U428*IF($V428&lt;=7,12,19-$V428)/12)</f>
        <v>0</v>
      </c>
      <c r="Y428" s="14" t="n">
        <f aca="false">IF(AND($N428="Yes",$G428&lt;&gt;"Vendor day rates"),$I428-0.4*$P428,0)</f>
        <v>0</v>
      </c>
      <c r="Z428" s="26" t="n">
        <f aca="false">IFERROR(MATCH($O428,MonthList,0),0)</f>
        <v>0</v>
      </c>
      <c r="AA428" s="14" t="n">
        <f aca="false">IF(OR($N428&lt;&gt;"Yes",$O428=""),0,$Y428*MAX(0,7-$Z428)/12)</f>
        <v>0</v>
      </c>
      <c r="AB428" s="14" t="n">
        <f aca="false">IF(OR($N428&lt;&gt;"Yes",$O428=""),0,$Y428*IF($Z428&lt;=7,12,19-$Z428)/12)</f>
        <v>0</v>
      </c>
      <c r="AC428" s="26" t="str">
        <f aca="false">IF(OR($J428="Yes",$L428="Yes",$N428="Yes"),"Yes","No")</f>
        <v>No</v>
      </c>
      <c r="AD428" s="14" t="n">
        <f aca="false">MAX($Q428,$U428,$Y428)</f>
        <v>0</v>
      </c>
      <c r="AE428" s="26" t="n">
        <f aca="false">$AD428+ROW()*0.000000001</f>
        <v>4.28E-007</v>
      </c>
      <c r="AF428" s="26" t="str">
        <f aca="false">IF($J428="Yes","A","")&amp;IF($L428="Yes","B","")&amp;IF($N428="Yes","C","")</f>
        <v/>
      </c>
    </row>
    <row r="429" customFormat="false" ht="15" hidden="false" customHeight="false" outlineLevel="0" collapsed="false">
      <c r="B429" s="22" t="s">
        <v>831</v>
      </c>
      <c r="C429" s="23" t="s">
        <v>120</v>
      </c>
      <c r="D429" s="23" t="s">
        <v>328</v>
      </c>
      <c r="E429" s="23" t="s">
        <v>517</v>
      </c>
      <c r="F429" s="22" t="s">
        <v>57</v>
      </c>
      <c r="G429" s="23" t="s">
        <v>476</v>
      </c>
      <c r="H429" s="24" t="n">
        <v>1</v>
      </c>
      <c r="I429" s="14" t="n">
        <v>0.0682</v>
      </c>
      <c r="J429" s="25" t="s">
        <v>59</v>
      </c>
      <c r="K429" s="25"/>
      <c r="L429" s="25" t="s">
        <v>59</v>
      </c>
      <c r="M429" s="25"/>
      <c r="N429" s="25" t="s">
        <v>59</v>
      </c>
      <c r="O429" s="25"/>
      <c r="P429" s="14" t="n">
        <v>0.1705</v>
      </c>
      <c r="Q429" s="14" t="n">
        <f aca="false">IF(AND($J429="Yes",$G429&lt;&gt;"Vendor day rates"),$I429-0.4*$P429,0)</f>
        <v>0</v>
      </c>
      <c r="R429" s="26" t="n">
        <f aca="false">IFERROR(MATCH($K429,MonthList,0),0)</f>
        <v>0</v>
      </c>
      <c r="S429" s="14" t="n">
        <f aca="false">IF(OR($J429&lt;&gt;"Yes",$K429=""),0,$Q429*MAX(0,7-$R429)/12)</f>
        <v>0</v>
      </c>
      <c r="T429" s="14" t="n">
        <f aca="false">IF(OR($J429&lt;&gt;"Yes",$K429=""),0,$Q429*IF($R429&lt;=7,12,19-$R429)/12)</f>
        <v>0</v>
      </c>
      <c r="U429" s="14" t="n">
        <f aca="false">IF(AND($L429="Yes",$G429&lt;&gt;"Vendor day rates"),$I429-0.4*$P429,0)</f>
        <v>0</v>
      </c>
      <c r="V429" s="26" t="n">
        <f aca="false">IFERROR(MATCH($M429,MonthList,0),0)</f>
        <v>0</v>
      </c>
      <c r="W429" s="14" t="n">
        <f aca="false">IF(OR($L429&lt;&gt;"Yes",$M429=""),0,$U429*MAX(0,7-$V429)/12)</f>
        <v>0</v>
      </c>
      <c r="X429" s="14" t="n">
        <f aca="false">IF(OR($L429&lt;&gt;"Yes",$M429=""),0,$U429*IF($V429&lt;=7,12,19-$V429)/12)</f>
        <v>0</v>
      </c>
      <c r="Y429" s="14" t="n">
        <f aca="false">IF(AND($N429="Yes",$G429&lt;&gt;"Vendor day rates"),$I429-0.4*$P429,0)</f>
        <v>0</v>
      </c>
      <c r="Z429" s="26" t="n">
        <f aca="false">IFERROR(MATCH($O429,MonthList,0),0)</f>
        <v>0</v>
      </c>
      <c r="AA429" s="14" t="n">
        <f aca="false">IF(OR($N429&lt;&gt;"Yes",$O429=""),0,$Y429*MAX(0,7-$Z429)/12)</f>
        <v>0</v>
      </c>
      <c r="AB429" s="14" t="n">
        <f aca="false">IF(OR($N429&lt;&gt;"Yes",$O429=""),0,$Y429*IF($Z429&lt;=7,12,19-$Z429)/12)</f>
        <v>0</v>
      </c>
      <c r="AC429" s="26" t="str">
        <f aca="false">IF(OR($J429="Yes",$L429="Yes",$N429="Yes"),"Yes","No")</f>
        <v>No</v>
      </c>
      <c r="AD429" s="14" t="n">
        <f aca="false">MAX($Q429,$U429,$Y429)</f>
        <v>0</v>
      </c>
      <c r="AE429" s="26" t="n">
        <f aca="false">$AD429+ROW()*0.000000001</f>
        <v>4.29E-007</v>
      </c>
      <c r="AF429" s="26" t="str">
        <f aca="false">IF($J429="Yes","A","")&amp;IF($L429="Yes","B","")&amp;IF($N429="Yes","C","")</f>
        <v/>
      </c>
    </row>
    <row r="430" customFormat="false" ht="15" hidden="false" customHeight="false" outlineLevel="0" collapsed="false">
      <c r="B430" s="22" t="s">
        <v>832</v>
      </c>
      <c r="C430" s="23" t="s">
        <v>833</v>
      </c>
      <c r="D430" s="23" t="s">
        <v>328</v>
      </c>
      <c r="E430" s="23" t="s">
        <v>517</v>
      </c>
      <c r="F430" s="22" t="s">
        <v>57</v>
      </c>
      <c r="G430" s="23" t="s">
        <v>149</v>
      </c>
      <c r="H430" s="24" t="n">
        <v>1</v>
      </c>
      <c r="I430" s="14" t="n">
        <v>0.18</v>
      </c>
      <c r="J430" s="25" t="s">
        <v>59</v>
      </c>
      <c r="K430" s="25"/>
      <c r="L430" s="25" t="s">
        <v>59</v>
      </c>
      <c r="M430" s="25"/>
      <c r="N430" s="25" t="s">
        <v>59</v>
      </c>
      <c r="O430" s="25"/>
      <c r="P430" s="14" t="n">
        <v>0.18</v>
      </c>
      <c r="Q430" s="14" t="n">
        <f aca="false">IF(AND($J430="Yes",$G430&lt;&gt;"Vendor day rates"),$I430-0.4*$P430,0)</f>
        <v>0</v>
      </c>
      <c r="R430" s="26" t="n">
        <f aca="false">IFERROR(MATCH($K430,MonthList,0),0)</f>
        <v>0</v>
      </c>
      <c r="S430" s="14" t="n">
        <f aca="false">IF(OR($J430&lt;&gt;"Yes",$K430=""),0,$Q430*MAX(0,7-$R430)/12)</f>
        <v>0</v>
      </c>
      <c r="T430" s="14" t="n">
        <f aca="false">IF(OR($J430&lt;&gt;"Yes",$K430=""),0,$Q430*IF($R430&lt;=7,12,19-$R430)/12)</f>
        <v>0</v>
      </c>
      <c r="U430" s="14" t="n">
        <f aca="false">IF(AND($L430="Yes",$G430&lt;&gt;"Vendor day rates"),$I430-0.4*$P430,0)</f>
        <v>0</v>
      </c>
      <c r="V430" s="26" t="n">
        <f aca="false">IFERROR(MATCH($M430,MonthList,0),0)</f>
        <v>0</v>
      </c>
      <c r="W430" s="14" t="n">
        <f aca="false">IF(OR($L430&lt;&gt;"Yes",$M430=""),0,$U430*MAX(0,7-$V430)/12)</f>
        <v>0</v>
      </c>
      <c r="X430" s="14" t="n">
        <f aca="false">IF(OR($L430&lt;&gt;"Yes",$M430=""),0,$U430*IF($V430&lt;=7,12,19-$V430)/12)</f>
        <v>0</v>
      </c>
      <c r="Y430" s="14" t="n">
        <f aca="false">IF(AND($N430="Yes",$G430&lt;&gt;"Vendor day rates"),$I430-0.4*$P430,0)</f>
        <v>0</v>
      </c>
      <c r="Z430" s="26" t="n">
        <f aca="false">IFERROR(MATCH($O430,MonthList,0),0)</f>
        <v>0</v>
      </c>
      <c r="AA430" s="14" t="n">
        <f aca="false">IF(OR($N430&lt;&gt;"Yes",$O430=""),0,$Y430*MAX(0,7-$Z430)/12)</f>
        <v>0</v>
      </c>
      <c r="AB430" s="14" t="n">
        <f aca="false">IF(OR($N430&lt;&gt;"Yes",$O430=""),0,$Y430*IF($Z430&lt;=7,12,19-$Z430)/12)</f>
        <v>0</v>
      </c>
      <c r="AC430" s="26" t="str">
        <f aca="false">IF(OR($J430="Yes",$L430="Yes",$N430="Yes"),"Yes","No")</f>
        <v>No</v>
      </c>
      <c r="AD430" s="14" t="n">
        <f aca="false">MAX($Q430,$U430,$Y430)</f>
        <v>0</v>
      </c>
      <c r="AE430" s="26" t="n">
        <f aca="false">$AD430+ROW()*0.000000001</f>
        <v>4.3E-007</v>
      </c>
      <c r="AF430" s="26" t="str">
        <f aca="false">IF($J430="Yes","A","")&amp;IF($L430="Yes","B","")&amp;IF($N430="Yes","C","")</f>
        <v/>
      </c>
    </row>
    <row r="431" customFormat="false" ht="15" hidden="false" customHeight="false" outlineLevel="0" collapsed="false">
      <c r="B431" s="22" t="s">
        <v>834</v>
      </c>
      <c r="C431" s="23" t="s">
        <v>120</v>
      </c>
      <c r="D431" s="23" t="s">
        <v>172</v>
      </c>
      <c r="E431" s="23" t="s">
        <v>265</v>
      </c>
      <c r="F431" s="22" t="s">
        <v>57</v>
      </c>
      <c r="G431" s="23" t="s">
        <v>304</v>
      </c>
      <c r="H431" s="24" t="n">
        <v>1</v>
      </c>
      <c r="I431" s="14" t="n">
        <v>0</v>
      </c>
      <c r="J431" s="25" t="s">
        <v>59</v>
      </c>
      <c r="K431" s="25"/>
      <c r="L431" s="25" t="s">
        <v>59</v>
      </c>
      <c r="M431" s="25"/>
      <c r="N431" s="25" t="s">
        <v>59</v>
      </c>
      <c r="O431" s="25"/>
      <c r="P431" s="14" t="n">
        <v>0.1705</v>
      </c>
      <c r="Q431" s="14" t="n">
        <f aca="false">IF(AND($J431="Yes",$G431&lt;&gt;"Vendor day rates"),$I431-0.4*$P431,0)</f>
        <v>0</v>
      </c>
      <c r="R431" s="26" t="n">
        <f aca="false">IFERROR(MATCH($K431,MonthList,0),0)</f>
        <v>0</v>
      </c>
      <c r="S431" s="14" t="n">
        <f aca="false">IF(OR($J431&lt;&gt;"Yes",$K431=""),0,$Q431*MAX(0,7-$R431)/12)</f>
        <v>0</v>
      </c>
      <c r="T431" s="14" t="n">
        <f aca="false">IF(OR($J431&lt;&gt;"Yes",$K431=""),0,$Q431*IF($R431&lt;=7,12,19-$R431)/12)</f>
        <v>0</v>
      </c>
      <c r="U431" s="14" t="n">
        <f aca="false">IF(AND($L431="Yes",$G431&lt;&gt;"Vendor day rates"),$I431-0.4*$P431,0)</f>
        <v>0</v>
      </c>
      <c r="V431" s="26" t="n">
        <f aca="false">IFERROR(MATCH($M431,MonthList,0),0)</f>
        <v>0</v>
      </c>
      <c r="W431" s="14" t="n">
        <f aca="false">IF(OR($L431&lt;&gt;"Yes",$M431=""),0,$U431*MAX(0,7-$V431)/12)</f>
        <v>0</v>
      </c>
      <c r="X431" s="14" t="n">
        <f aca="false">IF(OR($L431&lt;&gt;"Yes",$M431=""),0,$U431*IF($V431&lt;=7,12,19-$V431)/12)</f>
        <v>0</v>
      </c>
      <c r="Y431" s="14" t="n">
        <f aca="false">IF(AND($N431="Yes",$G431&lt;&gt;"Vendor day rates"),$I431-0.4*$P431,0)</f>
        <v>0</v>
      </c>
      <c r="Z431" s="26" t="n">
        <f aca="false">IFERROR(MATCH($O431,MonthList,0),0)</f>
        <v>0</v>
      </c>
      <c r="AA431" s="14" t="n">
        <f aca="false">IF(OR($N431&lt;&gt;"Yes",$O431=""),0,$Y431*MAX(0,7-$Z431)/12)</f>
        <v>0</v>
      </c>
      <c r="AB431" s="14" t="n">
        <f aca="false">IF(OR($N431&lt;&gt;"Yes",$O431=""),0,$Y431*IF($Z431&lt;=7,12,19-$Z431)/12)</f>
        <v>0</v>
      </c>
      <c r="AC431" s="26" t="str">
        <f aca="false">IF(OR($J431="Yes",$L431="Yes",$N431="Yes"),"Yes","No")</f>
        <v>No</v>
      </c>
      <c r="AD431" s="14" t="n">
        <f aca="false">MAX($Q431,$U431,$Y431)</f>
        <v>0</v>
      </c>
      <c r="AE431" s="26" t="n">
        <f aca="false">$AD431+ROW()*0.000000001</f>
        <v>4.31E-007</v>
      </c>
      <c r="AF431" s="26" t="str">
        <f aca="false">IF($J431="Yes","A","")&amp;IF($L431="Yes","B","")&amp;IF($N431="Yes","C","")</f>
        <v/>
      </c>
    </row>
    <row r="432" customFormat="false" ht="15" hidden="false" customHeight="false" outlineLevel="0" collapsed="false">
      <c r="B432" s="22" t="s">
        <v>835</v>
      </c>
      <c r="C432" s="23" t="s">
        <v>632</v>
      </c>
      <c r="D432" s="23" t="s">
        <v>147</v>
      </c>
      <c r="E432" s="23" t="s">
        <v>253</v>
      </c>
      <c r="F432" s="22" t="s">
        <v>112</v>
      </c>
      <c r="G432" s="23" t="s">
        <v>121</v>
      </c>
      <c r="H432" s="24" t="n">
        <v>1</v>
      </c>
      <c r="I432" s="14" t="n">
        <v>0.0527</v>
      </c>
      <c r="J432" s="25" t="s">
        <v>59</v>
      </c>
      <c r="K432" s="25"/>
      <c r="L432" s="25" t="s">
        <v>59</v>
      </c>
      <c r="M432" s="25"/>
      <c r="N432" s="25" t="s">
        <v>59</v>
      </c>
      <c r="O432" s="25"/>
      <c r="P432" s="14" t="n">
        <v>0.1318</v>
      </c>
      <c r="Q432" s="14" t="n">
        <f aca="false">IF(AND($J432="Yes",$G432&lt;&gt;"Vendor day rates"),$I432-0.4*$P432,0)</f>
        <v>0</v>
      </c>
      <c r="R432" s="26" t="n">
        <f aca="false">IFERROR(MATCH($K432,MonthList,0),0)</f>
        <v>0</v>
      </c>
      <c r="S432" s="14" t="n">
        <f aca="false">IF(OR($J432&lt;&gt;"Yes",$K432=""),0,$Q432*MAX(0,7-$R432)/12)</f>
        <v>0</v>
      </c>
      <c r="T432" s="14" t="n">
        <f aca="false">IF(OR($J432&lt;&gt;"Yes",$K432=""),0,$Q432*IF($R432&lt;=7,12,19-$R432)/12)</f>
        <v>0</v>
      </c>
      <c r="U432" s="14" t="n">
        <f aca="false">IF(AND($L432="Yes",$G432&lt;&gt;"Vendor day rates"),$I432-0.4*$P432,0)</f>
        <v>0</v>
      </c>
      <c r="V432" s="26" t="n">
        <f aca="false">IFERROR(MATCH($M432,MonthList,0),0)</f>
        <v>0</v>
      </c>
      <c r="W432" s="14" t="n">
        <f aca="false">IF(OR($L432&lt;&gt;"Yes",$M432=""),0,$U432*MAX(0,7-$V432)/12)</f>
        <v>0</v>
      </c>
      <c r="X432" s="14" t="n">
        <f aca="false">IF(OR($L432&lt;&gt;"Yes",$M432=""),0,$U432*IF($V432&lt;=7,12,19-$V432)/12)</f>
        <v>0</v>
      </c>
      <c r="Y432" s="14" t="n">
        <f aca="false">IF(AND($N432="Yes",$G432&lt;&gt;"Vendor day rates"),$I432-0.4*$P432,0)</f>
        <v>0</v>
      </c>
      <c r="Z432" s="26" t="n">
        <f aca="false">IFERROR(MATCH($O432,MonthList,0),0)</f>
        <v>0</v>
      </c>
      <c r="AA432" s="14" t="n">
        <f aca="false">IF(OR($N432&lt;&gt;"Yes",$O432=""),0,$Y432*MAX(0,7-$Z432)/12)</f>
        <v>0</v>
      </c>
      <c r="AB432" s="14" t="n">
        <f aca="false">IF(OR($N432&lt;&gt;"Yes",$O432=""),0,$Y432*IF($Z432&lt;=7,12,19-$Z432)/12)</f>
        <v>0</v>
      </c>
      <c r="AC432" s="26" t="str">
        <f aca="false">IF(OR($J432="Yes",$L432="Yes",$N432="Yes"),"Yes","No")</f>
        <v>No</v>
      </c>
      <c r="AD432" s="14" t="n">
        <f aca="false">MAX($Q432,$U432,$Y432)</f>
        <v>0</v>
      </c>
      <c r="AE432" s="26" t="n">
        <f aca="false">$AD432+ROW()*0.000000001</f>
        <v>4.32E-007</v>
      </c>
      <c r="AF432" s="26" t="str">
        <f aca="false">IF($J432="Yes","A","")&amp;IF($L432="Yes","B","")&amp;IF($N432="Yes","C","")</f>
        <v/>
      </c>
    </row>
    <row r="433" customFormat="false" ht="15" hidden="false" customHeight="false" outlineLevel="0" collapsed="false">
      <c r="B433" s="22" t="s">
        <v>836</v>
      </c>
      <c r="C433" s="23" t="s">
        <v>837</v>
      </c>
      <c r="D433" s="23" t="s">
        <v>207</v>
      </c>
      <c r="E433" s="23" t="s">
        <v>388</v>
      </c>
      <c r="F433" s="22" t="s">
        <v>57</v>
      </c>
      <c r="G433" s="23" t="s">
        <v>58</v>
      </c>
      <c r="H433" s="24" t="n">
        <v>1</v>
      </c>
      <c r="I433" s="14" t="n">
        <v>0.1903</v>
      </c>
      <c r="J433" s="25" t="s">
        <v>59</v>
      </c>
      <c r="K433" s="25"/>
      <c r="L433" s="25" t="s">
        <v>59</v>
      </c>
      <c r="M433" s="25"/>
      <c r="N433" s="25" t="s">
        <v>59</v>
      </c>
      <c r="O433" s="25"/>
      <c r="P433" s="14" t="n">
        <v>0.1903</v>
      </c>
      <c r="Q433" s="14" t="n">
        <f aca="false">IF(AND($J433="Yes",$G433&lt;&gt;"Vendor day rates"),$I433-0.4*$P433,0)</f>
        <v>0</v>
      </c>
      <c r="R433" s="26" t="n">
        <f aca="false">IFERROR(MATCH($K433,MonthList,0),0)</f>
        <v>0</v>
      </c>
      <c r="S433" s="14" t="n">
        <f aca="false">IF(OR($J433&lt;&gt;"Yes",$K433=""),0,$Q433*MAX(0,7-$R433)/12)</f>
        <v>0</v>
      </c>
      <c r="T433" s="14" t="n">
        <f aca="false">IF(OR($J433&lt;&gt;"Yes",$K433=""),0,$Q433*IF($R433&lt;=7,12,19-$R433)/12)</f>
        <v>0</v>
      </c>
      <c r="U433" s="14" t="n">
        <f aca="false">IF(AND($L433="Yes",$G433&lt;&gt;"Vendor day rates"),$I433-0.4*$P433,0)</f>
        <v>0</v>
      </c>
      <c r="V433" s="26" t="n">
        <f aca="false">IFERROR(MATCH($M433,MonthList,0),0)</f>
        <v>0</v>
      </c>
      <c r="W433" s="14" t="n">
        <f aca="false">IF(OR($L433&lt;&gt;"Yes",$M433=""),0,$U433*MAX(0,7-$V433)/12)</f>
        <v>0</v>
      </c>
      <c r="X433" s="14" t="n">
        <f aca="false">IF(OR($L433&lt;&gt;"Yes",$M433=""),0,$U433*IF($V433&lt;=7,12,19-$V433)/12)</f>
        <v>0</v>
      </c>
      <c r="Y433" s="14" t="n">
        <f aca="false">IF(AND($N433="Yes",$G433&lt;&gt;"Vendor day rates"),$I433-0.4*$P433,0)</f>
        <v>0</v>
      </c>
      <c r="Z433" s="26" t="n">
        <f aca="false">IFERROR(MATCH($O433,MonthList,0),0)</f>
        <v>0</v>
      </c>
      <c r="AA433" s="14" t="n">
        <f aca="false">IF(OR($N433&lt;&gt;"Yes",$O433=""),0,$Y433*MAX(0,7-$Z433)/12)</f>
        <v>0</v>
      </c>
      <c r="AB433" s="14" t="n">
        <f aca="false">IF(OR($N433&lt;&gt;"Yes",$O433=""),0,$Y433*IF($Z433&lt;=7,12,19-$Z433)/12)</f>
        <v>0</v>
      </c>
      <c r="AC433" s="26" t="str">
        <f aca="false">IF(OR($J433="Yes",$L433="Yes",$N433="Yes"),"Yes","No")</f>
        <v>No</v>
      </c>
      <c r="AD433" s="14" t="n">
        <f aca="false">MAX($Q433,$U433,$Y433)</f>
        <v>0</v>
      </c>
      <c r="AE433" s="26" t="n">
        <f aca="false">$AD433+ROW()*0.000000001</f>
        <v>4.33E-007</v>
      </c>
      <c r="AF433" s="26" t="str">
        <f aca="false">IF($J433="Yes","A","")&amp;IF($L433="Yes","B","")&amp;IF($N433="Yes","C","")</f>
        <v/>
      </c>
    </row>
    <row r="434" customFormat="false" ht="15" hidden="false" customHeight="false" outlineLevel="0" collapsed="false">
      <c r="B434" s="22" t="s">
        <v>838</v>
      </c>
      <c r="C434" s="23" t="s">
        <v>643</v>
      </c>
      <c r="D434" s="23" t="s">
        <v>207</v>
      </c>
      <c r="E434" s="23" t="s">
        <v>388</v>
      </c>
      <c r="F434" s="22" t="s">
        <v>112</v>
      </c>
      <c r="G434" s="23" t="s">
        <v>58</v>
      </c>
      <c r="H434" s="24" t="n">
        <v>1</v>
      </c>
      <c r="I434" s="14" t="n">
        <v>0.1638</v>
      </c>
      <c r="J434" s="25" t="s">
        <v>59</v>
      </c>
      <c r="K434" s="25"/>
      <c r="L434" s="25" t="s">
        <v>59</v>
      </c>
      <c r="M434" s="25"/>
      <c r="N434" s="25" t="s">
        <v>59</v>
      </c>
      <c r="O434" s="25"/>
      <c r="P434" s="14" t="n">
        <v>0.1638</v>
      </c>
      <c r="Q434" s="14" t="n">
        <f aca="false">IF(AND($J434="Yes",$G434&lt;&gt;"Vendor day rates"),$I434-0.4*$P434,0)</f>
        <v>0</v>
      </c>
      <c r="R434" s="26" t="n">
        <f aca="false">IFERROR(MATCH($K434,MonthList,0),0)</f>
        <v>0</v>
      </c>
      <c r="S434" s="14" t="n">
        <f aca="false">IF(OR($J434&lt;&gt;"Yes",$K434=""),0,$Q434*MAX(0,7-$R434)/12)</f>
        <v>0</v>
      </c>
      <c r="T434" s="14" t="n">
        <f aca="false">IF(OR($J434&lt;&gt;"Yes",$K434=""),0,$Q434*IF($R434&lt;=7,12,19-$R434)/12)</f>
        <v>0</v>
      </c>
      <c r="U434" s="14" t="n">
        <f aca="false">IF(AND($L434="Yes",$G434&lt;&gt;"Vendor day rates"),$I434-0.4*$P434,0)</f>
        <v>0</v>
      </c>
      <c r="V434" s="26" t="n">
        <f aca="false">IFERROR(MATCH($M434,MonthList,0),0)</f>
        <v>0</v>
      </c>
      <c r="W434" s="14" t="n">
        <f aca="false">IF(OR($L434&lt;&gt;"Yes",$M434=""),0,$U434*MAX(0,7-$V434)/12)</f>
        <v>0</v>
      </c>
      <c r="X434" s="14" t="n">
        <f aca="false">IF(OR($L434&lt;&gt;"Yes",$M434=""),0,$U434*IF($V434&lt;=7,12,19-$V434)/12)</f>
        <v>0</v>
      </c>
      <c r="Y434" s="14" t="n">
        <f aca="false">IF(AND($N434="Yes",$G434&lt;&gt;"Vendor day rates"),$I434-0.4*$P434,0)</f>
        <v>0</v>
      </c>
      <c r="Z434" s="26" t="n">
        <f aca="false">IFERROR(MATCH($O434,MonthList,0),0)</f>
        <v>0</v>
      </c>
      <c r="AA434" s="14" t="n">
        <f aca="false">IF(OR($N434&lt;&gt;"Yes",$O434=""),0,$Y434*MAX(0,7-$Z434)/12)</f>
        <v>0</v>
      </c>
      <c r="AB434" s="14" t="n">
        <f aca="false">IF(OR($N434&lt;&gt;"Yes",$O434=""),0,$Y434*IF($Z434&lt;=7,12,19-$Z434)/12)</f>
        <v>0</v>
      </c>
      <c r="AC434" s="26" t="str">
        <f aca="false">IF(OR($J434="Yes",$L434="Yes",$N434="Yes"),"Yes","No")</f>
        <v>No</v>
      </c>
      <c r="AD434" s="14" t="n">
        <f aca="false">MAX($Q434,$U434,$Y434)</f>
        <v>0</v>
      </c>
      <c r="AE434" s="26" t="n">
        <f aca="false">$AD434+ROW()*0.000000001</f>
        <v>4.34E-007</v>
      </c>
      <c r="AF434" s="26" t="str">
        <f aca="false">IF($J434="Yes","A","")&amp;IF($L434="Yes","B","")&amp;IF($N434="Yes","C","")</f>
        <v/>
      </c>
    </row>
    <row r="435" customFormat="false" ht="15" hidden="false" customHeight="false" outlineLevel="0" collapsed="false">
      <c r="B435" s="22" t="s">
        <v>839</v>
      </c>
      <c r="C435" s="23" t="s">
        <v>840</v>
      </c>
      <c r="D435" s="23" t="s">
        <v>215</v>
      </c>
      <c r="E435" s="23" t="s">
        <v>375</v>
      </c>
      <c r="F435" s="22" t="s">
        <v>112</v>
      </c>
      <c r="G435" s="23" t="s">
        <v>58</v>
      </c>
      <c r="H435" s="24" t="n">
        <v>1</v>
      </c>
      <c r="I435" s="14" t="n">
        <v>0.1429</v>
      </c>
      <c r="J435" s="25" t="s">
        <v>59</v>
      </c>
      <c r="K435" s="25"/>
      <c r="L435" s="25" t="s">
        <v>59</v>
      </c>
      <c r="M435" s="25"/>
      <c r="N435" s="25" t="s">
        <v>59</v>
      </c>
      <c r="O435" s="25"/>
      <c r="P435" s="14" t="n">
        <v>0.1429</v>
      </c>
      <c r="Q435" s="14" t="n">
        <f aca="false">IF(AND($J435="Yes",$G435&lt;&gt;"Vendor day rates"),$I435-0.4*$P435,0)</f>
        <v>0</v>
      </c>
      <c r="R435" s="26" t="n">
        <f aca="false">IFERROR(MATCH($K435,MonthList,0),0)</f>
        <v>0</v>
      </c>
      <c r="S435" s="14" t="n">
        <f aca="false">IF(OR($J435&lt;&gt;"Yes",$K435=""),0,$Q435*MAX(0,7-$R435)/12)</f>
        <v>0</v>
      </c>
      <c r="T435" s="14" t="n">
        <f aca="false">IF(OR($J435&lt;&gt;"Yes",$K435=""),0,$Q435*IF($R435&lt;=7,12,19-$R435)/12)</f>
        <v>0</v>
      </c>
      <c r="U435" s="14" t="n">
        <f aca="false">IF(AND($L435="Yes",$G435&lt;&gt;"Vendor day rates"),$I435-0.4*$P435,0)</f>
        <v>0</v>
      </c>
      <c r="V435" s="26" t="n">
        <f aca="false">IFERROR(MATCH($M435,MonthList,0),0)</f>
        <v>0</v>
      </c>
      <c r="W435" s="14" t="n">
        <f aca="false">IF(OR($L435&lt;&gt;"Yes",$M435=""),0,$U435*MAX(0,7-$V435)/12)</f>
        <v>0</v>
      </c>
      <c r="X435" s="14" t="n">
        <f aca="false">IF(OR($L435&lt;&gt;"Yes",$M435=""),0,$U435*IF($V435&lt;=7,12,19-$V435)/12)</f>
        <v>0</v>
      </c>
      <c r="Y435" s="14" t="n">
        <f aca="false">IF(AND($N435="Yes",$G435&lt;&gt;"Vendor day rates"),$I435-0.4*$P435,0)</f>
        <v>0</v>
      </c>
      <c r="Z435" s="26" t="n">
        <f aca="false">IFERROR(MATCH($O435,MonthList,0),0)</f>
        <v>0</v>
      </c>
      <c r="AA435" s="14" t="n">
        <f aca="false">IF(OR($N435&lt;&gt;"Yes",$O435=""),0,$Y435*MAX(0,7-$Z435)/12)</f>
        <v>0</v>
      </c>
      <c r="AB435" s="14" t="n">
        <f aca="false">IF(OR($N435&lt;&gt;"Yes",$O435=""),0,$Y435*IF($Z435&lt;=7,12,19-$Z435)/12)</f>
        <v>0</v>
      </c>
      <c r="AC435" s="26" t="str">
        <f aca="false">IF(OR($J435="Yes",$L435="Yes",$N435="Yes"),"Yes","No")</f>
        <v>No</v>
      </c>
      <c r="AD435" s="14" t="n">
        <f aca="false">MAX($Q435,$U435,$Y435)</f>
        <v>0</v>
      </c>
      <c r="AE435" s="26" t="n">
        <f aca="false">$AD435+ROW()*0.000000001</f>
        <v>4.35E-007</v>
      </c>
      <c r="AF435" s="26" t="str">
        <f aca="false">IF($J435="Yes","A","")&amp;IF($L435="Yes","B","")&amp;IF($N435="Yes","C","")</f>
        <v/>
      </c>
    </row>
    <row r="436" customFormat="false" ht="15" hidden="false" customHeight="false" outlineLevel="0" collapsed="false">
      <c r="B436" s="22" t="s">
        <v>841</v>
      </c>
      <c r="C436" s="23" t="s">
        <v>584</v>
      </c>
      <c r="D436" s="23" t="s">
        <v>215</v>
      </c>
      <c r="E436" s="23" t="s">
        <v>394</v>
      </c>
      <c r="F436" s="22" t="s">
        <v>112</v>
      </c>
      <c r="G436" s="23" t="s">
        <v>58</v>
      </c>
      <c r="H436" s="24" t="n">
        <v>1</v>
      </c>
      <c r="I436" s="14" t="n">
        <v>0.1046</v>
      </c>
      <c r="J436" s="25" t="s">
        <v>59</v>
      </c>
      <c r="K436" s="25"/>
      <c r="L436" s="25" t="s">
        <v>59</v>
      </c>
      <c r="M436" s="25"/>
      <c r="N436" s="25" t="s">
        <v>59</v>
      </c>
      <c r="O436" s="25"/>
      <c r="P436" s="14" t="n">
        <v>0.1046</v>
      </c>
      <c r="Q436" s="14" t="n">
        <f aca="false">IF(AND($J436="Yes",$G436&lt;&gt;"Vendor day rates"),$I436-0.4*$P436,0)</f>
        <v>0</v>
      </c>
      <c r="R436" s="26" t="n">
        <f aca="false">IFERROR(MATCH($K436,MonthList,0),0)</f>
        <v>0</v>
      </c>
      <c r="S436" s="14" t="n">
        <f aca="false">IF(OR($J436&lt;&gt;"Yes",$K436=""),0,$Q436*MAX(0,7-$R436)/12)</f>
        <v>0</v>
      </c>
      <c r="T436" s="14" t="n">
        <f aca="false">IF(OR($J436&lt;&gt;"Yes",$K436=""),0,$Q436*IF($R436&lt;=7,12,19-$R436)/12)</f>
        <v>0</v>
      </c>
      <c r="U436" s="14" t="n">
        <f aca="false">IF(AND($L436="Yes",$G436&lt;&gt;"Vendor day rates"),$I436-0.4*$P436,0)</f>
        <v>0</v>
      </c>
      <c r="V436" s="26" t="n">
        <f aca="false">IFERROR(MATCH($M436,MonthList,0),0)</f>
        <v>0</v>
      </c>
      <c r="W436" s="14" t="n">
        <f aca="false">IF(OR($L436&lt;&gt;"Yes",$M436=""),0,$U436*MAX(0,7-$V436)/12)</f>
        <v>0</v>
      </c>
      <c r="X436" s="14" t="n">
        <f aca="false">IF(OR($L436&lt;&gt;"Yes",$M436=""),0,$U436*IF($V436&lt;=7,12,19-$V436)/12)</f>
        <v>0</v>
      </c>
      <c r="Y436" s="14" t="n">
        <f aca="false">IF(AND($N436="Yes",$G436&lt;&gt;"Vendor day rates"),$I436-0.4*$P436,0)</f>
        <v>0</v>
      </c>
      <c r="Z436" s="26" t="n">
        <f aca="false">IFERROR(MATCH($O436,MonthList,0),0)</f>
        <v>0</v>
      </c>
      <c r="AA436" s="14" t="n">
        <f aca="false">IF(OR($N436&lt;&gt;"Yes",$O436=""),0,$Y436*MAX(0,7-$Z436)/12)</f>
        <v>0</v>
      </c>
      <c r="AB436" s="14" t="n">
        <f aca="false">IF(OR($N436&lt;&gt;"Yes",$O436=""),0,$Y436*IF($Z436&lt;=7,12,19-$Z436)/12)</f>
        <v>0</v>
      </c>
      <c r="AC436" s="26" t="str">
        <f aca="false">IF(OR($J436="Yes",$L436="Yes",$N436="Yes"),"Yes","No")</f>
        <v>No</v>
      </c>
      <c r="AD436" s="14" t="n">
        <f aca="false">MAX($Q436,$U436,$Y436)</f>
        <v>0</v>
      </c>
      <c r="AE436" s="26" t="n">
        <f aca="false">$AD436+ROW()*0.000000001</f>
        <v>4.36E-007</v>
      </c>
      <c r="AF436" s="26" t="str">
        <f aca="false">IF($J436="Yes","A","")&amp;IF($L436="Yes","B","")&amp;IF($N436="Yes","C","")</f>
        <v/>
      </c>
    </row>
    <row r="437" customFormat="false" ht="15" hidden="false" customHeight="false" outlineLevel="0" collapsed="false">
      <c r="B437" s="22" t="s">
        <v>842</v>
      </c>
      <c r="C437" s="23" t="s">
        <v>584</v>
      </c>
      <c r="D437" s="23" t="s">
        <v>215</v>
      </c>
      <c r="E437" s="23" t="s">
        <v>375</v>
      </c>
      <c r="F437" s="22" t="s">
        <v>112</v>
      </c>
      <c r="G437" s="23" t="s">
        <v>58</v>
      </c>
      <c r="H437" s="24" t="n">
        <v>1</v>
      </c>
      <c r="I437" s="14" t="n">
        <v>0.1994</v>
      </c>
      <c r="J437" s="25" t="s">
        <v>59</v>
      </c>
      <c r="K437" s="25"/>
      <c r="L437" s="25" t="s">
        <v>59</v>
      </c>
      <c r="M437" s="25"/>
      <c r="N437" s="25" t="s">
        <v>59</v>
      </c>
      <c r="O437" s="25"/>
      <c r="P437" s="14" t="n">
        <v>0.1994</v>
      </c>
      <c r="Q437" s="14" t="n">
        <f aca="false">IF(AND($J437="Yes",$G437&lt;&gt;"Vendor day rates"),$I437-0.4*$P437,0)</f>
        <v>0</v>
      </c>
      <c r="R437" s="26" t="n">
        <f aca="false">IFERROR(MATCH($K437,MonthList,0),0)</f>
        <v>0</v>
      </c>
      <c r="S437" s="14" t="n">
        <f aca="false">IF(OR($J437&lt;&gt;"Yes",$K437=""),0,$Q437*MAX(0,7-$R437)/12)</f>
        <v>0</v>
      </c>
      <c r="T437" s="14" t="n">
        <f aca="false">IF(OR($J437&lt;&gt;"Yes",$K437=""),0,$Q437*IF($R437&lt;=7,12,19-$R437)/12)</f>
        <v>0</v>
      </c>
      <c r="U437" s="14" t="n">
        <f aca="false">IF(AND($L437="Yes",$G437&lt;&gt;"Vendor day rates"),$I437-0.4*$P437,0)</f>
        <v>0</v>
      </c>
      <c r="V437" s="26" t="n">
        <f aca="false">IFERROR(MATCH($M437,MonthList,0),0)</f>
        <v>0</v>
      </c>
      <c r="W437" s="14" t="n">
        <f aca="false">IF(OR($L437&lt;&gt;"Yes",$M437=""),0,$U437*MAX(0,7-$V437)/12)</f>
        <v>0</v>
      </c>
      <c r="X437" s="14" t="n">
        <f aca="false">IF(OR($L437&lt;&gt;"Yes",$M437=""),0,$U437*IF($V437&lt;=7,12,19-$V437)/12)</f>
        <v>0</v>
      </c>
      <c r="Y437" s="14" t="n">
        <f aca="false">IF(AND($N437="Yes",$G437&lt;&gt;"Vendor day rates"),$I437-0.4*$P437,0)</f>
        <v>0</v>
      </c>
      <c r="Z437" s="26" t="n">
        <f aca="false">IFERROR(MATCH($O437,MonthList,0),0)</f>
        <v>0</v>
      </c>
      <c r="AA437" s="14" t="n">
        <f aca="false">IF(OR($N437&lt;&gt;"Yes",$O437=""),0,$Y437*MAX(0,7-$Z437)/12)</f>
        <v>0</v>
      </c>
      <c r="AB437" s="14" t="n">
        <f aca="false">IF(OR($N437&lt;&gt;"Yes",$O437=""),0,$Y437*IF($Z437&lt;=7,12,19-$Z437)/12)</f>
        <v>0</v>
      </c>
      <c r="AC437" s="26" t="str">
        <f aca="false">IF(OR($J437="Yes",$L437="Yes",$N437="Yes"),"Yes","No")</f>
        <v>No</v>
      </c>
      <c r="AD437" s="14" t="n">
        <f aca="false">MAX($Q437,$U437,$Y437)</f>
        <v>0</v>
      </c>
      <c r="AE437" s="26" t="n">
        <f aca="false">$AD437+ROW()*0.000000001</f>
        <v>4.37E-007</v>
      </c>
      <c r="AF437" s="26" t="str">
        <f aca="false">IF($J437="Yes","A","")&amp;IF($L437="Yes","B","")&amp;IF($N437="Yes","C","")</f>
        <v/>
      </c>
    </row>
    <row r="438" customFormat="false" ht="15" hidden="false" customHeight="false" outlineLevel="0" collapsed="false">
      <c r="B438" s="22" t="s">
        <v>843</v>
      </c>
      <c r="C438" s="23" t="s">
        <v>120</v>
      </c>
      <c r="D438" s="23" t="s">
        <v>215</v>
      </c>
      <c r="E438" s="23" t="s">
        <v>394</v>
      </c>
      <c r="F438" s="22" t="s">
        <v>57</v>
      </c>
      <c r="G438" s="23" t="s">
        <v>149</v>
      </c>
      <c r="H438" s="24" t="n">
        <v>1</v>
      </c>
      <c r="I438" s="14" t="n">
        <v>0.2758</v>
      </c>
      <c r="J438" s="25" t="s">
        <v>59</v>
      </c>
      <c r="K438" s="25"/>
      <c r="L438" s="25" t="s">
        <v>59</v>
      </c>
      <c r="M438" s="25"/>
      <c r="N438" s="25" t="s">
        <v>59</v>
      </c>
      <c r="O438" s="25"/>
      <c r="P438" s="14" t="n">
        <v>0.2758</v>
      </c>
      <c r="Q438" s="14" t="n">
        <f aca="false">IF(AND($J438="Yes",$G438&lt;&gt;"Vendor day rates"),$I438-0.4*$P438,0)</f>
        <v>0</v>
      </c>
      <c r="R438" s="26" t="n">
        <f aca="false">IFERROR(MATCH($K438,MonthList,0),0)</f>
        <v>0</v>
      </c>
      <c r="S438" s="14" t="n">
        <f aca="false">IF(OR($J438&lt;&gt;"Yes",$K438=""),0,$Q438*MAX(0,7-$R438)/12)</f>
        <v>0</v>
      </c>
      <c r="T438" s="14" t="n">
        <f aca="false">IF(OR($J438&lt;&gt;"Yes",$K438=""),0,$Q438*IF($R438&lt;=7,12,19-$R438)/12)</f>
        <v>0</v>
      </c>
      <c r="U438" s="14" t="n">
        <f aca="false">IF(AND($L438="Yes",$G438&lt;&gt;"Vendor day rates"),$I438-0.4*$P438,0)</f>
        <v>0</v>
      </c>
      <c r="V438" s="26" t="n">
        <f aca="false">IFERROR(MATCH($M438,MonthList,0),0)</f>
        <v>0</v>
      </c>
      <c r="W438" s="14" t="n">
        <f aca="false">IF(OR($L438&lt;&gt;"Yes",$M438=""),0,$U438*MAX(0,7-$V438)/12)</f>
        <v>0</v>
      </c>
      <c r="X438" s="14" t="n">
        <f aca="false">IF(OR($L438&lt;&gt;"Yes",$M438=""),0,$U438*IF($V438&lt;=7,12,19-$V438)/12)</f>
        <v>0</v>
      </c>
      <c r="Y438" s="14" t="n">
        <f aca="false">IF(AND($N438="Yes",$G438&lt;&gt;"Vendor day rates"),$I438-0.4*$P438,0)</f>
        <v>0</v>
      </c>
      <c r="Z438" s="26" t="n">
        <f aca="false">IFERROR(MATCH($O438,MonthList,0),0)</f>
        <v>0</v>
      </c>
      <c r="AA438" s="14" t="n">
        <f aca="false">IF(OR($N438&lt;&gt;"Yes",$O438=""),0,$Y438*MAX(0,7-$Z438)/12)</f>
        <v>0</v>
      </c>
      <c r="AB438" s="14" t="n">
        <f aca="false">IF(OR($N438&lt;&gt;"Yes",$O438=""),0,$Y438*IF($Z438&lt;=7,12,19-$Z438)/12)</f>
        <v>0</v>
      </c>
      <c r="AC438" s="26" t="str">
        <f aca="false">IF(OR($J438="Yes",$L438="Yes",$N438="Yes"),"Yes","No")</f>
        <v>No</v>
      </c>
      <c r="AD438" s="14" t="n">
        <f aca="false">MAX($Q438,$U438,$Y438)</f>
        <v>0</v>
      </c>
      <c r="AE438" s="26" t="n">
        <f aca="false">$AD438+ROW()*0.000000001</f>
        <v>4.38E-007</v>
      </c>
      <c r="AF438" s="26" t="str">
        <f aca="false">IF($J438="Yes","A","")&amp;IF($L438="Yes","B","")&amp;IF($N438="Yes","C","")</f>
        <v/>
      </c>
    </row>
    <row r="439" customFormat="false" ht="15" hidden="false" customHeight="false" outlineLevel="0" collapsed="false">
      <c r="B439" s="22" t="s">
        <v>844</v>
      </c>
      <c r="C439" s="23" t="s">
        <v>845</v>
      </c>
      <c r="D439" s="23" t="s">
        <v>212</v>
      </c>
      <c r="E439" s="23" t="s">
        <v>568</v>
      </c>
      <c r="F439" s="22" t="s">
        <v>57</v>
      </c>
      <c r="G439" s="23" t="s">
        <v>58</v>
      </c>
      <c r="H439" s="24" t="n">
        <v>1</v>
      </c>
      <c r="I439" s="14" t="n">
        <v>0.1674</v>
      </c>
      <c r="J439" s="25" t="s">
        <v>59</v>
      </c>
      <c r="K439" s="25"/>
      <c r="L439" s="25" t="s">
        <v>59</v>
      </c>
      <c r="M439" s="25"/>
      <c r="N439" s="25" t="s">
        <v>59</v>
      </c>
      <c r="O439" s="25"/>
      <c r="P439" s="14" t="n">
        <v>0.1674</v>
      </c>
      <c r="Q439" s="14" t="n">
        <f aca="false">IF(AND($J439="Yes",$G439&lt;&gt;"Vendor day rates"),$I439-0.4*$P439,0)</f>
        <v>0</v>
      </c>
      <c r="R439" s="26" t="n">
        <f aca="false">IFERROR(MATCH($K439,MonthList,0),0)</f>
        <v>0</v>
      </c>
      <c r="S439" s="14" t="n">
        <f aca="false">IF(OR($J439&lt;&gt;"Yes",$K439=""),0,$Q439*MAX(0,7-$R439)/12)</f>
        <v>0</v>
      </c>
      <c r="T439" s="14" t="n">
        <f aca="false">IF(OR($J439&lt;&gt;"Yes",$K439=""),0,$Q439*IF($R439&lt;=7,12,19-$R439)/12)</f>
        <v>0</v>
      </c>
      <c r="U439" s="14" t="n">
        <f aca="false">IF(AND($L439="Yes",$G439&lt;&gt;"Vendor day rates"),$I439-0.4*$P439,0)</f>
        <v>0</v>
      </c>
      <c r="V439" s="26" t="n">
        <f aca="false">IFERROR(MATCH($M439,MonthList,0),0)</f>
        <v>0</v>
      </c>
      <c r="W439" s="14" t="n">
        <f aca="false">IF(OR($L439&lt;&gt;"Yes",$M439=""),0,$U439*MAX(0,7-$V439)/12)</f>
        <v>0</v>
      </c>
      <c r="X439" s="14" t="n">
        <f aca="false">IF(OR($L439&lt;&gt;"Yes",$M439=""),0,$U439*IF($V439&lt;=7,12,19-$V439)/12)</f>
        <v>0</v>
      </c>
      <c r="Y439" s="14" t="n">
        <f aca="false">IF(AND($N439="Yes",$G439&lt;&gt;"Vendor day rates"),$I439-0.4*$P439,0)</f>
        <v>0</v>
      </c>
      <c r="Z439" s="26" t="n">
        <f aca="false">IFERROR(MATCH($O439,MonthList,0),0)</f>
        <v>0</v>
      </c>
      <c r="AA439" s="14" t="n">
        <f aca="false">IF(OR($N439&lt;&gt;"Yes",$O439=""),0,$Y439*MAX(0,7-$Z439)/12)</f>
        <v>0</v>
      </c>
      <c r="AB439" s="14" t="n">
        <f aca="false">IF(OR($N439&lt;&gt;"Yes",$O439=""),0,$Y439*IF($Z439&lt;=7,12,19-$Z439)/12)</f>
        <v>0</v>
      </c>
      <c r="AC439" s="26" t="str">
        <f aca="false">IF(OR($J439="Yes",$L439="Yes",$N439="Yes"),"Yes","No")</f>
        <v>No</v>
      </c>
      <c r="AD439" s="14" t="n">
        <f aca="false">MAX($Q439,$U439,$Y439)</f>
        <v>0</v>
      </c>
      <c r="AE439" s="26" t="n">
        <f aca="false">$AD439+ROW()*0.000000001</f>
        <v>4.39E-007</v>
      </c>
      <c r="AF439" s="26" t="str">
        <f aca="false">IF($J439="Yes","A","")&amp;IF($L439="Yes","B","")&amp;IF($N439="Yes","C","")</f>
        <v/>
      </c>
    </row>
    <row r="440" customFormat="false" ht="15" hidden="false" customHeight="false" outlineLevel="0" collapsed="false">
      <c r="B440" s="22" t="s">
        <v>846</v>
      </c>
      <c r="C440" s="23" t="s">
        <v>847</v>
      </c>
      <c r="D440" s="23" t="s">
        <v>212</v>
      </c>
      <c r="E440" s="23" t="s">
        <v>568</v>
      </c>
      <c r="F440" s="22" t="s">
        <v>57</v>
      </c>
      <c r="G440" s="23" t="s">
        <v>58</v>
      </c>
      <c r="H440" s="24" t="n">
        <v>1</v>
      </c>
      <c r="I440" s="14" t="n">
        <v>0.1902</v>
      </c>
      <c r="J440" s="25" t="s">
        <v>59</v>
      </c>
      <c r="K440" s="25"/>
      <c r="L440" s="25" t="s">
        <v>59</v>
      </c>
      <c r="M440" s="25"/>
      <c r="N440" s="25" t="s">
        <v>59</v>
      </c>
      <c r="O440" s="25"/>
      <c r="P440" s="14" t="n">
        <v>0.1902</v>
      </c>
      <c r="Q440" s="14" t="n">
        <f aca="false">IF(AND($J440="Yes",$G440&lt;&gt;"Vendor day rates"),$I440-0.4*$P440,0)</f>
        <v>0</v>
      </c>
      <c r="R440" s="26" t="n">
        <f aca="false">IFERROR(MATCH($K440,MonthList,0),0)</f>
        <v>0</v>
      </c>
      <c r="S440" s="14" t="n">
        <f aca="false">IF(OR($J440&lt;&gt;"Yes",$K440=""),0,$Q440*MAX(0,7-$R440)/12)</f>
        <v>0</v>
      </c>
      <c r="T440" s="14" t="n">
        <f aca="false">IF(OR($J440&lt;&gt;"Yes",$K440=""),0,$Q440*IF($R440&lt;=7,12,19-$R440)/12)</f>
        <v>0</v>
      </c>
      <c r="U440" s="14" t="n">
        <f aca="false">IF(AND($L440="Yes",$G440&lt;&gt;"Vendor day rates"),$I440-0.4*$P440,0)</f>
        <v>0</v>
      </c>
      <c r="V440" s="26" t="n">
        <f aca="false">IFERROR(MATCH($M440,MonthList,0),0)</f>
        <v>0</v>
      </c>
      <c r="W440" s="14" t="n">
        <f aca="false">IF(OR($L440&lt;&gt;"Yes",$M440=""),0,$U440*MAX(0,7-$V440)/12)</f>
        <v>0</v>
      </c>
      <c r="X440" s="14" t="n">
        <f aca="false">IF(OR($L440&lt;&gt;"Yes",$M440=""),0,$U440*IF($V440&lt;=7,12,19-$V440)/12)</f>
        <v>0</v>
      </c>
      <c r="Y440" s="14" t="n">
        <f aca="false">IF(AND($N440="Yes",$G440&lt;&gt;"Vendor day rates"),$I440-0.4*$P440,0)</f>
        <v>0</v>
      </c>
      <c r="Z440" s="26" t="n">
        <f aca="false">IFERROR(MATCH($O440,MonthList,0),0)</f>
        <v>0</v>
      </c>
      <c r="AA440" s="14" t="n">
        <f aca="false">IF(OR($N440&lt;&gt;"Yes",$O440=""),0,$Y440*MAX(0,7-$Z440)/12)</f>
        <v>0</v>
      </c>
      <c r="AB440" s="14" t="n">
        <f aca="false">IF(OR($N440&lt;&gt;"Yes",$O440=""),0,$Y440*IF($Z440&lt;=7,12,19-$Z440)/12)</f>
        <v>0</v>
      </c>
      <c r="AC440" s="26" t="str">
        <f aca="false">IF(OR($J440="Yes",$L440="Yes",$N440="Yes"),"Yes","No")</f>
        <v>No</v>
      </c>
      <c r="AD440" s="14" t="n">
        <f aca="false">MAX($Q440,$U440,$Y440)</f>
        <v>0</v>
      </c>
      <c r="AE440" s="26" t="n">
        <f aca="false">$AD440+ROW()*0.000000001</f>
        <v>4.4E-007</v>
      </c>
      <c r="AF440" s="26" t="str">
        <f aca="false">IF($J440="Yes","A","")&amp;IF($L440="Yes","B","")&amp;IF($N440="Yes","C","")</f>
        <v/>
      </c>
    </row>
    <row r="441" customFormat="false" ht="15" hidden="false" customHeight="false" outlineLevel="0" collapsed="false">
      <c r="B441" s="22" t="s">
        <v>848</v>
      </c>
      <c r="C441" s="23" t="s">
        <v>849</v>
      </c>
      <c r="D441" s="23" t="s">
        <v>212</v>
      </c>
      <c r="E441" s="23" t="s">
        <v>568</v>
      </c>
      <c r="F441" s="22" t="s">
        <v>57</v>
      </c>
      <c r="G441" s="23" t="s">
        <v>58</v>
      </c>
      <c r="H441" s="24" t="n">
        <v>1</v>
      </c>
      <c r="I441" s="14" t="n">
        <v>0.2029</v>
      </c>
      <c r="J441" s="25" t="s">
        <v>59</v>
      </c>
      <c r="K441" s="25"/>
      <c r="L441" s="25" t="s">
        <v>59</v>
      </c>
      <c r="M441" s="25"/>
      <c r="N441" s="25" t="s">
        <v>59</v>
      </c>
      <c r="O441" s="25"/>
      <c r="P441" s="14" t="n">
        <v>0.2029</v>
      </c>
      <c r="Q441" s="14" t="n">
        <f aca="false">IF(AND($J441="Yes",$G441&lt;&gt;"Vendor day rates"),$I441-0.4*$P441,0)</f>
        <v>0</v>
      </c>
      <c r="R441" s="26" t="n">
        <f aca="false">IFERROR(MATCH($K441,MonthList,0),0)</f>
        <v>0</v>
      </c>
      <c r="S441" s="14" t="n">
        <f aca="false">IF(OR($J441&lt;&gt;"Yes",$K441=""),0,$Q441*MAX(0,7-$R441)/12)</f>
        <v>0</v>
      </c>
      <c r="T441" s="14" t="n">
        <f aca="false">IF(OR($J441&lt;&gt;"Yes",$K441=""),0,$Q441*IF($R441&lt;=7,12,19-$R441)/12)</f>
        <v>0</v>
      </c>
      <c r="U441" s="14" t="n">
        <f aca="false">IF(AND($L441="Yes",$G441&lt;&gt;"Vendor day rates"),$I441-0.4*$P441,0)</f>
        <v>0</v>
      </c>
      <c r="V441" s="26" t="n">
        <f aca="false">IFERROR(MATCH($M441,MonthList,0),0)</f>
        <v>0</v>
      </c>
      <c r="W441" s="14" t="n">
        <f aca="false">IF(OR($L441&lt;&gt;"Yes",$M441=""),0,$U441*MAX(0,7-$V441)/12)</f>
        <v>0</v>
      </c>
      <c r="X441" s="14" t="n">
        <f aca="false">IF(OR($L441&lt;&gt;"Yes",$M441=""),0,$U441*IF($V441&lt;=7,12,19-$V441)/12)</f>
        <v>0</v>
      </c>
      <c r="Y441" s="14" t="n">
        <f aca="false">IF(AND($N441="Yes",$G441&lt;&gt;"Vendor day rates"),$I441-0.4*$P441,0)</f>
        <v>0</v>
      </c>
      <c r="Z441" s="26" t="n">
        <f aca="false">IFERROR(MATCH($O441,MonthList,0),0)</f>
        <v>0</v>
      </c>
      <c r="AA441" s="14" t="n">
        <f aca="false">IF(OR($N441&lt;&gt;"Yes",$O441=""),0,$Y441*MAX(0,7-$Z441)/12)</f>
        <v>0</v>
      </c>
      <c r="AB441" s="14" t="n">
        <f aca="false">IF(OR($N441&lt;&gt;"Yes",$O441=""),0,$Y441*IF($Z441&lt;=7,12,19-$Z441)/12)</f>
        <v>0</v>
      </c>
      <c r="AC441" s="26" t="str">
        <f aca="false">IF(OR($J441="Yes",$L441="Yes",$N441="Yes"),"Yes","No")</f>
        <v>No</v>
      </c>
      <c r="AD441" s="14" t="n">
        <f aca="false">MAX($Q441,$U441,$Y441)</f>
        <v>0</v>
      </c>
      <c r="AE441" s="26" t="n">
        <f aca="false">$AD441+ROW()*0.000000001</f>
        <v>4.41E-007</v>
      </c>
      <c r="AF441" s="26" t="str">
        <f aca="false">IF($J441="Yes","A","")&amp;IF($L441="Yes","B","")&amp;IF($N441="Yes","C","")</f>
        <v/>
      </c>
    </row>
    <row r="442" customFormat="false" ht="15" hidden="false" customHeight="false" outlineLevel="0" collapsed="false">
      <c r="B442" s="22" t="s">
        <v>850</v>
      </c>
      <c r="C442" s="23" t="s">
        <v>851</v>
      </c>
      <c r="D442" s="23" t="s">
        <v>212</v>
      </c>
      <c r="E442" s="23" t="s">
        <v>568</v>
      </c>
      <c r="F442" s="22" t="s">
        <v>57</v>
      </c>
      <c r="G442" s="23" t="s">
        <v>58</v>
      </c>
      <c r="H442" s="24" t="n">
        <v>1</v>
      </c>
      <c r="I442" s="14" t="n">
        <v>0.164</v>
      </c>
      <c r="J442" s="25" t="s">
        <v>59</v>
      </c>
      <c r="K442" s="25"/>
      <c r="L442" s="25" t="s">
        <v>59</v>
      </c>
      <c r="M442" s="25"/>
      <c r="N442" s="25" t="s">
        <v>59</v>
      </c>
      <c r="O442" s="25"/>
      <c r="P442" s="14" t="n">
        <v>0.164</v>
      </c>
      <c r="Q442" s="14" t="n">
        <f aca="false">IF(AND($J442="Yes",$G442&lt;&gt;"Vendor day rates"),$I442-0.4*$P442,0)</f>
        <v>0</v>
      </c>
      <c r="R442" s="26" t="n">
        <f aca="false">IFERROR(MATCH($K442,MonthList,0),0)</f>
        <v>0</v>
      </c>
      <c r="S442" s="14" t="n">
        <f aca="false">IF(OR($J442&lt;&gt;"Yes",$K442=""),0,$Q442*MAX(0,7-$R442)/12)</f>
        <v>0</v>
      </c>
      <c r="T442" s="14" t="n">
        <f aca="false">IF(OR($J442&lt;&gt;"Yes",$K442=""),0,$Q442*IF($R442&lt;=7,12,19-$R442)/12)</f>
        <v>0</v>
      </c>
      <c r="U442" s="14" t="n">
        <f aca="false">IF(AND($L442="Yes",$G442&lt;&gt;"Vendor day rates"),$I442-0.4*$P442,0)</f>
        <v>0</v>
      </c>
      <c r="V442" s="26" t="n">
        <f aca="false">IFERROR(MATCH($M442,MonthList,0),0)</f>
        <v>0</v>
      </c>
      <c r="W442" s="14" t="n">
        <f aca="false">IF(OR($L442&lt;&gt;"Yes",$M442=""),0,$U442*MAX(0,7-$V442)/12)</f>
        <v>0</v>
      </c>
      <c r="X442" s="14" t="n">
        <f aca="false">IF(OR($L442&lt;&gt;"Yes",$M442=""),0,$U442*IF($V442&lt;=7,12,19-$V442)/12)</f>
        <v>0</v>
      </c>
      <c r="Y442" s="14" t="n">
        <f aca="false">IF(AND($N442="Yes",$G442&lt;&gt;"Vendor day rates"),$I442-0.4*$P442,0)</f>
        <v>0</v>
      </c>
      <c r="Z442" s="26" t="n">
        <f aca="false">IFERROR(MATCH($O442,MonthList,0),0)</f>
        <v>0</v>
      </c>
      <c r="AA442" s="14" t="n">
        <f aca="false">IF(OR($N442&lt;&gt;"Yes",$O442=""),0,$Y442*MAX(0,7-$Z442)/12)</f>
        <v>0</v>
      </c>
      <c r="AB442" s="14" t="n">
        <f aca="false">IF(OR($N442&lt;&gt;"Yes",$O442=""),0,$Y442*IF($Z442&lt;=7,12,19-$Z442)/12)</f>
        <v>0</v>
      </c>
      <c r="AC442" s="26" t="str">
        <f aca="false">IF(OR($J442="Yes",$L442="Yes",$N442="Yes"),"Yes","No")</f>
        <v>No</v>
      </c>
      <c r="AD442" s="14" t="n">
        <f aca="false">MAX($Q442,$U442,$Y442)</f>
        <v>0</v>
      </c>
      <c r="AE442" s="26" t="n">
        <f aca="false">$AD442+ROW()*0.000000001</f>
        <v>4.42E-007</v>
      </c>
      <c r="AF442" s="26" t="str">
        <f aca="false">IF($J442="Yes","A","")&amp;IF($L442="Yes","B","")&amp;IF($N442="Yes","C","")</f>
        <v/>
      </c>
    </row>
    <row r="443" customFormat="false" ht="15" hidden="false" customHeight="false" outlineLevel="0" collapsed="false">
      <c r="B443" s="22" t="s">
        <v>852</v>
      </c>
      <c r="C443" s="23" t="s">
        <v>853</v>
      </c>
      <c r="D443" s="23" t="s">
        <v>212</v>
      </c>
      <c r="E443" s="23" t="s">
        <v>568</v>
      </c>
      <c r="F443" s="22" t="s">
        <v>57</v>
      </c>
      <c r="G443" s="23" t="s">
        <v>58</v>
      </c>
      <c r="H443" s="24" t="n">
        <v>1</v>
      </c>
      <c r="I443" s="14" t="n">
        <v>0.2142</v>
      </c>
      <c r="J443" s="25" t="s">
        <v>59</v>
      </c>
      <c r="K443" s="25"/>
      <c r="L443" s="25" t="s">
        <v>59</v>
      </c>
      <c r="M443" s="25"/>
      <c r="N443" s="25" t="s">
        <v>59</v>
      </c>
      <c r="O443" s="25"/>
      <c r="P443" s="14" t="n">
        <v>0.2142</v>
      </c>
      <c r="Q443" s="14" t="n">
        <f aca="false">IF(AND($J443="Yes",$G443&lt;&gt;"Vendor day rates"),$I443-0.4*$P443,0)</f>
        <v>0</v>
      </c>
      <c r="R443" s="26" t="n">
        <f aca="false">IFERROR(MATCH($K443,MonthList,0),0)</f>
        <v>0</v>
      </c>
      <c r="S443" s="14" t="n">
        <f aca="false">IF(OR($J443&lt;&gt;"Yes",$K443=""),0,$Q443*MAX(0,7-$R443)/12)</f>
        <v>0</v>
      </c>
      <c r="T443" s="14" t="n">
        <f aca="false">IF(OR($J443&lt;&gt;"Yes",$K443=""),0,$Q443*IF($R443&lt;=7,12,19-$R443)/12)</f>
        <v>0</v>
      </c>
      <c r="U443" s="14" t="n">
        <f aca="false">IF(AND($L443="Yes",$G443&lt;&gt;"Vendor day rates"),$I443-0.4*$P443,0)</f>
        <v>0</v>
      </c>
      <c r="V443" s="26" t="n">
        <f aca="false">IFERROR(MATCH($M443,MonthList,0),0)</f>
        <v>0</v>
      </c>
      <c r="W443" s="14" t="n">
        <f aca="false">IF(OR($L443&lt;&gt;"Yes",$M443=""),0,$U443*MAX(0,7-$V443)/12)</f>
        <v>0</v>
      </c>
      <c r="X443" s="14" t="n">
        <f aca="false">IF(OR($L443&lt;&gt;"Yes",$M443=""),0,$U443*IF($V443&lt;=7,12,19-$V443)/12)</f>
        <v>0</v>
      </c>
      <c r="Y443" s="14" t="n">
        <f aca="false">IF(AND($N443="Yes",$G443&lt;&gt;"Vendor day rates"),$I443-0.4*$P443,0)</f>
        <v>0</v>
      </c>
      <c r="Z443" s="26" t="n">
        <f aca="false">IFERROR(MATCH($O443,MonthList,0),0)</f>
        <v>0</v>
      </c>
      <c r="AA443" s="14" t="n">
        <f aca="false">IF(OR($N443&lt;&gt;"Yes",$O443=""),0,$Y443*MAX(0,7-$Z443)/12)</f>
        <v>0</v>
      </c>
      <c r="AB443" s="14" t="n">
        <f aca="false">IF(OR($N443&lt;&gt;"Yes",$O443=""),0,$Y443*IF($Z443&lt;=7,12,19-$Z443)/12)</f>
        <v>0</v>
      </c>
      <c r="AC443" s="26" t="str">
        <f aca="false">IF(OR($J443="Yes",$L443="Yes",$N443="Yes"),"Yes","No")</f>
        <v>No</v>
      </c>
      <c r="AD443" s="14" t="n">
        <f aca="false">MAX($Q443,$U443,$Y443)</f>
        <v>0</v>
      </c>
      <c r="AE443" s="26" t="n">
        <f aca="false">$AD443+ROW()*0.000000001</f>
        <v>4.43E-007</v>
      </c>
      <c r="AF443" s="26" t="str">
        <f aca="false">IF($J443="Yes","A","")&amp;IF($L443="Yes","B","")&amp;IF($N443="Yes","C","")</f>
        <v/>
      </c>
    </row>
    <row r="444" customFormat="false" ht="15" hidden="false" customHeight="false" outlineLevel="0" collapsed="false">
      <c r="B444" s="22" t="s">
        <v>854</v>
      </c>
      <c r="C444" s="23" t="s">
        <v>855</v>
      </c>
      <c r="D444" s="23" t="s">
        <v>91</v>
      </c>
      <c r="E444" s="23" t="s">
        <v>856</v>
      </c>
      <c r="F444" s="22" t="s">
        <v>57</v>
      </c>
      <c r="G444" s="23" t="s">
        <v>58</v>
      </c>
      <c r="H444" s="24" t="n">
        <v>1</v>
      </c>
      <c r="I444" s="14" t="n">
        <v>0.1629</v>
      </c>
      <c r="J444" s="25" t="s">
        <v>59</v>
      </c>
      <c r="K444" s="25"/>
      <c r="L444" s="25" t="s">
        <v>59</v>
      </c>
      <c r="M444" s="25"/>
      <c r="N444" s="25" t="s">
        <v>59</v>
      </c>
      <c r="O444" s="25"/>
      <c r="P444" s="14" t="n">
        <v>0.1629</v>
      </c>
      <c r="Q444" s="14" t="n">
        <f aca="false">IF(AND($J444="Yes",$G444&lt;&gt;"Vendor day rates"),$I444-0.4*$P444,0)</f>
        <v>0</v>
      </c>
      <c r="R444" s="26" t="n">
        <f aca="false">IFERROR(MATCH($K444,MonthList,0),0)</f>
        <v>0</v>
      </c>
      <c r="S444" s="14" t="n">
        <f aca="false">IF(OR($J444&lt;&gt;"Yes",$K444=""),0,$Q444*MAX(0,7-$R444)/12)</f>
        <v>0</v>
      </c>
      <c r="T444" s="14" t="n">
        <f aca="false">IF(OR($J444&lt;&gt;"Yes",$K444=""),0,$Q444*IF($R444&lt;=7,12,19-$R444)/12)</f>
        <v>0</v>
      </c>
      <c r="U444" s="14" t="n">
        <f aca="false">IF(AND($L444="Yes",$G444&lt;&gt;"Vendor day rates"),$I444-0.4*$P444,0)</f>
        <v>0</v>
      </c>
      <c r="V444" s="26" t="n">
        <f aca="false">IFERROR(MATCH($M444,MonthList,0),0)</f>
        <v>0</v>
      </c>
      <c r="W444" s="14" t="n">
        <f aca="false">IF(OR($L444&lt;&gt;"Yes",$M444=""),0,$U444*MAX(0,7-$V444)/12)</f>
        <v>0</v>
      </c>
      <c r="X444" s="14" t="n">
        <f aca="false">IF(OR($L444&lt;&gt;"Yes",$M444=""),0,$U444*IF($V444&lt;=7,12,19-$V444)/12)</f>
        <v>0</v>
      </c>
      <c r="Y444" s="14" t="n">
        <f aca="false">IF(AND($N444="Yes",$G444&lt;&gt;"Vendor day rates"),$I444-0.4*$P444,0)</f>
        <v>0</v>
      </c>
      <c r="Z444" s="26" t="n">
        <f aca="false">IFERROR(MATCH($O444,MonthList,0),0)</f>
        <v>0</v>
      </c>
      <c r="AA444" s="14" t="n">
        <f aca="false">IF(OR($N444&lt;&gt;"Yes",$O444=""),0,$Y444*MAX(0,7-$Z444)/12)</f>
        <v>0</v>
      </c>
      <c r="AB444" s="14" t="n">
        <f aca="false">IF(OR($N444&lt;&gt;"Yes",$O444=""),0,$Y444*IF($Z444&lt;=7,12,19-$Z444)/12)</f>
        <v>0</v>
      </c>
      <c r="AC444" s="26" t="str">
        <f aca="false">IF(OR($J444="Yes",$L444="Yes",$N444="Yes"),"Yes","No")</f>
        <v>No</v>
      </c>
      <c r="AD444" s="14" t="n">
        <f aca="false">MAX($Q444,$U444,$Y444)</f>
        <v>0</v>
      </c>
      <c r="AE444" s="26" t="n">
        <f aca="false">$AD444+ROW()*0.000000001</f>
        <v>4.44E-007</v>
      </c>
      <c r="AF444" s="26" t="str">
        <f aca="false">IF($J444="Yes","A","")&amp;IF($L444="Yes","B","")&amp;IF($N444="Yes","C","")</f>
        <v/>
      </c>
    </row>
    <row r="445" customFormat="false" ht="15" hidden="false" customHeight="false" outlineLevel="0" collapsed="false">
      <c r="B445" s="22" t="s">
        <v>857</v>
      </c>
      <c r="C445" s="23" t="s">
        <v>855</v>
      </c>
      <c r="D445" s="23" t="s">
        <v>91</v>
      </c>
      <c r="E445" s="23" t="s">
        <v>856</v>
      </c>
      <c r="F445" s="22" t="s">
        <v>57</v>
      </c>
      <c r="G445" s="23" t="s">
        <v>58</v>
      </c>
      <c r="H445" s="24" t="n">
        <v>1</v>
      </c>
      <c r="I445" s="14" t="n">
        <v>0.1537</v>
      </c>
      <c r="J445" s="25" t="s">
        <v>59</v>
      </c>
      <c r="K445" s="25"/>
      <c r="L445" s="25" t="s">
        <v>59</v>
      </c>
      <c r="M445" s="25"/>
      <c r="N445" s="25" t="s">
        <v>59</v>
      </c>
      <c r="O445" s="25"/>
      <c r="P445" s="14" t="n">
        <v>0.1537</v>
      </c>
      <c r="Q445" s="14" t="n">
        <f aca="false">IF(AND($J445="Yes",$G445&lt;&gt;"Vendor day rates"),$I445-0.4*$P445,0)</f>
        <v>0</v>
      </c>
      <c r="R445" s="26" t="n">
        <f aca="false">IFERROR(MATCH($K445,MonthList,0),0)</f>
        <v>0</v>
      </c>
      <c r="S445" s="14" t="n">
        <f aca="false">IF(OR($J445&lt;&gt;"Yes",$K445=""),0,$Q445*MAX(0,7-$R445)/12)</f>
        <v>0</v>
      </c>
      <c r="T445" s="14" t="n">
        <f aca="false">IF(OR($J445&lt;&gt;"Yes",$K445=""),0,$Q445*IF($R445&lt;=7,12,19-$R445)/12)</f>
        <v>0</v>
      </c>
      <c r="U445" s="14" t="n">
        <f aca="false">IF(AND($L445="Yes",$G445&lt;&gt;"Vendor day rates"),$I445-0.4*$P445,0)</f>
        <v>0</v>
      </c>
      <c r="V445" s="26" t="n">
        <f aca="false">IFERROR(MATCH($M445,MonthList,0),0)</f>
        <v>0</v>
      </c>
      <c r="W445" s="14" t="n">
        <f aca="false">IF(OR($L445&lt;&gt;"Yes",$M445=""),0,$U445*MAX(0,7-$V445)/12)</f>
        <v>0</v>
      </c>
      <c r="X445" s="14" t="n">
        <f aca="false">IF(OR($L445&lt;&gt;"Yes",$M445=""),0,$U445*IF($V445&lt;=7,12,19-$V445)/12)</f>
        <v>0</v>
      </c>
      <c r="Y445" s="14" t="n">
        <f aca="false">IF(AND($N445="Yes",$G445&lt;&gt;"Vendor day rates"),$I445-0.4*$P445,0)</f>
        <v>0</v>
      </c>
      <c r="Z445" s="26" t="n">
        <f aca="false">IFERROR(MATCH($O445,MonthList,0),0)</f>
        <v>0</v>
      </c>
      <c r="AA445" s="14" t="n">
        <f aca="false">IF(OR($N445&lt;&gt;"Yes",$O445=""),0,$Y445*MAX(0,7-$Z445)/12)</f>
        <v>0</v>
      </c>
      <c r="AB445" s="14" t="n">
        <f aca="false">IF(OR($N445&lt;&gt;"Yes",$O445=""),0,$Y445*IF($Z445&lt;=7,12,19-$Z445)/12)</f>
        <v>0</v>
      </c>
      <c r="AC445" s="26" t="str">
        <f aca="false">IF(OR($J445="Yes",$L445="Yes",$N445="Yes"),"Yes","No")</f>
        <v>No</v>
      </c>
      <c r="AD445" s="14" t="n">
        <f aca="false">MAX($Q445,$U445,$Y445)</f>
        <v>0</v>
      </c>
      <c r="AE445" s="26" t="n">
        <f aca="false">$AD445+ROW()*0.000000001</f>
        <v>4.45E-007</v>
      </c>
      <c r="AF445" s="26" t="str">
        <f aca="false">IF($J445="Yes","A","")&amp;IF($L445="Yes","B","")&amp;IF($N445="Yes","C","")</f>
        <v/>
      </c>
    </row>
    <row r="446" customFormat="false" ht="15" hidden="false" customHeight="false" outlineLevel="0" collapsed="false">
      <c r="B446" s="22" t="s">
        <v>858</v>
      </c>
      <c r="C446" s="23" t="s">
        <v>855</v>
      </c>
      <c r="D446" s="23" t="s">
        <v>91</v>
      </c>
      <c r="E446" s="23" t="s">
        <v>856</v>
      </c>
      <c r="F446" s="22" t="s">
        <v>57</v>
      </c>
      <c r="G446" s="23" t="s">
        <v>58</v>
      </c>
      <c r="H446" s="24" t="n">
        <v>1</v>
      </c>
      <c r="I446" s="14" t="n">
        <v>0.1467</v>
      </c>
      <c r="J446" s="25" t="s">
        <v>59</v>
      </c>
      <c r="K446" s="25"/>
      <c r="L446" s="25" t="s">
        <v>59</v>
      </c>
      <c r="M446" s="25"/>
      <c r="N446" s="25" t="s">
        <v>59</v>
      </c>
      <c r="O446" s="25"/>
      <c r="P446" s="14" t="n">
        <v>0.1467</v>
      </c>
      <c r="Q446" s="14" t="n">
        <f aca="false">IF(AND($J446="Yes",$G446&lt;&gt;"Vendor day rates"),$I446-0.4*$P446,0)</f>
        <v>0</v>
      </c>
      <c r="R446" s="26" t="n">
        <f aca="false">IFERROR(MATCH($K446,MonthList,0),0)</f>
        <v>0</v>
      </c>
      <c r="S446" s="14" t="n">
        <f aca="false">IF(OR($J446&lt;&gt;"Yes",$K446=""),0,$Q446*MAX(0,7-$R446)/12)</f>
        <v>0</v>
      </c>
      <c r="T446" s="14" t="n">
        <f aca="false">IF(OR($J446&lt;&gt;"Yes",$K446=""),0,$Q446*IF($R446&lt;=7,12,19-$R446)/12)</f>
        <v>0</v>
      </c>
      <c r="U446" s="14" t="n">
        <f aca="false">IF(AND($L446="Yes",$G446&lt;&gt;"Vendor day rates"),$I446-0.4*$P446,0)</f>
        <v>0</v>
      </c>
      <c r="V446" s="26" t="n">
        <f aca="false">IFERROR(MATCH($M446,MonthList,0),0)</f>
        <v>0</v>
      </c>
      <c r="W446" s="14" t="n">
        <f aca="false">IF(OR($L446&lt;&gt;"Yes",$M446=""),0,$U446*MAX(0,7-$V446)/12)</f>
        <v>0</v>
      </c>
      <c r="X446" s="14" t="n">
        <f aca="false">IF(OR($L446&lt;&gt;"Yes",$M446=""),0,$U446*IF($V446&lt;=7,12,19-$V446)/12)</f>
        <v>0</v>
      </c>
      <c r="Y446" s="14" t="n">
        <f aca="false">IF(AND($N446="Yes",$G446&lt;&gt;"Vendor day rates"),$I446-0.4*$P446,0)</f>
        <v>0</v>
      </c>
      <c r="Z446" s="26" t="n">
        <f aca="false">IFERROR(MATCH($O446,MonthList,0),0)</f>
        <v>0</v>
      </c>
      <c r="AA446" s="14" t="n">
        <f aca="false">IF(OR($N446&lt;&gt;"Yes",$O446=""),0,$Y446*MAX(0,7-$Z446)/12)</f>
        <v>0</v>
      </c>
      <c r="AB446" s="14" t="n">
        <f aca="false">IF(OR($N446&lt;&gt;"Yes",$O446=""),0,$Y446*IF($Z446&lt;=7,12,19-$Z446)/12)</f>
        <v>0</v>
      </c>
      <c r="AC446" s="26" t="str">
        <f aca="false">IF(OR($J446="Yes",$L446="Yes",$N446="Yes"),"Yes","No")</f>
        <v>No</v>
      </c>
      <c r="AD446" s="14" t="n">
        <f aca="false">MAX($Q446,$U446,$Y446)</f>
        <v>0</v>
      </c>
      <c r="AE446" s="26" t="n">
        <f aca="false">$AD446+ROW()*0.000000001</f>
        <v>4.46E-007</v>
      </c>
      <c r="AF446" s="26" t="str">
        <f aca="false">IF($J446="Yes","A","")&amp;IF($L446="Yes","B","")&amp;IF($N446="Yes","C","")</f>
        <v/>
      </c>
    </row>
    <row r="447" customFormat="false" ht="15" hidden="false" customHeight="false" outlineLevel="0" collapsed="false">
      <c r="B447" s="22" t="s">
        <v>859</v>
      </c>
      <c r="C447" s="23" t="s">
        <v>860</v>
      </c>
      <c r="D447" s="23" t="s">
        <v>207</v>
      </c>
      <c r="E447" s="23" t="s">
        <v>404</v>
      </c>
      <c r="F447" s="22" t="s">
        <v>112</v>
      </c>
      <c r="G447" s="23" t="s">
        <v>58</v>
      </c>
      <c r="H447" s="24" t="n">
        <v>1</v>
      </c>
      <c r="I447" s="14" t="n">
        <v>0.1535</v>
      </c>
      <c r="J447" s="25" t="s">
        <v>59</v>
      </c>
      <c r="K447" s="25"/>
      <c r="L447" s="25" t="s">
        <v>59</v>
      </c>
      <c r="M447" s="25"/>
      <c r="N447" s="25" t="s">
        <v>59</v>
      </c>
      <c r="O447" s="25"/>
      <c r="P447" s="14" t="n">
        <v>0.1535</v>
      </c>
      <c r="Q447" s="14" t="n">
        <f aca="false">IF(AND($J447="Yes",$G447&lt;&gt;"Vendor day rates"),$I447-0.4*$P447,0)</f>
        <v>0</v>
      </c>
      <c r="R447" s="26" t="n">
        <f aca="false">IFERROR(MATCH($K447,MonthList,0),0)</f>
        <v>0</v>
      </c>
      <c r="S447" s="14" t="n">
        <f aca="false">IF(OR($J447&lt;&gt;"Yes",$K447=""),0,$Q447*MAX(0,7-$R447)/12)</f>
        <v>0</v>
      </c>
      <c r="T447" s="14" t="n">
        <f aca="false">IF(OR($J447&lt;&gt;"Yes",$K447=""),0,$Q447*IF($R447&lt;=7,12,19-$R447)/12)</f>
        <v>0</v>
      </c>
      <c r="U447" s="14" t="n">
        <f aca="false">IF(AND($L447="Yes",$G447&lt;&gt;"Vendor day rates"),$I447-0.4*$P447,0)</f>
        <v>0</v>
      </c>
      <c r="V447" s="26" t="n">
        <f aca="false">IFERROR(MATCH($M447,MonthList,0),0)</f>
        <v>0</v>
      </c>
      <c r="W447" s="14" t="n">
        <f aca="false">IF(OR($L447&lt;&gt;"Yes",$M447=""),0,$U447*MAX(0,7-$V447)/12)</f>
        <v>0</v>
      </c>
      <c r="X447" s="14" t="n">
        <f aca="false">IF(OR($L447&lt;&gt;"Yes",$M447=""),0,$U447*IF($V447&lt;=7,12,19-$V447)/12)</f>
        <v>0</v>
      </c>
      <c r="Y447" s="14" t="n">
        <f aca="false">IF(AND($N447="Yes",$G447&lt;&gt;"Vendor day rates"),$I447-0.4*$P447,0)</f>
        <v>0</v>
      </c>
      <c r="Z447" s="26" t="n">
        <f aca="false">IFERROR(MATCH($O447,MonthList,0),0)</f>
        <v>0</v>
      </c>
      <c r="AA447" s="14" t="n">
        <f aca="false">IF(OR($N447&lt;&gt;"Yes",$O447=""),0,$Y447*MAX(0,7-$Z447)/12)</f>
        <v>0</v>
      </c>
      <c r="AB447" s="14" t="n">
        <f aca="false">IF(OR($N447&lt;&gt;"Yes",$O447=""),0,$Y447*IF($Z447&lt;=7,12,19-$Z447)/12)</f>
        <v>0</v>
      </c>
      <c r="AC447" s="26" t="str">
        <f aca="false">IF(OR($J447="Yes",$L447="Yes",$N447="Yes"),"Yes","No")</f>
        <v>No</v>
      </c>
      <c r="AD447" s="14" t="n">
        <f aca="false">MAX($Q447,$U447,$Y447)</f>
        <v>0</v>
      </c>
      <c r="AE447" s="26" t="n">
        <f aca="false">$AD447+ROW()*0.000000001</f>
        <v>4.47E-007</v>
      </c>
      <c r="AF447" s="26" t="str">
        <f aca="false">IF($J447="Yes","A","")&amp;IF($L447="Yes","B","")&amp;IF($N447="Yes","C","")</f>
        <v/>
      </c>
    </row>
    <row r="448" customFormat="false" ht="15" hidden="false" customHeight="false" outlineLevel="0" collapsed="false">
      <c r="B448" s="22" t="s">
        <v>861</v>
      </c>
      <c r="C448" s="23" t="s">
        <v>862</v>
      </c>
      <c r="D448" s="23" t="s">
        <v>91</v>
      </c>
      <c r="E448" s="23" t="s">
        <v>856</v>
      </c>
      <c r="F448" s="22" t="s">
        <v>57</v>
      </c>
      <c r="G448" s="23" t="s">
        <v>58</v>
      </c>
      <c r="H448" s="24" t="n">
        <v>1</v>
      </c>
      <c r="I448" s="14" t="n">
        <v>0.1713</v>
      </c>
      <c r="J448" s="25" t="s">
        <v>59</v>
      </c>
      <c r="K448" s="25"/>
      <c r="L448" s="25" t="s">
        <v>59</v>
      </c>
      <c r="M448" s="25"/>
      <c r="N448" s="25" t="s">
        <v>59</v>
      </c>
      <c r="O448" s="25"/>
      <c r="P448" s="14" t="n">
        <v>0.1713</v>
      </c>
      <c r="Q448" s="14" t="n">
        <f aca="false">IF(AND($J448="Yes",$G448&lt;&gt;"Vendor day rates"),$I448-0.4*$P448,0)</f>
        <v>0</v>
      </c>
      <c r="R448" s="26" t="n">
        <f aca="false">IFERROR(MATCH($K448,MonthList,0),0)</f>
        <v>0</v>
      </c>
      <c r="S448" s="14" t="n">
        <f aca="false">IF(OR($J448&lt;&gt;"Yes",$K448=""),0,$Q448*MAX(0,7-$R448)/12)</f>
        <v>0</v>
      </c>
      <c r="T448" s="14" t="n">
        <f aca="false">IF(OR($J448&lt;&gt;"Yes",$K448=""),0,$Q448*IF($R448&lt;=7,12,19-$R448)/12)</f>
        <v>0</v>
      </c>
      <c r="U448" s="14" t="n">
        <f aca="false">IF(AND($L448="Yes",$G448&lt;&gt;"Vendor day rates"),$I448-0.4*$P448,0)</f>
        <v>0</v>
      </c>
      <c r="V448" s="26" t="n">
        <f aca="false">IFERROR(MATCH($M448,MonthList,0),0)</f>
        <v>0</v>
      </c>
      <c r="W448" s="14" t="n">
        <f aca="false">IF(OR($L448&lt;&gt;"Yes",$M448=""),0,$U448*MAX(0,7-$V448)/12)</f>
        <v>0</v>
      </c>
      <c r="X448" s="14" t="n">
        <f aca="false">IF(OR($L448&lt;&gt;"Yes",$M448=""),0,$U448*IF($V448&lt;=7,12,19-$V448)/12)</f>
        <v>0</v>
      </c>
      <c r="Y448" s="14" t="n">
        <f aca="false">IF(AND($N448="Yes",$G448&lt;&gt;"Vendor day rates"),$I448-0.4*$P448,0)</f>
        <v>0</v>
      </c>
      <c r="Z448" s="26" t="n">
        <f aca="false">IFERROR(MATCH($O448,MonthList,0),0)</f>
        <v>0</v>
      </c>
      <c r="AA448" s="14" t="n">
        <f aca="false">IF(OR($N448&lt;&gt;"Yes",$O448=""),0,$Y448*MAX(0,7-$Z448)/12)</f>
        <v>0</v>
      </c>
      <c r="AB448" s="14" t="n">
        <f aca="false">IF(OR($N448&lt;&gt;"Yes",$O448=""),0,$Y448*IF($Z448&lt;=7,12,19-$Z448)/12)</f>
        <v>0</v>
      </c>
      <c r="AC448" s="26" t="str">
        <f aca="false">IF(OR($J448="Yes",$L448="Yes",$N448="Yes"),"Yes","No")</f>
        <v>No</v>
      </c>
      <c r="AD448" s="14" t="n">
        <f aca="false">MAX($Q448,$U448,$Y448)</f>
        <v>0</v>
      </c>
      <c r="AE448" s="26" t="n">
        <f aca="false">$AD448+ROW()*0.000000001</f>
        <v>4.48E-007</v>
      </c>
      <c r="AF448" s="26" t="str">
        <f aca="false">IF($J448="Yes","A","")&amp;IF($L448="Yes","B","")&amp;IF($N448="Yes","C","")</f>
        <v/>
      </c>
    </row>
    <row r="449" customFormat="false" ht="15" hidden="false" customHeight="false" outlineLevel="0" collapsed="false">
      <c r="B449" s="22" t="s">
        <v>863</v>
      </c>
      <c r="C449" s="23" t="s">
        <v>364</v>
      </c>
      <c r="D449" s="23" t="s">
        <v>91</v>
      </c>
      <c r="E449" s="23" t="s">
        <v>239</v>
      </c>
      <c r="F449" s="22" t="s">
        <v>57</v>
      </c>
      <c r="G449" s="23" t="s">
        <v>58</v>
      </c>
      <c r="H449" s="24" t="n">
        <v>1</v>
      </c>
      <c r="I449" s="14" t="n">
        <v>0.1447</v>
      </c>
      <c r="J449" s="25" t="s">
        <v>59</v>
      </c>
      <c r="K449" s="25"/>
      <c r="L449" s="25" t="s">
        <v>59</v>
      </c>
      <c r="M449" s="25"/>
      <c r="N449" s="25" t="s">
        <v>59</v>
      </c>
      <c r="O449" s="25"/>
      <c r="P449" s="14" t="n">
        <v>0.1447</v>
      </c>
      <c r="Q449" s="14" t="n">
        <f aca="false">IF(AND($J449="Yes",$G449&lt;&gt;"Vendor day rates"),$I449-0.4*$P449,0)</f>
        <v>0</v>
      </c>
      <c r="R449" s="26" t="n">
        <f aca="false">IFERROR(MATCH($K449,MonthList,0),0)</f>
        <v>0</v>
      </c>
      <c r="S449" s="14" t="n">
        <f aca="false">IF(OR($J449&lt;&gt;"Yes",$K449=""),0,$Q449*MAX(0,7-$R449)/12)</f>
        <v>0</v>
      </c>
      <c r="T449" s="14" t="n">
        <f aca="false">IF(OR($J449&lt;&gt;"Yes",$K449=""),0,$Q449*IF($R449&lt;=7,12,19-$R449)/12)</f>
        <v>0</v>
      </c>
      <c r="U449" s="14" t="n">
        <f aca="false">IF(AND($L449="Yes",$G449&lt;&gt;"Vendor day rates"),$I449-0.4*$P449,0)</f>
        <v>0</v>
      </c>
      <c r="V449" s="26" t="n">
        <f aca="false">IFERROR(MATCH($M449,MonthList,0),0)</f>
        <v>0</v>
      </c>
      <c r="W449" s="14" t="n">
        <f aca="false">IF(OR($L449&lt;&gt;"Yes",$M449=""),0,$U449*MAX(0,7-$V449)/12)</f>
        <v>0</v>
      </c>
      <c r="X449" s="14" t="n">
        <f aca="false">IF(OR($L449&lt;&gt;"Yes",$M449=""),0,$U449*IF($V449&lt;=7,12,19-$V449)/12)</f>
        <v>0</v>
      </c>
      <c r="Y449" s="14" t="n">
        <f aca="false">IF(AND($N449="Yes",$G449&lt;&gt;"Vendor day rates"),$I449-0.4*$P449,0)</f>
        <v>0</v>
      </c>
      <c r="Z449" s="26" t="n">
        <f aca="false">IFERROR(MATCH($O449,MonthList,0),0)</f>
        <v>0</v>
      </c>
      <c r="AA449" s="14" t="n">
        <f aca="false">IF(OR($N449&lt;&gt;"Yes",$O449=""),0,$Y449*MAX(0,7-$Z449)/12)</f>
        <v>0</v>
      </c>
      <c r="AB449" s="14" t="n">
        <f aca="false">IF(OR($N449&lt;&gt;"Yes",$O449=""),0,$Y449*IF($Z449&lt;=7,12,19-$Z449)/12)</f>
        <v>0</v>
      </c>
      <c r="AC449" s="26" t="str">
        <f aca="false">IF(OR($J449="Yes",$L449="Yes",$N449="Yes"),"Yes","No")</f>
        <v>No</v>
      </c>
      <c r="AD449" s="14" t="n">
        <f aca="false">MAX($Q449,$U449,$Y449)</f>
        <v>0</v>
      </c>
      <c r="AE449" s="26" t="n">
        <f aca="false">$AD449+ROW()*0.000000001</f>
        <v>4.49E-007</v>
      </c>
      <c r="AF449" s="26" t="str">
        <f aca="false">IF($J449="Yes","A","")&amp;IF($L449="Yes","B","")&amp;IF($N449="Yes","C","")</f>
        <v/>
      </c>
    </row>
    <row r="450" customFormat="false" ht="15" hidden="false" customHeight="false" outlineLevel="0" collapsed="false">
      <c r="B450" s="22" t="s">
        <v>864</v>
      </c>
      <c r="C450" s="23" t="s">
        <v>120</v>
      </c>
      <c r="D450" s="23" t="s">
        <v>91</v>
      </c>
      <c r="E450" s="23" t="s">
        <v>239</v>
      </c>
      <c r="F450" s="22" t="s">
        <v>57</v>
      </c>
      <c r="G450" s="23" t="s">
        <v>304</v>
      </c>
      <c r="H450" s="24" t="n">
        <v>1</v>
      </c>
      <c r="I450" s="14" t="n">
        <v>0</v>
      </c>
      <c r="J450" s="25" t="s">
        <v>59</v>
      </c>
      <c r="K450" s="25"/>
      <c r="L450" s="25" t="s">
        <v>59</v>
      </c>
      <c r="M450" s="25"/>
      <c r="N450" s="25" t="s">
        <v>59</v>
      </c>
      <c r="O450" s="25"/>
      <c r="P450" s="14" t="n">
        <v>0.1705</v>
      </c>
      <c r="Q450" s="14" t="n">
        <f aca="false">IF(AND($J450="Yes",$G450&lt;&gt;"Vendor day rates"),$I450-0.4*$P450,0)</f>
        <v>0</v>
      </c>
      <c r="R450" s="26" t="n">
        <f aca="false">IFERROR(MATCH($K450,MonthList,0),0)</f>
        <v>0</v>
      </c>
      <c r="S450" s="14" t="n">
        <f aca="false">IF(OR($J450&lt;&gt;"Yes",$K450=""),0,$Q450*MAX(0,7-$R450)/12)</f>
        <v>0</v>
      </c>
      <c r="T450" s="14" t="n">
        <f aca="false">IF(OR($J450&lt;&gt;"Yes",$K450=""),0,$Q450*IF($R450&lt;=7,12,19-$R450)/12)</f>
        <v>0</v>
      </c>
      <c r="U450" s="14" t="n">
        <f aca="false">IF(AND($L450="Yes",$G450&lt;&gt;"Vendor day rates"),$I450-0.4*$P450,0)</f>
        <v>0</v>
      </c>
      <c r="V450" s="26" t="n">
        <f aca="false">IFERROR(MATCH($M450,MonthList,0),0)</f>
        <v>0</v>
      </c>
      <c r="W450" s="14" t="n">
        <f aca="false">IF(OR($L450&lt;&gt;"Yes",$M450=""),0,$U450*MAX(0,7-$V450)/12)</f>
        <v>0</v>
      </c>
      <c r="X450" s="14" t="n">
        <f aca="false">IF(OR($L450&lt;&gt;"Yes",$M450=""),0,$U450*IF($V450&lt;=7,12,19-$V450)/12)</f>
        <v>0</v>
      </c>
      <c r="Y450" s="14" t="n">
        <f aca="false">IF(AND($N450="Yes",$G450&lt;&gt;"Vendor day rates"),$I450-0.4*$P450,0)</f>
        <v>0</v>
      </c>
      <c r="Z450" s="26" t="n">
        <f aca="false">IFERROR(MATCH($O450,MonthList,0),0)</f>
        <v>0</v>
      </c>
      <c r="AA450" s="14" t="n">
        <f aca="false">IF(OR($N450&lt;&gt;"Yes",$O450=""),0,$Y450*MAX(0,7-$Z450)/12)</f>
        <v>0</v>
      </c>
      <c r="AB450" s="14" t="n">
        <f aca="false">IF(OR($N450&lt;&gt;"Yes",$O450=""),0,$Y450*IF($Z450&lt;=7,12,19-$Z450)/12)</f>
        <v>0</v>
      </c>
      <c r="AC450" s="26" t="str">
        <f aca="false">IF(OR($J450="Yes",$L450="Yes",$N450="Yes"),"Yes","No")</f>
        <v>No</v>
      </c>
      <c r="AD450" s="14" t="n">
        <f aca="false">MAX($Q450,$U450,$Y450)</f>
        <v>0</v>
      </c>
      <c r="AE450" s="26" t="n">
        <f aca="false">$AD450+ROW()*0.000000001</f>
        <v>4.5E-007</v>
      </c>
      <c r="AF450" s="26" t="str">
        <f aca="false">IF($J450="Yes","A","")&amp;IF($L450="Yes","B","")&amp;IF($N450="Yes","C","")</f>
        <v/>
      </c>
    </row>
    <row r="451" customFormat="false" ht="15" hidden="false" customHeight="false" outlineLevel="0" collapsed="false">
      <c r="B451" s="22" t="s">
        <v>865</v>
      </c>
      <c r="C451" s="23" t="s">
        <v>654</v>
      </c>
      <c r="D451" s="23" t="s">
        <v>147</v>
      </c>
      <c r="E451" s="23" t="s">
        <v>409</v>
      </c>
      <c r="F451" s="22" t="s">
        <v>57</v>
      </c>
      <c r="G451" s="23" t="s">
        <v>58</v>
      </c>
      <c r="H451" s="24" t="n">
        <v>1</v>
      </c>
      <c r="I451" s="14" t="n">
        <v>0.1907</v>
      </c>
      <c r="J451" s="25" t="s">
        <v>59</v>
      </c>
      <c r="K451" s="25"/>
      <c r="L451" s="25" t="s">
        <v>59</v>
      </c>
      <c r="M451" s="25"/>
      <c r="N451" s="25" t="s">
        <v>59</v>
      </c>
      <c r="O451" s="25"/>
      <c r="P451" s="14" t="n">
        <v>0.1907</v>
      </c>
      <c r="Q451" s="14" t="n">
        <f aca="false">IF(AND($J451="Yes",$G451&lt;&gt;"Vendor day rates"),$I451-0.4*$P451,0)</f>
        <v>0</v>
      </c>
      <c r="R451" s="26" t="n">
        <f aca="false">IFERROR(MATCH($K451,MonthList,0),0)</f>
        <v>0</v>
      </c>
      <c r="S451" s="14" t="n">
        <f aca="false">IF(OR($J451&lt;&gt;"Yes",$K451=""),0,$Q451*MAX(0,7-$R451)/12)</f>
        <v>0</v>
      </c>
      <c r="T451" s="14" t="n">
        <f aca="false">IF(OR($J451&lt;&gt;"Yes",$K451=""),0,$Q451*IF($R451&lt;=7,12,19-$R451)/12)</f>
        <v>0</v>
      </c>
      <c r="U451" s="14" t="n">
        <f aca="false">IF(AND($L451="Yes",$G451&lt;&gt;"Vendor day rates"),$I451-0.4*$P451,0)</f>
        <v>0</v>
      </c>
      <c r="V451" s="26" t="n">
        <f aca="false">IFERROR(MATCH($M451,MonthList,0),0)</f>
        <v>0</v>
      </c>
      <c r="W451" s="14" t="n">
        <f aca="false">IF(OR($L451&lt;&gt;"Yes",$M451=""),0,$U451*MAX(0,7-$V451)/12)</f>
        <v>0</v>
      </c>
      <c r="X451" s="14" t="n">
        <f aca="false">IF(OR($L451&lt;&gt;"Yes",$M451=""),0,$U451*IF($V451&lt;=7,12,19-$V451)/12)</f>
        <v>0</v>
      </c>
      <c r="Y451" s="14" t="n">
        <f aca="false">IF(AND($N451="Yes",$G451&lt;&gt;"Vendor day rates"),$I451-0.4*$P451,0)</f>
        <v>0</v>
      </c>
      <c r="Z451" s="26" t="n">
        <f aca="false">IFERROR(MATCH($O451,MonthList,0),0)</f>
        <v>0</v>
      </c>
      <c r="AA451" s="14" t="n">
        <f aca="false">IF(OR($N451&lt;&gt;"Yes",$O451=""),0,$Y451*MAX(0,7-$Z451)/12)</f>
        <v>0</v>
      </c>
      <c r="AB451" s="14" t="n">
        <f aca="false">IF(OR($N451&lt;&gt;"Yes",$O451=""),0,$Y451*IF($Z451&lt;=7,12,19-$Z451)/12)</f>
        <v>0</v>
      </c>
      <c r="AC451" s="26" t="str">
        <f aca="false">IF(OR($J451="Yes",$L451="Yes",$N451="Yes"),"Yes","No")</f>
        <v>No</v>
      </c>
      <c r="AD451" s="14" t="n">
        <f aca="false">MAX($Q451,$U451,$Y451)</f>
        <v>0</v>
      </c>
      <c r="AE451" s="26" t="n">
        <f aca="false">$AD451+ROW()*0.000000001</f>
        <v>4.51E-007</v>
      </c>
      <c r="AF451" s="26" t="str">
        <f aca="false">IF($J451="Yes","A","")&amp;IF($L451="Yes","B","")&amp;IF($N451="Yes","C","")</f>
        <v/>
      </c>
    </row>
    <row r="452" customFormat="false" ht="15" hidden="false" customHeight="false" outlineLevel="0" collapsed="false">
      <c r="B452" s="22" t="s">
        <v>866</v>
      </c>
      <c r="C452" s="23" t="s">
        <v>654</v>
      </c>
      <c r="D452" s="23" t="s">
        <v>147</v>
      </c>
      <c r="E452" s="23" t="s">
        <v>409</v>
      </c>
      <c r="F452" s="22" t="s">
        <v>57</v>
      </c>
      <c r="G452" s="23" t="s">
        <v>58</v>
      </c>
      <c r="H452" s="24" t="n">
        <v>1</v>
      </c>
      <c r="I452" s="14" t="n">
        <v>0.1731</v>
      </c>
      <c r="J452" s="25" t="s">
        <v>59</v>
      </c>
      <c r="K452" s="25"/>
      <c r="L452" s="25" t="s">
        <v>59</v>
      </c>
      <c r="M452" s="25"/>
      <c r="N452" s="25" t="s">
        <v>59</v>
      </c>
      <c r="O452" s="25"/>
      <c r="P452" s="14" t="n">
        <v>0.1731</v>
      </c>
      <c r="Q452" s="14" t="n">
        <f aca="false">IF(AND($J452="Yes",$G452&lt;&gt;"Vendor day rates"),$I452-0.4*$P452,0)</f>
        <v>0</v>
      </c>
      <c r="R452" s="26" t="n">
        <f aca="false">IFERROR(MATCH($K452,MonthList,0),0)</f>
        <v>0</v>
      </c>
      <c r="S452" s="14" t="n">
        <f aca="false">IF(OR($J452&lt;&gt;"Yes",$K452=""),0,$Q452*MAX(0,7-$R452)/12)</f>
        <v>0</v>
      </c>
      <c r="T452" s="14" t="n">
        <f aca="false">IF(OR($J452&lt;&gt;"Yes",$K452=""),0,$Q452*IF($R452&lt;=7,12,19-$R452)/12)</f>
        <v>0</v>
      </c>
      <c r="U452" s="14" t="n">
        <f aca="false">IF(AND($L452="Yes",$G452&lt;&gt;"Vendor day rates"),$I452-0.4*$P452,0)</f>
        <v>0</v>
      </c>
      <c r="V452" s="26" t="n">
        <f aca="false">IFERROR(MATCH($M452,MonthList,0),0)</f>
        <v>0</v>
      </c>
      <c r="W452" s="14" t="n">
        <f aca="false">IF(OR($L452&lt;&gt;"Yes",$M452=""),0,$U452*MAX(0,7-$V452)/12)</f>
        <v>0</v>
      </c>
      <c r="X452" s="14" t="n">
        <f aca="false">IF(OR($L452&lt;&gt;"Yes",$M452=""),0,$U452*IF($V452&lt;=7,12,19-$V452)/12)</f>
        <v>0</v>
      </c>
      <c r="Y452" s="14" t="n">
        <f aca="false">IF(AND($N452="Yes",$G452&lt;&gt;"Vendor day rates"),$I452-0.4*$P452,0)</f>
        <v>0</v>
      </c>
      <c r="Z452" s="26" t="n">
        <f aca="false">IFERROR(MATCH($O452,MonthList,0),0)</f>
        <v>0</v>
      </c>
      <c r="AA452" s="14" t="n">
        <f aca="false">IF(OR($N452&lt;&gt;"Yes",$O452=""),0,$Y452*MAX(0,7-$Z452)/12)</f>
        <v>0</v>
      </c>
      <c r="AB452" s="14" t="n">
        <f aca="false">IF(OR($N452&lt;&gt;"Yes",$O452=""),0,$Y452*IF($Z452&lt;=7,12,19-$Z452)/12)</f>
        <v>0</v>
      </c>
      <c r="AC452" s="26" t="str">
        <f aca="false">IF(OR($J452="Yes",$L452="Yes",$N452="Yes"),"Yes","No")</f>
        <v>No</v>
      </c>
      <c r="AD452" s="14" t="n">
        <f aca="false">MAX($Q452,$U452,$Y452)</f>
        <v>0</v>
      </c>
      <c r="AE452" s="26" t="n">
        <f aca="false">$AD452+ROW()*0.000000001</f>
        <v>4.52E-007</v>
      </c>
      <c r="AF452" s="26" t="str">
        <f aca="false">IF($J452="Yes","A","")&amp;IF($L452="Yes","B","")&amp;IF($N452="Yes","C","")</f>
        <v/>
      </c>
    </row>
    <row r="453" customFormat="false" ht="15" hidden="false" customHeight="false" outlineLevel="0" collapsed="false">
      <c r="B453" s="22" t="s">
        <v>867</v>
      </c>
      <c r="C453" s="23" t="s">
        <v>868</v>
      </c>
      <c r="D453" s="23" t="s">
        <v>158</v>
      </c>
      <c r="E453" s="23" t="s">
        <v>491</v>
      </c>
      <c r="F453" s="22" t="s">
        <v>112</v>
      </c>
      <c r="G453" s="23" t="s">
        <v>58</v>
      </c>
      <c r="H453" s="24" t="n">
        <v>1</v>
      </c>
      <c r="I453" s="14" t="n">
        <v>0.1338</v>
      </c>
      <c r="J453" s="25" t="s">
        <v>59</v>
      </c>
      <c r="K453" s="25"/>
      <c r="L453" s="25" t="s">
        <v>59</v>
      </c>
      <c r="M453" s="25"/>
      <c r="N453" s="25" t="s">
        <v>59</v>
      </c>
      <c r="O453" s="25"/>
      <c r="P453" s="14" t="n">
        <v>0.1338</v>
      </c>
      <c r="Q453" s="14" t="n">
        <f aca="false">IF(AND($J453="Yes",$G453&lt;&gt;"Vendor day rates"),$I453-0.4*$P453,0)</f>
        <v>0</v>
      </c>
      <c r="R453" s="26" t="n">
        <f aca="false">IFERROR(MATCH($K453,MonthList,0),0)</f>
        <v>0</v>
      </c>
      <c r="S453" s="14" t="n">
        <f aca="false">IF(OR($J453&lt;&gt;"Yes",$K453=""),0,$Q453*MAX(0,7-$R453)/12)</f>
        <v>0</v>
      </c>
      <c r="T453" s="14" t="n">
        <f aca="false">IF(OR($J453&lt;&gt;"Yes",$K453=""),0,$Q453*IF($R453&lt;=7,12,19-$R453)/12)</f>
        <v>0</v>
      </c>
      <c r="U453" s="14" t="n">
        <f aca="false">IF(AND($L453="Yes",$G453&lt;&gt;"Vendor day rates"),$I453-0.4*$P453,0)</f>
        <v>0</v>
      </c>
      <c r="V453" s="26" t="n">
        <f aca="false">IFERROR(MATCH($M453,MonthList,0),0)</f>
        <v>0</v>
      </c>
      <c r="W453" s="14" t="n">
        <f aca="false">IF(OR($L453&lt;&gt;"Yes",$M453=""),0,$U453*MAX(0,7-$V453)/12)</f>
        <v>0</v>
      </c>
      <c r="X453" s="14" t="n">
        <f aca="false">IF(OR($L453&lt;&gt;"Yes",$M453=""),0,$U453*IF($V453&lt;=7,12,19-$V453)/12)</f>
        <v>0</v>
      </c>
      <c r="Y453" s="14" t="n">
        <f aca="false">IF(AND($N453="Yes",$G453&lt;&gt;"Vendor day rates"),$I453-0.4*$P453,0)</f>
        <v>0</v>
      </c>
      <c r="Z453" s="26" t="n">
        <f aca="false">IFERROR(MATCH($O453,MonthList,0),0)</f>
        <v>0</v>
      </c>
      <c r="AA453" s="14" t="n">
        <f aca="false">IF(OR($N453&lt;&gt;"Yes",$O453=""),0,$Y453*MAX(0,7-$Z453)/12)</f>
        <v>0</v>
      </c>
      <c r="AB453" s="14" t="n">
        <f aca="false">IF(OR($N453&lt;&gt;"Yes",$O453=""),0,$Y453*IF($Z453&lt;=7,12,19-$Z453)/12)</f>
        <v>0</v>
      </c>
      <c r="AC453" s="26" t="str">
        <f aca="false">IF(OR($J453="Yes",$L453="Yes",$N453="Yes"),"Yes","No")</f>
        <v>No</v>
      </c>
      <c r="AD453" s="14" t="n">
        <f aca="false">MAX($Q453,$U453,$Y453)</f>
        <v>0</v>
      </c>
      <c r="AE453" s="26" t="n">
        <f aca="false">$AD453+ROW()*0.000000001</f>
        <v>4.53E-007</v>
      </c>
      <c r="AF453" s="26" t="str">
        <f aca="false">IF($J453="Yes","A","")&amp;IF($L453="Yes","B","")&amp;IF($N453="Yes","C","")</f>
        <v/>
      </c>
    </row>
    <row r="454" customFormat="false" ht="15" hidden="false" customHeight="false" outlineLevel="0" collapsed="false">
      <c r="B454" s="22" t="s">
        <v>869</v>
      </c>
      <c r="C454" s="23" t="s">
        <v>666</v>
      </c>
      <c r="D454" s="23" t="s">
        <v>172</v>
      </c>
      <c r="E454" s="23" t="s">
        <v>428</v>
      </c>
      <c r="F454" s="22" t="s">
        <v>57</v>
      </c>
      <c r="G454" s="23" t="s">
        <v>58</v>
      </c>
      <c r="H454" s="24" t="n">
        <v>1</v>
      </c>
      <c r="I454" s="14" t="n">
        <v>0.1815</v>
      </c>
      <c r="J454" s="25" t="s">
        <v>59</v>
      </c>
      <c r="K454" s="25"/>
      <c r="L454" s="25" t="s">
        <v>59</v>
      </c>
      <c r="M454" s="25"/>
      <c r="N454" s="25" t="s">
        <v>59</v>
      </c>
      <c r="O454" s="25"/>
      <c r="P454" s="14" t="n">
        <v>0.1815</v>
      </c>
      <c r="Q454" s="14" t="n">
        <f aca="false">IF(AND($J454="Yes",$G454&lt;&gt;"Vendor day rates"),$I454-0.4*$P454,0)</f>
        <v>0</v>
      </c>
      <c r="R454" s="26" t="n">
        <f aca="false">IFERROR(MATCH($K454,MonthList,0),0)</f>
        <v>0</v>
      </c>
      <c r="S454" s="14" t="n">
        <f aca="false">IF(OR($J454&lt;&gt;"Yes",$K454=""),0,$Q454*MAX(0,7-$R454)/12)</f>
        <v>0</v>
      </c>
      <c r="T454" s="14" t="n">
        <f aca="false">IF(OR($J454&lt;&gt;"Yes",$K454=""),0,$Q454*IF($R454&lt;=7,12,19-$R454)/12)</f>
        <v>0</v>
      </c>
      <c r="U454" s="14" t="n">
        <f aca="false">IF(AND($L454="Yes",$G454&lt;&gt;"Vendor day rates"),$I454-0.4*$P454,0)</f>
        <v>0</v>
      </c>
      <c r="V454" s="26" t="n">
        <f aca="false">IFERROR(MATCH($M454,MonthList,0),0)</f>
        <v>0</v>
      </c>
      <c r="W454" s="14" t="n">
        <f aca="false">IF(OR($L454&lt;&gt;"Yes",$M454=""),0,$U454*MAX(0,7-$V454)/12)</f>
        <v>0</v>
      </c>
      <c r="X454" s="14" t="n">
        <f aca="false">IF(OR($L454&lt;&gt;"Yes",$M454=""),0,$U454*IF($V454&lt;=7,12,19-$V454)/12)</f>
        <v>0</v>
      </c>
      <c r="Y454" s="14" t="n">
        <f aca="false">IF(AND($N454="Yes",$G454&lt;&gt;"Vendor day rates"),$I454-0.4*$P454,0)</f>
        <v>0</v>
      </c>
      <c r="Z454" s="26" t="n">
        <f aca="false">IFERROR(MATCH($O454,MonthList,0),0)</f>
        <v>0</v>
      </c>
      <c r="AA454" s="14" t="n">
        <f aca="false">IF(OR($N454&lt;&gt;"Yes",$O454=""),0,$Y454*MAX(0,7-$Z454)/12)</f>
        <v>0</v>
      </c>
      <c r="AB454" s="14" t="n">
        <f aca="false">IF(OR($N454&lt;&gt;"Yes",$O454=""),0,$Y454*IF($Z454&lt;=7,12,19-$Z454)/12)</f>
        <v>0</v>
      </c>
      <c r="AC454" s="26" t="str">
        <f aca="false">IF(OR($J454="Yes",$L454="Yes",$N454="Yes"),"Yes","No")</f>
        <v>No</v>
      </c>
      <c r="AD454" s="14" t="n">
        <f aca="false">MAX($Q454,$U454,$Y454)</f>
        <v>0</v>
      </c>
      <c r="AE454" s="26" t="n">
        <f aca="false">$AD454+ROW()*0.000000001</f>
        <v>4.54E-007</v>
      </c>
      <c r="AF454" s="26" t="str">
        <f aca="false">IF($J454="Yes","A","")&amp;IF($L454="Yes","B","")&amp;IF($N454="Yes","C","")</f>
        <v/>
      </c>
    </row>
    <row r="455" customFormat="false" ht="15" hidden="false" customHeight="false" outlineLevel="0" collapsed="false">
      <c r="B455" s="22" t="s">
        <v>870</v>
      </c>
      <c r="C455" s="23" t="s">
        <v>611</v>
      </c>
      <c r="D455" s="23" t="s">
        <v>91</v>
      </c>
      <c r="E455" s="23" t="s">
        <v>432</v>
      </c>
      <c r="F455" s="22" t="s">
        <v>57</v>
      </c>
      <c r="G455" s="23" t="s">
        <v>58</v>
      </c>
      <c r="H455" s="24" t="n">
        <v>1</v>
      </c>
      <c r="I455" s="14" t="n">
        <v>0.1671</v>
      </c>
      <c r="J455" s="25" t="s">
        <v>59</v>
      </c>
      <c r="K455" s="25"/>
      <c r="L455" s="25" t="s">
        <v>59</v>
      </c>
      <c r="M455" s="25"/>
      <c r="N455" s="25" t="s">
        <v>59</v>
      </c>
      <c r="O455" s="25"/>
      <c r="P455" s="14" t="n">
        <v>0.1671</v>
      </c>
      <c r="Q455" s="14" t="n">
        <f aca="false">IF(AND($J455="Yes",$G455&lt;&gt;"Vendor day rates"),$I455-0.4*$P455,0)</f>
        <v>0</v>
      </c>
      <c r="R455" s="26" t="n">
        <f aca="false">IFERROR(MATCH($K455,MonthList,0),0)</f>
        <v>0</v>
      </c>
      <c r="S455" s="14" t="n">
        <f aca="false">IF(OR($J455&lt;&gt;"Yes",$K455=""),0,$Q455*MAX(0,7-$R455)/12)</f>
        <v>0</v>
      </c>
      <c r="T455" s="14" t="n">
        <f aca="false">IF(OR($J455&lt;&gt;"Yes",$K455=""),0,$Q455*IF($R455&lt;=7,12,19-$R455)/12)</f>
        <v>0</v>
      </c>
      <c r="U455" s="14" t="n">
        <f aca="false">IF(AND($L455="Yes",$G455&lt;&gt;"Vendor day rates"),$I455-0.4*$P455,0)</f>
        <v>0</v>
      </c>
      <c r="V455" s="26" t="n">
        <f aca="false">IFERROR(MATCH($M455,MonthList,0),0)</f>
        <v>0</v>
      </c>
      <c r="W455" s="14" t="n">
        <f aca="false">IF(OR($L455&lt;&gt;"Yes",$M455=""),0,$U455*MAX(0,7-$V455)/12)</f>
        <v>0</v>
      </c>
      <c r="X455" s="14" t="n">
        <f aca="false">IF(OR($L455&lt;&gt;"Yes",$M455=""),0,$U455*IF($V455&lt;=7,12,19-$V455)/12)</f>
        <v>0</v>
      </c>
      <c r="Y455" s="14" t="n">
        <f aca="false">IF(AND($N455="Yes",$G455&lt;&gt;"Vendor day rates"),$I455-0.4*$P455,0)</f>
        <v>0</v>
      </c>
      <c r="Z455" s="26" t="n">
        <f aca="false">IFERROR(MATCH($O455,MonthList,0),0)</f>
        <v>0</v>
      </c>
      <c r="AA455" s="14" t="n">
        <f aca="false">IF(OR($N455&lt;&gt;"Yes",$O455=""),0,$Y455*MAX(0,7-$Z455)/12)</f>
        <v>0</v>
      </c>
      <c r="AB455" s="14" t="n">
        <f aca="false">IF(OR($N455&lt;&gt;"Yes",$O455=""),0,$Y455*IF($Z455&lt;=7,12,19-$Z455)/12)</f>
        <v>0</v>
      </c>
      <c r="AC455" s="26" t="str">
        <f aca="false">IF(OR($J455="Yes",$L455="Yes",$N455="Yes"),"Yes","No")</f>
        <v>No</v>
      </c>
      <c r="AD455" s="14" t="n">
        <f aca="false">MAX($Q455,$U455,$Y455)</f>
        <v>0</v>
      </c>
      <c r="AE455" s="26" t="n">
        <f aca="false">$AD455+ROW()*0.000000001</f>
        <v>4.55E-007</v>
      </c>
      <c r="AF455" s="26" t="str">
        <f aca="false">IF($J455="Yes","A","")&amp;IF($L455="Yes","B","")&amp;IF($N455="Yes","C","")</f>
        <v/>
      </c>
    </row>
    <row r="456" customFormat="false" ht="15" hidden="false" customHeight="false" outlineLevel="0" collapsed="false">
      <c r="B456" s="22" t="s">
        <v>871</v>
      </c>
      <c r="C456" s="23" t="s">
        <v>120</v>
      </c>
      <c r="D456" s="23" t="s">
        <v>91</v>
      </c>
      <c r="E456" s="23" t="s">
        <v>432</v>
      </c>
      <c r="F456" s="22" t="s">
        <v>57</v>
      </c>
      <c r="G456" s="23" t="s">
        <v>304</v>
      </c>
      <c r="H456" s="24" t="n">
        <v>1</v>
      </c>
      <c r="I456" s="14" t="n">
        <v>0</v>
      </c>
      <c r="J456" s="25" t="s">
        <v>59</v>
      </c>
      <c r="K456" s="25"/>
      <c r="L456" s="25" t="s">
        <v>59</v>
      </c>
      <c r="M456" s="25"/>
      <c r="N456" s="25" t="s">
        <v>59</v>
      </c>
      <c r="O456" s="25"/>
      <c r="P456" s="14" t="n">
        <v>0.1705</v>
      </c>
      <c r="Q456" s="14" t="n">
        <f aca="false">IF(AND($J456="Yes",$G456&lt;&gt;"Vendor day rates"),$I456-0.4*$P456,0)</f>
        <v>0</v>
      </c>
      <c r="R456" s="26" t="n">
        <f aca="false">IFERROR(MATCH($K456,MonthList,0),0)</f>
        <v>0</v>
      </c>
      <c r="S456" s="14" t="n">
        <f aca="false">IF(OR($J456&lt;&gt;"Yes",$K456=""),0,$Q456*MAX(0,7-$R456)/12)</f>
        <v>0</v>
      </c>
      <c r="T456" s="14" t="n">
        <f aca="false">IF(OR($J456&lt;&gt;"Yes",$K456=""),0,$Q456*IF($R456&lt;=7,12,19-$R456)/12)</f>
        <v>0</v>
      </c>
      <c r="U456" s="14" t="n">
        <f aca="false">IF(AND($L456="Yes",$G456&lt;&gt;"Vendor day rates"),$I456-0.4*$P456,0)</f>
        <v>0</v>
      </c>
      <c r="V456" s="26" t="n">
        <f aca="false">IFERROR(MATCH($M456,MonthList,0),0)</f>
        <v>0</v>
      </c>
      <c r="W456" s="14" t="n">
        <f aca="false">IF(OR($L456&lt;&gt;"Yes",$M456=""),0,$U456*MAX(0,7-$V456)/12)</f>
        <v>0</v>
      </c>
      <c r="X456" s="14" t="n">
        <f aca="false">IF(OR($L456&lt;&gt;"Yes",$M456=""),0,$U456*IF($V456&lt;=7,12,19-$V456)/12)</f>
        <v>0</v>
      </c>
      <c r="Y456" s="14" t="n">
        <f aca="false">IF(AND($N456="Yes",$G456&lt;&gt;"Vendor day rates"),$I456-0.4*$P456,0)</f>
        <v>0</v>
      </c>
      <c r="Z456" s="26" t="n">
        <f aca="false">IFERROR(MATCH($O456,MonthList,0),0)</f>
        <v>0</v>
      </c>
      <c r="AA456" s="14" t="n">
        <f aca="false">IF(OR($N456&lt;&gt;"Yes",$O456=""),0,$Y456*MAX(0,7-$Z456)/12)</f>
        <v>0</v>
      </c>
      <c r="AB456" s="14" t="n">
        <f aca="false">IF(OR($N456&lt;&gt;"Yes",$O456=""),0,$Y456*IF($Z456&lt;=7,12,19-$Z456)/12)</f>
        <v>0</v>
      </c>
      <c r="AC456" s="26" t="str">
        <f aca="false">IF(OR($J456="Yes",$L456="Yes",$N456="Yes"),"Yes","No")</f>
        <v>No</v>
      </c>
      <c r="AD456" s="14" t="n">
        <f aca="false">MAX($Q456,$U456,$Y456)</f>
        <v>0</v>
      </c>
      <c r="AE456" s="26" t="n">
        <f aca="false">$AD456+ROW()*0.000000001</f>
        <v>4.56E-007</v>
      </c>
      <c r="AF456" s="26" t="str">
        <f aca="false">IF($J456="Yes","A","")&amp;IF($L456="Yes","B","")&amp;IF($N456="Yes","C","")</f>
        <v/>
      </c>
    </row>
    <row r="457" customFormat="false" ht="15" hidden="false" customHeight="false" outlineLevel="0" collapsed="false">
      <c r="B457" s="22" t="s">
        <v>872</v>
      </c>
      <c r="C457" s="23" t="s">
        <v>873</v>
      </c>
      <c r="D457" s="23" t="s">
        <v>147</v>
      </c>
      <c r="E457" s="23" t="s">
        <v>167</v>
      </c>
      <c r="F457" s="22" t="s">
        <v>57</v>
      </c>
      <c r="G457" s="23" t="s">
        <v>121</v>
      </c>
      <c r="H457" s="24" t="n">
        <v>1</v>
      </c>
      <c r="I457" s="14" t="n">
        <v>0.0692</v>
      </c>
      <c r="J457" s="25" t="s">
        <v>59</v>
      </c>
      <c r="K457" s="25"/>
      <c r="L457" s="25" t="s">
        <v>59</v>
      </c>
      <c r="M457" s="25"/>
      <c r="N457" s="25" t="s">
        <v>59</v>
      </c>
      <c r="O457" s="25"/>
      <c r="P457" s="14" t="n">
        <v>0.1731</v>
      </c>
      <c r="Q457" s="14" t="n">
        <f aca="false">IF(AND($J457="Yes",$G457&lt;&gt;"Vendor day rates"),$I457-0.4*$P457,0)</f>
        <v>0</v>
      </c>
      <c r="R457" s="26" t="n">
        <f aca="false">IFERROR(MATCH($K457,MonthList,0),0)</f>
        <v>0</v>
      </c>
      <c r="S457" s="14" t="n">
        <f aca="false">IF(OR($J457&lt;&gt;"Yes",$K457=""),0,$Q457*MAX(0,7-$R457)/12)</f>
        <v>0</v>
      </c>
      <c r="T457" s="14" t="n">
        <f aca="false">IF(OR($J457&lt;&gt;"Yes",$K457=""),0,$Q457*IF($R457&lt;=7,12,19-$R457)/12)</f>
        <v>0</v>
      </c>
      <c r="U457" s="14" t="n">
        <f aca="false">IF(AND($L457="Yes",$G457&lt;&gt;"Vendor day rates"),$I457-0.4*$P457,0)</f>
        <v>0</v>
      </c>
      <c r="V457" s="26" t="n">
        <f aca="false">IFERROR(MATCH($M457,MonthList,0),0)</f>
        <v>0</v>
      </c>
      <c r="W457" s="14" t="n">
        <f aca="false">IF(OR($L457&lt;&gt;"Yes",$M457=""),0,$U457*MAX(0,7-$V457)/12)</f>
        <v>0</v>
      </c>
      <c r="X457" s="14" t="n">
        <f aca="false">IF(OR($L457&lt;&gt;"Yes",$M457=""),0,$U457*IF($V457&lt;=7,12,19-$V457)/12)</f>
        <v>0</v>
      </c>
      <c r="Y457" s="14" t="n">
        <f aca="false">IF(AND($N457="Yes",$G457&lt;&gt;"Vendor day rates"),$I457-0.4*$P457,0)</f>
        <v>0</v>
      </c>
      <c r="Z457" s="26" t="n">
        <f aca="false">IFERROR(MATCH($O457,MonthList,0),0)</f>
        <v>0</v>
      </c>
      <c r="AA457" s="14" t="n">
        <f aca="false">IF(OR($N457&lt;&gt;"Yes",$O457=""),0,$Y457*MAX(0,7-$Z457)/12)</f>
        <v>0</v>
      </c>
      <c r="AB457" s="14" t="n">
        <f aca="false">IF(OR($N457&lt;&gt;"Yes",$O457=""),0,$Y457*IF($Z457&lt;=7,12,19-$Z457)/12)</f>
        <v>0</v>
      </c>
      <c r="AC457" s="26" t="str">
        <f aca="false">IF(OR($J457="Yes",$L457="Yes",$N457="Yes"),"Yes","No")</f>
        <v>No</v>
      </c>
      <c r="AD457" s="14" t="n">
        <f aca="false">MAX($Q457,$U457,$Y457)</f>
        <v>0</v>
      </c>
      <c r="AE457" s="26" t="n">
        <f aca="false">$AD457+ROW()*0.000000001</f>
        <v>4.57E-007</v>
      </c>
      <c r="AF457" s="26" t="str">
        <f aca="false">IF($J457="Yes","A","")&amp;IF($L457="Yes","B","")&amp;IF($N457="Yes","C","")</f>
        <v/>
      </c>
    </row>
    <row r="458" customFormat="false" ht="15" hidden="false" customHeight="false" outlineLevel="0" collapsed="false">
      <c r="B458" s="22" t="s">
        <v>874</v>
      </c>
      <c r="C458" s="23" t="s">
        <v>875</v>
      </c>
      <c r="D458" s="23" t="s">
        <v>215</v>
      </c>
      <c r="E458" s="23" t="s">
        <v>530</v>
      </c>
      <c r="F458" s="22" t="s">
        <v>112</v>
      </c>
      <c r="G458" s="23" t="s">
        <v>58</v>
      </c>
      <c r="H458" s="24" t="n">
        <v>1</v>
      </c>
      <c r="I458" s="14" t="n">
        <v>0.1408</v>
      </c>
      <c r="J458" s="25" t="s">
        <v>59</v>
      </c>
      <c r="K458" s="25"/>
      <c r="L458" s="25" t="s">
        <v>59</v>
      </c>
      <c r="M458" s="25"/>
      <c r="N458" s="25" t="s">
        <v>59</v>
      </c>
      <c r="O458" s="25"/>
      <c r="P458" s="14" t="n">
        <v>0.1408</v>
      </c>
      <c r="Q458" s="14" t="n">
        <f aca="false">IF(AND($J458="Yes",$G458&lt;&gt;"Vendor day rates"),$I458-0.4*$P458,0)</f>
        <v>0</v>
      </c>
      <c r="R458" s="26" t="n">
        <f aca="false">IFERROR(MATCH($K458,MonthList,0),0)</f>
        <v>0</v>
      </c>
      <c r="S458" s="14" t="n">
        <f aca="false">IF(OR($J458&lt;&gt;"Yes",$K458=""),0,$Q458*MAX(0,7-$R458)/12)</f>
        <v>0</v>
      </c>
      <c r="T458" s="14" t="n">
        <f aca="false">IF(OR($J458&lt;&gt;"Yes",$K458=""),0,$Q458*IF($R458&lt;=7,12,19-$R458)/12)</f>
        <v>0</v>
      </c>
      <c r="U458" s="14" t="n">
        <f aca="false">IF(AND($L458="Yes",$G458&lt;&gt;"Vendor day rates"),$I458-0.4*$P458,0)</f>
        <v>0</v>
      </c>
      <c r="V458" s="26" t="n">
        <f aca="false">IFERROR(MATCH($M458,MonthList,0),0)</f>
        <v>0</v>
      </c>
      <c r="W458" s="14" t="n">
        <f aca="false">IF(OR($L458&lt;&gt;"Yes",$M458=""),0,$U458*MAX(0,7-$V458)/12)</f>
        <v>0</v>
      </c>
      <c r="X458" s="14" t="n">
        <f aca="false">IF(OR($L458&lt;&gt;"Yes",$M458=""),0,$U458*IF($V458&lt;=7,12,19-$V458)/12)</f>
        <v>0</v>
      </c>
      <c r="Y458" s="14" t="n">
        <f aca="false">IF(AND($N458="Yes",$G458&lt;&gt;"Vendor day rates"),$I458-0.4*$P458,0)</f>
        <v>0</v>
      </c>
      <c r="Z458" s="26" t="n">
        <f aca="false">IFERROR(MATCH($O458,MonthList,0),0)</f>
        <v>0</v>
      </c>
      <c r="AA458" s="14" t="n">
        <f aca="false">IF(OR($N458&lt;&gt;"Yes",$O458=""),0,$Y458*MAX(0,7-$Z458)/12)</f>
        <v>0</v>
      </c>
      <c r="AB458" s="14" t="n">
        <f aca="false">IF(OR($N458&lt;&gt;"Yes",$O458=""),0,$Y458*IF($Z458&lt;=7,12,19-$Z458)/12)</f>
        <v>0</v>
      </c>
      <c r="AC458" s="26" t="str">
        <f aca="false">IF(OR($J458="Yes",$L458="Yes",$N458="Yes"),"Yes","No")</f>
        <v>No</v>
      </c>
      <c r="AD458" s="14" t="n">
        <f aca="false">MAX($Q458,$U458,$Y458)</f>
        <v>0</v>
      </c>
      <c r="AE458" s="26" t="n">
        <f aca="false">$AD458+ROW()*0.000000001</f>
        <v>4.58E-007</v>
      </c>
      <c r="AF458" s="26" t="str">
        <f aca="false">IF($J458="Yes","A","")&amp;IF($L458="Yes","B","")&amp;IF($N458="Yes","C","")</f>
        <v/>
      </c>
    </row>
    <row r="459" customFormat="false" ht="15" hidden="false" customHeight="false" outlineLevel="0" collapsed="false">
      <c r="B459" s="22" t="s">
        <v>876</v>
      </c>
      <c r="C459" s="23" t="s">
        <v>675</v>
      </c>
      <c r="D459" s="23" t="s">
        <v>215</v>
      </c>
      <c r="E459" s="23" t="s">
        <v>530</v>
      </c>
      <c r="F459" s="22" t="s">
        <v>112</v>
      </c>
      <c r="G459" s="23" t="s">
        <v>58</v>
      </c>
      <c r="H459" s="24" t="n">
        <v>1</v>
      </c>
      <c r="I459" s="14" t="n">
        <v>0.1557</v>
      </c>
      <c r="J459" s="25" t="s">
        <v>59</v>
      </c>
      <c r="K459" s="25"/>
      <c r="L459" s="25" t="s">
        <v>59</v>
      </c>
      <c r="M459" s="25"/>
      <c r="N459" s="25" t="s">
        <v>59</v>
      </c>
      <c r="O459" s="25"/>
      <c r="P459" s="14" t="n">
        <v>0.1557</v>
      </c>
      <c r="Q459" s="14" t="n">
        <f aca="false">IF(AND($J459="Yes",$G459&lt;&gt;"Vendor day rates"),$I459-0.4*$P459,0)</f>
        <v>0</v>
      </c>
      <c r="R459" s="26" t="n">
        <f aca="false">IFERROR(MATCH($K459,MonthList,0),0)</f>
        <v>0</v>
      </c>
      <c r="S459" s="14" t="n">
        <f aca="false">IF(OR($J459&lt;&gt;"Yes",$K459=""),0,$Q459*MAX(0,7-$R459)/12)</f>
        <v>0</v>
      </c>
      <c r="T459" s="14" t="n">
        <f aca="false">IF(OR($J459&lt;&gt;"Yes",$K459=""),0,$Q459*IF($R459&lt;=7,12,19-$R459)/12)</f>
        <v>0</v>
      </c>
      <c r="U459" s="14" t="n">
        <f aca="false">IF(AND($L459="Yes",$G459&lt;&gt;"Vendor day rates"),$I459-0.4*$P459,0)</f>
        <v>0</v>
      </c>
      <c r="V459" s="26" t="n">
        <f aca="false">IFERROR(MATCH($M459,MonthList,0),0)</f>
        <v>0</v>
      </c>
      <c r="W459" s="14" t="n">
        <f aca="false">IF(OR($L459&lt;&gt;"Yes",$M459=""),0,$U459*MAX(0,7-$V459)/12)</f>
        <v>0</v>
      </c>
      <c r="X459" s="14" t="n">
        <f aca="false">IF(OR($L459&lt;&gt;"Yes",$M459=""),0,$U459*IF($V459&lt;=7,12,19-$V459)/12)</f>
        <v>0</v>
      </c>
      <c r="Y459" s="14" t="n">
        <f aca="false">IF(AND($N459="Yes",$G459&lt;&gt;"Vendor day rates"),$I459-0.4*$P459,0)</f>
        <v>0</v>
      </c>
      <c r="Z459" s="26" t="n">
        <f aca="false">IFERROR(MATCH($O459,MonthList,0),0)</f>
        <v>0</v>
      </c>
      <c r="AA459" s="14" t="n">
        <f aca="false">IF(OR($N459&lt;&gt;"Yes",$O459=""),0,$Y459*MAX(0,7-$Z459)/12)</f>
        <v>0</v>
      </c>
      <c r="AB459" s="14" t="n">
        <f aca="false">IF(OR($N459&lt;&gt;"Yes",$O459=""),0,$Y459*IF($Z459&lt;=7,12,19-$Z459)/12)</f>
        <v>0</v>
      </c>
      <c r="AC459" s="26" t="str">
        <f aca="false">IF(OR($J459="Yes",$L459="Yes",$N459="Yes"),"Yes","No")</f>
        <v>No</v>
      </c>
      <c r="AD459" s="14" t="n">
        <f aca="false">MAX($Q459,$U459,$Y459)</f>
        <v>0</v>
      </c>
      <c r="AE459" s="26" t="n">
        <f aca="false">$AD459+ROW()*0.000000001</f>
        <v>4.59E-007</v>
      </c>
      <c r="AF459" s="26" t="str">
        <f aca="false">IF($J459="Yes","A","")&amp;IF($L459="Yes","B","")&amp;IF($N459="Yes","C","")</f>
        <v/>
      </c>
    </row>
    <row r="460" customFormat="false" ht="15" hidden="false" customHeight="false" outlineLevel="0" collapsed="false">
      <c r="B460" s="22" t="s">
        <v>877</v>
      </c>
      <c r="C460" s="23" t="s">
        <v>602</v>
      </c>
      <c r="D460" s="23" t="s">
        <v>215</v>
      </c>
      <c r="E460" s="23" t="s">
        <v>530</v>
      </c>
      <c r="F460" s="22" t="s">
        <v>112</v>
      </c>
      <c r="G460" s="23" t="s">
        <v>58</v>
      </c>
      <c r="H460" s="24" t="n">
        <v>1</v>
      </c>
      <c r="I460" s="14" t="n">
        <v>0.1446</v>
      </c>
      <c r="J460" s="25" t="s">
        <v>59</v>
      </c>
      <c r="K460" s="25"/>
      <c r="L460" s="25" t="s">
        <v>59</v>
      </c>
      <c r="M460" s="25"/>
      <c r="N460" s="25" t="s">
        <v>59</v>
      </c>
      <c r="O460" s="25"/>
      <c r="P460" s="14" t="n">
        <v>0.1446</v>
      </c>
      <c r="Q460" s="14" t="n">
        <f aca="false">IF(AND($J460="Yes",$G460&lt;&gt;"Vendor day rates"),$I460-0.4*$P460,0)</f>
        <v>0</v>
      </c>
      <c r="R460" s="26" t="n">
        <f aca="false">IFERROR(MATCH($K460,MonthList,0),0)</f>
        <v>0</v>
      </c>
      <c r="S460" s="14" t="n">
        <f aca="false">IF(OR($J460&lt;&gt;"Yes",$K460=""),0,$Q460*MAX(0,7-$R460)/12)</f>
        <v>0</v>
      </c>
      <c r="T460" s="14" t="n">
        <f aca="false">IF(OR($J460&lt;&gt;"Yes",$K460=""),0,$Q460*IF($R460&lt;=7,12,19-$R460)/12)</f>
        <v>0</v>
      </c>
      <c r="U460" s="14" t="n">
        <f aca="false">IF(AND($L460="Yes",$G460&lt;&gt;"Vendor day rates"),$I460-0.4*$P460,0)</f>
        <v>0</v>
      </c>
      <c r="V460" s="26" t="n">
        <f aca="false">IFERROR(MATCH($M460,MonthList,0),0)</f>
        <v>0</v>
      </c>
      <c r="W460" s="14" t="n">
        <f aca="false">IF(OR($L460&lt;&gt;"Yes",$M460=""),0,$U460*MAX(0,7-$V460)/12)</f>
        <v>0</v>
      </c>
      <c r="X460" s="14" t="n">
        <f aca="false">IF(OR($L460&lt;&gt;"Yes",$M460=""),0,$U460*IF($V460&lt;=7,12,19-$V460)/12)</f>
        <v>0</v>
      </c>
      <c r="Y460" s="14" t="n">
        <f aca="false">IF(AND($N460="Yes",$G460&lt;&gt;"Vendor day rates"),$I460-0.4*$P460,0)</f>
        <v>0</v>
      </c>
      <c r="Z460" s="26" t="n">
        <f aca="false">IFERROR(MATCH($O460,MonthList,0),0)</f>
        <v>0</v>
      </c>
      <c r="AA460" s="14" t="n">
        <f aca="false">IF(OR($N460&lt;&gt;"Yes",$O460=""),0,$Y460*MAX(0,7-$Z460)/12)</f>
        <v>0</v>
      </c>
      <c r="AB460" s="14" t="n">
        <f aca="false">IF(OR($N460&lt;&gt;"Yes",$O460=""),0,$Y460*IF($Z460&lt;=7,12,19-$Z460)/12)</f>
        <v>0</v>
      </c>
      <c r="AC460" s="26" t="str">
        <f aca="false">IF(OR($J460="Yes",$L460="Yes",$N460="Yes"),"Yes","No")</f>
        <v>No</v>
      </c>
      <c r="AD460" s="14" t="n">
        <f aca="false">MAX($Q460,$U460,$Y460)</f>
        <v>0</v>
      </c>
      <c r="AE460" s="26" t="n">
        <f aca="false">$AD460+ROW()*0.000000001</f>
        <v>4.6E-007</v>
      </c>
      <c r="AF460" s="26" t="str">
        <f aca="false">IF($J460="Yes","A","")&amp;IF($L460="Yes","B","")&amp;IF($N460="Yes","C","")</f>
        <v/>
      </c>
    </row>
    <row r="461" customFormat="false" ht="15" hidden="false" customHeight="false" outlineLevel="0" collapsed="false">
      <c r="B461" s="22" t="s">
        <v>878</v>
      </c>
      <c r="C461" s="23" t="s">
        <v>602</v>
      </c>
      <c r="D461" s="23" t="s">
        <v>215</v>
      </c>
      <c r="E461" s="23" t="s">
        <v>530</v>
      </c>
      <c r="F461" s="22" t="s">
        <v>112</v>
      </c>
      <c r="G461" s="23" t="s">
        <v>58</v>
      </c>
      <c r="H461" s="24" t="n">
        <v>1</v>
      </c>
      <c r="I461" s="14" t="n">
        <v>0.0918</v>
      </c>
      <c r="J461" s="25" t="s">
        <v>59</v>
      </c>
      <c r="K461" s="25"/>
      <c r="L461" s="25" t="s">
        <v>59</v>
      </c>
      <c r="M461" s="25"/>
      <c r="N461" s="25" t="s">
        <v>59</v>
      </c>
      <c r="O461" s="25"/>
      <c r="P461" s="14" t="n">
        <v>0.0918</v>
      </c>
      <c r="Q461" s="14" t="n">
        <f aca="false">IF(AND($J461="Yes",$G461&lt;&gt;"Vendor day rates"),$I461-0.4*$P461,0)</f>
        <v>0</v>
      </c>
      <c r="R461" s="26" t="n">
        <f aca="false">IFERROR(MATCH($K461,MonthList,0),0)</f>
        <v>0</v>
      </c>
      <c r="S461" s="14" t="n">
        <f aca="false">IF(OR($J461&lt;&gt;"Yes",$K461=""),0,$Q461*MAX(0,7-$R461)/12)</f>
        <v>0</v>
      </c>
      <c r="T461" s="14" t="n">
        <f aca="false">IF(OR($J461&lt;&gt;"Yes",$K461=""),0,$Q461*IF($R461&lt;=7,12,19-$R461)/12)</f>
        <v>0</v>
      </c>
      <c r="U461" s="14" t="n">
        <f aca="false">IF(AND($L461="Yes",$G461&lt;&gt;"Vendor day rates"),$I461-0.4*$P461,0)</f>
        <v>0</v>
      </c>
      <c r="V461" s="26" t="n">
        <f aca="false">IFERROR(MATCH($M461,MonthList,0),0)</f>
        <v>0</v>
      </c>
      <c r="W461" s="14" t="n">
        <f aca="false">IF(OR($L461&lt;&gt;"Yes",$M461=""),0,$U461*MAX(0,7-$V461)/12)</f>
        <v>0</v>
      </c>
      <c r="X461" s="14" t="n">
        <f aca="false">IF(OR($L461&lt;&gt;"Yes",$M461=""),0,$U461*IF($V461&lt;=7,12,19-$V461)/12)</f>
        <v>0</v>
      </c>
      <c r="Y461" s="14" t="n">
        <f aca="false">IF(AND($N461="Yes",$G461&lt;&gt;"Vendor day rates"),$I461-0.4*$P461,0)</f>
        <v>0</v>
      </c>
      <c r="Z461" s="26" t="n">
        <f aca="false">IFERROR(MATCH($O461,MonthList,0),0)</f>
        <v>0</v>
      </c>
      <c r="AA461" s="14" t="n">
        <f aca="false">IF(OR($N461&lt;&gt;"Yes",$O461=""),0,$Y461*MAX(0,7-$Z461)/12)</f>
        <v>0</v>
      </c>
      <c r="AB461" s="14" t="n">
        <f aca="false">IF(OR($N461&lt;&gt;"Yes",$O461=""),0,$Y461*IF($Z461&lt;=7,12,19-$Z461)/12)</f>
        <v>0</v>
      </c>
      <c r="AC461" s="26" t="str">
        <f aca="false">IF(OR($J461="Yes",$L461="Yes",$N461="Yes"),"Yes","No")</f>
        <v>No</v>
      </c>
      <c r="AD461" s="14" t="n">
        <f aca="false">MAX($Q461,$U461,$Y461)</f>
        <v>0</v>
      </c>
      <c r="AE461" s="26" t="n">
        <f aca="false">$AD461+ROW()*0.000000001</f>
        <v>4.61E-007</v>
      </c>
      <c r="AF461" s="26" t="str">
        <f aca="false">IF($J461="Yes","A","")&amp;IF($L461="Yes","B","")&amp;IF($N461="Yes","C","")</f>
        <v/>
      </c>
    </row>
    <row r="462" customFormat="false" ht="15" hidden="false" customHeight="false" outlineLevel="0" collapsed="false">
      <c r="B462" s="22" t="s">
        <v>879</v>
      </c>
      <c r="C462" s="23" t="s">
        <v>819</v>
      </c>
      <c r="D462" s="23" t="s">
        <v>147</v>
      </c>
      <c r="E462" s="23" t="s">
        <v>167</v>
      </c>
      <c r="F462" s="22" t="s">
        <v>57</v>
      </c>
      <c r="G462" s="23" t="s">
        <v>58</v>
      </c>
      <c r="H462" s="24" t="n">
        <v>1</v>
      </c>
      <c r="I462" s="14" t="n">
        <v>0.1621</v>
      </c>
      <c r="J462" s="25" t="s">
        <v>59</v>
      </c>
      <c r="K462" s="25"/>
      <c r="L462" s="25" t="s">
        <v>59</v>
      </c>
      <c r="M462" s="25"/>
      <c r="N462" s="25" t="s">
        <v>59</v>
      </c>
      <c r="O462" s="25"/>
      <c r="P462" s="14" t="n">
        <v>0.1621</v>
      </c>
      <c r="Q462" s="14" t="n">
        <f aca="false">IF(AND($J462="Yes",$G462&lt;&gt;"Vendor day rates"),$I462-0.4*$P462,0)</f>
        <v>0</v>
      </c>
      <c r="R462" s="26" t="n">
        <f aca="false">IFERROR(MATCH($K462,MonthList,0),0)</f>
        <v>0</v>
      </c>
      <c r="S462" s="14" t="n">
        <f aca="false">IF(OR($J462&lt;&gt;"Yes",$K462=""),0,$Q462*MAX(0,7-$R462)/12)</f>
        <v>0</v>
      </c>
      <c r="T462" s="14" t="n">
        <f aca="false">IF(OR($J462&lt;&gt;"Yes",$K462=""),0,$Q462*IF($R462&lt;=7,12,19-$R462)/12)</f>
        <v>0</v>
      </c>
      <c r="U462" s="14" t="n">
        <f aca="false">IF(AND($L462="Yes",$G462&lt;&gt;"Vendor day rates"),$I462-0.4*$P462,0)</f>
        <v>0</v>
      </c>
      <c r="V462" s="26" t="n">
        <f aca="false">IFERROR(MATCH($M462,MonthList,0),0)</f>
        <v>0</v>
      </c>
      <c r="W462" s="14" t="n">
        <f aca="false">IF(OR($L462&lt;&gt;"Yes",$M462=""),0,$U462*MAX(0,7-$V462)/12)</f>
        <v>0</v>
      </c>
      <c r="X462" s="14" t="n">
        <f aca="false">IF(OR($L462&lt;&gt;"Yes",$M462=""),0,$U462*IF($V462&lt;=7,12,19-$V462)/12)</f>
        <v>0</v>
      </c>
      <c r="Y462" s="14" t="n">
        <f aca="false">IF(AND($N462="Yes",$G462&lt;&gt;"Vendor day rates"),$I462-0.4*$P462,0)</f>
        <v>0</v>
      </c>
      <c r="Z462" s="26" t="n">
        <f aca="false">IFERROR(MATCH($O462,MonthList,0),0)</f>
        <v>0</v>
      </c>
      <c r="AA462" s="14" t="n">
        <f aca="false">IF(OR($N462&lt;&gt;"Yes",$O462=""),0,$Y462*MAX(0,7-$Z462)/12)</f>
        <v>0</v>
      </c>
      <c r="AB462" s="14" t="n">
        <f aca="false">IF(OR($N462&lt;&gt;"Yes",$O462=""),0,$Y462*IF($Z462&lt;=7,12,19-$Z462)/12)</f>
        <v>0</v>
      </c>
      <c r="AC462" s="26" t="str">
        <f aca="false">IF(OR($J462="Yes",$L462="Yes",$N462="Yes"),"Yes","No")</f>
        <v>No</v>
      </c>
      <c r="AD462" s="14" t="n">
        <f aca="false">MAX($Q462,$U462,$Y462)</f>
        <v>0</v>
      </c>
      <c r="AE462" s="26" t="n">
        <f aca="false">$AD462+ROW()*0.000000001</f>
        <v>4.62E-007</v>
      </c>
      <c r="AF462" s="26" t="str">
        <f aca="false">IF($J462="Yes","A","")&amp;IF($L462="Yes","B","")&amp;IF($N462="Yes","C","")</f>
        <v/>
      </c>
    </row>
    <row r="463" customFormat="false" ht="15" hidden="false" customHeight="false" outlineLevel="0" collapsed="false">
      <c r="B463" s="22" t="s">
        <v>880</v>
      </c>
      <c r="C463" s="23" t="s">
        <v>819</v>
      </c>
      <c r="D463" s="23" t="s">
        <v>147</v>
      </c>
      <c r="E463" s="23" t="s">
        <v>167</v>
      </c>
      <c r="F463" s="22" t="s">
        <v>57</v>
      </c>
      <c r="G463" s="23" t="s">
        <v>121</v>
      </c>
      <c r="H463" s="24" t="n">
        <v>1</v>
      </c>
      <c r="I463" s="14" t="n">
        <v>0.0588</v>
      </c>
      <c r="J463" s="25" t="s">
        <v>59</v>
      </c>
      <c r="K463" s="25"/>
      <c r="L463" s="25" t="s">
        <v>59</v>
      </c>
      <c r="M463" s="25"/>
      <c r="N463" s="25" t="s">
        <v>59</v>
      </c>
      <c r="O463" s="25"/>
      <c r="P463" s="14" t="n">
        <v>0.1469</v>
      </c>
      <c r="Q463" s="14" t="n">
        <f aca="false">IF(AND($J463="Yes",$G463&lt;&gt;"Vendor day rates"),$I463-0.4*$P463,0)</f>
        <v>0</v>
      </c>
      <c r="R463" s="26" t="n">
        <f aca="false">IFERROR(MATCH($K463,MonthList,0),0)</f>
        <v>0</v>
      </c>
      <c r="S463" s="14" t="n">
        <f aca="false">IF(OR($J463&lt;&gt;"Yes",$K463=""),0,$Q463*MAX(0,7-$R463)/12)</f>
        <v>0</v>
      </c>
      <c r="T463" s="14" t="n">
        <f aca="false">IF(OR($J463&lt;&gt;"Yes",$K463=""),0,$Q463*IF($R463&lt;=7,12,19-$R463)/12)</f>
        <v>0</v>
      </c>
      <c r="U463" s="14" t="n">
        <f aca="false">IF(AND($L463="Yes",$G463&lt;&gt;"Vendor day rates"),$I463-0.4*$P463,0)</f>
        <v>0</v>
      </c>
      <c r="V463" s="26" t="n">
        <f aca="false">IFERROR(MATCH($M463,MonthList,0),0)</f>
        <v>0</v>
      </c>
      <c r="W463" s="14" t="n">
        <f aca="false">IF(OR($L463&lt;&gt;"Yes",$M463=""),0,$U463*MAX(0,7-$V463)/12)</f>
        <v>0</v>
      </c>
      <c r="X463" s="14" t="n">
        <f aca="false">IF(OR($L463&lt;&gt;"Yes",$M463=""),0,$U463*IF($V463&lt;=7,12,19-$V463)/12)</f>
        <v>0</v>
      </c>
      <c r="Y463" s="14" t="n">
        <f aca="false">IF(AND($N463="Yes",$G463&lt;&gt;"Vendor day rates"),$I463-0.4*$P463,0)</f>
        <v>0</v>
      </c>
      <c r="Z463" s="26" t="n">
        <f aca="false">IFERROR(MATCH($O463,MonthList,0),0)</f>
        <v>0</v>
      </c>
      <c r="AA463" s="14" t="n">
        <f aca="false">IF(OR($N463&lt;&gt;"Yes",$O463=""),0,$Y463*MAX(0,7-$Z463)/12)</f>
        <v>0</v>
      </c>
      <c r="AB463" s="14" t="n">
        <f aca="false">IF(OR($N463&lt;&gt;"Yes",$O463=""),0,$Y463*IF($Z463&lt;=7,12,19-$Z463)/12)</f>
        <v>0</v>
      </c>
      <c r="AC463" s="26" t="str">
        <f aca="false">IF(OR($J463="Yes",$L463="Yes",$N463="Yes"),"Yes","No")</f>
        <v>No</v>
      </c>
      <c r="AD463" s="14" t="n">
        <f aca="false">MAX($Q463,$U463,$Y463)</f>
        <v>0</v>
      </c>
      <c r="AE463" s="26" t="n">
        <f aca="false">$AD463+ROW()*0.000000001</f>
        <v>4.63E-007</v>
      </c>
      <c r="AF463" s="26" t="str">
        <f aca="false">IF($J463="Yes","A","")&amp;IF($L463="Yes","B","")&amp;IF($N463="Yes","C","")</f>
        <v/>
      </c>
    </row>
    <row r="464" customFormat="false" ht="15" hidden="false" customHeight="false" outlineLevel="0" collapsed="false">
      <c r="B464" s="22" t="s">
        <v>881</v>
      </c>
      <c r="C464" s="23" t="s">
        <v>882</v>
      </c>
      <c r="D464" s="23" t="s">
        <v>158</v>
      </c>
      <c r="E464" s="23" t="s">
        <v>454</v>
      </c>
      <c r="F464" s="22" t="s">
        <v>112</v>
      </c>
      <c r="G464" s="23" t="s">
        <v>58</v>
      </c>
      <c r="H464" s="24" t="n">
        <v>1</v>
      </c>
      <c r="I464" s="14" t="n">
        <v>0.1359</v>
      </c>
      <c r="J464" s="25" t="s">
        <v>59</v>
      </c>
      <c r="K464" s="25"/>
      <c r="L464" s="25" t="s">
        <v>59</v>
      </c>
      <c r="M464" s="25"/>
      <c r="N464" s="25" t="s">
        <v>59</v>
      </c>
      <c r="O464" s="25"/>
      <c r="P464" s="14" t="n">
        <v>0.1359</v>
      </c>
      <c r="Q464" s="14" t="n">
        <f aca="false">IF(AND($J464="Yes",$G464&lt;&gt;"Vendor day rates"),$I464-0.4*$P464,0)</f>
        <v>0</v>
      </c>
      <c r="R464" s="26" t="n">
        <f aca="false">IFERROR(MATCH($K464,MonthList,0),0)</f>
        <v>0</v>
      </c>
      <c r="S464" s="14" t="n">
        <f aca="false">IF(OR($J464&lt;&gt;"Yes",$K464=""),0,$Q464*MAX(0,7-$R464)/12)</f>
        <v>0</v>
      </c>
      <c r="T464" s="14" t="n">
        <f aca="false">IF(OR($J464&lt;&gt;"Yes",$K464=""),0,$Q464*IF($R464&lt;=7,12,19-$R464)/12)</f>
        <v>0</v>
      </c>
      <c r="U464" s="14" t="n">
        <f aca="false">IF(AND($L464="Yes",$G464&lt;&gt;"Vendor day rates"),$I464-0.4*$P464,0)</f>
        <v>0</v>
      </c>
      <c r="V464" s="26" t="n">
        <f aca="false">IFERROR(MATCH($M464,MonthList,0),0)</f>
        <v>0</v>
      </c>
      <c r="W464" s="14" t="n">
        <f aca="false">IF(OR($L464&lt;&gt;"Yes",$M464=""),0,$U464*MAX(0,7-$V464)/12)</f>
        <v>0</v>
      </c>
      <c r="X464" s="14" t="n">
        <f aca="false">IF(OR($L464&lt;&gt;"Yes",$M464=""),0,$U464*IF($V464&lt;=7,12,19-$V464)/12)</f>
        <v>0</v>
      </c>
      <c r="Y464" s="14" t="n">
        <f aca="false">IF(AND($N464="Yes",$G464&lt;&gt;"Vendor day rates"),$I464-0.4*$P464,0)</f>
        <v>0</v>
      </c>
      <c r="Z464" s="26" t="n">
        <f aca="false">IFERROR(MATCH($O464,MonthList,0),0)</f>
        <v>0</v>
      </c>
      <c r="AA464" s="14" t="n">
        <f aca="false">IF(OR($N464&lt;&gt;"Yes",$O464=""),0,$Y464*MAX(0,7-$Z464)/12)</f>
        <v>0</v>
      </c>
      <c r="AB464" s="14" t="n">
        <f aca="false">IF(OR($N464&lt;&gt;"Yes",$O464=""),0,$Y464*IF($Z464&lt;=7,12,19-$Z464)/12)</f>
        <v>0</v>
      </c>
      <c r="AC464" s="26" t="str">
        <f aca="false">IF(OR($J464="Yes",$L464="Yes",$N464="Yes"),"Yes","No")</f>
        <v>No</v>
      </c>
      <c r="AD464" s="14" t="n">
        <f aca="false">MAX($Q464,$U464,$Y464)</f>
        <v>0</v>
      </c>
      <c r="AE464" s="26" t="n">
        <f aca="false">$AD464+ROW()*0.000000001</f>
        <v>4.64E-007</v>
      </c>
      <c r="AF464" s="26" t="str">
        <f aca="false">IF($J464="Yes","A","")&amp;IF($L464="Yes","B","")&amp;IF($N464="Yes","C","")</f>
        <v/>
      </c>
    </row>
    <row r="465" customFormat="false" ht="15" hidden="false" customHeight="false" outlineLevel="0" collapsed="false">
      <c r="B465" s="22" t="s">
        <v>883</v>
      </c>
      <c r="C465" s="23" t="s">
        <v>882</v>
      </c>
      <c r="D465" s="23" t="s">
        <v>158</v>
      </c>
      <c r="E465" s="23" t="s">
        <v>454</v>
      </c>
      <c r="F465" s="22" t="s">
        <v>112</v>
      </c>
      <c r="G465" s="23" t="s">
        <v>58</v>
      </c>
      <c r="H465" s="24" t="n">
        <v>1</v>
      </c>
      <c r="I465" s="14" t="n">
        <v>0.1437</v>
      </c>
      <c r="J465" s="25" t="s">
        <v>59</v>
      </c>
      <c r="K465" s="25"/>
      <c r="L465" s="25" t="s">
        <v>59</v>
      </c>
      <c r="M465" s="25"/>
      <c r="N465" s="25" t="s">
        <v>59</v>
      </c>
      <c r="O465" s="25"/>
      <c r="P465" s="14" t="n">
        <v>0.1437</v>
      </c>
      <c r="Q465" s="14" t="n">
        <f aca="false">IF(AND($J465="Yes",$G465&lt;&gt;"Vendor day rates"),$I465-0.4*$P465,0)</f>
        <v>0</v>
      </c>
      <c r="R465" s="26" t="n">
        <f aca="false">IFERROR(MATCH($K465,MonthList,0),0)</f>
        <v>0</v>
      </c>
      <c r="S465" s="14" t="n">
        <f aca="false">IF(OR($J465&lt;&gt;"Yes",$K465=""),0,$Q465*MAX(0,7-$R465)/12)</f>
        <v>0</v>
      </c>
      <c r="T465" s="14" t="n">
        <f aca="false">IF(OR($J465&lt;&gt;"Yes",$K465=""),0,$Q465*IF($R465&lt;=7,12,19-$R465)/12)</f>
        <v>0</v>
      </c>
      <c r="U465" s="14" t="n">
        <f aca="false">IF(AND($L465="Yes",$G465&lt;&gt;"Vendor day rates"),$I465-0.4*$P465,0)</f>
        <v>0</v>
      </c>
      <c r="V465" s="26" t="n">
        <f aca="false">IFERROR(MATCH($M465,MonthList,0),0)</f>
        <v>0</v>
      </c>
      <c r="W465" s="14" t="n">
        <f aca="false">IF(OR($L465&lt;&gt;"Yes",$M465=""),0,$U465*MAX(0,7-$V465)/12)</f>
        <v>0</v>
      </c>
      <c r="X465" s="14" t="n">
        <f aca="false">IF(OR($L465&lt;&gt;"Yes",$M465=""),0,$U465*IF($V465&lt;=7,12,19-$V465)/12)</f>
        <v>0</v>
      </c>
      <c r="Y465" s="14" t="n">
        <f aca="false">IF(AND($N465="Yes",$G465&lt;&gt;"Vendor day rates"),$I465-0.4*$P465,0)</f>
        <v>0</v>
      </c>
      <c r="Z465" s="26" t="n">
        <f aca="false">IFERROR(MATCH($O465,MonthList,0),0)</f>
        <v>0</v>
      </c>
      <c r="AA465" s="14" t="n">
        <f aca="false">IF(OR($N465&lt;&gt;"Yes",$O465=""),0,$Y465*MAX(0,7-$Z465)/12)</f>
        <v>0</v>
      </c>
      <c r="AB465" s="14" t="n">
        <f aca="false">IF(OR($N465&lt;&gt;"Yes",$O465=""),0,$Y465*IF($Z465&lt;=7,12,19-$Z465)/12)</f>
        <v>0</v>
      </c>
      <c r="AC465" s="26" t="str">
        <f aca="false">IF(OR($J465="Yes",$L465="Yes",$N465="Yes"),"Yes","No")</f>
        <v>No</v>
      </c>
      <c r="AD465" s="14" t="n">
        <f aca="false">MAX($Q465,$U465,$Y465)</f>
        <v>0</v>
      </c>
      <c r="AE465" s="26" t="n">
        <f aca="false">$AD465+ROW()*0.000000001</f>
        <v>4.65E-007</v>
      </c>
      <c r="AF465" s="26" t="str">
        <f aca="false">IF($J465="Yes","A","")&amp;IF($L465="Yes","B","")&amp;IF($N465="Yes","C","")</f>
        <v/>
      </c>
    </row>
    <row r="466" customFormat="false" ht="15" hidden="false" customHeight="false" outlineLevel="0" collapsed="false">
      <c r="B466" s="22" t="s">
        <v>884</v>
      </c>
      <c r="C466" s="23" t="s">
        <v>120</v>
      </c>
      <c r="D466" s="23" t="s">
        <v>172</v>
      </c>
      <c r="E466" s="23" t="s">
        <v>419</v>
      </c>
      <c r="F466" s="22" t="s">
        <v>57</v>
      </c>
      <c r="G466" s="23" t="s">
        <v>149</v>
      </c>
      <c r="H466" s="24" t="n">
        <v>1</v>
      </c>
      <c r="I466" s="14" t="n">
        <v>0.1705</v>
      </c>
      <c r="J466" s="25" t="s">
        <v>59</v>
      </c>
      <c r="K466" s="25"/>
      <c r="L466" s="25" t="s">
        <v>59</v>
      </c>
      <c r="M466" s="25"/>
      <c r="N466" s="25" t="s">
        <v>59</v>
      </c>
      <c r="O466" s="25"/>
      <c r="P466" s="14" t="n">
        <v>0.1705</v>
      </c>
      <c r="Q466" s="14" t="n">
        <f aca="false">IF(AND($J466="Yes",$G466&lt;&gt;"Vendor day rates"),$I466-0.4*$P466,0)</f>
        <v>0</v>
      </c>
      <c r="R466" s="26" t="n">
        <f aca="false">IFERROR(MATCH($K466,MonthList,0),0)</f>
        <v>0</v>
      </c>
      <c r="S466" s="14" t="n">
        <f aca="false">IF(OR($J466&lt;&gt;"Yes",$K466=""),0,$Q466*MAX(0,7-$R466)/12)</f>
        <v>0</v>
      </c>
      <c r="T466" s="14" t="n">
        <f aca="false">IF(OR($J466&lt;&gt;"Yes",$K466=""),0,$Q466*IF($R466&lt;=7,12,19-$R466)/12)</f>
        <v>0</v>
      </c>
      <c r="U466" s="14" t="n">
        <f aca="false">IF(AND($L466="Yes",$G466&lt;&gt;"Vendor day rates"),$I466-0.4*$P466,0)</f>
        <v>0</v>
      </c>
      <c r="V466" s="26" t="n">
        <f aca="false">IFERROR(MATCH($M466,MonthList,0),0)</f>
        <v>0</v>
      </c>
      <c r="W466" s="14" t="n">
        <f aca="false">IF(OR($L466&lt;&gt;"Yes",$M466=""),0,$U466*MAX(0,7-$V466)/12)</f>
        <v>0</v>
      </c>
      <c r="X466" s="14" t="n">
        <f aca="false">IF(OR($L466&lt;&gt;"Yes",$M466=""),0,$U466*IF($V466&lt;=7,12,19-$V466)/12)</f>
        <v>0</v>
      </c>
      <c r="Y466" s="14" t="n">
        <f aca="false">IF(AND($N466="Yes",$G466&lt;&gt;"Vendor day rates"),$I466-0.4*$P466,0)</f>
        <v>0</v>
      </c>
      <c r="Z466" s="26" t="n">
        <f aca="false">IFERROR(MATCH($O466,MonthList,0),0)</f>
        <v>0</v>
      </c>
      <c r="AA466" s="14" t="n">
        <f aca="false">IF(OR($N466&lt;&gt;"Yes",$O466=""),0,$Y466*MAX(0,7-$Z466)/12)</f>
        <v>0</v>
      </c>
      <c r="AB466" s="14" t="n">
        <f aca="false">IF(OR($N466&lt;&gt;"Yes",$O466=""),0,$Y466*IF($Z466&lt;=7,12,19-$Z466)/12)</f>
        <v>0</v>
      </c>
      <c r="AC466" s="26" t="str">
        <f aca="false">IF(OR($J466="Yes",$L466="Yes",$N466="Yes"),"Yes","No")</f>
        <v>No</v>
      </c>
      <c r="AD466" s="14" t="n">
        <f aca="false">MAX($Q466,$U466,$Y466)</f>
        <v>0</v>
      </c>
      <c r="AE466" s="26" t="n">
        <f aca="false">$AD466+ROW()*0.000000001</f>
        <v>4.66E-007</v>
      </c>
      <c r="AF466" s="26" t="str">
        <f aca="false">IF($J466="Yes","A","")&amp;IF($L466="Yes","B","")&amp;IF($N466="Yes","C","")</f>
        <v/>
      </c>
    </row>
    <row r="467" customFormat="false" ht="15" hidden="false" customHeight="false" outlineLevel="0" collapsed="false">
      <c r="B467" s="22" t="s">
        <v>885</v>
      </c>
      <c r="C467" s="23" t="s">
        <v>886</v>
      </c>
      <c r="D467" s="23" t="s">
        <v>147</v>
      </c>
      <c r="E467" s="23" t="s">
        <v>199</v>
      </c>
      <c r="F467" s="22" t="s">
        <v>57</v>
      </c>
      <c r="G467" s="23" t="s">
        <v>476</v>
      </c>
      <c r="H467" s="24" t="n">
        <v>1</v>
      </c>
      <c r="I467" s="14" t="n">
        <v>0.0682</v>
      </c>
      <c r="J467" s="25" t="s">
        <v>59</v>
      </c>
      <c r="K467" s="25"/>
      <c r="L467" s="25" t="s">
        <v>59</v>
      </c>
      <c r="M467" s="25"/>
      <c r="N467" s="25" t="s">
        <v>59</v>
      </c>
      <c r="O467" s="25"/>
      <c r="P467" s="14" t="n">
        <v>0.1705</v>
      </c>
      <c r="Q467" s="14" t="n">
        <f aca="false">IF(AND($J467="Yes",$G467&lt;&gt;"Vendor day rates"),$I467-0.4*$P467,0)</f>
        <v>0</v>
      </c>
      <c r="R467" s="26" t="n">
        <f aca="false">IFERROR(MATCH($K467,MonthList,0),0)</f>
        <v>0</v>
      </c>
      <c r="S467" s="14" t="n">
        <f aca="false">IF(OR($J467&lt;&gt;"Yes",$K467=""),0,$Q467*MAX(0,7-$R467)/12)</f>
        <v>0</v>
      </c>
      <c r="T467" s="14" t="n">
        <f aca="false">IF(OR($J467&lt;&gt;"Yes",$K467=""),0,$Q467*IF($R467&lt;=7,12,19-$R467)/12)</f>
        <v>0</v>
      </c>
      <c r="U467" s="14" t="n">
        <f aca="false">IF(AND($L467="Yes",$G467&lt;&gt;"Vendor day rates"),$I467-0.4*$P467,0)</f>
        <v>0</v>
      </c>
      <c r="V467" s="26" t="n">
        <f aca="false">IFERROR(MATCH($M467,MonthList,0),0)</f>
        <v>0</v>
      </c>
      <c r="W467" s="14" t="n">
        <f aca="false">IF(OR($L467&lt;&gt;"Yes",$M467=""),0,$U467*MAX(0,7-$V467)/12)</f>
        <v>0</v>
      </c>
      <c r="X467" s="14" t="n">
        <f aca="false">IF(OR($L467&lt;&gt;"Yes",$M467=""),0,$U467*IF($V467&lt;=7,12,19-$V467)/12)</f>
        <v>0</v>
      </c>
      <c r="Y467" s="14" t="n">
        <f aca="false">IF(AND($N467="Yes",$G467&lt;&gt;"Vendor day rates"),$I467-0.4*$P467,0)</f>
        <v>0</v>
      </c>
      <c r="Z467" s="26" t="n">
        <f aca="false">IFERROR(MATCH($O467,MonthList,0),0)</f>
        <v>0</v>
      </c>
      <c r="AA467" s="14" t="n">
        <f aca="false">IF(OR($N467&lt;&gt;"Yes",$O467=""),0,$Y467*MAX(0,7-$Z467)/12)</f>
        <v>0</v>
      </c>
      <c r="AB467" s="14" t="n">
        <f aca="false">IF(OR($N467&lt;&gt;"Yes",$O467=""),0,$Y467*IF($Z467&lt;=7,12,19-$Z467)/12)</f>
        <v>0</v>
      </c>
      <c r="AC467" s="26" t="str">
        <f aca="false">IF(OR($J467="Yes",$L467="Yes",$N467="Yes"),"Yes","No")</f>
        <v>No</v>
      </c>
      <c r="AD467" s="14" t="n">
        <f aca="false">MAX($Q467,$U467,$Y467)</f>
        <v>0</v>
      </c>
      <c r="AE467" s="26" t="n">
        <f aca="false">$AD467+ROW()*0.000000001</f>
        <v>4.67E-007</v>
      </c>
      <c r="AF467" s="26" t="str">
        <f aca="false">IF($J467="Yes","A","")&amp;IF($L467="Yes","B","")&amp;IF($N467="Yes","C","")</f>
        <v/>
      </c>
    </row>
    <row r="468" customFormat="false" ht="15" hidden="false" customHeight="false" outlineLevel="0" collapsed="false">
      <c r="B468" s="22" t="s">
        <v>887</v>
      </c>
      <c r="C468" s="23" t="s">
        <v>888</v>
      </c>
      <c r="D468" s="23" t="s">
        <v>147</v>
      </c>
      <c r="E468" s="23" t="s">
        <v>199</v>
      </c>
      <c r="F468" s="22" t="s">
        <v>57</v>
      </c>
      <c r="G468" s="23" t="s">
        <v>58</v>
      </c>
      <c r="H468" s="24" t="n">
        <v>1</v>
      </c>
      <c r="I468" s="14" t="n">
        <v>0.1793</v>
      </c>
      <c r="J468" s="25" t="s">
        <v>59</v>
      </c>
      <c r="K468" s="25"/>
      <c r="L468" s="25" t="s">
        <v>59</v>
      </c>
      <c r="M468" s="25"/>
      <c r="N468" s="25" t="s">
        <v>59</v>
      </c>
      <c r="O468" s="25"/>
      <c r="P468" s="14" t="n">
        <v>0.1793</v>
      </c>
      <c r="Q468" s="14" t="n">
        <f aca="false">IF(AND($J468="Yes",$G468&lt;&gt;"Vendor day rates"),$I468-0.4*$P468,0)</f>
        <v>0</v>
      </c>
      <c r="R468" s="26" t="n">
        <f aca="false">IFERROR(MATCH($K468,MonthList,0),0)</f>
        <v>0</v>
      </c>
      <c r="S468" s="14" t="n">
        <f aca="false">IF(OR($J468&lt;&gt;"Yes",$K468=""),0,$Q468*MAX(0,7-$R468)/12)</f>
        <v>0</v>
      </c>
      <c r="T468" s="14" t="n">
        <f aca="false">IF(OR($J468&lt;&gt;"Yes",$K468=""),0,$Q468*IF($R468&lt;=7,12,19-$R468)/12)</f>
        <v>0</v>
      </c>
      <c r="U468" s="14" t="n">
        <f aca="false">IF(AND($L468="Yes",$G468&lt;&gt;"Vendor day rates"),$I468-0.4*$P468,0)</f>
        <v>0</v>
      </c>
      <c r="V468" s="26" t="n">
        <f aca="false">IFERROR(MATCH($M468,MonthList,0),0)</f>
        <v>0</v>
      </c>
      <c r="W468" s="14" t="n">
        <f aca="false">IF(OR($L468&lt;&gt;"Yes",$M468=""),0,$U468*MAX(0,7-$V468)/12)</f>
        <v>0</v>
      </c>
      <c r="X468" s="14" t="n">
        <f aca="false">IF(OR($L468&lt;&gt;"Yes",$M468=""),0,$U468*IF($V468&lt;=7,12,19-$V468)/12)</f>
        <v>0</v>
      </c>
      <c r="Y468" s="14" t="n">
        <f aca="false">IF(AND($N468="Yes",$G468&lt;&gt;"Vendor day rates"),$I468-0.4*$P468,0)</f>
        <v>0</v>
      </c>
      <c r="Z468" s="26" t="n">
        <f aca="false">IFERROR(MATCH($O468,MonthList,0),0)</f>
        <v>0</v>
      </c>
      <c r="AA468" s="14" t="n">
        <f aca="false">IF(OR($N468&lt;&gt;"Yes",$O468=""),0,$Y468*MAX(0,7-$Z468)/12)</f>
        <v>0</v>
      </c>
      <c r="AB468" s="14" t="n">
        <f aca="false">IF(OR($N468&lt;&gt;"Yes",$O468=""),0,$Y468*IF($Z468&lt;=7,12,19-$Z468)/12)</f>
        <v>0</v>
      </c>
      <c r="AC468" s="26" t="str">
        <f aca="false">IF(OR($J468="Yes",$L468="Yes",$N468="Yes"),"Yes","No")</f>
        <v>No</v>
      </c>
      <c r="AD468" s="14" t="n">
        <f aca="false">MAX($Q468,$U468,$Y468)</f>
        <v>0</v>
      </c>
      <c r="AE468" s="26" t="n">
        <f aca="false">$AD468+ROW()*0.000000001</f>
        <v>4.68E-007</v>
      </c>
      <c r="AF468" s="26" t="str">
        <f aca="false">IF($J468="Yes","A","")&amp;IF($L468="Yes","B","")&amp;IF($N468="Yes","C","")</f>
        <v/>
      </c>
    </row>
    <row r="469" customFormat="false" ht="15" hidden="false" customHeight="false" outlineLevel="0" collapsed="false">
      <c r="B469" s="22" t="s">
        <v>889</v>
      </c>
      <c r="C469" s="23" t="s">
        <v>120</v>
      </c>
      <c r="D469" s="23" t="s">
        <v>158</v>
      </c>
      <c r="E469" s="23" t="s">
        <v>469</v>
      </c>
      <c r="F469" s="22" t="s">
        <v>112</v>
      </c>
      <c r="G469" s="23" t="s">
        <v>121</v>
      </c>
      <c r="H469" s="24" t="n">
        <v>1</v>
      </c>
      <c r="I469" s="14" t="n">
        <v>0.0536</v>
      </c>
      <c r="J469" s="25" t="s">
        <v>59</v>
      </c>
      <c r="K469" s="25"/>
      <c r="L469" s="25" t="s">
        <v>59</v>
      </c>
      <c r="M469" s="25"/>
      <c r="N469" s="25" t="s">
        <v>59</v>
      </c>
      <c r="O469" s="25"/>
      <c r="P469" s="14" t="n">
        <v>0.134</v>
      </c>
      <c r="Q469" s="14" t="n">
        <f aca="false">IF(AND($J469="Yes",$G469&lt;&gt;"Vendor day rates"),$I469-0.4*$P469,0)</f>
        <v>0</v>
      </c>
      <c r="R469" s="26" t="n">
        <f aca="false">IFERROR(MATCH($K469,MonthList,0),0)</f>
        <v>0</v>
      </c>
      <c r="S469" s="14" t="n">
        <f aca="false">IF(OR($J469&lt;&gt;"Yes",$K469=""),0,$Q469*MAX(0,7-$R469)/12)</f>
        <v>0</v>
      </c>
      <c r="T469" s="14" t="n">
        <f aca="false">IF(OR($J469&lt;&gt;"Yes",$K469=""),0,$Q469*IF($R469&lt;=7,12,19-$R469)/12)</f>
        <v>0</v>
      </c>
      <c r="U469" s="14" t="n">
        <f aca="false">IF(AND($L469="Yes",$G469&lt;&gt;"Vendor day rates"),$I469-0.4*$P469,0)</f>
        <v>0</v>
      </c>
      <c r="V469" s="26" t="n">
        <f aca="false">IFERROR(MATCH($M469,MonthList,0),0)</f>
        <v>0</v>
      </c>
      <c r="W469" s="14" t="n">
        <f aca="false">IF(OR($L469&lt;&gt;"Yes",$M469=""),0,$U469*MAX(0,7-$V469)/12)</f>
        <v>0</v>
      </c>
      <c r="X469" s="14" t="n">
        <f aca="false">IF(OR($L469&lt;&gt;"Yes",$M469=""),0,$U469*IF($V469&lt;=7,12,19-$V469)/12)</f>
        <v>0</v>
      </c>
      <c r="Y469" s="14" t="n">
        <f aca="false">IF(AND($N469="Yes",$G469&lt;&gt;"Vendor day rates"),$I469-0.4*$P469,0)</f>
        <v>0</v>
      </c>
      <c r="Z469" s="26" t="n">
        <f aca="false">IFERROR(MATCH($O469,MonthList,0),0)</f>
        <v>0</v>
      </c>
      <c r="AA469" s="14" t="n">
        <f aca="false">IF(OR($N469&lt;&gt;"Yes",$O469=""),0,$Y469*MAX(0,7-$Z469)/12)</f>
        <v>0</v>
      </c>
      <c r="AB469" s="14" t="n">
        <f aca="false">IF(OR($N469&lt;&gt;"Yes",$O469=""),0,$Y469*IF($Z469&lt;=7,12,19-$Z469)/12)</f>
        <v>0</v>
      </c>
      <c r="AC469" s="26" t="str">
        <f aca="false">IF(OR($J469="Yes",$L469="Yes",$N469="Yes"),"Yes","No")</f>
        <v>No</v>
      </c>
      <c r="AD469" s="14" t="n">
        <f aca="false">MAX($Q469,$U469,$Y469)</f>
        <v>0</v>
      </c>
      <c r="AE469" s="26" t="n">
        <f aca="false">$AD469+ROW()*0.000000001</f>
        <v>4.69E-007</v>
      </c>
      <c r="AF469" s="26" t="str">
        <f aca="false">IF($J469="Yes","A","")&amp;IF($L469="Yes","B","")&amp;IF($N469="Yes","C","")</f>
        <v/>
      </c>
    </row>
    <row r="470" customFormat="false" ht="15" hidden="false" customHeight="false" outlineLevel="0" collapsed="false">
      <c r="B470" s="22" t="s">
        <v>890</v>
      </c>
      <c r="C470" s="23" t="s">
        <v>729</v>
      </c>
      <c r="D470" s="23" t="s">
        <v>147</v>
      </c>
      <c r="E470" s="23" t="s">
        <v>256</v>
      </c>
      <c r="F470" s="22" t="s">
        <v>112</v>
      </c>
      <c r="G470" s="23" t="s">
        <v>121</v>
      </c>
      <c r="H470" s="24" t="n">
        <v>0.8</v>
      </c>
      <c r="I470" s="14" t="n">
        <v>0.0473</v>
      </c>
      <c r="J470" s="25" t="s">
        <v>59</v>
      </c>
      <c r="K470" s="25"/>
      <c r="L470" s="25" t="s">
        <v>59</v>
      </c>
      <c r="M470" s="25"/>
      <c r="N470" s="25" t="s">
        <v>59</v>
      </c>
      <c r="O470" s="25"/>
      <c r="P470" s="14" t="n">
        <v>0.1182</v>
      </c>
      <c r="Q470" s="14" t="n">
        <f aca="false">IF(AND($J470="Yes",$G470&lt;&gt;"Vendor day rates"),$I470-0.4*$P470,0)</f>
        <v>0</v>
      </c>
      <c r="R470" s="26" t="n">
        <f aca="false">IFERROR(MATCH($K470,MonthList,0),0)</f>
        <v>0</v>
      </c>
      <c r="S470" s="14" t="n">
        <f aca="false">IF(OR($J470&lt;&gt;"Yes",$K470=""),0,$Q470*MAX(0,7-$R470)/12)</f>
        <v>0</v>
      </c>
      <c r="T470" s="14" t="n">
        <f aca="false">IF(OR($J470&lt;&gt;"Yes",$K470=""),0,$Q470*IF($R470&lt;=7,12,19-$R470)/12)</f>
        <v>0</v>
      </c>
      <c r="U470" s="14" t="n">
        <f aca="false">IF(AND($L470="Yes",$G470&lt;&gt;"Vendor day rates"),$I470-0.4*$P470,0)</f>
        <v>0</v>
      </c>
      <c r="V470" s="26" t="n">
        <f aca="false">IFERROR(MATCH($M470,MonthList,0),0)</f>
        <v>0</v>
      </c>
      <c r="W470" s="14" t="n">
        <f aca="false">IF(OR($L470&lt;&gt;"Yes",$M470=""),0,$U470*MAX(0,7-$V470)/12)</f>
        <v>0</v>
      </c>
      <c r="X470" s="14" t="n">
        <f aca="false">IF(OR($L470&lt;&gt;"Yes",$M470=""),0,$U470*IF($V470&lt;=7,12,19-$V470)/12)</f>
        <v>0</v>
      </c>
      <c r="Y470" s="14" t="n">
        <f aca="false">IF(AND($N470="Yes",$G470&lt;&gt;"Vendor day rates"),$I470-0.4*$P470,0)</f>
        <v>0</v>
      </c>
      <c r="Z470" s="26" t="n">
        <f aca="false">IFERROR(MATCH($O470,MonthList,0),0)</f>
        <v>0</v>
      </c>
      <c r="AA470" s="14" t="n">
        <f aca="false">IF(OR($N470&lt;&gt;"Yes",$O470=""),0,$Y470*MAX(0,7-$Z470)/12)</f>
        <v>0</v>
      </c>
      <c r="AB470" s="14" t="n">
        <f aca="false">IF(OR($N470&lt;&gt;"Yes",$O470=""),0,$Y470*IF($Z470&lt;=7,12,19-$Z470)/12)</f>
        <v>0</v>
      </c>
      <c r="AC470" s="26" t="str">
        <f aca="false">IF(OR($J470="Yes",$L470="Yes",$N470="Yes"),"Yes","No")</f>
        <v>No</v>
      </c>
      <c r="AD470" s="14" t="n">
        <f aca="false">MAX($Q470,$U470,$Y470)</f>
        <v>0</v>
      </c>
      <c r="AE470" s="26" t="n">
        <f aca="false">$AD470+ROW()*0.000000001</f>
        <v>4.7E-007</v>
      </c>
      <c r="AF470" s="26" t="str">
        <f aca="false">IF($J470="Yes","A","")&amp;IF($L470="Yes","B","")&amp;IF($N470="Yes","C","")</f>
        <v/>
      </c>
    </row>
    <row r="471" customFormat="false" ht="15" hidden="false" customHeight="false" outlineLevel="0" collapsed="false">
      <c r="B471" s="22" t="s">
        <v>891</v>
      </c>
      <c r="C471" s="23" t="s">
        <v>120</v>
      </c>
      <c r="D471" s="23" t="s">
        <v>212</v>
      </c>
      <c r="E471" s="23" t="s">
        <v>575</v>
      </c>
      <c r="F471" s="22" t="s">
        <v>57</v>
      </c>
      <c r="G471" s="23" t="s">
        <v>476</v>
      </c>
      <c r="H471" s="24" t="n">
        <v>1</v>
      </c>
      <c r="I471" s="14" t="n">
        <v>0.0682</v>
      </c>
      <c r="J471" s="25" t="s">
        <v>59</v>
      </c>
      <c r="K471" s="25"/>
      <c r="L471" s="25" t="s">
        <v>59</v>
      </c>
      <c r="M471" s="25"/>
      <c r="N471" s="25" t="s">
        <v>59</v>
      </c>
      <c r="O471" s="25"/>
      <c r="P471" s="14" t="n">
        <v>0.1705</v>
      </c>
      <c r="Q471" s="14" t="n">
        <f aca="false">IF(AND($J471="Yes",$G471&lt;&gt;"Vendor day rates"),$I471-0.4*$P471,0)</f>
        <v>0</v>
      </c>
      <c r="R471" s="26" t="n">
        <f aca="false">IFERROR(MATCH($K471,MonthList,0),0)</f>
        <v>0</v>
      </c>
      <c r="S471" s="14" t="n">
        <f aca="false">IF(OR($J471&lt;&gt;"Yes",$K471=""),0,$Q471*MAX(0,7-$R471)/12)</f>
        <v>0</v>
      </c>
      <c r="T471" s="14" t="n">
        <f aca="false">IF(OR($J471&lt;&gt;"Yes",$K471=""),0,$Q471*IF($R471&lt;=7,12,19-$R471)/12)</f>
        <v>0</v>
      </c>
      <c r="U471" s="14" t="n">
        <f aca="false">IF(AND($L471="Yes",$G471&lt;&gt;"Vendor day rates"),$I471-0.4*$P471,0)</f>
        <v>0</v>
      </c>
      <c r="V471" s="26" t="n">
        <f aca="false">IFERROR(MATCH($M471,MonthList,0),0)</f>
        <v>0</v>
      </c>
      <c r="W471" s="14" t="n">
        <f aca="false">IF(OR($L471&lt;&gt;"Yes",$M471=""),0,$U471*MAX(0,7-$V471)/12)</f>
        <v>0</v>
      </c>
      <c r="X471" s="14" t="n">
        <f aca="false">IF(OR($L471&lt;&gt;"Yes",$M471=""),0,$U471*IF($V471&lt;=7,12,19-$V471)/12)</f>
        <v>0</v>
      </c>
      <c r="Y471" s="14" t="n">
        <f aca="false">IF(AND($N471="Yes",$G471&lt;&gt;"Vendor day rates"),$I471-0.4*$P471,0)</f>
        <v>0</v>
      </c>
      <c r="Z471" s="26" t="n">
        <f aca="false">IFERROR(MATCH($O471,MonthList,0),0)</f>
        <v>0</v>
      </c>
      <c r="AA471" s="14" t="n">
        <f aca="false">IF(OR($N471&lt;&gt;"Yes",$O471=""),0,$Y471*MAX(0,7-$Z471)/12)</f>
        <v>0</v>
      </c>
      <c r="AB471" s="14" t="n">
        <f aca="false">IF(OR($N471&lt;&gt;"Yes",$O471=""),0,$Y471*IF($Z471&lt;=7,12,19-$Z471)/12)</f>
        <v>0</v>
      </c>
      <c r="AC471" s="26" t="str">
        <f aca="false">IF(OR($J471="Yes",$L471="Yes",$N471="Yes"),"Yes","No")</f>
        <v>No</v>
      </c>
      <c r="AD471" s="14" t="n">
        <f aca="false">MAX($Q471,$U471,$Y471)</f>
        <v>0</v>
      </c>
      <c r="AE471" s="26" t="n">
        <f aca="false">$AD471+ROW()*0.000000001</f>
        <v>4.71E-007</v>
      </c>
      <c r="AF471" s="26" t="str">
        <f aca="false">IF($J471="Yes","A","")&amp;IF($L471="Yes","B","")&amp;IF($N471="Yes","C","")</f>
        <v/>
      </c>
    </row>
    <row r="472" customFormat="false" ht="15" hidden="false" customHeight="false" outlineLevel="0" collapsed="false">
      <c r="B472" s="22" t="s">
        <v>892</v>
      </c>
      <c r="C472" s="23" t="s">
        <v>611</v>
      </c>
      <c r="D472" s="23" t="s">
        <v>212</v>
      </c>
      <c r="E472" s="23" t="s">
        <v>575</v>
      </c>
      <c r="F472" s="22" t="s">
        <v>57</v>
      </c>
      <c r="G472" s="23" t="s">
        <v>149</v>
      </c>
      <c r="H472" s="24" t="n">
        <v>1</v>
      </c>
      <c r="I472" s="14" t="n">
        <v>0.2016</v>
      </c>
      <c r="J472" s="25" t="s">
        <v>64</v>
      </c>
      <c r="K472" s="25" t="s">
        <v>65</v>
      </c>
      <c r="L472" s="25" t="s">
        <v>59</v>
      </c>
      <c r="M472" s="25"/>
      <c r="N472" s="25" t="s">
        <v>59</v>
      </c>
      <c r="O472" s="25"/>
      <c r="P472" s="14" t="n">
        <v>0.2016</v>
      </c>
      <c r="Q472" s="14" t="n">
        <f aca="false">IF(AND($J472="Yes",$G472&lt;&gt;"Vendor day rates"),$I472-0.4*$P472,0)</f>
        <v>0.12096</v>
      </c>
      <c r="R472" s="26" t="n">
        <f aca="false">IFERROR(MATCH($K472,MonthList,0),0)</f>
        <v>4</v>
      </c>
      <c r="S472" s="14" t="n">
        <f aca="false">IF(OR($J472&lt;&gt;"Yes",$K472=""),0,$Q472*MAX(0,7-$R472)/12)</f>
        <v>0.03024</v>
      </c>
      <c r="T472" s="14" t="n">
        <f aca="false">IF(OR($J472&lt;&gt;"Yes",$K472=""),0,$Q472*IF($R472&lt;=7,12,19-$R472)/12)</f>
        <v>0.12096</v>
      </c>
      <c r="U472" s="14" t="n">
        <f aca="false">IF(AND($L472="Yes",$G472&lt;&gt;"Vendor day rates"),$I472-0.4*$P472,0)</f>
        <v>0</v>
      </c>
      <c r="V472" s="26" t="n">
        <f aca="false">IFERROR(MATCH($M472,MonthList,0),0)</f>
        <v>0</v>
      </c>
      <c r="W472" s="14" t="n">
        <f aca="false">IF(OR($L472&lt;&gt;"Yes",$M472=""),0,$U472*MAX(0,7-$V472)/12)</f>
        <v>0</v>
      </c>
      <c r="X472" s="14" t="n">
        <f aca="false">IF(OR($L472&lt;&gt;"Yes",$M472=""),0,$U472*IF($V472&lt;=7,12,19-$V472)/12)</f>
        <v>0</v>
      </c>
      <c r="Y472" s="14" t="n">
        <f aca="false">IF(AND($N472="Yes",$G472&lt;&gt;"Vendor day rates"),$I472-0.4*$P472,0)</f>
        <v>0</v>
      </c>
      <c r="Z472" s="26" t="n">
        <f aca="false">IFERROR(MATCH($O472,MonthList,0),0)</f>
        <v>0</v>
      </c>
      <c r="AA472" s="14" t="n">
        <f aca="false">IF(OR($N472&lt;&gt;"Yes",$O472=""),0,$Y472*MAX(0,7-$Z472)/12)</f>
        <v>0</v>
      </c>
      <c r="AB472" s="14" t="n">
        <f aca="false">IF(OR($N472&lt;&gt;"Yes",$O472=""),0,$Y472*IF($Z472&lt;=7,12,19-$Z472)/12)</f>
        <v>0</v>
      </c>
      <c r="AC472" s="26" t="str">
        <f aca="false">IF(OR($J472="Yes",$L472="Yes",$N472="Yes"),"Yes","No")</f>
        <v>Yes</v>
      </c>
      <c r="AD472" s="14" t="n">
        <f aca="false">MAX($Q472,$U472,$Y472)</f>
        <v>0.12096</v>
      </c>
      <c r="AE472" s="26" t="n">
        <f aca="false">$AD472+ROW()*0.000000001</f>
        <v>0.120960472</v>
      </c>
      <c r="AF472" s="26" t="str">
        <f aca="false">IF($J472="Yes","A","")&amp;IF($L472="Yes","B","")&amp;IF($N472="Yes","C","")</f>
        <v>A</v>
      </c>
    </row>
    <row r="473" customFormat="false" ht="15" hidden="false" customHeight="false" outlineLevel="0" collapsed="false">
      <c r="B473" s="22" t="s">
        <v>893</v>
      </c>
      <c r="C473" s="23" t="s">
        <v>894</v>
      </c>
      <c r="D473" s="23" t="s">
        <v>147</v>
      </c>
      <c r="E473" s="23" t="s">
        <v>148</v>
      </c>
      <c r="F473" s="22" t="s">
        <v>112</v>
      </c>
      <c r="G473" s="23" t="s">
        <v>58</v>
      </c>
      <c r="H473" s="24" t="n">
        <v>1</v>
      </c>
      <c r="I473" s="14" t="n">
        <v>0.151</v>
      </c>
      <c r="J473" s="25" t="s">
        <v>59</v>
      </c>
      <c r="K473" s="25"/>
      <c r="L473" s="25" t="s">
        <v>59</v>
      </c>
      <c r="M473" s="25"/>
      <c r="N473" s="25" t="s">
        <v>59</v>
      </c>
      <c r="O473" s="25"/>
      <c r="P473" s="14" t="n">
        <v>0.151</v>
      </c>
      <c r="Q473" s="14" t="n">
        <f aca="false">IF(AND($J473="Yes",$G473&lt;&gt;"Vendor day rates"),$I473-0.4*$P473,0)</f>
        <v>0</v>
      </c>
      <c r="R473" s="26" t="n">
        <f aca="false">IFERROR(MATCH($K473,MonthList,0),0)</f>
        <v>0</v>
      </c>
      <c r="S473" s="14" t="n">
        <f aca="false">IF(OR($J473&lt;&gt;"Yes",$K473=""),0,$Q473*MAX(0,7-$R473)/12)</f>
        <v>0</v>
      </c>
      <c r="T473" s="14" t="n">
        <f aca="false">IF(OR($J473&lt;&gt;"Yes",$K473=""),0,$Q473*IF($R473&lt;=7,12,19-$R473)/12)</f>
        <v>0</v>
      </c>
      <c r="U473" s="14" t="n">
        <f aca="false">IF(AND($L473="Yes",$G473&lt;&gt;"Vendor day rates"),$I473-0.4*$P473,0)</f>
        <v>0</v>
      </c>
      <c r="V473" s="26" t="n">
        <f aca="false">IFERROR(MATCH($M473,MonthList,0),0)</f>
        <v>0</v>
      </c>
      <c r="W473" s="14" t="n">
        <f aca="false">IF(OR($L473&lt;&gt;"Yes",$M473=""),0,$U473*MAX(0,7-$V473)/12)</f>
        <v>0</v>
      </c>
      <c r="X473" s="14" t="n">
        <f aca="false">IF(OR($L473&lt;&gt;"Yes",$M473=""),0,$U473*IF($V473&lt;=7,12,19-$V473)/12)</f>
        <v>0</v>
      </c>
      <c r="Y473" s="14" t="n">
        <f aca="false">IF(AND($N473="Yes",$G473&lt;&gt;"Vendor day rates"),$I473-0.4*$P473,0)</f>
        <v>0</v>
      </c>
      <c r="Z473" s="26" t="n">
        <f aca="false">IFERROR(MATCH($O473,MonthList,0),0)</f>
        <v>0</v>
      </c>
      <c r="AA473" s="14" t="n">
        <f aca="false">IF(OR($N473&lt;&gt;"Yes",$O473=""),0,$Y473*MAX(0,7-$Z473)/12)</f>
        <v>0</v>
      </c>
      <c r="AB473" s="14" t="n">
        <f aca="false">IF(OR($N473&lt;&gt;"Yes",$O473=""),0,$Y473*IF($Z473&lt;=7,12,19-$Z473)/12)</f>
        <v>0</v>
      </c>
      <c r="AC473" s="26" t="str">
        <f aca="false">IF(OR($J473="Yes",$L473="Yes",$N473="Yes"),"Yes","No")</f>
        <v>No</v>
      </c>
      <c r="AD473" s="14" t="n">
        <f aca="false">MAX($Q473,$U473,$Y473)</f>
        <v>0</v>
      </c>
      <c r="AE473" s="26" t="n">
        <f aca="false">$AD473+ROW()*0.000000001</f>
        <v>4.73E-007</v>
      </c>
      <c r="AF473" s="26" t="str">
        <f aca="false">IF($J473="Yes","A","")&amp;IF($L473="Yes","B","")&amp;IF($N473="Yes","C","")</f>
        <v/>
      </c>
    </row>
    <row r="474" customFormat="false" ht="15" hidden="false" customHeight="false" outlineLevel="0" collapsed="false">
      <c r="B474" s="22" t="s">
        <v>895</v>
      </c>
      <c r="C474" s="23" t="s">
        <v>896</v>
      </c>
      <c r="D474" s="23" t="s">
        <v>147</v>
      </c>
      <c r="E474" s="23" t="s">
        <v>167</v>
      </c>
      <c r="F474" s="22" t="s">
        <v>57</v>
      </c>
      <c r="G474" s="23" t="s">
        <v>58</v>
      </c>
      <c r="H474" s="24" t="n">
        <v>1</v>
      </c>
      <c r="I474" s="14" t="n">
        <v>0.181</v>
      </c>
      <c r="J474" s="25" t="s">
        <v>59</v>
      </c>
      <c r="K474" s="25"/>
      <c r="L474" s="25" t="s">
        <v>59</v>
      </c>
      <c r="M474" s="25"/>
      <c r="N474" s="25" t="s">
        <v>59</v>
      </c>
      <c r="O474" s="25"/>
      <c r="P474" s="14" t="n">
        <v>0.181</v>
      </c>
      <c r="Q474" s="14" t="n">
        <f aca="false">IF(AND($J474="Yes",$G474&lt;&gt;"Vendor day rates"),$I474-0.4*$P474,0)</f>
        <v>0</v>
      </c>
      <c r="R474" s="26" t="n">
        <f aca="false">IFERROR(MATCH($K474,MonthList,0),0)</f>
        <v>0</v>
      </c>
      <c r="S474" s="14" t="n">
        <f aca="false">IF(OR($J474&lt;&gt;"Yes",$K474=""),0,$Q474*MAX(0,7-$R474)/12)</f>
        <v>0</v>
      </c>
      <c r="T474" s="14" t="n">
        <f aca="false">IF(OR($J474&lt;&gt;"Yes",$K474=""),0,$Q474*IF($R474&lt;=7,12,19-$R474)/12)</f>
        <v>0</v>
      </c>
      <c r="U474" s="14" t="n">
        <f aca="false">IF(AND($L474="Yes",$G474&lt;&gt;"Vendor day rates"),$I474-0.4*$P474,0)</f>
        <v>0</v>
      </c>
      <c r="V474" s="26" t="n">
        <f aca="false">IFERROR(MATCH($M474,MonthList,0),0)</f>
        <v>0</v>
      </c>
      <c r="W474" s="14" t="n">
        <f aca="false">IF(OR($L474&lt;&gt;"Yes",$M474=""),0,$U474*MAX(0,7-$V474)/12)</f>
        <v>0</v>
      </c>
      <c r="X474" s="14" t="n">
        <f aca="false">IF(OR($L474&lt;&gt;"Yes",$M474=""),0,$U474*IF($V474&lt;=7,12,19-$V474)/12)</f>
        <v>0</v>
      </c>
      <c r="Y474" s="14" t="n">
        <f aca="false">IF(AND($N474="Yes",$G474&lt;&gt;"Vendor day rates"),$I474-0.4*$P474,0)</f>
        <v>0</v>
      </c>
      <c r="Z474" s="26" t="n">
        <f aca="false">IFERROR(MATCH($O474,MonthList,0),0)</f>
        <v>0</v>
      </c>
      <c r="AA474" s="14" t="n">
        <f aca="false">IF(OR($N474&lt;&gt;"Yes",$O474=""),0,$Y474*MAX(0,7-$Z474)/12)</f>
        <v>0</v>
      </c>
      <c r="AB474" s="14" t="n">
        <f aca="false">IF(OR($N474&lt;&gt;"Yes",$O474=""),0,$Y474*IF($Z474&lt;=7,12,19-$Z474)/12)</f>
        <v>0</v>
      </c>
      <c r="AC474" s="26" t="str">
        <f aca="false">IF(OR($J474="Yes",$L474="Yes",$N474="Yes"),"Yes","No")</f>
        <v>No</v>
      </c>
      <c r="AD474" s="14" t="n">
        <f aca="false">MAX($Q474,$U474,$Y474)</f>
        <v>0</v>
      </c>
      <c r="AE474" s="26" t="n">
        <f aca="false">$AD474+ROW()*0.000000001</f>
        <v>4.74E-007</v>
      </c>
      <c r="AF474" s="26" t="str">
        <f aca="false">IF($J474="Yes","A","")&amp;IF($L474="Yes","B","")&amp;IF($N474="Yes","C","")</f>
        <v/>
      </c>
    </row>
    <row r="475" customFormat="false" ht="15" hidden="false" customHeight="false" outlineLevel="0" collapsed="false">
      <c r="B475" s="22" t="s">
        <v>897</v>
      </c>
      <c r="C475" s="23" t="s">
        <v>425</v>
      </c>
      <c r="D475" s="23" t="s">
        <v>207</v>
      </c>
      <c r="E475" s="23" t="s">
        <v>404</v>
      </c>
      <c r="F475" s="22" t="s">
        <v>112</v>
      </c>
      <c r="G475" s="23" t="s">
        <v>58</v>
      </c>
      <c r="H475" s="24" t="n">
        <v>1</v>
      </c>
      <c r="I475" s="14" t="n">
        <v>0.1588</v>
      </c>
      <c r="J475" s="25" t="s">
        <v>59</v>
      </c>
      <c r="K475" s="25"/>
      <c r="L475" s="25" t="s">
        <v>59</v>
      </c>
      <c r="M475" s="25"/>
      <c r="N475" s="25" t="s">
        <v>59</v>
      </c>
      <c r="O475" s="25"/>
      <c r="P475" s="14" t="n">
        <v>0.1588</v>
      </c>
      <c r="Q475" s="14" t="n">
        <f aca="false">IF(AND($J475="Yes",$G475&lt;&gt;"Vendor day rates"),$I475-0.4*$P475,0)</f>
        <v>0</v>
      </c>
      <c r="R475" s="26" t="n">
        <f aca="false">IFERROR(MATCH($K475,MonthList,0),0)</f>
        <v>0</v>
      </c>
      <c r="S475" s="14" t="n">
        <f aca="false">IF(OR($J475&lt;&gt;"Yes",$K475=""),0,$Q475*MAX(0,7-$R475)/12)</f>
        <v>0</v>
      </c>
      <c r="T475" s="14" t="n">
        <f aca="false">IF(OR($J475&lt;&gt;"Yes",$K475=""),0,$Q475*IF($R475&lt;=7,12,19-$R475)/12)</f>
        <v>0</v>
      </c>
      <c r="U475" s="14" t="n">
        <f aca="false">IF(AND($L475="Yes",$G475&lt;&gt;"Vendor day rates"),$I475-0.4*$P475,0)</f>
        <v>0</v>
      </c>
      <c r="V475" s="26" t="n">
        <f aca="false">IFERROR(MATCH($M475,MonthList,0),0)</f>
        <v>0</v>
      </c>
      <c r="W475" s="14" t="n">
        <f aca="false">IF(OR($L475&lt;&gt;"Yes",$M475=""),0,$U475*MAX(0,7-$V475)/12)</f>
        <v>0</v>
      </c>
      <c r="X475" s="14" t="n">
        <f aca="false">IF(OR($L475&lt;&gt;"Yes",$M475=""),0,$U475*IF($V475&lt;=7,12,19-$V475)/12)</f>
        <v>0</v>
      </c>
      <c r="Y475" s="14" t="n">
        <f aca="false">IF(AND($N475="Yes",$G475&lt;&gt;"Vendor day rates"),$I475-0.4*$P475,0)</f>
        <v>0</v>
      </c>
      <c r="Z475" s="26" t="n">
        <f aca="false">IFERROR(MATCH($O475,MonthList,0),0)</f>
        <v>0</v>
      </c>
      <c r="AA475" s="14" t="n">
        <f aca="false">IF(OR($N475&lt;&gt;"Yes",$O475=""),0,$Y475*MAX(0,7-$Z475)/12)</f>
        <v>0</v>
      </c>
      <c r="AB475" s="14" t="n">
        <f aca="false">IF(OR($N475&lt;&gt;"Yes",$O475=""),0,$Y475*IF($Z475&lt;=7,12,19-$Z475)/12)</f>
        <v>0</v>
      </c>
      <c r="AC475" s="26" t="str">
        <f aca="false">IF(OR($J475="Yes",$L475="Yes",$N475="Yes"),"Yes","No")</f>
        <v>No</v>
      </c>
      <c r="AD475" s="14" t="n">
        <f aca="false">MAX($Q475,$U475,$Y475)</f>
        <v>0</v>
      </c>
      <c r="AE475" s="26" t="n">
        <f aca="false">$AD475+ROW()*0.000000001</f>
        <v>4.75E-007</v>
      </c>
      <c r="AF475" s="26" t="str">
        <f aca="false">IF($J475="Yes","A","")&amp;IF($L475="Yes","B","")&amp;IF($N475="Yes","C","")</f>
        <v/>
      </c>
    </row>
    <row r="476" customFormat="false" ht="15" hidden="false" customHeight="false" outlineLevel="0" collapsed="false">
      <c r="B476" s="22" t="s">
        <v>898</v>
      </c>
      <c r="C476" s="23" t="s">
        <v>425</v>
      </c>
      <c r="D476" s="23" t="s">
        <v>215</v>
      </c>
      <c r="E476" s="23" t="s">
        <v>394</v>
      </c>
      <c r="F476" s="22" t="s">
        <v>112</v>
      </c>
      <c r="G476" s="23" t="s">
        <v>58</v>
      </c>
      <c r="H476" s="24" t="n">
        <v>1</v>
      </c>
      <c r="I476" s="14" t="n">
        <v>0.1538</v>
      </c>
      <c r="J476" s="25" t="s">
        <v>59</v>
      </c>
      <c r="K476" s="25"/>
      <c r="L476" s="25" t="s">
        <v>59</v>
      </c>
      <c r="M476" s="25"/>
      <c r="N476" s="25" t="s">
        <v>59</v>
      </c>
      <c r="O476" s="25"/>
      <c r="P476" s="14" t="n">
        <v>0.1538</v>
      </c>
      <c r="Q476" s="14" t="n">
        <f aca="false">IF(AND($J476="Yes",$G476&lt;&gt;"Vendor day rates"),$I476-0.4*$P476,0)</f>
        <v>0</v>
      </c>
      <c r="R476" s="26" t="n">
        <f aca="false">IFERROR(MATCH($K476,MonthList,0),0)</f>
        <v>0</v>
      </c>
      <c r="S476" s="14" t="n">
        <f aca="false">IF(OR($J476&lt;&gt;"Yes",$K476=""),0,$Q476*MAX(0,7-$R476)/12)</f>
        <v>0</v>
      </c>
      <c r="T476" s="14" t="n">
        <f aca="false">IF(OR($J476&lt;&gt;"Yes",$K476=""),0,$Q476*IF($R476&lt;=7,12,19-$R476)/12)</f>
        <v>0</v>
      </c>
      <c r="U476" s="14" t="n">
        <f aca="false">IF(AND($L476="Yes",$G476&lt;&gt;"Vendor day rates"),$I476-0.4*$P476,0)</f>
        <v>0</v>
      </c>
      <c r="V476" s="26" t="n">
        <f aca="false">IFERROR(MATCH($M476,MonthList,0),0)</f>
        <v>0</v>
      </c>
      <c r="W476" s="14" t="n">
        <f aca="false">IF(OR($L476&lt;&gt;"Yes",$M476=""),0,$U476*MAX(0,7-$V476)/12)</f>
        <v>0</v>
      </c>
      <c r="X476" s="14" t="n">
        <f aca="false">IF(OR($L476&lt;&gt;"Yes",$M476=""),0,$U476*IF($V476&lt;=7,12,19-$V476)/12)</f>
        <v>0</v>
      </c>
      <c r="Y476" s="14" t="n">
        <f aca="false">IF(AND($N476="Yes",$G476&lt;&gt;"Vendor day rates"),$I476-0.4*$P476,0)</f>
        <v>0</v>
      </c>
      <c r="Z476" s="26" t="n">
        <f aca="false">IFERROR(MATCH($O476,MonthList,0),0)</f>
        <v>0</v>
      </c>
      <c r="AA476" s="14" t="n">
        <f aca="false">IF(OR($N476&lt;&gt;"Yes",$O476=""),0,$Y476*MAX(0,7-$Z476)/12)</f>
        <v>0</v>
      </c>
      <c r="AB476" s="14" t="n">
        <f aca="false">IF(OR($N476&lt;&gt;"Yes",$O476=""),0,$Y476*IF($Z476&lt;=7,12,19-$Z476)/12)</f>
        <v>0</v>
      </c>
      <c r="AC476" s="26" t="str">
        <f aca="false">IF(OR($J476="Yes",$L476="Yes",$N476="Yes"),"Yes","No")</f>
        <v>No</v>
      </c>
      <c r="AD476" s="14" t="n">
        <f aca="false">MAX($Q476,$U476,$Y476)</f>
        <v>0</v>
      </c>
      <c r="AE476" s="26" t="n">
        <f aca="false">$AD476+ROW()*0.000000001</f>
        <v>4.76E-007</v>
      </c>
      <c r="AF476" s="26" t="str">
        <f aca="false">IF($J476="Yes","A","")&amp;IF($L476="Yes","B","")&amp;IF($N476="Yes","C","")</f>
        <v/>
      </c>
    </row>
    <row r="477" customFormat="false" ht="15" hidden="false" customHeight="false" outlineLevel="0" collapsed="false">
      <c r="B477" s="22" t="s">
        <v>899</v>
      </c>
      <c r="C477" s="23" t="s">
        <v>900</v>
      </c>
      <c r="D477" s="23"/>
      <c r="E477" s="23" t="s">
        <v>307</v>
      </c>
      <c r="F477" s="22" t="s">
        <v>57</v>
      </c>
      <c r="G477" s="23" t="s">
        <v>304</v>
      </c>
      <c r="H477" s="24" t="n">
        <v>1</v>
      </c>
      <c r="I477" s="14" t="n">
        <v>0</v>
      </c>
      <c r="J477" s="25" t="s">
        <v>59</v>
      </c>
      <c r="K477" s="25"/>
      <c r="L477" s="25" t="s">
        <v>59</v>
      </c>
      <c r="M477" s="25"/>
      <c r="N477" s="25" t="s">
        <v>59</v>
      </c>
      <c r="O477" s="25"/>
      <c r="P477" s="14" t="n">
        <v>0.1705</v>
      </c>
      <c r="Q477" s="14" t="n">
        <f aca="false">IF(AND($J477="Yes",$G477&lt;&gt;"Vendor day rates"),$I477-0.4*$P477,0)</f>
        <v>0</v>
      </c>
      <c r="R477" s="26" t="n">
        <f aca="false">IFERROR(MATCH($K477,MonthList,0),0)</f>
        <v>0</v>
      </c>
      <c r="S477" s="14" t="n">
        <f aca="false">IF(OR($J477&lt;&gt;"Yes",$K477=""),0,$Q477*MAX(0,7-$R477)/12)</f>
        <v>0</v>
      </c>
      <c r="T477" s="14" t="n">
        <f aca="false">IF(OR($J477&lt;&gt;"Yes",$K477=""),0,$Q477*IF($R477&lt;=7,12,19-$R477)/12)</f>
        <v>0</v>
      </c>
      <c r="U477" s="14" t="n">
        <f aca="false">IF(AND($L477="Yes",$G477&lt;&gt;"Vendor day rates"),$I477-0.4*$P477,0)</f>
        <v>0</v>
      </c>
      <c r="V477" s="26" t="n">
        <f aca="false">IFERROR(MATCH($M477,MonthList,0),0)</f>
        <v>0</v>
      </c>
      <c r="W477" s="14" t="n">
        <f aca="false">IF(OR($L477&lt;&gt;"Yes",$M477=""),0,$U477*MAX(0,7-$V477)/12)</f>
        <v>0</v>
      </c>
      <c r="X477" s="14" t="n">
        <f aca="false">IF(OR($L477&lt;&gt;"Yes",$M477=""),0,$U477*IF($V477&lt;=7,12,19-$V477)/12)</f>
        <v>0</v>
      </c>
      <c r="Y477" s="14" t="n">
        <f aca="false">IF(AND($N477="Yes",$G477&lt;&gt;"Vendor day rates"),$I477-0.4*$P477,0)</f>
        <v>0</v>
      </c>
      <c r="Z477" s="26" t="n">
        <f aca="false">IFERROR(MATCH($O477,MonthList,0),0)</f>
        <v>0</v>
      </c>
      <c r="AA477" s="14" t="n">
        <f aca="false">IF(OR($N477&lt;&gt;"Yes",$O477=""),0,$Y477*MAX(0,7-$Z477)/12)</f>
        <v>0</v>
      </c>
      <c r="AB477" s="14" t="n">
        <f aca="false">IF(OR($N477&lt;&gt;"Yes",$O477=""),0,$Y477*IF($Z477&lt;=7,12,19-$Z477)/12)</f>
        <v>0</v>
      </c>
      <c r="AC477" s="26" t="str">
        <f aca="false">IF(OR($J477="Yes",$L477="Yes",$N477="Yes"),"Yes","No")</f>
        <v>No</v>
      </c>
      <c r="AD477" s="14" t="n">
        <f aca="false">MAX($Q477,$U477,$Y477)</f>
        <v>0</v>
      </c>
      <c r="AE477" s="26" t="n">
        <f aca="false">$AD477+ROW()*0.000000001</f>
        <v>4.77E-007</v>
      </c>
      <c r="AF477" s="26" t="str">
        <f aca="false">IF($J477="Yes","A","")&amp;IF($L477="Yes","B","")&amp;IF($N477="Yes","C","")</f>
        <v/>
      </c>
    </row>
    <row r="478" customFormat="false" ht="15" hidden="false" customHeight="false" outlineLevel="0" collapsed="false">
      <c r="B478" s="22" t="s">
        <v>901</v>
      </c>
      <c r="C478" s="23" t="s">
        <v>902</v>
      </c>
      <c r="D478" s="23"/>
      <c r="E478" s="23" t="s">
        <v>307</v>
      </c>
      <c r="F478" s="22" t="s">
        <v>57</v>
      </c>
      <c r="G478" s="23" t="s">
        <v>304</v>
      </c>
      <c r="H478" s="24" t="n">
        <v>1</v>
      </c>
      <c r="I478" s="14" t="n">
        <v>0</v>
      </c>
      <c r="J478" s="25" t="s">
        <v>59</v>
      </c>
      <c r="K478" s="25"/>
      <c r="L478" s="25" t="s">
        <v>59</v>
      </c>
      <c r="M478" s="25"/>
      <c r="N478" s="25" t="s">
        <v>59</v>
      </c>
      <c r="O478" s="25"/>
      <c r="P478" s="14" t="n">
        <v>0.1705</v>
      </c>
      <c r="Q478" s="14" t="n">
        <f aca="false">IF(AND($J478="Yes",$G478&lt;&gt;"Vendor day rates"),$I478-0.4*$P478,0)</f>
        <v>0</v>
      </c>
      <c r="R478" s="26" t="n">
        <f aca="false">IFERROR(MATCH($K478,MonthList,0),0)</f>
        <v>0</v>
      </c>
      <c r="S478" s="14" t="n">
        <f aca="false">IF(OR($J478&lt;&gt;"Yes",$K478=""),0,$Q478*MAX(0,7-$R478)/12)</f>
        <v>0</v>
      </c>
      <c r="T478" s="14" t="n">
        <f aca="false">IF(OR($J478&lt;&gt;"Yes",$K478=""),0,$Q478*IF($R478&lt;=7,12,19-$R478)/12)</f>
        <v>0</v>
      </c>
      <c r="U478" s="14" t="n">
        <f aca="false">IF(AND($L478="Yes",$G478&lt;&gt;"Vendor day rates"),$I478-0.4*$P478,0)</f>
        <v>0</v>
      </c>
      <c r="V478" s="26" t="n">
        <f aca="false">IFERROR(MATCH($M478,MonthList,0),0)</f>
        <v>0</v>
      </c>
      <c r="W478" s="14" t="n">
        <f aca="false">IF(OR($L478&lt;&gt;"Yes",$M478=""),0,$U478*MAX(0,7-$V478)/12)</f>
        <v>0</v>
      </c>
      <c r="X478" s="14" t="n">
        <f aca="false">IF(OR($L478&lt;&gt;"Yes",$M478=""),0,$U478*IF($V478&lt;=7,12,19-$V478)/12)</f>
        <v>0</v>
      </c>
      <c r="Y478" s="14" t="n">
        <f aca="false">IF(AND($N478="Yes",$G478&lt;&gt;"Vendor day rates"),$I478-0.4*$P478,0)</f>
        <v>0</v>
      </c>
      <c r="Z478" s="26" t="n">
        <f aca="false">IFERROR(MATCH($O478,MonthList,0),0)</f>
        <v>0</v>
      </c>
      <c r="AA478" s="14" t="n">
        <f aca="false">IF(OR($N478&lt;&gt;"Yes",$O478=""),0,$Y478*MAX(0,7-$Z478)/12)</f>
        <v>0</v>
      </c>
      <c r="AB478" s="14" t="n">
        <f aca="false">IF(OR($N478&lt;&gt;"Yes",$O478=""),0,$Y478*IF($Z478&lt;=7,12,19-$Z478)/12)</f>
        <v>0</v>
      </c>
      <c r="AC478" s="26" t="str">
        <f aca="false">IF(OR($J478="Yes",$L478="Yes",$N478="Yes"),"Yes","No")</f>
        <v>No</v>
      </c>
      <c r="AD478" s="14" t="n">
        <f aca="false">MAX($Q478,$U478,$Y478)</f>
        <v>0</v>
      </c>
      <c r="AE478" s="26" t="n">
        <f aca="false">$AD478+ROW()*0.000000001</f>
        <v>4.78E-007</v>
      </c>
      <c r="AF478" s="26" t="str">
        <f aca="false">IF($J478="Yes","A","")&amp;IF($L478="Yes","B","")&amp;IF($N478="Yes","C","")</f>
        <v/>
      </c>
    </row>
    <row r="479" customFormat="false" ht="15" hidden="false" customHeight="false" outlineLevel="0" collapsed="false">
      <c r="B479" s="22" t="s">
        <v>903</v>
      </c>
      <c r="C479" s="23" t="s">
        <v>904</v>
      </c>
      <c r="D479" s="23" t="s">
        <v>147</v>
      </c>
      <c r="E479" s="23" t="s">
        <v>167</v>
      </c>
      <c r="F479" s="22" t="s">
        <v>57</v>
      </c>
      <c r="G479" s="23" t="s">
        <v>121</v>
      </c>
      <c r="H479" s="24" t="n">
        <v>1</v>
      </c>
      <c r="I479" s="14" t="n">
        <v>0.0556</v>
      </c>
      <c r="J479" s="25" t="s">
        <v>59</v>
      </c>
      <c r="K479" s="25"/>
      <c r="L479" s="25" t="s">
        <v>59</v>
      </c>
      <c r="M479" s="25"/>
      <c r="N479" s="25" t="s">
        <v>59</v>
      </c>
      <c r="O479" s="25"/>
      <c r="P479" s="14" t="n">
        <v>0.139</v>
      </c>
      <c r="Q479" s="14" t="n">
        <f aca="false">IF(AND($J479="Yes",$G479&lt;&gt;"Vendor day rates"),$I479-0.4*$P479,0)</f>
        <v>0</v>
      </c>
      <c r="R479" s="26" t="n">
        <f aca="false">IFERROR(MATCH($K479,MonthList,0),0)</f>
        <v>0</v>
      </c>
      <c r="S479" s="14" t="n">
        <f aca="false">IF(OR($J479&lt;&gt;"Yes",$K479=""),0,$Q479*MAX(0,7-$R479)/12)</f>
        <v>0</v>
      </c>
      <c r="T479" s="14" t="n">
        <f aca="false">IF(OR($J479&lt;&gt;"Yes",$K479=""),0,$Q479*IF($R479&lt;=7,12,19-$R479)/12)</f>
        <v>0</v>
      </c>
      <c r="U479" s="14" t="n">
        <f aca="false">IF(AND($L479="Yes",$G479&lt;&gt;"Vendor day rates"),$I479-0.4*$P479,0)</f>
        <v>0</v>
      </c>
      <c r="V479" s="26" t="n">
        <f aca="false">IFERROR(MATCH($M479,MonthList,0),0)</f>
        <v>0</v>
      </c>
      <c r="W479" s="14" t="n">
        <f aca="false">IF(OR($L479&lt;&gt;"Yes",$M479=""),0,$U479*MAX(0,7-$V479)/12)</f>
        <v>0</v>
      </c>
      <c r="X479" s="14" t="n">
        <f aca="false">IF(OR($L479&lt;&gt;"Yes",$M479=""),0,$U479*IF($V479&lt;=7,12,19-$V479)/12)</f>
        <v>0</v>
      </c>
      <c r="Y479" s="14" t="n">
        <f aca="false">IF(AND($N479="Yes",$G479&lt;&gt;"Vendor day rates"),$I479-0.4*$P479,0)</f>
        <v>0</v>
      </c>
      <c r="Z479" s="26" t="n">
        <f aca="false">IFERROR(MATCH($O479,MonthList,0),0)</f>
        <v>0</v>
      </c>
      <c r="AA479" s="14" t="n">
        <f aca="false">IF(OR($N479&lt;&gt;"Yes",$O479=""),0,$Y479*MAX(0,7-$Z479)/12)</f>
        <v>0</v>
      </c>
      <c r="AB479" s="14" t="n">
        <f aca="false">IF(OR($N479&lt;&gt;"Yes",$O479=""),0,$Y479*IF($Z479&lt;=7,12,19-$Z479)/12)</f>
        <v>0</v>
      </c>
      <c r="AC479" s="26" t="str">
        <f aca="false">IF(OR($J479="Yes",$L479="Yes",$N479="Yes"),"Yes","No")</f>
        <v>No</v>
      </c>
      <c r="AD479" s="14" t="n">
        <f aca="false">MAX($Q479,$U479,$Y479)</f>
        <v>0</v>
      </c>
      <c r="AE479" s="26" t="n">
        <f aca="false">$AD479+ROW()*0.000000001</f>
        <v>4.79E-007</v>
      </c>
      <c r="AF479" s="26" t="str">
        <f aca="false">IF($J479="Yes","A","")&amp;IF($L479="Yes","B","")&amp;IF($N479="Yes","C","")</f>
        <v/>
      </c>
    </row>
    <row r="480" customFormat="false" ht="15" hidden="false" customHeight="false" outlineLevel="0" collapsed="false">
      <c r="B480" s="22" t="s">
        <v>905</v>
      </c>
      <c r="C480" s="23" t="s">
        <v>120</v>
      </c>
      <c r="D480" s="23" t="s">
        <v>212</v>
      </c>
      <c r="E480" s="23" t="s">
        <v>325</v>
      </c>
      <c r="F480" s="22" t="s">
        <v>57</v>
      </c>
      <c r="G480" s="23" t="s">
        <v>58</v>
      </c>
      <c r="H480" s="24" t="n">
        <v>1</v>
      </c>
      <c r="I480" s="14" t="n">
        <v>0.194</v>
      </c>
      <c r="J480" s="25" t="s">
        <v>59</v>
      </c>
      <c r="K480" s="25"/>
      <c r="L480" s="25" t="s">
        <v>59</v>
      </c>
      <c r="M480" s="25"/>
      <c r="N480" s="25" t="s">
        <v>59</v>
      </c>
      <c r="O480" s="25"/>
      <c r="P480" s="14" t="n">
        <v>0.194</v>
      </c>
      <c r="Q480" s="14" t="n">
        <f aca="false">IF(AND($J480="Yes",$G480&lt;&gt;"Vendor day rates"),$I480-0.4*$P480,0)</f>
        <v>0</v>
      </c>
      <c r="R480" s="26" t="n">
        <f aca="false">IFERROR(MATCH($K480,MonthList,0),0)</f>
        <v>0</v>
      </c>
      <c r="S480" s="14" t="n">
        <f aca="false">IF(OR($J480&lt;&gt;"Yes",$K480=""),0,$Q480*MAX(0,7-$R480)/12)</f>
        <v>0</v>
      </c>
      <c r="T480" s="14" t="n">
        <f aca="false">IF(OR($J480&lt;&gt;"Yes",$K480=""),0,$Q480*IF($R480&lt;=7,12,19-$R480)/12)</f>
        <v>0</v>
      </c>
      <c r="U480" s="14" t="n">
        <f aca="false">IF(AND($L480="Yes",$G480&lt;&gt;"Vendor day rates"),$I480-0.4*$P480,0)</f>
        <v>0</v>
      </c>
      <c r="V480" s="26" t="n">
        <f aca="false">IFERROR(MATCH($M480,MonthList,0),0)</f>
        <v>0</v>
      </c>
      <c r="W480" s="14" t="n">
        <f aca="false">IF(OR($L480&lt;&gt;"Yes",$M480=""),0,$U480*MAX(0,7-$V480)/12)</f>
        <v>0</v>
      </c>
      <c r="X480" s="14" t="n">
        <f aca="false">IF(OR($L480&lt;&gt;"Yes",$M480=""),0,$U480*IF($V480&lt;=7,12,19-$V480)/12)</f>
        <v>0</v>
      </c>
      <c r="Y480" s="14" t="n">
        <f aca="false">IF(AND($N480="Yes",$G480&lt;&gt;"Vendor day rates"),$I480-0.4*$P480,0)</f>
        <v>0</v>
      </c>
      <c r="Z480" s="26" t="n">
        <f aca="false">IFERROR(MATCH($O480,MonthList,0),0)</f>
        <v>0</v>
      </c>
      <c r="AA480" s="14" t="n">
        <f aca="false">IF(OR($N480&lt;&gt;"Yes",$O480=""),0,$Y480*MAX(0,7-$Z480)/12)</f>
        <v>0</v>
      </c>
      <c r="AB480" s="14" t="n">
        <f aca="false">IF(OR($N480&lt;&gt;"Yes",$O480=""),0,$Y480*IF($Z480&lt;=7,12,19-$Z480)/12)</f>
        <v>0</v>
      </c>
      <c r="AC480" s="26" t="str">
        <f aca="false">IF(OR($J480="Yes",$L480="Yes",$N480="Yes"),"Yes","No")</f>
        <v>No</v>
      </c>
      <c r="AD480" s="14" t="n">
        <f aca="false">MAX($Q480,$U480,$Y480)</f>
        <v>0</v>
      </c>
      <c r="AE480" s="26" t="n">
        <f aca="false">$AD480+ROW()*0.000000001</f>
        <v>4.8E-007</v>
      </c>
      <c r="AF480" s="26" t="str">
        <f aca="false">IF($J480="Yes","A","")&amp;IF($L480="Yes","B","")&amp;IF($N480="Yes","C","")</f>
        <v/>
      </c>
    </row>
    <row r="481" customFormat="false" ht="15" hidden="false" customHeight="false" outlineLevel="0" collapsed="false">
      <c r="B481" s="22" t="s">
        <v>906</v>
      </c>
      <c r="C481" s="23" t="s">
        <v>120</v>
      </c>
      <c r="D481" s="23" t="s">
        <v>212</v>
      </c>
      <c r="E481" s="23" t="s">
        <v>563</v>
      </c>
      <c r="F481" s="22" t="s">
        <v>57</v>
      </c>
      <c r="G481" s="23" t="s">
        <v>476</v>
      </c>
      <c r="H481" s="24" t="n">
        <v>1</v>
      </c>
      <c r="I481" s="14" t="n">
        <v>0.0511</v>
      </c>
      <c r="J481" s="25" t="s">
        <v>59</v>
      </c>
      <c r="K481" s="25"/>
      <c r="L481" s="25" t="s">
        <v>59</v>
      </c>
      <c r="M481" s="25"/>
      <c r="N481" s="25" t="s">
        <v>59</v>
      </c>
      <c r="O481" s="25"/>
      <c r="P481" s="14" t="n">
        <v>0.1705</v>
      </c>
      <c r="Q481" s="14" t="n">
        <f aca="false">IF(AND($J481="Yes",$G481&lt;&gt;"Vendor day rates"),$I481-0.4*$P481,0)</f>
        <v>0</v>
      </c>
      <c r="R481" s="26" t="n">
        <f aca="false">IFERROR(MATCH($K481,MonthList,0),0)</f>
        <v>0</v>
      </c>
      <c r="S481" s="14" t="n">
        <f aca="false">IF(OR($J481&lt;&gt;"Yes",$K481=""),0,$Q481*MAX(0,7-$R481)/12)</f>
        <v>0</v>
      </c>
      <c r="T481" s="14" t="n">
        <f aca="false">IF(OR($J481&lt;&gt;"Yes",$K481=""),0,$Q481*IF($R481&lt;=7,12,19-$R481)/12)</f>
        <v>0</v>
      </c>
      <c r="U481" s="14" t="n">
        <f aca="false">IF(AND($L481="Yes",$G481&lt;&gt;"Vendor day rates"),$I481-0.4*$P481,0)</f>
        <v>0</v>
      </c>
      <c r="V481" s="26" t="n">
        <f aca="false">IFERROR(MATCH($M481,MonthList,0),0)</f>
        <v>0</v>
      </c>
      <c r="W481" s="14" t="n">
        <f aca="false">IF(OR($L481&lt;&gt;"Yes",$M481=""),0,$U481*MAX(0,7-$V481)/12)</f>
        <v>0</v>
      </c>
      <c r="X481" s="14" t="n">
        <f aca="false">IF(OR($L481&lt;&gt;"Yes",$M481=""),0,$U481*IF($V481&lt;=7,12,19-$V481)/12)</f>
        <v>0</v>
      </c>
      <c r="Y481" s="14" t="n">
        <f aca="false">IF(AND($N481="Yes",$G481&lt;&gt;"Vendor day rates"),$I481-0.4*$P481,0)</f>
        <v>0</v>
      </c>
      <c r="Z481" s="26" t="n">
        <f aca="false">IFERROR(MATCH($O481,MonthList,0),0)</f>
        <v>0</v>
      </c>
      <c r="AA481" s="14" t="n">
        <f aca="false">IF(OR($N481&lt;&gt;"Yes",$O481=""),0,$Y481*MAX(0,7-$Z481)/12)</f>
        <v>0</v>
      </c>
      <c r="AB481" s="14" t="n">
        <f aca="false">IF(OR($N481&lt;&gt;"Yes",$O481=""),0,$Y481*IF($Z481&lt;=7,12,19-$Z481)/12)</f>
        <v>0</v>
      </c>
      <c r="AC481" s="26" t="str">
        <f aca="false">IF(OR($J481="Yes",$L481="Yes",$N481="Yes"),"Yes","No")</f>
        <v>No</v>
      </c>
      <c r="AD481" s="14" t="n">
        <f aca="false">MAX($Q481,$U481,$Y481)</f>
        <v>0</v>
      </c>
      <c r="AE481" s="26" t="n">
        <f aca="false">$AD481+ROW()*0.000000001</f>
        <v>4.81E-007</v>
      </c>
      <c r="AF481" s="26" t="str">
        <f aca="false">IF($J481="Yes","A","")&amp;IF($L481="Yes","B","")&amp;IF($N481="Yes","C","")</f>
        <v/>
      </c>
    </row>
    <row r="482" customFormat="false" ht="15" hidden="false" customHeight="false" outlineLevel="0" collapsed="false">
      <c r="B482" s="22" t="s">
        <v>907</v>
      </c>
      <c r="C482" s="23" t="s">
        <v>120</v>
      </c>
      <c r="D482" s="23" t="s">
        <v>212</v>
      </c>
      <c r="E482" s="23" t="s">
        <v>563</v>
      </c>
      <c r="F482" s="22" t="s">
        <v>57</v>
      </c>
      <c r="G482" s="23" t="s">
        <v>476</v>
      </c>
      <c r="H482" s="24" t="n">
        <v>1</v>
      </c>
      <c r="I482" s="14" t="n">
        <v>0.0511</v>
      </c>
      <c r="J482" s="25" t="s">
        <v>59</v>
      </c>
      <c r="K482" s="25"/>
      <c r="L482" s="25" t="s">
        <v>59</v>
      </c>
      <c r="M482" s="25"/>
      <c r="N482" s="25" t="s">
        <v>59</v>
      </c>
      <c r="O482" s="25"/>
      <c r="P482" s="14" t="n">
        <v>0.1705</v>
      </c>
      <c r="Q482" s="14" t="n">
        <f aca="false">IF(AND($J482="Yes",$G482&lt;&gt;"Vendor day rates"),$I482-0.4*$P482,0)</f>
        <v>0</v>
      </c>
      <c r="R482" s="26" t="n">
        <f aca="false">IFERROR(MATCH($K482,MonthList,0),0)</f>
        <v>0</v>
      </c>
      <c r="S482" s="14" t="n">
        <f aca="false">IF(OR($J482&lt;&gt;"Yes",$K482=""),0,$Q482*MAX(0,7-$R482)/12)</f>
        <v>0</v>
      </c>
      <c r="T482" s="14" t="n">
        <f aca="false">IF(OR($J482&lt;&gt;"Yes",$K482=""),0,$Q482*IF($R482&lt;=7,12,19-$R482)/12)</f>
        <v>0</v>
      </c>
      <c r="U482" s="14" t="n">
        <f aca="false">IF(AND($L482="Yes",$G482&lt;&gt;"Vendor day rates"),$I482-0.4*$P482,0)</f>
        <v>0</v>
      </c>
      <c r="V482" s="26" t="n">
        <f aca="false">IFERROR(MATCH($M482,MonthList,0),0)</f>
        <v>0</v>
      </c>
      <c r="W482" s="14" t="n">
        <f aca="false">IF(OR($L482&lt;&gt;"Yes",$M482=""),0,$U482*MAX(0,7-$V482)/12)</f>
        <v>0</v>
      </c>
      <c r="X482" s="14" t="n">
        <f aca="false">IF(OR($L482&lt;&gt;"Yes",$M482=""),0,$U482*IF($V482&lt;=7,12,19-$V482)/12)</f>
        <v>0</v>
      </c>
      <c r="Y482" s="14" t="n">
        <f aca="false">IF(AND($N482="Yes",$G482&lt;&gt;"Vendor day rates"),$I482-0.4*$P482,0)</f>
        <v>0</v>
      </c>
      <c r="Z482" s="26" t="n">
        <f aca="false">IFERROR(MATCH($O482,MonthList,0),0)</f>
        <v>0</v>
      </c>
      <c r="AA482" s="14" t="n">
        <f aca="false">IF(OR($N482&lt;&gt;"Yes",$O482=""),0,$Y482*MAX(0,7-$Z482)/12)</f>
        <v>0</v>
      </c>
      <c r="AB482" s="14" t="n">
        <f aca="false">IF(OR($N482&lt;&gt;"Yes",$O482=""),0,$Y482*IF($Z482&lt;=7,12,19-$Z482)/12)</f>
        <v>0</v>
      </c>
      <c r="AC482" s="26" t="str">
        <f aca="false">IF(OR($J482="Yes",$L482="Yes",$N482="Yes"),"Yes","No")</f>
        <v>No</v>
      </c>
      <c r="AD482" s="14" t="n">
        <f aca="false">MAX($Q482,$U482,$Y482)</f>
        <v>0</v>
      </c>
      <c r="AE482" s="26" t="n">
        <f aca="false">$AD482+ROW()*0.000000001</f>
        <v>4.82E-007</v>
      </c>
      <c r="AF482" s="26" t="str">
        <f aca="false">IF($J482="Yes","A","")&amp;IF($L482="Yes","B","")&amp;IF($N482="Yes","C","")</f>
        <v/>
      </c>
    </row>
    <row r="483" customFormat="false" ht="15" hidden="false" customHeight="false" outlineLevel="0" collapsed="false">
      <c r="B483" s="22" t="s">
        <v>908</v>
      </c>
      <c r="C483" s="23" t="s">
        <v>120</v>
      </c>
      <c r="D483" s="23" t="s">
        <v>212</v>
      </c>
      <c r="E483" s="23" t="s">
        <v>563</v>
      </c>
      <c r="F483" s="22" t="s">
        <v>57</v>
      </c>
      <c r="G483" s="23" t="s">
        <v>476</v>
      </c>
      <c r="H483" s="24" t="n">
        <v>1</v>
      </c>
      <c r="I483" s="14" t="n">
        <v>0.0609</v>
      </c>
      <c r="J483" s="25" t="s">
        <v>59</v>
      </c>
      <c r="K483" s="25"/>
      <c r="L483" s="25" t="s">
        <v>59</v>
      </c>
      <c r="M483" s="25"/>
      <c r="N483" s="25" t="s">
        <v>59</v>
      </c>
      <c r="O483" s="25"/>
      <c r="P483" s="14" t="n">
        <v>0.2029</v>
      </c>
      <c r="Q483" s="14" t="n">
        <f aca="false">IF(AND($J483="Yes",$G483&lt;&gt;"Vendor day rates"),$I483-0.4*$P483,0)</f>
        <v>0</v>
      </c>
      <c r="R483" s="26" t="n">
        <f aca="false">IFERROR(MATCH($K483,MonthList,0),0)</f>
        <v>0</v>
      </c>
      <c r="S483" s="14" t="n">
        <f aca="false">IF(OR($J483&lt;&gt;"Yes",$K483=""),0,$Q483*MAX(0,7-$R483)/12)</f>
        <v>0</v>
      </c>
      <c r="T483" s="14" t="n">
        <f aca="false">IF(OR($J483&lt;&gt;"Yes",$K483=""),0,$Q483*IF($R483&lt;=7,12,19-$R483)/12)</f>
        <v>0</v>
      </c>
      <c r="U483" s="14" t="n">
        <f aca="false">IF(AND($L483="Yes",$G483&lt;&gt;"Vendor day rates"),$I483-0.4*$P483,0)</f>
        <v>0</v>
      </c>
      <c r="V483" s="26" t="n">
        <f aca="false">IFERROR(MATCH($M483,MonthList,0),0)</f>
        <v>0</v>
      </c>
      <c r="W483" s="14" t="n">
        <f aca="false">IF(OR($L483&lt;&gt;"Yes",$M483=""),0,$U483*MAX(0,7-$V483)/12)</f>
        <v>0</v>
      </c>
      <c r="X483" s="14" t="n">
        <f aca="false">IF(OR($L483&lt;&gt;"Yes",$M483=""),0,$U483*IF($V483&lt;=7,12,19-$V483)/12)</f>
        <v>0</v>
      </c>
      <c r="Y483" s="14" t="n">
        <f aca="false">IF(AND($N483="Yes",$G483&lt;&gt;"Vendor day rates"),$I483-0.4*$P483,0)</f>
        <v>0</v>
      </c>
      <c r="Z483" s="26" t="n">
        <f aca="false">IFERROR(MATCH($O483,MonthList,0),0)</f>
        <v>0</v>
      </c>
      <c r="AA483" s="14" t="n">
        <f aca="false">IF(OR($N483&lt;&gt;"Yes",$O483=""),0,$Y483*MAX(0,7-$Z483)/12)</f>
        <v>0</v>
      </c>
      <c r="AB483" s="14" t="n">
        <f aca="false">IF(OR($N483&lt;&gt;"Yes",$O483=""),0,$Y483*IF($Z483&lt;=7,12,19-$Z483)/12)</f>
        <v>0</v>
      </c>
      <c r="AC483" s="26" t="str">
        <f aca="false">IF(OR($J483="Yes",$L483="Yes",$N483="Yes"),"Yes","No")</f>
        <v>No</v>
      </c>
      <c r="AD483" s="14" t="n">
        <f aca="false">MAX($Q483,$U483,$Y483)</f>
        <v>0</v>
      </c>
      <c r="AE483" s="26" t="n">
        <f aca="false">$AD483+ROW()*0.000000001</f>
        <v>4.83E-007</v>
      </c>
      <c r="AF483" s="26" t="str">
        <f aca="false">IF($J483="Yes","A","")&amp;IF($L483="Yes","B","")&amp;IF($N483="Yes","C","")</f>
        <v/>
      </c>
    </row>
    <row r="484" customFormat="false" ht="15" hidden="false" customHeight="false" outlineLevel="0" collapsed="false">
      <c r="B484" s="22" t="s">
        <v>909</v>
      </c>
      <c r="C484" s="23" t="s">
        <v>910</v>
      </c>
      <c r="D484" s="23" t="s">
        <v>147</v>
      </c>
      <c r="E484" s="23" t="s">
        <v>199</v>
      </c>
      <c r="F484" s="22" t="s">
        <v>112</v>
      </c>
      <c r="G484" s="23" t="s">
        <v>58</v>
      </c>
      <c r="H484" s="24" t="n">
        <v>1</v>
      </c>
      <c r="I484" s="14" t="n">
        <v>0.1478</v>
      </c>
      <c r="J484" s="25" t="s">
        <v>59</v>
      </c>
      <c r="K484" s="25"/>
      <c r="L484" s="25" t="s">
        <v>59</v>
      </c>
      <c r="M484" s="25"/>
      <c r="N484" s="25" t="s">
        <v>59</v>
      </c>
      <c r="O484" s="25"/>
      <c r="P484" s="14" t="n">
        <v>0.1478</v>
      </c>
      <c r="Q484" s="14" t="n">
        <f aca="false">IF(AND($J484="Yes",$G484&lt;&gt;"Vendor day rates"),$I484-0.4*$P484,0)</f>
        <v>0</v>
      </c>
      <c r="R484" s="26" t="n">
        <f aca="false">IFERROR(MATCH($K484,MonthList,0),0)</f>
        <v>0</v>
      </c>
      <c r="S484" s="14" t="n">
        <f aca="false">IF(OR($J484&lt;&gt;"Yes",$K484=""),0,$Q484*MAX(0,7-$R484)/12)</f>
        <v>0</v>
      </c>
      <c r="T484" s="14" t="n">
        <f aca="false">IF(OR($J484&lt;&gt;"Yes",$K484=""),0,$Q484*IF($R484&lt;=7,12,19-$R484)/12)</f>
        <v>0</v>
      </c>
      <c r="U484" s="14" t="n">
        <f aca="false">IF(AND($L484="Yes",$G484&lt;&gt;"Vendor day rates"),$I484-0.4*$P484,0)</f>
        <v>0</v>
      </c>
      <c r="V484" s="26" t="n">
        <f aca="false">IFERROR(MATCH($M484,MonthList,0),0)</f>
        <v>0</v>
      </c>
      <c r="W484" s="14" t="n">
        <f aca="false">IF(OR($L484&lt;&gt;"Yes",$M484=""),0,$U484*MAX(0,7-$V484)/12)</f>
        <v>0</v>
      </c>
      <c r="X484" s="14" t="n">
        <f aca="false">IF(OR($L484&lt;&gt;"Yes",$M484=""),0,$U484*IF($V484&lt;=7,12,19-$V484)/12)</f>
        <v>0</v>
      </c>
      <c r="Y484" s="14" t="n">
        <f aca="false">IF(AND($N484="Yes",$G484&lt;&gt;"Vendor day rates"),$I484-0.4*$P484,0)</f>
        <v>0</v>
      </c>
      <c r="Z484" s="26" t="n">
        <f aca="false">IFERROR(MATCH($O484,MonthList,0),0)</f>
        <v>0</v>
      </c>
      <c r="AA484" s="14" t="n">
        <f aca="false">IF(OR($N484&lt;&gt;"Yes",$O484=""),0,$Y484*MAX(0,7-$Z484)/12)</f>
        <v>0</v>
      </c>
      <c r="AB484" s="14" t="n">
        <f aca="false">IF(OR($N484&lt;&gt;"Yes",$O484=""),0,$Y484*IF($Z484&lt;=7,12,19-$Z484)/12)</f>
        <v>0</v>
      </c>
      <c r="AC484" s="26" t="str">
        <f aca="false">IF(OR($J484="Yes",$L484="Yes",$N484="Yes"),"Yes","No")</f>
        <v>No</v>
      </c>
      <c r="AD484" s="14" t="n">
        <f aca="false">MAX($Q484,$U484,$Y484)</f>
        <v>0</v>
      </c>
      <c r="AE484" s="26" t="n">
        <f aca="false">$AD484+ROW()*0.000000001</f>
        <v>4.84E-007</v>
      </c>
      <c r="AF484" s="26" t="str">
        <f aca="false">IF($J484="Yes","A","")&amp;IF($L484="Yes","B","")&amp;IF($N484="Yes","C","")</f>
        <v/>
      </c>
    </row>
    <row r="485" customFormat="false" ht="15" hidden="false" customHeight="false" outlineLevel="0" collapsed="false">
      <c r="B485" s="22" t="s">
        <v>911</v>
      </c>
      <c r="C485" s="23" t="s">
        <v>910</v>
      </c>
      <c r="D485" s="23" t="s">
        <v>147</v>
      </c>
      <c r="E485" s="23" t="s">
        <v>199</v>
      </c>
      <c r="F485" s="22" t="s">
        <v>112</v>
      </c>
      <c r="G485" s="23" t="s">
        <v>149</v>
      </c>
      <c r="H485" s="24" t="n">
        <v>1</v>
      </c>
      <c r="I485" s="14" t="n">
        <v>0.1518</v>
      </c>
      <c r="J485" s="25" t="s">
        <v>59</v>
      </c>
      <c r="K485" s="25"/>
      <c r="L485" s="25" t="s">
        <v>59</v>
      </c>
      <c r="M485" s="25"/>
      <c r="N485" s="25" t="s">
        <v>59</v>
      </c>
      <c r="O485" s="25"/>
      <c r="P485" s="14" t="n">
        <v>0.1518</v>
      </c>
      <c r="Q485" s="14" t="n">
        <f aca="false">IF(AND($J485="Yes",$G485&lt;&gt;"Vendor day rates"),$I485-0.4*$P485,0)</f>
        <v>0</v>
      </c>
      <c r="R485" s="26" t="n">
        <f aca="false">IFERROR(MATCH($K485,MonthList,0),0)</f>
        <v>0</v>
      </c>
      <c r="S485" s="14" t="n">
        <f aca="false">IF(OR($J485&lt;&gt;"Yes",$K485=""),0,$Q485*MAX(0,7-$R485)/12)</f>
        <v>0</v>
      </c>
      <c r="T485" s="14" t="n">
        <f aca="false">IF(OR($J485&lt;&gt;"Yes",$K485=""),0,$Q485*IF($R485&lt;=7,12,19-$R485)/12)</f>
        <v>0</v>
      </c>
      <c r="U485" s="14" t="n">
        <f aca="false">IF(AND($L485="Yes",$G485&lt;&gt;"Vendor day rates"),$I485-0.4*$P485,0)</f>
        <v>0</v>
      </c>
      <c r="V485" s="26" t="n">
        <f aca="false">IFERROR(MATCH($M485,MonthList,0),0)</f>
        <v>0</v>
      </c>
      <c r="W485" s="14" t="n">
        <f aca="false">IF(OR($L485&lt;&gt;"Yes",$M485=""),0,$U485*MAX(0,7-$V485)/12)</f>
        <v>0</v>
      </c>
      <c r="X485" s="14" t="n">
        <f aca="false">IF(OR($L485&lt;&gt;"Yes",$M485=""),0,$U485*IF($V485&lt;=7,12,19-$V485)/12)</f>
        <v>0</v>
      </c>
      <c r="Y485" s="14" t="n">
        <f aca="false">IF(AND($N485="Yes",$G485&lt;&gt;"Vendor day rates"),$I485-0.4*$P485,0)</f>
        <v>0</v>
      </c>
      <c r="Z485" s="26" t="n">
        <f aca="false">IFERROR(MATCH($O485,MonthList,0),0)</f>
        <v>0</v>
      </c>
      <c r="AA485" s="14" t="n">
        <f aca="false">IF(OR($N485&lt;&gt;"Yes",$O485=""),0,$Y485*MAX(0,7-$Z485)/12)</f>
        <v>0</v>
      </c>
      <c r="AB485" s="14" t="n">
        <f aca="false">IF(OR($N485&lt;&gt;"Yes",$O485=""),0,$Y485*IF($Z485&lt;=7,12,19-$Z485)/12)</f>
        <v>0</v>
      </c>
      <c r="AC485" s="26" t="str">
        <f aca="false">IF(OR($J485="Yes",$L485="Yes",$N485="Yes"),"Yes","No")</f>
        <v>No</v>
      </c>
      <c r="AD485" s="14" t="n">
        <f aca="false">MAX($Q485,$U485,$Y485)</f>
        <v>0</v>
      </c>
      <c r="AE485" s="26" t="n">
        <f aca="false">$AD485+ROW()*0.000000001</f>
        <v>4.85E-007</v>
      </c>
      <c r="AF485" s="26" t="str">
        <f aca="false">IF($J485="Yes","A","")&amp;IF($L485="Yes","B","")&amp;IF($N485="Yes","C","")</f>
        <v/>
      </c>
    </row>
    <row r="486" customFormat="false" ht="15" hidden="false" customHeight="false" outlineLevel="0" collapsed="false">
      <c r="B486" s="22" t="s">
        <v>912</v>
      </c>
      <c r="C486" s="23" t="s">
        <v>769</v>
      </c>
      <c r="D486" s="23" t="s">
        <v>158</v>
      </c>
      <c r="E486" s="23" t="s">
        <v>447</v>
      </c>
      <c r="F486" s="22" t="s">
        <v>112</v>
      </c>
      <c r="G486" s="23" t="s">
        <v>121</v>
      </c>
      <c r="H486" s="24" t="n">
        <v>1</v>
      </c>
      <c r="I486" s="14" t="n">
        <v>0.0558</v>
      </c>
      <c r="J486" s="25" t="s">
        <v>59</v>
      </c>
      <c r="K486" s="25"/>
      <c r="L486" s="25" t="s">
        <v>59</v>
      </c>
      <c r="M486" s="25"/>
      <c r="N486" s="25" t="s">
        <v>59</v>
      </c>
      <c r="O486" s="25"/>
      <c r="P486" s="14" t="n">
        <v>0.1396</v>
      </c>
      <c r="Q486" s="14" t="n">
        <f aca="false">IF(AND($J486="Yes",$G486&lt;&gt;"Vendor day rates"),$I486-0.4*$P486,0)</f>
        <v>0</v>
      </c>
      <c r="R486" s="26" t="n">
        <f aca="false">IFERROR(MATCH($K486,MonthList,0),0)</f>
        <v>0</v>
      </c>
      <c r="S486" s="14" t="n">
        <f aca="false">IF(OR($J486&lt;&gt;"Yes",$K486=""),0,$Q486*MAX(0,7-$R486)/12)</f>
        <v>0</v>
      </c>
      <c r="T486" s="14" t="n">
        <f aca="false">IF(OR($J486&lt;&gt;"Yes",$K486=""),0,$Q486*IF($R486&lt;=7,12,19-$R486)/12)</f>
        <v>0</v>
      </c>
      <c r="U486" s="14" t="n">
        <f aca="false">IF(AND($L486="Yes",$G486&lt;&gt;"Vendor day rates"),$I486-0.4*$P486,0)</f>
        <v>0</v>
      </c>
      <c r="V486" s="26" t="n">
        <f aca="false">IFERROR(MATCH($M486,MonthList,0),0)</f>
        <v>0</v>
      </c>
      <c r="W486" s="14" t="n">
        <f aca="false">IF(OR($L486&lt;&gt;"Yes",$M486=""),0,$U486*MAX(0,7-$V486)/12)</f>
        <v>0</v>
      </c>
      <c r="X486" s="14" t="n">
        <f aca="false">IF(OR($L486&lt;&gt;"Yes",$M486=""),0,$U486*IF($V486&lt;=7,12,19-$V486)/12)</f>
        <v>0</v>
      </c>
      <c r="Y486" s="14" t="n">
        <f aca="false">IF(AND($N486="Yes",$G486&lt;&gt;"Vendor day rates"),$I486-0.4*$P486,0)</f>
        <v>0</v>
      </c>
      <c r="Z486" s="26" t="n">
        <f aca="false">IFERROR(MATCH($O486,MonthList,0),0)</f>
        <v>0</v>
      </c>
      <c r="AA486" s="14" t="n">
        <f aca="false">IF(OR($N486&lt;&gt;"Yes",$O486=""),0,$Y486*MAX(0,7-$Z486)/12)</f>
        <v>0</v>
      </c>
      <c r="AB486" s="14" t="n">
        <f aca="false">IF(OR($N486&lt;&gt;"Yes",$O486=""),0,$Y486*IF($Z486&lt;=7,12,19-$Z486)/12)</f>
        <v>0</v>
      </c>
      <c r="AC486" s="26" t="str">
        <f aca="false">IF(OR($J486="Yes",$L486="Yes",$N486="Yes"),"Yes","No")</f>
        <v>No</v>
      </c>
      <c r="AD486" s="14" t="n">
        <f aca="false">MAX($Q486,$U486,$Y486)</f>
        <v>0</v>
      </c>
      <c r="AE486" s="26" t="n">
        <f aca="false">$AD486+ROW()*0.000000001</f>
        <v>4.86E-007</v>
      </c>
      <c r="AF486" s="26" t="str">
        <f aca="false">IF($J486="Yes","A","")&amp;IF($L486="Yes","B","")&amp;IF($N486="Yes","C","")</f>
        <v/>
      </c>
    </row>
    <row r="487" customFormat="false" ht="15" hidden="false" customHeight="false" outlineLevel="0" collapsed="false">
      <c r="B487" s="22" t="s">
        <v>913</v>
      </c>
      <c r="C487" s="23" t="s">
        <v>914</v>
      </c>
      <c r="D487" s="23" t="s">
        <v>204</v>
      </c>
      <c r="E487" s="23" t="s">
        <v>287</v>
      </c>
      <c r="F487" s="22" t="s">
        <v>112</v>
      </c>
      <c r="G487" s="23" t="s">
        <v>58</v>
      </c>
      <c r="H487" s="24" t="n">
        <v>1</v>
      </c>
      <c r="I487" s="14" t="n">
        <v>0.1565</v>
      </c>
      <c r="J487" s="25" t="s">
        <v>59</v>
      </c>
      <c r="K487" s="25"/>
      <c r="L487" s="25" t="s">
        <v>59</v>
      </c>
      <c r="M487" s="25"/>
      <c r="N487" s="25" t="s">
        <v>59</v>
      </c>
      <c r="O487" s="25"/>
      <c r="P487" s="14" t="n">
        <v>0.1565</v>
      </c>
      <c r="Q487" s="14" t="n">
        <f aca="false">IF(AND($J487="Yes",$G487&lt;&gt;"Vendor day rates"),$I487-0.4*$P487,0)</f>
        <v>0</v>
      </c>
      <c r="R487" s="26" t="n">
        <f aca="false">IFERROR(MATCH($K487,MonthList,0),0)</f>
        <v>0</v>
      </c>
      <c r="S487" s="14" t="n">
        <f aca="false">IF(OR($J487&lt;&gt;"Yes",$K487=""),0,$Q487*MAX(0,7-$R487)/12)</f>
        <v>0</v>
      </c>
      <c r="T487" s="14" t="n">
        <f aca="false">IF(OR($J487&lt;&gt;"Yes",$K487=""),0,$Q487*IF($R487&lt;=7,12,19-$R487)/12)</f>
        <v>0</v>
      </c>
      <c r="U487" s="14" t="n">
        <f aca="false">IF(AND($L487="Yes",$G487&lt;&gt;"Vendor day rates"),$I487-0.4*$P487,0)</f>
        <v>0</v>
      </c>
      <c r="V487" s="26" t="n">
        <f aca="false">IFERROR(MATCH($M487,MonthList,0),0)</f>
        <v>0</v>
      </c>
      <c r="W487" s="14" t="n">
        <f aca="false">IF(OR($L487&lt;&gt;"Yes",$M487=""),0,$U487*MAX(0,7-$V487)/12)</f>
        <v>0</v>
      </c>
      <c r="X487" s="14" t="n">
        <f aca="false">IF(OR($L487&lt;&gt;"Yes",$M487=""),0,$U487*IF($V487&lt;=7,12,19-$V487)/12)</f>
        <v>0</v>
      </c>
      <c r="Y487" s="14" t="n">
        <f aca="false">IF(AND($N487="Yes",$G487&lt;&gt;"Vendor day rates"),$I487-0.4*$P487,0)</f>
        <v>0</v>
      </c>
      <c r="Z487" s="26" t="n">
        <f aca="false">IFERROR(MATCH($O487,MonthList,0),0)</f>
        <v>0</v>
      </c>
      <c r="AA487" s="14" t="n">
        <f aca="false">IF(OR($N487&lt;&gt;"Yes",$O487=""),0,$Y487*MAX(0,7-$Z487)/12)</f>
        <v>0</v>
      </c>
      <c r="AB487" s="14" t="n">
        <f aca="false">IF(OR($N487&lt;&gt;"Yes",$O487=""),0,$Y487*IF($Z487&lt;=7,12,19-$Z487)/12)</f>
        <v>0</v>
      </c>
      <c r="AC487" s="26" t="str">
        <f aca="false">IF(OR($J487="Yes",$L487="Yes",$N487="Yes"),"Yes","No")</f>
        <v>No</v>
      </c>
      <c r="AD487" s="14" t="n">
        <f aca="false">MAX($Q487,$U487,$Y487)</f>
        <v>0</v>
      </c>
      <c r="AE487" s="26" t="n">
        <f aca="false">$AD487+ROW()*0.000000001</f>
        <v>4.87E-007</v>
      </c>
      <c r="AF487" s="26" t="str">
        <f aca="false">IF($J487="Yes","A","")&amp;IF($L487="Yes","B","")&amp;IF($N487="Yes","C","")</f>
        <v/>
      </c>
    </row>
    <row r="488" customFormat="false" ht="15" hidden="false" customHeight="false" outlineLevel="0" collapsed="false">
      <c r="B488" s="22" t="s">
        <v>915</v>
      </c>
      <c r="C488" s="23" t="s">
        <v>120</v>
      </c>
      <c r="D488" s="23" t="s">
        <v>204</v>
      </c>
      <c r="E488" s="23" t="s">
        <v>365</v>
      </c>
      <c r="F488" s="22" t="s">
        <v>57</v>
      </c>
      <c r="G488" s="23" t="s">
        <v>149</v>
      </c>
      <c r="H488" s="24" t="n">
        <v>1</v>
      </c>
      <c r="I488" s="14" t="n">
        <v>0.1279</v>
      </c>
      <c r="J488" s="25" t="s">
        <v>59</v>
      </c>
      <c r="K488" s="25"/>
      <c r="L488" s="25" t="s">
        <v>59</v>
      </c>
      <c r="M488" s="25"/>
      <c r="N488" s="25" t="s">
        <v>59</v>
      </c>
      <c r="O488" s="25"/>
      <c r="P488" s="14" t="n">
        <v>0.1705</v>
      </c>
      <c r="Q488" s="14" t="n">
        <f aca="false">IF(AND($J488="Yes",$G488&lt;&gt;"Vendor day rates"),$I488-0.4*$P488,0)</f>
        <v>0</v>
      </c>
      <c r="R488" s="26" t="n">
        <f aca="false">IFERROR(MATCH($K488,MonthList,0),0)</f>
        <v>0</v>
      </c>
      <c r="S488" s="14" t="n">
        <f aca="false">IF(OR($J488&lt;&gt;"Yes",$K488=""),0,$Q488*MAX(0,7-$R488)/12)</f>
        <v>0</v>
      </c>
      <c r="T488" s="14" t="n">
        <f aca="false">IF(OR($J488&lt;&gt;"Yes",$K488=""),0,$Q488*IF($R488&lt;=7,12,19-$R488)/12)</f>
        <v>0</v>
      </c>
      <c r="U488" s="14" t="n">
        <f aca="false">IF(AND($L488="Yes",$G488&lt;&gt;"Vendor day rates"),$I488-0.4*$P488,0)</f>
        <v>0</v>
      </c>
      <c r="V488" s="26" t="n">
        <f aca="false">IFERROR(MATCH($M488,MonthList,0),0)</f>
        <v>0</v>
      </c>
      <c r="W488" s="14" t="n">
        <f aca="false">IF(OR($L488&lt;&gt;"Yes",$M488=""),0,$U488*MAX(0,7-$V488)/12)</f>
        <v>0</v>
      </c>
      <c r="X488" s="14" t="n">
        <f aca="false">IF(OR($L488&lt;&gt;"Yes",$M488=""),0,$U488*IF($V488&lt;=7,12,19-$V488)/12)</f>
        <v>0</v>
      </c>
      <c r="Y488" s="14" t="n">
        <f aca="false">IF(AND($N488="Yes",$G488&lt;&gt;"Vendor day rates"),$I488-0.4*$P488,0)</f>
        <v>0</v>
      </c>
      <c r="Z488" s="26" t="n">
        <f aca="false">IFERROR(MATCH($O488,MonthList,0),0)</f>
        <v>0</v>
      </c>
      <c r="AA488" s="14" t="n">
        <f aca="false">IF(OR($N488&lt;&gt;"Yes",$O488=""),0,$Y488*MAX(0,7-$Z488)/12)</f>
        <v>0</v>
      </c>
      <c r="AB488" s="14" t="n">
        <f aca="false">IF(OR($N488&lt;&gt;"Yes",$O488=""),0,$Y488*IF($Z488&lt;=7,12,19-$Z488)/12)</f>
        <v>0</v>
      </c>
      <c r="AC488" s="26" t="str">
        <f aca="false">IF(OR($J488="Yes",$L488="Yes",$N488="Yes"),"Yes","No")</f>
        <v>No</v>
      </c>
      <c r="AD488" s="14" t="n">
        <f aca="false">MAX($Q488,$U488,$Y488)</f>
        <v>0</v>
      </c>
      <c r="AE488" s="26" t="n">
        <f aca="false">$AD488+ROW()*0.000000001</f>
        <v>4.88E-007</v>
      </c>
      <c r="AF488" s="26" t="str">
        <f aca="false">IF($J488="Yes","A","")&amp;IF($L488="Yes","B","")&amp;IF($N488="Yes","C","")</f>
        <v/>
      </c>
    </row>
    <row r="489" customFormat="false" ht="15" hidden="false" customHeight="false" outlineLevel="0" collapsed="false">
      <c r="B489" s="22" t="s">
        <v>916</v>
      </c>
      <c r="C489" s="23" t="s">
        <v>611</v>
      </c>
      <c r="D489" s="23" t="s">
        <v>212</v>
      </c>
      <c r="E489" s="23" t="s">
        <v>783</v>
      </c>
      <c r="F489" s="22" t="s">
        <v>57</v>
      </c>
      <c r="G489" s="23" t="s">
        <v>149</v>
      </c>
      <c r="H489" s="24" t="n">
        <v>1</v>
      </c>
      <c r="I489" s="14" t="n">
        <v>0.1705</v>
      </c>
      <c r="J489" s="25" t="s">
        <v>59</v>
      </c>
      <c r="K489" s="25"/>
      <c r="L489" s="25" t="s">
        <v>59</v>
      </c>
      <c r="M489" s="25"/>
      <c r="N489" s="25" t="s">
        <v>59</v>
      </c>
      <c r="O489" s="25"/>
      <c r="P489" s="14" t="n">
        <v>0.1705</v>
      </c>
      <c r="Q489" s="14" t="n">
        <f aca="false">IF(AND($J489="Yes",$G489&lt;&gt;"Vendor day rates"),$I489-0.4*$P489,0)</f>
        <v>0</v>
      </c>
      <c r="R489" s="26" t="n">
        <f aca="false">IFERROR(MATCH($K489,MonthList,0),0)</f>
        <v>0</v>
      </c>
      <c r="S489" s="14" t="n">
        <f aca="false">IF(OR($J489&lt;&gt;"Yes",$K489=""),0,$Q489*MAX(0,7-$R489)/12)</f>
        <v>0</v>
      </c>
      <c r="T489" s="14" t="n">
        <f aca="false">IF(OR($J489&lt;&gt;"Yes",$K489=""),0,$Q489*IF($R489&lt;=7,12,19-$R489)/12)</f>
        <v>0</v>
      </c>
      <c r="U489" s="14" t="n">
        <f aca="false">IF(AND($L489="Yes",$G489&lt;&gt;"Vendor day rates"),$I489-0.4*$P489,0)</f>
        <v>0</v>
      </c>
      <c r="V489" s="26" t="n">
        <f aca="false">IFERROR(MATCH($M489,MonthList,0),0)</f>
        <v>0</v>
      </c>
      <c r="W489" s="14" t="n">
        <f aca="false">IF(OR($L489&lt;&gt;"Yes",$M489=""),0,$U489*MAX(0,7-$V489)/12)</f>
        <v>0</v>
      </c>
      <c r="X489" s="14" t="n">
        <f aca="false">IF(OR($L489&lt;&gt;"Yes",$M489=""),0,$U489*IF($V489&lt;=7,12,19-$V489)/12)</f>
        <v>0</v>
      </c>
      <c r="Y489" s="14" t="n">
        <f aca="false">IF(AND($N489="Yes",$G489&lt;&gt;"Vendor day rates"),$I489-0.4*$P489,0)</f>
        <v>0</v>
      </c>
      <c r="Z489" s="26" t="n">
        <f aca="false">IFERROR(MATCH($O489,MonthList,0),0)</f>
        <v>0</v>
      </c>
      <c r="AA489" s="14" t="n">
        <f aca="false">IF(OR($N489&lt;&gt;"Yes",$O489=""),0,$Y489*MAX(0,7-$Z489)/12)</f>
        <v>0</v>
      </c>
      <c r="AB489" s="14" t="n">
        <f aca="false">IF(OR($N489&lt;&gt;"Yes",$O489=""),0,$Y489*IF($Z489&lt;=7,12,19-$Z489)/12)</f>
        <v>0</v>
      </c>
      <c r="AC489" s="26" t="str">
        <f aca="false">IF(OR($J489="Yes",$L489="Yes",$N489="Yes"),"Yes","No")</f>
        <v>No</v>
      </c>
      <c r="AD489" s="14" t="n">
        <f aca="false">MAX($Q489,$U489,$Y489)</f>
        <v>0</v>
      </c>
      <c r="AE489" s="26" t="n">
        <f aca="false">$AD489+ROW()*0.000000001</f>
        <v>4.89E-007</v>
      </c>
      <c r="AF489" s="26" t="str">
        <f aca="false">IF($J489="Yes","A","")&amp;IF($L489="Yes","B","")&amp;IF($N489="Yes","C","")</f>
        <v/>
      </c>
    </row>
    <row r="490" customFormat="false" ht="15" hidden="false" customHeight="false" outlineLevel="0" collapsed="false">
      <c r="B490" s="22" t="s">
        <v>917</v>
      </c>
      <c r="C490" s="23" t="s">
        <v>611</v>
      </c>
      <c r="D490" s="23" t="s">
        <v>212</v>
      </c>
      <c r="E490" s="23" t="s">
        <v>563</v>
      </c>
      <c r="F490" s="22" t="s">
        <v>57</v>
      </c>
      <c r="G490" s="23" t="s">
        <v>149</v>
      </c>
      <c r="H490" s="24" t="n">
        <v>1</v>
      </c>
      <c r="I490" s="14" t="n">
        <v>0.2029</v>
      </c>
      <c r="J490" s="25" t="s">
        <v>59</v>
      </c>
      <c r="K490" s="25"/>
      <c r="L490" s="25" t="s">
        <v>59</v>
      </c>
      <c r="M490" s="25"/>
      <c r="N490" s="25" t="s">
        <v>59</v>
      </c>
      <c r="O490" s="25"/>
      <c r="P490" s="14" t="n">
        <v>0.2029</v>
      </c>
      <c r="Q490" s="14" t="n">
        <f aca="false">IF(AND($J490="Yes",$G490&lt;&gt;"Vendor day rates"),$I490-0.4*$P490,0)</f>
        <v>0</v>
      </c>
      <c r="R490" s="26" t="n">
        <f aca="false">IFERROR(MATCH($K490,MonthList,0),0)</f>
        <v>0</v>
      </c>
      <c r="S490" s="14" t="n">
        <f aca="false">IF(OR($J490&lt;&gt;"Yes",$K490=""),0,$Q490*MAX(0,7-$R490)/12)</f>
        <v>0</v>
      </c>
      <c r="T490" s="14" t="n">
        <f aca="false">IF(OR($J490&lt;&gt;"Yes",$K490=""),0,$Q490*IF($R490&lt;=7,12,19-$R490)/12)</f>
        <v>0</v>
      </c>
      <c r="U490" s="14" t="n">
        <f aca="false">IF(AND($L490="Yes",$G490&lt;&gt;"Vendor day rates"),$I490-0.4*$P490,0)</f>
        <v>0</v>
      </c>
      <c r="V490" s="26" t="n">
        <f aca="false">IFERROR(MATCH($M490,MonthList,0),0)</f>
        <v>0</v>
      </c>
      <c r="W490" s="14" t="n">
        <f aca="false">IF(OR($L490&lt;&gt;"Yes",$M490=""),0,$U490*MAX(0,7-$V490)/12)</f>
        <v>0</v>
      </c>
      <c r="X490" s="14" t="n">
        <f aca="false">IF(OR($L490&lt;&gt;"Yes",$M490=""),0,$U490*IF($V490&lt;=7,12,19-$V490)/12)</f>
        <v>0</v>
      </c>
      <c r="Y490" s="14" t="n">
        <f aca="false">IF(AND($N490="Yes",$G490&lt;&gt;"Vendor day rates"),$I490-0.4*$P490,0)</f>
        <v>0</v>
      </c>
      <c r="Z490" s="26" t="n">
        <f aca="false">IFERROR(MATCH($O490,MonthList,0),0)</f>
        <v>0</v>
      </c>
      <c r="AA490" s="14" t="n">
        <f aca="false">IF(OR($N490&lt;&gt;"Yes",$O490=""),0,$Y490*MAX(0,7-$Z490)/12)</f>
        <v>0</v>
      </c>
      <c r="AB490" s="14" t="n">
        <f aca="false">IF(OR($N490&lt;&gt;"Yes",$O490=""),0,$Y490*IF($Z490&lt;=7,12,19-$Z490)/12)</f>
        <v>0</v>
      </c>
      <c r="AC490" s="26" t="str">
        <f aca="false">IF(OR($J490="Yes",$L490="Yes",$N490="Yes"),"Yes","No")</f>
        <v>No</v>
      </c>
      <c r="AD490" s="14" t="n">
        <f aca="false">MAX($Q490,$U490,$Y490)</f>
        <v>0</v>
      </c>
      <c r="AE490" s="26" t="n">
        <f aca="false">$AD490+ROW()*0.000000001</f>
        <v>4.9E-007</v>
      </c>
      <c r="AF490" s="26" t="str">
        <f aca="false">IF($J490="Yes","A","")&amp;IF($L490="Yes","B","")&amp;IF($N490="Yes","C","")</f>
        <v/>
      </c>
    </row>
    <row r="491" customFormat="false" ht="15" hidden="false" customHeight="false" outlineLevel="0" collapsed="false">
      <c r="B491" s="22" t="s">
        <v>918</v>
      </c>
      <c r="C491" s="23" t="s">
        <v>120</v>
      </c>
      <c r="D491" s="23" t="s">
        <v>212</v>
      </c>
      <c r="E491" s="23" t="s">
        <v>790</v>
      </c>
      <c r="F491" s="22" t="s">
        <v>57</v>
      </c>
      <c r="G491" s="23" t="s">
        <v>58</v>
      </c>
      <c r="H491" s="24" t="n">
        <v>1</v>
      </c>
      <c r="I491" s="14" t="n">
        <v>0.1578</v>
      </c>
      <c r="J491" s="25" t="s">
        <v>59</v>
      </c>
      <c r="K491" s="25"/>
      <c r="L491" s="25" t="s">
        <v>59</v>
      </c>
      <c r="M491" s="25"/>
      <c r="N491" s="25" t="s">
        <v>59</v>
      </c>
      <c r="O491" s="25"/>
      <c r="P491" s="14" t="n">
        <v>0.1578</v>
      </c>
      <c r="Q491" s="14" t="n">
        <f aca="false">IF(AND($J491="Yes",$G491&lt;&gt;"Vendor day rates"),$I491-0.4*$P491,0)</f>
        <v>0</v>
      </c>
      <c r="R491" s="26" t="n">
        <f aca="false">IFERROR(MATCH($K491,MonthList,0),0)</f>
        <v>0</v>
      </c>
      <c r="S491" s="14" t="n">
        <f aca="false">IF(OR($J491&lt;&gt;"Yes",$K491=""),0,$Q491*MAX(0,7-$R491)/12)</f>
        <v>0</v>
      </c>
      <c r="T491" s="14" t="n">
        <f aca="false">IF(OR($J491&lt;&gt;"Yes",$K491=""),0,$Q491*IF($R491&lt;=7,12,19-$R491)/12)</f>
        <v>0</v>
      </c>
      <c r="U491" s="14" t="n">
        <f aca="false">IF(AND($L491="Yes",$G491&lt;&gt;"Vendor day rates"),$I491-0.4*$P491,0)</f>
        <v>0</v>
      </c>
      <c r="V491" s="26" t="n">
        <f aca="false">IFERROR(MATCH($M491,MonthList,0),0)</f>
        <v>0</v>
      </c>
      <c r="W491" s="14" t="n">
        <f aca="false">IF(OR($L491&lt;&gt;"Yes",$M491=""),0,$U491*MAX(0,7-$V491)/12)</f>
        <v>0</v>
      </c>
      <c r="X491" s="14" t="n">
        <f aca="false">IF(OR($L491&lt;&gt;"Yes",$M491=""),0,$U491*IF($V491&lt;=7,12,19-$V491)/12)</f>
        <v>0</v>
      </c>
      <c r="Y491" s="14" t="n">
        <f aca="false">IF(AND($N491="Yes",$G491&lt;&gt;"Vendor day rates"),$I491-0.4*$P491,0)</f>
        <v>0</v>
      </c>
      <c r="Z491" s="26" t="n">
        <f aca="false">IFERROR(MATCH($O491,MonthList,0),0)</f>
        <v>0</v>
      </c>
      <c r="AA491" s="14" t="n">
        <f aca="false">IF(OR($N491&lt;&gt;"Yes",$O491=""),0,$Y491*MAX(0,7-$Z491)/12)</f>
        <v>0</v>
      </c>
      <c r="AB491" s="14" t="n">
        <f aca="false">IF(OR($N491&lt;&gt;"Yes",$O491=""),0,$Y491*IF($Z491&lt;=7,12,19-$Z491)/12)</f>
        <v>0</v>
      </c>
      <c r="AC491" s="26" t="str">
        <f aca="false">IF(OR($J491="Yes",$L491="Yes",$N491="Yes"),"Yes","No")</f>
        <v>No</v>
      </c>
      <c r="AD491" s="14" t="n">
        <f aca="false">MAX($Q491,$U491,$Y491)</f>
        <v>0</v>
      </c>
      <c r="AE491" s="26" t="n">
        <f aca="false">$AD491+ROW()*0.000000001</f>
        <v>4.91E-007</v>
      </c>
      <c r="AF491" s="26" t="str">
        <f aca="false">IF($J491="Yes","A","")&amp;IF($L491="Yes","B","")&amp;IF($N491="Yes","C","")</f>
        <v/>
      </c>
    </row>
    <row r="492" customFormat="false" ht="15" hidden="false" customHeight="false" outlineLevel="0" collapsed="false">
      <c r="B492" s="22" t="s">
        <v>919</v>
      </c>
      <c r="C492" s="23" t="s">
        <v>611</v>
      </c>
      <c r="D492" s="23" t="s">
        <v>212</v>
      </c>
      <c r="E492" s="23" t="s">
        <v>790</v>
      </c>
      <c r="F492" s="22" t="s">
        <v>57</v>
      </c>
      <c r="G492" s="23" t="s">
        <v>58</v>
      </c>
      <c r="H492" s="24" t="n">
        <v>1</v>
      </c>
      <c r="I492" s="14" t="n">
        <v>0.2062</v>
      </c>
      <c r="J492" s="25" t="s">
        <v>59</v>
      </c>
      <c r="K492" s="25"/>
      <c r="L492" s="25" t="s">
        <v>59</v>
      </c>
      <c r="M492" s="25"/>
      <c r="N492" s="25" t="s">
        <v>59</v>
      </c>
      <c r="O492" s="25"/>
      <c r="P492" s="14" t="n">
        <v>0.2062</v>
      </c>
      <c r="Q492" s="14" t="n">
        <f aca="false">IF(AND($J492="Yes",$G492&lt;&gt;"Vendor day rates"),$I492-0.4*$P492,0)</f>
        <v>0</v>
      </c>
      <c r="R492" s="26" t="n">
        <f aca="false">IFERROR(MATCH($K492,MonthList,0),0)</f>
        <v>0</v>
      </c>
      <c r="S492" s="14" t="n">
        <f aca="false">IF(OR($J492&lt;&gt;"Yes",$K492=""),0,$Q492*MAX(0,7-$R492)/12)</f>
        <v>0</v>
      </c>
      <c r="T492" s="14" t="n">
        <f aca="false">IF(OR($J492&lt;&gt;"Yes",$K492=""),0,$Q492*IF($R492&lt;=7,12,19-$R492)/12)</f>
        <v>0</v>
      </c>
      <c r="U492" s="14" t="n">
        <f aca="false">IF(AND($L492="Yes",$G492&lt;&gt;"Vendor day rates"),$I492-0.4*$P492,0)</f>
        <v>0</v>
      </c>
      <c r="V492" s="26" t="n">
        <f aca="false">IFERROR(MATCH($M492,MonthList,0),0)</f>
        <v>0</v>
      </c>
      <c r="W492" s="14" t="n">
        <f aca="false">IF(OR($L492&lt;&gt;"Yes",$M492=""),0,$U492*MAX(0,7-$V492)/12)</f>
        <v>0</v>
      </c>
      <c r="X492" s="14" t="n">
        <f aca="false">IF(OR($L492&lt;&gt;"Yes",$M492=""),0,$U492*IF($V492&lt;=7,12,19-$V492)/12)</f>
        <v>0</v>
      </c>
      <c r="Y492" s="14" t="n">
        <f aca="false">IF(AND($N492="Yes",$G492&lt;&gt;"Vendor day rates"),$I492-0.4*$P492,0)</f>
        <v>0</v>
      </c>
      <c r="Z492" s="26" t="n">
        <f aca="false">IFERROR(MATCH($O492,MonthList,0),0)</f>
        <v>0</v>
      </c>
      <c r="AA492" s="14" t="n">
        <f aca="false">IF(OR($N492&lt;&gt;"Yes",$O492=""),0,$Y492*MAX(0,7-$Z492)/12)</f>
        <v>0</v>
      </c>
      <c r="AB492" s="14" t="n">
        <f aca="false">IF(OR($N492&lt;&gt;"Yes",$O492=""),0,$Y492*IF($Z492&lt;=7,12,19-$Z492)/12)</f>
        <v>0</v>
      </c>
      <c r="AC492" s="26" t="str">
        <f aca="false">IF(OR($J492="Yes",$L492="Yes",$N492="Yes"),"Yes","No")</f>
        <v>No</v>
      </c>
      <c r="AD492" s="14" t="n">
        <f aca="false">MAX($Q492,$U492,$Y492)</f>
        <v>0</v>
      </c>
      <c r="AE492" s="26" t="n">
        <f aca="false">$AD492+ROW()*0.000000001</f>
        <v>4.92E-007</v>
      </c>
      <c r="AF492" s="26" t="str">
        <f aca="false">IF($J492="Yes","A","")&amp;IF($L492="Yes","B","")&amp;IF($N492="Yes","C","")</f>
        <v/>
      </c>
    </row>
    <row r="493" customFormat="false" ht="15" hidden="false" customHeight="false" outlineLevel="0" collapsed="false">
      <c r="B493" s="22" t="s">
        <v>920</v>
      </c>
      <c r="C493" s="23" t="s">
        <v>611</v>
      </c>
      <c r="D493" s="23" t="s">
        <v>212</v>
      </c>
      <c r="E493" s="23" t="s">
        <v>790</v>
      </c>
      <c r="F493" s="22" t="s">
        <v>57</v>
      </c>
      <c r="G493" s="23" t="s">
        <v>149</v>
      </c>
      <c r="H493" s="24" t="n">
        <v>1</v>
      </c>
      <c r="I493" s="14" t="n">
        <v>0.2317</v>
      </c>
      <c r="J493" s="25" t="s">
        <v>59</v>
      </c>
      <c r="K493" s="25"/>
      <c r="L493" s="25" t="s">
        <v>59</v>
      </c>
      <c r="M493" s="25"/>
      <c r="N493" s="25" t="s">
        <v>59</v>
      </c>
      <c r="O493" s="25"/>
      <c r="P493" s="14" t="n">
        <v>0.2317</v>
      </c>
      <c r="Q493" s="14" t="n">
        <f aca="false">IF(AND($J493="Yes",$G493&lt;&gt;"Vendor day rates"),$I493-0.4*$P493,0)</f>
        <v>0</v>
      </c>
      <c r="R493" s="26" t="n">
        <f aca="false">IFERROR(MATCH($K493,MonthList,0),0)</f>
        <v>0</v>
      </c>
      <c r="S493" s="14" t="n">
        <f aca="false">IF(OR($J493&lt;&gt;"Yes",$K493=""),0,$Q493*MAX(0,7-$R493)/12)</f>
        <v>0</v>
      </c>
      <c r="T493" s="14" t="n">
        <f aca="false">IF(OR($J493&lt;&gt;"Yes",$K493=""),0,$Q493*IF($R493&lt;=7,12,19-$R493)/12)</f>
        <v>0</v>
      </c>
      <c r="U493" s="14" t="n">
        <f aca="false">IF(AND($L493="Yes",$G493&lt;&gt;"Vendor day rates"),$I493-0.4*$P493,0)</f>
        <v>0</v>
      </c>
      <c r="V493" s="26" t="n">
        <f aca="false">IFERROR(MATCH($M493,MonthList,0),0)</f>
        <v>0</v>
      </c>
      <c r="W493" s="14" t="n">
        <f aca="false">IF(OR($L493&lt;&gt;"Yes",$M493=""),0,$U493*MAX(0,7-$V493)/12)</f>
        <v>0</v>
      </c>
      <c r="X493" s="14" t="n">
        <f aca="false">IF(OR($L493&lt;&gt;"Yes",$M493=""),0,$U493*IF($V493&lt;=7,12,19-$V493)/12)</f>
        <v>0</v>
      </c>
      <c r="Y493" s="14" t="n">
        <f aca="false">IF(AND($N493="Yes",$G493&lt;&gt;"Vendor day rates"),$I493-0.4*$P493,0)</f>
        <v>0</v>
      </c>
      <c r="Z493" s="26" t="n">
        <f aca="false">IFERROR(MATCH($O493,MonthList,0),0)</f>
        <v>0</v>
      </c>
      <c r="AA493" s="14" t="n">
        <f aca="false">IF(OR($N493&lt;&gt;"Yes",$O493=""),0,$Y493*MAX(0,7-$Z493)/12)</f>
        <v>0</v>
      </c>
      <c r="AB493" s="14" t="n">
        <f aca="false">IF(OR($N493&lt;&gt;"Yes",$O493=""),0,$Y493*IF($Z493&lt;=7,12,19-$Z493)/12)</f>
        <v>0</v>
      </c>
      <c r="AC493" s="26" t="str">
        <f aca="false">IF(OR($J493="Yes",$L493="Yes",$N493="Yes"),"Yes","No")</f>
        <v>No</v>
      </c>
      <c r="AD493" s="14" t="n">
        <f aca="false">MAX($Q493,$U493,$Y493)</f>
        <v>0</v>
      </c>
      <c r="AE493" s="26" t="n">
        <f aca="false">$AD493+ROW()*0.000000001</f>
        <v>4.93E-007</v>
      </c>
      <c r="AF493" s="26" t="str">
        <f aca="false">IF($J493="Yes","A","")&amp;IF($L493="Yes","B","")&amp;IF($N493="Yes","C","")</f>
        <v/>
      </c>
    </row>
    <row r="494" customFormat="false" ht="15" hidden="false" customHeight="false" outlineLevel="0" collapsed="false">
      <c r="B494" s="22" t="s">
        <v>921</v>
      </c>
      <c r="C494" s="23" t="s">
        <v>803</v>
      </c>
      <c r="D494" s="23" t="s">
        <v>62</v>
      </c>
      <c r="E494" s="23" t="s">
        <v>67</v>
      </c>
      <c r="F494" s="22" t="s">
        <v>57</v>
      </c>
      <c r="G494" s="23" t="s">
        <v>58</v>
      </c>
      <c r="H494" s="24" t="n">
        <v>1</v>
      </c>
      <c r="I494" s="14" t="n">
        <v>0.1465</v>
      </c>
      <c r="J494" s="25" t="s">
        <v>59</v>
      </c>
      <c r="K494" s="25"/>
      <c r="L494" s="25" t="s">
        <v>59</v>
      </c>
      <c r="M494" s="25"/>
      <c r="N494" s="25" t="s">
        <v>59</v>
      </c>
      <c r="O494" s="25"/>
      <c r="P494" s="14" t="n">
        <v>0.1465</v>
      </c>
      <c r="Q494" s="14" t="n">
        <f aca="false">IF(AND($J494="Yes",$G494&lt;&gt;"Vendor day rates"),$I494-0.4*$P494,0)</f>
        <v>0</v>
      </c>
      <c r="R494" s="26" t="n">
        <f aca="false">IFERROR(MATCH($K494,MonthList,0),0)</f>
        <v>0</v>
      </c>
      <c r="S494" s="14" t="n">
        <f aca="false">IF(OR($J494&lt;&gt;"Yes",$K494=""),0,$Q494*MAX(0,7-$R494)/12)</f>
        <v>0</v>
      </c>
      <c r="T494" s="14" t="n">
        <f aca="false">IF(OR($J494&lt;&gt;"Yes",$K494=""),0,$Q494*IF($R494&lt;=7,12,19-$R494)/12)</f>
        <v>0</v>
      </c>
      <c r="U494" s="14" t="n">
        <f aca="false">IF(AND($L494="Yes",$G494&lt;&gt;"Vendor day rates"),$I494-0.4*$P494,0)</f>
        <v>0</v>
      </c>
      <c r="V494" s="26" t="n">
        <f aca="false">IFERROR(MATCH($M494,MonthList,0),0)</f>
        <v>0</v>
      </c>
      <c r="W494" s="14" t="n">
        <f aca="false">IF(OR($L494&lt;&gt;"Yes",$M494=""),0,$U494*MAX(0,7-$V494)/12)</f>
        <v>0</v>
      </c>
      <c r="X494" s="14" t="n">
        <f aca="false">IF(OR($L494&lt;&gt;"Yes",$M494=""),0,$U494*IF($V494&lt;=7,12,19-$V494)/12)</f>
        <v>0</v>
      </c>
      <c r="Y494" s="14" t="n">
        <f aca="false">IF(AND($N494="Yes",$G494&lt;&gt;"Vendor day rates"),$I494-0.4*$P494,0)</f>
        <v>0</v>
      </c>
      <c r="Z494" s="26" t="n">
        <f aca="false">IFERROR(MATCH($O494,MonthList,0),0)</f>
        <v>0</v>
      </c>
      <c r="AA494" s="14" t="n">
        <f aca="false">IF(OR($N494&lt;&gt;"Yes",$O494=""),0,$Y494*MAX(0,7-$Z494)/12)</f>
        <v>0</v>
      </c>
      <c r="AB494" s="14" t="n">
        <f aca="false">IF(OR($N494&lt;&gt;"Yes",$O494=""),0,$Y494*IF($Z494&lt;=7,12,19-$Z494)/12)</f>
        <v>0</v>
      </c>
      <c r="AC494" s="26" t="str">
        <f aca="false">IF(OR($J494="Yes",$L494="Yes",$N494="Yes"),"Yes","No")</f>
        <v>No</v>
      </c>
      <c r="AD494" s="14" t="n">
        <f aca="false">MAX($Q494,$U494,$Y494)</f>
        <v>0</v>
      </c>
      <c r="AE494" s="26" t="n">
        <f aca="false">$AD494+ROW()*0.000000001</f>
        <v>4.94E-007</v>
      </c>
      <c r="AF494" s="26" t="str">
        <f aca="false">IF($J494="Yes","A","")&amp;IF($L494="Yes","B","")&amp;IF($N494="Yes","C","")</f>
        <v/>
      </c>
    </row>
    <row r="495" customFormat="false" ht="15" hidden="false" customHeight="false" outlineLevel="0" collapsed="false">
      <c r="B495" s="22" t="s">
        <v>922</v>
      </c>
      <c r="C495" s="23" t="s">
        <v>923</v>
      </c>
      <c r="D495" s="23" t="s">
        <v>152</v>
      </c>
      <c r="E495" s="23" t="s">
        <v>347</v>
      </c>
      <c r="F495" s="22" t="s">
        <v>112</v>
      </c>
      <c r="G495" s="23" t="s">
        <v>58</v>
      </c>
      <c r="H495" s="24" t="n">
        <v>1</v>
      </c>
      <c r="I495" s="14" t="n">
        <v>0.1073</v>
      </c>
      <c r="J495" s="25" t="s">
        <v>59</v>
      </c>
      <c r="K495" s="25"/>
      <c r="L495" s="25" t="s">
        <v>59</v>
      </c>
      <c r="M495" s="25"/>
      <c r="N495" s="25" t="s">
        <v>59</v>
      </c>
      <c r="O495" s="25"/>
      <c r="P495" s="14" t="n">
        <v>0.1073</v>
      </c>
      <c r="Q495" s="14" t="n">
        <f aca="false">IF(AND($J495="Yes",$G495&lt;&gt;"Vendor day rates"),$I495-0.4*$P495,0)</f>
        <v>0</v>
      </c>
      <c r="R495" s="26" t="n">
        <f aca="false">IFERROR(MATCH($K495,MonthList,0),0)</f>
        <v>0</v>
      </c>
      <c r="S495" s="14" t="n">
        <f aca="false">IF(OR($J495&lt;&gt;"Yes",$K495=""),0,$Q495*MAX(0,7-$R495)/12)</f>
        <v>0</v>
      </c>
      <c r="T495" s="14" t="n">
        <f aca="false">IF(OR($J495&lt;&gt;"Yes",$K495=""),0,$Q495*IF($R495&lt;=7,12,19-$R495)/12)</f>
        <v>0</v>
      </c>
      <c r="U495" s="14" t="n">
        <f aca="false">IF(AND($L495="Yes",$G495&lt;&gt;"Vendor day rates"),$I495-0.4*$P495,0)</f>
        <v>0</v>
      </c>
      <c r="V495" s="26" t="n">
        <f aca="false">IFERROR(MATCH($M495,MonthList,0),0)</f>
        <v>0</v>
      </c>
      <c r="W495" s="14" t="n">
        <f aca="false">IF(OR($L495&lt;&gt;"Yes",$M495=""),0,$U495*MAX(0,7-$V495)/12)</f>
        <v>0</v>
      </c>
      <c r="X495" s="14" t="n">
        <f aca="false">IF(OR($L495&lt;&gt;"Yes",$M495=""),0,$U495*IF($V495&lt;=7,12,19-$V495)/12)</f>
        <v>0</v>
      </c>
      <c r="Y495" s="14" t="n">
        <f aca="false">IF(AND($N495="Yes",$G495&lt;&gt;"Vendor day rates"),$I495-0.4*$P495,0)</f>
        <v>0</v>
      </c>
      <c r="Z495" s="26" t="n">
        <f aca="false">IFERROR(MATCH($O495,MonthList,0),0)</f>
        <v>0</v>
      </c>
      <c r="AA495" s="14" t="n">
        <f aca="false">IF(OR($N495&lt;&gt;"Yes",$O495=""),0,$Y495*MAX(0,7-$Z495)/12)</f>
        <v>0</v>
      </c>
      <c r="AB495" s="14" t="n">
        <f aca="false">IF(OR($N495&lt;&gt;"Yes",$O495=""),0,$Y495*IF($Z495&lt;=7,12,19-$Z495)/12)</f>
        <v>0</v>
      </c>
      <c r="AC495" s="26" t="str">
        <f aca="false">IF(OR($J495="Yes",$L495="Yes",$N495="Yes"),"Yes","No")</f>
        <v>No</v>
      </c>
      <c r="AD495" s="14" t="n">
        <f aca="false">MAX($Q495,$U495,$Y495)</f>
        <v>0</v>
      </c>
      <c r="AE495" s="26" t="n">
        <f aca="false">$AD495+ROW()*0.000000001</f>
        <v>4.95E-007</v>
      </c>
      <c r="AF495" s="26" t="str">
        <f aca="false">IF($J495="Yes","A","")&amp;IF($L495="Yes","B","")&amp;IF($N495="Yes","C","")</f>
        <v/>
      </c>
    </row>
    <row r="496" customFormat="false" ht="15" hidden="false" customHeight="false" outlineLevel="0" collapsed="false">
      <c r="B496" s="22" t="s">
        <v>924</v>
      </c>
      <c r="C496" s="23" t="s">
        <v>120</v>
      </c>
      <c r="D496" s="23" t="s">
        <v>62</v>
      </c>
      <c r="E496" s="23" t="s">
        <v>63</v>
      </c>
      <c r="F496" s="22" t="s">
        <v>57</v>
      </c>
      <c r="G496" s="23" t="s">
        <v>121</v>
      </c>
      <c r="H496" s="24" t="n">
        <v>1</v>
      </c>
      <c r="I496" s="14" t="n">
        <v>0.0586</v>
      </c>
      <c r="J496" s="25" t="s">
        <v>59</v>
      </c>
      <c r="K496" s="25"/>
      <c r="L496" s="25" t="s">
        <v>59</v>
      </c>
      <c r="M496" s="25"/>
      <c r="N496" s="25" t="s">
        <v>59</v>
      </c>
      <c r="O496" s="25"/>
      <c r="P496" s="14" t="n">
        <v>0.1465</v>
      </c>
      <c r="Q496" s="14" t="n">
        <f aca="false">IF(AND($J496="Yes",$G496&lt;&gt;"Vendor day rates"),$I496-0.4*$P496,0)</f>
        <v>0</v>
      </c>
      <c r="R496" s="26" t="n">
        <f aca="false">IFERROR(MATCH($K496,MonthList,0),0)</f>
        <v>0</v>
      </c>
      <c r="S496" s="14" t="n">
        <f aca="false">IF(OR($J496&lt;&gt;"Yes",$K496=""),0,$Q496*MAX(0,7-$R496)/12)</f>
        <v>0</v>
      </c>
      <c r="T496" s="14" t="n">
        <f aca="false">IF(OR($J496&lt;&gt;"Yes",$K496=""),0,$Q496*IF($R496&lt;=7,12,19-$R496)/12)</f>
        <v>0</v>
      </c>
      <c r="U496" s="14" t="n">
        <f aca="false">IF(AND($L496="Yes",$G496&lt;&gt;"Vendor day rates"),$I496-0.4*$P496,0)</f>
        <v>0</v>
      </c>
      <c r="V496" s="26" t="n">
        <f aca="false">IFERROR(MATCH($M496,MonthList,0),0)</f>
        <v>0</v>
      </c>
      <c r="W496" s="14" t="n">
        <f aca="false">IF(OR($L496&lt;&gt;"Yes",$M496=""),0,$U496*MAX(0,7-$V496)/12)</f>
        <v>0</v>
      </c>
      <c r="X496" s="14" t="n">
        <f aca="false">IF(OR($L496&lt;&gt;"Yes",$M496=""),0,$U496*IF($V496&lt;=7,12,19-$V496)/12)</f>
        <v>0</v>
      </c>
      <c r="Y496" s="14" t="n">
        <f aca="false">IF(AND($N496="Yes",$G496&lt;&gt;"Vendor day rates"),$I496-0.4*$P496,0)</f>
        <v>0</v>
      </c>
      <c r="Z496" s="26" t="n">
        <f aca="false">IFERROR(MATCH($O496,MonthList,0),0)</f>
        <v>0</v>
      </c>
      <c r="AA496" s="14" t="n">
        <f aca="false">IF(OR($N496&lt;&gt;"Yes",$O496=""),0,$Y496*MAX(0,7-$Z496)/12)</f>
        <v>0</v>
      </c>
      <c r="AB496" s="14" t="n">
        <f aca="false">IF(OR($N496&lt;&gt;"Yes",$O496=""),0,$Y496*IF($Z496&lt;=7,12,19-$Z496)/12)</f>
        <v>0</v>
      </c>
      <c r="AC496" s="26" t="str">
        <f aca="false">IF(OR($J496="Yes",$L496="Yes",$N496="Yes"),"Yes","No")</f>
        <v>No</v>
      </c>
      <c r="AD496" s="14" t="n">
        <f aca="false">MAX($Q496,$U496,$Y496)</f>
        <v>0</v>
      </c>
      <c r="AE496" s="26" t="n">
        <f aca="false">$AD496+ROW()*0.000000001</f>
        <v>4.96E-007</v>
      </c>
      <c r="AF496" s="26" t="str">
        <f aca="false">IF($J496="Yes","A","")&amp;IF($L496="Yes","B","")&amp;IF($N496="Yes","C","")</f>
        <v/>
      </c>
    </row>
    <row r="497" customFormat="false" ht="15" hidden="false" customHeight="false" outlineLevel="0" collapsed="false">
      <c r="B497" s="22" t="s">
        <v>925</v>
      </c>
      <c r="C497" s="23" t="s">
        <v>926</v>
      </c>
      <c r="D497" s="23" t="s">
        <v>215</v>
      </c>
      <c r="E497" s="23" t="s">
        <v>373</v>
      </c>
      <c r="F497" s="22" t="s">
        <v>112</v>
      </c>
      <c r="G497" s="23" t="s">
        <v>58</v>
      </c>
      <c r="H497" s="24" t="n">
        <v>1</v>
      </c>
      <c r="I497" s="14" t="n">
        <v>0.1072</v>
      </c>
      <c r="J497" s="25" t="s">
        <v>59</v>
      </c>
      <c r="K497" s="25"/>
      <c r="L497" s="25" t="s">
        <v>59</v>
      </c>
      <c r="M497" s="25"/>
      <c r="N497" s="25" t="s">
        <v>59</v>
      </c>
      <c r="O497" s="25"/>
      <c r="P497" s="14" t="n">
        <v>0.1072</v>
      </c>
      <c r="Q497" s="14" t="n">
        <f aca="false">IF(AND($J497="Yes",$G497&lt;&gt;"Vendor day rates"),$I497-0.4*$P497,0)</f>
        <v>0</v>
      </c>
      <c r="R497" s="26" t="n">
        <f aca="false">IFERROR(MATCH($K497,MonthList,0),0)</f>
        <v>0</v>
      </c>
      <c r="S497" s="14" t="n">
        <f aca="false">IF(OR($J497&lt;&gt;"Yes",$K497=""),0,$Q497*MAX(0,7-$R497)/12)</f>
        <v>0</v>
      </c>
      <c r="T497" s="14" t="n">
        <f aca="false">IF(OR($J497&lt;&gt;"Yes",$K497=""),0,$Q497*IF($R497&lt;=7,12,19-$R497)/12)</f>
        <v>0</v>
      </c>
      <c r="U497" s="14" t="n">
        <f aca="false">IF(AND($L497="Yes",$G497&lt;&gt;"Vendor day rates"),$I497-0.4*$P497,0)</f>
        <v>0</v>
      </c>
      <c r="V497" s="26" t="n">
        <f aca="false">IFERROR(MATCH($M497,MonthList,0),0)</f>
        <v>0</v>
      </c>
      <c r="W497" s="14" t="n">
        <f aca="false">IF(OR($L497&lt;&gt;"Yes",$M497=""),0,$U497*MAX(0,7-$V497)/12)</f>
        <v>0</v>
      </c>
      <c r="X497" s="14" t="n">
        <f aca="false">IF(OR($L497&lt;&gt;"Yes",$M497=""),0,$U497*IF($V497&lt;=7,12,19-$V497)/12)</f>
        <v>0</v>
      </c>
      <c r="Y497" s="14" t="n">
        <f aca="false">IF(AND($N497="Yes",$G497&lt;&gt;"Vendor day rates"),$I497-0.4*$P497,0)</f>
        <v>0</v>
      </c>
      <c r="Z497" s="26" t="n">
        <f aca="false">IFERROR(MATCH($O497,MonthList,0),0)</f>
        <v>0</v>
      </c>
      <c r="AA497" s="14" t="n">
        <f aca="false">IF(OR($N497&lt;&gt;"Yes",$O497=""),0,$Y497*MAX(0,7-$Z497)/12)</f>
        <v>0</v>
      </c>
      <c r="AB497" s="14" t="n">
        <f aca="false">IF(OR($N497&lt;&gt;"Yes",$O497=""),0,$Y497*IF($Z497&lt;=7,12,19-$Z497)/12)</f>
        <v>0</v>
      </c>
      <c r="AC497" s="26" t="str">
        <f aca="false">IF(OR($J497="Yes",$L497="Yes",$N497="Yes"),"Yes","No")</f>
        <v>No</v>
      </c>
      <c r="AD497" s="14" t="n">
        <f aca="false">MAX($Q497,$U497,$Y497)</f>
        <v>0</v>
      </c>
      <c r="AE497" s="26" t="n">
        <f aca="false">$AD497+ROW()*0.000000001</f>
        <v>4.97E-007</v>
      </c>
      <c r="AF497" s="26" t="str">
        <f aca="false">IF($J497="Yes","A","")&amp;IF($L497="Yes","B","")&amp;IF($N497="Yes","C","")</f>
        <v/>
      </c>
    </row>
    <row r="498" customFormat="false" ht="15" hidden="false" customHeight="false" outlineLevel="0" collapsed="false">
      <c r="B498" s="22" t="s">
        <v>927</v>
      </c>
      <c r="C498" s="23" t="s">
        <v>120</v>
      </c>
      <c r="D498" s="23" t="s">
        <v>207</v>
      </c>
      <c r="E498" s="23" t="s">
        <v>388</v>
      </c>
      <c r="F498" s="22" t="s">
        <v>57</v>
      </c>
      <c r="G498" s="23" t="s">
        <v>58</v>
      </c>
      <c r="H498" s="24" t="n">
        <v>1</v>
      </c>
      <c r="I498" s="14" t="n">
        <v>0.1492</v>
      </c>
      <c r="J498" s="25" t="s">
        <v>59</v>
      </c>
      <c r="K498" s="25"/>
      <c r="L498" s="25" t="s">
        <v>59</v>
      </c>
      <c r="M498" s="25"/>
      <c r="N498" s="25" t="s">
        <v>59</v>
      </c>
      <c r="O498" s="25"/>
      <c r="P498" s="14" t="n">
        <v>0.1492</v>
      </c>
      <c r="Q498" s="14" t="n">
        <f aca="false">IF(AND($J498="Yes",$G498&lt;&gt;"Vendor day rates"),$I498-0.4*$P498,0)</f>
        <v>0</v>
      </c>
      <c r="R498" s="26" t="n">
        <f aca="false">IFERROR(MATCH($K498,MonthList,0),0)</f>
        <v>0</v>
      </c>
      <c r="S498" s="14" t="n">
        <f aca="false">IF(OR($J498&lt;&gt;"Yes",$K498=""),0,$Q498*MAX(0,7-$R498)/12)</f>
        <v>0</v>
      </c>
      <c r="T498" s="14" t="n">
        <f aca="false">IF(OR($J498&lt;&gt;"Yes",$K498=""),0,$Q498*IF($R498&lt;=7,12,19-$R498)/12)</f>
        <v>0</v>
      </c>
      <c r="U498" s="14" t="n">
        <f aca="false">IF(AND($L498="Yes",$G498&lt;&gt;"Vendor day rates"),$I498-0.4*$P498,0)</f>
        <v>0</v>
      </c>
      <c r="V498" s="26" t="n">
        <f aca="false">IFERROR(MATCH($M498,MonthList,0),0)</f>
        <v>0</v>
      </c>
      <c r="W498" s="14" t="n">
        <f aca="false">IF(OR($L498&lt;&gt;"Yes",$M498=""),0,$U498*MAX(0,7-$V498)/12)</f>
        <v>0</v>
      </c>
      <c r="X498" s="14" t="n">
        <f aca="false">IF(OR($L498&lt;&gt;"Yes",$M498=""),0,$U498*IF($V498&lt;=7,12,19-$V498)/12)</f>
        <v>0</v>
      </c>
      <c r="Y498" s="14" t="n">
        <f aca="false">IF(AND($N498="Yes",$G498&lt;&gt;"Vendor day rates"),$I498-0.4*$P498,0)</f>
        <v>0</v>
      </c>
      <c r="Z498" s="26" t="n">
        <f aca="false">IFERROR(MATCH($O498,MonthList,0),0)</f>
        <v>0</v>
      </c>
      <c r="AA498" s="14" t="n">
        <f aca="false">IF(OR($N498&lt;&gt;"Yes",$O498=""),0,$Y498*MAX(0,7-$Z498)/12)</f>
        <v>0</v>
      </c>
      <c r="AB498" s="14" t="n">
        <f aca="false">IF(OR($N498&lt;&gt;"Yes",$O498=""),0,$Y498*IF($Z498&lt;=7,12,19-$Z498)/12)</f>
        <v>0</v>
      </c>
      <c r="AC498" s="26" t="str">
        <f aca="false">IF(OR($J498="Yes",$L498="Yes",$N498="Yes"),"Yes","No")</f>
        <v>No</v>
      </c>
      <c r="AD498" s="14" t="n">
        <f aca="false">MAX($Q498,$U498,$Y498)</f>
        <v>0</v>
      </c>
      <c r="AE498" s="26" t="n">
        <f aca="false">$AD498+ROW()*0.000000001</f>
        <v>4.98E-007</v>
      </c>
      <c r="AF498" s="26" t="str">
        <f aca="false">IF($J498="Yes","A","")&amp;IF($L498="Yes","B","")&amp;IF($N498="Yes","C","")</f>
        <v/>
      </c>
    </row>
    <row r="499" customFormat="false" ht="15" hidden="false" customHeight="false" outlineLevel="0" collapsed="false">
      <c r="B499" s="22" t="s">
        <v>928</v>
      </c>
      <c r="C499" s="23" t="s">
        <v>837</v>
      </c>
      <c r="D499" s="23" t="s">
        <v>207</v>
      </c>
      <c r="E499" s="23" t="s">
        <v>388</v>
      </c>
      <c r="F499" s="22" t="s">
        <v>57</v>
      </c>
      <c r="G499" s="23" t="s">
        <v>58</v>
      </c>
      <c r="H499" s="24" t="n">
        <v>1</v>
      </c>
      <c r="I499" s="14" t="n">
        <v>0.1375</v>
      </c>
      <c r="J499" s="25" t="s">
        <v>59</v>
      </c>
      <c r="K499" s="25"/>
      <c r="L499" s="25" t="s">
        <v>59</v>
      </c>
      <c r="M499" s="25"/>
      <c r="N499" s="25" t="s">
        <v>59</v>
      </c>
      <c r="O499" s="25"/>
      <c r="P499" s="14" t="n">
        <v>0.1375</v>
      </c>
      <c r="Q499" s="14" t="n">
        <f aca="false">IF(AND($J499="Yes",$G499&lt;&gt;"Vendor day rates"),$I499-0.4*$P499,0)</f>
        <v>0</v>
      </c>
      <c r="R499" s="26" t="n">
        <f aca="false">IFERROR(MATCH($K499,MonthList,0),0)</f>
        <v>0</v>
      </c>
      <c r="S499" s="14" t="n">
        <f aca="false">IF(OR($J499&lt;&gt;"Yes",$K499=""),0,$Q499*MAX(0,7-$R499)/12)</f>
        <v>0</v>
      </c>
      <c r="T499" s="14" t="n">
        <f aca="false">IF(OR($J499&lt;&gt;"Yes",$K499=""),0,$Q499*IF($R499&lt;=7,12,19-$R499)/12)</f>
        <v>0</v>
      </c>
      <c r="U499" s="14" t="n">
        <f aca="false">IF(AND($L499="Yes",$G499&lt;&gt;"Vendor day rates"),$I499-0.4*$P499,0)</f>
        <v>0</v>
      </c>
      <c r="V499" s="26" t="n">
        <f aca="false">IFERROR(MATCH($M499,MonthList,0),0)</f>
        <v>0</v>
      </c>
      <c r="W499" s="14" t="n">
        <f aca="false">IF(OR($L499&lt;&gt;"Yes",$M499=""),0,$U499*MAX(0,7-$V499)/12)</f>
        <v>0</v>
      </c>
      <c r="X499" s="14" t="n">
        <f aca="false">IF(OR($L499&lt;&gt;"Yes",$M499=""),0,$U499*IF($V499&lt;=7,12,19-$V499)/12)</f>
        <v>0</v>
      </c>
      <c r="Y499" s="14" t="n">
        <f aca="false">IF(AND($N499="Yes",$G499&lt;&gt;"Vendor day rates"),$I499-0.4*$P499,0)</f>
        <v>0</v>
      </c>
      <c r="Z499" s="26" t="n">
        <f aca="false">IFERROR(MATCH($O499,MonthList,0),0)</f>
        <v>0</v>
      </c>
      <c r="AA499" s="14" t="n">
        <f aca="false">IF(OR($N499&lt;&gt;"Yes",$O499=""),0,$Y499*MAX(0,7-$Z499)/12)</f>
        <v>0</v>
      </c>
      <c r="AB499" s="14" t="n">
        <f aca="false">IF(OR($N499&lt;&gt;"Yes",$O499=""),0,$Y499*IF($Z499&lt;=7,12,19-$Z499)/12)</f>
        <v>0</v>
      </c>
      <c r="AC499" s="26" t="str">
        <f aca="false">IF(OR($J499="Yes",$L499="Yes",$N499="Yes"),"Yes","No")</f>
        <v>No</v>
      </c>
      <c r="AD499" s="14" t="n">
        <f aca="false">MAX($Q499,$U499,$Y499)</f>
        <v>0</v>
      </c>
      <c r="AE499" s="26" t="n">
        <f aca="false">$AD499+ROW()*0.000000001</f>
        <v>4.99E-007</v>
      </c>
      <c r="AF499" s="26" t="str">
        <f aca="false">IF($J499="Yes","A","")&amp;IF($L499="Yes","B","")&amp;IF($N499="Yes","C","")</f>
        <v/>
      </c>
    </row>
    <row r="500" customFormat="false" ht="15" hidden="false" customHeight="false" outlineLevel="0" collapsed="false">
      <c r="B500" s="22" t="s">
        <v>929</v>
      </c>
      <c r="C500" s="23" t="s">
        <v>930</v>
      </c>
      <c r="D500" s="23" t="s">
        <v>147</v>
      </c>
      <c r="E500" s="23" t="s">
        <v>167</v>
      </c>
      <c r="F500" s="22" t="s">
        <v>57</v>
      </c>
      <c r="G500" s="23" t="s">
        <v>58</v>
      </c>
      <c r="H500" s="24" t="n">
        <v>1</v>
      </c>
      <c r="I500" s="14" t="n">
        <v>0.1159</v>
      </c>
      <c r="J500" s="25" t="s">
        <v>59</v>
      </c>
      <c r="K500" s="25"/>
      <c r="L500" s="25" t="s">
        <v>59</v>
      </c>
      <c r="M500" s="25"/>
      <c r="N500" s="25" t="s">
        <v>59</v>
      </c>
      <c r="O500" s="25"/>
      <c r="P500" s="14" t="n">
        <v>0.1159</v>
      </c>
      <c r="Q500" s="14" t="n">
        <f aca="false">IF(AND($J500="Yes",$G500&lt;&gt;"Vendor day rates"),$I500-0.4*$P500,0)</f>
        <v>0</v>
      </c>
      <c r="R500" s="26" t="n">
        <f aca="false">IFERROR(MATCH($K500,MonthList,0),0)</f>
        <v>0</v>
      </c>
      <c r="S500" s="14" t="n">
        <f aca="false">IF(OR($J500&lt;&gt;"Yes",$K500=""),0,$Q500*MAX(0,7-$R500)/12)</f>
        <v>0</v>
      </c>
      <c r="T500" s="14" t="n">
        <f aca="false">IF(OR($J500&lt;&gt;"Yes",$K500=""),0,$Q500*IF($R500&lt;=7,12,19-$R500)/12)</f>
        <v>0</v>
      </c>
      <c r="U500" s="14" t="n">
        <f aca="false">IF(AND($L500="Yes",$G500&lt;&gt;"Vendor day rates"),$I500-0.4*$P500,0)</f>
        <v>0</v>
      </c>
      <c r="V500" s="26" t="n">
        <f aca="false">IFERROR(MATCH($M500,MonthList,0),0)</f>
        <v>0</v>
      </c>
      <c r="W500" s="14" t="n">
        <f aca="false">IF(OR($L500&lt;&gt;"Yes",$M500=""),0,$U500*MAX(0,7-$V500)/12)</f>
        <v>0</v>
      </c>
      <c r="X500" s="14" t="n">
        <f aca="false">IF(OR($L500&lt;&gt;"Yes",$M500=""),0,$U500*IF($V500&lt;=7,12,19-$V500)/12)</f>
        <v>0</v>
      </c>
      <c r="Y500" s="14" t="n">
        <f aca="false">IF(AND($N500="Yes",$G500&lt;&gt;"Vendor day rates"),$I500-0.4*$P500,0)</f>
        <v>0</v>
      </c>
      <c r="Z500" s="26" t="n">
        <f aca="false">IFERROR(MATCH($O500,MonthList,0),0)</f>
        <v>0</v>
      </c>
      <c r="AA500" s="14" t="n">
        <f aca="false">IF(OR($N500&lt;&gt;"Yes",$O500=""),0,$Y500*MAX(0,7-$Z500)/12)</f>
        <v>0</v>
      </c>
      <c r="AB500" s="14" t="n">
        <f aca="false">IF(OR($N500&lt;&gt;"Yes",$O500=""),0,$Y500*IF($Z500&lt;=7,12,19-$Z500)/12)</f>
        <v>0</v>
      </c>
      <c r="AC500" s="26" t="str">
        <f aca="false">IF(OR($J500="Yes",$L500="Yes",$N500="Yes"),"Yes","No")</f>
        <v>No</v>
      </c>
      <c r="AD500" s="14" t="n">
        <f aca="false">MAX($Q500,$U500,$Y500)</f>
        <v>0</v>
      </c>
      <c r="AE500" s="26" t="n">
        <f aca="false">$AD500+ROW()*0.000000001</f>
        <v>5E-007</v>
      </c>
      <c r="AF500" s="26" t="str">
        <f aca="false">IF($J500="Yes","A","")&amp;IF($L500="Yes","B","")&amp;IF($N500="Yes","C","")</f>
        <v/>
      </c>
    </row>
    <row r="501" customFormat="false" ht="15" hidden="false" customHeight="false" outlineLevel="0" collapsed="false">
      <c r="B501" s="22" t="s">
        <v>931</v>
      </c>
      <c r="C501" s="23" t="s">
        <v>932</v>
      </c>
      <c r="D501" s="23" t="s">
        <v>212</v>
      </c>
      <c r="E501" s="23" t="s">
        <v>571</v>
      </c>
      <c r="F501" s="22" t="s">
        <v>57</v>
      </c>
      <c r="G501" s="23" t="s">
        <v>58</v>
      </c>
      <c r="H501" s="24" t="n">
        <v>1</v>
      </c>
      <c r="I501" s="14" t="n">
        <v>0.1456</v>
      </c>
      <c r="J501" s="25" t="s">
        <v>59</v>
      </c>
      <c r="K501" s="25"/>
      <c r="L501" s="25" t="s">
        <v>59</v>
      </c>
      <c r="M501" s="25"/>
      <c r="N501" s="25" t="s">
        <v>59</v>
      </c>
      <c r="O501" s="25"/>
      <c r="P501" s="14" t="n">
        <v>0.1456</v>
      </c>
      <c r="Q501" s="14" t="n">
        <f aca="false">IF(AND($J501="Yes",$G501&lt;&gt;"Vendor day rates"),$I501-0.4*$P501,0)</f>
        <v>0</v>
      </c>
      <c r="R501" s="26" t="n">
        <f aca="false">IFERROR(MATCH($K501,MonthList,0),0)</f>
        <v>0</v>
      </c>
      <c r="S501" s="14" t="n">
        <f aca="false">IF(OR($J501&lt;&gt;"Yes",$K501=""),0,$Q501*MAX(0,7-$R501)/12)</f>
        <v>0</v>
      </c>
      <c r="T501" s="14" t="n">
        <f aca="false">IF(OR($J501&lt;&gt;"Yes",$K501=""),0,$Q501*IF($R501&lt;=7,12,19-$R501)/12)</f>
        <v>0</v>
      </c>
      <c r="U501" s="14" t="n">
        <f aca="false">IF(AND($L501="Yes",$G501&lt;&gt;"Vendor day rates"),$I501-0.4*$P501,0)</f>
        <v>0</v>
      </c>
      <c r="V501" s="26" t="n">
        <f aca="false">IFERROR(MATCH($M501,MonthList,0),0)</f>
        <v>0</v>
      </c>
      <c r="W501" s="14" t="n">
        <f aca="false">IF(OR($L501&lt;&gt;"Yes",$M501=""),0,$U501*MAX(0,7-$V501)/12)</f>
        <v>0</v>
      </c>
      <c r="X501" s="14" t="n">
        <f aca="false">IF(OR($L501&lt;&gt;"Yes",$M501=""),0,$U501*IF($V501&lt;=7,12,19-$V501)/12)</f>
        <v>0</v>
      </c>
      <c r="Y501" s="14" t="n">
        <f aca="false">IF(AND($N501="Yes",$G501&lt;&gt;"Vendor day rates"),$I501-0.4*$P501,0)</f>
        <v>0</v>
      </c>
      <c r="Z501" s="26" t="n">
        <f aca="false">IFERROR(MATCH($O501,MonthList,0),0)</f>
        <v>0</v>
      </c>
      <c r="AA501" s="14" t="n">
        <f aca="false">IF(OR($N501&lt;&gt;"Yes",$O501=""),0,$Y501*MAX(0,7-$Z501)/12)</f>
        <v>0</v>
      </c>
      <c r="AB501" s="14" t="n">
        <f aca="false">IF(OR($N501&lt;&gt;"Yes",$O501=""),0,$Y501*IF($Z501&lt;=7,12,19-$Z501)/12)</f>
        <v>0</v>
      </c>
      <c r="AC501" s="26" t="str">
        <f aca="false">IF(OR($J501="Yes",$L501="Yes",$N501="Yes"),"Yes","No")</f>
        <v>No</v>
      </c>
      <c r="AD501" s="14" t="n">
        <f aca="false">MAX($Q501,$U501,$Y501)</f>
        <v>0</v>
      </c>
      <c r="AE501" s="26" t="n">
        <f aca="false">$AD501+ROW()*0.000000001</f>
        <v>5.01E-007</v>
      </c>
      <c r="AF501" s="26" t="str">
        <f aca="false">IF($J501="Yes","A","")&amp;IF($L501="Yes","B","")&amp;IF($N501="Yes","C","")</f>
        <v/>
      </c>
    </row>
    <row r="502" customFormat="false" ht="15" hidden="false" customHeight="false" outlineLevel="0" collapsed="false">
      <c r="B502" s="22" t="s">
        <v>933</v>
      </c>
      <c r="C502" s="23" t="s">
        <v>934</v>
      </c>
      <c r="D502" s="23" t="s">
        <v>147</v>
      </c>
      <c r="E502" s="23" t="s">
        <v>199</v>
      </c>
      <c r="F502" s="22" t="s">
        <v>57</v>
      </c>
      <c r="G502" s="23" t="s">
        <v>58</v>
      </c>
      <c r="H502" s="24" t="n">
        <v>1</v>
      </c>
      <c r="I502" s="14" t="n">
        <v>0.1477</v>
      </c>
      <c r="J502" s="25" t="s">
        <v>59</v>
      </c>
      <c r="K502" s="25"/>
      <c r="L502" s="25" t="s">
        <v>59</v>
      </c>
      <c r="M502" s="25"/>
      <c r="N502" s="25" t="s">
        <v>59</v>
      </c>
      <c r="O502" s="25"/>
      <c r="P502" s="14" t="n">
        <v>0.1477</v>
      </c>
      <c r="Q502" s="14" t="n">
        <f aca="false">IF(AND($J502="Yes",$G502&lt;&gt;"Vendor day rates"),$I502-0.4*$P502,0)</f>
        <v>0</v>
      </c>
      <c r="R502" s="26" t="n">
        <f aca="false">IFERROR(MATCH($K502,MonthList,0),0)</f>
        <v>0</v>
      </c>
      <c r="S502" s="14" t="n">
        <f aca="false">IF(OR($J502&lt;&gt;"Yes",$K502=""),0,$Q502*MAX(0,7-$R502)/12)</f>
        <v>0</v>
      </c>
      <c r="T502" s="14" t="n">
        <f aca="false">IF(OR($J502&lt;&gt;"Yes",$K502=""),0,$Q502*IF($R502&lt;=7,12,19-$R502)/12)</f>
        <v>0</v>
      </c>
      <c r="U502" s="14" t="n">
        <f aca="false">IF(AND($L502="Yes",$G502&lt;&gt;"Vendor day rates"),$I502-0.4*$P502,0)</f>
        <v>0</v>
      </c>
      <c r="V502" s="26" t="n">
        <f aca="false">IFERROR(MATCH($M502,MonthList,0),0)</f>
        <v>0</v>
      </c>
      <c r="W502" s="14" t="n">
        <f aca="false">IF(OR($L502&lt;&gt;"Yes",$M502=""),0,$U502*MAX(0,7-$V502)/12)</f>
        <v>0</v>
      </c>
      <c r="X502" s="14" t="n">
        <f aca="false">IF(OR($L502&lt;&gt;"Yes",$M502=""),0,$U502*IF($V502&lt;=7,12,19-$V502)/12)</f>
        <v>0</v>
      </c>
      <c r="Y502" s="14" t="n">
        <f aca="false">IF(AND($N502="Yes",$G502&lt;&gt;"Vendor day rates"),$I502-0.4*$P502,0)</f>
        <v>0</v>
      </c>
      <c r="Z502" s="26" t="n">
        <f aca="false">IFERROR(MATCH($O502,MonthList,0),0)</f>
        <v>0</v>
      </c>
      <c r="AA502" s="14" t="n">
        <f aca="false">IF(OR($N502&lt;&gt;"Yes",$O502=""),0,$Y502*MAX(0,7-$Z502)/12)</f>
        <v>0</v>
      </c>
      <c r="AB502" s="14" t="n">
        <f aca="false">IF(OR($N502&lt;&gt;"Yes",$O502=""),0,$Y502*IF($Z502&lt;=7,12,19-$Z502)/12)</f>
        <v>0</v>
      </c>
      <c r="AC502" s="26" t="str">
        <f aca="false">IF(OR($J502="Yes",$L502="Yes",$N502="Yes"),"Yes","No")</f>
        <v>No</v>
      </c>
      <c r="AD502" s="14" t="n">
        <f aca="false">MAX($Q502,$U502,$Y502)</f>
        <v>0</v>
      </c>
      <c r="AE502" s="26" t="n">
        <f aca="false">$AD502+ROW()*0.000000001</f>
        <v>5.02E-007</v>
      </c>
      <c r="AF502" s="26" t="str">
        <f aca="false">IF($J502="Yes","A","")&amp;IF($L502="Yes","B","")&amp;IF($N502="Yes","C","")</f>
        <v/>
      </c>
    </row>
    <row r="503" customFormat="false" ht="15" hidden="false" customHeight="false" outlineLevel="0" collapsed="false">
      <c r="B503" s="22" t="s">
        <v>935</v>
      </c>
      <c r="C503" s="23" t="s">
        <v>120</v>
      </c>
      <c r="D503" s="23" t="s">
        <v>212</v>
      </c>
      <c r="E503" s="23" t="s">
        <v>783</v>
      </c>
      <c r="F503" s="22" t="s">
        <v>57</v>
      </c>
      <c r="G503" s="23" t="s">
        <v>58</v>
      </c>
      <c r="H503" s="24" t="n">
        <v>1</v>
      </c>
      <c r="I503" s="14" t="n">
        <v>0.1461</v>
      </c>
      <c r="J503" s="25" t="s">
        <v>59</v>
      </c>
      <c r="K503" s="25"/>
      <c r="L503" s="25" t="s">
        <v>59</v>
      </c>
      <c r="M503" s="25"/>
      <c r="N503" s="25" t="s">
        <v>59</v>
      </c>
      <c r="O503" s="25"/>
      <c r="P503" s="14" t="n">
        <v>0.1461</v>
      </c>
      <c r="Q503" s="14" t="n">
        <f aca="false">IF(AND($J503="Yes",$G503&lt;&gt;"Vendor day rates"),$I503-0.4*$P503,0)</f>
        <v>0</v>
      </c>
      <c r="R503" s="26" t="n">
        <f aca="false">IFERROR(MATCH($K503,MonthList,0),0)</f>
        <v>0</v>
      </c>
      <c r="S503" s="14" t="n">
        <f aca="false">IF(OR($J503&lt;&gt;"Yes",$K503=""),0,$Q503*MAX(0,7-$R503)/12)</f>
        <v>0</v>
      </c>
      <c r="T503" s="14" t="n">
        <f aca="false">IF(OR($J503&lt;&gt;"Yes",$K503=""),0,$Q503*IF($R503&lt;=7,12,19-$R503)/12)</f>
        <v>0</v>
      </c>
      <c r="U503" s="14" t="n">
        <f aca="false">IF(AND($L503="Yes",$G503&lt;&gt;"Vendor day rates"),$I503-0.4*$P503,0)</f>
        <v>0</v>
      </c>
      <c r="V503" s="26" t="n">
        <f aca="false">IFERROR(MATCH($M503,MonthList,0),0)</f>
        <v>0</v>
      </c>
      <c r="W503" s="14" t="n">
        <f aca="false">IF(OR($L503&lt;&gt;"Yes",$M503=""),0,$U503*MAX(0,7-$V503)/12)</f>
        <v>0</v>
      </c>
      <c r="X503" s="14" t="n">
        <f aca="false">IF(OR($L503&lt;&gt;"Yes",$M503=""),0,$U503*IF($V503&lt;=7,12,19-$V503)/12)</f>
        <v>0</v>
      </c>
      <c r="Y503" s="14" t="n">
        <f aca="false">IF(AND($N503="Yes",$G503&lt;&gt;"Vendor day rates"),$I503-0.4*$P503,0)</f>
        <v>0</v>
      </c>
      <c r="Z503" s="26" t="n">
        <f aca="false">IFERROR(MATCH($O503,MonthList,0),0)</f>
        <v>0</v>
      </c>
      <c r="AA503" s="14" t="n">
        <f aca="false">IF(OR($N503&lt;&gt;"Yes",$O503=""),0,$Y503*MAX(0,7-$Z503)/12)</f>
        <v>0</v>
      </c>
      <c r="AB503" s="14" t="n">
        <f aca="false">IF(OR($N503&lt;&gt;"Yes",$O503=""),0,$Y503*IF($Z503&lt;=7,12,19-$Z503)/12)</f>
        <v>0</v>
      </c>
      <c r="AC503" s="26" t="str">
        <f aca="false">IF(OR($J503="Yes",$L503="Yes",$N503="Yes"),"Yes","No")</f>
        <v>No</v>
      </c>
      <c r="AD503" s="14" t="n">
        <f aca="false">MAX($Q503,$U503,$Y503)</f>
        <v>0</v>
      </c>
      <c r="AE503" s="26" t="n">
        <f aca="false">$AD503+ROW()*0.000000001</f>
        <v>5.03E-007</v>
      </c>
      <c r="AF503" s="26" t="str">
        <f aca="false">IF($J503="Yes","A","")&amp;IF($L503="Yes","B","")&amp;IF($N503="Yes","C","")</f>
        <v/>
      </c>
    </row>
    <row r="504" customFormat="false" ht="15" hidden="false" customHeight="false" outlineLevel="0" collapsed="false">
      <c r="B504" s="22" t="s">
        <v>936</v>
      </c>
      <c r="C504" s="23" t="s">
        <v>937</v>
      </c>
      <c r="D504" s="23" t="s">
        <v>212</v>
      </c>
      <c r="E504" s="23" t="s">
        <v>325</v>
      </c>
      <c r="F504" s="22" t="s">
        <v>57</v>
      </c>
      <c r="G504" s="23" t="s">
        <v>58</v>
      </c>
      <c r="H504" s="24" t="n">
        <v>1</v>
      </c>
      <c r="I504" s="14" t="n">
        <v>0.1989</v>
      </c>
      <c r="J504" s="25" t="s">
        <v>59</v>
      </c>
      <c r="K504" s="25"/>
      <c r="L504" s="25" t="s">
        <v>59</v>
      </c>
      <c r="M504" s="25"/>
      <c r="N504" s="25" t="s">
        <v>59</v>
      </c>
      <c r="O504" s="25"/>
      <c r="P504" s="14" t="n">
        <v>0.1989</v>
      </c>
      <c r="Q504" s="14" t="n">
        <f aca="false">IF(AND($J504="Yes",$G504&lt;&gt;"Vendor day rates"),$I504-0.4*$P504,0)</f>
        <v>0</v>
      </c>
      <c r="R504" s="26" t="n">
        <f aca="false">IFERROR(MATCH($K504,MonthList,0),0)</f>
        <v>0</v>
      </c>
      <c r="S504" s="14" t="n">
        <f aca="false">IF(OR($J504&lt;&gt;"Yes",$K504=""),0,$Q504*MAX(0,7-$R504)/12)</f>
        <v>0</v>
      </c>
      <c r="T504" s="14" t="n">
        <f aca="false">IF(OR($J504&lt;&gt;"Yes",$K504=""),0,$Q504*IF($R504&lt;=7,12,19-$R504)/12)</f>
        <v>0</v>
      </c>
      <c r="U504" s="14" t="n">
        <f aca="false">IF(AND($L504="Yes",$G504&lt;&gt;"Vendor day rates"),$I504-0.4*$P504,0)</f>
        <v>0</v>
      </c>
      <c r="V504" s="26" t="n">
        <f aca="false">IFERROR(MATCH($M504,MonthList,0),0)</f>
        <v>0</v>
      </c>
      <c r="W504" s="14" t="n">
        <f aca="false">IF(OR($L504&lt;&gt;"Yes",$M504=""),0,$U504*MAX(0,7-$V504)/12)</f>
        <v>0</v>
      </c>
      <c r="X504" s="14" t="n">
        <f aca="false">IF(OR($L504&lt;&gt;"Yes",$M504=""),0,$U504*IF($V504&lt;=7,12,19-$V504)/12)</f>
        <v>0</v>
      </c>
      <c r="Y504" s="14" t="n">
        <f aca="false">IF(AND($N504="Yes",$G504&lt;&gt;"Vendor day rates"),$I504-0.4*$P504,0)</f>
        <v>0</v>
      </c>
      <c r="Z504" s="26" t="n">
        <f aca="false">IFERROR(MATCH($O504,MonthList,0),0)</f>
        <v>0</v>
      </c>
      <c r="AA504" s="14" t="n">
        <f aca="false">IF(OR($N504&lt;&gt;"Yes",$O504=""),0,$Y504*MAX(0,7-$Z504)/12)</f>
        <v>0</v>
      </c>
      <c r="AB504" s="14" t="n">
        <f aca="false">IF(OR($N504&lt;&gt;"Yes",$O504=""),0,$Y504*IF($Z504&lt;=7,12,19-$Z504)/12)</f>
        <v>0</v>
      </c>
      <c r="AC504" s="26" t="str">
        <f aca="false">IF(OR($J504="Yes",$L504="Yes",$N504="Yes"),"Yes","No")</f>
        <v>No</v>
      </c>
      <c r="AD504" s="14" t="n">
        <f aca="false">MAX($Q504,$U504,$Y504)</f>
        <v>0</v>
      </c>
      <c r="AE504" s="26" t="n">
        <f aca="false">$AD504+ROW()*0.000000001</f>
        <v>5.04E-007</v>
      </c>
      <c r="AF504" s="26" t="str">
        <f aca="false">IF($J504="Yes","A","")&amp;IF($L504="Yes","B","")&amp;IF($N504="Yes","C","")</f>
        <v/>
      </c>
    </row>
    <row r="505" customFormat="false" ht="15" hidden="false" customHeight="false" outlineLevel="0" collapsed="false">
      <c r="B505" s="22" t="s">
        <v>938</v>
      </c>
      <c r="C505" s="23" t="s">
        <v>939</v>
      </c>
      <c r="D505" s="23" t="s">
        <v>152</v>
      </c>
      <c r="E505" s="23" t="s">
        <v>347</v>
      </c>
      <c r="F505" s="22" t="s">
        <v>112</v>
      </c>
      <c r="G505" s="23" t="s">
        <v>58</v>
      </c>
      <c r="H505" s="24" t="n">
        <v>1</v>
      </c>
      <c r="I505" s="14" t="n">
        <v>0.105</v>
      </c>
      <c r="J505" s="25" t="s">
        <v>59</v>
      </c>
      <c r="K505" s="25"/>
      <c r="L505" s="25" t="s">
        <v>59</v>
      </c>
      <c r="M505" s="25"/>
      <c r="N505" s="25" t="s">
        <v>59</v>
      </c>
      <c r="O505" s="25"/>
      <c r="P505" s="14" t="n">
        <v>0.105</v>
      </c>
      <c r="Q505" s="14" t="n">
        <f aca="false">IF(AND($J505="Yes",$G505&lt;&gt;"Vendor day rates"),$I505-0.4*$P505,0)</f>
        <v>0</v>
      </c>
      <c r="R505" s="26" t="n">
        <f aca="false">IFERROR(MATCH($K505,MonthList,0),0)</f>
        <v>0</v>
      </c>
      <c r="S505" s="14" t="n">
        <f aca="false">IF(OR($J505&lt;&gt;"Yes",$K505=""),0,$Q505*MAX(0,7-$R505)/12)</f>
        <v>0</v>
      </c>
      <c r="T505" s="14" t="n">
        <f aca="false">IF(OR($J505&lt;&gt;"Yes",$K505=""),0,$Q505*IF($R505&lt;=7,12,19-$R505)/12)</f>
        <v>0</v>
      </c>
      <c r="U505" s="14" t="n">
        <f aca="false">IF(AND($L505="Yes",$G505&lt;&gt;"Vendor day rates"),$I505-0.4*$P505,0)</f>
        <v>0</v>
      </c>
      <c r="V505" s="26" t="n">
        <f aca="false">IFERROR(MATCH($M505,MonthList,0),0)</f>
        <v>0</v>
      </c>
      <c r="W505" s="14" t="n">
        <f aca="false">IF(OR($L505&lt;&gt;"Yes",$M505=""),0,$U505*MAX(0,7-$V505)/12)</f>
        <v>0</v>
      </c>
      <c r="X505" s="14" t="n">
        <f aca="false">IF(OR($L505&lt;&gt;"Yes",$M505=""),0,$U505*IF($V505&lt;=7,12,19-$V505)/12)</f>
        <v>0</v>
      </c>
      <c r="Y505" s="14" t="n">
        <f aca="false">IF(AND($N505="Yes",$G505&lt;&gt;"Vendor day rates"),$I505-0.4*$P505,0)</f>
        <v>0</v>
      </c>
      <c r="Z505" s="26" t="n">
        <f aca="false">IFERROR(MATCH($O505,MonthList,0),0)</f>
        <v>0</v>
      </c>
      <c r="AA505" s="14" t="n">
        <f aca="false">IF(OR($N505&lt;&gt;"Yes",$O505=""),0,$Y505*MAX(0,7-$Z505)/12)</f>
        <v>0</v>
      </c>
      <c r="AB505" s="14" t="n">
        <f aca="false">IF(OR($N505&lt;&gt;"Yes",$O505=""),0,$Y505*IF($Z505&lt;=7,12,19-$Z505)/12)</f>
        <v>0</v>
      </c>
      <c r="AC505" s="26" t="str">
        <f aca="false">IF(OR($J505="Yes",$L505="Yes",$N505="Yes"),"Yes","No")</f>
        <v>No</v>
      </c>
      <c r="AD505" s="14" t="n">
        <f aca="false">MAX($Q505,$U505,$Y505)</f>
        <v>0</v>
      </c>
      <c r="AE505" s="26" t="n">
        <f aca="false">$AD505+ROW()*0.000000001</f>
        <v>5.05E-007</v>
      </c>
      <c r="AF505" s="26" t="str">
        <f aca="false">IF($J505="Yes","A","")&amp;IF($L505="Yes","B","")&amp;IF($N505="Yes","C","")</f>
        <v/>
      </c>
    </row>
    <row r="506" customFormat="false" ht="15" hidden="false" customHeight="false" outlineLevel="0" collapsed="false">
      <c r="B506" s="22" t="s">
        <v>940</v>
      </c>
      <c r="C506" s="23" t="s">
        <v>941</v>
      </c>
      <c r="D506" s="23" t="s">
        <v>152</v>
      </c>
      <c r="E506" s="23" t="s">
        <v>347</v>
      </c>
      <c r="F506" s="22" t="s">
        <v>112</v>
      </c>
      <c r="G506" s="23" t="s">
        <v>58</v>
      </c>
      <c r="H506" s="24" t="n">
        <v>1</v>
      </c>
      <c r="I506" s="14" t="n">
        <v>0.1065</v>
      </c>
      <c r="J506" s="25" t="s">
        <v>59</v>
      </c>
      <c r="K506" s="25"/>
      <c r="L506" s="25" t="s">
        <v>59</v>
      </c>
      <c r="M506" s="25"/>
      <c r="N506" s="25" t="s">
        <v>59</v>
      </c>
      <c r="O506" s="25"/>
      <c r="P506" s="14" t="n">
        <v>0.1065</v>
      </c>
      <c r="Q506" s="14" t="n">
        <f aca="false">IF(AND($J506="Yes",$G506&lt;&gt;"Vendor day rates"),$I506-0.4*$P506,0)</f>
        <v>0</v>
      </c>
      <c r="R506" s="26" t="n">
        <f aca="false">IFERROR(MATCH($K506,MonthList,0),0)</f>
        <v>0</v>
      </c>
      <c r="S506" s="14" t="n">
        <f aca="false">IF(OR($J506&lt;&gt;"Yes",$K506=""),0,$Q506*MAX(0,7-$R506)/12)</f>
        <v>0</v>
      </c>
      <c r="T506" s="14" t="n">
        <f aca="false">IF(OR($J506&lt;&gt;"Yes",$K506=""),0,$Q506*IF($R506&lt;=7,12,19-$R506)/12)</f>
        <v>0</v>
      </c>
      <c r="U506" s="14" t="n">
        <f aca="false">IF(AND($L506="Yes",$G506&lt;&gt;"Vendor day rates"),$I506-0.4*$P506,0)</f>
        <v>0</v>
      </c>
      <c r="V506" s="26" t="n">
        <f aca="false">IFERROR(MATCH($M506,MonthList,0),0)</f>
        <v>0</v>
      </c>
      <c r="W506" s="14" t="n">
        <f aca="false">IF(OR($L506&lt;&gt;"Yes",$M506=""),0,$U506*MAX(0,7-$V506)/12)</f>
        <v>0</v>
      </c>
      <c r="X506" s="14" t="n">
        <f aca="false">IF(OR($L506&lt;&gt;"Yes",$M506=""),0,$U506*IF($V506&lt;=7,12,19-$V506)/12)</f>
        <v>0</v>
      </c>
      <c r="Y506" s="14" t="n">
        <f aca="false">IF(AND($N506="Yes",$G506&lt;&gt;"Vendor day rates"),$I506-0.4*$P506,0)</f>
        <v>0</v>
      </c>
      <c r="Z506" s="26" t="n">
        <f aca="false">IFERROR(MATCH($O506,MonthList,0),0)</f>
        <v>0</v>
      </c>
      <c r="AA506" s="14" t="n">
        <f aca="false">IF(OR($N506&lt;&gt;"Yes",$O506=""),0,$Y506*MAX(0,7-$Z506)/12)</f>
        <v>0</v>
      </c>
      <c r="AB506" s="14" t="n">
        <f aca="false">IF(OR($N506&lt;&gt;"Yes",$O506=""),0,$Y506*IF($Z506&lt;=7,12,19-$Z506)/12)</f>
        <v>0</v>
      </c>
      <c r="AC506" s="26" t="str">
        <f aca="false">IF(OR($J506="Yes",$L506="Yes",$N506="Yes"),"Yes","No")</f>
        <v>No</v>
      </c>
      <c r="AD506" s="14" t="n">
        <f aca="false">MAX($Q506,$U506,$Y506)</f>
        <v>0</v>
      </c>
      <c r="AE506" s="26" t="n">
        <f aca="false">$AD506+ROW()*0.000000001</f>
        <v>5.06E-007</v>
      </c>
      <c r="AF506" s="26" t="str">
        <f aca="false">IF($J506="Yes","A","")&amp;IF($L506="Yes","B","")&amp;IF($N506="Yes","C","")</f>
        <v/>
      </c>
    </row>
    <row r="507" customFormat="false" ht="15" hidden="false" customHeight="false" outlineLevel="0" collapsed="false">
      <c r="B507" s="22" t="s">
        <v>942</v>
      </c>
      <c r="C507" s="23" t="s">
        <v>943</v>
      </c>
      <c r="D507" s="23" t="s">
        <v>152</v>
      </c>
      <c r="E507" s="23" t="s">
        <v>347</v>
      </c>
      <c r="F507" s="22" t="s">
        <v>112</v>
      </c>
      <c r="G507" s="23" t="s">
        <v>58</v>
      </c>
      <c r="H507" s="24" t="n">
        <v>1</v>
      </c>
      <c r="I507" s="14" t="n">
        <v>0.1048</v>
      </c>
      <c r="J507" s="25" t="s">
        <v>59</v>
      </c>
      <c r="K507" s="25"/>
      <c r="L507" s="25" t="s">
        <v>59</v>
      </c>
      <c r="M507" s="25"/>
      <c r="N507" s="25" t="s">
        <v>59</v>
      </c>
      <c r="O507" s="25"/>
      <c r="P507" s="14" t="n">
        <v>0.1048</v>
      </c>
      <c r="Q507" s="14" t="n">
        <f aca="false">IF(AND($J507="Yes",$G507&lt;&gt;"Vendor day rates"),$I507-0.4*$P507,0)</f>
        <v>0</v>
      </c>
      <c r="R507" s="26" t="n">
        <f aca="false">IFERROR(MATCH($K507,MonthList,0),0)</f>
        <v>0</v>
      </c>
      <c r="S507" s="14" t="n">
        <f aca="false">IF(OR($J507&lt;&gt;"Yes",$K507=""),0,$Q507*MAX(0,7-$R507)/12)</f>
        <v>0</v>
      </c>
      <c r="T507" s="14" t="n">
        <f aca="false">IF(OR($J507&lt;&gt;"Yes",$K507=""),0,$Q507*IF($R507&lt;=7,12,19-$R507)/12)</f>
        <v>0</v>
      </c>
      <c r="U507" s="14" t="n">
        <f aca="false">IF(AND($L507="Yes",$G507&lt;&gt;"Vendor day rates"),$I507-0.4*$P507,0)</f>
        <v>0</v>
      </c>
      <c r="V507" s="26" t="n">
        <f aca="false">IFERROR(MATCH($M507,MonthList,0),0)</f>
        <v>0</v>
      </c>
      <c r="W507" s="14" t="n">
        <f aca="false">IF(OR($L507&lt;&gt;"Yes",$M507=""),0,$U507*MAX(0,7-$V507)/12)</f>
        <v>0</v>
      </c>
      <c r="X507" s="14" t="n">
        <f aca="false">IF(OR($L507&lt;&gt;"Yes",$M507=""),0,$U507*IF($V507&lt;=7,12,19-$V507)/12)</f>
        <v>0</v>
      </c>
      <c r="Y507" s="14" t="n">
        <f aca="false">IF(AND($N507="Yes",$G507&lt;&gt;"Vendor day rates"),$I507-0.4*$P507,0)</f>
        <v>0</v>
      </c>
      <c r="Z507" s="26" t="n">
        <f aca="false">IFERROR(MATCH($O507,MonthList,0),0)</f>
        <v>0</v>
      </c>
      <c r="AA507" s="14" t="n">
        <f aca="false">IF(OR($N507&lt;&gt;"Yes",$O507=""),0,$Y507*MAX(0,7-$Z507)/12)</f>
        <v>0</v>
      </c>
      <c r="AB507" s="14" t="n">
        <f aca="false">IF(OR($N507&lt;&gt;"Yes",$O507=""),0,$Y507*IF($Z507&lt;=7,12,19-$Z507)/12)</f>
        <v>0</v>
      </c>
      <c r="AC507" s="26" t="str">
        <f aca="false">IF(OR($J507="Yes",$L507="Yes",$N507="Yes"),"Yes","No")</f>
        <v>No</v>
      </c>
      <c r="AD507" s="14" t="n">
        <f aca="false">MAX($Q507,$U507,$Y507)</f>
        <v>0</v>
      </c>
      <c r="AE507" s="26" t="n">
        <f aca="false">$AD507+ROW()*0.000000001</f>
        <v>5.07E-007</v>
      </c>
      <c r="AF507" s="26" t="str">
        <f aca="false">IF($J507="Yes","A","")&amp;IF($L507="Yes","B","")&amp;IF($N507="Yes","C","")</f>
        <v/>
      </c>
    </row>
    <row r="508" customFormat="false" ht="15" hidden="false" customHeight="false" outlineLevel="0" collapsed="false">
      <c r="B508" s="22" t="s">
        <v>944</v>
      </c>
      <c r="C508" s="23" t="s">
        <v>930</v>
      </c>
      <c r="D508" s="23" t="s">
        <v>204</v>
      </c>
      <c r="E508" s="23" t="s">
        <v>365</v>
      </c>
      <c r="F508" s="22" t="s">
        <v>57</v>
      </c>
      <c r="G508" s="23" t="s">
        <v>304</v>
      </c>
      <c r="H508" s="24" t="n">
        <v>1</v>
      </c>
      <c r="I508" s="14" t="n">
        <v>0</v>
      </c>
      <c r="J508" s="25" t="s">
        <v>59</v>
      </c>
      <c r="K508" s="25"/>
      <c r="L508" s="25" t="s">
        <v>59</v>
      </c>
      <c r="M508" s="25"/>
      <c r="N508" s="25" t="s">
        <v>59</v>
      </c>
      <c r="O508" s="25"/>
      <c r="P508" s="14" t="n">
        <v>0.1226</v>
      </c>
      <c r="Q508" s="14" t="n">
        <f aca="false">IF(AND($J508="Yes",$G508&lt;&gt;"Vendor day rates"),$I508-0.4*$P508,0)</f>
        <v>0</v>
      </c>
      <c r="R508" s="26" t="n">
        <f aca="false">IFERROR(MATCH($K508,MonthList,0),0)</f>
        <v>0</v>
      </c>
      <c r="S508" s="14" t="n">
        <f aca="false">IF(OR($J508&lt;&gt;"Yes",$K508=""),0,$Q508*MAX(0,7-$R508)/12)</f>
        <v>0</v>
      </c>
      <c r="T508" s="14" t="n">
        <f aca="false">IF(OR($J508&lt;&gt;"Yes",$K508=""),0,$Q508*IF($R508&lt;=7,12,19-$R508)/12)</f>
        <v>0</v>
      </c>
      <c r="U508" s="14" t="n">
        <f aca="false">IF(AND($L508="Yes",$G508&lt;&gt;"Vendor day rates"),$I508-0.4*$P508,0)</f>
        <v>0</v>
      </c>
      <c r="V508" s="26" t="n">
        <f aca="false">IFERROR(MATCH($M508,MonthList,0),0)</f>
        <v>0</v>
      </c>
      <c r="W508" s="14" t="n">
        <f aca="false">IF(OR($L508&lt;&gt;"Yes",$M508=""),0,$U508*MAX(0,7-$V508)/12)</f>
        <v>0</v>
      </c>
      <c r="X508" s="14" t="n">
        <f aca="false">IF(OR($L508&lt;&gt;"Yes",$M508=""),0,$U508*IF($V508&lt;=7,12,19-$V508)/12)</f>
        <v>0</v>
      </c>
      <c r="Y508" s="14" t="n">
        <f aca="false">IF(AND($N508="Yes",$G508&lt;&gt;"Vendor day rates"),$I508-0.4*$P508,0)</f>
        <v>0</v>
      </c>
      <c r="Z508" s="26" t="n">
        <f aca="false">IFERROR(MATCH($O508,MonthList,0),0)</f>
        <v>0</v>
      </c>
      <c r="AA508" s="14" t="n">
        <f aca="false">IF(OR($N508&lt;&gt;"Yes",$O508=""),0,$Y508*MAX(0,7-$Z508)/12)</f>
        <v>0</v>
      </c>
      <c r="AB508" s="14" t="n">
        <f aca="false">IF(OR($N508&lt;&gt;"Yes",$O508=""),0,$Y508*IF($Z508&lt;=7,12,19-$Z508)/12)</f>
        <v>0</v>
      </c>
      <c r="AC508" s="26" t="str">
        <f aca="false">IF(OR($J508="Yes",$L508="Yes",$N508="Yes"),"Yes","No")</f>
        <v>No</v>
      </c>
      <c r="AD508" s="14" t="n">
        <f aca="false">MAX($Q508,$U508,$Y508)</f>
        <v>0</v>
      </c>
      <c r="AE508" s="26" t="n">
        <f aca="false">$AD508+ROW()*0.000000001</f>
        <v>5.08E-007</v>
      </c>
      <c r="AF508" s="26" t="str">
        <f aca="false">IF($J508="Yes","A","")&amp;IF($L508="Yes","B","")&amp;IF($N508="Yes","C","")</f>
        <v/>
      </c>
    </row>
    <row r="509" customFormat="false" ht="15" hidden="false" customHeight="false" outlineLevel="0" collapsed="false">
      <c r="B509" s="22" t="s">
        <v>945</v>
      </c>
      <c r="C509" s="23" t="s">
        <v>926</v>
      </c>
      <c r="D509" s="23" t="s">
        <v>215</v>
      </c>
      <c r="E509" s="23" t="s">
        <v>373</v>
      </c>
      <c r="F509" s="22" t="s">
        <v>112</v>
      </c>
      <c r="G509" s="23" t="s">
        <v>58</v>
      </c>
      <c r="H509" s="24" t="n">
        <v>1</v>
      </c>
      <c r="I509" s="14" t="n">
        <v>0.0969</v>
      </c>
      <c r="J509" s="25" t="s">
        <v>59</v>
      </c>
      <c r="K509" s="25"/>
      <c r="L509" s="25" t="s">
        <v>59</v>
      </c>
      <c r="M509" s="25"/>
      <c r="N509" s="25" t="s">
        <v>59</v>
      </c>
      <c r="O509" s="25"/>
      <c r="P509" s="14" t="n">
        <v>0.0969</v>
      </c>
      <c r="Q509" s="14" t="n">
        <f aca="false">IF(AND($J509="Yes",$G509&lt;&gt;"Vendor day rates"),$I509-0.4*$P509,0)</f>
        <v>0</v>
      </c>
      <c r="R509" s="26" t="n">
        <f aca="false">IFERROR(MATCH($K509,MonthList,0),0)</f>
        <v>0</v>
      </c>
      <c r="S509" s="14" t="n">
        <f aca="false">IF(OR($J509&lt;&gt;"Yes",$K509=""),0,$Q509*MAX(0,7-$R509)/12)</f>
        <v>0</v>
      </c>
      <c r="T509" s="14" t="n">
        <f aca="false">IF(OR($J509&lt;&gt;"Yes",$K509=""),0,$Q509*IF($R509&lt;=7,12,19-$R509)/12)</f>
        <v>0</v>
      </c>
      <c r="U509" s="14" t="n">
        <f aca="false">IF(AND($L509="Yes",$G509&lt;&gt;"Vendor day rates"),$I509-0.4*$P509,0)</f>
        <v>0</v>
      </c>
      <c r="V509" s="26" t="n">
        <f aca="false">IFERROR(MATCH($M509,MonthList,0),0)</f>
        <v>0</v>
      </c>
      <c r="W509" s="14" t="n">
        <f aca="false">IF(OR($L509&lt;&gt;"Yes",$M509=""),0,$U509*MAX(0,7-$V509)/12)</f>
        <v>0</v>
      </c>
      <c r="X509" s="14" t="n">
        <f aca="false">IF(OR($L509&lt;&gt;"Yes",$M509=""),0,$U509*IF($V509&lt;=7,12,19-$V509)/12)</f>
        <v>0</v>
      </c>
      <c r="Y509" s="14" t="n">
        <f aca="false">IF(AND($N509="Yes",$G509&lt;&gt;"Vendor day rates"),$I509-0.4*$P509,0)</f>
        <v>0</v>
      </c>
      <c r="Z509" s="26" t="n">
        <f aca="false">IFERROR(MATCH($O509,MonthList,0),0)</f>
        <v>0</v>
      </c>
      <c r="AA509" s="14" t="n">
        <f aca="false">IF(OR($N509&lt;&gt;"Yes",$O509=""),0,$Y509*MAX(0,7-$Z509)/12)</f>
        <v>0</v>
      </c>
      <c r="AB509" s="14" t="n">
        <f aca="false">IF(OR($N509&lt;&gt;"Yes",$O509=""),0,$Y509*IF($Z509&lt;=7,12,19-$Z509)/12)</f>
        <v>0</v>
      </c>
      <c r="AC509" s="26" t="str">
        <f aca="false">IF(OR($J509="Yes",$L509="Yes",$N509="Yes"),"Yes","No")</f>
        <v>No</v>
      </c>
      <c r="AD509" s="14" t="n">
        <f aca="false">MAX($Q509,$U509,$Y509)</f>
        <v>0</v>
      </c>
      <c r="AE509" s="26" t="n">
        <f aca="false">$AD509+ROW()*0.000000001</f>
        <v>5.09E-007</v>
      </c>
      <c r="AF509" s="26" t="str">
        <f aca="false">IF($J509="Yes","A","")&amp;IF($L509="Yes","B","")&amp;IF($N509="Yes","C","")</f>
        <v/>
      </c>
    </row>
    <row r="510" customFormat="false" ht="15" hidden="false" customHeight="false" outlineLevel="0" collapsed="false">
      <c r="B510" s="22" t="s">
        <v>946</v>
      </c>
      <c r="C510" s="23" t="s">
        <v>947</v>
      </c>
      <c r="D510" s="23" t="s">
        <v>207</v>
      </c>
      <c r="E510" s="23" t="s">
        <v>388</v>
      </c>
      <c r="F510" s="22" t="s">
        <v>112</v>
      </c>
      <c r="G510" s="23" t="s">
        <v>58</v>
      </c>
      <c r="H510" s="24" t="n">
        <v>1</v>
      </c>
      <c r="I510" s="14" t="n">
        <v>0.087</v>
      </c>
      <c r="J510" s="25" t="s">
        <v>59</v>
      </c>
      <c r="K510" s="25"/>
      <c r="L510" s="25" t="s">
        <v>59</v>
      </c>
      <c r="M510" s="25"/>
      <c r="N510" s="25" t="s">
        <v>59</v>
      </c>
      <c r="O510" s="25"/>
      <c r="P510" s="14" t="n">
        <v>0.087</v>
      </c>
      <c r="Q510" s="14" t="n">
        <f aca="false">IF(AND($J510="Yes",$G510&lt;&gt;"Vendor day rates"),$I510-0.4*$P510,0)</f>
        <v>0</v>
      </c>
      <c r="R510" s="26" t="n">
        <f aca="false">IFERROR(MATCH($K510,MonthList,0),0)</f>
        <v>0</v>
      </c>
      <c r="S510" s="14" t="n">
        <f aca="false">IF(OR($J510&lt;&gt;"Yes",$K510=""),0,$Q510*MAX(0,7-$R510)/12)</f>
        <v>0</v>
      </c>
      <c r="T510" s="14" t="n">
        <f aca="false">IF(OR($J510&lt;&gt;"Yes",$K510=""),0,$Q510*IF($R510&lt;=7,12,19-$R510)/12)</f>
        <v>0</v>
      </c>
      <c r="U510" s="14" t="n">
        <f aca="false">IF(AND($L510="Yes",$G510&lt;&gt;"Vendor day rates"),$I510-0.4*$P510,0)</f>
        <v>0</v>
      </c>
      <c r="V510" s="26" t="n">
        <f aca="false">IFERROR(MATCH($M510,MonthList,0),0)</f>
        <v>0</v>
      </c>
      <c r="W510" s="14" t="n">
        <f aca="false">IF(OR($L510&lt;&gt;"Yes",$M510=""),0,$U510*MAX(0,7-$V510)/12)</f>
        <v>0</v>
      </c>
      <c r="X510" s="14" t="n">
        <f aca="false">IF(OR($L510&lt;&gt;"Yes",$M510=""),0,$U510*IF($V510&lt;=7,12,19-$V510)/12)</f>
        <v>0</v>
      </c>
      <c r="Y510" s="14" t="n">
        <f aca="false">IF(AND($N510="Yes",$G510&lt;&gt;"Vendor day rates"),$I510-0.4*$P510,0)</f>
        <v>0</v>
      </c>
      <c r="Z510" s="26" t="n">
        <f aca="false">IFERROR(MATCH($O510,MonthList,0),0)</f>
        <v>0</v>
      </c>
      <c r="AA510" s="14" t="n">
        <f aca="false">IF(OR($N510&lt;&gt;"Yes",$O510=""),0,$Y510*MAX(0,7-$Z510)/12)</f>
        <v>0</v>
      </c>
      <c r="AB510" s="14" t="n">
        <f aca="false">IF(OR($N510&lt;&gt;"Yes",$O510=""),0,$Y510*IF($Z510&lt;=7,12,19-$Z510)/12)</f>
        <v>0</v>
      </c>
      <c r="AC510" s="26" t="str">
        <f aca="false">IF(OR($J510="Yes",$L510="Yes",$N510="Yes"),"Yes","No")</f>
        <v>No</v>
      </c>
      <c r="AD510" s="14" t="n">
        <f aca="false">MAX($Q510,$U510,$Y510)</f>
        <v>0</v>
      </c>
      <c r="AE510" s="26" t="n">
        <f aca="false">$AD510+ROW()*0.000000001</f>
        <v>5.1E-007</v>
      </c>
      <c r="AF510" s="26" t="str">
        <f aca="false">IF($J510="Yes","A","")&amp;IF($L510="Yes","B","")&amp;IF($N510="Yes","C","")</f>
        <v/>
      </c>
    </row>
    <row r="511" customFormat="false" ht="15" hidden="false" customHeight="false" outlineLevel="0" collapsed="false">
      <c r="B511" s="22" t="s">
        <v>948</v>
      </c>
      <c r="C511" s="23" t="s">
        <v>949</v>
      </c>
      <c r="D511" s="23" t="s">
        <v>207</v>
      </c>
      <c r="E511" s="23" t="s">
        <v>388</v>
      </c>
      <c r="F511" s="22" t="s">
        <v>57</v>
      </c>
      <c r="G511" s="23" t="s">
        <v>58</v>
      </c>
      <c r="H511" s="24" t="n">
        <v>1</v>
      </c>
      <c r="I511" s="14" t="n">
        <v>0.1101</v>
      </c>
      <c r="J511" s="25" t="s">
        <v>59</v>
      </c>
      <c r="K511" s="25"/>
      <c r="L511" s="25" t="s">
        <v>59</v>
      </c>
      <c r="M511" s="25"/>
      <c r="N511" s="25" t="s">
        <v>59</v>
      </c>
      <c r="O511" s="25"/>
      <c r="P511" s="14" t="n">
        <v>0.1101</v>
      </c>
      <c r="Q511" s="14" t="n">
        <f aca="false">IF(AND($J511="Yes",$G511&lt;&gt;"Vendor day rates"),$I511-0.4*$P511,0)</f>
        <v>0</v>
      </c>
      <c r="R511" s="26" t="n">
        <f aca="false">IFERROR(MATCH($K511,MonthList,0),0)</f>
        <v>0</v>
      </c>
      <c r="S511" s="14" t="n">
        <f aca="false">IF(OR($J511&lt;&gt;"Yes",$K511=""),0,$Q511*MAX(0,7-$R511)/12)</f>
        <v>0</v>
      </c>
      <c r="T511" s="14" t="n">
        <f aca="false">IF(OR($J511&lt;&gt;"Yes",$K511=""),0,$Q511*IF($R511&lt;=7,12,19-$R511)/12)</f>
        <v>0</v>
      </c>
      <c r="U511" s="14" t="n">
        <f aca="false">IF(AND($L511="Yes",$G511&lt;&gt;"Vendor day rates"),$I511-0.4*$P511,0)</f>
        <v>0</v>
      </c>
      <c r="V511" s="26" t="n">
        <f aca="false">IFERROR(MATCH($M511,MonthList,0),0)</f>
        <v>0</v>
      </c>
      <c r="W511" s="14" t="n">
        <f aca="false">IF(OR($L511&lt;&gt;"Yes",$M511=""),0,$U511*MAX(0,7-$V511)/12)</f>
        <v>0</v>
      </c>
      <c r="X511" s="14" t="n">
        <f aca="false">IF(OR($L511&lt;&gt;"Yes",$M511=""),0,$U511*IF($V511&lt;=7,12,19-$V511)/12)</f>
        <v>0</v>
      </c>
      <c r="Y511" s="14" t="n">
        <f aca="false">IF(AND($N511="Yes",$G511&lt;&gt;"Vendor day rates"),$I511-0.4*$P511,0)</f>
        <v>0</v>
      </c>
      <c r="Z511" s="26" t="n">
        <f aca="false">IFERROR(MATCH($O511,MonthList,0),0)</f>
        <v>0</v>
      </c>
      <c r="AA511" s="14" t="n">
        <f aca="false">IF(OR($N511&lt;&gt;"Yes",$O511=""),0,$Y511*MAX(0,7-$Z511)/12)</f>
        <v>0</v>
      </c>
      <c r="AB511" s="14" t="n">
        <f aca="false">IF(OR($N511&lt;&gt;"Yes",$O511=""),0,$Y511*IF($Z511&lt;=7,12,19-$Z511)/12)</f>
        <v>0</v>
      </c>
      <c r="AC511" s="26" t="str">
        <f aca="false">IF(OR($J511="Yes",$L511="Yes",$N511="Yes"),"Yes","No")</f>
        <v>No</v>
      </c>
      <c r="AD511" s="14" t="n">
        <f aca="false">MAX($Q511,$U511,$Y511)</f>
        <v>0</v>
      </c>
      <c r="AE511" s="26" t="n">
        <f aca="false">$AD511+ROW()*0.000000001</f>
        <v>5.11E-007</v>
      </c>
      <c r="AF511" s="26" t="str">
        <f aca="false">IF($J511="Yes","A","")&amp;IF($L511="Yes","B","")&amp;IF($N511="Yes","C","")</f>
        <v/>
      </c>
    </row>
    <row r="512" customFormat="false" ht="15" hidden="false" customHeight="false" outlineLevel="0" collapsed="false">
      <c r="B512" s="22" t="s">
        <v>950</v>
      </c>
      <c r="C512" s="23" t="s">
        <v>650</v>
      </c>
      <c r="D512" s="23" t="s">
        <v>215</v>
      </c>
      <c r="E512" s="23" t="s">
        <v>394</v>
      </c>
      <c r="F512" s="22" t="s">
        <v>112</v>
      </c>
      <c r="G512" s="23" t="s">
        <v>58</v>
      </c>
      <c r="H512" s="24" t="n">
        <v>1</v>
      </c>
      <c r="I512" s="14" t="n">
        <v>0.1745</v>
      </c>
      <c r="J512" s="25" t="s">
        <v>59</v>
      </c>
      <c r="K512" s="25"/>
      <c r="L512" s="25" t="s">
        <v>59</v>
      </c>
      <c r="M512" s="25"/>
      <c r="N512" s="25" t="s">
        <v>59</v>
      </c>
      <c r="O512" s="25"/>
      <c r="P512" s="14" t="n">
        <v>0.1745</v>
      </c>
      <c r="Q512" s="14" t="n">
        <f aca="false">IF(AND($J512="Yes",$G512&lt;&gt;"Vendor day rates"),$I512-0.4*$P512,0)</f>
        <v>0</v>
      </c>
      <c r="R512" s="26" t="n">
        <f aca="false">IFERROR(MATCH($K512,MonthList,0),0)</f>
        <v>0</v>
      </c>
      <c r="S512" s="14" t="n">
        <f aca="false">IF(OR($J512&lt;&gt;"Yes",$K512=""),0,$Q512*MAX(0,7-$R512)/12)</f>
        <v>0</v>
      </c>
      <c r="T512" s="14" t="n">
        <f aca="false">IF(OR($J512&lt;&gt;"Yes",$K512=""),0,$Q512*IF($R512&lt;=7,12,19-$R512)/12)</f>
        <v>0</v>
      </c>
      <c r="U512" s="14" t="n">
        <f aca="false">IF(AND($L512="Yes",$G512&lt;&gt;"Vendor day rates"),$I512-0.4*$P512,0)</f>
        <v>0</v>
      </c>
      <c r="V512" s="26" t="n">
        <f aca="false">IFERROR(MATCH($M512,MonthList,0),0)</f>
        <v>0</v>
      </c>
      <c r="W512" s="14" t="n">
        <f aca="false">IF(OR($L512&lt;&gt;"Yes",$M512=""),0,$U512*MAX(0,7-$V512)/12)</f>
        <v>0</v>
      </c>
      <c r="X512" s="14" t="n">
        <f aca="false">IF(OR($L512&lt;&gt;"Yes",$M512=""),0,$U512*IF($V512&lt;=7,12,19-$V512)/12)</f>
        <v>0</v>
      </c>
      <c r="Y512" s="14" t="n">
        <f aca="false">IF(AND($N512="Yes",$G512&lt;&gt;"Vendor day rates"),$I512-0.4*$P512,0)</f>
        <v>0</v>
      </c>
      <c r="Z512" s="26" t="n">
        <f aca="false">IFERROR(MATCH($O512,MonthList,0),0)</f>
        <v>0</v>
      </c>
      <c r="AA512" s="14" t="n">
        <f aca="false">IF(OR($N512&lt;&gt;"Yes",$O512=""),0,$Y512*MAX(0,7-$Z512)/12)</f>
        <v>0</v>
      </c>
      <c r="AB512" s="14" t="n">
        <f aca="false">IF(OR($N512&lt;&gt;"Yes",$O512=""),0,$Y512*IF($Z512&lt;=7,12,19-$Z512)/12)</f>
        <v>0</v>
      </c>
      <c r="AC512" s="26" t="str">
        <f aca="false">IF(OR($J512="Yes",$L512="Yes",$N512="Yes"),"Yes","No")</f>
        <v>No</v>
      </c>
      <c r="AD512" s="14" t="n">
        <f aca="false">MAX($Q512,$U512,$Y512)</f>
        <v>0</v>
      </c>
      <c r="AE512" s="26" t="n">
        <f aca="false">$AD512+ROW()*0.000000001</f>
        <v>5.12E-007</v>
      </c>
      <c r="AF512" s="26" t="str">
        <f aca="false">IF($J512="Yes","A","")&amp;IF($L512="Yes","B","")&amp;IF($N512="Yes","C","")</f>
        <v/>
      </c>
    </row>
    <row r="513" customFormat="false" ht="15" hidden="false" customHeight="false" outlineLevel="0" collapsed="false">
      <c r="B513" s="22" t="s">
        <v>951</v>
      </c>
      <c r="C513" s="23" t="s">
        <v>641</v>
      </c>
      <c r="D513" s="23" t="s">
        <v>215</v>
      </c>
      <c r="E513" s="23" t="s">
        <v>394</v>
      </c>
      <c r="F513" s="22" t="s">
        <v>112</v>
      </c>
      <c r="G513" s="23" t="s">
        <v>58</v>
      </c>
      <c r="H513" s="24" t="n">
        <v>1</v>
      </c>
      <c r="I513" s="14" t="n">
        <v>0.1901</v>
      </c>
      <c r="J513" s="25" t="s">
        <v>59</v>
      </c>
      <c r="K513" s="25"/>
      <c r="L513" s="25" t="s">
        <v>59</v>
      </c>
      <c r="M513" s="25"/>
      <c r="N513" s="25" t="s">
        <v>59</v>
      </c>
      <c r="O513" s="25"/>
      <c r="P513" s="14" t="n">
        <v>0.1901</v>
      </c>
      <c r="Q513" s="14" t="n">
        <f aca="false">IF(AND($J513="Yes",$G513&lt;&gt;"Vendor day rates"),$I513-0.4*$P513,0)</f>
        <v>0</v>
      </c>
      <c r="R513" s="26" t="n">
        <f aca="false">IFERROR(MATCH($K513,MonthList,0),0)</f>
        <v>0</v>
      </c>
      <c r="S513" s="14" t="n">
        <f aca="false">IF(OR($J513&lt;&gt;"Yes",$K513=""),0,$Q513*MAX(0,7-$R513)/12)</f>
        <v>0</v>
      </c>
      <c r="T513" s="14" t="n">
        <f aca="false">IF(OR($J513&lt;&gt;"Yes",$K513=""),0,$Q513*IF($R513&lt;=7,12,19-$R513)/12)</f>
        <v>0</v>
      </c>
      <c r="U513" s="14" t="n">
        <f aca="false">IF(AND($L513="Yes",$G513&lt;&gt;"Vendor day rates"),$I513-0.4*$P513,0)</f>
        <v>0</v>
      </c>
      <c r="V513" s="26" t="n">
        <f aca="false">IFERROR(MATCH($M513,MonthList,0),0)</f>
        <v>0</v>
      </c>
      <c r="W513" s="14" t="n">
        <f aca="false">IF(OR($L513&lt;&gt;"Yes",$M513=""),0,$U513*MAX(0,7-$V513)/12)</f>
        <v>0</v>
      </c>
      <c r="X513" s="14" t="n">
        <f aca="false">IF(OR($L513&lt;&gt;"Yes",$M513=""),0,$U513*IF($V513&lt;=7,12,19-$V513)/12)</f>
        <v>0</v>
      </c>
      <c r="Y513" s="14" t="n">
        <f aca="false">IF(AND($N513="Yes",$G513&lt;&gt;"Vendor day rates"),$I513-0.4*$P513,0)</f>
        <v>0</v>
      </c>
      <c r="Z513" s="26" t="n">
        <f aca="false">IFERROR(MATCH($O513,MonthList,0),0)</f>
        <v>0</v>
      </c>
      <c r="AA513" s="14" t="n">
        <f aca="false">IF(OR($N513&lt;&gt;"Yes",$O513=""),0,$Y513*MAX(0,7-$Z513)/12)</f>
        <v>0</v>
      </c>
      <c r="AB513" s="14" t="n">
        <f aca="false">IF(OR($N513&lt;&gt;"Yes",$O513=""),0,$Y513*IF($Z513&lt;=7,12,19-$Z513)/12)</f>
        <v>0</v>
      </c>
      <c r="AC513" s="26" t="str">
        <f aca="false">IF(OR($J513="Yes",$L513="Yes",$N513="Yes"),"Yes","No")</f>
        <v>No</v>
      </c>
      <c r="AD513" s="14" t="n">
        <f aca="false">MAX($Q513,$U513,$Y513)</f>
        <v>0</v>
      </c>
      <c r="AE513" s="26" t="n">
        <f aca="false">$AD513+ROW()*0.000000001</f>
        <v>5.13E-007</v>
      </c>
      <c r="AF513" s="26" t="str">
        <f aca="false">IF($J513="Yes","A","")&amp;IF($L513="Yes","B","")&amp;IF($N513="Yes","C","")</f>
        <v/>
      </c>
    </row>
    <row r="514" customFormat="false" ht="15" hidden="false" customHeight="false" outlineLevel="0" collapsed="false">
      <c r="B514" s="22" t="s">
        <v>952</v>
      </c>
      <c r="C514" s="23" t="s">
        <v>637</v>
      </c>
      <c r="D514" s="23" t="s">
        <v>207</v>
      </c>
      <c r="E514" s="23" t="s">
        <v>404</v>
      </c>
      <c r="F514" s="22" t="s">
        <v>112</v>
      </c>
      <c r="G514" s="23" t="s">
        <v>58</v>
      </c>
      <c r="H514" s="24" t="n">
        <v>1</v>
      </c>
      <c r="I514" s="14" t="n">
        <v>0.1017</v>
      </c>
      <c r="J514" s="25" t="s">
        <v>59</v>
      </c>
      <c r="K514" s="25"/>
      <c r="L514" s="25" t="s">
        <v>59</v>
      </c>
      <c r="M514" s="25"/>
      <c r="N514" s="25" t="s">
        <v>59</v>
      </c>
      <c r="O514" s="25"/>
      <c r="P514" s="14" t="n">
        <v>0.1017</v>
      </c>
      <c r="Q514" s="14" t="n">
        <f aca="false">IF(AND($J514="Yes",$G514&lt;&gt;"Vendor day rates"),$I514-0.4*$P514,0)</f>
        <v>0</v>
      </c>
      <c r="R514" s="26" t="n">
        <f aca="false">IFERROR(MATCH($K514,MonthList,0),0)</f>
        <v>0</v>
      </c>
      <c r="S514" s="14" t="n">
        <f aca="false">IF(OR($J514&lt;&gt;"Yes",$K514=""),0,$Q514*MAX(0,7-$R514)/12)</f>
        <v>0</v>
      </c>
      <c r="T514" s="14" t="n">
        <f aca="false">IF(OR($J514&lt;&gt;"Yes",$K514=""),0,$Q514*IF($R514&lt;=7,12,19-$R514)/12)</f>
        <v>0</v>
      </c>
      <c r="U514" s="14" t="n">
        <f aca="false">IF(AND($L514="Yes",$G514&lt;&gt;"Vendor day rates"),$I514-0.4*$P514,0)</f>
        <v>0</v>
      </c>
      <c r="V514" s="26" t="n">
        <f aca="false">IFERROR(MATCH($M514,MonthList,0),0)</f>
        <v>0</v>
      </c>
      <c r="W514" s="14" t="n">
        <f aca="false">IF(OR($L514&lt;&gt;"Yes",$M514=""),0,$U514*MAX(0,7-$V514)/12)</f>
        <v>0</v>
      </c>
      <c r="X514" s="14" t="n">
        <f aca="false">IF(OR($L514&lt;&gt;"Yes",$M514=""),0,$U514*IF($V514&lt;=7,12,19-$V514)/12)</f>
        <v>0</v>
      </c>
      <c r="Y514" s="14" t="n">
        <f aca="false">IF(AND($N514="Yes",$G514&lt;&gt;"Vendor day rates"),$I514-0.4*$P514,0)</f>
        <v>0</v>
      </c>
      <c r="Z514" s="26" t="n">
        <f aca="false">IFERROR(MATCH($O514,MonthList,0),0)</f>
        <v>0</v>
      </c>
      <c r="AA514" s="14" t="n">
        <f aca="false">IF(OR($N514&lt;&gt;"Yes",$O514=""),0,$Y514*MAX(0,7-$Z514)/12)</f>
        <v>0</v>
      </c>
      <c r="AB514" s="14" t="n">
        <f aca="false">IF(OR($N514&lt;&gt;"Yes",$O514=""),0,$Y514*IF($Z514&lt;=7,12,19-$Z514)/12)</f>
        <v>0</v>
      </c>
      <c r="AC514" s="26" t="str">
        <f aca="false">IF(OR($J514="Yes",$L514="Yes",$N514="Yes"),"Yes","No")</f>
        <v>No</v>
      </c>
      <c r="AD514" s="14" t="n">
        <f aca="false">MAX($Q514,$U514,$Y514)</f>
        <v>0</v>
      </c>
      <c r="AE514" s="26" t="n">
        <f aca="false">$AD514+ROW()*0.000000001</f>
        <v>5.14E-007</v>
      </c>
      <c r="AF514" s="26" t="str">
        <f aca="false">IF($J514="Yes","A","")&amp;IF($L514="Yes","B","")&amp;IF($N514="Yes","C","")</f>
        <v/>
      </c>
    </row>
    <row r="515" customFormat="false" ht="15" hidden="false" customHeight="false" outlineLevel="0" collapsed="false">
      <c r="B515" s="22" t="s">
        <v>953</v>
      </c>
      <c r="C515" s="23" t="s">
        <v>954</v>
      </c>
      <c r="D515" s="23" t="s">
        <v>331</v>
      </c>
      <c r="E515" s="23" t="s">
        <v>440</v>
      </c>
      <c r="F515" s="22" t="s">
        <v>112</v>
      </c>
      <c r="G515" s="23" t="s">
        <v>58</v>
      </c>
      <c r="H515" s="24" t="n">
        <v>1</v>
      </c>
      <c r="I515" s="14" t="n">
        <v>0.1074</v>
      </c>
      <c r="J515" s="25" t="s">
        <v>59</v>
      </c>
      <c r="K515" s="25"/>
      <c r="L515" s="25" t="s">
        <v>59</v>
      </c>
      <c r="M515" s="25"/>
      <c r="N515" s="25" t="s">
        <v>59</v>
      </c>
      <c r="O515" s="25"/>
      <c r="P515" s="14" t="n">
        <v>0.1074</v>
      </c>
      <c r="Q515" s="14" t="n">
        <f aca="false">IF(AND($J515="Yes",$G515&lt;&gt;"Vendor day rates"),$I515-0.4*$P515,0)</f>
        <v>0</v>
      </c>
      <c r="R515" s="26" t="n">
        <f aca="false">IFERROR(MATCH($K515,MonthList,0),0)</f>
        <v>0</v>
      </c>
      <c r="S515" s="14" t="n">
        <f aca="false">IF(OR($J515&lt;&gt;"Yes",$K515=""),0,$Q515*MAX(0,7-$R515)/12)</f>
        <v>0</v>
      </c>
      <c r="T515" s="14" t="n">
        <f aca="false">IF(OR($J515&lt;&gt;"Yes",$K515=""),0,$Q515*IF($R515&lt;=7,12,19-$R515)/12)</f>
        <v>0</v>
      </c>
      <c r="U515" s="14" t="n">
        <f aca="false">IF(AND($L515="Yes",$G515&lt;&gt;"Vendor day rates"),$I515-0.4*$P515,0)</f>
        <v>0</v>
      </c>
      <c r="V515" s="26" t="n">
        <f aca="false">IFERROR(MATCH($M515,MonthList,0),0)</f>
        <v>0</v>
      </c>
      <c r="W515" s="14" t="n">
        <f aca="false">IF(OR($L515&lt;&gt;"Yes",$M515=""),0,$U515*MAX(0,7-$V515)/12)</f>
        <v>0</v>
      </c>
      <c r="X515" s="14" t="n">
        <f aca="false">IF(OR($L515&lt;&gt;"Yes",$M515=""),0,$U515*IF($V515&lt;=7,12,19-$V515)/12)</f>
        <v>0</v>
      </c>
      <c r="Y515" s="14" t="n">
        <f aca="false">IF(AND($N515="Yes",$G515&lt;&gt;"Vendor day rates"),$I515-0.4*$P515,0)</f>
        <v>0</v>
      </c>
      <c r="Z515" s="26" t="n">
        <f aca="false">IFERROR(MATCH($O515,MonthList,0),0)</f>
        <v>0</v>
      </c>
      <c r="AA515" s="14" t="n">
        <f aca="false">IF(OR($N515&lt;&gt;"Yes",$O515=""),0,$Y515*MAX(0,7-$Z515)/12)</f>
        <v>0</v>
      </c>
      <c r="AB515" s="14" t="n">
        <f aca="false">IF(OR($N515&lt;&gt;"Yes",$O515=""),0,$Y515*IF($Z515&lt;=7,12,19-$Z515)/12)</f>
        <v>0</v>
      </c>
      <c r="AC515" s="26" t="str">
        <f aca="false">IF(OR($J515="Yes",$L515="Yes",$N515="Yes"),"Yes","No")</f>
        <v>No</v>
      </c>
      <c r="AD515" s="14" t="n">
        <f aca="false">MAX($Q515,$U515,$Y515)</f>
        <v>0</v>
      </c>
      <c r="AE515" s="26" t="n">
        <f aca="false">$AD515+ROW()*0.000000001</f>
        <v>5.15E-007</v>
      </c>
      <c r="AF515" s="26" t="str">
        <f aca="false">IF($J515="Yes","A","")&amp;IF($L515="Yes","B","")&amp;IF($N515="Yes","C","")</f>
        <v/>
      </c>
    </row>
    <row r="516" customFormat="false" ht="15" hidden="false" customHeight="false" outlineLevel="0" collapsed="false">
      <c r="B516" s="22" t="s">
        <v>955</v>
      </c>
      <c r="C516" s="23" t="s">
        <v>949</v>
      </c>
      <c r="D516" s="23" t="s">
        <v>147</v>
      </c>
      <c r="E516" s="23" t="s">
        <v>167</v>
      </c>
      <c r="F516" s="22" t="s">
        <v>57</v>
      </c>
      <c r="G516" s="23" t="s">
        <v>58</v>
      </c>
      <c r="H516" s="24" t="n">
        <v>1</v>
      </c>
      <c r="I516" s="14" t="n">
        <v>0.1101</v>
      </c>
      <c r="J516" s="25" t="s">
        <v>59</v>
      </c>
      <c r="K516" s="25"/>
      <c r="L516" s="25" t="s">
        <v>59</v>
      </c>
      <c r="M516" s="25"/>
      <c r="N516" s="25" t="s">
        <v>59</v>
      </c>
      <c r="O516" s="25"/>
      <c r="P516" s="14" t="n">
        <v>0.1101</v>
      </c>
      <c r="Q516" s="14" t="n">
        <f aca="false">IF(AND($J516="Yes",$G516&lt;&gt;"Vendor day rates"),$I516-0.4*$P516,0)</f>
        <v>0</v>
      </c>
      <c r="R516" s="26" t="n">
        <f aca="false">IFERROR(MATCH($K516,MonthList,0),0)</f>
        <v>0</v>
      </c>
      <c r="S516" s="14" t="n">
        <f aca="false">IF(OR($J516&lt;&gt;"Yes",$K516=""),0,$Q516*MAX(0,7-$R516)/12)</f>
        <v>0</v>
      </c>
      <c r="T516" s="14" t="n">
        <f aca="false">IF(OR($J516&lt;&gt;"Yes",$K516=""),0,$Q516*IF($R516&lt;=7,12,19-$R516)/12)</f>
        <v>0</v>
      </c>
      <c r="U516" s="14" t="n">
        <f aca="false">IF(AND($L516="Yes",$G516&lt;&gt;"Vendor day rates"),$I516-0.4*$P516,0)</f>
        <v>0</v>
      </c>
      <c r="V516" s="26" t="n">
        <f aca="false">IFERROR(MATCH($M516,MonthList,0),0)</f>
        <v>0</v>
      </c>
      <c r="W516" s="14" t="n">
        <f aca="false">IF(OR($L516&lt;&gt;"Yes",$M516=""),0,$U516*MAX(0,7-$V516)/12)</f>
        <v>0</v>
      </c>
      <c r="X516" s="14" t="n">
        <f aca="false">IF(OR($L516&lt;&gt;"Yes",$M516=""),0,$U516*IF($V516&lt;=7,12,19-$V516)/12)</f>
        <v>0</v>
      </c>
      <c r="Y516" s="14" t="n">
        <f aca="false">IF(AND($N516="Yes",$G516&lt;&gt;"Vendor day rates"),$I516-0.4*$P516,0)</f>
        <v>0</v>
      </c>
      <c r="Z516" s="26" t="n">
        <f aca="false">IFERROR(MATCH($O516,MonthList,0),0)</f>
        <v>0</v>
      </c>
      <c r="AA516" s="14" t="n">
        <f aca="false">IF(OR($N516&lt;&gt;"Yes",$O516=""),0,$Y516*MAX(0,7-$Z516)/12)</f>
        <v>0</v>
      </c>
      <c r="AB516" s="14" t="n">
        <f aca="false">IF(OR($N516&lt;&gt;"Yes",$O516=""),0,$Y516*IF($Z516&lt;=7,12,19-$Z516)/12)</f>
        <v>0</v>
      </c>
      <c r="AC516" s="26" t="str">
        <f aca="false">IF(OR($J516="Yes",$L516="Yes",$N516="Yes"),"Yes","No")</f>
        <v>No</v>
      </c>
      <c r="AD516" s="14" t="n">
        <f aca="false">MAX($Q516,$U516,$Y516)</f>
        <v>0</v>
      </c>
      <c r="AE516" s="26" t="n">
        <f aca="false">$AD516+ROW()*0.000000001</f>
        <v>5.16E-007</v>
      </c>
      <c r="AF516" s="26" t="str">
        <f aca="false">IF($J516="Yes","A","")&amp;IF($L516="Yes","B","")&amp;IF($N516="Yes","C","")</f>
        <v/>
      </c>
    </row>
    <row r="517" customFormat="false" ht="15" hidden="false" customHeight="false" outlineLevel="0" collapsed="false">
      <c r="B517" s="22" t="s">
        <v>956</v>
      </c>
      <c r="C517" s="23" t="s">
        <v>675</v>
      </c>
      <c r="D517" s="23" t="s">
        <v>215</v>
      </c>
      <c r="E517" s="23" t="s">
        <v>530</v>
      </c>
      <c r="F517" s="22" t="s">
        <v>112</v>
      </c>
      <c r="G517" s="23" t="s">
        <v>58</v>
      </c>
      <c r="H517" s="24" t="n">
        <v>1</v>
      </c>
      <c r="I517" s="14" t="n">
        <v>0.2123</v>
      </c>
      <c r="J517" s="25" t="s">
        <v>59</v>
      </c>
      <c r="K517" s="25"/>
      <c r="L517" s="25" t="s">
        <v>59</v>
      </c>
      <c r="M517" s="25"/>
      <c r="N517" s="25" t="s">
        <v>59</v>
      </c>
      <c r="O517" s="25"/>
      <c r="P517" s="14" t="n">
        <v>0.2123</v>
      </c>
      <c r="Q517" s="14" t="n">
        <f aca="false">IF(AND($J517="Yes",$G517&lt;&gt;"Vendor day rates"),$I517-0.4*$P517,0)</f>
        <v>0</v>
      </c>
      <c r="R517" s="26" t="n">
        <f aca="false">IFERROR(MATCH($K517,MonthList,0),0)</f>
        <v>0</v>
      </c>
      <c r="S517" s="14" t="n">
        <f aca="false">IF(OR($J517&lt;&gt;"Yes",$K517=""),0,$Q517*MAX(0,7-$R517)/12)</f>
        <v>0</v>
      </c>
      <c r="T517" s="14" t="n">
        <f aca="false">IF(OR($J517&lt;&gt;"Yes",$K517=""),0,$Q517*IF($R517&lt;=7,12,19-$R517)/12)</f>
        <v>0</v>
      </c>
      <c r="U517" s="14" t="n">
        <f aca="false">IF(AND($L517="Yes",$G517&lt;&gt;"Vendor day rates"),$I517-0.4*$P517,0)</f>
        <v>0</v>
      </c>
      <c r="V517" s="26" t="n">
        <f aca="false">IFERROR(MATCH($M517,MonthList,0),0)</f>
        <v>0</v>
      </c>
      <c r="W517" s="14" t="n">
        <f aca="false">IF(OR($L517&lt;&gt;"Yes",$M517=""),0,$U517*MAX(0,7-$V517)/12)</f>
        <v>0</v>
      </c>
      <c r="X517" s="14" t="n">
        <f aca="false">IF(OR($L517&lt;&gt;"Yes",$M517=""),0,$U517*IF($V517&lt;=7,12,19-$V517)/12)</f>
        <v>0</v>
      </c>
      <c r="Y517" s="14" t="n">
        <f aca="false">IF(AND($N517="Yes",$G517&lt;&gt;"Vendor day rates"),$I517-0.4*$P517,0)</f>
        <v>0</v>
      </c>
      <c r="Z517" s="26" t="n">
        <f aca="false">IFERROR(MATCH($O517,MonthList,0),0)</f>
        <v>0</v>
      </c>
      <c r="AA517" s="14" t="n">
        <f aca="false">IF(OR($N517&lt;&gt;"Yes",$O517=""),0,$Y517*MAX(0,7-$Z517)/12)</f>
        <v>0</v>
      </c>
      <c r="AB517" s="14" t="n">
        <f aca="false">IF(OR($N517&lt;&gt;"Yes",$O517=""),0,$Y517*IF($Z517&lt;=7,12,19-$Z517)/12)</f>
        <v>0</v>
      </c>
      <c r="AC517" s="26" t="str">
        <f aca="false">IF(OR($J517="Yes",$L517="Yes",$N517="Yes"),"Yes","No")</f>
        <v>No</v>
      </c>
      <c r="AD517" s="14" t="n">
        <f aca="false">MAX($Q517,$U517,$Y517)</f>
        <v>0</v>
      </c>
      <c r="AE517" s="26" t="n">
        <f aca="false">$AD517+ROW()*0.000000001</f>
        <v>5.17E-007</v>
      </c>
      <c r="AF517" s="26" t="str">
        <f aca="false">IF($J517="Yes","A","")&amp;IF($L517="Yes","B","")&amp;IF($N517="Yes","C","")</f>
        <v/>
      </c>
    </row>
    <row r="518" customFormat="false" ht="15" hidden="false" customHeight="false" outlineLevel="0" collapsed="false">
      <c r="B518" s="22" t="s">
        <v>957</v>
      </c>
      <c r="C518" s="23" t="s">
        <v>930</v>
      </c>
      <c r="D518" s="23" t="s">
        <v>147</v>
      </c>
      <c r="E518" s="23" t="s">
        <v>167</v>
      </c>
      <c r="F518" s="22" t="s">
        <v>112</v>
      </c>
      <c r="G518" s="23" t="s">
        <v>58</v>
      </c>
      <c r="H518" s="24" t="n">
        <v>1</v>
      </c>
      <c r="I518" s="14" t="n">
        <v>0.0898</v>
      </c>
      <c r="J518" s="25" t="s">
        <v>59</v>
      </c>
      <c r="K518" s="25"/>
      <c r="L518" s="25" t="s">
        <v>59</v>
      </c>
      <c r="M518" s="25"/>
      <c r="N518" s="25" t="s">
        <v>59</v>
      </c>
      <c r="O518" s="25"/>
      <c r="P518" s="14" t="n">
        <v>0.0898</v>
      </c>
      <c r="Q518" s="14" t="n">
        <f aca="false">IF(AND($J518="Yes",$G518&lt;&gt;"Vendor day rates"),$I518-0.4*$P518,0)</f>
        <v>0</v>
      </c>
      <c r="R518" s="26" t="n">
        <f aca="false">IFERROR(MATCH($K518,MonthList,0),0)</f>
        <v>0</v>
      </c>
      <c r="S518" s="14" t="n">
        <f aca="false">IF(OR($J518&lt;&gt;"Yes",$K518=""),0,$Q518*MAX(0,7-$R518)/12)</f>
        <v>0</v>
      </c>
      <c r="T518" s="14" t="n">
        <f aca="false">IF(OR($J518&lt;&gt;"Yes",$K518=""),0,$Q518*IF($R518&lt;=7,12,19-$R518)/12)</f>
        <v>0</v>
      </c>
      <c r="U518" s="14" t="n">
        <f aca="false">IF(AND($L518="Yes",$G518&lt;&gt;"Vendor day rates"),$I518-0.4*$P518,0)</f>
        <v>0</v>
      </c>
      <c r="V518" s="26" t="n">
        <f aca="false">IFERROR(MATCH($M518,MonthList,0),0)</f>
        <v>0</v>
      </c>
      <c r="W518" s="14" t="n">
        <f aca="false">IF(OR($L518&lt;&gt;"Yes",$M518=""),0,$U518*MAX(0,7-$V518)/12)</f>
        <v>0</v>
      </c>
      <c r="X518" s="14" t="n">
        <f aca="false">IF(OR($L518&lt;&gt;"Yes",$M518=""),0,$U518*IF($V518&lt;=7,12,19-$V518)/12)</f>
        <v>0</v>
      </c>
      <c r="Y518" s="14" t="n">
        <f aca="false">IF(AND($N518="Yes",$G518&lt;&gt;"Vendor day rates"),$I518-0.4*$P518,0)</f>
        <v>0</v>
      </c>
      <c r="Z518" s="26" t="n">
        <f aca="false">IFERROR(MATCH($O518,MonthList,0),0)</f>
        <v>0</v>
      </c>
      <c r="AA518" s="14" t="n">
        <f aca="false">IF(OR($N518&lt;&gt;"Yes",$O518=""),0,$Y518*MAX(0,7-$Z518)/12)</f>
        <v>0</v>
      </c>
      <c r="AB518" s="14" t="n">
        <f aca="false">IF(OR($N518&lt;&gt;"Yes",$O518=""),0,$Y518*IF($Z518&lt;=7,12,19-$Z518)/12)</f>
        <v>0</v>
      </c>
      <c r="AC518" s="26" t="str">
        <f aca="false">IF(OR($J518="Yes",$L518="Yes",$N518="Yes"),"Yes","No")</f>
        <v>No</v>
      </c>
      <c r="AD518" s="14" t="n">
        <f aca="false">MAX($Q518,$U518,$Y518)</f>
        <v>0</v>
      </c>
      <c r="AE518" s="26" t="n">
        <f aca="false">$AD518+ROW()*0.000000001</f>
        <v>5.18E-007</v>
      </c>
      <c r="AF518" s="26" t="str">
        <f aca="false">IF($J518="Yes","A","")&amp;IF($L518="Yes","B","")&amp;IF($N518="Yes","C","")</f>
        <v/>
      </c>
    </row>
    <row r="519" customFormat="false" ht="15" hidden="false" customHeight="false" outlineLevel="0" collapsed="false">
      <c r="B519" s="22" t="s">
        <v>958</v>
      </c>
      <c r="C519" s="23" t="s">
        <v>930</v>
      </c>
      <c r="D519" s="23" t="s">
        <v>147</v>
      </c>
      <c r="E519" s="23" t="s">
        <v>167</v>
      </c>
      <c r="F519" s="22" t="s">
        <v>112</v>
      </c>
      <c r="G519" s="23" t="s">
        <v>58</v>
      </c>
      <c r="H519" s="24" t="n">
        <v>1</v>
      </c>
      <c r="I519" s="14" t="n">
        <v>0.0972</v>
      </c>
      <c r="J519" s="25" t="s">
        <v>59</v>
      </c>
      <c r="K519" s="25"/>
      <c r="L519" s="25" t="s">
        <v>59</v>
      </c>
      <c r="M519" s="25"/>
      <c r="N519" s="25" t="s">
        <v>59</v>
      </c>
      <c r="O519" s="25"/>
      <c r="P519" s="14" t="n">
        <v>0.0972</v>
      </c>
      <c r="Q519" s="14" t="n">
        <f aca="false">IF(AND($J519="Yes",$G519&lt;&gt;"Vendor day rates"),$I519-0.4*$P519,0)</f>
        <v>0</v>
      </c>
      <c r="R519" s="26" t="n">
        <f aca="false">IFERROR(MATCH($K519,MonthList,0),0)</f>
        <v>0</v>
      </c>
      <c r="S519" s="14" t="n">
        <f aca="false">IF(OR($J519&lt;&gt;"Yes",$K519=""),0,$Q519*MAX(0,7-$R519)/12)</f>
        <v>0</v>
      </c>
      <c r="T519" s="14" t="n">
        <f aca="false">IF(OR($J519&lt;&gt;"Yes",$K519=""),0,$Q519*IF($R519&lt;=7,12,19-$R519)/12)</f>
        <v>0</v>
      </c>
      <c r="U519" s="14" t="n">
        <f aca="false">IF(AND($L519="Yes",$G519&lt;&gt;"Vendor day rates"),$I519-0.4*$P519,0)</f>
        <v>0</v>
      </c>
      <c r="V519" s="26" t="n">
        <f aca="false">IFERROR(MATCH($M519,MonthList,0),0)</f>
        <v>0</v>
      </c>
      <c r="W519" s="14" t="n">
        <f aca="false">IF(OR($L519&lt;&gt;"Yes",$M519=""),0,$U519*MAX(0,7-$V519)/12)</f>
        <v>0</v>
      </c>
      <c r="X519" s="14" t="n">
        <f aca="false">IF(OR($L519&lt;&gt;"Yes",$M519=""),0,$U519*IF($V519&lt;=7,12,19-$V519)/12)</f>
        <v>0</v>
      </c>
      <c r="Y519" s="14" t="n">
        <f aca="false">IF(AND($N519="Yes",$G519&lt;&gt;"Vendor day rates"),$I519-0.4*$P519,0)</f>
        <v>0</v>
      </c>
      <c r="Z519" s="26" t="n">
        <f aca="false">IFERROR(MATCH($O519,MonthList,0),0)</f>
        <v>0</v>
      </c>
      <c r="AA519" s="14" t="n">
        <f aca="false">IF(OR($N519&lt;&gt;"Yes",$O519=""),0,$Y519*MAX(0,7-$Z519)/12)</f>
        <v>0</v>
      </c>
      <c r="AB519" s="14" t="n">
        <f aca="false">IF(OR($N519&lt;&gt;"Yes",$O519=""),0,$Y519*IF($Z519&lt;=7,12,19-$Z519)/12)</f>
        <v>0</v>
      </c>
      <c r="AC519" s="26" t="str">
        <f aca="false">IF(OR($J519="Yes",$L519="Yes",$N519="Yes"),"Yes","No")</f>
        <v>No</v>
      </c>
      <c r="AD519" s="14" t="n">
        <f aca="false">MAX($Q519,$U519,$Y519)</f>
        <v>0</v>
      </c>
      <c r="AE519" s="26" t="n">
        <f aca="false">$AD519+ROW()*0.000000001</f>
        <v>5.19E-007</v>
      </c>
      <c r="AF519" s="26" t="str">
        <f aca="false">IF($J519="Yes","A","")&amp;IF($L519="Yes","B","")&amp;IF($N519="Yes","C","")</f>
        <v/>
      </c>
    </row>
    <row r="520" customFormat="false" ht="15" hidden="false" customHeight="false" outlineLevel="0" collapsed="false">
      <c r="B520" s="22" t="s">
        <v>959</v>
      </c>
      <c r="C520" s="23" t="s">
        <v>930</v>
      </c>
      <c r="D520" s="23" t="s">
        <v>147</v>
      </c>
      <c r="E520" s="23" t="s">
        <v>167</v>
      </c>
      <c r="F520" s="22" t="s">
        <v>57</v>
      </c>
      <c r="G520" s="23" t="s">
        <v>304</v>
      </c>
      <c r="H520" s="24" t="n">
        <v>1</v>
      </c>
      <c r="I520" s="14" t="n">
        <v>0</v>
      </c>
      <c r="J520" s="25" t="s">
        <v>59</v>
      </c>
      <c r="K520" s="25"/>
      <c r="L520" s="25" t="s">
        <v>59</v>
      </c>
      <c r="M520" s="25"/>
      <c r="N520" s="25" t="s">
        <v>59</v>
      </c>
      <c r="O520" s="25"/>
      <c r="P520" s="14" t="n">
        <v>0.1226</v>
      </c>
      <c r="Q520" s="14" t="n">
        <f aca="false">IF(AND($J520="Yes",$G520&lt;&gt;"Vendor day rates"),$I520-0.4*$P520,0)</f>
        <v>0</v>
      </c>
      <c r="R520" s="26" t="n">
        <f aca="false">IFERROR(MATCH($K520,MonthList,0),0)</f>
        <v>0</v>
      </c>
      <c r="S520" s="14" t="n">
        <f aca="false">IF(OR($J520&lt;&gt;"Yes",$K520=""),0,$Q520*MAX(0,7-$R520)/12)</f>
        <v>0</v>
      </c>
      <c r="T520" s="14" t="n">
        <f aca="false">IF(OR($J520&lt;&gt;"Yes",$K520=""),0,$Q520*IF($R520&lt;=7,12,19-$R520)/12)</f>
        <v>0</v>
      </c>
      <c r="U520" s="14" t="n">
        <f aca="false">IF(AND($L520="Yes",$G520&lt;&gt;"Vendor day rates"),$I520-0.4*$P520,0)</f>
        <v>0</v>
      </c>
      <c r="V520" s="26" t="n">
        <f aca="false">IFERROR(MATCH($M520,MonthList,0),0)</f>
        <v>0</v>
      </c>
      <c r="W520" s="14" t="n">
        <f aca="false">IF(OR($L520&lt;&gt;"Yes",$M520=""),0,$U520*MAX(0,7-$V520)/12)</f>
        <v>0</v>
      </c>
      <c r="X520" s="14" t="n">
        <f aca="false">IF(OR($L520&lt;&gt;"Yes",$M520=""),0,$U520*IF($V520&lt;=7,12,19-$V520)/12)</f>
        <v>0</v>
      </c>
      <c r="Y520" s="14" t="n">
        <f aca="false">IF(AND($N520="Yes",$G520&lt;&gt;"Vendor day rates"),$I520-0.4*$P520,0)</f>
        <v>0</v>
      </c>
      <c r="Z520" s="26" t="n">
        <f aca="false">IFERROR(MATCH($O520,MonthList,0),0)</f>
        <v>0</v>
      </c>
      <c r="AA520" s="14" t="n">
        <f aca="false">IF(OR($N520&lt;&gt;"Yes",$O520=""),0,$Y520*MAX(0,7-$Z520)/12)</f>
        <v>0</v>
      </c>
      <c r="AB520" s="14" t="n">
        <f aca="false">IF(OR($N520&lt;&gt;"Yes",$O520=""),0,$Y520*IF($Z520&lt;=7,12,19-$Z520)/12)</f>
        <v>0</v>
      </c>
      <c r="AC520" s="26" t="str">
        <f aca="false">IF(OR($J520="Yes",$L520="Yes",$N520="Yes"),"Yes","No")</f>
        <v>No</v>
      </c>
      <c r="AD520" s="14" t="n">
        <f aca="false">MAX($Q520,$U520,$Y520)</f>
        <v>0</v>
      </c>
      <c r="AE520" s="26" t="n">
        <f aca="false">$AD520+ROW()*0.000000001</f>
        <v>5.2E-007</v>
      </c>
      <c r="AF520" s="26" t="str">
        <f aca="false">IF($J520="Yes","A","")&amp;IF($L520="Yes","B","")&amp;IF($N520="Yes","C","")</f>
        <v/>
      </c>
    </row>
    <row r="521" customFormat="false" ht="15" hidden="false" customHeight="false" outlineLevel="0" collapsed="false">
      <c r="B521" s="22" t="s">
        <v>960</v>
      </c>
      <c r="C521" s="23" t="s">
        <v>141</v>
      </c>
      <c r="D521" s="23" t="s">
        <v>215</v>
      </c>
      <c r="E521" s="23" t="s">
        <v>375</v>
      </c>
      <c r="F521" s="22" t="s">
        <v>112</v>
      </c>
      <c r="G521" s="23" t="s">
        <v>58</v>
      </c>
      <c r="H521" s="24" t="n">
        <v>1</v>
      </c>
      <c r="I521" s="14" t="n">
        <v>0.1124</v>
      </c>
      <c r="J521" s="25" t="s">
        <v>59</v>
      </c>
      <c r="K521" s="25"/>
      <c r="L521" s="25" t="s">
        <v>59</v>
      </c>
      <c r="M521" s="25"/>
      <c r="N521" s="25" t="s">
        <v>59</v>
      </c>
      <c r="O521" s="25"/>
      <c r="P521" s="14" t="n">
        <v>0.1124</v>
      </c>
      <c r="Q521" s="14" t="n">
        <f aca="false">IF(AND($J521="Yes",$G521&lt;&gt;"Vendor day rates"),$I521-0.4*$P521,0)</f>
        <v>0</v>
      </c>
      <c r="R521" s="26" t="n">
        <f aca="false">IFERROR(MATCH($K521,MonthList,0),0)</f>
        <v>0</v>
      </c>
      <c r="S521" s="14" t="n">
        <f aca="false">IF(OR($J521&lt;&gt;"Yes",$K521=""),0,$Q521*MAX(0,7-$R521)/12)</f>
        <v>0</v>
      </c>
      <c r="T521" s="14" t="n">
        <f aca="false">IF(OR($J521&lt;&gt;"Yes",$K521=""),0,$Q521*IF($R521&lt;=7,12,19-$R521)/12)</f>
        <v>0</v>
      </c>
      <c r="U521" s="14" t="n">
        <f aca="false">IF(AND($L521="Yes",$G521&lt;&gt;"Vendor day rates"),$I521-0.4*$P521,0)</f>
        <v>0</v>
      </c>
      <c r="V521" s="26" t="n">
        <f aca="false">IFERROR(MATCH($M521,MonthList,0),0)</f>
        <v>0</v>
      </c>
      <c r="W521" s="14" t="n">
        <f aca="false">IF(OR($L521&lt;&gt;"Yes",$M521=""),0,$U521*MAX(0,7-$V521)/12)</f>
        <v>0</v>
      </c>
      <c r="X521" s="14" t="n">
        <f aca="false">IF(OR($L521&lt;&gt;"Yes",$M521=""),0,$U521*IF($V521&lt;=7,12,19-$V521)/12)</f>
        <v>0</v>
      </c>
      <c r="Y521" s="14" t="n">
        <f aca="false">IF(AND($N521="Yes",$G521&lt;&gt;"Vendor day rates"),$I521-0.4*$P521,0)</f>
        <v>0</v>
      </c>
      <c r="Z521" s="26" t="n">
        <f aca="false">IFERROR(MATCH($O521,MonthList,0),0)</f>
        <v>0</v>
      </c>
      <c r="AA521" s="14" t="n">
        <f aca="false">IF(OR($N521&lt;&gt;"Yes",$O521=""),0,$Y521*MAX(0,7-$Z521)/12)</f>
        <v>0</v>
      </c>
      <c r="AB521" s="14" t="n">
        <f aca="false">IF(OR($N521&lt;&gt;"Yes",$O521=""),0,$Y521*IF($Z521&lt;=7,12,19-$Z521)/12)</f>
        <v>0</v>
      </c>
      <c r="AC521" s="26" t="str">
        <f aca="false">IF(OR($J521="Yes",$L521="Yes",$N521="Yes"),"Yes","No")</f>
        <v>No</v>
      </c>
      <c r="AD521" s="14" t="n">
        <f aca="false">MAX($Q521,$U521,$Y521)</f>
        <v>0</v>
      </c>
      <c r="AE521" s="26" t="n">
        <f aca="false">$AD521+ROW()*0.000000001</f>
        <v>5.21E-007</v>
      </c>
      <c r="AF521" s="26" t="str">
        <f aca="false">IF($J521="Yes","A","")&amp;IF($L521="Yes","B","")&amp;IF($N521="Yes","C","")</f>
        <v/>
      </c>
    </row>
    <row r="522" customFormat="false" ht="15" hidden="false" customHeight="false" outlineLevel="0" collapsed="false">
      <c r="B522" s="22" t="s">
        <v>961</v>
      </c>
      <c r="C522" s="23" t="s">
        <v>637</v>
      </c>
      <c r="D522" s="23" t="s">
        <v>204</v>
      </c>
      <c r="E522" s="23" t="s">
        <v>287</v>
      </c>
      <c r="F522" s="22" t="s">
        <v>112</v>
      </c>
      <c r="G522" s="23" t="s">
        <v>58</v>
      </c>
      <c r="H522" s="24" t="n">
        <v>1</v>
      </c>
      <c r="I522" s="14" t="n">
        <v>0.1014</v>
      </c>
      <c r="J522" s="25" t="s">
        <v>59</v>
      </c>
      <c r="K522" s="25"/>
      <c r="L522" s="25" t="s">
        <v>59</v>
      </c>
      <c r="M522" s="25"/>
      <c r="N522" s="25" t="s">
        <v>59</v>
      </c>
      <c r="O522" s="25"/>
      <c r="P522" s="14" t="n">
        <v>0.1014</v>
      </c>
      <c r="Q522" s="14" t="n">
        <f aca="false">IF(AND($J522="Yes",$G522&lt;&gt;"Vendor day rates"),$I522-0.4*$P522,0)</f>
        <v>0</v>
      </c>
      <c r="R522" s="26" t="n">
        <f aca="false">IFERROR(MATCH($K522,MonthList,0),0)</f>
        <v>0</v>
      </c>
      <c r="S522" s="14" t="n">
        <f aca="false">IF(OR($J522&lt;&gt;"Yes",$K522=""),0,$Q522*MAX(0,7-$R522)/12)</f>
        <v>0</v>
      </c>
      <c r="T522" s="14" t="n">
        <f aca="false">IF(OR($J522&lt;&gt;"Yes",$K522=""),0,$Q522*IF($R522&lt;=7,12,19-$R522)/12)</f>
        <v>0</v>
      </c>
      <c r="U522" s="14" t="n">
        <f aca="false">IF(AND($L522="Yes",$G522&lt;&gt;"Vendor day rates"),$I522-0.4*$P522,0)</f>
        <v>0</v>
      </c>
      <c r="V522" s="26" t="n">
        <f aca="false">IFERROR(MATCH($M522,MonthList,0),0)</f>
        <v>0</v>
      </c>
      <c r="W522" s="14" t="n">
        <f aca="false">IF(OR($L522&lt;&gt;"Yes",$M522=""),0,$U522*MAX(0,7-$V522)/12)</f>
        <v>0</v>
      </c>
      <c r="X522" s="14" t="n">
        <f aca="false">IF(OR($L522&lt;&gt;"Yes",$M522=""),0,$U522*IF($V522&lt;=7,12,19-$V522)/12)</f>
        <v>0</v>
      </c>
      <c r="Y522" s="14" t="n">
        <f aca="false">IF(AND($N522="Yes",$G522&lt;&gt;"Vendor day rates"),$I522-0.4*$P522,0)</f>
        <v>0</v>
      </c>
      <c r="Z522" s="26" t="n">
        <f aca="false">IFERROR(MATCH($O522,MonthList,0),0)</f>
        <v>0</v>
      </c>
      <c r="AA522" s="14" t="n">
        <f aca="false">IF(OR($N522&lt;&gt;"Yes",$O522=""),0,$Y522*MAX(0,7-$Z522)/12)</f>
        <v>0</v>
      </c>
      <c r="AB522" s="14" t="n">
        <f aca="false">IF(OR($N522&lt;&gt;"Yes",$O522=""),0,$Y522*IF($Z522&lt;=7,12,19-$Z522)/12)</f>
        <v>0</v>
      </c>
      <c r="AC522" s="26" t="str">
        <f aca="false">IF(OR($J522="Yes",$L522="Yes",$N522="Yes"),"Yes","No")</f>
        <v>No</v>
      </c>
      <c r="AD522" s="14" t="n">
        <f aca="false">MAX($Q522,$U522,$Y522)</f>
        <v>0</v>
      </c>
      <c r="AE522" s="26" t="n">
        <f aca="false">$AD522+ROW()*0.000000001</f>
        <v>5.22E-007</v>
      </c>
      <c r="AF522" s="26" t="str">
        <f aca="false">IF($J522="Yes","A","")&amp;IF($L522="Yes","B","")&amp;IF($N522="Yes","C","")</f>
        <v/>
      </c>
    </row>
    <row r="523" customFormat="false" ht="15" hidden="false" customHeight="false" outlineLevel="0" collapsed="false">
      <c r="B523" s="22" t="s">
        <v>962</v>
      </c>
      <c r="C523" s="23" t="s">
        <v>650</v>
      </c>
      <c r="D523" s="23" t="s">
        <v>215</v>
      </c>
      <c r="E523" s="23" t="s">
        <v>394</v>
      </c>
      <c r="F523" s="22" t="s">
        <v>112</v>
      </c>
      <c r="G523" s="23" t="s">
        <v>58</v>
      </c>
      <c r="H523" s="24" t="n">
        <v>1</v>
      </c>
      <c r="I523" s="14" t="n">
        <v>0.1169</v>
      </c>
      <c r="J523" s="25" t="s">
        <v>59</v>
      </c>
      <c r="K523" s="25"/>
      <c r="L523" s="25" t="s">
        <v>59</v>
      </c>
      <c r="M523" s="25"/>
      <c r="N523" s="25" t="s">
        <v>59</v>
      </c>
      <c r="O523" s="25"/>
      <c r="P523" s="14" t="n">
        <v>0.1169</v>
      </c>
      <c r="Q523" s="14" t="n">
        <f aca="false">IF(AND($J523="Yes",$G523&lt;&gt;"Vendor day rates"),$I523-0.4*$P523,0)</f>
        <v>0</v>
      </c>
      <c r="R523" s="26" t="n">
        <f aca="false">IFERROR(MATCH($K523,MonthList,0),0)</f>
        <v>0</v>
      </c>
      <c r="S523" s="14" t="n">
        <f aca="false">IF(OR($J523&lt;&gt;"Yes",$K523=""),0,$Q523*MAX(0,7-$R523)/12)</f>
        <v>0</v>
      </c>
      <c r="T523" s="14" t="n">
        <f aca="false">IF(OR($J523&lt;&gt;"Yes",$K523=""),0,$Q523*IF($R523&lt;=7,12,19-$R523)/12)</f>
        <v>0</v>
      </c>
      <c r="U523" s="14" t="n">
        <f aca="false">IF(AND($L523="Yes",$G523&lt;&gt;"Vendor day rates"),$I523-0.4*$P523,0)</f>
        <v>0</v>
      </c>
      <c r="V523" s="26" t="n">
        <f aca="false">IFERROR(MATCH($M523,MonthList,0),0)</f>
        <v>0</v>
      </c>
      <c r="W523" s="14" t="n">
        <f aca="false">IF(OR($L523&lt;&gt;"Yes",$M523=""),0,$U523*MAX(0,7-$V523)/12)</f>
        <v>0</v>
      </c>
      <c r="X523" s="14" t="n">
        <f aca="false">IF(OR($L523&lt;&gt;"Yes",$M523=""),0,$U523*IF($V523&lt;=7,12,19-$V523)/12)</f>
        <v>0</v>
      </c>
      <c r="Y523" s="14" t="n">
        <f aca="false">IF(AND($N523="Yes",$G523&lt;&gt;"Vendor day rates"),$I523-0.4*$P523,0)</f>
        <v>0</v>
      </c>
      <c r="Z523" s="26" t="n">
        <f aca="false">IFERROR(MATCH($O523,MonthList,0),0)</f>
        <v>0</v>
      </c>
      <c r="AA523" s="14" t="n">
        <f aca="false">IF(OR($N523&lt;&gt;"Yes",$O523=""),0,$Y523*MAX(0,7-$Z523)/12)</f>
        <v>0</v>
      </c>
      <c r="AB523" s="14" t="n">
        <f aca="false">IF(OR($N523&lt;&gt;"Yes",$O523=""),0,$Y523*IF($Z523&lt;=7,12,19-$Z523)/12)</f>
        <v>0</v>
      </c>
      <c r="AC523" s="26" t="str">
        <f aca="false">IF(OR($J523="Yes",$L523="Yes",$N523="Yes"),"Yes","No")</f>
        <v>No</v>
      </c>
      <c r="AD523" s="14" t="n">
        <f aca="false">MAX($Q523,$U523,$Y523)</f>
        <v>0</v>
      </c>
      <c r="AE523" s="26" t="n">
        <f aca="false">$AD523+ROW()*0.000000001</f>
        <v>5.23E-007</v>
      </c>
      <c r="AF523" s="26" t="str">
        <f aca="false">IF($J523="Yes","A","")&amp;IF($L523="Yes","B","")&amp;IF($N523="Yes","C","")</f>
        <v/>
      </c>
    </row>
    <row r="524" customFormat="false" ht="15" hidden="false" customHeight="false" outlineLevel="0" collapsed="false">
      <c r="B524" s="22" t="s">
        <v>963</v>
      </c>
      <c r="C524" s="23" t="s">
        <v>964</v>
      </c>
      <c r="D524" s="23" t="s">
        <v>215</v>
      </c>
      <c r="E524" s="23" t="s">
        <v>375</v>
      </c>
      <c r="F524" s="22" t="s">
        <v>112</v>
      </c>
      <c r="G524" s="23" t="s">
        <v>58</v>
      </c>
      <c r="H524" s="24" t="n">
        <v>1</v>
      </c>
      <c r="I524" s="14" t="n">
        <v>0.4386</v>
      </c>
      <c r="J524" s="25" t="s">
        <v>59</v>
      </c>
      <c r="K524" s="25"/>
      <c r="L524" s="25" t="s">
        <v>59</v>
      </c>
      <c r="M524" s="25"/>
      <c r="N524" s="25" t="s">
        <v>59</v>
      </c>
      <c r="O524" s="25"/>
      <c r="P524" s="14" t="n">
        <v>0.4386</v>
      </c>
      <c r="Q524" s="14" t="n">
        <f aca="false">IF(AND($J524="Yes",$G524&lt;&gt;"Vendor day rates"),$I524-0.4*$P524,0)</f>
        <v>0</v>
      </c>
      <c r="R524" s="26" t="n">
        <f aca="false">IFERROR(MATCH($K524,MonthList,0),0)</f>
        <v>0</v>
      </c>
      <c r="S524" s="14" t="n">
        <f aca="false">IF(OR($J524&lt;&gt;"Yes",$K524=""),0,$Q524*MAX(0,7-$R524)/12)</f>
        <v>0</v>
      </c>
      <c r="T524" s="14" t="n">
        <f aca="false">IF(OR($J524&lt;&gt;"Yes",$K524=""),0,$Q524*IF($R524&lt;=7,12,19-$R524)/12)</f>
        <v>0</v>
      </c>
      <c r="U524" s="14" t="n">
        <f aca="false">IF(AND($L524="Yes",$G524&lt;&gt;"Vendor day rates"),$I524-0.4*$P524,0)</f>
        <v>0</v>
      </c>
      <c r="V524" s="26" t="n">
        <f aca="false">IFERROR(MATCH($M524,MonthList,0),0)</f>
        <v>0</v>
      </c>
      <c r="W524" s="14" t="n">
        <f aca="false">IF(OR($L524&lt;&gt;"Yes",$M524=""),0,$U524*MAX(0,7-$V524)/12)</f>
        <v>0</v>
      </c>
      <c r="X524" s="14" t="n">
        <f aca="false">IF(OR($L524&lt;&gt;"Yes",$M524=""),0,$U524*IF($V524&lt;=7,12,19-$V524)/12)</f>
        <v>0</v>
      </c>
      <c r="Y524" s="14" t="n">
        <f aca="false">IF(AND($N524="Yes",$G524&lt;&gt;"Vendor day rates"),$I524-0.4*$P524,0)</f>
        <v>0</v>
      </c>
      <c r="Z524" s="26" t="n">
        <f aca="false">IFERROR(MATCH($O524,MonthList,0),0)</f>
        <v>0</v>
      </c>
      <c r="AA524" s="14" t="n">
        <f aca="false">IF(OR($N524&lt;&gt;"Yes",$O524=""),0,$Y524*MAX(0,7-$Z524)/12)</f>
        <v>0</v>
      </c>
      <c r="AB524" s="14" t="n">
        <f aca="false">IF(OR($N524&lt;&gt;"Yes",$O524=""),0,$Y524*IF($Z524&lt;=7,12,19-$Z524)/12)</f>
        <v>0</v>
      </c>
      <c r="AC524" s="26" t="str">
        <f aca="false">IF(OR($J524="Yes",$L524="Yes",$N524="Yes"),"Yes","No")</f>
        <v>No</v>
      </c>
      <c r="AD524" s="14" t="n">
        <f aca="false">MAX($Q524,$U524,$Y524)</f>
        <v>0</v>
      </c>
      <c r="AE524" s="26" t="n">
        <f aca="false">$AD524+ROW()*0.000000001</f>
        <v>5.24E-007</v>
      </c>
      <c r="AF524" s="26" t="str">
        <f aca="false">IF($J524="Yes","A","")&amp;IF($L524="Yes","B","")&amp;IF($N524="Yes","C","")</f>
        <v/>
      </c>
    </row>
    <row r="525" customFormat="false" ht="15" hidden="false" customHeight="false" outlineLevel="0" collapsed="false">
      <c r="B525" s="22" t="s">
        <v>965</v>
      </c>
      <c r="C525" s="23" t="s">
        <v>855</v>
      </c>
      <c r="D525" s="23" t="s">
        <v>91</v>
      </c>
      <c r="E525" s="23" t="s">
        <v>856</v>
      </c>
      <c r="F525" s="22" t="s">
        <v>57</v>
      </c>
      <c r="G525" s="23" t="s">
        <v>58</v>
      </c>
      <c r="H525" s="24" t="n">
        <v>1</v>
      </c>
      <c r="I525" s="14" t="n">
        <v>0.1067</v>
      </c>
      <c r="J525" s="25" t="s">
        <v>59</v>
      </c>
      <c r="K525" s="25"/>
      <c r="L525" s="25" t="s">
        <v>59</v>
      </c>
      <c r="M525" s="25"/>
      <c r="N525" s="25" t="s">
        <v>59</v>
      </c>
      <c r="O525" s="25"/>
      <c r="P525" s="14" t="n">
        <v>0.1067</v>
      </c>
      <c r="Q525" s="14" t="n">
        <f aca="false">IF(AND($J525="Yes",$G525&lt;&gt;"Vendor day rates"),$I525-0.4*$P525,0)</f>
        <v>0</v>
      </c>
      <c r="R525" s="26" t="n">
        <f aca="false">IFERROR(MATCH($K525,MonthList,0),0)</f>
        <v>0</v>
      </c>
      <c r="S525" s="14" t="n">
        <f aca="false">IF(OR($J525&lt;&gt;"Yes",$K525=""),0,$Q525*MAX(0,7-$R525)/12)</f>
        <v>0</v>
      </c>
      <c r="T525" s="14" t="n">
        <f aca="false">IF(OR($J525&lt;&gt;"Yes",$K525=""),0,$Q525*IF($R525&lt;=7,12,19-$R525)/12)</f>
        <v>0</v>
      </c>
      <c r="U525" s="14" t="n">
        <f aca="false">IF(AND($L525="Yes",$G525&lt;&gt;"Vendor day rates"),$I525-0.4*$P525,0)</f>
        <v>0</v>
      </c>
      <c r="V525" s="26" t="n">
        <f aca="false">IFERROR(MATCH($M525,MonthList,0),0)</f>
        <v>0</v>
      </c>
      <c r="W525" s="14" t="n">
        <f aca="false">IF(OR($L525&lt;&gt;"Yes",$M525=""),0,$U525*MAX(0,7-$V525)/12)</f>
        <v>0</v>
      </c>
      <c r="X525" s="14" t="n">
        <f aca="false">IF(OR($L525&lt;&gt;"Yes",$M525=""),0,$U525*IF($V525&lt;=7,12,19-$V525)/12)</f>
        <v>0</v>
      </c>
      <c r="Y525" s="14" t="n">
        <f aca="false">IF(AND($N525="Yes",$G525&lt;&gt;"Vendor day rates"),$I525-0.4*$P525,0)</f>
        <v>0</v>
      </c>
      <c r="Z525" s="26" t="n">
        <f aca="false">IFERROR(MATCH($O525,MonthList,0),0)</f>
        <v>0</v>
      </c>
      <c r="AA525" s="14" t="n">
        <f aca="false">IF(OR($N525&lt;&gt;"Yes",$O525=""),0,$Y525*MAX(0,7-$Z525)/12)</f>
        <v>0</v>
      </c>
      <c r="AB525" s="14" t="n">
        <f aca="false">IF(OR($N525&lt;&gt;"Yes",$O525=""),0,$Y525*IF($Z525&lt;=7,12,19-$Z525)/12)</f>
        <v>0</v>
      </c>
      <c r="AC525" s="26" t="str">
        <f aca="false">IF(OR($J525="Yes",$L525="Yes",$N525="Yes"),"Yes","No")</f>
        <v>No</v>
      </c>
      <c r="AD525" s="14" t="n">
        <f aca="false">MAX($Q525,$U525,$Y525)</f>
        <v>0</v>
      </c>
      <c r="AE525" s="26" t="n">
        <f aca="false">$AD525+ROW()*0.000000001</f>
        <v>5.25E-007</v>
      </c>
      <c r="AF525" s="26" t="str">
        <f aca="false">IF($J525="Yes","A","")&amp;IF($L525="Yes","B","")&amp;IF($N525="Yes","C","")</f>
        <v/>
      </c>
    </row>
    <row r="526" customFormat="false" ht="15" hidden="false" customHeight="false" outlineLevel="0" collapsed="false">
      <c r="B526" s="22" t="s">
        <v>966</v>
      </c>
      <c r="C526" s="23" t="s">
        <v>967</v>
      </c>
      <c r="D526" s="23" t="s">
        <v>207</v>
      </c>
      <c r="E526" s="23" t="s">
        <v>401</v>
      </c>
      <c r="F526" s="22" t="s">
        <v>112</v>
      </c>
      <c r="G526" s="23" t="s">
        <v>58</v>
      </c>
      <c r="H526" s="24" t="n">
        <v>1</v>
      </c>
      <c r="I526" s="14" t="n">
        <v>0.0874</v>
      </c>
      <c r="J526" s="25" t="s">
        <v>59</v>
      </c>
      <c r="K526" s="25"/>
      <c r="L526" s="25" t="s">
        <v>59</v>
      </c>
      <c r="M526" s="25"/>
      <c r="N526" s="25" t="s">
        <v>59</v>
      </c>
      <c r="O526" s="25"/>
      <c r="P526" s="14" t="n">
        <v>0.0874</v>
      </c>
      <c r="Q526" s="14" t="n">
        <f aca="false">IF(AND($J526="Yes",$G526&lt;&gt;"Vendor day rates"),$I526-0.4*$P526,0)</f>
        <v>0</v>
      </c>
      <c r="R526" s="26" t="n">
        <f aca="false">IFERROR(MATCH($K526,MonthList,0),0)</f>
        <v>0</v>
      </c>
      <c r="S526" s="14" t="n">
        <f aca="false">IF(OR($J526&lt;&gt;"Yes",$K526=""),0,$Q526*MAX(0,7-$R526)/12)</f>
        <v>0</v>
      </c>
      <c r="T526" s="14" t="n">
        <f aca="false">IF(OR($J526&lt;&gt;"Yes",$K526=""),0,$Q526*IF($R526&lt;=7,12,19-$R526)/12)</f>
        <v>0</v>
      </c>
      <c r="U526" s="14" t="n">
        <f aca="false">IF(AND($L526="Yes",$G526&lt;&gt;"Vendor day rates"),$I526-0.4*$P526,0)</f>
        <v>0</v>
      </c>
      <c r="V526" s="26" t="n">
        <f aca="false">IFERROR(MATCH($M526,MonthList,0),0)</f>
        <v>0</v>
      </c>
      <c r="W526" s="14" t="n">
        <f aca="false">IF(OR($L526&lt;&gt;"Yes",$M526=""),0,$U526*MAX(0,7-$V526)/12)</f>
        <v>0</v>
      </c>
      <c r="X526" s="14" t="n">
        <f aca="false">IF(OR($L526&lt;&gt;"Yes",$M526=""),0,$U526*IF($V526&lt;=7,12,19-$V526)/12)</f>
        <v>0</v>
      </c>
      <c r="Y526" s="14" t="n">
        <f aca="false">IF(AND($N526="Yes",$G526&lt;&gt;"Vendor day rates"),$I526-0.4*$P526,0)</f>
        <v>0</v>
      </c>
      <c r="Z526" s="26" t="n">
        <f aca="false">IFERROR(MATCH($O526,MonthList,0),0)</f>
        <v>0</v>
      </c>
      <c r="AA526" s="14" t="n">
        <f aca="false">IF(OR($N526&lt;&gt;"Yes",$O526=""),0,$Y526*MAX(0,7-$Z526)/12)</f>
        <v>0</v>
      </c>
      <c r="AB526" s="14" t="n">
        <f aca="false">IF(OR($N526&lt;&gt;"Yes",$O526=""),0,$Y526*IF($Z526&lt;=7,12,19-$Z526)/12)</f>
        <v>0</v>
      </c>
      <c r="AC526" s="26" t="str">
        <f aca="false">IF(OR($J526="Yes",$L526="Yes",$N526="Yes"),"Yes","No")</f>
        <v>No</v>
      </c>
      <c r="AD526" s="14" t="n">
        <f aca="false">MAX($Q526,$U526,$Y526)</f>
        <v>0</v>
      </c>
      <c r="AE526" s="26" t="n">
        <f aca="false">$AD526+ROW()*0.000000001</f>
        <v>5.26E-007</v>
      </c>
      <c r="AF526" s="26" t="str">
        <f aca="false">IF($J526="Yes","A","")&amp;IF($L526="Yes","B","")&amp;IF($N526="Yes","C","")</f>
        <v/>
      </c>
    </row>
    <row r="527" customFormat="false" ht="15" hidden="false" customHeight="false" outlineLevel="0" collapsed="false">
      <c r="B527" s="22" t="s">
        <v>968</v>
      </c>
      <c r="C527" s="23" t="s">
        <v>969</v>
      </c>
      <c r="D527" s="23" t="s">
        <v>204</v>
      </c>
      <c r="E527" s="23" t="s">
        <v>287</v>
      </c>
      <c r="F527" s="22" t="s">
        <v>112</v>
      </c>
      <c r="G527" s="23" t="s">
        <v>58</v>
      </c>
      <c r="H527" s="24" t="n">
        <v>1</v>
      </c>
      <c r="I527" s="14" t="n">
        <v>0.0845</v>
      </c>
      <c r="J527" s="25" t="s">
        <v>59</v>
      </c>
      <c r="K527" s="25"/>
      <c r="L527" s="25" t="s">
        <v>59</v>
      </c>
      <c r="M527" s="25"/>
      <c r="N527" s="25" t="s">
        <v>59</v>
      </c>
      <c r="O527" s="25"/>
      <c r="P527" s="14" t="n">
        <v>0.0845</v>
      </c>
      <c r="Q527" s="14" t="n">
        <f aca="false">IF(AND($J527="Yes",$G527&lt;&gt;"Vendor day rates"),$I527-0.4*$P527,0)</f>
        <v>0</v>
      </c>
      <c r="R527" s="26" t="n">
        <f aca="false">IFERROR(MATCH($K527,MonthList,0),0)</f>
        <v>0</v>
      </c>
      <c r="S527" s="14" t="n">
        <f aca="false">IF(OR($J527&lt;&gt;"Yes",$K527=""),0,$Q527*MAX(0,7-$R527)/12)</f>
        <v>0</v>
      </c>
      <c r="T527" s="14" t="n">
        <f aca="false">IF(OR($J527&lt;&gt;"Yes",$K527=""),0,$Q527*IF($R527&lt;=7,12,19-$R527)/12)</f>
        <v>0</v>
      </c>
      <c r="U527" s="14" t="n">
        <f aca="false">IF(AND($L527="Yes",$G527&lt;&gt;"Vendor day rates"),$I527-0.4*$P527,0)</f>
        <v>0</v>
      </c>
      <c r="V527" s="26" t="n">
        <f aca="false">IFERROR(MATCH($M527,MonthList,0),0)</f>
        <v>0</v>
      </c>
      <c r="W527" s="14" t="n">
        <f aca="false">IF(OR($L527&lt;&gt;"Yes",$M527=""),0,$U527*MAX(0,7-$V527)/12)</f>
        <v>0</v>
      </c>
      <c r="X527" s="14" t="n">
        <f aca="false">IF(OR($L527&lt;&gt;"Yes",$M527=""),0,$U527*IF($V527&lt;=7,12,19-$V527)/12)</f>
        <v>0</v>
      </c>
      <c r="Y527" s="14" t="n">
        <f aca="false">IF(AND($N527="Yes",$G527&lt;&gt;"Vendor day rates"),$I527-0.4*$P527,0)</f>
        <v>0</v>
      </c>
      <c r="Z527" s="26" t="n">
        <f aca="false">IFERROR(MATCH($O527,MonthList,0),0)</f>
        <v>0</v>
      </c>
      <c r="AA527" s="14" t="n">
        <f aca="false">IF(OR($N527&lt;&gt;"Yes",$O527=""),0,$Y527*MAX(0,7-$Z527)/12)</f>
        <v>0</v>
      </c>
      <c r="AB527" s="14" t="n">
        <f aca="false">IF(OR($N527&lt;&gt;"Yes",$O527=""),0,$Y527*IF($Z527&lt;=7,12,19-$Z527)/12)</f>
        <v>0</v>
      </c>
      <c r="AC527" s="26" t="str">
        <f aca="false">IF(OR($J527="Yes",$L527="Yes",$N527="Yes"),"Yes","No")</f>
        <v>No</v>
      </c>
      <c r="AD527" s="14" t="n">
        <f aca="false">MAX($Q527,$U527,$Y527)</f>
        <v>0</v>
      </c>
      <c r="AE527" s="26" t="n">
        <f aca="false">$AD527+ROW()*0.000000001</f>
        <v>5.27E-007</v>
      </c>
      <c r="AF527" s="26" t="str">
        <f aca="false">IF($J527="Yes","A","")&amp;IF($L527="Yes","B","")&amp;IF($N527="Yes","C","")</f>
        <v/>
      </c>
    </row>
    <row r="528" customFormat="false" ht="15" hidden="false" customHeight="false" outlineLevel="0" collapsed="false">
      <c r="B528" s="22" t="s">
        <v>970</v>
      </c>
      <c r="C528" s="23" t="s">
        <v>971</v>
      </c>
      <c r="D528" s="23" t="s">
        <v>204</v>
      </c>
      <c r="E528" s="23" t="s">
        <v>547</v>
      </c>
      <c r="F528" s="22" t="s">
        <v>57</v>
      </c>
      <c r="G528" s="23" t="s">
        <v>121</v>
      </c>
      <c r="H528" s="24" t="n">
        <v>1</v>
      </c>
      <c r="I528" s="14" t="n">
        <v>0.1066</v>
      </c>
      <c r="J528" s="25" t="s">
        <v>59</v>
      </c>
      <c r="K528" s="25"/>
      <c r="L528" s="25" t="s">
        <v>59</v>
      </c>
      <c r="M528" s="25"/>
      <c r="N528" s="25" t="s">
        <v>59</v>
      </c>
      <c r="O528" s="25"/>
      <c r="P528" s="14" t="n">
        <v>0.2664</v>
      </c>
      <c r="Q528" s="14" t="n">
        <f aca="false">IF(AND($J528="Yes",$G528&lt;&gt;"Vendor day rates"),$I528-0.4*$P528,0)</f>
        <v>0</v>
      </c>
      <c r="R528" s="26" t="n">
        <f aca="false">IFERROR(MATCH($K528,MonthList,0),0)</f>
        <v>0</v>
      </c>
      <c r="S528" s="14" t="n">
        <f aca="false">IF(OR($J528&lt;&gt;"Yes",$K528=""),0,$Q528*MAX(0,7-$R528)/12)</f>
        <v>0</v>
      </c>
      <c r="T528" s="14" t="n">
        <f aca="false">IF(OR($J528&lt;&gt;"Yes",$K528=""),0,$Q528*IF($R528&lt;=7,12,19-$R528)/12)</f>
        <v>0</v>
      </c>
      <c r="U528" s="14" t="n">
        <f aca="false">IF(AND($L528="Yes",$G528&lt;&gt;"Vendor day rates"),$I528-0.4*$P528,0)</f>
        <v>0</v>
      </c>
      <c r="V528" s="26" t="n">
        <f aca="false">IFERROR(MATCH($M528,MonthList,0),0)</f>
        <v>0</v>
      </c>
      <c r="W528" s="14" t="n">
        <f aca="false">IF(OR($L528&lt;&gt;"Yes",$M528=""),0,$U528*MAX(0,7-$V528)/12)</f>
        <v>0</v>
      </c>
      <c r="X528" s="14" t="n">
        <f aca="false">IF(OR($L528&lt;&gt;"Yes",$M528=""),0,$U528*IF($V528&lt;=7,12,19-$V528)/12)</f>
        <v>0</v>
      </c>
      <c r="Y528" s="14" t="n">
        <f aca="false">IF(AND($N528="Yes",$G528&lt;&gt;"Vendor day rates"),$I528-0.4*$P528,0)</f>
        <v>0</v>
      </c>
      <c r="Z528" s="26" t="n">
        <f aca="false">IFERROR(MATCH($O528,MonthList,0),0)</f>
        <v>0</v>
      </c>
      <c r="AA528" s="14" t="n">
        <f aca="false">IF(OR($N528&lt;&gt;"Yes",$O528=""),0,$Y528*MAX(0,7-$Z528)/12)</f>
        <v>0</v>
      </c>
      <c r="AB528" s="14" t="n">
        <f aca="false">IF(OR($N528&lt;&gt;"Yes",$O528=""),0,$Y528*IF($Z528&lt;=7,12,19-$Z528)/12)</f>
        <v>0</v>
      </c>
      <c r="AC528" s="26" t="str">
        <f aca="false">IF(OR($J528="Yes",$L528="Yes",$N528="Yes"),"Yes","No")</f>
        <v>No</v>
      </c>
      <c r="AD528" s="14" t="n">
        <f aca="false">MAX($Q528,$U528,$Y528)</f>
        <v>0</v>
      </c>
      <c r="AE528" s="26" t="n">
        <f aca="false">$AD528+ROW()*0.000000001</f>
        <v>5.28E-007</v>
      </c>
      <c r="AF528" s="26" t="str">
        <f aca="false">IF($J528="Yes","A","")&amp;IF($L528="Yes","B","")&amp;IF($N528="Yes","C","")</f>
        <v/>
      </c>
    </row>
    <row r="529" customFormat="false" ht="15" hidden="false" customHeight="false" outlineLevel="0" collapsed="false">
      <c r="B529" s="22" t="s">
        <v>972</v>
      </c>
      <c r="C529" s="23" t="s">
        <v>690</v>
      </c>
      <c r="D529" s="23" t="s">
        <v>158</v>
      </c>
      <c r="E529" s="23" t="s">
        <v>447</v>
      </c>
      <c r="F529" s="22" t="s">
        <v>112</v>
      </c>
      <c r="G529" s="23" t="s">
        <v>58</v>
      </c>
      <c r="H529" s="24" t="n">
        <v>1</v>
      </c>
      <c r="I529" s="14" t="n">
        <v>0.166</v>
      </c>
      <c r="J529" s="25" t="s">
        <v>59</v>
      </c>
      <c r="K529" s="25"/>
      <c r="L529" s="25" t="s">
        <v>59</v>
      </c>
      <c r="M529" s="25"/>
      <c r="N529" s="25" t="s">
        <v>59</v>
      </c>
      <c r="O529" s="25"/>
      <c r="P529" s="14" t="n">
        <v>0.166</v>
      </c>
      <c r="Q529" s="14" t="n">
        <f aca="false">IF(AND($J529="Yes",$G529&lt;&gt;"Vendor day rates"),$I529-0.4*$P529,0)</f>
        <v>0</v>
      </c>
      <c r="R529" s="26" t="n">
        <f aca="false">IFERROR(MATCH($K529,MonthList,0),0)</f>
        <v>0</v>
      </c>
      <c r="S529" s="14" t="n">
        <f aca="false">IF(OR($J529&lt;&gt;"Yes",$K529=""),0,$Q529*MAX(0,7-$R529)/12)</f>
        <v>0</v>
      </c>
      <c r="T529" s="14" t="n">
        <f aca="false">IF(OR($J529&lt;&gt;"Yes",$K529=""),0,$Q529*IF($R529&lt;=7,12,19-$R529)/12)</f>
        <v>0</v>
      </c>
      <c r="U529" s="14" t="n">
        <f aca="false">IF(AND($L529="Yes",$G529&lt;&gt;"Vendor day rates"),$I529-0.4*$P529,0)</f>
        <v>0</v>
      </c>
      <c r="V529" s="26" t="n">
        <f aca="false">IFERROR(MATCH($M529,MonthList,0),0)</f>
        <v>0</v>
      </c>
      <c r="W529" s="14" t="n">
        <f aca="false">IF(OR($L529&lt;&gt;"Yes",$M529=""),0,$U529*MAX(0,7-$V529)/12)</f>
        <v>0</v>
      </c>
      <c r="X529" s="14" t="n">
        <f aca="false">IF(OR($L529&lt;&gt;"Yes",$M529=""),0,$U529*IF($V529&lt;=7,12,19-$V529)/12)</f>
        <v>0</v>
      </c>
      <c r="Y529" s="14" t="n">
        <f aca="false">IF(AND($N529="Yes",$G529&lt;&gt;"Vendor day rates"),$I529-0.4*$P529,0)</f>
        <v>0</v>
      </c>
      <c r="Z529" s="26" t="n">
        <f aca="false">IFERROR(MATCH($O529,MonthList,0),0)</f>
        <v>0</v>
      </c>
      <c r="AA529" s="14" t="n">
        <f aca="false">IF(OR($N529&lt;&gt;"Yes",$O529=""),0,$Y529*MAX(0,7-$Z529)/12)</f>
        <v>0</v>
      </c>
      <c r="AB529" s="14" t="n">
        <f aca="false">IF(OR($N529&lt;&gt;"Yes",$O529=""),0,$Y529*IF($Z529&lt;=7,12,19-$Z529)/12)</f>
        <v>0</v>
      </c>
      <c r="AC529" s="26" t="str">
        <f aca="false">IF(OR($J529="Yes",$L529="Yes",$N529="Yes"),"Yes","No")</f>
        <v>No</v>
      </c>
      <c r="AD529" s="14" t="n">
        <f aca="false">MAX($Q529,$U529,$Y529)</f>
        <v>0</v>
      </c>
      <c r="AE529" s="26" t="n">
        <f aca="false">$AD529+ROW()*0.000000001</f>
        <v>5.29E-007</v>
      </c>
      <c r="AF529" s="26" t="str">
        <f aca="false">IF($J529="Yes","A","")&amp;IF($L529="Yes","B","")&amp;IF($N529="Yes","C","")</f>
        <v/>
      </c>
    </row>
    <row r="530" customFormat="false" ht="15" hidden="false" customHeight="false" outlineLevel="0" collapsed="false">
      <c r="B530" s="22" t="s">
        <v>973</v>
      </c>
      <c r="C530" s="23" t="s">
        <v>116</v>
      </c>
      <c r="D530" s="23" t="s">
        <v>331</v>
      </c>
      <c r="E530" s="23" t="s">
        <v>440</v>
      </c>
      <c r="F530" s="22" t="s">
        <v>57</v>
      </c>
      <c r="G530" s="23" t="s">
        <v>304</v>
      </c>
      <c r="H530" s="24" t="n">
        <v>0.5</v>
      </c>
      <c r="I530" s="14" t="n">
        <v>0</v>
      </c>
      <c r="J530" s="25" t="s">
        <v>59</v>
      </c>
      <c r="K530" s="25"/>
      <c r="L530" s="25" t="s">
        <v>59</v>
      </c>
      <c r="M530" s="25"/>
      <c r="N530" s="25" t="s">
        <v>59</v>
      </c>
      <c r="O530" s="25"/>
      <c r="P530" s="14" t="n">
        <v>0.0579</v>
      </c>
      <c r="Q530" s="14" t="n">
        <f aca="false">IF(AND($J530="Yes",$G530&lt;&gt;"Vendor day rates"),$I530-0.4*$P530,0)</f>
        <v>0</v>
      </c>
      <c r="R530" s="26" t="n">
        <f aca="false">IFERROR(MATCH($K530,MonthList,0),0)</f>
        <v>0</v>
      </c>
      <c r="S530" s="14" t="n">
        <f aca="false">IF(OR($J530&lt;&gt;"Yes",$K530=""),0,$Q530*MAX(0,7-$R530)/12)</f>
        <v>0</v>
      </c>
      <c r="T530" s="14" t="n">
        <f aca="false">IF(OR($J530&lt;&gt;"Yes",$K530=""),0,$Q530*IF($R530&lt;=7,12,19-$R530)/12)</f>
        <v>0</v>
      </c>
      <c r="U530" s="14" t="n">
        <f aca="false">IF(AND($L530="Yes",$G530&lt;&gt;"Vendor day rates"),$I530-0.4*$P530,0)</f>
        <v>0</v>
      </c>
      <c r="V530" s="26" t="n">
        <f aca="false">IFERROR(MATCH($M530,MonthList,0),0)</f>
        <v>0</v>
      </c>
      <c r="W530" s="14" t="n">
        <f aca="false">IF(OR($L530&lt;&gt;"Yes",$M530=""),0,$U530*MAX(0,7-$V530)/12)</f>
        <v>0</v>
      </c>
      <c r="X530" s="14" t="n">
        <f aca="false">IF(OR($L530&lt;&gt;"Yes",$M530=""),0,$U530*IF($V530&lt;=7,12,19-$V530)/12)</f>
        <v>0</v>
      </c>
      <c r="Y530" s="14" t="n">
        <f aca="false">IF(AND($N530="Yes",$G530&lt;&gt;"Vendor day rates"),$I530-0.4*$P530,0)</f>
        <v>0</v>
      </c>
      <c r="Z530" s="26" t="n">
        <f aca="false">IFERROR(MATCH($O530,MonthList,0),0)</f>
        <v>0</v>
      </c>
      <c r="AA530" s="14" t="n">
        <f aca="false">IF(OR($N530&lt;&gt;"Yes",$O530=""),0,$Y530*MAX(0,7-$Z530)/12)</f>
        <v>0</v>
      </c>
      <c r="AB530" s="14" t="n">
        <f aca="false">IF(OR($N530&lt;&gt;"Yes",$O530=""),0,$Y530*IF($Z530&lt;=7,12,19-$Z530)/12)</f>
        <v>0</v>
      </c>
      <c r="AC530" s="26" t="str">
        <f aca="false">IF(OR($J530="Yes",$L530="Yes",$N530="Yes"),"Yes","No")</f>
        <v>No</v>
      </c>
      <c r="AD530" s="14" t="n">
        <f aca="false">MAX($Q530,$U530,$Y530)</f>
        <v>0</v>
      </c>
      <c r="AE530" s="26" t="n">
        <f aca="false">$AD530+ROW()*0.000000001</f>
        <v>5.3E-007</v>
      </c>
      <c r="AF530" s="26" t="str">
        <f aca="false">IF($J530="Yes","A","")&amp;IF($L530="Yes","B","")&amp;IF($N530="Yes","C","")</f>
        <v/>
      </c>
    </row>
    <row r="531" customFormat="false" ht="15" hidden="false" customHeight="false" outlineLevel="0" collapsed="false">
      <c r="B531" s="22" t="s">
        <v>974</v>
      </c>
      <c r="C531" s="23" t="s">
        <v>975</v>
      </c>
      <c r="D531" s="23" t="s">
        <v>172</v>
      </c>
      <c r="E531" s="23" t="s">
        <v>976</v>
      </c>
      <c r="F531" s="22" t="s">
        <v>57</v>
      </c>
      <c r="G531" s="23" t="s">
        <v>121</v>
      </c>
      <c r="H531" s="24" t="n">
        <v>1</v>
      </c>
      <c r="I531" s="14" t="n">
        <v>0.0258</v>
      </c>
      <c r="J531" s="25" t="s">
        <v>59</v>
      </c>
      <c r="K531" s="25"/>
      <c r="L531" s="25" t="s">
        <v>59</v>
      </c>
      <c r="M531" s="25"/>
      <c r="N531" s="25" t="s">
        <v>59</v>
      </c>
      <c r="O531" s="25"/>
      <c r="P531" s="14" t="n">
        <v>0.0644</v>
      </c>
      <c r="Q531" s="14" t="n">
        <f aca="false">IF(AND($J531="Yes",$G531&lt;&gt;"Vendor day rates"),$I531-0.4*$P531,0)</f>
        <v>0</v>
      </c>
      <c r="R531" s="26" t="n">
        <f aca="false">IFERROR(MATCH($K531,MonthList,0),0)</f>
        <v>0</v>
      </c>
      <c r="S531" s="14" t="n">
        <f aca="false">IF(OR($J531&lt;&gt;"Yes",$K531=""),0,$Q531*MAX(0,7-$R531)/12)</f>
        <v>0</v>
      </c>
      <c r="T531" s="14" t="n">
        <f aca="false">IF(OR($J531&lt;&gt;"Yes",$K531=""),0,$Q531*IF($R531&lt;=7,12,19-$R531)/12)</f>
        <v>0</v>
      </c>
      <c r="U531" s="14" t="n">
        <f aca="false">IF(AND($L531="Yes",$G531&lt;&gt;"Vendor day rates"),$I531-0.4*$P531,0)</f>
        <v>0</v>
      </c>
      <c r="V531" s="26" t="n">
        <f aca="false">IFERROR(MATCH($M531,MonthList,0),0)</f>
        <v>0</v>
      </c>
      <c r="W531" s="14" t="n">
        <f aca="false">IF(OR($L531&lt;&gt;"Yes",$M531=""),0,$U531*MAX(0,7-$V531)/12)</f>
        <v>0</v>
      </c>
      <c r="X531" s="14" t="n">
        <f aca="false">IF(OR($L531&lt;&gt;"Yes",$M531=""),0,$U531*IF($V531&lt;=7,12,19-$V531)/12)</f>
        <v>0</v>
      </c>
      <c r="Y531" s="14" t="n">
        <f aca="false">IF(AND($N531="Yes",$G531&lt;&gt;"Vendor day rates"),$I531-0.4*$P531,0)</f>
        <v>0</v>
      </c>
      <c r="Z531" s="26" t="n">
        <f aca="false">IFERROR(MATCH($O531,MonthList,0),0)</f>
        <v>0</v>
      </c>
      <c r="AA531" s="14" t="n">
        <f aca="false">IF(OR($N531&lt;&gt;"Yes",$O531=""),0,$Y531*MAX(0,7-$Z531)/12)</f>
        <v>0</v>
      </c>
      <c r="AB531" s="14" t="n">
        <f aca="false">IF(OR($N531&lt;&gt;"Yes",$O531=""),0,$Y531*IF($Z531&lt;=7,12,19-$Z531)/12)</f>
        <v>0</v>
      </c>
      <c r="AC531" s="26" t="str">
        <f aca="false">IF(OR($J531="Yes",$L531="Yes",$N531="Yes"),"Yes","No")</f>
        <v>No</v>
      </c>
      <c r="AD531" s="14" t="n">
        <f aca="false">MAX($Q531,$U531,$Y531)</f>
        <v>0</v>
      </c>
      <c r="AE531" s="26" t="n">
        <f aca="false">$AD531+ROW()*0.000000001</f>
        <v>5.31E-007</v>
      </c>
      <c r="AF531" s="26" t="str">
        <f aca="false">IF($J531="Yes","A","")&amp;IF($L531="Yes","B","")&amp;IF($N531="Yes","C","")</f>
        <v/>
      </c>
    </row>
    <row r="532" customFormat="false" ht="15" hidden="false" customHeight="false" outlineLevel="0" collapsed="false">
      <c r="B532" s="22" t="s">
        <v>977</v>
      </c>
      <c r="C532" s="23" t="s">
        <v>975</v>
      </c>
      <c r="D532" s="23" t="s">
        <v>172</v>
      </c>
      <c r="E532" s="23" t="s">
        <v>976</v>
      </c>
      <c r="F532" s="22" t="s">
        <v>57</v>
      </c>
      <c r="G532" s="23" t="s">
        <v>121</v>
      </c>
      <c r="H532" s="24" t="n">
        <v>1</v>
      </c>
      <c r="I532" s="14" t="n">
        <v>0.0258</v>
      </c>
      <c r="J532" s="25" t="s">
        <v>59</v>
      </c>
      <c r="K532" s="25"/>
      <c r="L532" s="25" t="s">
        <v>59</v>
      </c>
      <c r="M532" s="25"/>
      <c r="N532" s="25" t="s">
        <v>59</v>
      </c>
      <c r="O532" s="25"/>
      <c r="P532" s="14" t="n">
        <v>0.0644</v>
      </c>
      <c r="Q532" s="14" t="n">
        <f aca="false">IF(AND($J532="Yes",$G532&lt;&gt;"Vendor day rates"),$I532-0.4*$P532,0)</f>
        <v>0</v>
      </c>
      <c r="R532" s="26" t="n">
        <f aca="false">IFERROR(MATCH($K532,MonthList,0),0)</f>
        <v>0</v>
      </c>
      <c r="S532" s="14" t="n">
        <f aca="false">IF(OR($J532&lt;&gt;"Yes",$K532=""),0,$Q532*MAX(0,7-$R532)/12)</f>
        <v>0</v>
      </c>
      <c r="T532" s="14" t="n">
        <f aca="false">IF(OR($J532&lt;&gt;"Yes",$K532=""),0,$Q532*IF($R532&lt;=7,12,19-$R532)/12)</f>
        <v>0</v>
      </c>
      <c r="U532" s="14" t="n">
        <f aca="false">IF(AND($L532="Yes",$G532&lt;&gt;"Vendor day rates"),$I532-0.4*$P532,0)</f>
        <v>0</v>
      </c>
      <c r="V532" s="26" t="n">
        <f aca="false">IFERROR(MATCH($M532,MonthList,0),0)</f>
        <v>0</v>
      </c>
      <c r="W532" s="14" t="n">
        <f aca="false">IF(OR($L532&lt;&gt;"Yes",$M532=""),0,$U532*MAX(0,7-$V532)/12)</f>
        <v>0</v>
      </c>
      <c r="X532" s="14" t="n">
        <f aca="false">IF(OR($L532&lt;&gt;"Yes",$M532=""),0,$U532*IF($V532&lt;=7,12,19-$V532)/12)</f>
        <v>0</v>
      </c>
      <c r="Y532" s="14" t="n">
        <f aca="false">IF(AND($N532="Yes",$G532&lt;&gt;"Vendor day rates"),$I532-0.4*$P532,0)</f>
        <v>0</v>
      </c>
      <c r="Z532" s="26" t="n">
        <f aca="false">IFERROR(MATCH($O532,MonthList,0),0)</f>
        <v>0</v>
      </c>
      <c r="AA532" s="14" t="n">
        <f aca="false">IF(OR($N532&lt;&gt;"Yes",$O532=""),0,$Y532*MAX(0,7-$Z532)/12)</f>
        <v>0</v>
      </c>
      <c r="AB532" s="14" t="n">
        <f aca="false">IF(OR($N532&lt;&gt;"Yes",$O532=""),0,$Y532*IF($Z532&lt;=7,12,19-$Z532)/12)</f>
        <v>0</v>
      </c>
      <c r="AC532" s="26" t="str">
        <f aca="false">IF(OR($J532="Yes",$L532="Yes",$N532="Yes"),"Yes","No")</f>
        <v>No</v>
      </c>
      <c r="AD532" s="14" t="n">
        <f aca="false">MAX($Q532,$U532,$Y532)</f>
        <v>0</v>
      </c>
      <c r="AE532" s="26" t="n">
        <f aca="false">$AD532+ROW()*0.000000001</f>
        <v>5.32E-007</v>
      </c>
      <c r="AF532" s="26" t="str">
        <f aca="false">IF($J532="Yes","A","")&amp;IF($L532="Yes","B","")&amp;IF($N532="Yes","C","")</f>
        <v/>
      </c>
    </row>
    <row r="533" customFormat="false" ht="15" hidden="false" customHeight="false" outlineLevel="0" collapsed="false">
      <c r="B533" s="22" t="s">
        <v>978</v>
      </c>
      <c r="C533" s="23" t="s">
        <v>975</v>
      </c>
      <c r="D533" s="23" t="s">
        <v>172</v>
      </c>
      <c r="E533" s="23" t="s">
        <v>976</v>
      </c>
      <c r="F533" s="22" t="s">
        <v>57</v>
      </c>
      <c r="G533" s="23" t="s">
        <v>121</v>
      </c>
      <c r="H533" s="24" t="n">
        <v>1</v>
      </c>
      <c r="I533" s="14" t="n">
        <v>0.0258</v>
      </c>
      <c r="J533" s="25" t="s">
        <v>59</v>
      </c>
      <c r="K533" s="25"/>
      <c r="L533" s="25" t="s">
        <v>59</v>
      </c>
      <c r="M533" s="25"/>
      <c r="N533" s="25" t="s">
        <v>59</v>
      </c>
      <c r="O533" s="25"/>
      <c r="P533" s="14" t="n">
        <v>0.0644</v>
      </c>
      <c r="Q533" s="14" t="n">
        <f aca="false">IF(AND($J533="Yes",$G533&lt;&gt;"Vendor day rates"),$I533-0.4*$P533,0)</f>
        <v>0</v>
      </c>
      <c r="R533" s="26" t="n">
        <f aca="false">IFERROR(MATCH($K533,MonthList,0),0)</f>
        <v>0</v>
      </c>
      <c r="S533" s="14" t="n">
        <f aca="false">IF(OR($J533&lt;&gt;"Yes",$K533=""),0,$Q533*MAX(0,7-$R533)/12)</f>
        <v>0</v>
      </c>
      <c r="T533" s="14" t="n">
        <f aca="false">IF(OR($J533&lt;&gt;"Yes",$K533=""),0,$Q533*IF($R533&lt;=7,12,19-$R533)/12)</f>
        <v>0</v>
      </c>
      <c r="U533" s="14" t="n">
        <f aca="false">IF(AND($L533="Yes",$G533&lt;&gt;"Vendor day rates"),$I533-0.4*$P533,0)</f>
        <v>0</v>
      </c>
      <c r="V533" s="26" t="n">
        <f aca="false">IFERROR(MATCH($M533,MonthList,0),0)</f>
        <v>0</v>
      </c>
      <c r="W533" s="14" t="n">
        <f aca="false">IF(OR($L533&lt;&gt;"Yes",$M533=""),0,$U533*MAX(0,7-$V533)/12)</f>
        <v>0</v>
      </c>
      <c r="X533" s="14" t="n">
        <f aca="false">IF(OR($L533&lt;&gt;"Yes",$M533=""),0,$U533*IF($V533&lt;=7,12,19-$V533)/12)</f>
        <v>0</v>
      </c>
      <c r="Y533" s="14" t="n">
        <f aca="false">IF(AND($N533="Yes",$G533&lt;&gt;"Vendor day rates"),$I533-0.4*$P533,0)</f>
        <v>0</v>
      </c>
      <c r="Z533" s="26" t="n">
        <f aca="false">IFERROR(MATCH($O533,MonthList,0),0)</f>
        <v>0</v>
      </c>
      <c r="AA533" s="14" t="n">
        <f aca="false">IF(OR($N533&lt;&gt;"Yes",$O533=""),0,$Y533*MAX(0,7-$Z533)/12)</f>
        <v>0</v>
      </c>
      <c r="AB533" s="14" t="n">
        <f aca="false">IF(OR($N533&lt;&gt;"Yes",$O533=""),0,$Y533*IF($Z533&lt;=7,12,19-$Z533)/12)</f>
        <v>0</v>
      </c>
      <c r="AC533" s="26" t="str">
        <f aca="false">IF(OR($J533="Yes",$L533="Yes",$N533="Yes"),"Yes","No")</f>
        <v>No</v>
      </c>
      <c r="AD533" s="14" t="n">
        <f aca="false">MAX($Q533,$U533,$Y533)</f>
        <v>0</v>
      </c>
      <c r="AE533" s="26" t="n">
        <f aca="false">$AD533+ROW()*0.000000001</f>
        <v>5.33E-007</v>
      </c>
      <c r="AF533" s="26" t="str">
        <f aca="false">IF($J533="Yes","A","")&amp;IF($L533="Yes","B","")&amp;IF($N533="Yes","C","")</f>
        <v/>
      </c>
    </row>
    <row r="534" customFormat="false" ht="15" hidden="false" customHeight="false" outlineLevel="0" collapsed="false">
      <c r="B534" s="22" t="s">
        <v>979</v>
      </c>
      <c r="C534" s="23" t="s">
        <v>975</v>
      </c>
      <c r="D534" s="23" t="s">
        <v>172</v>
      </c>
      <c r="E534" s="23" t="s">
        <v>976</v>
      </c>
      <c r="F534" s="22" t="s">
        <v>57</v>
      </c>
      <c r="G534" s="23" t="s">
        <v>121</v>
      </c>
      <c r="H534" s="24" t="n">
        <v>1</v>
      </c>
      <c r="I534" s="14" t="n">
        <v>0.0258</v>
      </c>
      <c r="J534" s="25" t="s">
        <v>59</v>
      </c>
      <c r="K534" s="25"/>
      <c r="L534" s="25" t="s">
        <v>59</v>
      </c>
      <c r="M534" s="25"/>
      <c r="N534" s="25" t="s">
        <v>59</v>
      </c>
      <c r="O534" s="25"/>
      <c r="P534" s="14" t="n">
        <v>0.0644</v>
      </c>
      <c r="Q534" s="14" t="n">
        <f aca="false">IF(AND($J534="Yes",$G534&lt;&gt;"Vendor day rates"),$I534-0.4*$P534,0)</f>
        <v>0</v>
      </c>
      <c r="R534" s="26" t="n">
        <f aca="false">IFERROR(MATCH($K534,MonthList,0),0)</f>
        <v>0</v>
      </c>
      <c r="S534" s="14" t="n">
        <f aca="false">IF(OR($J534&lt;&gt;"Yes",$K534=""),0,$Q534*MAX(0,7-$R534)/12)</f>
        <v>0</v>
      </c>
      <c r="T534" s="14" t="n">
        <f aca="false">IF(OR($J534&lt;&gt;"Yes",$K534=""),0,$Q534*IF($R534&lt;=7,12,19-$R534)/12)</f>
        <v>0</v>
      </c>
      <c r="U534" s="14" t="n">
        <f aca="false">IF(AND($L534="Yes",$G534&lt;&gt;"Vendor day rates"),$I534-0.4*$P534,0)</f>
        <v>0</v>
      </c>
      <c r="V534" s="26" t="n">
        <f aca="false">IFERROR(MATCH($M534,MonthList,0),0)</f>
        <v>0</v>
      </c>
      <c r="W534" s="14" t="n">
        <f aca="false">IF(OR($L534&lt;&gt;"Yes",$M534=""),0,$U534*MAX(0,7-$V534)/12)</f>
        <v>0</v>
      </c>
      <c r="X534" s="14" t="n">
        <f aca="false">IF(OR($L534&lt;&gt;"Yes",$M534=""),0,$U534*IF($V534&lt;=7,12,19-$V534)/12)</f>
        <v>0</v>
      </c>
      <c r="Y534" s="14" t="n">
        <f aca="false">IF(AND($N534="Yes",$G534&lt;&gt;"Vendor day rates"),$I534-0.4*$P534,0)</f>
        <v>0</v>
      </c>
      <c r="Z534" s="26" t="n">
        <f aca="false">IFERROR(MATCH($O534,MonthList,0),0)</f>
        <v>0</v>
      </c>
      <c r="AA534" s="14" t="n">
        <f aca="false">IF(OR($N534&lt;&gt;"Yes",$O534=""),0,$Y534*MAX(0,7-$Z534)/12)</f>
        <v>0</v>
      </c>
      <c r="AB534" s="14" t="n">
        <f aca="false">IF(OR($N534&lt;&gt;"Yes",$O534=""),0,$Y534*IF($Z534&lt;=7,12,19-$Z534)/12)</f>
        <v>0</v>
      </c>
      <c r="AC534" s="26" t="str">
        <f aca="false">IF(OR($J534="Yes",$L534="Yes",$N534="Yes"),"Yes","No")</f>
        <v>No</v>
      </c>
      <c r="AD534" s="14" t="n">
        <f aca="false">MAX($Q534,$U534,$Y534)</f>
        <v>0</v>
      </c>
      <c r="AE534" s="26" t="n">
        <f aca="false">$AD534+ROW()*0.000000001</f>
        <v>5.34E-007</v>
      </c>
      <c r="AF534" s="26" t="str">
        <f aca="false">IF($J534="Yes","A","")&amp;IF($L534="Yes","B","")&amp;IF($N534="Yes","C","")</f>
        <v/>
      </c>
    </row>
    <row r="535" customFormat="false" ht="15" hidden="false" customHeight="false" outlineLevel="0" collapsed="false">
      <c r="B535" s="22" t="s">
        <v>980</v>
      </c>
      <c r="C535" s="23" t="s">
        <v>975</v>
      </c>
      <c r="D535" s="23" t="s">
        <v>172</v>
      </c>
      <c r="E535" s="23" t="s">
        <v>976</v>
      </c>
      <c r="F535" s="22" t="s">
        <v>57</v>
      </c>
      <c r="G535" s="23" t="s">
        <v>121</v>
      </c>
      <c r="H535" s="24" t="n">
        <v>1</v>
      </c>
      <c r="I535" s="14" t="n">
        <v>0.0258</v>
      </c>
      <c r="J535" s="25" t="s">
        <v>59</v>
      </c>
      <c r="K535" s="25"/>
      <c r="L535" s="25" t="s">
        <v>59</v>
      </c>
      <c r="M535" s="25"/>
      <c r="N535" s="25" t="s">
        <v>59</v>
      </c>
      <c r="O535" s="25"/>
      <c r="P535" s="14" t="n">
        <v>0.0644</v>
      </c>
      <c r="Q535" s="14" t="n">
        <f aca="false">IF(AND($J535="Yes",$G535&lt;&gt;"Vendor day rates"),$I535-0.4*$P535,0)</f>
        <v>0</v>
      </c>
      <c r="R535" s="26" t="n">
        <f aca="false">IFERROR(MATCH($K535,MonthList,0),0)</f>
        <v>0</v>
      </c>
      <c r="S535" s="14" t="n">
        <f aca="false">IF(OR($J535&lt;&gt;"Yes",$K535=""),0,$Q535*MAX(0,7-$R535)/12)</f>
        <v>0</v>
      </c>
      <c r="T535" s="14" t="n">
        <f aca="false">IF(OR($J535&lt;&gt;"Yes",$K535=""),0,$Q535*IF($R535&lt;=7,12,19-$R535)/12)</f>
        <v>0</v>
      </c>
      <c r="U535" s="14" t="n">
        <f aca="false">IF(AND($L535="Yes",$G535&lt;&gt;"Vendor day rates"),$I535-0.4*$P535,0)</f>
        <v>0</v>
      </c>
      <c r="V535" s="26" t="n">
        <f aca="false">IFERROR(MATCH($M535,MonthList,0),0)</f>
        <v>0</v>
      </c>
      <c r="W535" s="14" t="n">
        <f aca="false">IF(OR($L535&lt;&gt;"Yes",$M535=""),0,$U535*MAX(0,7-$V535)/12)</f>
        <v>0</v>
      </c>
      <c r="X535" s="14" t="n">
        <f aca="false">IF(OR($L535&lt;&gt;"Yes",$M535=""),0,$U535*IF($V535&lt;=7,12,19-$V535)/12)</f>
        <v>0</v>
      </c>
      <c r="Y535" s="14" t="n">
        <f aca="false">IF(AND($N535="Yes",$G535&lt;&gt;"Vendor day rates"),$I535-0.4*$P535,0)</f>
        <v>0</v>
      </c>
      <c r="Z535" s="26" t="n">
        <f aca="false">IFERROR(MATCH($O535,MonthList,0),0)</f>
        <v>0</v>
      </c>
      <c r="AA535" s="14" t="n">
        <f aca="false">IF(OR($N535&lt;&gt;"Yes",$O535=""),0,$Y535*MAX(0,7-$Z535)/12)</f>
        <v>0</v>
      </c>
      <c r="AB535" s="14" t="n">
        <f aca="false">IF(OR($N535&lt;&gt;"Yes",$O535=""),0,$Y535*IF($Z535&lt;=7,12,19-$Z535)/12)</f>
        <v>0</v>
      </c>
      <c r="AC535" s="26" t="str">
        <f aca="false">IF(OR($J535="Yes",$L535="Yes",$N535="Yes"),"Yes","No")</f>
        <v>No</v>
      </c>
      <c r="AD535" s="14" t="n">
        <f aca="false">MAX($Q535,$U535,$Y535)</f>
        <v>0</v>
      </c>
      <c r="AE535" s="26" t="n">
        <f aca="false">$AD535+ROW()*0.000000001</f>
        <v>5.35E-007</v>
      </c>
      <c r="AF535" s="26" t="str">
        <f aca="false">IF($J535="Yes","A","")&amp;IF($L535="Yes","B","")&amp;IF($N535="Yes","C","")</f>
        <v/>
      </c>
    </row>
    <row r="536" customFormat="false" ht="15" hidden="false" customHeight="false" outlineLevel="0" collapsed="false">
      <c r="B536" s="22" t="s">
        <v>981</v>
      </c>
      <c r="C536" s="23" t="s">
        <v>975</v>
      </c>
      <c r="D536" s="23" t="s">
        <v>172</v>
      </c>
      <c r="E536" s="23" t="s">
        <v>976</v>
      </c>
      <c r="F536" s="22" t="s">
        <v>57</v>
      </c>
      <c r="G536" s="23" t="s">
        <v>121</v>
      </c>
      <c r="H536" s="24" t="n">
        <v>1</v>
      </c>
      <c r="I536" s="14" t="n">
        <v>0.0258</v>
      </c>
      <c r="J536" s="25" t="s">
        <v>59</v>
      </c>
      <c r="K536" s="25"/>
      <c r="L536" s="25" t="s">
        <v>59</v>
      </c>
      <c r="M536" s="25"/>
      <c r="N536" s="25" t="s">
        <v>59</v>
      </c>
      <c r="O536" s="25"/>
      <c r="P536" s="14" t="n">
        <v>0.0644</v>
      </c>
      <c r="Q536" s="14" t="n">
        <f aca="false">IF(AND($J536="Yes",$G536&lt;&gt;"Vendor day rates"),$I536-0.4*$P536,0)</f>
        <v>0</v>
      </c>
      <c r="R536" s="26" t="n">
        <f aca="false">IFERROR(MATCH($K536,MonthList,0),0)</f>
        <v>0</v>
      </c>
      <c r="S536" s="14" t="n">
        <f aca="false">IF(OR($J536&lt;&gt;"Yes",$K536=""),0,$Q536*MAX(0,7-$R536)/12)</f>
        <v>0</v>
      </c>
      <c r="T536" s="14" t="n">
        <f aca="false">IF(OR($J536&lt;&gt;"Yes",$K536=""),0,$Q536*IF($R536&lt;=7,12,19-$R536)/12)</f>
        <v>0</v>
      </c>
      <c r="U536" s="14" t="n">
        <f aca="false">IF(AND($L536="Yes",$G536&lt;&gt;"Vendor day rates"),$I536-0.4*$P536,0)</f>
        <v>0</v>
      </c>
      <c r="V536" s="26" t="n">
        <f aca="false">IFERROR(MATCH($M536,MonthList,0),0)</f>
        <v>0</v>
      </c>
      <c r="W536" s="14" t="n">
        <f aca="false">IF(OR($L536&lt;&gt;"Yes",$M536=""),0,$U536*MAX(0,7-$V536)/12)</f>
        <v>0</v>
      </c>
      <c r="X536" s="14" t="n">
        <f aca="false">IF(OR($L536&lt;&gt;"Yes",$M536=""),0,$U536*IF($V536&lt;=7,12,19-$V536)/12)</f>
        <v>0</v>
      </c>
      <c r="Y536" s="14" t="n">
        <f aca="false">IF(AND($N536="Yes",$G536&lt;&gt;"Vendor day rates"),$I536-0.4*$P536,0)</f>
        <v>0</v>
      </c>
      <c r="Z536" s="26" t="n">
        <f aca="false">IFERROR(MATCH($O536,MonthList,0),0)</f>
        <v>0</v>
      </c>
      <c r="AA536" s="14" t="n">
        <f aca="false">IF(OR($N536&lt;&gt;"Yes",$O536=""),0,$Y536*MAX(0,7-$Z536)/12)</f>
        <v>0</v>
      </c>
      <c r="AB536" s="14" t="n">
        <f aca="false">IF(OR($N536&lt;&gt;"Yes",$O536=""),0,$Y536*IF($Z536&lt;=7,12,19-$Z536)/12)</f>
        <v>0</v>
      </c>
      <c r="AC536" s="26" t="str">
        <f aca="false">IF(OR($J536="Yes",$L536="Yes",$N536="Yes"),"Yes","No")</f>
        <v>No</v>
      </c>
      <c r="AD536" s="14" t="n">
        <f aca="false">MAX($Q536,$U536,$Y536)</f>
        <v>0</v>
      </c>
      <c r="AE536" s="26" t="n">
        <f aca="false">$AD536+ROW()*0.000000001</f>
        <v>5.36E-007</v>
      </c>
      <c r="AF536" s="26" t="str">
        <f aca="false">IF($J536="Yes","A","")&amp;IF($L536="Yes","B","")&amp;IF($N536="Yes","C","")</f>
        <v/>
      </c>
    </row>
    <row r="537" customFormat="false" ht="15" hidden="false" customHeight="false" outlineLevel="0" collapsed="false">
      <c r="B537" s="22" t="s">
        <v>982</v>
      </c>
      <c r="C537" s="23" t="s">
        <v>975</v>
      </c>
      <c r="D537" s="23" t="s">
        <v>172</v>
      </c>
      <c r="E537" s="23" t="s">
        <v>976</v>
      </c>
      <c r="F537" s="22" t="s">
        <v>57</v>
      </c>
      <c r="G537" s="23" t="s">
        <v>121</v>
      </c>
      <c r="H537" s="24" t="n">
        <v>1</v>
      </c>
      <c r="I537" s="14" t="n">
        <v>0.0258</v>
      </c>
      <c r="J537" s="25" t="s">
        <v>59</v>
      </c>
      <c r="K537" s="25"/>
      <c r="L537" s="25" t="s">
        <v>59</v>
      </c>
      <c r="M537" s="25"/>
      <c r="N537" s="25" t="s">
        <v>59</v>
      </c>
      <c r="O537" s="25"/>
      <c r="P537" s="14" t="n">
        <v>0.0644</v>
      </c>
      <c r="Q537" s="14" t="n">
        <f aca="false">IF(AND($J537="Yes",$G537&lt;&gt;"Vendor day rates"),$I537-0.4*$P537,0)</f>
        <v>0</v>
      </c>
      <c r="R537" s="26" t="n">
        <f aca="false">IFERROR(MATCH($K537,MonthList,0),0)</f>
        <v>0</v>
      </c>
      <c r="S537" s="14" t="n">
        <f aca="false">IF(OR($J537&lt;&gt;"Yes",$K537=""),0,$Q537*MAX(0,7-$R537)/12)</f>
        <v>0</v>
      </c>
      <c r="T537" s="14" t="n">
        <f aca="false">IF(OR($J537&lt;&gt;"Yes",$K537=""),0,$Q537*IF($R537&lt;=7,12,19-$R537)/12)</f>
        <v>0</v>
      </c>
      <c r="U537" s="14" t="n">
        <f aca="false">IF(AND($L537="Yes",$G537&lt;&gt;"Vendor day rates"),$I537-0.4*$P537,0)</f>
        <v>0</v>
      </c>
      <c r="V537" s="26" t="n">
        <f aca="false">IFERROR(MATCH($M537,MonthList,0),0)</f>
        <v>0</v>
      </c>
      <c r="W537" s="14" t="n">
        <f aca="false">IF(OR($L537&lt;&gt;"Yes",$M537=""),0,$U537*MAX(0,7-$V537)/12)</f>
        <v>0</v>
      </c>
      <c r="X537" s="14" t="n">
        <f aca="false">IF(OR($L537&lt;&gt;"Yes",$M537=""),0,$U537*IF($V537&lt;=7,12,19-$V537)/12)</f>
        <v>0</v>
      </c>
      <c r="Y537" s="14" t="n">
        <f aca="false">IF(AND($N537="Yes",$G537&lt;&gt;"Vendor day rates"),$I537-0.4*$P537,0)</f>
        <v>0</v>
      </c>
      <c r="Z537" s="26" t="n">
        <f aca="false">IFERROR(MATCH($O537,MonthList,0),0)</f>
        <v>0</v>
      </c>
      <c r="AA537" s="14" t="n">
        <f aca="false">IF(OR($N537&lt;&gt;"Yes",$O537=""),0,$Y537*MAX(0,7-$Z537)/12)</f>
        <v>0</v>
      </c>
      <c r="AB537" s="14" t="n">
        <f aca="false">IF(OR($N537&lt;&gt;"Yes",$O537=""),0,$Y537*IF($Z537&lt;=7,12,19-$Z537)/12)</f>
        <v>0</v>
      </c>
      <c r="AC537" s="26" t="str">
        <f aca="false">IF(OR($J537="Yes",$L537="Yes",$N537="Yes"),"Yes","No")</f>
        <v>No</v>
      </c>
      <c r="AD537" s="14" t="n">
        <f aca="false">MAX($Q537,$U537,$Y537)</f>
        <v>0</v>
      </c>
      <c r="AE537" s="26" t="n">
        <f aca="false">$AD537+ROW()*0.000000001</f>
        <v>5.37E-007</v>
      </c>
      <c r="AF537" s="26" t="str">
        <f aca="false">IF($J537="Yes","A","")&amp;IF($L537="Yes","B","")&amp;IF($N537="Yes","C","")</f>
        <v/>
      </c>
    </row>
    <row r="538" customFormat="false" ht="15" hidden="false" customHeight="false" outlineLevel="0" collapsed="false">
      <c r="B538" s="22" t="s">
        <v>983</v>
      </c>
      <c r="C538" s="23" t="s">
        <v>975</v>
      </c>
      <c r="D538" s="23" t="s">
        <v>172</v>
      </c>
      <c r="E538" s="23" t="s">
        <v>976</v>
      </c>
      <c r="F538" s="22" t="s">
        <v>57</v>
      </c>
      <c r="G538" s="23" t="s">
        <v>121</v>
      </c>
      <c r="H538" s="24" t="n">
        <v>1</v>
      </c>
      <c r="I538" s="14" t="n">
        <v>0.0258</v>
      </c>
      <c r="J538" s="25" t="s">
        <v>59</v>
      </c>
      <c r="K538" s="25"/>
      <c r="L538" s="25" t="s">
        <v>59</v>
      </c>
      <c r="M538" s="25"/>
      <c r="N538" s="25" t="s">
        <v>59</v>
      </c>
      <c r="O538" s="25"/>
      <c r="P538" s="14" t="n">
        <v>0.0644</v>
      </c>
      <c r="Q538" s="14" t="n">
        <f aca="false">IF(AND($J538="Yes",$G538&lt;&gt;"Vendor day rates"),$I538-0.4*$P538,0)</f>
        <v>0</v>
      </c>
      <c r="R538" s="26" t="n">
        <f aca="false">IFERROR(MATCH($K538,MonthList,0),0)</f>
        <v>0</v>
      </c>
      <c r="S538" s="14" t="n">
        <f aca="false">IF(OR($J538&lt;&gt;"Yes",$K538=""),0,$Q538*MAX(0,7-$R538)/12)</f>
        <v>0</v>
      </c>
      <c r="T538" s="14" t="n">
        <f aca="false">IF(OR($J538&lt;&gt;"Yes",$K538=""),0,$Q538*IF($R538&lt;=7,12,19-$R538)/12)</f>
        <v>0</v>
      </c>
      <c r="U538" s="14" t="n">
        <f aca="false">IF(AND($L538="Yes",$G538&lt;&gt;"Vendor day rates"),$I538-0.4*$P538,0)</f>
        <v>0</v>
      </c>
      <c r="V538" s="26" t="n">
        <f aca="false">IFERROR(MATCH($M538,MonthList,0),0)</f>
        <v>0</v>
      </c>
      <c r="W538" s="14" t="n">
        <f aca="false">IF(OR($L538&lt;&gt;"Yes",$M538=""),0,$U538*MAX(0,7-$V538)/12)</f>
        <v>0</v>
      </c>
      <c r="X538" s="14" t="n">
        <f aca="false">IF(OR($L538&lt;&gt;"Yes",$M538=""),0,$U538*IF($V538&lt;=7,12,19-$V538)/12)</f>
        <v>0</v>
      </c>
      <c r="Y538" s="14" t="n">
        <f aca="false">IF(AND($N538="Yes",$G538&lt;&gt;"Vendor day rates"),$I538-0.4*$P538,0)</f>
        <v>0</v>
      </c>
      <c r="Z538" s="26" t="n">
        <f aca="false">IFERROR(MATCH($O538,MonthList,0),0)</f>
        <v>0</v>
      </c>
      <c r="AA538" s="14" t="n">
        <f aca="false">IF(OR($N538&lt;&gt;"Yes",$O538=""),0,$Y538*MAX(0,7-$Z538)/12)</f>
        <v>0</v>
      </c>
      <c r="AB538" s="14" t="n">
        <f aca="false">IF(OR($N538&lt;&gt;"Yes",$O538=""),0,$Y538*IF($Z538&lt;=7,12,19-$Z538)/12)</f>
        <v>0</v>
      </c>
      <c r="AC538" s="26" t="str">
        <f aca="false">IF(OR($J538="Yes",$L538="Yes",$N538="Yes"),"Yes","No")</f>
        <v>No</v>
      </c>
      <c r="AD538" s="14" t="n">
        <f aca="false">MAX($Q538,$U538,$Y538)</f>
        <v>0</v>
      </c>
      <c r="AE538" s="26" t="n">
        <f aca="false">$AD538+ROW()*0.000000001</f>
        <v>5.38E-007</v>
      </c>
      <c r="AF538" s="26" t="str">
        <f aca="false">IF($J538="Yes","A","")&amp;IF($L538="Yes","B","")&amp;IF($N538="Yes","C","")</f>
        <v/>
      </c>
    </row>
    <row r="539" customFormat="false" ht="15" hidden="false" customHeight="false" outlineLevel="0" collapsed="false">
      <c r="B539" s="22" t="s">
        <v>984</v>
      </c>
      <c r="C539" s="23" t="s">
        <v>975</v>
      </c>
      <c r="D539" s="23" t="s">
        <v>172</v>
      </c>
      <c r="E539" s="23" t="s">
        <v>976</v>
      </c>
      <c r="F539" s="22" t="s">
        <v>57</v>
      </c>
      <c r="G539" s="23" t="s">
        <v>121</v>
      </c>
      <c r="H539" s="24" t="n">
        <v>1</v>
      </c>
      <c r="I539" s="14" t="n">
        <v>0.0258</v>
      </c>
      <c r="J539" s="25" t="s">
        <v>59</v>
      </c>
      <c r="K539" s="25"/>
      <c r="L539" s="25" t="s">
        <v>59</v>
      </c>
      <c r="M539" s="25"/>
      <c r="N539" s="25" t="s">
        <v>59</v>
      </c>
      <c r="O539" s="25"/>
      <c r="P539" s="14" t="n">
        <v>0.0644</v>
      </c>
      <c r="Q539" s="14" t="n">
        <f aca="false">IF(AND($J539="Yes",$G539&lt;&gt;"Vendor day rates"),$I539-0.4*$P539,0)</f>
        <v>0</v>
      </c>
      <c r="R539" s="26" t="n">
        <f aca="false">IFERROR(MATCH($K539,MonthList,0),0)</f>
        <v>0</v>
      </c>
      <c r="S539" s="14" t="n">
        <f aca="false">IF(OR($J539&lt;&gt;"Yes",$K539=""),0,$Q539*MAX(0,7-$R539)/12)</f>
        <v>0</v>
      </c>
      <c r="T539" s="14" t="n">
        <f aca="false">IF(OR($J539&lt;&gt;"Yes",$K539=""),0,$Q539*IF($R539&lt;=7,12,19-$R539)/12)</f>
        <v>0</v>
      </c>
      <c r="U539" s="14" t="n">
        <f aca="false">IF(AND($L539="Yes",$G539&lt;&gt;"Vendor day rates"),$I539-0.4*$P539,0)</f>
        <v>0</v>
      </c>
      <c r="V539" s="26" t="n">
        <f aca="false">IFERROR(MATCH($M539,MonthList,0),0)</f>
        <v>0</v>
      </c>
      <c r="W539" s="14" t="n">
        <f aca="false">IF(OR($L539&lt;&gt;"Yes",$M539=""),0,$U539*MAX(0,7-$V539)/12)</f>
        <v>0</v>
      </c>
      <c r="X539" s="14" t="n">
        <f aca="false">IF(OR($L539&lt;&gt;"Yes",$M539=""),0,$U539*IF($V539&lt;=7,12,19-$V539)/12)</f>
        <v>0</v>
      </c>
      <c r="Y539" s="14" t="n">
        <f aca="false">IF(AND($N539="Yes",$G539&lt;&gt;"Vendor day rates"),$I539-0.4*$P539,0)</f>
        <v>0</v>
      </c>
      <c r="Z539" s="26" t="n">
        <f aca="false">IFERROR(MATCH($O539,MonthList,0),0)</f>
        <v>0</v>
      </c>
      <c r="AA539" s="14" t="n">
        <f aca="false">IF(OR($N539&lt;&gt;"Yes",$O539=""),0,$Y539*MAX(0,7-$Z539)/12)</f>
        <v>0</v>
      </c>
      <c r="AB539" s="14" t="n">
        <f aca="false">IF(OR($N539&lt;&gt;"Yes",$O539=""),0,$Y539*IF($Z539&lt;=7,12,19-$Z539)/12)</f>
        <v>0</v>
      </c>
      <c r="AC539" s="26" t="str">
        <f aca="false">IF(OR($J539="Yes",$L539="Yes",$N539="Yes"),"Yes","No")</f>
        <v>No</v>
      </c>
      <c r="AD539" s="14" t="n">
        <f aca="false">MAX($Q539,$U539,$Y539)</f>
        <v>0</v>
      </c>
      <c r="AE539" s="26" t="n">
        <f aca="false">$AD539+ROW()*0.000000001</f>
        <v>5.39E-007</v>
      </c>
      <c r="AF539" s="26" t="str">
        <f aca="false">IF($J539="Yes","A","")&amp;IF($L539="Yes","B","")&amp;IF($N539="Yes","C","")</f>
        <v/>
      </c>
    </row>
    <row r="540" customFormat="false" ht="15" hidden="false" customHeight="false" outlineLevel="0" collapsed="false">
      <c r="B540" s="22" t="s">
        <v>985</v>
      </c>
      <c r="C540" s="23" t="s">
        <v>986</v>
      </c>
      <c r="D540" s="23" t="s">
        <v>147</v>
      </c>
      <c r="E540" s="23" t="s">
        <v>164</v>
      </c>
      <c r="F540" s="22" t="s">
        <v>57</v>
      </c>
      <c r="G540" s="23" t="s">
        <v>149</v>
      </c>
      <c r="H540" s="24" t="n">
        <v>1</v>
      </c>
      <c r="I540" s="14" t="n">
        <v>0.2136</v>
      </c>
      <c r="J540" s="25" t="s">
        <v>59</v>
      </c>
      <c r="K540" s="25"/>
      <c r="L540" s="25" t="s">
        <v>59</v>
      </c>
      <c r="M540" s="25"/>
      <c r="N540" s="25" t="s">
        <v>59</v>
      </c>
      <c r="O540" s="25"/>
      <c r="P540" s="14" t="n">
        <v>0.2136</v>
      </c>
      <c r="Q540" s="14" t="n">
        <f aca="false">IF(AND($J540="Yes",$G540&lt;&gt;"Vendor day rates"),$I540-0.4*$P540,0)</f>
        <v>0</v>
      </c>
      <c r="R540" s="26" t="n">
        <f aca="false">IFERROR(MATCH($K540,MonthList,0),0)</f>
        <v>0</v>
      </c>
      <c r="S540" s="14" t="n">
        <f aca="false">IF(OR($J540&lt;&gt;"Yes",$K540=""),0,$Q540*MAX(0,7-$R540)/12)</f>
        <v>0</v>
      </c>
      <c r="T540" s="14" t="n">
        <f aca="false">IF(OR($J540&lt;&gt;"Yes",$K540=""),0,$Q540*IF($R540&lt;=7,12,19-$R540)/12)</f>
        <v>0</v>
      </c>
      <c r="U540" s="14" t="n">
        <f aca="false">IF(AND($L540="Yes",$G540&lt;&gt;"Vendor day rates"),$I540-0.4*$P540,0)</f>
        <v>0</v>
      </c>
      <c r="V540" s="26" t="n">
        <f aca="false">IFERROR(MATCH($M540,MonthList,0),0)</f>
        <v>0</v>
      </c>
      <c r="W540" s="14" t="n">
        <f aca="false">IF(OR($L540&lt;&gt;"Yes",$M540=""),0,$U540*MAX(0,7-$V540)/12)</f>
        <v>0</v>
      </c>
      <c r="X540" s="14" t="n">
        <f aca="false">IF(OR($L540&lt;&gt;"Yes",$M540=""),0,$U540*IF($V540&lt;=7,12,19-$V540)/12)</f>
        <v>0</v>
      </c>
      <c r="Y540" s="14" t="n">
        <f aca="false">IF(AND($N540="Yes",$G540&lt;&gt;"Vendor day rates"),$I540-0.4*$P540,0)</f>
        <v>0</v>
      </c>
      <c r="Z540" s="26" t="n">
        <f aca="false">IFERROR(MATCH($O540,MonthList,0),0)</f>
        <v>0</v>
      </c>
      <c r="AA540" s="14" t="n">
        <f aca="false">IF(OR($N540&lt;&gt;"Yes",$O540=""),0,$Y540*MAX(0,7-$Z540)/12)</f>
        <v>0</v>
      </c>
      <c r="AB540" s="14" t="n">
        <f aca="false">IF(OR($N540&lt;&gt;"Yes",$O540=""),0,$Y540*IF($Z540&lt;=7,12,19-$Z540)/12)</f>
        <v>0</v>
      </c>
      <c r="AC540" s="26" t="str">
        <f aca="false">IF(OR($J540="Yes",$L540="Yes",$N540="Yes"),"Yes","No")</f>
        <v>No</v>
      </c>
      <c r="AD540" s="14" t="n">
        <f aca="false">MAX($Q540,$U540,$Y540)</f>
        <v>0</v>
      </c>
      <c r="AE540" s="26" t="n">
        <f aca="false">$AD540+ROW()*0.000000001</f>
        <v>5.4E-007</v>
      </c>
      <c r="AF540" s="26" t="str">
        <f aca="false">IF($J540="Yes","A","")&amp;IF($L540="Yes","B","")&amp;IF($N540="Yes","C","")</f>
        <v/>
      </c>
    </row>
    <row r="541" customFormat="false" ht="15" hidden="false" customHeight="false" outlineLevel="0" collapsed="false">
      <c r="B541" s="22" t="s">
        <v>987</v>
      </c>
      <c r="C541" s="23" t="s">
        <v>988</v>
      </c>
      <c r="D541" s="23" t="s">
        <v>147</v>
      </c>
      <c r="E541" s="23" t="s">
        <v>167</v>
      </c>
      <c r="F541" s="22" t="s">
        <v>57</v>
      </c>
      <c r="G541" s="23" t="s">
        <v>476</v>
      </c>
      <c r="H541" s="24" t="n">
        <v>1</v>
      </c>
      <c r="I541" s="14" t="n">
        <v>0.017</v>
      </c>
      <c r="J541" s="25" t="s">
        <v>59</v>
      </c>
      <c r="K541" s="25"/>
      <c r="L541" s="25" t="s">
        <v>59</v>
      </c>
      <c r="M541" s="25"/>
      <c r="N541" s="25" t="s">
        <v>59</v>
      </c>
      <c r="O541" s="25"/>
      <c r="P541" s="14" t="n">
        <v>0.1705</v>
      </c>
      <c r="Q541" s="14" t="n">
        <f aca="false">IF(AND($J541="Yes",$G541&lt;&gt;"Vendor day rates"),$I541-0.4*$P541,0)</f>
        <v>0</v>
      </c>
      <c r="R541" s="26" t="n">
        <f aca="false">IFERROR(MATCH($K541,MonthList,0),0)</f>
        <v>0</v>
      </c>
      <c r="S541" s="14" t="n">
        <f aca="false">IF(OR($J541&lt;&gt;"Yes",$K541=""),0,$Q541*MAX(0,7-$R541)/12)</f>
        <v>0</v>
      </c>
      <c r="T541" s="14" t="n">
        <f aca="false">IF(OR($J541&lt;&gt;"Yes",$K541=""),0,$Q541*IF($R541&lt;=7,12,19-$R541)/12)</f>
        <v>0</v>
      </c>
      <c r="U541" s="14" t="n">
        <f aca="false">IF(AND($L541="Yes",$G541&lt;&gt;"Vendor day rates"),$I541-0.4*$P541,0)</f>
        <v>0</v>
      </c>
      <c r="V541" s="26" t="n">
        <f aca="false">IFERROR(MATCH($M541,MonthList,0),0)</f>
        <v>0</v>
      </c>
      <c r="W541" s="14" t="n">
        <f aca="false">IF(OR($L541&lt;&gt;"Yes",$M541=""),0,$U541*MAX(0,7-$V541)/12)</f>
        <v>0</v>
      </c>
      <c r="X541" s="14" t="n">
        <f aca="false">IF(OR($L541&lt;&gt;"Yes",$M541=""),0,$U541*IF($V541&lt;=7,12,19-$V541)/12)</f>
        <v>0</v>
      </c>
      <c r="Y541" s="14" t="n">
        <f aca="false">IF(AND($N541="Yes",$G541&lt;&gt;"Vendor day rates"),$I541-0.4*$P541,0)</f>
        <v>0</v>
      </c>
      <c r="Z541" s="26" t="n">
        <f aca="false">IFERROR(MATCH($O541,MonthList,0),0)</f>
        <v>0</v>
      </c>
      <c r="AA541" s="14" t="n">
        <f aca="false">IF(OR($N541&lt;&gt;"Yes",$O541=""),0,$Y541*MAX(0,7-$Z541)/12)</f>
        <v>0</v>
      </c>
      <c r="AB541" s="14" t="n">
        <f aca="false">IF(OR($N541&lt;&gt;"Yes",$O541=""),0,$Y541*IF($Z541&lt;=7,12,19-$Z541)/12)</f>
        <v>0</v>
      </c>
      <c r="AC541" s="26" t="str">
        <f aca="false">IF(OR($J541="Yes",$L541="Yes",$N541="Yes"),"Yes","No")</f>
        <v>No</v>
      </c>
      <c r="AD541" s="14" t="n">
        <f aca="false">MAX($Q541,$U541,$Y541)</f>
        <v>0</v>
      </c>
      <c r="AE541" s="26" t="n">
        <f aca="false">$AD541+ROW()*0.000000001</f>
        <v>5.41E-007</v>
      </c>
      <c r="AF541" s="26" t="str">
        <f aca="false">IF($J541="Yes","A","")&amp;IF($L541="Yes","B","")&amp;IF($N541="Yes","C","")</f>
        <v/>
      </c>
    </row>
    <row r="542" customFormat="false" ht="15" hidden="false" customHeight="false" outlineLevel="0" collapsed="false">
      <c r="B542" s="22" t="s">
        <v>989</v>
      </c>
      <c r="C542" s="23" t="s">
        <v>988</v>
      </c>
      <c r="D542" s="23" t="s">
        <v>147</v>
      </c>
      <c r="E542" s="23" t="s">
        <v>167</v>
      </c>
      <c r="F542" s="22" t="s">
        <v>57</v>
      </c>
      <c r="G542" s="23" t="s">
        <v>476</v>
      </c>
      <c r="H542" s="24" t="n">
        <v>1</v>
      </c>
      <c r="I542" s="14" t="n">
        <v>0.017</v>
      </c>
      <c r="J542" s="25" t="s">
        <v>59</v>
      </c>
      <c r="K542" s="25"/>
      <c r="L542" s="25" t="s">
        <v>59</v>
      </c>
      <c r="M542" s="25"/>
      <c r="N542" s="25" t="s">
        <v>59</v>
      </c>
      <c r="O542" s="25"/>
      <c r="P542" s="14" t="n">
        <v>0.1705</v>
      </c>
      <c r="Q542" s="14" t="n">
        <f aca="false">IF(AND($J542="Yes",$G542&lt;&gt;"Vendor day rates"),$I542-0.4*$P542,0)</f>
        <v>0</v>
      </c>
      <c r="R542" s="26" t="n">
        <f aca="false">IFERROR(MATCH($K542,MonthList,0),0)</f>
        <v>0</v>
      </c>
      <c r="S542" s="14" t="n">
        <f aca="false">IF(OR($J542&lt;&gt;"Yes",$K542=""),0,$Q542*MAX(0,7-$R542)/12)</f>
        <v>0</v>
      </c>
      <c r="T542" s="14" t="n">
        <f aca="false">IF(OR($J542&lt;&gt;"Yes",$K542=""),0,$Q542*IF($R542&lt;=7,12,19-$R542)/12)</f>
        <v>0</v>
      </c>
      <c r="U542" s="14" t="n">
        <f aca="false">IF(AND($L542="Yes",$G542&lt;&gt;"Vendor day rates"),$I542-0.4*$P542,0)</f>
        <v>0</v>
      </c>
      <c r="V542" s="26" t="n">
        <f aca="false">IFERROR(MATCH($M542,MonthList,0),0)</f>
        <v>0</v>
      </c>
      <c r="W542" s="14" t="n">
        <f aca="false">IF(OR($L542&lt;&gt;"Yes",$M542=""),0,$U542*MAX(0,7-$V542)/12)</f>
        <v>0</v>
      </c>
      <c r="X542" s="14" t="n">
        <f aca="false">IF(OR($L542&lt;&gt;"Yes",$M542=""),0,$U542*IF($V542&lt;=7,12,19-$V542)/12)</f>
        <v>0</v>
      </c>
      <c r="Y542" s="14" t="n">
        <f aca="false">IF(AND($N542="Yes",$G542&lt;&gt;"Vendor day rates"),$I542-0.4*$P542,0)</f>
        <v>0</v>
      </c>
      <c r="Z542" s="26" t="n">
        <f aca="false">IFERROR(MATCH($O542,MonthList,0),0)</f>
        <v>0</v>
      </c>
      <c r="AA542" s="14" t="n">
        <f aca="false">IF(OR($N542&lt;&gt;"Yes",$O542=""),0,$Y542*MAX(0,7-$Z542)/12)</f>
        <v>0</v>
      </c>
      <c r="AB542" s="14" t="n">
        <f aca="false">IF(OR($N542&lt;&gt;"Yes",$O542=""),0,$Y542*IF($Z542&lt;=7,12,19-$Z542)/12)</f>
        <v>0</v>
      </c>
      <c r="AC542" s="26" t="str">
        <f aca="false">IF(OR($J542="Yes",$L542="Yes",$N542="Yes"),"Yes","No")</f>
        <v>No</v>
      </c>
      <c r="AD542" s="14" t="n">
        <f aca="false">MAX($Q542,$U542,$Y542)</f>
        <v>0</v>
      </c>
      <c r="AE542" s="26" t="n">
        <f aca="false">$AD542+ROW()*0.000000001</f>
        <v>5.42E-007</v>
      </c>
      <c r="AF542" s="26" t="str">
        <f aca="false">IF($J542="Yes","A","")&amp;IF($L542="Yes","B","")&amp;IF($N542="Yes","C","")</f>
        <v/>
      </c>
    </row>
    <row r="543" customFormat="false" ht="15" hidden="false" customHeight="false" outlineLevel="0" collapsed="false">
      <c r="B543" s="22" t="s">
        <v>990</v>
      </c>
      <c r="C543" s="23" t="s">
        <v>991</v>
      </c>
      <c r="D543" s="23" t="s">
        <v>147</v>
      </c>
      <c r="E543" s="23" t="s">
        <v>250</v>
      </c>
      <c r="F543" s="22" t="s">
        <v>57</v>
      </c>
      <c r="G543" s="23" t="s">
        <v>476</v>
      </c>
      <c r="H543" s="24" t="n">
        <v>1</v>
      </c>
      <c r="I543" s="14" t="n">
        <v>0.0511</v>
      </c>
      <c r="J543" s="25" t="s">
        <v>59</v>
      </c>
      <c r="K543" s="25"/>
      <c r="L543" s="25" t="s">
        <v>59</v>
      </c>
      <c r="M543" s="25"/>
      <c r="N543" s="25" t="s">
        <v>59</v>
      </c>
      <c r="O543" s="25"/>
      <c r="P543" s="14" t="n">
        <v>0.1705</v>
      </c>
      <c r="Q543" s="14" t="n">
        <f aca="false">IF(AND($J543="Yes",$G543&lt;&gt;"Vendor day rates"),$I543-0.4*$P543,0)</f>
        <v>0</v>
      </c>
      <c r="R543" s="26" t="n">
        <f aca="false">IFERROR(MATCH($K543,MonthList,0),0)</f>
        <v>0</v>
      </c>
      <c r="S543" s="14" t="n">
        <f aca="false">IF(OR($J543&lt;&gt;"Yes",$K543=""),0,$Q543*MAX(0,7-$R543)/12)</f>
        <v>0</v>
      </c>
      <c r="T543" s="14" t="n">
        <f aca="false">IF(OR($J543&lt;&gt;"Yes",$K543=""),0,$Q543*IF($R543&lt;=7,12,19-$R543)/12)</f>
        <v>0</v>
      </c>
      <c r="U543" s="14" t="n">
        <f aca="false">IF(AND($L543="Yes",$G543&lt;&gt;"Vendor day rates"),$I543-0.4*$P543,0)</f>
        <v>0</v>
      </c>
      <c r="V543" s="26" t="n">
        <f aca="false">IFERROR(MATCH($M543,MonthList,0),0)</f>
        <v>0</v>
      </c>
      <c r="W543" s="14" t="n">
        <f aca="false">IF(OR($L543&lt;&gt;"Yes",$M543=""),0,$U543*MAX(0,7-$V543)/12)</f>
        <v>0</v>
      </c>
      <c r="X543" s="14" t="n">
        <f aca="false">IF(OR($L543&lt;&gt;"Yes",$M543=""),0,$U543*IF($V543&lt;=7,12,19-$V543)/12)</f>
        <v>0</v>
      </c>
      <c r="Y543" s="14" t="n">
        <f aca="false">IF(AND($N543="Yes",$G543&lt;&gt;"Vendor day rates"),$I543-0.4*$P543,0)</f>
        <v>0</v>
      </c>
      <c r="Z543" s="26" t="n">
        <f aca="false">IFERROR(MATCH($O543,MonthList,0),0)</f>
        <v>0</v>
      </c>
      <c r="AA543" s="14" t="n">
        <f aca="false">IF(OR($N543&lt;&gt;"Yes",$O543=""),0,$Y543*MAX(0,7-$Z543)/12)</f>
        <v>0</v>
      </c>
      <c r="AB543" s="14" t="n">
        <f aca="false">IF(OR($N543&lt;&gt;"Yes",$O543=""),0,$Y543*IF($Z543&lt;=7,12,19-$Z543)/12)</f>
        <v>0</v>
      </c>
      <c r="AC543" s="26" t="str">
        <f aca="false">IF(OR($J543="Yes",$L543="Yes",$N543="Yes"),"Yes","No")</f>
        <v>No</v>
      </c>
      <c r="AD543" s="14" t="n">
        <f aca="false">MAX($Q543,$U543,$Y543)</f>
        <v>0</v>
      </c>
      <c r="AE543" s="26" t="n">
        <f aca="false">$AD543+ROW()*0.000000001</f>
        <v>5.43E-007</v>
      </c>
      <c r="AF543" s="26" t="str">
        <f aca="false">IF($J543="Yes","A","")&amp;IF($L543="Yes","B","")&amp;IF($N543="Yes","C","")</f>
        <v/>
      </c>
    </row>
    <row r="544" customFormat="false" ht="15" hidden="false" customHeight="false" outlineLevel="0" collapsed="false">
      <c r="B544" s="22" t="s">
        <v>992</v>
      </c>
      <c r="C544" s="23" t="s">
        <v>930</v>
      </c>
      <c r="D544" s="23" t="s">
        <v>147</v>
      </c>
      <c r="E544" s="23" t="s">
        <v>167</v>
      </c>
      <c r="F544" s="22" t="s">
        <v>57</v>
      </c>
      <c r="G544" s="23" t="s">
        <v>476</v>
      </c>
      <c r="H544" s="24" t="n">
        <v>1</v>
      </c>
      <c r="I544" s="14" t="n">
        <v>0.0245</v>
      </c>
      <c r="J544" s="25" t="s">
        <v>59</v>
      </c>
      <c r="K544" s="25"/>
      <c r="L544" s="25" t="s">
        <v>59</v>
      </c>
      <c r="M544" s="25"/>
      <c r="N544" s="25" t="s">
        <v>59</v>
      </c>
      <c r="O544" s="25"/>
      <c r="P544" s="14" t="n">
        <v>0.1226</v>
      </c>
      <c r="Q544" s="14" t="n">
        <f aca="false">IF(AND($J544="Yes",$G544&lt;&gt;"Vendor day rates"),$I544-0.4*$P544,0)</f>
        <v>0</v>
      </c>
      <c r="R544" s="26" t="n">
        <f aca="false">IFERROR(MATCH($K544,MonthList,0),0)</f>
        <v>0</v>
      </c>
      <c r="S544" s="14" t="n">
        <f aca="false">IF(OR($J544&lt;&gt;"Yes",$K544=""),0,$Q544*MAX(0,7-$R544)/12)</f>
        <v>0</v>
      </c>
      <c r="T544" s="14" t="n">
        <f aca="false">IF(OR($J544&lt;&gt;"Yes",$K544=""),0,$Q544*IF($R544&lt;=7,12,19-$R544)/12)</f>
        <v>0</v>
      </c>
      <c r="U544" s="14" t="n">
        <f aca="false">IF(AND($L544="Yes",$G544&lt;&gt;"Vendor day rates"),$I544-0.4*$P544,0)</f>
        <v>0</v>
      </c>
      <c r="V544" s="26" t="n">
        <f aca="false">IFERROR(MATCH($M544,MonthList,0),0)</f>
        <v>0</v>
      </c>
      <c r="W544" s="14" t="n">
        <f aca="false">IF(OR($L544&lt;&gt;"Yes",$M544=""),0,$U544*MAX(0,7-$V544)/12)</f>
        <v>0</v>
      </c>
      <c r="X544" s="14" t="n">
        <f aca="false">IF(OR($L544&lt;&gt;"Yes",$M544=""),0,$U544*IF($V544&lt;=7,12,19-$V544)/12)</f>
        <v>0</v>
      </c>
      <c r="Y544" s="14" t="n">
        <f aca="false">IF(AND($N544="Yes",$G544&lt;&gt;"Vendor day rates"),$I544-0.4*$P544,0)</f>
        <v>0</v>
      </c>
      <c r="Z544" s="26" t="n">
        <f aca="false">IFERROR(MATCH($O544,MonthList,0),0)</f>
        <v>0</v>
      </c>
      <c r="AA544" s="14" t="n">
        <f aca="false">IF(OR($N544&lt;&gt;"Yes",$O544=""),0,$Y544*MAX(0,7-$Z544)/12)</f>
        <v>0</v>
      </c>
      <c r="AB544" s="14" t="n">
        <f aca="false">IF(OR($N544&lt;&gt;"Yes",$O544=""),0,$Y544*IF($Z544&lt;=7,12,19-$Z544)/12)</f>
        <v>0</v>
      </c>
      <c r="AC544" s="26" t="str">
        <f aca="false">IF(OR($J544="Yes",$L544="Yes",$N544="Yes"),"Yes","No")</f>
        <v>No</v>
      </c>
      <c r="AD544" s="14" t="n">
        <f aca="false">MAX($Q544,$U544,$Y544)</f>
        <v>0</v>
      </c>
      <c r="AE544" s="26" t="n">
        <f aca="false">$AD544+ROW()*0.000000001</f>
        <v>5.44E-007</v>
      </c>
      <c r="AF544" s="26" t="str">
        <f aca="false">IF($J544="Yes","A","")&amp;IF($L544="Yes","B","")&amp;IF($N544="Yes","C","")</f>
        <v/>
      </c>
    </row>
  </sheetData>
  <sheetProtection sheet="true" password="c5c5" formatCells="false" formatColumns="false" formatRows="false" sort="false" autoFilter="false"/>
  <autoFilter ref="B4:O544"/>
  <conditionalFormatting sqref="B5:O544">
    <cfRule type="expression" priority="2" aboveAverage="0" equalAverage="0" bottom="0" percent="0" rank="0" text="" dxfId="8">
      <formula>ISEVEN(ROW())</formula>
    </cfRule>
  </conditionalFormatting>
  <conditionalFormatting sqref="J5:J544">
    <cfRule type="cellIs" priority="3" operator="equal" aboveAverage="0" equalAverage="0" bottom="0" percent="0" rank="0" text="" dxfId="9">
      <formula>"Yes"</formula>
    </cfRule>
  </conditionalFormatting>
  <conditionalFormatting sqref="L5:L544">
    <cfRule type="cellIs" priority="4" operator="equal" aboveAverage="0" equalAverage="0" bottom="0" percent="0" rank="0" text="" dxfId="9">
      <formula>"Yes"</formula>
    </cfRule>
  </conditionalFormatting>
  <conditionalFormatting sqref="N5:N544">
    <cfRule type="cellIs" priority="5" operator="equal" aboveAverage="0" equalAverage="0" bottom="0" percent="0" rank="0" text="" dxfId="9">
      <formula>"Yes"</formula>
    </cfRule>
  </conditionalFormatting>
  <conditionalFormatting sqref="K5:K544">
    <cfRule type="expression" priority="6" aboveAverage="0" equalAverage="0" bottom="0" percent="0" rank="0" text="" dxfId="10">
      <formula>AND($J5="Yes",$K5="")</formula>
    </cfRule>
  </conditionalFormatting>
  <conditionalFormatting sqref="M5:M544">
    <cfRule type="expression" priority="7" aboveAverage="0" equalAverage="0" bottom="0" percent="0" rank="0" text="" dxfId="10">
      <formula>AND($L5="Yes",$M5="")</formula>
    </cfRule>
  </conditionalFormatting>
  <conditionalFormatting sqref="O5:O544">
    <cfRule type="expression" priority="8" aboveAverage="0" equalAverage="0" bottom="0" percent="0" rank="0" text="" dxfId="10">
      <formula>AND($N5="Yes",$O5="")</formula>
    </cfRule>
  </conditionalFormatting>
  <conditionalFormatting sqref="C5:C544">
    <cfRule type="expression" priority="9" aboveAverage="0" equalAverage="0" bottom="0" percent="0" rank="0" text="" dxfId="11">
      <formula>$AC5="Yes"</formula>
    </cfRule>
  </conditionalFormatting>
  <dataValidations count="2">
    <dataValidation allowBlank="false" errorStyle="stop" operator="between" showDropDown="false" showErrorMessage="false" showInputMessage="false" sqref="J5:J544 L5:L544 N5:N544" type="list">
      <formula1>"Yes,No"</formula1>
      <formula2>0</formula2>
    </dataValidation>
    <dataValidation allowBlank="true" errorStyle="stop" operator="between" showDropDown="false" showErrorMessage="false" showInputMessage="false" sqref="K5:K544 M5:M544 O5:O544" type="list">
      <formula1>MonthList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5" min="3" style="0" width="17"/>
    <col collapsed="false" customWidth="true" hidden="false" outlineLevel="0" max="8" min="8" style="0" width="11"/>
    <col collapsed="false" customWidth="true" hidden="false" outlineLevel="0" max="11" min="9" style="0" width="15"/>
  </cols>
  <sheetData>
    <row r="1" customFormat="false" ht="19.7" hidden="false" customHeight="false" outlineLevel="0" collapsed="false">
      <c r="B1" s="19" t="s">
        <v>993</v>
      </c>
    </row>
    <row r="2" customFormat="false" ht="15" hidden="false" customHeight="false" outlineLevel="0" collapsed="false">
      <c r="B2" s="2" t="s">
        <v>994</v>
      </c>
    </row>
    <row r="4" customFormat="false" ht="21.75" hidden="false" customHeight="true" outlineLevel="0" collapsed="false">
      <c r="B4" s="10" t="s">
        <v>995</v>
      </c>
      <c r="C4" s="11" t="str">
        <f aca="false">'1 Start here'!$B$8</f>
        <v>Example</v>
      </c>
      <c r="D4" s="11" t="str">
        <f aca="false">'1 Start here'!$E$8</f>
        <v>List B</v>
      </c>
      <c r="E4" s="11" t="str">
        <f aca="false">'1 Start here'!$H$8</f>
        <v>List C</v>
      </c>
      <c r="H4" s="11" t="s">
        <v>996</v>
      </c>
      <c r="I4" s="11" t="str">
        <f aca="false">'1 Start here'!$B$8</f>
        <v>Example</v>
      </c>
      <c r="J4" s="11" t="str">
        <f aca="false">'1 Start here'!$E$8</f>
        <v>List B</v>
      </c>
      <c r="K4" s="11" t="str">
        <f aca="false">'1 Start here'!$H$8</f>
        <v>List C</v>
      </c>
    </row>
    <row r="5" customFormat="false" ht="15" hidden="false" customHeight="false" outlineLevel="0" collapsed="false">
      <c r="B5" s="23" t="s">
        <v>997</v>
      </c>
      <c r="C5" s="27" t="n">
        <f aca="false">COUNTIF('2 Pick roles'!$J$5:$J$544,"Yes")</f>
        <v>4</v>
      </c>
      <c r="D5" s="27" t="n">
        <f aca="false">COUNTIF('2 Pick roles'!$L$5:$L$544,"Yes")</f>
        <v>0</v>
      </c>
      <c r="E5" s="27" t="n">
        <f aca="false">COUNTIF('2 Pick roles'!$N$5:$N$544,"Yes")</f>
        <v>0</v>
      </c>
      <c r="H5" s="28" t="str">
        <f aca="false">'4 Lists'!$B$2</f>
        <v>Jul-2026</v>
      </c>
      <c r="I5" s="29" t="n">
        <f aca="false">SUMPRODUCT(('2 Pick roles'!$R$5:$R$544&gt;=1)*('2 Pick roles'!$R$5:$R$544&lt;=1)*'2 Pick roles'!$Q$5:$Q$544)</f>
        <v>0</v>
      </c>
      <c r="J5" s="29" t="n">
        <f aca="false">SUMPRODUCT(('2 Pick roles'!$V$5:$V$544&gt;=1)*('2 Pick roles'!$V$5:$V$544&lt;=1)*'2 Pick roles'!$U$5:$U$544)</f>
        <v>0</v>
      </c>
      <c r="K5" s="29" t="n">
        <f aca="false">SUMPRODUCT(('2 Pick roles'!$Z$5:$Z$544&gt;=1)*('2 Pick roles'!$Z$5:$Z$544&lt;=1)*'2 Pick roles'!$Y$5:$Y$544)</f>
        <v>0</v>
      </c>
    </row>
    <row r="6" customFormat="false" ht="15" hidden="false" customHeight="false" outlineLevel="0" collapsed="false">
      <c r="B6" s="23" t="s">
        <v>998</v>
      </c>
      <c r="C6" s="24" t="n">
        <f aca="false">SUMIF('2 Pick roles'!$J$5:$J$544,"Yes",'2 Pick roles'!$H$5:$H$544)</f>
        <v>4</v>
      </c>
      <c r="D6" s="24" t="n">
        <f aca="false">SUMIF('2 Pick roles'!$L$5:$L$544,"Yes",'2 Pick roles'!$H$5:$H$544)</f>
        <v>0</v>
      </c>
      <c r="E6" s="24" t="n">
        <f aca="false">SUMIF('2 Pick roles'!$N$5:$N$544,"Yes",'2 Pick roles'!$H$5:$H$544)</f>
        <v>0</v>
      </c>
      <c r="H6" s="28" t="str">
        <f aca="false">'4 Lists'!$B$3</f>
        <v>Aug-2026</v>
      </c>
      <c r="I6" s="29" t="n">
        <f aca="false">SUMPRODUCT(('2 Pick roles'!$R$5:$R$544&gt;=1)*('2 Pick roles'!$R$5:$R$544&lt;=2)*'2 Pick roles'!$Q$5:$Q$544)</f>
        <v>0</v>
      </c>
      <c r="J6" s="29" t="n">
        <f aca="false">SUMPRODUCT(('2 Pick roles'!$V$5:$V$544&gt;=1)*('2 Pick roles'!$V$5:$V$544&lt;=2)*'2 Pick roles'!$U$5:$U$544)</f>
        <v>0</v>
      </c>
      <c r="K6" s="29" t="n">
        <f aca="false">SUMPRODUCT(('2 Pick roles'!$Z$5:$Z$544&gt;=1)*('2 Pick roles'!$Z$5:$Z$544&lt;=2)*'2 Pick roles'!$Y$5:$Y$544)</f>
        <v>0</v>
      </c>
    </row>
    <row r="7" customFormat="false" ht="15" hidden="false" customHeight="false" outlineLevel="0" collapsed="false">
      <c r="B7" s="23" t="s">
        <v>999</v>
      </c>
      <c r="C7" s="14" t="n">
        <f aca="false">SUMIF('2 Pick roles'!$J$5:$J$544,"Yes",'2 Pick roles'!$I$5:$I$544)</f>
        <v>0.7607</v>
      </c>
      <c r="D7" s="14" t="n">
        <f aca="false">SUMIF('2 Pick roles'!$L$5:$L$544,"Yes",'2 Pick roles'!$I$5:$I$544)</f>
        <v>0</v>
      </c>
      <c r="E7" s="14" t="n">
        <f aca="false">SUMIF('2 Pick roles'!$N$5:$N$544,"Yes",'2 Pick roles'!$I$5:$I$544)</f>
        <v>0</v>
      </c>
      <c r="H7" s="28" t="str">
        <f aca="false">'4 Lists'!$B$4</f>
        <v>Sep-2026</v>
      </c>
      <c r="I7" s="29" t="n">
        <f aca="false">SUMPRODUCT(('2 Pick roles'!$R$5:$R$544&gt;=1)*('2 Pick roles'!$R$5:$R$544&lt;=3)*'2 Pick roles'!$Q$5:$Q$544)</f>
        <v>0</v>
      </c>
      <c r="J7" s="29" t="n">
        <f aca="false">SUMPRODUCT(('2 Pick roles'!$V$5:$V$544&gt;=1)*('2 Pick roles'!$V$5:$V$544&lt;=3)*'2 Pick roles'!$U$5:$U$544)</f>
        <v>0</v>
      </c>
      <c r="K7" s="29" t="n">
        <f aca="false">SUMPRODUCT(('2 Pick roles'!$Z$5:$Z$544&gt;=1)*('2 Pick roles'!$Z$5:$Z$544&lt;=3)*'2 Pick roles'!$Y$5:$Y$544)</f>
        <v>0</v>
      </c>
    </row>
    <row r="8" customFormat="false" ht="15" hidden="false" customHeight="false" outlineLevel="0" collapsed="false">
      <c r="B8" s="23" t="s">
        <v>1000</v>
      </c>
      <c r="C8" s="14" t="n">
        <f aca="false">C7-C9</f>
        <v>0.37104</v>
      </c>
      <c r="D8" s="14" t="n">
        <f aca="false">D7-D9</f>
        <v>0</v>
      </c>
      <c r="E8" s="14" t="n">
        <f aca="false">E7-E9</f>
        <v>0</v>
      </c>
      <c r="H8" s="28" t="str">
        <f aca="false">'4 Lists'!$B$5</f>
        <v>Oct-2026</v>
      </c>
      <c r="I8" s="29" t="n">
        <f aca="false">SUMPRODUCT(('2 Pick roles'!$R$5:$R$544&gt;=1)*('2 Pick roles'!$R$5:$R$544&lt;=4)*'2 Pick roles'!$Q$5:$Q$544)</f>
        <v>0.28472</v>
      </c>
      <c r="J8" s="29" t="n">
        <f aca="false">SUMPRODUCT(('2 Pick roles'!$V$5:$V$544&gt;=1)*('2 Pick roles'!$V$5:$V$544&lt;=4)*'2 Pick roles'!$U$5:$U$544)</f>
        <v>0</v>
      </c>
      <c r="K8" s="29" t="n">
        <f aca="false">SUMPRODUCT(('2 Pick roles'!$Z$5:$Z$544&gt;=1)*('2 Pick roles'!$Z$5:$Z$544&lt;=4)*'2 Pick roles'!$Y$5:$Y$544)</f>
        <v>0</v>
      </c>
    </row>
    <row r="9" customFormat="false" ht="15" hidden="false" customHeight="false" outlineLevel="0" collapsed="false">
      <c r="B9" s="30" t="s">
        <v>1001</v>
      </c>
      <c r="C9" s="31" t="n">
        <f aca="false">SUM('2 Pick roles'!$Q$5:$Q$544)</f>
        <v>0.38966</v>
      </c>
      <c r="D9" s="31" t="n">
        <f aca="false">SUM('2 Pick roles'!$U$5:$U$544)</f>
        <v>0</v>
      </c>
      <c r="E9" s="31" t="n">
        <f aca="false">SUM('2 Pick roles'!$Y$5:$Y$544)</f>
        <v>0</v>
      </c>
      <c r="H9" s="28" t="str">
        <f aca="false">'4 Lists'!$B$6</f>
        <v>Nov-2026</v>
      </c>
      <c r="I9" s="29" t="n">
        <f aca="false">SUMPRODUCT(('2 Pick roles'!$R$5:$R$544&gt;=1)*('2 Pick roles'!$R$5:$R$544&lt;=5)*'2 Pick roles'!$Q$5:$Q$544)</f>
        <v>0.28472</v>
      </c>
      <c r="J9" s="29" t="n">
        <f aca="false">SUMPRODUCT(('2 Pick roles'!$V$5:$V$544&gt;=1)*('2 Pick roles'!$V$5:$V$544&lt;=5)*'2 Pick roles'!$U$5:$U$544)</f>
        <v>0</v>
      </c>
      <c r="K9" s="29" t="n">
        <f aca="false">SUMPRODUCT(('2 Pick roles'!$Z$5:$Z$544&gt;=1)*('2 Pick roles'!$Z$5:$Z$544&lt;=5)*'2 Pick roles'!$Y$5:$Y$544)</f>
        <v>0</v>
      </c>
    </row>
    <row r="10" customFormat="false" ht="15" hidden="false" customHeight="false" outlineLevel="0" collapsed="false">
      <c r="B10" s="23" t="s">
        <v>1002</v>
      </c>
      <c r="C10" s="14" t="n">
        <f aca="false">SUM('2 Pick roles'!$S$5:$S$544)</f>
        <v>0.07118</v>
      </c>
      <c r="D10" s="14" t="n">
        <f aca="false">SUM('2 Pick roles'!$W$5:$W$544)</f>
        <v>0</v>
      </c>
      <c r="E10" s="14" t="n">
        <f aca="false">SUM('2 Pick roles'!$AA$5:$AA$544)</f>
        <v>0</v>
      </c>
      <c r="H10" s="28" t="str">
        <f aca="false">'4 Lists'!$B$7</f>
        <v>Dec-2026</v>
      </c>
      <c r="I10" s="29" t="n">
        <f aca="false">SUMPRODUCT(('2 Pick roles'!$R$5:$R$544&gt;=1)*('2 Pick roles'!$R$5:$R$544&lt;=6)*'2 Pick roles'!$Q$5:$Q$544)</f>
        <v>0.28472</v>
      </c>
      <c r="J10" s="29" t="n">
        <f aca="false">SUMPRODUCT(('2 Pick roles'!$V$5:$V$544&gt;=1)*('2 Pick roles'!$V$5:$V$544&lt;=6)*'2 Pick roles'!$U$5:$U$544)</f>
        <v>0</v>
      </c>
      <c r="K10" s="29" t="n">
        <f aca="false">SUMPRODUCT(('2 Pick roles'!$Z$5:$Z$544&gt;=1)*('2 Pick roles'!$Z$5:$Z$544&lt;=6)*'2 Pick roles'!$Y$5:$Y$544)</f>
        <v>0</v>
      </c>
    </row>
    <row r="11" customFormat="false" ht="15" hidden="false" customHeight="false" outlineLevel="0" collapsed="false">
      <c r="B11" s="23" t="s">
        <v>1003</v>
      </c>
      <c r="C11" s="14" t="n">
        <f aca="false">SUM('2 Pick roles'!$T$5:$T$544)</f>
        <v>0.38966</v>
      </c>
      <c r="D11" s="14" t="n">
        <f aca="false">SUM('2 Pick roles'!$X$5:$X$544)</f>
        <v>0</v>
      </c>
      <c r="E11" s="14" t="n">
        <f aca="false">SUM('2 Pick roles'!$AB$5:$AB$544)</f>
        <v>0</v>
      </c>
      <c r="H11" s="28" t="str">
        <f aca="false">'4 Lists'!$B$8</f>
        <v>Jan-2027</v>
      </c>
      <c r="I11" s="29" t="n">
        <f aca="false">SUMPRODUCT(('2 Pick roles'!$R$5:$R$544&gt;=1)*('2 Pick roles'!$R$5:$R$544&lt;=7)*'2 Pick roles'!$Q$5:$Q$544)</f>
        <v>0.38966</v>
      </c>
      <c r="J11" s="29" t="n">
        <f aca="false">SUMPRODUCT(('2 Pick roles'!$V$5:$V$544&gt;=1)*('2 Pick roles'!$V$5:$V$544&lt;=7)*'2 Pick roles'!$U$5:$U$544)</f>
        <v>0</v>
      </c>
      <c r="K11" s="29" t="n">
        <f aca="false">SUMPRODUCT(('2 Pick roles'!$Z$5:$Z$544&gt;=1)*('2 Pick roles'!$Z$5:$Z$544&lt;=7)*'2 Pick roles'!$Y$5:$Y$544)</f>
        <v>0</v>
      </c>
    </row>
    <row r="12" customFormat="false" ht="15" hidden="false" customHeight="false" outlineLevel="0" collapsed="false">
      <c r="H12" s="28" t="str">
        <f aca="false">'4 Lists'!$B$9</f>
        <v>Feb-2027</v>
      </c>
      <c r="I12" s="29" t="n">
        <f aca="false">SUMPRODUCT(('2 Pick roles'!$R$5:$R$544&gt;=1)*('2 Pick roles'!$R$5:$R$544&lt;=8)*'2 Pick roles'!$Q$5:$Q$544)</f>
        <v>0.38966</v>
      </c>
      <c r="J12" s="29" t="n">
        <f aca="false">SUMPRODUCT(('2 Pick roles'!$V$5:$V$544&gt;=1)*('2 Pick roles'!$V$5:$V$544&lt;=8)*'2 Pick roles'!$U$5:$U$544)</f>
        <v>0</v>
      </c>
      <c r="K12" s="29" t="n">
        <f aca="false">SUMPRODUCT(('2 Pick roles'!$Z$5:$Z$544&gt;=1)*('2 Pick roles'!$Z$5:$Z$544&lt;=8)*'2 Pick roles'!$Y$5:$Y$544)</f>
        <v>0</v>
      </c>
    </row>
    <row r="13" customFormat="false" ht="15" hidden="false" customHeight="false" outlineLevel="0" collapsed="false">
      <c r="H13" s="28" t="str">
        <f aca="false">'4 Lists'!$B$10</f>
        <v>Mar-2027</v>
      </c>
      <c r="I13" s="29" t="n">
        <f aca="false">SUMPRODUCT(('2 Pick roles'!$R$5:$R$544&gt;=1)*('2 Pick roles'!$R$5:$R$544&lt;=9)*'2 Pick roles'!$Q$5:$Q$544)</f>
        <v>0.38966</v>
      </c>
      <c r="J13" s="29" t="n">
        <f aca="false">SUMPRODUCT(('2 Pick roles'!$V$5:$V$544&gt;=1)*('2 Pick roles'!$V$5:$V$544&lt;=9)*'2 Pick roles'!$U$5:$U$544)</f>
        <v>0</v>
      </c>
      <c r="K13" s="29" t="n">
        <f aca="false">SUMPRODUCT(('2 Pick roles'!$Z$5:$Z$544&gt;=1)*('2 Pick roles'!$Z$5:$Z$544&lt;=9)*'2 Pick roles'!$Y$5:$Y$544)</f>
        <v>0</v>
      </c>
    </row>
    <row r="14" customFormat="false" ht="15" hidden="false" customHeight="false" outlineLevel="0" collapsed="false">
      <c r="B14" s="9" t="s">
        <v>1004</v>
      </c>
      <c r="H14" s="28" t="str">
        <f aca="false">'4 Lists'!$B$11</f>
        <v>Apr-2027</v>
      </c>
      <c r="I14" s="29" t="n">
        <f aca="false">SUMPRODUCT(('2 Pick roles'!$R$5:$R$544&gt;=1)*('2 Pick roles'!$R$5:$R$544&lt;=10)*'2 Pick roles'!$Q$5:$Q$544)</f>
        <v>0.38966</v>
      </c>
      <c r="J14" s="29" t="n">
        <f aca="false">SUMPRODUCT(('2 Pick roles'!$V$5:$V$544&gt;=1)*('2 Pick roles'!$V$5:$V$544&lt;=10)*'2 Pick roles'!$U$5:$U$544)</f>
        <v>0</v>
      </c>
      <c r="K14" s="29" t="n">
        <f aca="false">SUMPRODUCT(('2 Pick roles'!$Z$5:$Z$544&gt;=1)*('2 Pick roles'!$Z$5:$Z$544&lt;=10)*'2 Pick roles'!$Y$5:$Y$544)</f>
        <v>0</v>
      </c>
    </row>
    <row r="15" customFormat="false" ht="19.5" hidden="false" customHeight="true" outlineLevel="0" collapsed="false">
      <c r="B15" s="21" t="s">
        <v>8</v>
      </c>
      <c r="C15" s="20" t="str">
        <f aca="false">'1 Start here'!$B$8</f>
        <v>Example</v>
      </c>
      <c r="D15" s="20" t="str">
        <f aca="false">'1 Start here'!$E$8</f>
        <v>List B</v>
      </c>
      <c r="E15" s="20" t="str">
        <f aca="false">'1 Start here'!$H$8</f>
        <v>List C</v>
      </c>
      <c r="H15" s="28" t="str">
        <f aca="false">'4 Lists'!$B$12</f>
        <v>May-2027</v>
      </c>
      <c r="I15" s="29" t="n">
        <f aca="false">SUMPRODUCT(('2 Pick roles'!$R$5:$R$544&gt;=1)*('2 Pick roles'!$R$5:$R$544&lt;=11)*'2 Pick roles'!$Q$5:$Q$544)</f>
        <v>0.38966</v>
      </c>
      <c r="J15" s="29" t="n">
        <f aca="false">SUMPRODUCT(('2 Pick roles'!$V$5:$V$544&gt;=1)*('2 Pick roles'!$V$5:$V$544&lt;=11)*'2 Pick roles'!$U$5:$U$544)</f>
        <v>0</v>
      </c>
      <c r="K15" s="29" t="n">
        <f aca="false">SUMPRODUCT(('2 Pick roles'!$Z$5:$Z$544&gt;=1)*('2 Pick roles'!$Z$5:$Z$544&lt;=11)*'2 Pick roles'!$Y$5:$Y$544)</f>
        <v>0</v>
      </c>
    </row>
    <row r="16" customFormat="false" ht="15" hidden="false" customHeight="false" outlineLevel="0" collapsed="false">
      <c r="B16" s="28" t="s">
        <v>55</v>
      </c>
      <c r="C16" s="29" t="n">
        <f aca="false">SUMIFS('2 Pick roles'!$Q$5:$Q$544,'2 Pick roles'!$D$5:$D$544,"EGI Integration")</f>
        <v>0</v>
      </c>
      <c r="D16" s="29" t="n">
        <f aca="false">SUMIFS('2 Pick roles'!$U$5:$U$544,'2 Pick roles'!$D$5:$D$544,"EGI Integration")</f>
        <v>0</v>
      </c>
      <c r="E16" s="29" t="n">
        <f aca="false">SUMIFS('2 Pick roles'!$Y$5:$Y$544,'2 Pick roles'!$D$5:$D$544,"EGI Integration")</f>
        <v>0</v>
      </c>
      <c r="H16" s="28" t="str">
        <f aca="false">'4 Lists'!$B$13</f>
        <v>Jun-2027</v>
      </c>
      <c r="I16" s="29" t="n">
        <f aca="false">SUMPRODUCT(('2 Pick roles'!$R$5:$R$544&gt;=1)*('2 Pick roles'!$R$5:$R$544&lt;=12)*'2 Pick roles'!$Q$5:$Q$544)</f>
        <v>0.38966</v>
      </c>
      <c r="J16" s="29" t="n">
        <f aca="false">SUMPRODUCT(('2 Pick roles'!$V$5:$V$544&gt;=1)*('2 Pick roles'!$V$5:$V$544&lt;=12)*'2 Pick roles'!$U$5:$U$544)</f>
        <v>0</v>
      </c>
      <c r="K16" s="29" t="n">
        <f aca="false">SUMPRODUCT(('2 Pick roles'!$Z$5:$Z$544&gt;=1)*('2 Pick roles'!$Z$5:$Z$544&lt;=12)*'2 Pick roles'!$Y$5:$Y$544)</f>
        <v>0</v>
      </c>
    </row>
    <row r="17" customFormat="false" ht="15" hidden="false" customHeight="false" outlineLevel="0" collapsed="false">
      <c r="B17" s="32" t="s">
        <v>62</v>
      </c>
      <c r="C17" s="33" t="n">
        <f aca="false">SUMIFS('2 Pick roles'!$Q$5:$Q$544,'2 Pick roles'!$D$5:$D$544,"Ampol Customer")</f>
        <v>0.16376</v>
      </c>
      <c r="D17" s="33" t="n">
        <f aca="false">SUMIFS('2 Pick roles'!$U$5:$U$544,'2 Pick roles'!$D$5:$D$544,"Ampol Customer")</f>
        <v>0</v>
      </c>
      <c r="E17" s="33" t="n">
        <f aca="false">SUMIFS('2 Pick roles'!$Y$5:$Y$544,'2 Pick roles'!$D$5:$D$544,"Ampol Customer")</f>
        <v>0</v>
      </c>
      <c r="H17" s="28" t="str">
        <f aca="false">'4 Lists'!$B$14</f>
        <v>Jul-2027</v>
      </c>
      <c r="I17" s="29" t="n">
        <f aca="false">SUMPRODUCT(('2 Pick roles'!$R$5:$R$544&gt;=1)*('2 Pick roles'!$R$5:$R$544&lt;=13)*'2 Pick roles'!$Q$5:$Q$544)</f>
        <v>0.38966</v>
      </c>
      <c r="J17" s="29" t="n">
        <f aca="false">SUMPRODUCT(('2 Pick roles'!$V$5:$V$544&gt;=1)*('2 Pick roles'!$V$5:$V$544&lt;=13)*'2 Pick roles'!$U$5:$U$544)</f>
        <v>0</v>
      </c>
      <c r="K17" s="29" t="n">
        <f aca="false">SUMPRODUCT(('2 Pick roles'!$Z$5:$Z$544&gt;=1)*('2 Pick roles'!$Z$5:$Z$544&lt;=13)*'2 Pick roles'!$Y$5:$Y$544)</f>
        <v>0</v>
      </c>
    </row>
    <row r="18" customFormat="false" ht="15" hidden="false" customHeight="false" outlineLevel="0" collapsed="false">
      <c r="B18" s="28" t="s">
        <v>70</v>
      </c>
      <c r="C18" s="29" t="n">
        <f aca="false">SUMIFS('2 Pick roles'!$Q$5:$Q$544,'2 Pick roles'!$D$5:$D$544,"EGI")</f>
        <v>0</v>
      </c>
      <c r="D18" s="29" t="n">
        <f aca="false">SUMIFS('2 Pick roles'!$U$5:$U$544,'2 Pick roles'!$D$5:$D$544,"EGI")</f>
        <v>0</v>
      </c>
      <c r="E18" s="29" t="n">
        <f aca="false">SUMIFS('2 Pick roles'!$Y$5:$Y$544,'2 Pick roles'!$D$5:$D$544,"EGI")</f>
        <v>0</v>
      </c>
      <c r="H18" s="28" t="str">
        <f aca="false">'4 Lists'!$B$15</f>
        <v>Aug-2027</v>
      </c>
      <c r="I18" s="29" t="n">
        <f aca="false">SUMPRODUCT(('2 Pick roles'!$R$5:$R$544&gt;=1)*('2 Pick roles'!$R$5:$R$544&lt;=14)*'2 Pick roles'!$Q$5:$Q$544)</f>
        <v>0.38966</v>
      </c>
      <c r="J18" s="29" t="n">
        <f aca="false">SUMPRODUCT(('2 Pick roles'!$V$5:$V$544&gt;=1)*('2 Pick roles'!$V$5:$V$544&lt;=14)*'2 Pick roles'!$U$5:$U$544)</f>
        <v>0</v>
      </c>
      <c r="K18" s="29" t="n">
        <f aca="false">SUMPRODUCT(('2 Pick roles'!$Z$5:$Z$544&gt;=1)*('2 Pick roles'!$Z$5:$Z$544&lt;=14)*'2 Pick roles'!$Y$5:$Y$544)</f>
        <v>0</v>
      </c>
    </row>
    <row r="19" customFormat="false" ht="15" hidden="false" customHeight="false" outlineLevel="0" collapsed="false">
      <c r="B19" s="32" t="s">
        <v>91</v>
      </c>
      <c r="C19" s="33" t="n">
        <f aca="false">SUMIFS('2 Pick roles'!$Q$5:$Q$544,'2 Pick roles'!$D$5:$D$544,"Infrastructure")</f>
        <v>0</v>
      </c>
      <c r="D19" s="33" t="n">
        <f aca="false">SUMIFS('2 Pick roles'!$U$5:$U$544,'2 Pick roles'!$D$5:$D$544,"Infrastructure")</f>
        <v>0</v>
      </c>
      <c r="E19" s="33" t="n">
        <f aca="false">SUMIFS('2 Pick roles'!$Y$5:$Y$544,'2 Pick roles'!$D$5:$D$544,"Infrastructure")</f>
        <v>0</v>
      </c>
      <c r="H19" s="28" t="str">
        <f aca="false">'4 Lists'!$B$16</f>
        <v>Sep-2027</v>
      </c>
      <c r="I19" s="29" t="n">
        <f aca="false">SUMPRODUCT(('2 Pick roles'!$R$5:$R$544&gt;=1)*('2 Pick roles'!$R$5:$R$544&lt;=15)*'2 Pick roles'!$Q$5:$Q$544)</f>
        <v>0.38966</v>
      </c>
      <c r="J19" s="29" t="n">
        <f aca="false">SUMPRODUCT(('2 Pick roles'!$V$5:$V$544&gt;=1)*('2 Pick roles'!$V$5:$V$544&lt;=15)*'2 Pick roles'!$U$5:$U$544)</f>
        <v>0</v>
      </c>
      <c r="K19" s="29" t="n">
        <f aca="false">SUMPRODUCT(('2 Pick roles'!$Z$5:$Z$544&gt;=1)*('2 Pick roles'!$Z$5:$Z$544&lt;=15)*'2 Pick roles'!$Y$5:$Y$544)</f>
        <v>0</v>
      </c>
    </row>
    <row r="20" customFormat="false" ht="15" hidden="false" customHeight="false" outlineLevel="0" collapsed="false">
      <c r="B20" s="28" t="s">
        <v>147</v>
      </c>
      <c r="C20" s="29" t="n">
        <f aca="false">SUMIFS('2 Pick roles'!$Q$5:$Q$544,'2 Pick roles'!$D$5:$D$544,"NA")</f>
        <v>0</v>
      </c>
      <c r="D20" s="29" t="n">
        <f aca="false">SUMIFS('2 Pick roles'!$U$5:$U$544,'2 Pick roles'!$D$5:$D$544,"NA")</f>
        <v>0</v>
      </c>
      <c r="E20" s="29" t="n">
        <f aca="false">SUMIFS('2 Pick roles'!$Y$5:$Y$544,'2 Pick roles'!$D$5:$D$544,"NA")</f>
        <v>0</v>
      </c>
      <c r="H20" s="28" t="str">
        <f aca="false">'4 Lists'!$B$17</f>
        <v>Oct-2027</v>
      </c>
      <c r="I20" s="29" t="n">
        <f aca="false">SUMPRODUCT(('2 Pick roles'!$R$5:$R$544&gt;=1)*('2 Pick roles'!$R$5:$R$544&lt;=16)*'2 Pick roles'!$Q$5:$Q$544)</f>
        <v>0.38966</v>
      </c>
      <c r="J20" s="29" t="n">
        <f aca="false">SUMPRODUCT(('2 Pick roles'!$V$5:$V$544&gt;=1)*('2 Pick roles'!$V$5:$V$544&lt;=16)*'2 Pick roles'!$U$5:$U$544)</f>
        <v>0</v>
      </c>
      <c r="K20" s="29" t="n">
        <f aca="false">SUMPRODUCT(('2 Pick roles'!$Z$5:$Z$544&gt;=1)*('2 Pick roles'!$Z$5:$Z$544&lt;=16)*'2 Pick roles'!$Y$5:$Y$544)</f>
        <v>0</v>
      </c>
    </row>
    <row r="21" customFormat="false" ht="15" hidden="false" customHeight="false" outlineLevel="0" collapsed="false">
      <c r="B21" s="32" t="s">
        <v>152</v>
      </c>
      <c r="C21" s="33" t="n">
        <f aca="false">SUMIFS('2 Pick roles'!$Q$5:$Q$544,'2 Pick roles'!$D$5:$D$544,"Z ENERGY (DIGITAL)")</f>
        <v>0</v>
      </c>
      <c r="D21" s="33" t="n">
        <f aca="false">SUMIFS('2 Pick roles'!$U$5:$U$544,'2 Pick roles'!$D$5:$D$544,"Z ENERGY (DIGITAL)")</f>
        <v>0</v>
      </c>
      <c r="E21" s="33" t="n">
        <f aca="false">SUMIFS('2 Pick roles'!$Y$5:$Y$544,'2 Pick roles'!$D$5:$D$544,"Z ENERGY (DIGITAL)")</f>
        <v>0</v>
      </c>
      <c r="H21" s="28" t="str">
        <f aca="false">'4 Lists'!$B$18</f>
        <v>Nov-2027</v>
      </c>
      <c r="I21" s="29" t="n">
        <f aca="false">SUMPRODUCT(('2 Pick roles'!$R$5:$R$544&gt;=1)*('2 Pick roles'!$R$5:$R$544&lt;=17)*'2 Pick roles'!$Q$5:$Q$544)</f>
        <v>0.38966</v>
      </c>
      <c r="J21" s="29" t="n">
        <f aca="false">SUMPRODUCT(('2 Pick roles'!$V$5:$V$544&gt;=1)*('2 Pick roles'!$V$5:$V$544&lt;=17)*'2 Pick roles'!$U$5:$U$544)</f>
        <v>0</v>
      </c>
      <c r="K21" s="29" t="n">
        <f aca="false">SUMPRODUCT(('2 Pick roles'!$Z$5:$Z$544&gt;=1)*('2 Pick roles'!$Z$5:$Z$544&lt;=17)*'2 Pick roles'!$Y$5:$Y$544)</f>
        <v>0</v>
      </c>
    </row>
    <row r="22" customFormat="false" ht="15" hidden="false" customHeight="false" outlineLevel="0" collapsed="false">
      <c r="B22" s="28" t="s">
        <v>158</v>
      </c>
      <c r="C22" s="29" t="n">
        <f aca="false">SUMIFS('2 Pick roles'!$Q$5:$Q$544,'2 Pick roles'!$D$5:$D$544,"TDD")</f>
        <v>0</v>
      </c>
      <c r="D22" s="29" t="n">
        <f aca="false">SUMIFS('2 Pick roles'!$U$5:$U$544,'2 Pick roles'!$D$5:$D$544,"TDD")</f>
        <v>0</v>
      </c>
      <c r="E22" s="29" t="n">
        <f aca="false">SUMIFS('2 Pick roles'!$Y$5:$Y$544,'2 Pick roles'!$D$5:$D$544,"TDD")</f>
        <v>0</v>
      </c>
      <c r="H22" s="28" t="str">
        <f aca="false">'4 Lists'!$B$19</f>
        <v>Dec-2027</v>
      </c>
      <c r="I22" s="29" t="n">
        <f aca="false">SUMPRODUCT(('2 Pick roles'!$R$5:$R$544&gt;=1)*('2 Pick roles'!$R$5:$R$544&lt;=18)*'2 Pick roles'!$Q$5:$Q$544)</f>
        <v>0.38966</v>
      </c>
      <c r="J22" s="29" t="n">
        <f aca="false">SUMPRODUCT(('2 Pick roles'!$V$5:$V$544&gt;=1)*('2 Pick roles'!$V$5:$V$544&lt;=18)*'2 Pick roles'!$U$5:$U$544)</f>
        <v>0</v>
      </c>
      <c r="K22" s="29" t="n">
        <f aca="false">SUMPRODUCT(('2 Pick roles'!$Z$5:$Z$544&gt;=1)*('2 Pick roles'!$Z$5:$Z$544&lt;=18)*'2 Pick roles'!$Y$5:$Y$544)</f>
        <v>0</v>
      </c>
    </row>
    <row r="23" customFormat="false" ht="15" hidden="false" customHeight="false" outlineLevel="0" collapsed="false">
      <c r="B23" s="32" t="s">
        <v>161</v>
      </c>
      <c r="C23" s="33" t="n">
        <f aca="false">SUMIFS('2 Pick roles'!$Q$5:$Q$544,'2 Pick roles'!$D$5:$D$544,"P&amp;C, Finance &amp; Legal")</f>
        <v>0</v>
      </c>
      <c r="D23" s="33" t="n">
        <f aca="false">SUMIFS('2 Pick roles'!$U$5:$U$544,'2 Pick roles'!$D$5:$D$544,"P&amp;C, Finance &amp; Legal")</f>
        <v>0</v>
      </c>
      <c r="E23" s="33" t="n">
        <f aca="false">SUMIFS('2 Pick roles'!$Y$5:$Y$544,'2 Pick roles'!$D$5:$D$544,"P&amp;C, Finance &amp; Legal")</f>
        <v>0</v>
      </c>
    </row>
    <row r="24" customFormat="false" ht="15" hidden="false" customHeight="false" outlineLevel="0" collapsed="false">
      <c r="B24" s="28" t="s">
        <v>172</v>
      </c>
      <c r="C24" s="29" t="n">
        <f aca="false">SUMIFS('2 Pick roles'!$Q$5:$Q$544,'2 Pick roles'!$D$5:$D$544,"Enterprise Data")</f>
        <v>0</v>
      </c>
      <c r="D24" s="29" t="n">
        <f aca="false">SUMIFS('2 Pick roles'!$U$5:$U$544,'2 Pick roles'!$D$5:$D$544,"Enterprise Data")</f>
        <v>0</v>
      </c>
      <c r="E24" s="29" t="n">
        <f aca="false">SUMIFS('2 Pick roles'!$Y$5:$Y$544,'2 Pick roles'!$D$5:$D$544,"Enterprise Data")</f>
        <v>0</v>
      </c>
      <c r="H24" s="9" t="s">
        <v>1005</v>
      </c>
    </row>
    <row r="25" customFormat="false" ht="15" hidden="false" customHeight="false" outlineLevel="0" collapsed="false">
      <c r="B25" s="32" t="s">
        <v>204</v>
      </c>
      <c r="C25" s="33" t="n">
        <f aca="false">SUMIFS('2 Pick roles'!$Q$5:$Q$544,'2 Pick roles'!$D$5:$D$544,"Commercial Fuels")</f>
        <v>0</v>
      </c>
      <c r="D25" s="33" t="n">
        <f aca="false">SUMIFS('2 Pick roles'!$U$5:$U$544,'2 Pick roles'!$D$5:$D$544,"Commercial Fuels")</f>
        <v>0</v>
      </c>
      <c r="E25" s="33" t="n">
        <f aca="false">SUMIFS('2 Pick roles'!$Y$5:$Y$544,'2 Pick roles'!$D$5:$D$544,"Commercial Fuels")</f>
        <v>0</v>
      </c>
      <c r="H25" s="20" t="s">
        <v>1006</v>
      </c>
      <c r="I25" s="20" t="str">
        <f aca="false">'1 Start here'!$B$8</f>
        <v>Example</v>
      </c>
      <c r="J25" s="20" t="str">
        <f aca="false">'1 Start here'!$E$8</f>
        <v>List B</v>
      </c>
      <c r="K25" s="20" t="str">
        <f aca="false">'1 Start here'!$H$8</f>
        <v>List C</v>
      </c>
    </row>
    <row r="26" customFormat="false" ht="15" hidden="false" customHeight="false" outlineLevel="0" collapsed="false">
      <c r="B26" s="28" t="s">
        <v>207</v>
      </c>
      <c r="C26" s="29" t="n">
        <f aca="false">SUMIFS('2 Pick roles'!$Q$5:$Q$544,'2 Pick roles'!$D$5:$D$544,"B2B &amp; Energy Solutions")</f>
        <v>0</v>
      </c>
      <c r="D26" s="29" t="n">
        <f aca="false">SUMIFS('2 Pick roles'!$U$5:$U$544,'2 Pick roles'!$D$5:$D$544,"B2B &amp; Energy Solutions")</f>
        <v>0</v>
      </c>
      <c r="E26" s="29" t="n">
        <f aca="false">SUMIFS('2 Pick roles'!$Y$5:$Y$544,'2 Pick roles'!$D$5:$D$544,"B2B &amp; Energy Solutions")</f>
        <v>0</v>
      </c>
      <c r="H26" s="28" t="s">
        <v>1007</v>
      </c>
      <c r="I26" s="29" t="n">
        <f aca="false">C10</f>
        <v>0.07118</v>
      </c>
      <c r="J26" s="29" t="n">
        <f aca="false">D10</f>
        <v>0</v>
      </c>
      <c r="K26" s="29" t="n">
        <f aca="false">E10</f>
        <v>0</v>
      </c>
    </row>
    <row r="27" customFormat="false" ht="15" hidden="false" customHeight="false" outlineLevel="0" collapsed="false">
      <c r="B27" s="32" t="s">
        <v>212</v>
      </c>
      <c r="C27" s="33" t="n">
        <f aca="false">SUMIFS('2 Pick roles'!$Q$5:$Q$544,'2 Pick roles'!$D$5:$D$544,"Retail")</f>
        <v>0.12096</v>
      </c>
      <c r="D27" s="33" t="n">
        <f aca="false">SUMIFS('2 Pick roles'!$U$5:$U$544,'2 Pick roles'!$D$5:$D$544,"Retail")</f>
        <v>0</v>
      </c>
      <c r="E27" s="33" t="n">
        <f aca="false">SUMIFS('2 Pick roles'!$Y$5:$Y$544,'2 Pick roles'!$D$5:$D$544,"Retail")</f>
        <v>0</v>
      </c>
      <c r="H27" s="28" t="s">
        <v>1008</v>
      </c>
      <c r="I27" s="29" t="n">
        <f aca="false">C11</f>
        <v>0.38966</v>
      </c>
      <c r="J27" s="29" t="n">
        <f aca="false">D11</f>
        <v>0</v>
      </c>
      <c r="K27" s="29" t="n">
        <f aca="false">E11</f>
        <v>0</v>
      </c>
    </row>
    <row r="28" customFormat="false" ht="15" hidden="false" customHeight="false" outlineLevel="0" collapsed="false">
      <c r="B28" s="28" t="s">
        <v>215</v>
      </c>
      <c r="C28" s="29" t="n">
        <f aca="false">SUMIFS('2 Pick roles'!$Q$5:$Q$544,'2 Pick roles'!$D$5:$D$544,"Z")</f>
        <v>0</v>
      </c>
      <c r="D28" s="29" t="n">
        <f aca="false">SUMIFS('2 Pick roles'!$U$5:$U$544,'2 Pick roles'!$D$5:$D$544,"Z")</f>
        <v>0</v>
      </c>
      <c r="E28" s="29" t="n">
        <f aca="false">SUMIFS('2 Pick roles'!$Y$5:$Y$544,'2 Pick roles'!$D$5:$D$544,"Z")</f>
        <v>0</v>
      </c>
    </row>
    <row r="29" customFormat="false" ht="15" hidden="false" customHeight="false" outlineLevel="0" collapsed="false">
      <c r="B29" s="32" t="s">
        <v>328</v>
      </c>
      <c r="C29" s="33" t="n">
        <f aca="false">SUMIFS('2 Pick roles'!$Q$5:$Q$544,'2 Pick roles'!$D$5:$D$544,"P&amp;C")</f>
        <v>0</v>
      </c>
      <c r="D29" s="33" t="n">
        <f aca="false">SUMIFS('2 Pick roles'!$U$5:$U$544,'2 Pick roles'!$D$5:$D$544,"P&amp;C")</f>
        <v>0</v>
      </c>
      <c r="E29" s="33" t="n">
        <f aca="false">SUMIFS('2 Pick roles'!$Y$5:$Y$544,'2 Pick roles'!$D$5:$D$544,"P&amp;C")</f>
        <v>0</v>
      </c>
    </row>
    <row r="30" customFormat="false" ht="15" hidden="false" customHeight="false" outlineLevel="0" collapsed="false">
      <c r="B30" s="28" t="s">
        <v>331</v>
      </c>
      <c r="C30" s="29" t="n">
        <f aca="false">SUMIFS('2 Pick roles'!$Q$5:$Q$544,'2 Pick roles'!$D$5:$D$544,"Finance")</f>
        <v>0.10494</v>
      </c>
      <c r="D30" s="29" t="n">
        <f aca="false">SUMIFS('2 Pick roles'!$U$5:$U$544,'2 Pick roles'!$D$5:$D$544,"Finance")</f>
        <v>0</v>
      </c>
      <c r="E30" s="29" t="n">
        <f aca="false">SUMIFS('2 Pick roles'!$Y$5:$Y$544,'2 Pick roles'!$D$5:$D$544,"Finance")</f>
        <v>0</v>
      </c>
    </row>
    <row r="31" customFormat="false" ht="15" hidden="false" customHeight="false" outlineLevel="0" collapsed="false">
      <c r="B31" s="32" t="s">
        <v>1009</v>
      </c>
      <c r="C31" s="33" t="n">
        <f aca="false">SUM('2 Pick roles'!$Q$5:$Q$544)-(C16+C17+C18+C19+C20+C21+C22+C23+C24+C25+C26+C27+C28+C29+C30)</f>
        <v>0</v>
      </c>
      <c r="D31" s="33" t="n">
        <f aca="false">SUM('2 Pick roles'!$U$5:$U$544)-(D16+D17+D18+D19+D20+D21+D22+D23+D24+D25+D26+D27+D28+D29+D30)</f>
        <v>0</v>
      </c>
      <c r="E31" s="33" t="n">
        <f aca="false">SUM('2 Pick roles'!$Y$5:$Y$544)-(E16+E17+E18+E19+E20+E21+E22+E23+E24+E25+E26+E27+E28+E29+E30)</f>
        <v>0</v>
      </c>
    </row>
    <row r="32" customFormat="false" ht="15" hidden="false" customHeight="false" outlineLevel="0" collapsed="false">
      <c r="B32" s="34" t="s">
        <v>1010</v>
      </c>
      <c r="C32" s="35" t="n">
        <f aca="false">SUM(C16:C31)</f>
        <v>0.38966</v>
      </c>
      <c r="D32" s="35" t="n">
        <f aca="false">SUM(D16:D31)</f>
        <v>0</v>
      </c>
      <c r="E32" s="35" t="n">
        <f aca="false">SUM(E16:E31)</f>
        <v>0</v>
      </c>
    </row>
    <row r="33" customFormat="false" ht="15" hidden="false" customHeight="false" outlineLevel="0" collapsed="false">
      <c r="B33" s="8" t="s">
        <v>1011</v>
      </c>
      <c r="C33" s="36" t="n">
        <f aca="false">C32-C9</f>
        <v>0</v>
      </c>
      <c r="D33" s="36" t="n">
        <f aca="false">D32-D9</f>
        <v>0</v>
      </c>
      <c r="E33" s="36" t="n">
        <f aca="false">E32-E9</f>
        <v>0</v>
      </c>
    </row>
  </sheetData>
  <sheetProtection sheet="true" password="c5c5"/>
  <conditionalFormatting sqref="C16:C31">
    <cfRule type="dataBar" priority="2">
      <dataBar showValue="1" minLength="10" maxLength="90">
        <cfvo type="num" val="0"/>
        <cfvo type="max" val="0"/>
        <color rgb="FF1B4B87"/>
      </dataBar>
      <extLst>
        <ext xmlns:x14="http://schemas.microsoft.com/office/spreadsheetml/2009/9/main" uri="{B025F937-C7B1-47D3-B67F-A62EFF666E3E}">
          <x14:id>{FD34116C-9410-4196-A3A1-BFECA7CC706D}</x14:id>
        </ext>
      </extLst>
    </cfRule>
  </conditionalFormatting>
  <conditionalFormatting sqref="D16:D31">
    <cfRule type="dataBar" priority="3">
      <dataBar showValue="1" minLength="10" maxLength="90">
        <cfvo type="num" val="0"/>
        <cfvo type="max" val="0"/>
        <color rgb="FF1B4B87"/>
      </dataBar>
      <extLst>
        <ext xmlns:x14="http://schemas.microsoft.com/office/spreadsheetml/2009/9/main" uri="{B025F937-C7B1-47D3-B67F-A62EFF666E3E}">
          <x14:id>{49CB7010-E0BE-4B3C-90FD-AD803D2B35C6}</x14:id>
        </ext>
      </extLst>
    </cfRule>
  </conditionalFormatting>
  <conditionalFormatting sqref="E16:E31">
    <cfRule type="dataBar" priority="4">
      <dataBar showValue="1" minLength="10" maxLength="90">
        <cfvo type="num" val="0"/>
        <cfvo type="max" val="0"/>
        <color rgb="FF1B4B87"/>
      </dataBar>
      <extLst>
        <ext xmlns:x14="http://schemas.microsoft.com/office/spreadsheetml/2009/9/main" uri="{B025F937-C7B1-47D3-B67F-A62EFF666E3E}">
          <x14:id>{74F23649-7339-48DA-B39D-EF544A9F6E30}</x14:id>
        </ext>
      </extLst>
    </cfRule>
  </conditionalFormatting>
  <conditionalFormatting sqref="I5:K22">
    <cfRule type="colorScale" priority="5">
      <colorScale>
        <cfvo type="num" val="0"/>
        <cfvo type="max" val="0"/>
        <color rgb="FFFFFFFF"/>
        <color rgb="FF9DB8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34116C-9410-4196-A3A1-BFECA7CC706D}">
            <x14:dataBar minLength="10" maxLength="90" axisPosition="none" gradient="true">
              <x14:cfvo type="num">
                <xm:f>0</xm:f>
              </x14:cfvo>
              <x14:cfvo type="max"/>
              <x14:negativeFillColor rgb="FF1B4B87"/>
              <x14:axisColor rgb="FF000000"/>
            </x14:dataBar>
          </x14:cfRule>
          <xm:sqref>C16:C31</xm:sqref>
        </x14:conditionalFormatting>
        <x14:conditionalFormatting xmlns:xm="http://schemas.microsoft.com/office/excel/2006/main">
          <x14:cfRule type="dataBar" id="{49CB7010-E0BE-4B3C-90FD-AD803D2B35C6}">
            <x14:dataBar minLength="10" maxLength="90" axisPosition="none" gradient="true">
              <x14:cfvo type="num">
                <xm:f>0</xm:f>
              </x14:cfvo>
              <x14:cfvo type="max"/>
              <x14:negativeFillColor rgb="FF1B4B87"/>
              <x14:axisColor rgb="FF000000"/>
            </x14:dataBar>
          </x14:cfRule>
          <xm:sqref>D16:D31</xm:sqref>
        </x14:conditionalFormatting>
        <x14:conditionalFormatting xmlns:xm="http://schemas.microsoft.com/office/excel/2006/main">
          <x14:cfRule type="dataBar" id="{74F23649-7339-48DA-B39D-EF544A9F6E30}">
            <x14:dataBar minLength="10" maxLength="90" axisPosition="none" gradient="true">
              <x14:cfvo type="num">
                <xm:f>0</xm:f>
              </x14:cfvo>
              <x14:cfvo type="max"/>
              <x14:negativeFillColor rgb="FF1B4B87"/>
              <x14:axisColor rgb="FF000000"/>
            </x14:dataBar>
          </x14:cfRule>
          <xm:sqref>E16:E31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4"/>
  </cols>
  <sheetData>
    <row r="1" customFormat="false" ht="15" hidden="false" customHeight="false" outlineLevel="0" collapsed="false">
      <c r="B1" s="37" t="s">
        <v>1012</v>
      </c>
    </row>
    <row r="2" customFormat="false" ht="15" hidden="false" customHeight="false" outlineLevel="0" collapsed="false">
      <c r="B2" s="18" t="s">
        <v>1013</v>
      </c>
      <c r="C2" s="18" t="n">
        <v>1</v>
      </c>
    </row>
    <row r="3" customFormat="false" ht="15" hidden="false" customHeight="false" outlineLevel="0" collapsed="false">
      <c r="B3" s="18" t="s">
        <v>1014</v>
      </c>
      <c r="C3" s="18" t="n">
        <v>2</v>
      </c>
    </row>
    <row r="4" customFormat="false" ht="15" hidden="false" customHeight="false" outlineLevel="0" collapsed="false">
      <c r="B4" s="18" t="s">
        <v>1015</v>
      </c>
      <c r="C4" s="18" t="n">
        <v>3</v>
      </c>
    </row>
    <row r="5" customFormat="false" ht="15" hidden="false" customHeight="false" outlineLevel="0" collapsed="false">
      <c r="B5" s="18" t="s">
        <v>65</v>
      </c>
      <c r="C5" s="18" t="n">
        <v>4</v>
      </c>
    </row>
    <row r="6" customFormat="false" ht="15" hidden="false" customHeight="false" outlineLevel="0" collapsed="false">
      <c r="B6" s="18" t="s">
        <v>1016</v>
      </c>
      <c r="C6" s="18" t="n">
        <v>5</v>
      </c>
    </row>
    <row r="7" customFormat="false" ht="15" hidden="false" customHeight="false" outlineLevel="0" collapsed="false">
      <c r="B7" s="18" t="s">
        <v>1017</v>
      </c>
      <c r="C7" s="18" t="n">
        <v>6</v>
      </c>
    </row>
    <row r="8" customFormat="false" ht="15" hidden="false" customHeight="false" outlineLevel="0" collapsed="false">
      <c r="B8" s="18" t="s">
        <v>724</v>
      </c>
      <c r="C8" s="18" t="n">
        <v>7</v>
      </c>
    </row>
    <row r="9" customFormat="false" ht="15" hidden="false" customHeight="false" outlineLevel="0" collapsed="false">
      <c r="B9" s="18" t="s">
        <v>1018</v>
      </c>
      <c r="C9" s="18" t="n">
        <v>8</v>
      </c>
    </row>
    <row r="10" customFormat="false" ht="15" hidden="false" customHeight="false" outlineLevel="0" collapsed="false">
      <c r="B10" s="18" t="s">
        <v>1019</v>
      </c>
      <c r="C10" s="18" t="n">
        <v>9</v>
      </c>
    </row>
    <row r="11" customFormat="false" ht="15" hidden="false" customHeight="false" outlineLevel="0" collapsed="false">
      <c r="B11" s="18" t="s">
        <v>1020</v>
      </c>
      <c r="C11" s="18" t="n">
        <v>10</v>
      </c>
    </row>
    <row r="12" customFormat="false" ht="15" hidden="false" customHeight="false" outlineLevel="0" collapsed="false">
      <c r="B12" s="18" t="s">
        <v>1021</v>
      </c>
      <c r="C12" s="18" t="n">
        <v>11</v>
      </c>
    </row>
    <row r="13" customFormat="false" ht="15" hidden="false" customHeight="false" outlineLevel="0" collapsed="false">
      <c r="B13" s="18" t="s">
        <v>1022</v>
      </c>
      <c r="C13" s="18" t="n">
        <v>12</v>
      </c>
    </row>
    <row r="14" customFormat="false" ht="15" hidden="false" customHeight="false" outlineLevel="0" collapsed="false">
      <c r="B14" s="18" t="s">
        <v>1023</v>
      </c>
      <c r="C14" s="18" t="n">
        <v>13</v>
      </c>
    </row>
    <row r="15" customFormat="false" ht="15" hidden="false" customHeight="false" outlineLevel="0" collapsed="false">
      <c r="B15" s="18" t="s">
        <v>1024</v>
      </c>
      <c r="C15" s="18" t="n">
        <v>14</v>
      </c>
    </row>
    <row r="16" customFormat="false" ht="15" hidden="false" customHeight="false" outlineLevel="0" collapsed="false">
      <c r="B16" s="18" t="s">
        <v>1025</v>
      </c>
      <c r="C16" s="18" t="n">
        <v>15</v>
      </c>
    </row>
    <row r="17" customFormat="false" ht="15" hidden="false" customHeight="false" outlineLevel="0" collapsed="false">
      <c r="B17" s="18" t="s">
        <v>1026</v>
      </c>
      <c r="C17" s="18" t="n">
        <v>16</v>
      </c>
    </row>
    <row r="18" customFormat="false" ht="15" hidden="false" customHeight="false" outlineLevel="0" collapsed="false">
      <c r="B18" s="18" t="s">
        <v>1027</v>
      </c>
      <c r="C18" s="18" t="n">
        <v>17</v>
      </c>
    </row>
    <row r="19" customFormat="false" ht="15" hidden="false" customHeight="false" outlineLevel="0" collapsed="false">
      <c r="B19" s="18" t="s">
        <v>1028</v>
      </c>
      <c r="C19" s="18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2026-08-12T09:24:44Z</dcterms:created>
  <dc:creator>openpyxl</dc:creator>
  <dc:description/>
  <dc:language>en-US</dc:language>
  <cp:lastModifiedBy/>
  <dcterms:modified xsi:type="dcterms:W3CDTF">2026-08-12T09:24:47Z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