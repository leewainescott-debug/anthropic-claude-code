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cenarios" sheetId="1" state="visible" r:id="rId3"/>
    <sheet name="2 Roles" sheetId="2" state="visible" r:id="rId4"/>
    <sheet name="REVIEW - Complete Role Mapping" sheetId="3" state="visible" r:id="rId5"/>
    <sheet name="3 Lists" sheetId="4" state="visible" r:id="rId6"/>
  </sheets>
  <definedNames>
    <definedName function="false" hidden="false" name="MonthList" vbProcedure="false">'3 Lists'!$B$2:$B$19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<sst xmlns="http://schemas.openxmlformats.org/spreadsheetml/2006/main" count="16131" uniqueCount="1761">
  <si>
    <t xml:space="preserve">Offshore scenario model</t>
  </si>
  <si>
    <t xml:space="preserve">Edit only the blue cells: the three scenario names below, and the Offshore? and Start month columns on the 2 Roles tab. Everything else is locked (password with Lee).</t>
  </si>
  <si>
    <t xml:space="preserve">Scenario A name</t>
  </si>
  <si>
    <t xml:space="preserve">Example scenario</t>
  </si>
  <si>
    <t xml:space="preserve">Scenario A is loaded as a worked example with four roles offshored. Overwrite the toggles and the name with your own.</t>
  </si>
  <si>
    <t xml:space="preserve">Scenario B name</t>
  </si>
  <si>
    <t xml:space="preserve">Scenario B</t>
  </si>
  <si>
    <t xml:space="preserve">Scenario C name</t>
  </si>
  <si>
    <t xml:space="preserve">Scenario C</t>
  </si>
  <si>
    <t xml:space="preserve">Measure</t>
  </si>
  <si>
    <t xml:space="preserve">Roles toggled on</t>
  </si>
  <si>
    <t xml:space="preserve">FTE of those roles</t>
  </si>
  <si>
    <t xml:space="preserve">Cost of those roles today ($m)</t>
  </si>
  <si>
    <t xml:space="preserve">Cost of those roles at the rate ($m)</t>
  </si>
  <si>
    <t xml:space="preserve">Reduction of cost, full year ($m)</t>
  </si>
  <si>
    <t xml:space="preserve">Impact in FY26 ($m)</t>
  </si>
  <si>
    <t xml:space="preserve">Impact in FY27 ($m)</t>
  </si>
  <si>
    <t xml:space="preserve">Reduction of cost by portfolio, full year ($m)</t>
  </si>
  <si>
    <t xml:space="preserve">Ampol Customer</t>
  </si>
  <si>
    <t xml:space="preserve">B2B &amp; Energy Solutions</t>
  </si>
  <si>
    <t xml:space="preserve">Commercial Fuels</t>
  </si>
  <si>
    <t xml:space="preserve">EGI</t>
  </si>
  <si>
    <t xml:space="preserve">EGI Integration</t>
  </si>
  <si>
    <t xml:space="preserve">Enterprise Data</t>
  </si>
  <si>
    <t xml:space="preserve">Finance</t>
  </si>
  <si>
    <t xml:space="preserve">Infrastructure</t>
  </si>
  <si>
    <t xml:space="preserve">NA</t>
  </si>
  <si>
    <t xml:space="preserve">P&amp;C</t>
  </si>
  <si>
    <t xml:space="preserve">P&amp;C, Finance &amp; Legal</t>
  </si>
  <si>
    <t xml:space="preserve">Retail</t>
  </si>
  <si>
    <t xml:space="preserve">TDD</t>
  </si>
  <si>
    <t xml:space="preserve">Z</t>
  </si>
  <si>
    <t xml:space="preserve">Z ENERGY (DIGITAL)</t>
  </si>
  <si>
    <t xml:space="preserve">Not mapped to a portfolio</t>
  </si>
  <si>
    <t xml:space="preserve">Total</t>
  </si>
  <si>
    <t xml:space="preserve">Check against the full year row above (should be zero)</t>
  </si>
  <si>
    <t xml:space="preserve">Built from the role mapping in TDD_FY27_Cost_Calc_0608 (11 August 2026), copied in full on the REVIEW tab. Cost in the book today: filled roles at mapped cost, planned hires at planned spend, held roles at zero, roles already at the offshore rate at 0.4, WiPro at vendor day rates.</t>
  </si>
  <si>
    <t xml:space="preserve">Chart data</t>
  </si>
  <si>
    <t xml:space="preserve">Roles and toggles</t>
  </si>
  <si>
    <t xml:space="preserve">Toggle Offshore? to Yes and pick a start month. Only the toggle and month cells can be edited. A role already at the offshore rate or on vendor day rates contributes nothing extra. A held role costs nothing today, so offshoring it shows as added cost.</t>
  </si>
  <si>
    <t xml:space="preserve">Role ID</t>
  </si>
  <si>
    <t xml:space="preserve">Role</t>
  </si>
  <si>
    <t xml:space="preserve">Portfolio</t>
  </si>
  <si>
    <t xml:space="preserve">Squad or line</t>
  </si>
  <si>
    <t xml:space="preserve">Country</t>
  </si>
  <si>
    <t xml:space="preserve">Status in the model</t>
  </si>
  <si>
    <t xml:space="preserve">FTE</t>
  </si>
  <si>
    <t xml:space="preserve">Full onshore cost ($m)</t>
  </si>
  <si>
    <t xml:space="preserve">Cost in the book today ($m)</t>
  </si>
  <si>
    <t xml:space="preserve">Offshore?</t>
  </si>
  <si>
    <t xml:space="preserve">Start month</t>
  </si>
  <si>
    <t xml:space="preserve">Reduction a year ($m)</t>
  </si>
  <si>
    <t xml:space="preserve">Impact FY26 ($m)</t>
  </si>
  <si>
    <t xml:space="preserve">Impact FY27 ($m)</t>
  </si>
  <si>
    <t xml:space="preserve">R0001</t>
  </si>
  <si>
    <t xml:space="preserve">Delivery Lead</t>
  </si>
  <si>
    <t xml:space="preserve">EGI Customer</t>
  </si>
  <si>
    <t xml:space="preserve">AU</t>
  </si>
  <si>
    <t xml:space="preserve">Filled</t>
  </si>
  <si>
    <t xml:space="preserve">No</t>
  </si>
  <si>
    <t xml:space="preserve">R0002</t>
  </si>
  <si>
    <t xml:space="preserve">Snr Business Analyst</t>
  </si>
  <si>
    <t xml:space="preserve">Ampol Web</t>
  </si>
  <si>
    <t xml:space="preserve">Yes</t>
  </si>
  <si>
    <t xml:space="preserve">Oct-2026</t>
  </si>
  <si>
    <t xml:space="preserve">R0003</t>
  </si>
  <si>
    <t xml:space="preserve">Ampol App</t>
  </si>
  <si>
    <t xml:space="preserve">R0004</t>
  </si>
  <si>
    <t xml:space="preserve">Business Analyst (SAP Payroll)</t>
  </si>
  <si>
    <t xml:space="preserve">R0005</t>
  </si>
  <si>
    <t xml:space="preserve">Project Manager (PEP13-EGI-UKG)</t>
  </si>
  <si>
    <t xml:space="preserve">R0006</t>
  </si>
  <si>
    <t xml:space="preserve">Program Architect</t>
  </si>
  <si>
    <t xml:space="preserve">R0007</t>
  </si>
  <si>
    <t xml:space="preserve">TDD Strategic Delivery</t>
  </si>
  <si>
    <t xml:space="preserve">R0008</t>
  </si>
  <si>
    <t xml:space="preserve">Strategic Delivery Consultant</t>
  </si>
  <si>
    <t xml:space="preserve">R0009</t>
  </si>
  <si>
    <t xml:space="preserve">Program Manager (PEP13-EGI-UKG)</t>
  </si>
  <si>
    <t xml:space="preserve">R0010</t>
  </si>
  <si>
    <t xml:space="preserve">Program Manager Tech &amp; P&amp;C</t>
  </si>
  <si>
    <t xml:space="preserve">R0011</t>
  </si>
  <si>
    <t xml:space="preserve">Project Manager Retail</t>
  </si>
  <si>
    <t xml:space="preserve">R0012</t>
  </si>
  <si>
    <t xml:space="preserve">R0013</t>
  </si>
  <si>
    <t xml:space="preserve">R0014</t>
  </si>
  <si>
    <t xml:space="preserve">Project Manager Deployment</t>
  </si>
  <si>
    <t xml:space="preserve">R0015</t>
  </si>
  <si>
    <t xml:space="preserve">Reporting Analyst</t>
  </si>
  <si>
    <t xml:space="preserve">Data &amp; Insights</t>
  </si>
  <si>
    <t xml:space="preserve">R0016</t>
  </si>
  <si>
    <t xml:space="preserve">QA / Tester / Mid</t>
  </si>
  <si>
    <t xml:space="preserve">Ampol Loyalty &amp; Martech</t>
  </si>
  <si>
    <t xml:space="preserve">Vendor day rates</t>
  </si>
  <si>
    <t xml:space="preserve">R0017</t>
  </si>
  <si>
    <t xml:space="preserve">Systems Analyst / Mid</t>
  </si>
  <si>
    <t xml:space="preserve">R0018</t>
  </si>
  <si>
    <t xml:space="preserve">Data Migration Lead</t>
  </si>
  <si>
    <t xml:space="preserve">EGI TDD</t>
  </si>
  <si>
    <t xml:space="preserve">R0019</t>
  </si>
  <si>
    <t xml:space="preserve">.NET Back End Developer / Mid</t>
  </si>
  <si>
    <t xml:space="preserve">Digital Operations</t>
  </si>
  <si>
    <t xml:space="preserve">R0020</t>
  </si>
  <si>
    <t xml:space="preserve">R0021</t>
  </si>
  <si>
    <t xml:space="preserve">R0022</t>
  </si>
  <si>
    <t xml:space="preserve">R0023</t>
  </si>
  <si>
    <t xml:space="preserve">Integration Architect (C) - Boomi</t>
  </si>
  <si>
    <t xml:space="preserve">R0024</t>
  </si>
  <si>
    <t xml:space="preserve">Integration Architect (C)</t>
  </si>
  <si>
    <t xml:space="preserve">NZ</t>
  </si>
  <si>
    <t xml:space="preserve">R0025</t>
  </si>
  <si>
    <t xml:space="preserve">Engineer - Mobile</t>
  </si>
  <si>
    <t xml:space="preserve">R0026</t>
  </si>
  <si>
    <t xml:space="preserve">Solution Architect</t>
  </si>
  <si>
    <t xml:space="preserve">R0027</t>
  </si>
  <si>
    <t xml:space="preserve">Business Analyst Digital</t>
  </si>
  <si>
    <t xml:space="preserve">R0028</t>
  </si>
  <si>
    <t xml:space="preserve">Quality Assurance</t>
  </si>
  <si>
    <t xml:space="preserve">Already at the offshore rate</t>
  </si>
  <si>
    <t xml:space="preserve">R0029</t>
  </si>
  <si>
    <t xml:space="preserve">Lead Engineer - Mobile</t>
  </si>
  <si>
    <t xml:space="preserve">R0030</t>
  </si>
  <si>
    <t xml:space="preserve">R0031</t>
  </si>
  <si>
    <t xml:space="preserve">R0032</t>
  </si>
  <si>
    <t xml:space="preserve">Delivery Lead - Integration</t>
  </si>
  <si>
    <t xml:space="preserve">R0033</t>
  </si>
  <si>
    <t xml:space="preserve">SAP Solution Architect</t>
  </si>
  <si>
    <t xml:space="preserve">SAP ERP</t>
  </si>
  <si>
    <t xml:space="preserve">R0034</t>
  </si>
  <si>
    <t xml:space="preserve">Project Manger</t>
  </si>
  <si>
    <t xml:space="preserve">R0035</t>
  </si>
  <si>
    <t xml:space="preserve">strategic program architect</t>
  </si>
  <si>
    <t xml:space="preserve">R0036</t>
  </si>
  <si>
    <t xml:space="preserve">Engineer - BE</t>
  </si>
  <si>
    <t xml:space="preserve">R0037</t>
  </si>
  <si>
    <t xml:space="preserve">R0038</t>
  </si>
  <si>
    <t xml:space="preserve">R0039</t>
  </si>
  <si>
    <t xml:space="preserve">R0040</t>
  </si>
  <si>
    <t xml:space="preserve">Business Analyst</t>
  </si>
  <si>
    <t xml:space="preserve">EGI Retail</t>
  </si>
  <si>
    <t xml:space="preserve">R0041</t>
  </si>
  <si>
    <t xml:space="preserve">DeveloperSAP ECC</t>
  </si>
  <si>
    <t xml:space="preserve">R0042</t>
  </si>
  <si>
    <t xml:space="preserve">Commercial Director</t>
  </si>
  <si>
    <t xml:space="preserve">Commercial</t>
  </si>
  <si>
    <t xml:space="preserve">Vacant, hire planned</t>
  </si>
  <si>
    <t xml:space="preserve">R0043</t>
  </si>
  <si>
    <t xml:space="preserve">Head of Technology, Loyalty &amp; Mart</t>
  </si>
  <si>
    <t xml:space="preserve">Head of Technology</t>
  </si>
  <si>
    <t xml:space="preserve">R0044</t>
  </si>
  <si>
    <t xml:space="preserve">Head of Technology - Digital</t>
  </si>
  <si>
    <t xml:space="preserve">R0045</t>
  </si>
  <si>
    <t xml:space="preserve">Head of Technology - TDD &amp; Enginee</t>
  </si>
  <si>
    <t xml:space="preserve">R0046</t>
  </si>
  <si>
    <t xml:space="preserve">Head of Technology - P&amp;C, Finance </t>
  </si>
  <si>
    <t xml:space="preserve">R0047</t>
  </si>
  <si>
    <t xml:space="preserve">Head of Cyber Strategy &amp; Technolog</t>
  </si>
  <si>
    <t xml:space="preserve">Cyber Strat &amp; Tech</t>
  </si>
  <si>
    <t xml:space="preserve">R0048</t>
  </si>
  <si>
    <t xml:space="preserve">Head of Service Operations &amp; Assur</t>
  </si>
  <si>
    <t xml:space="preserve">Service Op &amp; Assurance</t>
  </si>
  <si>
    <t xml:space="preserve">R0049</t>
  </si>
  <si>
    <t xml:space="preserve">Portfolio Mnager</t>
  </si>
  <si>
    <t xml:space="preserve">R0050</t>
  </si>
  <si>
    <t xml:space="preserve">Technology Manager, Data Engineeri</t>
  </si>
  <si>
    <t xml:space="preserve">Technology Manager</t>
  </si>
  <si>
    <t xml:space="preserve">R0051</t>
  </si>
  <si>
    <t xml:space="preserve">Principal, Data Architecture &amp; Gov</t>
  </si>
  <si>
    <t xml:space="preserve">Group Data</t>
  </si>
  <si>
    <t xml:space="preserve">R0052</t>
  </si>
  <si>
    <t xml:space="preserve">Head of Technology,  Group Data</t>
  </si>
  <si>
    <t xml:space="preserve">R0053</t>
  </si>
  <si>
    <t xml:space="preserve">Delivery Manager, Strategy, Archit</t>
  </si>
  <si>
    <t xml:space="preserve">Leadership</t>
  </si>
  <si>
    <t xml:space="preserve">R0054</t>
  </si>
  <si>
    <t xml:space="preserve">Head of Architecture</t>
  </si>
  <si>
    <t xml:space="preserve">R0055</t>
  </si>
  <si>
    <t xml:space="preserve">Head of Technology Strategy &amp; AI C</t>
  </si>
  <si>
    <t xml:space="preserve">R0056</t>
  </si>
  <si>
    <t xml:space="preserve">TDD BP - Infrastructure</t>
  </si>
  <si>
    <t xml:space="preserve">TDD Business Partner</t>
  </si>
  <si>
    <t xml:space="preserve">R0057</t>
  </si>
  <si>
    <t xml:space="preserve">TDD BP - T&amp;S</t>
  </si>
  <si>
    <t xml:space="preserve">R0058</t>
  </si>
  <si>
    <t xml:space="preserve">TDD BP - Z</t>
  </si>
  <si>
    <t xml:space="preserve">R0059</t>
  </si>
  <si>
    <t xml:space="preserve">TDD BP - Retail &amp; Customer - Store</t>
  </si>
  <si>
    <t xml:space="preserve">R0060</t>
  </si>
  <si>
    <t xml:space="preserve">TDD BP - ES</t>
  </si>
  <si>
    <t xml:space="preserve">R0061</t>
  </si>
  <si>
    <t xml:space="preserve">Head of Transformation</t>
  </si>
  <si>
    <t xml:space="preserve">Transformation</t>
  </si>
  <si>
    <t xml:space="preserve">R0062</t>
  </si>
  <si>
    <t xml:space="preserve">Head of Technology, Fuel Infrastru</t>
  </si>
  <si>
    <t xml:space="preserve">R0063</t>
  </si>
  <si>
    <t xml:space="preserve">Head of Technology, Commercial Fue</t>
  </si>
  <si>
    <t xml:space="preserve">R0064</t>
  </si>
  <si>
    <t xml:space="preserve">Head of Technology, B2B &amp; Energy S</t>
  </si>
  <si>
    <t xml:space="preserve">R0065</t>
  </si>
  <si>
    <t xml:space="preserve">Data Governance Lead</t>
  </si>
  <si>
    <t xml:space="preserve">R0066</t>
  </si>
  <si>
    <t xml:space="preserve">Head of Technology, AU Retail</t>
  </si>
  <si>
    <t xml:space="preserve">R0067</t>
  </si>
  <si>
    <t xml:space="preserve">Head of Technology, Z and Group Re</t>
  </si>
  <si>
    <t xml:space="preserve">R0068</t>
  </si>
  <si>
    <t xml:space="preserve">Delivery Manager</t>
  </si>
  <si>
    <t xml:space="preserve">R0069</t>
  </si>
  <si>
    <t xml:space="preserve">Technology Manager – Data &amp; Engine</t>
  </si>
  <si>
    <t xml:space="preserve">R0070</t>
  </si>
  <si>
    <t xml:space="preserve">Technology Manager - Loyalty &amp; Mar</t>
  </si>
  <si>
    <t xml:space="preserve">R0071</t>
  </si>
  <si>
    <t xml:space="preserve">Head of AI enablement</t>
  </si>
  <si>
    <t xml:space="preserve">Customer, AI</t>
  </si>
  <si>
    <t xml:space="preserve">R0072</t>
  </si>
  <si>
    <t xml:space="preserve">Program Manager</t>
  </si>
  <si>
    <t xml:space="preserve">R0073</t>
  </si>
  <si>
    <t xml:space="preserve">R0074</t>
  </si>
  <si>
    <t xml:space="preserve">Design Manager</t>
  </si>
  <si>
    <t xml:space="preserve">Z App and Web</t>
  </si>
  <si>
    <t xml:space="preserve">R0075</t>
  </si>
  <si>
    <t xml:space="preserve">Technology Manager - Digital</t>
  </si>
  <si>
    <t xml:space="preserve">R0076</t>
  </si>
  <si>
    <t xml:space="preserve">Principal Engineer</t>
  </si>
  <si>
    <t xml:space="preserve">R0077</t>
  </si>
  <si>
    <t xml:space="preserve">Technology Manager, Engineering</t>
  </si>
  <si>
    <t xml:space="preserve">R0078</t>
  </si>
  <si>
    <t xml:space="preserve">Senior Systems Analyst</t>
  </si>
  <si>
    <t xml:space="preserve">Manufacturing Group Projects</t>
  </si>
  <si>
    <t xml:space="preserve">R0079</t>
  </si>
  <si>
    <t xml:space="preserve">Delivery manager</t>
  </si>
  <si>
    <t xml:space="preserve">R0080</t>
  </si>
  <si>
    <t xml:space="preserve">B2B &amp; Energy+B452:I452</t>
  </si>
  <si>
    <t xml:space="preserve">R0081</t>
  </si>
  <si>
    <t xml:space="preserve">Technology Manager, Future Infrast</t>
  </si>
  <si>
    <t xml:space="preserve">R0082</t>
  </si>
  <si>
    <t xml:space="preserve">Technology Manager Data</t>
  </si>
  <si>
    <t xml:space="preserve">R0083</t>
  </si>
  <si>
    <t xml:space="preserve">Manager Risk &amp; Resilience</t>
  </si>
  <si>
    <t xml:space="preserve">Cyber Risk</t>
  </si>
  <si>
    <t xml:space="preserve">R0084</t>
  </si>
  <si>
    <t xml:space="preserve">Manager Cyber Security GRC</t>
  </si>
  <si>
    <t xml:space="preserve">Cyber GRC</t>
  </si>
  <si>
    <t xml:space="preserve">R0085</t>
  </si>
  <si>
    <t xml:space="preserve">Manager Cyber Security Operations</t>
  </si>
  <si>
    <t xml:space="preserve">Cyber Sec Ops</t>
  </si>
  <si>
    <t xml:space="preserve">R0086</t>
  </si>
  <si>
    <t xml:space="preserve">Portfolio Manager Cyber Security</t>
  </si>
  <si>
    <t xml:space="preserve">Cyber Uplift</t>
  </si>
  <si>
    <t xml:space="preserve">R0087</t>
  </si>
  <si>
    <t xml:space="preserve">Data Operations Manager</t>
  </si>
  <si>
    <t xml:space="preserve">R0088</t>
  </si>
  <si>
    <t xml:space="preserve">Technology Manager  Data Science</t>
  </si>
  <si>
    <t xml:space="preserve">R0089</t>
  </si>
  <si>
    <t xml:space="preserve">Data Platforms</t>
  </si>
  <si>
    <t xml:space="preserve">R0090</t>
  </si>
  <si>
    <t xml:space="preserve">Technology Manager, Energy Solutio</t>
  </si>
  <si>
    <t xml:space="preserve">R0091</t>
  </si>
  <si>
    <t xml:space="preserve">Technology Manager - B2B</t>
  </si>
  <si>
    <t xml:space="preserve">R0092</t>
  </si>
  <si>
    <t xml:space="preserve">R0093</t>
  </si>
  <si>
    <t xml:space="preserve">Technology Manager, Merchandising </t>
  </si>
  <si>
    <t xml:space="preserve">R0094</t>
  </si>
  <si>
    <t xml:space="preserve">R0095</t>
  </si>
  <si>
    <t xml:space="preserve">Technology Manager, Retail</t>
  </si>
  <si>
    <t xml:space="preserve">R0096</t>
  </si>
  <si>
    <t xml:space="preserve">TDD BP, Group Functions</t>
  </si>
  <si>
    <t xml:space="preserve">R0097</t>
  </si>
  <si>
    <t xml:space="preserve">Technology Manager - T&amp;S</t>
  </si>
  <si>
    <t xml:space="preserve">R0098</t>
  </si>
  <si>
    <t xml:space="preserve">R0099</t>
  </si>
  <si>
    <t xml:space="preserve">Technology Manager, Data</t>
  </si>
  <si>
    <t xml:space="preserve">R0100</t>
  </si>
  <si>
    <t xml:space="preserve">Manager, Service Performance &amp; Ass</t>
  </si>
  <si>
    <t xml:space="preserve">R0101</t>
  </si>
  <si>
    <t xml:space="preserve">Program Manager - CTRM</t>
  </si>
  <si>
    <t xml:space="preserve">CTRM</t>
  </si>
  <si>
    <t xml:space="preserve">R0102</t>
  </si>
  <si>
    <t xml:space="preserve">Domain Architect - Group Functions</t>
  </si>
  <si>
    <t xml:space="preserve">Architecture</t>
  </si>
  <si>
    <t xml:space="preserve">R0103</t>
  </si>
  <si>
    <t xml:space="preserve">Enterprise Architect</t>
  </si>
  <si>
    <t xml:space="preserve">R0104</t>
  </si>
  <si>
    <t xml:space="preserve">Domain Architect - CFE &amp; Infrastru</t>
  </si>
  <si>
    <t xml:space="preserve">R0105</t>
  </si>
  <si>
    <t xml:space="preserve">Technology Manager, Enterprise Too</t>
  </si>
  <si>
    <t xml:space="preserve">R0106</t>
  </si>
  <si>
    <t xml:space="preserve">Technology Manager – DevOps and Qu</t>
  </si>
  <si>
    <t xml:space="preserve">R0107</t>
  </si>
  <si>
    <t xml:space="preserve">R0108</t>
  </si>
  <si>
    <t xml:space="preserve">R0109</t>
  </si>
  <si>
    <t xml:space="preserve">Delivery Excellence Manager</t>
  </si>
  <si>
    <t xml:space="preserve">R0110</t>
  </si>
  <si>
    <t xml:space="preserve">Held today</t>
  </si>
  <si>
    <t xml:space="preserve">R0111</t>
  </si>
  <si>
    <t xml:space="preserve">AI Capability Lead</t>
  </si>
  <si>
    <t xml:space="preserve">Technology Strategy &amp; AI Cap</t>
  </si>
  <si>
    <t xml:space="preserve">R0112</t>
  </si>
  <si>
    <t xml:space="preserve">Technology Manager, Integration &amp; </t>
  </si>
  <si>
    <t xml:space="preserve">R0113</t>
  </si>
  <si>
    <t xml:space="preserve">R0114</t>
  </si>
  <si>
    <t xml:space="preserve">Technology Manager – Cloud, Networ</t>
  </si>
  <si>
    <t xml:space="preserve">R0115</t>
  </si>
  <si>
    <t xml:space="preserve">Technology Manager, Store Platform</t>
  </si>
  <si>
    <t xml:space="preserve">R0116</t>
  </si>
  <si>
    <t xml:space="preserve">Technology Manager, Site Systems</t>
  </si>
  <si>
    <t xml:space="preserve">R0117</t>
  </si>
  <si>
    <t xml:space="preserve">R0118</t>
  </si>
  <si>
    <t xml:space="preserve">Delivery Assurance Manager</t>
  </si>
  <si>
    <t xml:space="preserve">R0119</t>
  </si>
  <si>
    <t xml:space="preserve">Portfolio Reporting Manager</t>
  </si>
  <si>
    <t xml:space="preserve">R0120</t>
  </si>
  <si>
    <t xml:space="preserve">R0121</t>
  </si>
  <si>
    <t xml:space="preserve">Program Manager POS</t>
  </si>
  <si>
    <t xml:space="preserve">AmPOS</t>
  </si>
  <si>
    <t xml:space="preserve">R0122</t>
  </si>
  <si>
    <t xml:space="preserve">Technology Manager – P&amp;C Platforms</t>
  </si>
  <si>
    <t xml:space="preserve">R0123</t>
  </si>
  <si>
    <t xml:space="preserve">Technology Manger - Finance Platfo</t>
  </si>
  <si>
    <t xml:space="preserve">R0124</t>
  </si>
  <si>
    <t xml:space="preserve">R0125</t>
  </si>
  <si>
    <t xml:space="preserve">Program Manager </t>
  </si>
  <si>
    <t xml:space="preserve">R0126</t>
  </si>
  <si>
    <t xml:space="preserve">R0127</t>
  </si>
  <si>
    <t xml:space="preserve">R0128</t>
  </si>
  <si>
    <t xml:space="preserve">R0129</t>
  </si>
  <si>
    <t xml:space="preserve">Principal Experience Designer</t>
  </si>
  <si>
    <t xml:space="preserve">R0130</t>
  </si>
  <si>
    <t xml:space="preserve">Experience Designer</t>
  </si>
  <si>
    <t xml:space="preserve">R0131</t>
  </si>
  <si>
    <t xml:space="preserve">R0132</t>
  </si>
  <si>
    <t xml:space="preserve">R0133</t>
  </si>
  <si>
    <t xml:space="preserve">Martech Lead - Dynamics</t>
  </si>
  <si>
    <t xml:space="preserve">R0134</t>
  </si>
  <si>
    <t xml:space="preserve">Z Loyalty &amp; Martech</t>
  </si>
  <si>
    <t xml:space="preserve">R0135</t>
  </si>
  <si>
    <t xml:space="preserve">Marketing Technology Lead</t>
  </si>
  <si>
    <t xml:space="preserve">R0136</t>
  </si>
  <si>
    <t xml:space="preserve">Lead Quality Assurance</t>
  </si>
  <si>
    <t xml:space="preserve">R0137</t>
  </si>
  <si>
    <t xml:space="preserve">R0138</t>
  </si>
  <si>
    <t xml:space="preserve">R0139</t>
  </si>
  <si>
    <t xml:space="preserve">Digital Support Manager (AU)</t>
  </si>
  <si>
    <t xml:space="preserve">R0140</t>
  </si>
  <si>
    <t xml:space="preserve">Digital Support Manager - NZ</t>
  </si>
  <si>
    <t xml:space="preserve">R0141</t>
  </si>
  <si>
    <t xml:space="preserve">Project Manager</t>
  </si>
  <si>
    <t xml:space="preserve">R0142</t>
  </si>
  <si>
    <t xml:space="preserve">Lead Engineer - BE</t>
  </si>
  <si>
    <t xml:space="preserve">R0143</t>
  </si>
  <si>
    <t xml:space="preserve">R0144</t>
  </si>
  <si>
    <t xml:space="preserve">System Analyst</t>
  </si>
  <si>
    <t xml:space="preserve">Trading &amp; Shipping</t>
  </si>
  <si>
    <t xml:space="preserve">R0145</t>
  </si>
  <si>
    <t xml:space="preserve">Engineer Applications</t>
  </si>
  <si>
    <t xml:space="preserve">R0146</t>
  </si>
  <si>
    <t xml:space="preserve">R0147</t>
  </si>
  <si>
    <t xml:space="preserve">R0148</t>
  </si>
  <si>
    <t xml:space="preserve">Risk &amp; Resilience Lead</t>
  </si>
  <si>
    <t xml:space="preserve">R0149</t>
  </si>
  <si>
    <t xml:space="preserve">Site Systems</t>
  </si>
  <si>
    <t xml:space="preserve">R0150</t>
  </si>
  <si>
    <t xml:space="preserve">Z Retail Backend</t>
  </si>
  <si>
    <t xml:space="preserve">R0151</t>
  </si>
  <si>
    <t xml:space="preserve">R0152</t>
  </si>
  <si>
    <t xml:space="preserve">R0153</t>
  </si>
  <si>
    <t xml:space="preserve">Lead P&amp;C Platforms</t>
  </si>
  <si>
    <t xml:space="preserve">R0154</t>
  </si>
  <si>
    <t xml:space="preserve">R0155</t>
  </si>
  <si>
    <t xml:space="preserve">SAP HR Specialist</t>
  </si>
  <si>
    <t xml:space="preserve">R0156</t>
  </si>
  <si>
    <t xml:space="preserve">Senior Cyber GRC Specialist</t>
  </si>
  <si>
    <t xml:space="preserve">R0157</t>
  </si>
  <si>
    <t xml:space="preserve">SAP Functional Specialist</t>
  </si>
  <si>
    <t xml:space="preserve">R0158</t>
  </si>
  <si>
    <t xml:space="preserve">B2B</t>
  </si>
  <si>
    <t xml:space="preserve">R0159</t>
  </si>
  <si>
    <t xml:space="preserve">Senior Systems Analyst Card</t>
  </si>
  <si>
    <t xml:space="preserve">R0160</t>
  </si>
  <si>
    <t xml:space="preserve">R0161</t>
  </si>
  <si>
    <t xml:space="preserve">Lead Engineer - Software</t>
  </si>
  <si>
    <t xml:space="preserve">Z Supply</t>
  </si>
  <si>
    <t xml:space="preserve">R0162</t>
  </si>
  <si>
    <t xml:space="preserve">Lead  Engineer - Software</t>
  </si>
  <si>
    <t xml:space="preserve">R0163</t>
  </si>
  <si>
    <t xml:space="preserve">R0164</t>
  </si>
  <si>
    <t xml:space="preserve">Senior PM PEP1, PEP18</t>
  </si>
  <si>
    <t xml:space="preserve">R0165</t>
  </si>
  <si>
    <t xml:space="preserve">Energy</t>
  </si>
  <si>
    <t xml:space="preserve">R0166</t>
  </si>
  <si>
    <t xml:space="preserve">Lead Engineer Software</t>
  </si>
  <si>
    <t xml:space="preserve">EVCI</t>
  </si>
  <si>
    <t xml:space="preserve">R0167</t>
  </si>
  <si>
    <t xml:space="preserve">Energy Platforms Lead</t>
  </si>
  <si>
    <t xml:space="preserve">R0168</t>
  </si>
  <si>
    <t xml:space="preserve">Manager Identity &amp; Access Manageme</t>
  </si>
  <si>
    <t xml:space="preserve">Identity</t>
  </si>
  <si>
    <t xml:space="preserve">R0169</t>
  </si>
  <si>
    <t xml:space="preserve">Cyber Architecture Lead</t>
  </si>
  <si>
    <t xml:space="preserve">R0170</t>
  </si>
  <si>
    <t xml:space="preserve">Lead Reporting &amp; Insights</t>
  </si>
  <si>
    <t xml:space="preserve">Reporting &amp; Analytics</t>
  </si>
  <si>
    <t xml:space="preserve">R0171</t>
  </si>
  <si>
    <t xml:space="preserve">Lead Engineer</t>
  </si>
  <si>
    <t xml:space="preserve">R0172</t>
  </si>
  <si>
    <t xml:space="preserve">Application &amp; Analytics Manager</t>
  </si>
  <si>
    <t xml:space="preserve">EGI Ent Data</t>
  </si>
  <si>
    <t xml:space="preserve">R0173</t>
  </si>
  <si>
    <t xml:space="preserve">Data Architect</t>
  </si>
  <si>
    <t xml:space="preserve">R0174</t>
  </si>
  <si>
    <t xml:space="preserve">R0175</t>
  </si>
  <si>
    <t xml:space="preserve">R0176</t>
  </si>
  <si>
    <t xml:space="preserve">Senior Business Analyst</t>
  </si>
  <si>
    <t xml:space="preserve">R0177</t>
  </si>
  <si>
    <t xml:space="preserve">Senior Data Scientist</t>
  </si>
  <si>
    <t xml:space="preserve">Data Science</t>
  </si>
  <si>
    <t xml:space="preserve">R0178</t>
  </si>
  <si>
    <t xml:space="preserve">R0179</t>
  </si>
  <si>
    <t xml:space="preserve">R0180</t>
  </si>
  <si>
    <t xml:space="preserve">Distribution, Sales &amp; Servic</t>
  </si>
  <si>
    <t xml:space="preserve">R0181</t>
  </si>
  <si>
    <t xml:space="preserve">Cyber Offensive Security Lead</t>
  </si>
  <si>
    <t xml:space="preserve">R0182</t>
  </si>
  <si>
    <t xml:space="preserve">Cyber Security Architect</t>
  </si>
  <si>
    <t xml:space="preserve">R0183</t>
  </si>
  <si>
    <t xml:space="preserve">R0184</t>
  </si>
  <si>
    <t xml:space="preserve">JDE Senior Systems Specialist</t>
  </si>
  <si>
    <t xml:space="preserve">NZ Finance</t>
  </si>
  <si>
    <t xml:space="preserve">R0185</t>
  </si>
  <si>
    <t xml:space="preserve">R0186</t>
  </si>
  <si>
    <t xml:space="preserve">R0187</t>
  </si>
  <si>
    <t xml:space="preserve">Lead – Service Assurance</t>
  </si>
  <si>
    <t xml:space="preserve">R0188</t>
  </si>
  <si>
    <t xml:space="preserve">Integration Architect - Boomi</t>
  </si>
  <si>
    <t xml:space="preserve">Integration &amp; Process Automa</t>
  </si>
  <si>
    <t xml:space="preserve">R0189</t>
  </si>
  <si>
    <t xml:space="preserve">R0190</t>
  </si>
  <si>
    <t xml:space="preserve">R0191</t>
  </si>
  <si>
    <t xml:space="preserve">RPA Lead</t>
  </si>
  <si>
    <t xml:space="preserve">R0192</t>
  </si>
  <si>
    <t xml:space="preserve">Servicenow Platform Specialist</t>
  </si>
  <si>
    <t xml:space="preserve">Workplace &amp; Enterprise Tooli</t>
  </si>
  <si>
    <t xml:space="preserve">R0193</t>
  </si>
  <si>
    <t xml:space="preserve">R0194</t>
  </si>
  <si>
    <t xml:space="preserve">RETAIL</t>
  </si>
  <si>
    <t xml:space="preserve">R0195</t>
  </si>
  <si>
    <t xml:space="preserve">R0196</t>
  </si>
  <si>
    <t xml:space="preserve">Manager, Service Management &amp; Majo</t>
  </si>
  <si>
    <t xml:space="preserve">R0197</t>
  </si>
  <si>
    <t xml:space="preserve">Manager, Customer Support Operatio</t>
  </si>
  <si>
    <t xml:space="preserve">R0198</t>
  </si>
  <si>
    <t xml:space="preserve">Platform Architect</t>
  </si>
  <si>
    <t xml:space="preserve">R0199</t>
  </si>
  <si>
    <t xml:space="preserve">Snr Data Governance Specialist</t>
  </si>
  <si>
    <t xml:space="preserve">R0200</t>
  </si>
  <si>
    <t xml:space="preserve">Lead Engineer - Devops</t>
  </si>
  <si>
    <t xml:space="preserve">DevOps &amp; QE</t>
  </si>
  <si>
    <t xml:space="preserve">R0201</t>
  </si>
  <si>
    <t xml:space="preserve">Lead Engineer - Automation Test</t>
  </si>
  <si>
    <t xml:space="preserve">R0202</t>
  </si>
  <si>
    <t xml:space="preserve">Lead Engineer, Devops</t>
  </si>
  <si>
    <t xml:space="preserve">R0203</t>
  </si>
  <si>
    <t xml:space="preserve">Lead Engineer (Automation Test)</t>
  </si>
  <si>
    <t xml:space="preserve">Offshore hire planned</t>
  </si>
  <si>
    <t xml:space="preserve">R0204</t>
  </si>
  <si>
    <t xml:space="preserve">SAP ERP Application Lead</t>
  </si>
  <si>
    <t xml:space="preserve">EGI Finance</t>
  </si>
  <si>
    <t xml:space="preserve">R0205</t>
  </si>
  <si>
    <t xml:space="preserve">R0206</t>
  </si>
  <si>
    <t xml:space="preserve">Lead JDE Systems Specialist</t>
  </si>
  <si>
    <t xml:space="preserve">R0207</t>
  </si>
  <si>
    <t xml:space="preserve">R0208</t>
  </si>
  <si>
    <t xml:space="preserve">R0209</t>
  </si>
  <si>
    <t xml:space="preserve">Solution Architect - Finance</t>
  </si>
  <si>
    <t xml:space="preserve">R0210</t>
  </si>
  <si>
    <t xml:space="preserve">Cyber Security Operations Lead</t>
  </si>
  <si>
    <t xml:space="preserve">R0211</t>
  </si>
  <si>
    <t xml:space="preserve">Cloud Solutions Architect</t>
  </si>
  <si>
    <t xml:space="preserve">Cloud, Network &amp; Infra Ops</t>
  </si>
  <si>
    <t xml:space="preserve">R0212</t>
  </si>
  <si>
    <t xml:space="preserve">R0213</t>
  </si>
  <si>
    <t xml:space="preserve">R0214</t>
  </si>
  <si>
    <t xml:space="preserve">Business Analysis Practice Lead</t>
  </si>
  <si>
    <t xml:space="preserve">R0215</t>
  </si>
  <si>
    <t xml:space="preserve">R0216</t>
  </si>
  <si>
    <t xml:space="preserve">Delivery Lead (Cloud &amp; Network)</t>
  </si>
  <si>
    <t xml:space="preserve">R0217</t>
  </si>
  <si>
    <t xml:space="preserve">R0218</t>
  </si>
  <si>
    <t xml:space="preserve">Delivery Lead (Integrations)</t>
  </si>
  <si>
    <t xml:space="preserve">R0219</t>
  </si>
  <si>
    <t xml:space="preserve">R0220</t>
  </si>
  <si>
    <t xml:space="preserve">Lead Business Analyst</t>
  </si>
  <si>
    <t xml:space="preserve">R0221</t>
  </si>
  <si>
    <t xml:space="preserve">R0222</t>
  </si>
  <si>
    <t xml:space="preserve">Supply</t>
  </si>
  <si>
    <t xml:space="preserve">R0223</t>
  </si>
  <si>
    <t xml:space="preserve">R0224</t>
  </si>
  <si>
    <t xml:space="preserve">R0225</t>
  </si>
  <si>
    <t xml:space="preserve">R0226</t>
  </si>
  <si>
    <t xml:space="preserve">Delivery Lead - (P&amp;C)</t>
  </si>
  <si>
    <t xml:space="preserve">R0227</t>
  </si>
  <si>
    <t xml:space="preserve">Delivery Lead (JDE)</t>
  </si>
  <si>
    <t xml:space="preserve">R0228</t>
  </si>
  <si>
    <t xml:space="preserve">Delivery Lead (RTA)</t>
  </si>
  <si>
    <t xml:space="preserve">P&amp;C RTA</t>
  </si>
  <si>
    <t xml:space="preserve">R0229</t>
  </si>
  <si>
    <t xml:space="preserve">Delivery Lead (SAP)</t>
  </si>
  <si>
    <t xml:space="preserve">R0230</t>
  </si>
  <si>
    <t xml:space="preserve">Delivery Lead, EGI</t>
  </si>
  <si>
    <t xml:space="preserve">EGI P&amp;C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</si>
  <si>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</si>
  <si>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</si>
  <si>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</si>
  <si>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</si>
  <si>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</si>
  <si>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Data AU</t>
  </si>
  <si>
    <t xml:space="preserve">R0236</t>
  </si>
  <si>
    <t xml:space="preserve">Data NZ</t>
  </si>
  <si>
    <t xml:space="preserve">R0237</t>
  </si>
  <si>
    <t xml:space="preserve">Domain Architect - Customer &amp; Digi</t>
  </si>
  <si>
    <t xml:space="preserve">R0238</t>
  </si>
  <si>
    <t xml:space="preserve">Domain Architect - Retail &amp; Z</t>
  </si>
  <si>
    <t xml:space="preserve">R0239</t>
  </si>
  <si>
    <t xml:space="preserve">Domain Architect - TDD</t>
  </si>
  <si>
    <t xml:space="preserve">R0240</t>
  </si>
  <si>
    <t xml:space="preserve">Architect (AI Innovation)</t>
  </si>
  <si>
    <t xml:space="preserve">R0241</t>
  </si>
  <si>
    <t xml:space="preserve">FinOps Manager</t>
  </si>
  <si>
    <t xml:space="preserve">R0242</t>
  </si>
  <si>
    <t xml:space="preserve">Manager - Infrastructure Operation</t>
  </si>
  <si>
    <t xml:space="preserve">R0243</t>
  </si>
  <si>
    <t xml:space="preserve">Nework Architect</t>
  </si>
  <si>
    <t xml:space="preserve">R0244</t>
  </si>
  <si>
    <t xml:space="preserve">R0245</t>
  </si>
  <si>
    <t xml:space="preserve">Trading &amp; Shipping Data</t>
  </si>
  <si>
    <t xml:space="preserve">R0246</t>
  </si>
  <si>
    <t xml:space="preserve">R0247</t>
  </si>
  <si>
    <t xml:space="preserve">Lead engineer Data</t>
  </si>
  <si>
    <t xml:space="preserve">R0248</t>
  </si>
  <si>
    <t xml:space="preserve">Data Application Specialist </t>
  </si>
  <si>
    <t xml:space="preserve">R0249</t>
  </si>
  <si>
    <t xml:space="preserve">R0250</t>
  </si>
  <si>
    <t xml:space="preserve">R0251</t>
  </si>
  <si>
    <t xml:space="preserve">Integration Architect   </t>
  </si>
  <si>
    <t xml:space="preserve">R0252</t>
  </si>
  <si>
    <t xml:space="preserve">R0253</t>
  </si>
  <si>
    <t xml:space="preserve">Lead Data Analyst</t>
  </si>
  <si>
    <t xml:space="preserve">R0254</t>
  </si>
  <si>
    <t xml:space="preserve">Delivery Capacity &amp; Assurance Lead</t>
  </si>
  <si>
    <t xml:space="preserve">R0255</t>
  </si>
  <si>
    <t xml:space="preserve">POS</t>
  </si>
  <si>
    <t xml:space="preserve">R0256</t>
  </si>
  <si>
    <t xml:space="preserve">R0257</t>
  </si>
  <si>
    <t xml:space="preserve">R0258</t>
  </si>
  <si>
    <t xml:space="preserve">Manager - AU Retail Operations</t>
  </si>
  <si>
    <t xml:space="preserve">Store Operations</t>
  </si>
  <si>
    <t xml:space="preserve">R0259</t>
  </si>
  <si>
    <t xml:space="preserve">Release &amp; Deployment Manager</t>
  </si>
  <si>
    <t xml:space="preserve">Deployment</t>
  </si>
  <si>
    <t xml:space="preserve">R0260</t>
  </si>
  <si>
    <t xml:space="preserve">R0261</t>
  </si>
  <si>
    <t xml:space="preserve">R0262</t>
  </si>
  <si>
    <t xml:space="preserve">Above Store</t>
  </si>
  <si>
    <t xml:space="preserve">R0263</t>
  </si>
  <si>
    <t xml:space="preserve">Senior Cyber Project Manager</t>
  </si>
  <si>
    <t xml:space="preserve">R0264</t>
  </si>
  <si>
    <t xml:space="preserve">R0265</t>
  </si>
  <si>
    <t xml:space="preserve">Snr Engineer - BE</t>
  </si>
  <si>
    <t xml:space="preserve">R0266</t>
  </si>
  <si>
    <t xml:space="preserve">Senior Engineer - BE</t>
  </si>
  <si>
    <t xml:space="preserve">R0267</t>
  </si>
  <si>
    <t xml:space="preserve">Senior Quality Assurance</t>
  </si>
  <si>
    <t xml:space="preserve">R0268</t>
  </si>
  <si>
    <t xml:space="preserve">Snr Engineer - FE</t>
  </si>
  <si>
    <t xml:space="preserve">R0269</t>
  </si>
  <si>
    <t xml:space="preserve">Engineer - Mobile (ios)</t>
  </si>
  <si>
    <t xml:space="preserve">R0270</t>
  </si>
  <si>
    <t xml:space="preserve">R0271</t>
  </si>
  <si>
    <t xml:space="preserve">Engineer - Mobile (Android)</t>
  </si>
  <si>
    <t xml:space="preserve">R0272</t>
  </si>
  <si>
    <t xml:space="preserve">Engineer - Mobile (iOS)</t>
  </si>
  <si>
    <t xml:space="preserve">R0273</t>
  </si>
  <si>
    <t xml:space="preserve">AI Engineer - Front End</t>
  </si>
  <si>
    <t xml:space="preserve">R0274</t>
  </si>
  <si>
    <t xml:space="preserve">AI Engineer - Full Stack </t>
  </si>
  <si>
    <t xml:space="preserve">R0275</t>
  </si>
  <si>
    <t xml:space="preserve">R0276</t>
  </si>
  <si>
    <t xml:space="preserve">Engineer Data (Snowflake)</t>
  </si>
  <si>
    <t xml:space="preserve">R0277</t>
  </si>
  <si>
    <t xml:space="preserve">Data Analyst</t>
  </si>
  <si>
    <t xml:space="preserve">R0278</t>
  </si>
  <si>
    <t xml:space="preserve">R0279</t>
  </si>
  <si>
    <t xml:space="preserve">Engineer, Software</t>
  </si>
  <si>
    <t xml:space="preserve">R0280</t>
  </si>
  <si>
    <t xml:space="preserve">Snr Engineer, Data</t>
  </si>
  <si>
    <t xml:space="preserve">R0281</t>
  </si>
  <si>
    <t xml:space="preserve">Lead Engineer (Snowflake)</t>
  </si>
  <si>
    <t xml:space="preserve">R0282</t>
  </si>
  <si>
    <t xml:space="preserve">Systems Analyst</t>
  </si>
  <si>
    <t xml:space="preserve">R0283</t>
  </si>
  <si>
    <t xml:space="preserve">Lead Engineer Applications</t>
  </si>
  <si>
    <t xml:space="preserve">R0284</t>
  </si>
  <si>
    <t xml:space="preserve">System Specialist</t>
  </si>
  <si>
    <t xml:space="preserve">R0285</t>
  </si>
  <si>
    <t xml:space="preserve">R0286</t>
  </si>
  <si>
    <t xml:space="preserve">Lead – Service Desk</t>
  </si>
  <si>
    <t xml:space="preserve">R0287</t>
  </si>
  <si>
    <t xml:space="preserve">Lead – Technology Support</t>
  </si>
  <si>
    <t xml:space="preserve">R0288</t>
  </si>
  <si>
    <t xml:space="preserve">Lead – Change &amp; Release Management</t>
  </si>
  <si>
    <t xml:space="preserve">R0289</t>
  </si>
  <si>
    <t xml:space="preserve">Engineer</t>
  </si>
  <si>
    <t xml:space="preserve">R0290</t>
  </si>
  <si>
    <t xml:space="preserve">R0291</t>
  </si>
  <si>
    <t xml:space="preserve">R0292</t>
  </si>
  <si>
    <t xml:space="preserve">Service Transition Lead</t>
  </si>
  <si>
    <t xml:space="preserve">R0293</t>
  </si>
  <si>
    <t xml:space="preserve">Engineer Data  </t>
  </si>
  <si>
    <t xml:space="preserve">R0294</t>
  </si>
  <si>
    <t xml:space="preserve">Cyber GRC Analyst</t>
  </si>
  <si>
    <t xml:space="preserve">R0295</t>
  </si>
  <si>
    <t xml:space="preserve">R0296</t>
  </si>
  <si>
    <t xml:space="preserve">Senior Systems Analyst - Card</t>
  </si>
  <si>
    <t xml:space="preserve">R0297</t>
  </si>
  <si>
    <t xml:space="preserve">Engineer Software</t>
  </si>
  <si>
    <t xml:space="preserve">R0298</t>
  </si>
  <si>
    <t xml:space="preserve">Senior Engineer - Software</t>
  </si>
  <si>
    <t xml:space="preserve">R0299</t>
  </si>
  <si>
    <t xml:space="preserve">Engineer - Software</t>
  </si>
  <si>
    <t xml:space="preserve">R0300</t>
  </si>
  <si>
    <t xml:space="preserve">Snr Engineer Software</t>
  </si>
  <si>
    <t xml:space="preserve">R0301</t>
  </si>
  <si>
    <t xml:space="preserve">R0302</t>
  </si>
  <si>
    <t xml:space="preserve">R0303</t>
  </si>
  <si>
    <t xml:space="preserve">Engineer Automation - Testing</t>
  </si>
  <si>
    <t xml:space="preserve">R0304</t>
  </si>
  <si>
    <t xml:space="preserve">R0305</t>
  </si>
  <si>
    <t xml:space="preserve">Engineer - DevOps</t>
  </si>
  <si>
    <t xml:space="preserve">R0306</t>
  </si>
  <si>
    <t xml:space="preserve">R0307</t>
  </si>
  <si>
    <t xml:space="preserve">R0308</t>
  </si>
  <si>
    <t xml:space="preserve">Engineer - IDAM</t>
  </si>
  <si>
    <t xml:space="preserve">R0309</t>
  </si>
  <si>
    <t xml:space="preserve">R0310</t>
  </si>
  <si>
    <t xml:space="preserve">R0311</t>
  </si>
  <si>
    <t xml:space="preserve">Cloud Operations Engineer</t>
  </si>
  <si>
    <t xml:space="preserve">R0312</t>
  </si>
  <si>
    <t xml:space="preserve">Network Operations Engineer</t>
  </si>
  <si>
    <t xml:space="preserve">R0313</t>
  </si>
  <si>
    <t xml:space="preserve">Infrastructure Operations Lead</t>
  </si>
  <si>
    <t xml:space="preserve">R0314</t>
  </si>
  <si>
    <t xml:space="preserve">Snr BA</t>
  </si>
  <si>
    <t xml:space="preserve">R0315</t>
  </si>
  <si>
    <t xml:space="preserve">Data Scientist</t>
  </si>
  <si>
    <t xml:space="preserve">R0316</t>
  </si>
  <si>
    <t xml:space="preserve">R0317</t>
  </si>
  <si>
    <t xml:space="preserve">R0318</t>
  </si>
  <si>
    <t xml:space="preserve">Senior Engineer</t>
  </si>
  <si>
    <t xml:space="preserve">R0319</t>
  </si>
  <si>
    <t xml:space="preserve">R0320</t>
  </si>
  <si>
    <t xml:space="preserve">R0321</t>
  </si>
  <si>
    <t xml:space="preserve">R0322</t>
  </si>
  <si>
    <t xml:space="preserve">Engineer - Data</t>
  </si>
  <si>
    <t xml:space="preserve">R0323</t>
  </si>
  <si>
    <t xml:space="preserve">R0324</t>
  </si>
  <si>
    <t xml:space="preserve">R0325</t>
  </si>
  <si>
    <t xml:space="preserve">R0326</t>
  </si>
  <si>
    <t xml:space="preserve">Senior Communications Advisor</t>
  </si>
  <si>
    <t xml:space="preserve">R0327</t>
  </si>
  <si>
    <t xml:space="preserve">Deployment Lead</t>
  </si>
  <si>
    <t xml:space="preserve">R0328</t>
  </si>
  <si>
    <t xml:space="preserve">Project Manager – Deployments</t>
  </si>
  <si>
    <t xml:space="preserve">R0329</t>
  </si>
  <si>
    <t xml:space="preserve">Lead – Asset &amp; Configuration</t>
  </si>
  <si>
    <t xml:space="preserve">R0330</t>
  </si>
  <si>
    <t xml:space="preserve">Lead – Service Performance &amp; Insig</t>
  </si>
  <si>
    <t xml:space="preserve">R0331</t>
  </si>
  <si>
    <t xml:space="preserve">Snr Engineer - Boomi</t>
  </si>
  <si>
    <t xml:space="preserve">R0332</t>
  </si>
  <si>
    <t xml:space="preserve">Workplace Tooling Specialist</t>
  </si>
  <si>
    <t xml:space="preserve">R0333</t>
  </si>
  <si>
    <t xml:space="preserve">Enterprise Systems Specialist</t>
  </si>
  <si>
    <t xml:space="preserve">R0334</t>
  </si>
  <si>
    <t xml:space="preserve">R0335</t>
  </si>
  <si>
    <t xml:space="preserve">Reporting analysts - Strategic Pro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</si>
  <si>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</si>
  <si>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</si>
  <si>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</si>
  <si>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</si>
  <si>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</si>
  <si>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</si>
  <si>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Delivery Systems Analyst</t>
  </si>
  <si>
    <t xml:space="preserve">R0342</t>
  </si>
  <si>
    <t xml:space="preserve">Applications Specialist - Demand P</t>
  </si>
  <si>
    <t xml:space="preserve">R0343</t>
  </si>
  <si>
    <t xml:space="preserve">Applications Specialist</t>
  </si>
  <si>
    <t xml:space="preserve">R0344</t>
  </si>
  <si>
    <t xml:space="preserve">R0345</t>
  </si>
  <si>
    <t xml:space="preserve">Applications Specialist - Strategi</t>
  </si>
  <si>
    <t xml:space="preserve">R0346</t>
  </si>
  <si>
    <t xml:space="preserve">Project Finance Lead</t>
  </si>
  <si>
    <t xml:space="preserve">R0347</t>
  </si>
  <si>
    <t xml:space="preserve">Data Governance Specialist</t>
  </si>
  <si>
    <t xml:space="preserve">R0348</t>
  </si>
  <si>
    <t xml:space="preserve">Data Enablement Lead</t>
  </si>
  <si>
    <t xml:space="preserve">R0349</t>
  </si>
  <si>
    <t xml:space="preserve">Data Adoption Specialist</t>
  </si>
  <si>
    <t xml:space="preserve">R0350</t>
  </si>
  <si>
    <t xml:space="preserve">Environments and Test Data Manager</t>
  </si>
  <si>
    <t xml:space="preserve">R0351</t>
  </si>
  <si>
    <t xml:space="preserve">Integration Specialist (ASAPIO CTR</t>
  </si>
  <si>
    <t xml:space="preserve">Jan-2027</t>
  </si>
  <si>
    <t xml:space="preserve">R0352</t>
  </si>
  <si>
    <t xml:space="preserve">Senior Engineer (Automation Test)</t>
  </si>
  <si>
    <t xml:space="preserve">R0353</t>
  </si>
  <si>
    <t xml:space="preserve">R0354</t>
  </si>
  <si>
    <t xml:space="preserve">Cyber Security Analyst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</si>
  <si>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</si>
  <si>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</si>
  <si>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</si>
  <si>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</si>
  <si>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</si>
  <si>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</si>
  <si>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Engineer - Integration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</si>
  <si>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</si>
  <si>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</si>
  <si>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</si>
  <si>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</si>
  <si>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</si>
  <si>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Senior Engineer Data</t>
  </si>
  <si>
    <t xml:space="preserve">R0366</t>
  </si>
  <si>
    <t xml:space="preserve">Engineer Data</t>
  </si>
  <si>
    <t xml:space="preserve">R0367</t>
  </si>
  <si>
    <t xml:space="preserve">Service &amp; Contract Specialist AU</t>
  </si>
  <si>
    <t xml:space="preserve">R0368</t>
  </si>
  <si>
    <t xml:space="preserve">Software Asset Specialist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</si>
  <si>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</si>
  <si>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</si>
  <si>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</si>
  <si>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</si>
  <si>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</si>
  <si>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Business Analyst (Integrations)</t>
  </si>
  <si>
    <t xml:space="preserve">R0374</t>
  </si>
  <si>
    <t xml:space="preserve">R0375</t>
  </si>
  <si>
    <t xml:space="preserve">R0376</t>
  </si>
  <si>
    <t xml:space="preserve">Delivery Lead - EGI</t>
  </si>
  <si>
    <t xml:space="preserve">R0377</t>
  </si>
  <si>
    <t xml:space="preserve">R0378</t>
  </si>
  <si>
    <t xml:space="preserve">Business Analyst (Workplace &amp; Ente</t>
  </si>
  <si>
    <t xml:space="preserve">R0379</t>
  </si>
  <si>
    <t xml:space="preserve">Business Analyst (P&amp;C RTA)</t>
  </si>
  <si>
    <t xml:space="preserve">R0380</t>
  </si>
  <si>
    <t xml:space="preserve">Enterprise Process Lead</t>
  </si>
  <si>
    <t xml:space="preserve">R0381</t>
  </si>
  <si>
    <t xml:space="preserve">Release &amp; Environments Manager</t>
  </si>
  <si>
    <t xml:space="preserve">R0382</t>
  </si>
  <si>
    <t xml:space="preserve">Snr Engineer</t>
  </si>
  <si>
    <t xml:space="preserve">R0383</t>
  </si>
  <si>
    <t xml:space="preserve">Data Engineer Analyst</t>
  </si>
  <si>
    <t xml:space="preserve">R0384</t>
  </si>
  <si>
    <t xml:space="preserve">R0385</t>
  </si>
  <si>
    <t xml:space="preserve">R0386</t>
  </si>
  <si>
    <t xml:space="preserve">Senior Engineer Automation Testing</t>
  </si>
  <si>
    <t xml:space="preserve">R0387</t>
  </si>
  <si>
    <t xml:space="preserve">R0388</t>
  </si>
  <si>
    <t xml:space="preserve">R0389</t>
  </si>
  <si>
    <t xml:space="preserve">Lead - AU Retail Operations</t>
  </si>
  <si>
    <t xml:space="preserve">R0390</t>
  </si>
  <si>
    <t xml:space="preserve">R0391</t>
  </si>
  <si>
    <t xml:space="preserve">R0392</t>
  </si>
  <si>
    <t xml:space="preserve">Payments</t>
  </si>
  <si>
    <t xml:space="preserve">R0393</t>
  </si>
  <si>
    <t xml:space="preserve">Engineer Integration</t>
  </si>
  <si>
    <t xml:space="preserve">R0394</t>
  </si>
  <si>
    <t xml:space="preserve">Support Analyst -Retail</t>
  </si>
  <si>
    <t xml:space="preserve">R0395</t>
  </si>
  <si>
    <t xml:space="preserve">R0396</t>
  </si>
  <si>
    <t xml:space="preserve">Network &amp; QSR</t>
  </si>
  <si>
    <t xml:space="preserve">R0397</t>
  </si>
  <si>
    <t xml:space="preserve">R0398</t>
  </si>
  <si>
    <t xml:space="preserve">R0399</t>
  </si>
  <si>
    <t xml:space="preserve">R0400</t>
  </si>
  <si>
    <t xml:space="preserve">Technology &amp; Lab Specialist Stores</t>
  </si>
  <si>
    <t xml:space="preserve">R0401</t>
  </si>
  <si>
    <t xml:space="preserve">R0402</t>
  </si>
  <si>
    <t xml:space="preserve">R0403</t>
  </si>
  <si>
    <t xml:space="preserve">Cyber Technical Business Analyst</t>
  </si>
  <si>
    <t xml:space="preserve">R0404</t>
  </si>
  <si>
    <t xml:space="preserve">Cyber Business Analyst</t>
  </si>
  <si>
    <t xml:space="preserve">R0405</t>
  </si>
  <si>
    <t xml:space="preserve">Associate Experience Designer</t>
  </si>
  <si>
    <t xml:space="preserve">R0406</t>
  </si>
  <si>
    <t xml:space="preserve">R0407</t>
  </si>
  <si>
    <t xml:space="preserve">R0408</t>
  </si>
  <si>
    <t xml:space="preserve">Associate Engineer - BE</t>
  </si>
  <si>
    <t xml:space="preserve">R0409</t>
  </si>
  <si>
    <t xml:space="preserve">R0410</t>
  </si>
  <si>
    <t xml:space="preserve">Martech Specialist</t>
  </si>
  <si>
    <t xml:space="preserve">R0411</t>
  </si>
  <si>
    <t xml:space="preserve">R0412</t>
  </si>
  <si>
    <t xml:space="preserve">R0413</t>
  </si>
  <si>
    <t xml:space="preserve">Service Delivery Lead</t>
  </si>
  <si>
    <t xml:space="preserve">R0414</t>
  </si>
  <si>
    <t xml:space="preserve">R0415</t>
  </si>
  <si>
    <t xml:space="preserve">R0416</t>
  </si>
  <si>
    <t xml:space="preserve">R0417</t>
  </si>
  <si>
    <t xml:space="preserve">Technology Support Engineer</t>
  </si>
  <si>
    <t xml:space="preserve">R0418</t>
  </si>
  <si>
    <t xml:space="preserve">R0419</t>
  </si>
  <si>
    <t xml:space="preserve">Lead Technology Support  </t>
  </si>
  <si>
    <t xml:space="preserve">R0420</t>
  </si>
  <si>
    <t xml:space="preserve">R0421</t>
  </si>
  <si>
    <t xml:space="preserve">Senior Quality Assurance </t>
  </si>
  <si>
    <t xml:space="preserve">R0422</t>
  </si>
  <si>
    <t xml:space="preserve">Senior Site Systems Analyst</t>
  </si>
  <si>
    <t xml:space="preserve">R0423</t>
  </si>
  <si>
    <t xml:space="preserve">Lead – Service Management, Retail</t>
  </si>
  <si>
    <t xml:space="preserve">R0424</t>
  </si>
  <si>
    <t xml:space="preserve">R0425</t>
  </si>
  <si>
    <t xml:space="preserve">R0426</t>
  </si>
  <si>
    <t xml:space="preserve">Systems Specialist</t>
  </si>
  <si>
    <t xml:space="preserve">R0427</t>
  </si>
  <si>
    <t xml:space="preserve">R0428</t>
  </si>
  <si>
    <t xml:space="preserve">R0429</t>
  </si>
  <si>
    <t xml:space="preserve">System Analyst Card</t>
  </si>
  <si>
    <t xml:space="preserve">R0430</t>
  </si>
  <si>
    <t xml:space="preserve">R0431</t>
  </si>
  <si>
    <t xml:space="preserve">Senior Engineer - DevOps</t>
  </si>
  <si>
    <t xml:space="preserve">R0432</t>
  </si>
  <si>
    <t xml:space="preserve">R0433</t>
  </si>
  <si>
    <t xml:space="preserve">R0434</t>
  </si>
  <si>
    <t xml:space="preserve">R0435</t>
  </si>
  <si>
    <t xml:space="preserve">Field Systems Operations Lead - VI</t>
  </si>
  <si>
    <t xml:space="preserve">R0436</t>
  </si>
  <si>
    <t xml:space="preserve">Field Systems Operations Lead - NS</t>
  </si>
  <si>
    <t xml:space="preserve">R0437</t>
  </si>
  <si>
    <t xml:space="preserve">Field Systems Operations Lead - QL</t>
  </si>
  <si>
    <t xml:space="preserve">R0438</t>
  </si>
  <si>
    <t xml:space="preserve">Field Systems Operations Lead - WA</t>
  </si>
  <si>
    <t xml:space="preserve">R0439</t>
  </si>
  <si>
    <t xml:space="preserve">Support Analyst - Field Operations</t>
  </si>
  <si>
    <t xml:space="preserve">R0440</t>
  </si>
  <si>
    <t xml:space="preserve">Technology Support Engineer - Infr</t>
  </si>
  <si>
    <t xml:space="preserve">Technology Support</t>
  </si>
  <si>
    <t xml:space="preserve">R0441</t>
  </si>
  <si>
    <t xml:space="preserve">R0442</t>
  </si>
  <si>
    <t xml:space="preserve">R0443</t>
  </si>
  <si>
    <t xml:space="preserve">Snr Quality Assurance</t>
  </si>
  <si>
    <t xml:space="preserve">R0444</t>
  </si>
  <si>
    <t xml:space="preserve">Lead Technology Support - Infrastr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</si>
  <si>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</si>
  <si>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</si>
  <si>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</si>
  <si>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</si>
  <si>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</si>
  <si>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Infrastructure Engineer</t>
  </si>
  <si>
    <t xml:space="preserve">R0450</t>
  </si>
  <si>
    <t xml:space="preserve">R0451</t>
  </si>
  <si>
    <t xml:space="preserve">R0452</t>
  </si>
  <si>
    <t xml:space="preserve">R0453</t>
  </si>
  <si>
    <t xml:space="preserve">Configuration Analyst</t>
  </si>
  <si>
    <t xml:space="preserve">R0454</t>
  </si>
  <si>
    <t xml:space="preserve">Senior QA Analyst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</si>
  <si>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</si>
  <si>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</si>
  <si>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</si>
  <si>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</si>
  <si>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</si>
  <si>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</si>
  <si>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Engineer - Modern Workplaces</t>
  </si>
  <si>
    <t xml:space="preserve">R0461</t>
  </si>
  <si>
    <t xml:space="preserve">R0462</t>
  </si>
  <si>
    <t xml:space="preserve">R0463</t>
  </si>
  <si>
    <t xml:space="preserve">Portfolio Analyst</t>
  </si>
  <si>
    <t xml:space="preserve">R0464</t>
  </si>
  <si>
    <t xml:space="preserve">Technology Finance Analyst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</si>
  <si>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</si>
  <si>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</si>
  <si>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</si>
  <si>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</si>
  <si>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</si>
  <si>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Service &amp; Contract Specialist NZ</t>
  </si>
  <si>
    <t xml:space="preserve">R0470</t>
  </si>
  <si>
    <t xml:space="preserve">Lead, Service Management</t>
  </si>
  <si>
    <t xml:space="preserve">R0471</t>
  </si>
  <si>
    <t xml:space="preserve">R0472</t>
  </si>
  <si>
    <t xml:space="preserve">R0473</t>
  </si>
  <si>
    <t xml:space="preserve">EnterpriseProcess Analyst</t>
  </si>
  <si>
    <t xml:space="preserve">R0474</t>
  </si>
  <si>
    <t xml:space="preserve">Strategy Analyst</t>
  </si>
  <si>
    <t xml:space="preserve">R0475</t>
  </si>
  <si>
    <t xml:space="preserve">Asset Analyst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</si>
  <si>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</si>
  <si>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</si>
  <si>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</si>
  <si>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</si>
  <si>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</si>
  <si>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Scrum Master</t>
  </si>
  <si>
    <t xml:space="preserve">R0481</t>
  </si>
  <si>
    <t xml:space="preserve">R0482</t>
  </si>
  <si>
    <t xml:space="preserve">R0483</t>
  </si>
  <si>
    <t xml:space="preserve">Senior Engineer Software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</si>
  <si>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</si>
  <si>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</si>
  <si>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</si>
  <si>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</si>
  <si>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</si>
  <si>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</si>
  <si>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</si>
  <si>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</si>
  <si>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Intermediate Quality Assurance</t>
  </si>
  <si>
    <t xml:space="preserve">R0492</t>
  </si>
  <si>
    <t xml:space="preserve">R0493</t>
  </si>
  <si>
    <t xml:space="preserve">Site Systems Analyst</t>
  </si>
  <si>
    <t xml:space="preserve">R0494</t>
  </si>
  <si>
    <t xml:space="preserve">R0495</t>
  </si>
  <si>
    <t xml:space="preserve">R0496</t>
  </si>
  <si>
    <t xml:space="preserve">Tech Support Technician</t>
  </si>
  <si>
    <t xml:space="preserve">R0497</t>
  </si>
  <si>
    <t xml:space="preserve">Deployment Coordinator</t>
  </si>
  <si>
    <t xml:space="preserve">R0498</t>
  </si>
  <si>
    <t xml:space="preserve">Snr Finance Support Administrator</t>
  </si>
  <si>
    <t xml:space="preserve">R0499</t>
  </si>
  <si>
    <t xml:space="preserve">R0500</t>
  </si>
  <si>
    <t xml:space="preserve">Project Coordinator</t>
  </si>
  <si>
    <t xml:space="preserve">R0501</t>
  </si>
  <si>
    <t xml:space="preserve">QA Analyst</t>
  </si>
  <si>
    <t xml:space="preserve">R0502</t>
  </si>
  <si>
    <t xml:space="preserve">Engineer, Sotware</t>
  </si>
  <si>
    <t xml:space="preserve">R0503</t>
  </si>
  <si>
    <t xml:space="preserve">Engineer, Dev Ops</t>
  </si>
  <si>
    <t xml:space="preserve">R0504</t>
  </si>
  <si>
    <t xml:space="preserve">R0505</t>
  </si>
  <si>
    <t xml:space="preserve">R0506</t>
  </si>
  <si>
    <t xml:space="preserve">Associate Engineer - Automation Te</t>
  </si>
  <si>
    <t xml:space="preserve">R0507</t>
  </si>
  <si>
    <t xml:space="preserve">Graduate</t>
  </si>
  <si>
    <t xml:space="preserve">R0508</t>
  </si>
  <si>
    <t xml:space="preserve">R0509</t>
  </si>
  <si>
    <t xml:space="preserve">R0510</t>
  </si>
  <si>
    <t xml:space="preserve">R0511</t>
  </si>
  <si>
    <t xml:space="preserve">JDE Systems Specialist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</si>
  <si>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</si>
  <si>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</si>
  <si>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</si>
  <si>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</si>
  <si>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</si>
  <si>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</si>
  <si>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</si>
  <si>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</si>
  <si>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</si>
  <si>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Associate Engineer - Software</t>
  </si>
  <si>
    <t xml:space="preserve">R0521</t>
  </si>
  <si>
    <t xml:space="preserve">R0522</t>
  </si>
  <si>
    <t xml:space="preserve">Associate Engineer- Software</t>
  </si>
  <si>
    <t xml:space="preserve">R0523</t>
  </si>
  <si>
    <t xml:space="preserve">Associate Engineer Software</t>
  </si>
  <si>
    <t xml:space="preserve">R0524</t>
  </si>
  <si>
    <t xml:space="preserve">Senior Data Analyst</t>
  </si>
  <si>
    <t xml:space="preserve">R0525</t>
  </si>
  <si>
    <t xml:space="preserve">R0526</t>
  </si>
  <si>
    <t xml:space="preserve">R0527</t>
  </si>
  <si>
    <t xml:space="preserve">Data Engineer (Offshore)</t>
  </si>
  <si>
    <t xml:space="preserve">Enterprise Data Delivery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</si>
  <si>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</si>
  <si>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</si>
  <si>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</si>
  <si>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</si>
  <si>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</si>
  <si>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</si>
  <si>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</si>
  <si>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</si>
  <si>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</si>
  <si>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Cyber Architect (backfill for EGI </t>
  </si>
  <si>
    <t xml:space="preserve">R0537</t>
  </si>
  <si>
    <t xml:space="preserve">Operations Analyst</t>
  </si>
  <si>
    <t xml:space="preserve">R0538</t>
  </si>
  <si>
    <t xml:space="preserve">R0539</t>
  </si>
  <si>
    <t xml:space="preserve">Data Risk Analyst</t>
  </si>
  <si>
    <t xml:space="preserve">R0540</t>
  </si>
  <si>
    <t xml:space="preserve">EE Number</t>
  </si>
  <si>
    <t xml:space="preserve">Name</t>
  </si>
  <si>
    <t xml:space="preserve">Position Title</t>
  </si>
  <si>
    <t xml:space="preserve">Reports to name</t>
  </si>
  <si>
    <t xml:space="preserve">Reports to Position</t>
  </si>
  <si>
    <t xml:space="preserve">Division (GM)</t>
  </si>
  <si>
    <t xml:space="preserve">Department (GM-1)</t>
  </si>
  <si>
    <t xml:space="preserve">Team (GM-2)</t>
  </si>
  <si>
    <t xml:space="preserve">Platform</t>
  </si>
  <si>
    <t xml:space="preserve">Squad</t>
  </si>
  <si>
    <t xml:space="preserve">CC</t>
  </si>
  <si>
    <t xml:space="preserve">Job Level</t>
  </si>
  <si>
    <t xml:space="preserve">Vacant Column</t>
  </si>
  <si>
    <t xml:space="preserve">Type</t>
  </si>
  <si>
    <t xml:space="preserve">Unit</t>
  </si>
  <si>
    <t xml:space="preserve">day rate</t>
  </si>
  <si>
    <t xml:space="preserve">FTE Base
 Local</t>
  </si>
  <si>
    <t xml:space="preserve">FTE Base 
AUD</t>
  </si>
  <si>
    <t xml:space="preserve">STI</t>
  </si>
  <si>
    <t xml:space="preserve">Payroll</t>
  </si>
  <si>
    <t xml:space="preserve">Pensions</t>
  </si>
  <si>
    <t xml:space="preserve">medical</t>
  </si>
  <si>
    <t xml:space="preserve">CPI</t>
  </si>
  <si>
    <t xml:space="preserve">Full Cost 
AUD</t>
  </si>
  <si>
    <t xml:space="preserve">MyHR ee no</t>
  </si>
  <si>
    <t xml:space="preserve">Effective cost (AUD)</t>
  </si>
  <si>
    <t xml:space="preserve">MStatus</t>
  </si>
  <si>
    <t xml:space="preserve">Ring fenced</t>
  </si>
  <si>
    <t xml:space="preserve">MTab</t>
  </si>
  <si>
    <t xml:space="preserve">Squad (canonical, from col L)</t>
  </si>
  <si>
    <t xml:space="preserve">Overhead line</t>
  </si>
  <si>
    <t xml:space="preserve">Squad or overhead line</t>
  </si>
  <si>
    <t xml:space="preserve">EGI funded</t>
  </si>
  <si>
    <t xml:space="preserve">Status (PCM)</t>
  </si>
  <si>
    <t xml:space="preserve">Commentry (PCM)</t>
  </si>
  <si>
    <t xml:space="preserve">End date (PCM)</t>
  </si>
  <si>
    <t xml:space="preserve">Country side (AU or NZ)</t>
  </si>
  <si>
    <t xml:space="preserve">C</t>
  </si>
  <si>
    <t xml:space="preserve">Alan Peng</t>
  </si>
  <si>
    <t xml:space="preserve">Adriel Jeyanandhan</t>
  </si>
  <si>
    <t xml:space="preserve">Delivery Manager, Digital</t>
  </si>
  <si>
    <t xml:space="preserve">Customer</t>
  </si>
  <si>
    <t xml:space="preserve">Digital</t>
  </si>
  <si>
    <t xml:space="preserve">Digital, Delivery</t>
  </si>
  <si>
    <t xml:space="preserve">Australia</t>
  </si>
  <si>
    <t xml:space="preserve">Contractor</t>
  </si>
  <si>
    <t xml:space="preserve">Day</t>
  </si>
  <si>
    <t xml:space="preserve">End Date: 28/08/2026</t>
  </si>
  <si>
    <t xml:space="preserve">Lily Fong</t>
  </si>
  <si>
    <t xml:space="preserve">Ampol Digital</t>
  </si>
  <si>
    <t xml:space="preserve">Contractor (CXC)</t>
  </si>
  <si>
    <t xml:space="preserve">End Date: 8/08/2026</t>
  </si>
  <si>
    <t xml:space="preserve">Peter (Won) Lee</t>
  </si>
  <si>
    <t xml:space="preserve">End Date: 2/01/2027</t>
  </si>
  <si>
    <t xml:space="preserve">Harish Dasari</t>
  </si>
  <si>
    <t xml:space="preserve">Areum Kim-Lee</t>
  </si>
  <si>
    <t xml:space="preserve">GM TDD, EGI</t>
  </si>
  <si>
    <t xml:space="preserve">na</t>
  </si>
  <si>
    <t xml:space="preserve">cxc</t>
  </si>
  <si>
    <t xml:space="preserve">daily</t>
  </si>
  <si>
    <t xml:space="preserve">Niall Greene</t>
  </si>
  <si>
    <t xml:space="preserve">Daily</t>
  </si>
  <si>
    <t xml:space="preserve">c</t>
  </si>
  <si>
    <t xml:space="preserve">Paul Hassey</t>
  </si>
  <si>
    <t xml:space="preserve">Ed Tacey</t>
  </si>
  <si>
    <t xml:space="preserve">Ahmed Yehya</t>
  </si>
  <si>
    <t xml:space="preserve">Greg Cassis</t>
  </si>
  <si>
    <t xml:space="preserve">Anthony Huynh</t>
  </si>
  <si>
    <t xml:space="preserve">australia</t>
  </si>
  <si>
    <t xml:space="preserve">Areum Kim Lee</t>
  </si>
  <si>
    <t xml:space="preserve">James Munt</t>
  </si>
  <si>
    <t xml:space="preserve">Jason McNamara</t>
  </si>
  <si>
    <t xml:space="preserve">Karl Reyneke</t>
  </si>
  <si>
    <t xml:space="preserve">michelle Siegman</t>
  </si>
  <si>
    <t xml:space="preserve">vijay Solanki</t>
  </si>
  <si>
    <t xml:space="preserve">greg Cassis</t>
  </si>
  <si>
    <t xml:space="preserve">Simrat Singh</t>
  </si>
  <si>
    <t xml:space="preserve">Jaya Ganasan</t>
  </si>
  <si>
    <t xml:space="preserve">Technology Manager, TDD Refinery</t>
  </si>
  <si>
    <t xml:space="preserve">TDD CFE&amp;I</t>
  </si>
  <si>
    <t xml:space="preserve">Fuel Infrastructure</t>
  </si>
  <si>
    <t xml:space="preserve">Refinery Applications</t>
  </si>
  <si>
    <t xml:space="preserve">Data &amp; Insights </t>
  </si>
  <si>
    <t xml:space="preserve">W- Vacant</t>
  </si>
  <si>
    <t xml:space="preserve">Vacant</t>
  </si>
  <si>
    <t xml:space="preserve">Jill Martin</t>
  </si>
  <si>
    <t xml:space="preserve">Delivery Manager, Loyalty</t>
  </si>
  <si>
    <t xml:space="preserve">Loyalty &amp; Martech</t>
  </si>
  <si>
    <t xml:space="preserve">Loyalty, Delivery </t>
  </si>
  <si>
    <t xml:space="preserve">WIPRO</t>
  </si>
  <si>
    <t xml:space="preserve">WIPRO - vacant</t>
  </si>
  <si>
    <t xml:space="preserve">Wipro</t>
  </si>
  <si>
    <t xml:space="preserve">Viren Khatri</t>
  </si>
  <si>
    <t xml:space="preserve">Manjot Kaur</t>
  </si>
  <si>
    <t xml:space="preserve">Ampol Retail &amp; Z</t>
  </si>
  <si>
    <t xml:space="preserve">Z &amp; Group Retail</t>
  </si>
  <si>
    <t xml:space="preserve">Z &amp; Group Retail, Data</t>
  </si>
  <si>
    <t xml:space="preserve">TDD Group Functions</t>
  </si>
  <si>
    <t xml:space="preserve">W-106200</t>
  </si>
  <si>
    <t xml:space="preserve">Emile Violi - QA Wipro</t>
  </si>
  <si>
    <t xml:space="preserve">Mark Wilson</t>
  </si>
  <si>
    <t xml:space="preserve">Digital Support Manager(AU)</t>
  </si>
  <si>
    <t xml:space="preserve">Digital Support (AU)</t>
  </si>
  <si>
    <t xml:space="preserve">WIPRO - filled</t>
  </si>
  <si>
    <t xml:space="preserve">Arun Tahlan</t>
  </si>
  <si>
    <t xml:space="preserve">Mike Seales</t>
  </si>
  <si>
    <t xml:space="preserve">Technology Manager Integration &amp; Process Managemetn</t>
  </si>
  <si>
    <t xml:space="preserve">TDD &amp; Engineering </t>
  </si>
  <si>
    <t xml:space="preserve">Integration &amp; Process Management</t>
  </si>
  <si>
    <t xml:space="preserve">Kris Thornley</t>
  </si>
  <si>
    <t xml:space="preserve">EGI </t>
  </si>
  <si>
    <t xml:space="preserve">cant find this person</t>
  </si>
  <si>
    <t xml:space="preserve">Annabel Phu</t>
  </si>
  <si>
    <t xml:space="preserve">Mitesh Shah</t>
  </si>
  <si>
    <t xml:space="preserve">Technology Manager, Digitial</t>
  </si>
  <si>
    <t xml:space="preserve">Digital, Tech</t>
  </si>
  <si>
    <t xml:space="preserve">Jac: Don’t know end Date</t>
  </si>
  <si>
    <t xml:space="preserve">Jordan Askwith</t>
  </si>
  <si>
    <t xml:space="preserve">Contractor (Digizoo)</t>
  </si>
  <si>
    <t xml:space="preserve">Jac: Don’t know end date</t>
  </si>
  <si>
    <t xml:space="preserve">Kanika Narula</t>
  </si>
  <si>
    <t xml:space="preserve">Phillip Kewley</t>
  </si>
  <si>
    <t xml:space="preserve">End Date: 30/10/26</t>
  </si>
  <si>
    <t xml:space="preserve">Sheetal Karkera</t>
  </si>
  <si>
    <t xml:space="preserve">End Date: 21/08/2026</t>
  </si>
  <si>
    <t xml:space="preserve">Shreema Das</t>
  </si>
  <si>
    <t xml:space="preserve">Permanent - Part Time</t>
  </si>
  <si>
    <t xml:space="preserve">Joins Perm in August</t>
  </si>
  <si>
    <t xml:space="preserve">Joins Perm in August NOTE: Shreema Das is in the Ampol Web Squad</t>
  </si>
  <si>
    <t xml:space="preserve">Waheed Malek</t>
  </si>
  <si>
    <t xml:space="preserve">End Date: 21/09/2026</t>
  </si>
  <si>
    <t xml:space="preserve">Winnie Fernandes</t>
  </si>
  <si>
    <t xml:space="preserve">Moitri Pal</t>
  </si>
  <si>
    <t xml:space="preserve">Program Manager - EGI</t>
  </si>
  <si>
    <t xml:space="preserve">Jens Tom</t>
  </si>
  <si>
    <t xml:space="preserve">Shane Ker</t>
  </si>
  <si>
    <t xml:space="preserve">Solution Architect SAP</t>
  </si>
  <si>
    <t xml:space="preserve">NOT IN MY ORG CHART</t>
  </si>
  <si>
    <t xml:space="preserve">Ernesto Pereira</t>
  </si>
  <si>
    <t xml:space="preserve">Trena Foote</t>
  </si>
  <si>
    <t xml:space="preserve">Jason Sipkovic</t>
  </si>
  <si>
    <t xml:space="preserve">Aaron (Ming) Lu</t>
  </si>
  <si>
    <t xml:space="preserve">Technology Manager, Digital Engineering</t>
  </si>
  <si>
    <t xml:space="preserve">Tech, Digital Engineering</t>
  </si>
  <si>
    <t xml:space="preserve">End date:10/07/2026</t>
  </si>
  <si>
    <t xml:space="preserve">Anup Antony</t>
  </si>
  <si>
    <t xml:space="preserve">End Date: 31/01/2027</t>
  </si>
  <si>
    <t xml:space="preserve">Rob Jadrjevic</t>
  </si>
  <si>
    <t xml:space="preserve">Jac: Cant find tthis record</t>
  </si>
  <si>
    <t xml:space="preserve">Swapnil Pithwa</t>
  </si>
  <si>
    <t xml:space="preserve">End Date: 20/08/2026</t>
  </si>
  <si>
    <t xml:space="preserve">Alex Prakhiy</t>
  </si>
  <si>
    <t xml:space="preserve">Vanessa Allen</t>
  </si>
  <si>
    <t xml:space="preserve">Delivery Manager, Ampol Retail</t>
  </si>
  <si>
    <t xml:space="preserve">Ampol Retail</t>
  </si>
  <si>
    <t xml:space="preserve">Ampol Retail, Delivery</t>
  </si>
  <si>
    <t xml:space="preserve">Ashish Gupte</t>
  </si>
  <si>
    <t xml:space="preserve">Vasso Vucovic</t>
  </si>
  <si>
    <t xml:space="preserve">Head of Technology Finance, P&amp;C Legal</t>
  </si>
  <si>
    <t xml:space="preserve">V</t>
  </si>
  <si>
    <t xml:space="preserve">Michael Schofield</t>
  </si>
  <si>
    <t xml:space="preserve">GM TDD, Partnering &amp; Transformation</t>
  </si>
  <si>
    <t xml:space="preserve">Partnering &amp; Transformation</t>
  </si>
  <si>
    <t xml:space="preserve">LSB</t>
  </si>
  <si>
    <t xml:space="preserve">v</t>
  </si>
  <si>
    <t xml:space="preserve">COE BP&amp;T</t>
  </si>
  <si>
    <t xml:space="preserve">Andy Stewart</t>
  </si>
  <si>
    <t xml:space="preserve">Head of Technology, Loyalty &amp; Martech</t>
  </si>
  <si>
    <t xml:space="preserve">Harley Giles</t>
  </si>
  <si>
    <t xml:space="preserve">GM TDD, Customer</t>
  </si>
  <si>
    <t xml:space="preserve">Portfolio Leadership</t>
  </si>
  <si>
    <t xml:space="preserve">Heads of Customer Portfolio</t>
  </si>
  <si>
    <t xml:space="preserve">CSC (Always)</t>
  </si>
  <si>
    <t xml:space="preserve">Permanent - Full Time</t>
  </si>
  <si>
    <t xml:space="preserve">Shona Paul</t>
  </si>
  <si>
    <t xml:space="preserve">Head of Technology - TDD &amp; Engineering Capability Lead</t>
  </si>
  <si>
    <t xml:space="preserve">Emily Mogic</t>
  </si>
  <si>
    <t xml:space="preserve">GM TDD, Group Function</t>
  </si>
  <si>
    <t xml:space="preserve">CSC</t>
  </si>
  <si>
    <t xml:space="preserve">Vaso Vukovic</t>
  </si>
  <si>
    <t xml:space="preserve">Head of Technology - P&amp;C, Finance &amp; Legal</t>
  </si>
  <si>
    <t xml:space="preserve">James Byrne</t>
  </si>
  <si>
    <t xml:space="preserve">Head of Cyber Strategy &amp; Technology</t>
  </si>
  <si>
    <t xml:space="preserve">Frances Bouzo</t>
  </si>
  <si>
    <t xml:space="preserve">Manager Customer Support Operations </t>
  </si>
  <si>
    <t xml:space="preserve">Cyber, Risk &amp; Operations</t>
  </si>
  <si>
    <t xml:space="preserve">COE Cyber</t>
  </si>
  <si>
    <t xml:space="preserve">Rajini Onteddu Reddy</t>
  </si>
  <si>
    <t xml:space="preserve">Head of Service Operations &amp; Assurance</t>
  </si>
  <si>
    <t xml:space="preserve">Manager Service Management &amp; Major Incident Management Lead </t>
  </si>
  <si>
    <t xml:space="preserve">COE Service Ops</t>
  </si>
  <si>
    <t xml:space="preserve">Jason Gleason</t>
  </si>
  <si>
    <t xml:space="preserve">Technology Manager, Data Engineering &amp; Platforms</t>
  </si>
  <si>
    <t xml:space="preserve">James Holgate</t>
  </si>
  <si>
    <t xml:space="preserve">Strategy, Architecture &amp; Data</t>
  </si>
  <si>
    <t xml:space="preserve">Data Engineering &amp; Platforms</t>
  </si>
  <si>
    <t xml:space="preserve">Sanjay Tikoo</t>
  </si>
  <si>
    <t xml:space="preserve">Principal, Data Architecture &amp; Governance</t>
  </si>
  <si>
    <t xml:space="preserve">Data Capability</t>
  </si>
  <si>
    <t xml:space="preserve">COE SA&amp;D</t>
  </si>
  <si>
    <t xml:space="preserve">Matt Ashley</t>
  </si>
  <si>
    <t xml:space="preserve">GM TDD, Strategy, Architecture, Data</t>
  </si>
  <si>
    <t xml:space="preserve">Joel Vijayakumar</t>
  </si>
  <si>
    <t xml:space="preserve">Delivery Manager, Strategy, Architecture &amp; Data</t>
  </si>
  <si>
    <t xml:space="preserve">Delivery, SADA</t>
  </si>
  <si>
    <t xml:space="preserve">Head of Technology Strategy &amp; AI Capability</t>
  </si>
  <si>
    <t xml:space="preserve">Technology Strategy &amp; AI Capability</t>
  </si>
  <si>
    <t xml:space="preserve">Conli Mills</t>
  </si>
  <si>
    <t xml:space="preserve">Business Partner</t>
  </si>
  <si>
    <t xml:space="preserve">Neil Reilly</t>
  </si>
  <si>
    <t xml:space="preserve">Singapore</t>
  </si>
  <si>
    <t xml:space="preserve">Shelley Crawford</t>
  </si>
  <si>
    <t xml:space="preserve">Thomas Reid</t>
  </si>
  <si>
    <t xml:space="preserve">TDD BP - Retail &amp; Customer - Store Digital</t>
  </si>
  <si>
    <t xml:space="preserve">Vaughn Scott</t>
  </si>
  <si>
    <t xml:space="preserve">Sarsha Tanner</t>
  </si>
  <si>
    <t xml:space="preserve">Head of Service Operatoins &amp; Assurance</t>
  </si>
  <si>
    <t xml:space="preserve">Amish Pandit</t>
  </si>
  <si>
    <t xml:space="preserve">Head of Technology, Fuel Infrastructure</t>
  </si>
  <si>
    <t xml:space="preserve">Roanne Steele</t>
  </si>
  <si>
    <t xml:space="preserve">GM TDD, CFE&amp;I</t>
  </si>
  <si>
    <t xml:space="preserve">Leadership </t>
  </si>
  <si>
    <t xml:space="preserve">Nakul Bharade</t>
  </si>
  <si>
    <t xml:space="preserve">Head of Technology, Commercial Fuels</t>
  </si>
  <si>
    <t xml:space="preserve">Roanne Steele </t>
  </si>
  <si>
    <t xml:space="preserve">Liesl Tye</t>
  </si>
  <si>
    <t xml:space="preserve">Head of Technology, B2B &amp; Energy Solutions</t>
  </si>
  <si>
    <t xml:space="preserve">Energy Solutions &amp; B2B</t>
  </si>
  <si>
    <t xml:space="preserve">Data Capability Manager</t>
  </si>
  <si>
    <t xml:space="preserve">Madan Murthy</t>
  </si>
  <si>
    <t xml:space="preserve">Vance Anderson</t>
  </si>
  <si>
    <t xml:space="preserve">GM TDD, Ampol Retail &amp; Z</t>
  </si>
  <si>
    <t xml:space="preserve">(All Retail)</t>
  </si>
  <si>
    <t xml:space="preserve">Head of Technology, Z and Group Retail Platforms</t>
  </si>
  <si>
    <t xml:space="preserve">Z Customer &amp; Z Supply</t>
  </si>
  <si>
    <t xml:space="preserve">Z Retail</t>
  </si>
  <si>
    <t xml:space="preserve">CSB (Often)</t>
  </si>
  <si>
    <t xml:space="preserve">Zoe Udy</t>
  </si>
  <si>
    <t xml:space="preserve">Technology Manager – Data &amp; Engineering</t>
  </si>
  <si>
    <t xml:space="preserve">Loyalty, Data &amp; Engineering</t>
  </si>
  <si>
    <t xml:space="preserve">Kris Hamilton</t>
  </si>
  <si>
    <t xml:space="preserve">Technology Manager - Loyalty &amp; Martech</t>
  </si>
  <si>
    <t xml:space="preserve">Loyalty, Tech</t>
  </si>
  <si>
    <t xml:space="preserve">Customer, AI Enablement</t>
  </si>
  <si>
    <t xml:space="preserve">AI Enablement &amp; Program Management</t>
  </si>
  <si>
    <t xml:space="preserve">Customer, PMO</t>
  </si>
  <si>
    <t xml:space="preserve">Programme Management</t>
  </si>
  <si>
    <t xml:space="preserve">Head of Technology, Digital</t>
  </si>
  <si>
    <t xml:space="preserve">Byron Thornhill</t>
  </si>
  <si>
    <t xml:space="preserve">Digital, Design</t>
  </si>
  <si>
    <t xml:space="preserve">Z Energy (Digitial)</t>
  </si>
  <si>
    <t xml:space="preserve">Tech, Digital</t>
  </si>
  <si>
    <t xml:space="preserve">Safiq Iqbal</t>
  </si>
  <si>
    <t xml:space="preserve">Permanent - Full time</t>
  </si>
  <si>
    <t xml:space="preserve">Chris Camacho</t>
  </si>
  <si>
    <t xml:space="preserve">Manufacturing</t>
  </si>
  <si>
    <t xml:space="preserve">Manuacturing Group Projects</t>
  </si>
  <si>
    <t xml:space="preserve">CSB </t>
  </si>
  <si>
    <t xml:space="preserve">Prem Shetty</t>
  </si>
  <si>
    <t xml:space="preserve">Fuel Infrastructure, Delivery</t>
  </si>
  <si>
    <t xml:space="preserve">CSB</t>
  </si>
  <si>
    <t xml:space="preserve">Karla Orozco Loza</t>
  </si>
  <si>
    <t xml:space="preserve">Technology Manager, Future Infrastructure </t>
  </si>
  <si>
    <t xml:space="preserve">Technology - Distribution</t>
  </si>
  <si>
    <t xml:space="preserve">Distribution</t>
  </si>
  <si>
    <t xml:space="preserve">Fuel Infrastructure, Data</t>
  </si>
  <si>
    <t xml:space="preserve">Brian Gates</t>
  </si>
  <si>
    <t xml:space="preserve">CISO </t>
  </si>
  <si>
    <t xml:space="preserve">Risk &amp; Resilience </t>
  </si>
  <si>
    <t xml:space="preserve">Diya Thomas</t>
  </si>
  <si>
    <t xml:space="preserve">Manager Cyber Security Operations </t>
  </si>
  <si>
    <t xml:space="preserve">Steven Atcheson</t>
  </si>
  <si>
    <t xml:space="preserve">Manager, Risk &amp; Resilience </t>
  </si>
  <si>
    <t xml:space="preserve">Vivienne Vasak</t>
  </si>
  <si>
    <t xml:space="preserve">Manager Service Perforance &amp; Assurance </t>
  </si>
  <si>
    <t xml:space="preserve">TDD Cyber</t>
  </si>
  <si>
    <t xml:space="preserve">Deepali Mahajan</t>
  </si>
  <si>
    <t xml:space="preserve">Data Operations</t>
  </si>
  <si>
    <t xml:space="preserve">Jonathan Robinson</t>
  </si>
  <si>
    <t xml:space="preserve">Tim Snedden</t>
  </si>
  <si>
    <t xml:space="preserve">Data Platform</t>
  </si>
  <si>
    <t xml:space="preserve">Hitesh Patel</t>
  </si>
  <si>
    <t xml:space="preserve">Technology Manager, Energy Solutions</t>
  </si>
  <si>
    <t xml:space="preserve">Technology Energy Solutions</t>
  </si>
  <si>
    <t xml:space="preserve">Elle Spencer</t>
  </si>
  <si>
    <t xml:space="preserve">Technology B2B</t>
  </si>
  <si>
    <t xml:space="preserve">Tracy Lee Reaper</t>
  </si>
  <si>
    <t xml:space="preserve">Technology Manager, Merchandising &amp; WFM</t>
  </si>
  <si>
    <t xml:space="preserve">Head of Technology,  Ampol Retail</t>
  </si>
  <si>
    <t xml:space="preserve">Ampol Retail, Merch &amp; RTA</t>
  </si>
  <si>
    <t xml:space="preserve">Vedran Jukic</t>
  </si>
  <si>
    <t xml:space="preserve">Ampol Retail, Technology</t>
  </si>
  <si>
    <t xml:space="preserve">Store Operations, Network &amp; QSR, Deployment</t>
  </si>
  <si>
    <t xml:space="preserve">Malcolm Deare</t>
  </si>
  <si>
    <t xml:space="preserve">Allan Francia</t>
  </si>
  <si>
    <t xml:space="preserve">Technology, Trading &amp; Shipping</t>
  </si>
  <si>
    <t xml:space="preserve">Delivery, Commercial Fuels</t>
  </si>
  <si>
    <t xml:space="preserve">Technology, T&amp;S Data</t>
  </si>
  <si>
    <t xml:space="preserve">Mick Collins</t>
  </si>
  <si>
    <t xml:space="preserve">Manager, Service Performance &amp; Assurance</t>
  </si>
  <si>
    <t xml:space="preserve">Carl Russo</t>
  </si>
  <si>
    <t xml:space="preserve">Craig Ambrose</t>
  </si>
  <si>
    <t xml:space="preserve">Domain Architect</t>
  </si>
  <si>
    <t xml:space="preserve">John Forde</t>
  </si>
  <si>
    <t xml:space="preserve">Mike Gilbert</t>
  </si>
  <si>
    <t xml:space="preserve">Domain Architect - CFE &amp; Infrastructure </t>
  </si>
  <si>
    <t xml:space="preserve">Murray Mitchell</t>
  </si>
  <si>
    <t xml:space="preserve">Technology Manager, Enterprise Tooling</t>
  </si>
  <si>
    <t xml:space="preserve">Scott McKenzie</t>
  </si>
  <si>
    <t xml:space="preserve">Technology Manager – DevOps and Quality Engineering</t>
  </si>
  <si>
    <t xml:space="preserve">Head of Technology- TDD &amp; Engineering Capability</t>
  </si>
  <si>
    <t xml:space="preserve">TDD &amp; Engineering</t>
  </si>
  <si>
    <t xml:space="preserve">Emma Natoli</t>
  </si>
  <si>
    <t xml:space="preserve">Z &amp; Group Retail, Engineering</t>
  </si>
  <si>
    <t xml:space="preserve">Manjot Kaur Malli</t>
  </si>
  <si>
    <t xml:space="preserve">ring fenced</t>
  </si>
  <si>
    <t xml:space="preserve">Pause</t>
  </si>
  <si>
    <t xml:space="preserve">Head of Technology  Strategy &amp; AI Capability</t>
  </si>
  <si>
    <t xml:space="preserve">Technology Manager, Integration &amp; Process Automation</t>
  </si>
  <si>
    <t xml:space="preserve">Technology Manager – Cloud, Network and Infrastructure Operations</t>
  </si>
  <si>
    <t xml:space="preserve">Cloud Network &amp; Infra Ops</t>
  </si>
  <si>
    <t xml:space="preserve">Vaishnavi Viswanathan</t>
  </si>
  <si>
    <t xml:space="preserve">Ampol Retail, Store Platforms</t>
  </si>
  <si>
    <t xml:space="preserve">Store Operations, Payments, POS</t>
  </si>
  <si>
    <t xml:space="preserve">Callan McLaughlin</t>
  </si>
  <si>
    <t xml:space="preserve">vacant</t>
  </si>
  <si>
    <t xml:space="preserve">Z &amp; Group Retail, Site Systems</t>
  </si>
  <si>
    <t xml:space="preserve">Z &amp; Group Retail, Delivery</t>
  </si>
  <si>
    <t xml:space="preserve">Manager Identity &amp; Access Management </t>
  </si>
  <si>
    <t xml:space="preserve">Ruth Chou</t>
  </si>
  <si>
    <t xml:space="preserve">Stevani Kho</t>
  </si>
  <si>
    <t xml:space="preserve">Technology Manger, Data</t>
  </si>
  <si>
    <t xml:space="preserve">Kate Johnstone</t>
  </si>
  <si>
    <t xml:space="preserve">Program Management</t>
  </si>
  <si>
    <t xml:space="preserve">AMPOS</t>
  </si>
  <si>
    <t xml:space="preserve">AmPos</t>
  </si>
  <si>
    <t xml:space="preserve">Dave O'Keefe</t>
  </si>
  <si>
    <t xml:space="preserve">Tech, P&amp;C Platforms</t>
  </si>
  <si>
    <t xml:space="preserve">Technology Manger - Finance Platfoms</t>
  </si>
  <si>
    <t xml:space="preserve">Tech, Finance Platforms</t>
  </si>
  <si>
    <t xml:space="preserve">Delivery, P&amp;C, Finance &amp; Legal</t>
  </si>
  <si>
    <t xml:space="preserve">Tena Foote</t>
  </si>
  <si>
    <t xml:space="preserve">tbc</t>
  </si>
  <si>
    <t xml:space="preserve">Temporary - Full Time</t>
  </si>
  <si>
    <t xml:space="preserve">James Nicolle</t>
  </si>
  <si>
    <t xml:space="preserve">CIC (Always)</t>
  </si>
  <si>
    <t xml:space="preserve">Penny Pennisi</t>
  </si>
  <si>
    <t xml:space="preserve">Saugata Acharya</t>
  </si>
  <si>
    <t xml:space="preserve">Alisha Allport</t>
  </si>
  <si>
    <t xml:space="preserve">Ants Jackson</t>
  </si>
  <si>
    <t xml:space="preserve">Maria Salman</t>
  </si>
  <si>
    <t xml:space="preserve">End date: 30 April 2027</t>
  </si>
  <si>
    <t xml:space="preserve">Tim Corin</t>
  </si>
  <si>
    <t xml:space="preserve">Angela Gilbert</t>
  </si>
  <si>
    <t xml:space="preserve">Celia Voysey</t>
  </si>
  <si>
    <t xml:space="preserve">Bharat Talreja</t>
  </si>
  <si>
    <t xml:space="preserve">Technology Manager, Loyalty &amp; Martech</t>
  </si>
  <si>
    <t xml:space="preserve">Kellie Gathergood</t>
  </si>
  <si>
    <t xml:space="preserve">Nimi Rose</t>
  </si>
  <si>
    <t xml:space="preserve">NOTE: This is role is in the Z Loyalty &amp; Martech squad</t>
  </si>
  <si>
    <t xml:space="preserve">Shane Abrahams</t>
  </si>
  <si>
    <t xml:space="preserve">Digital Support (NZ)</t>
  </si>
  <si>
    <t xml:space="preserve">Abhilash Reddy</t>
  </si>
  <si>
    <t xml:space="preserve">end date: 9 March 2027</t>
  </si>
  <si>
    <t xml:space="preserve">Jin Zhong</t>
  </si>
  <si>
    <t xml:space="preserve">Khalid Mahmud</t>
  </si>
  <si>
    <t xml:space="preserve">Chin Fang Kwek</t>
  </si>
  <si>
    <t xml:space="preserve">Technology Manager, T&amp;S</t>
  </si>
  <si>
    <t xml:space="preserve">CIC</t>
  </si>
  <si>
    <t xml:space="preserve">Trung Truong</t>
  </si>
  <si>
    <t xml:space="preserve">Zhan Liu</t>
  </si>
  <si>
    <t xml:space="preserve">George Moun</t>
  </si>
  <si>
    <t xml:space="preserve">Head of Technology, Infrastructure</t>
  </si>
  <si>
    <t xml:space="preserve">Shomiya Shayal</t>
  </si>
  <si>
    <t xml:space="preserve">Manager Risk &amp; Resilience </t>
  </si>
  <si>
    <t xml:space="preserve">Chris Wilson</t>
  </si>
  <si>
    <t xml:space="preserve">Technology Manager,  Site Systems</t>
  </si>
  <si>
    <t xml:space="preserve">Z Customer</t>
  </si>
  <si>
    <t xml:space="preserve">Christian Guo</t>
  </si>
  <si>
    <t xml:space="preserve">Z Retail Backend </t>
  </si>
  <si>
    <t xml:space="preserve">Kelly Russell</t>
  </si>
  <si>
    <t xml:space="preserve">Vanessa King</t>
  </si>
  <si>
    <t xml:space="preserve">Grace Hadiwijaya</t>
  </si>
  <si>
    <t xml:space="preserve">Technology Manager P&amp;C Platforms</t>
  </si>
  <si>
    <t xml:space="preserve">Maadhu Suresh</t>
  </si>
  <si>
    <t xml:space="preserve">Prerna Sharma</t>
  </si>
  <si>
    <t xml:space="preserve">Prashanth Chandran</t>
  </si>
  <si>
    <t xml:space="preserve">EE Lynn Yap</t>
  </si>
  <si>
    <t xml:space="preserve">AU Finance</t>
  </si>
  <si>
    <t xml:space="preserve">Frank Liang</t>
  </si>
  <si>
    <t xml:space="preserve">Ming Shao</t>
  </si>
  <si>
    <t xml:space="preserve">Benjamin Sheffield</t>
  </si>
  <si>
    <t xml:space="preserve">Trevor Weaver</t>
  </si>
  <si>
    <t xml:space="preserve">Sjoerd Van Sluijs</t>
  </si>
  <si>
    <t xml:space="preserve">Nico Lender</t>
  </si>
  <si>
    <t xml:space="preserve">Energy Solutions</t>
  </si>
  <si>
    <t xml:space="preserve">Gokila Mylsamy</t>
  </si>
  <si>
    <t xml:space="preserve">Marcela Gonzalez</t>
  </si>
  <si>
    <t xml:space="preserve">cic</t>
  </si>
  <si>
    <t xml:space="preserve">Joe Nahma</t>
  </si>
  <si>
    <t xml:space="preserve">Manager Identity &amp; Access Management</t>
  </si>
  <si>
    <t xml:space="preserve">Kevin Sheerin</t>
  </si>
  <si>
    <t xml:space="preserve">Prashanth Krishnankutty</t>
  </si>
  <si>
    <t xml:space="preserve">Roozbeh Shahbazirad</t>
  </si>
  <si>
    <t xml:space="preserve">Sai Konka</t>
  </si>
  <si>
    <t xml:space="preserve">Sumathi Manikkampichai</t>
  </si>
  <si>
    <t xml:space="preserve">Kina Birkby</t>
  </si>
  <si>
    <t xml:space="preserve">Rihan Schalkwyk</t>
  </si>
  <si>
    <t xml:space="preserve"> </t>
  </si>
  <si>
    <t xml:space="preserve">Carol Kuang</t>
  </si>
  <si>
    <t xml:space="preserve">Technology Manager, Data Science</t>
  </si>
  <si>
    <t xml:space="preserve">Yu Chen</t>
  </si>
  <si>
    <t xml:space="preserve">Julma Bhagwani</t>
  </si>
  <si>
    <t xml:space="preserve">Angus Gibson</t>
  </si>
  <si>
    <t xml:space="preserve">Technology Manager, Future Infrastructure</t>
  </si>
  <si>
    <t xml:space="preserve">Distribution, Sales &amp; Services</t>
  </si>
  <si>
    <t xml:space="preserve">Darshan Suvama</t>
  </si>
  <si>
    <t xml:space="preserve">Chris Lyons</t>
  </si>
  <si>
    <t xml:space="preserve">Head of Cyber Strategy &amp; Technology </t>
  </si>
  <si>
    <t xml:space="preserve">Rahul Sahni</t>
  </si>
  <si>
    <t xml:space="preserve">Kamal Patel</t>
  </si>
  <si>
    <t xml:space="preserve">Lydia Pritchard</t>
  </si>
  <si>
    <t xml:space="preserve">Lead JDE System Specialist</t>
  </si>
  <si>
    <t xml:space="preserve">Martyn Rudduck</t>
  </si>
  <si>
    <t xml:space="preserve">Maudud Chaudhury</t>
  </si>
  <si>
    <t xml:space="preserve">Ashley Mueller</t>
  </si>
  <si>
    <t xml:space="preserve">Service Performance &amp; Assurance </t>
  </si>
  <si>
    <t xml:space="preserve">Bala Thiruvadi</t>
  </si>
  <si>
    <t xml:space="preserve">Integration &amp; Process automation</t>
  </si>
  <si>
    <t xml:space="preserve">Integration &amp; Process Automation</t>
  </si>
  <si>
    <t xml:space="preserve">Joel Krijnen</t>
  </si>
  <si>
    <t xml:space="preserve">Michael Weng</t>
  </si>
  <si>
    <t xml:space="preserve">Ken Thomson</t>
  </si>
  <si>
    <t xml:space="preserve">Workplace &amp; Enterprise Tooling</t>
  </si>
  <si>
    <t xml:space="preserve">Jodi Higgins</t>
  </si>
  <si>
    <t xml:space="preserve">Delivery Manager, Infrastructure</t>
  </si>
  <si>
    <t xml:space="preserve">Kevin Nelson</t>
  </si>
  <si>
    <t xml:space="preserve">Louis Ballington</t>
  </si>
  <si>
    <t xml:space="preserve">Darren Koller</t>
  </si>
  <si>
    <t xml:space="preserve">Manager, Service Management &amp; Major Incident Mgmt Lead</t>
  </si>
  <si>
    <t xml:space="preserve">Chris Rojas</t>
  </si>
  <si>
    <t xml:space="preserve">Manager, Customer Support Operations</t>
  </si>
  <si>
    <t xml:space="preserve">Milan Patel</t>
  </si>
  <si>
    <t xml:space="preserve">move to COE, not in data platforms squad</t>
  </si>
  <si>
    <t xml:space="preserve">Mitchell Clarke</t>
  </si>
  <si>
    <t xml:space="preserve">Luke Hamer</t>
  </si>
  <si>
    <t xml:space="preserve">Shobhit Mittal</t>
  </si>
  <si>
    <t xml:space="preserve">Dev Ops  &amp; QE</t>
  </si>
  <si>
    <t xml:space="preserve">Sunny Arya</t>
  </si>
  <si>
    <t xml:space="preserve">Ee Lynn Yap</t>
  </si>
  <si>
    <t xml:space="preserve">Technology Manager Finance Platforms</t>
  </si>
  <si>
    <t xml:space="preserve">Sameer Pattanaik</t>
  </si>
  <si>
    <t xml:space="preserve">Axel Soh</t>
  </si>
  <si>
    <t xml:space="preserve">Technology Manager - Cloud, Network &amp; Infrastructure Operations</t>
  </si>
  <si>
    <t xml:space="preserve">Cloud, Network &amp; Infra</t>
  </si>
  <si>
    <t xml:space="preserve">Johnny Li</t>
  </si>
  <si>
    <t xml:space="preserve">Pierre Spee</t>
  </si>
  <si>
    <t xml:space="preserve">Angela Ross</t>
  </si>
  <si>
    <t xml:space="preserve">Delivery</t>
  </si>
  <si>
    <t xml:space="preserve">C K Lau</t>
  </si>
  <si>
    <t xml:space="preserve">Delivery, TDD &amp; Engineering</t>
  </si>
  <si>
    <t xml:space="preserve">Debbie Gor</t>
  </si>
  <si>
    <t xml:space="preserve">Lisa Rademakers</t>
  </si>
  <si>
    <t xml:space="preserve">Oz Shaaban</t>
  </si>
  <si>
    <t xml:space="preserve">Rick Abainza</t>
  </si>
  <si>
    <t xml:space="preserve">Suja Sugathan</t>
  </si>
  <si>
    <t xml:space="preserve">Victor Beuk</t>
  </si>
  <si>
    <t xml:space="preserve">Michael Pollock</t>
  </si>
  <si>
    <t xml:space="preserve">Delivery Manager, P&amp;C, Finance &amp; Legal</t>
  </si>
  <si>
    <t xml:space="preserve">Thai Pung</t>
  </si>
  <si>
    <t xml:space="preserve">Vikram Chhahira</t>
  </si>
  <si>
    <t xml:space="preserve">Anne Pretorius</t>
  </si>
  <si>
    <t xml:space="preserve">Delivery Manager, Z and Retail Data</t>
  </si>
  <si>
    <t xml:space="preserve">Helen Jones</t>
  </si>
  <si>
    <t xml:space="preserve">Mark Dickson</t>
  </si>
  <si>
    <t xml:space="preserve">Tim Gurnsey</t>
  </si>
  <si>
    <t xml:space="preserve">Data - AU</t>
  </si>
  <si>
    <t xml:space="preserve">Data - NZ</t>
  </si>
  <si>
    <t xml:space="preserve">Domain Architect - Customer &amp; Digital Tech</t>
  </si>
  <si>
    <t xml:space="preserve">Roger Blazey</t>
  </si>
  <si>
    <t xml:space="preserve">Sam Chan</t>
  </si>
  <si>
    <t xml:space="preserve">John McCormack</t>
  </si>
  <si>
    <t xml:space="preserve">Manager - Infrastructure Operations</t>
  </si>
  <si>
    <t xml:space="preserve">Satish Chowdhary</t>
  </si>
  <si>
    <t xml:space="preserve">Steven Yong</t>
  </si>
  <si>
    <t xml:space="preserve">Anusha Viswanatha</t>
  </si>
  <si>
    <t xml:space="preserve">Jonathan Wong</t>
  </si>
  <si>
    <t xml:space="preserve">Kumar Siva</t>
  </si>
  <si>
    <t xml:space="preserve">Soumya Choudhury</t>
  </si>
  <si>
    <t xml:space="preserve">Byron Leung</t>
  </si>
  <si>
    <t xml:space="preserve">Technology, CF Engineering</t>
  </si>
  <si>
    <t xml:space="preserve">Chantal Lynch</t>
  </si>
  <si>
    <t xml:space="preserve">Fransiscus Setiawan</t>
  </si>
  <si>
    <t xml:space="preserve">Hayden Corney</t>
  </si>
  <si>
    <t xml:space="preserve">Balaji Murugan</t>
  </si>
  <si>
    <t xml:space="preserve">Irfan Zavahir</t>
  </si>
  <si>
    <t xml:space="preserve">Ephraim Adan</t>
  </si>
  <si>
    <t xml:space="preserve">Matthew Patane</t>
  </si>
  <si>
    <t xml:space="preserve">Navneet Singh</t>
  </si>
  <si>
    <t xml:space="preserve">Sendhil Vinayagam (75% EGI)</t>
  </si>
  <si>
    <t xml:space="preserve">Zhan Zhang</t>
  </si>
  <si>
    <t xml:space="preserve">Dan Balsamo</t>
  </si>
  <si>
    <t xml:space="preserve">Sri Balan Raj</t>
  </si>
  <si>
    <t xml:space="preserve">CIB (Often)</t>
  </si>
  <si>
    <t xml:space="preserve">Angie Ng</t>
  </si>
  <si>
    <t xml:space="preserve">Edwin Justin</t>
  </si>
  <si>
    <t xml:space="preserve">Binumon Mathai</t>
  </si>
  <si>
    <t xml:space="preserve">Darwin Morales</t>
  </si>
  <si>
    <t xml:space="preserve">Raj Ganesan</t>
  </si>
  <si>
    <t xml:space="preserve">End date: 7 May 2027</t>
  </si>
  <si>
    <t xml:space="preserve">Ramez Haider</t>
  </si>
  <si>
    <t xml:space="preserve">Rishabh Bhatia</t>
  </si>
  <si>
    <t xml:space="preserve">Toby Clark</t>
  </si>
  <si>
    <t xml:space="preserve">AI Enablement Lead</t>
  </si>
  <si>
    <t xml:space="preserve">Christian Lazano</t>
  </si>
  <si>
    <t xml:space="preserve">customer, program manager</t>
  </si>
  <si>
    <t xml:space="preserve">Jawad Hassan</t>
  </si>
  <si>
    <t xml:space="preserve">Technology Manager, Data &amp; Engineering</t>
  </si>
  <si>
    <t xml:space="preserve">Jeremy Xu</t>
  </si>
  <si>
    <t xml:space="preserve">Dinesh Chandrasekaran</t>
  </si>
  <si>
    <t xml:space="preserve">CIB </t>
  </si>
  <si>
    <t xml:space="preserve">Hari Maneti</t>
  </si>
  <si>
    <t xml:space="preserve">CIB</t>
  </si>
  <si>
    <t xml:space="preserve">Leo Machin</t>
  </si>
  <si>
    <t xml:space="preserve">Vacant (anaplan)</t>
  </si>
  <si>
    <t xml:space="preserve">Lynda Niewidok</t>
  </si>
  <si>
    <t xml:space="preserve">Mark Pearson</t>
  </si>
  <si>
    <t xml:space="preserve">Remya Pookat</t>
  </si>
  <si>
    <t xml:space="preserve">cib</t>
  </si>
  <si>
    <t xml:space="preserve">Ronak Patel</t>
  </si>
  <si>
    <t xml:space="preserve">Pooja Kuperkar</t>
  </si>
  <si>
    <t xml:space="preserve">Shruti Manchanda</t>
  </si>
  <si>
    <t xml:space="preserve">Mikey Tran</t>
  </si>
  <si>
    <t xml:space="preserve">Isuru Herath</t>
  </si>
  <si>
    <t xml:space="preserve">Caitlin Dyas</t>
  </si>
  <si>
    <t xml:space="preserve">Gunjan Vasudeva</t>
  </si>
  <si>
    <t xml:space="preserve">James Hung</t>
  </si>
  <si>
    <t xml:space="preserve">Fabian Moreno Cortes</t>
  </si>
  <si>
    <t xml:space="preserve">Victor Olasanoye</t>
  </si>
  <si>
    <t xml:space="preserve">Iwan Wibisono</t>
  </si>
  <si>
    <t xml:space="preserve">Lead Service Desk </t>
  </si>
  <si>
    <t xml:space="preserve">Jason Satoso</t>
  </si>
  <si>
    <t xml:space="preserve">Muhammad Abubaker</t>
  </si>
  <si>
    <t xml:space="preserve">Prashant Tataskar</t>
  </si>
  <si>
    <t xml:space="preserve">Anvitha Kurra</t>
  </si>
  <si>
    <t xml:space="preserve">Rohan Patel</t>
  </si>
  <si>
    <t xml:space="preserve">Siva Chimmani</t>
  </si>
  <si>
    <t xml:space="preserve">Sriramani Deyyala</t>
  </si>
  <si>
    <t xml:space="preserve">Aniket Banerji</t>
  </si>
  <si>
    <t xml:space="preserve">Deepak Kubendran</t>
  </si>
  <si>
    <t xml:space="preserve">Lead – Service Performance &amp; Insights</t>
  </si>
  <si>
    <t xml:space="preserve">Thandava Krishna Kakarala</t>
  </si>
  <si>
    <t xml:space="preserve">Nicholas McKay</t>
  </si>
  <si>
    <t xml:space="preserve">Bobby Mason</t>
  </si>
  <si>
    <t xml:space="preserve">Lead, Reporting &amp; Insights</t>
  </si>
  <si>
    <t xml:space="preserve">Vacant (contract)</t>
  </si>
  <si>
    <t xml:space="preserve">Reporting analysts - Strategic Programs</t>
  </si>
  <si>
    <t xml:space="preserve">Vincent Lu</t>
  </si>
  <si>
    <t xml:space="preserve">Akhil Sriram</t>
  </si>
  <si>
    <t xml:space="preserve">Rebecca Estepa</t>
  </si>
  <si>
    <t xml:space="preserve">Lead Engineer (Databricks)</t>
  </si>
  <si>
    <t xml:space="preserve">Portfolio Reporting Manger</t>
  </si>
  <si>
    <t xml:space="preserve">Abdul Ghaffar</t>
  </si>
  <si>
    <t xml:space="preserve">Applications Specialist - Demand Planning</t>
  </si>
  <si>
    <t xml:space="preserve">Applications &amp; Analytics Manager</t>
  </si>
  <si>
    <t xml:space="preserve">Rakshit Kaul</t>
  </si>
  <si>
    <t xml:space="preserve">Steve Murray</t>
  </si>
  <si>
    <t xml:space="preserve">Sudeer Pulpati</t>
  </si>
  <si>
    <t xml:space="preserve">Applications Specialist - Strategic Programs</t>
  </si>
  <si>
    <t xml:space="preserve">Jenny Chan</t>
  </si>
  <si>
    <t xml:space="preserve">Lynn Yiew</t>
  </si>
  <si>
    <t xml:space="preserve">Renosh Matthew Thomas</t>
  </si>
  <si>
    <t xml:space="preserve">Raymond Bai</t>
  </si>
  <si>
    <t xml:space="preserve">Vacant </t>
  </si>
  <si>
    <t xml:space="preserve">Integration Specialist (ASAPIO CTRM)</t>
  </si>
  <si>
    <t xml:space="preserve">Lucas Wang</t>
  </si>
  <si>
    <t xml:space="preserve">Nischal Bhusal</t>
  </si>
  <si>
    <t xml:space="preserve">Stafford Dowling</t>
  </si>
  <si>
    <t xml:space="preserve">Joseph Maroun</t>
  </si>
  <si>
    <t xml:space="preserve">Tech Manager, Merchandising &amp; WFM</t>
  </si>
  <si>
    <t xml:space="preserve">Majdi Abedi</t>
  </si>
  <si>
    <t xml:space="preserve">Pahul Oberoi</t>
  </si>
  <si>
    <t xml:space="preserve">Sao Keawprasit</t>
  </si>
  <si>
    <t xml:space="preserve">Vijay Patel</t>
  </si>
  <si>
    <t xml:space="preserve">Zuan Zheng</t>
  </si>
  <si>
    <t xml:space="preserve">John Badia</t>
  </si>
  <si>
    <t xml:space="preserve">Clare Cairns</t>
  </si>
  <si>
    <t xml:space="preserve">Mary Joy</t>
  </si>
  <si>
    <t xml:space="preserve">Megha Agarwal</t>
  </si>
  <si>
    <t xml:space="preserve">Briony Scott</t>
  </si>
  <si>
    <t xml:space="preserve">Jane Esclandra</t>
  </si>
  <si>
    <t xml:space="preserve">Ann Aquino</t>
  </si>
  <si>
    <t xml:space="preserve">Isha Riyat</t>
  </si>
  <si>
    <t xml:space="preserve">Mick DaSilva</t>
  </si>
  <si>
    <t xml:space="preserve">Sijin Zhu</t>
  </si>
  <si>
    <t xml:space="preserve">Anjali Patra</t>
  </si>
  <si>
    <t xml:space="preserve">Delivery Manager </t>
  </si>
  <si>
    <t xml:space="preserve">Hardik Trivedi</t>
  </si>
  <si>
    <t xml:space="preserve">Business Analyst (Workplace &amp; Enterprise Tooling)</t>
  </si>
  <si>
    <t xml:space="preserve">Archana Chetiwal</t>
  </si>
  <si>
    <t xml:space="preserve">Arun Prakash Jayaprakasam</t>
  </si>
  <si>
    <t xml:space="preserve">Ayushi Agarwal</t>
  </si>
  <si>
    <t xml:space="preserve">Elma Kurian</t>
  </si>
  <si>
    <t xml:space="preserve">Deepa Kaur</t>
  </si>
  <si>
    <t xml:space="preserve">Karthikeyan Kuppan</t>
  </si>
  <si>
    <t xml:space="preserve">Mick Standen</t>
  </si>
  <si>
    <t xml:space="preserve">Peter Nicolopoulos</t>
  </si>
  <si>
    <t xml:space="preserve">Sayan Kar</t>
  </si>
  <si>
    <t xml:space="preserve">Network/QSR</t>
  </si>
  <si>
    <t xml:space="preserve">Vanessa Trujillo Munoz</t>
  </si>
  <si>
    <t xml:space="preserve">Venkat Kedharanathan</t>
  </si>
  <si>
    <t xml:space="preserve">Anthony Dumbrell</t>
  </si>
  <si>
    <t xml:space="preserve">Javier Aguirre Castellanos</t>
  </si>
  <si>
    <t xml:space="preserve">Marty O'Shea</t>
  </si>
  <si>
    <t xml:space="preserve">Catherine Gire</t>
  </si>
  <si>
    <t xml:space="preserve">Portfolio Manger Cyber Security </t>
  </si>
  <si>
    <t xml:space="preserve">Cyber Security Uplift Program</t>
  </si>
  <si>
    <t xml:space="preserve">Tony Keeler</t>
  </si>
  <si>
    <t xml:space="preserve">Sam Turnball</t>
  </si>
  <si>
    <t xml:space="preserve">CIA (Sometimes)</t>
  </si>
  <si>
    <t xml:space="preserve">Megan Rodgers</t>
  </si>
  <si>
    <t xml:space="preserve">Shinal Chamberlain</t>
  </si>
  <si>
    <t xml:space="preserve">Jasper Na</t>
  </si>
  <si>
    <t xml:space="preserve">Zohan Sim</t>
  </si>
  <si>
    <t xml:space="preserve">Carianne Monast</t>
  </si>
  <si>
    <t xml:space="preserve">Denise Esguerra</t>
  </si>
  <si>
    <t xml:space="preserve">Yash Thakkar</t>
  </si>
  <si>
    <t xml:space="preserve">Daniel Arban</t>
  </si>
  <si>
    <t xml:space="preserve">Anthony Gen</t>
  </si>
  <si>
    <t xml:space="preserve">end date: 4 June 2027</t>
  </si>
  <si>
    <t xml:space="preserve">Dasha Fothergill</t>
  </si>
  <si>
    <t xml:space="preserve">Jem Cruz</t>
  </si>
  <si>
    <t xml:space="preserve">CIA</t>
  </si>
  <si>
    <t xml:space="preserve">JR Panganiban</t>
  </si>
  <si>
    <t xml:space="preserve">USA</t>
  </si>
  <si>
    <t xml:space="preserve">Kevin Li</t>
  </si>
  <si>
    <t xml:space="preserve">Poch Fernandez</t>
  </si>
  <si>
    <t xml:space="preserve">Chris Mitchell</t>
  </si>
  <si>
    <t xml:space="preserve">Sakshi Sachdeva</t>
  </si>
  <si>
    <t xml:space="preserve">Warren Grieve</t>
  </si>
  <si>
    <t xml:space="preserve">Vanessa Castro</t>
  </si>
  <si>
    <t xml:space="preserve">Lindsay Baipas</t>
  </si>
  <si>
    <t xml:space="preserve">Rod Santillan</t>
  </si>
  <si>
    <t xml:space="preserve">Adrian Alcance</t>
  </si>
  <si>
    <t xml:space="preserve">Joe Kuttikkatt</t>
  </si>
  <si>
    <t xml:space="preserve">Malachi Ah Hoi</t>
  </si>
  <si>
    <t xml:space="preserve">Geoff Goddard</t>
  </si>
  <si>
    <t xml:space="preserve">Field Systems Operations Lead - VIC</t>
  </si>
  <si>
    <t xml:space="preserve">Manager, AU Retail Operations</t>
  </si>
  <si>
    <t xml:space="preserve">Gerald Aguas</t>
  </si>
  <si>
    <t xml:space="preserve">Field Systems Operations Lead - NSW</t>
  </si>
  <si>
    <t xml:space="preserve">Tuan Edwards</t>
  </si>
  <si>
    <t xml:space="preserve">Field Systems Operations Lead - QLD</t>
  </si>
  <si>
    <t xml:space="preserve">Andrew Whitford</t>
  </si>
  <si>
    <t xml:space="preserve">Ephriam Adan</t>
  </si>
  <si>
    <t xml:space="preserve">Patrick Ericson Nario</t>
  </si>
  <si>
    <t xml:space="preserve">Alison Rosier</t>
  </si>
  <si>
    <t xml:space="preserve">Technology Support Engineer - Infrastructure</t>
  </si>
  <si>
    <t xml:space="preserve">Glenn Earl</t>
  </si>
  <si>
    <t xml:space="preserve">Lead Support, Infrastructure</t>
  </si>
  <si>
    <t xml:space="preserve">Technology Suport</t>
  </si>
  <si>
    <t xml:space="preserve">Radek Rybar</t>
  </si>
  <si>
    <t xml:space="preserve">Scott Hasson</t>
  </si>
  <si>
    <t xml:space="preserve">Anie Camerino</t>
  </si>
  <si>
    <t xml:space="preserve">Lead Technology Support - Infrastructure</t>
  </si>
  <si>
    <t xml:space="preserve">Tyler Meggs</t>
  </si>
  <si>
    <t xml:space="preserve">Raymond Cheung</t>
  </si>
  <si>
    <t xml:space="preserve">Head Cyber Strategy &amp; Technology </t>
  </si>
  <si>
    <t xml:space="preserve">Cameron Watman</t>
  </si>
  <si>
    <t xml:space="preserve">Identity &amp; Access Management </t>
  </si>
  <si>
    <t xml:space="preserve">Fan Zhang</t>
  </si>
  <si>
    <t xml:space="preserve">Om Singh</t>
  </si>
  <si>
    <t xml:space="preserve">Breanna Hua</t>
  </si>
  <si>
    <t xml:space="preserve">Ritika Salaria</t>
  </si>
  <si>
    <t xml:space="preserve">Lead – Asset &amp; Configuration (Vacant)</t>
  </si>
  <si>
    <t xml:space="preserve">Ash Muthumala</t>
  </si>
  <si>
    <t xml:space="preserve">Brian Lai</t>
  </si>
  <si>
    <t xml:space="preserve">Jodie Marquez</t>
  </si>
  <si>
    <t xml:space="preserve">McKenzie Tournquist</t>
  </si>
  <si>
    <t xml:space="preserve">Belinda Hoskens</t>
  </si>
  <si>
    <t xml:space="preserve">Lead Technology Support </t>
  </si>
  <si>
    <t xml:space="preserve">Technology Support </t>
  </si>
  <si>
    <t xml:space="preserve">Jas Mann</t>
  </si>
  <si>
    <t xml:space="preserve">Billie Connolly</t>
  </si>
  <si>
    <t xml:space="preserve">Rob Struthers</t>
  </si>
  <si>
    <t xml:space="preserve">Maria Somera</t>
  </si>
  <si>
    <t xml:space="preserve">Fin Ops Manager</t>
  </si>
  <si>
    <t xml:space="preserve">Mike Lealamanu</t>
  </si>
  <si>
    <t xml:space="preserve">Lisa Ng</t>
  </si>
  <si>
    <t xml:space="preserve">Helen Ngu</t>
  </si>
  <si>
    <t xml:space="preserve">Mary-Grace Rivera</t>
  </si>
  <si>
    <t xml:space="preserve">Lana Wagner</t>
  </si>
  <si>
    <t xml:space="preserve">Anna Koot</t>
  </si>
  <si>
    <t xml:space="preserve">Jack Jenkins</t>
  </si>
  <si>
    <t xml:space="preserve">Karthick Sathiyamoorthy</t>
  </si>
  <si>
    <t xml:space="preserve">Matt Saunders</t>
  </si>
  <si>
    <t xml:space="preserve">Noel Morris</t>
  </si>
  <si>
    <t xml:space="preserve">Laura Roberts</t>
  </si>
  <si>
    <t xml:space="preserve">Adrian Lueng</t>
  </si>
  <si>
    <t xml:space="preserve">Santiago Hernandez Arevalo</t>
  </si>
  <si>
    <t xml:space="preserve">Ethan Laffan</t>
  </si>
  <si>
    <t xml:space="preserve">CDC (Always)</t>
  </si>
  <si>
    <t xml:space="preserve">Kishore Ganesan</t>
  </si>
  <si>
    <t xml:space="preserve">Ashwini Gaikwad</t>
  </si>
  <si>
    <t xml:space="preserve">Bradley Cunningham</t>
  </si>
  <si>
    <t xml:space="preserve">CDC</t>
  </si>
  <si>
    <t xml:space="preserve">Belinda Ford</t>
  </si>
  <si>
    <t xml:space="preserve">Jessica Calla</t>
  </si>
  <si>
    <t xml:space="preserve">Daniel Jolley</t>
  </si>
  <si>
    <t xml:space="preserve">Violeta Trajkovski</t>
  </si>
  <si>
    <t xml:space="preserve">Jeannie Chu</t>
  </si>
  <si>
    <t xml:space="preserve">Beenu Murali</t>
  </si>
  <si>
    <t xml:space="preserve">Tabitha Raharadjo</t>
  </si>
  <si>
    <t xml:space="preserve">Kaye Javier</t>
  </si>
  <si>
    <t xml:space="preserve">CDB (Often)</t>
  </si>
  <si>
    <t xml:space="preserve">Jordan Kettles</t>
  </si>
  <si>
    <t xml:space="preserve">Scott Cullen</t>
  </si>
  <si>
    <t xml:space="preserve">CDB</t>
  </si>
  <si>
    <t xml:space="preserve">Alex Sutherland</t>
  </si>
  <si>
    <t xml:space="preserve">Alex Abelita</t>
  </si>
  <si>
    <t xml:space="preserve">Associate Engineer - Automation Testing</t>
  </si>
  <si>
    <t xml:space="preserve">Allyn Puente</t>
  </si>
  <si>
    <t xml:space="preserve">Gayan Liyana Arachchige</t>
  </si>
  <si>
    <t xml:space="preserve">Johanah Gloria</t>
  </si>
  <si>
    <t xml:space="preserve">Josh Campbell</t>
  </si>
  <si>
    <t xml:space="preserve">Leilanie Avilla</t>
  </si>
  <si>
    <t xml:space="preserve">Kaaviya Salai Manimudian</t>
  </si>
  <si>
    <t xml:space="preserve">Michael Dasan</t>
  </si>
  <si>
    <t xml:space="preserve">Ethan Lamhert (FT)</t>
  </si>
  <si>
    <t xml:space="preserve">Spoilagi Bhutwala</t>
  </si>
  <si>
    <t xml:space="preserve">Vacant (SYD)</t>
  </si>
  <si>
    <t xml:space="preserve">Allana Arbuckle</t>
  </si>
  <si>
    <t xml:space="preserve">Amanda Turnbull</t>
  </si>
  <si>
    <t xml:space="preserve">Eugene Yeo</t>
  </si>
  <si>
    <t xml:space="preserve">CDA</t>
  </si>
  <si>
    <t xml:space="preserve">Lauren Lancaster</t>
  </si>
  <si>
    <t xml:space="preserve">Tom Moore</t>
  </si>
  <si>
    <t xml:space="preserve">Caitlin Naylor</t>
  </si>
  <si>
    <t xml:space="preserve">Oliver Shanks</t>
  </si>
  <si>
    <t xml:space="preserve">Zijie Zhang</t>
  </si>
  <si>
    <t xml:space="preserve">Nidhi Aggarwal</t>
  </si>
  <si>
    <t xml:space="preserve">OFF001</t>
  </si>
  <si>
    <t xml:space="preserve">Offshore Data 1</t>
  </si>
  <si>
    <t xml:space="preserve">OFF002</t>
  </si>
  <si>
    <t xml:space="preserve">Offshore Data 2</t>
  </si>
  <si>
    <t xml:space="preserve">OFF003</t>
  </si>
  <si>
    <t xml:space="preserve">Offshore Data 3</t>
  </si>
  <si>
    <t xml:space="preserve">OFF004</t>
  </si>
  <si>
    <t xml:space="preserve">Offshore Data 4</t>
  </si>
  <si>
    <t xml:space="preserve">OFF005</t>
  </si>
  <si>
    <t xml:space="preserve">Offshore Data 5</t>
  </si>
  <si>
    <t xml:space="preserve">OFF006</t>
  </si>
  <si>
    <t xml:space="preserve">Offshore Data 6</t>
  </si>
  <si>
    <t xml:space="preserve">OFF007</t>
  </si>
  <si>
    <t xml:space="preserve">Offshore Data 7</t>
  </si>
  <si>
    <t xml:space="preserve">OFF008</t>
  </si>
  <si>
    <t xml:space="preserve">Offshore Data 8</t>
  </si>
  <si>
    <t xml:space="preserve">OFF009</t>
  </si>
  <si>
    <t xml:space="preserve">Offshore Data 9</t>
  </si>
  <si>
    <t xml:space="preserve">VAC-CYB-01</t>
  </si>
  <si>
    <t xml:space="preserve">Cyber Architect (backfill for EGI Secondment)</t>
  </si>
  <si>
    <t xml:space="preserve">VAC-SO-01</t>
  </si>
  <si>
    <t xml:space="preserve">VAC-SO-02</t>
  </si>
  <si>
    <t xml:space="preserve">VAC-CR-01</t>
  </si>
  <si>
    <t xml:space="preserve">VAC-SO-03</t>
  </si>
  <si>
    <t xml:space="preserve">Month list, used by the dropdowns. Do not change.</t>
  </si>
  <si>
    <t xml:space="preserve">Jul-2026</t>
  </si>
  <si>
    <t xml:space="preserve">Aug-2026</t>
  </si>
  <si>
    <t xml:space="preserve">Sep-2026</t>
  </si>
  <si>
    <t xml:space="preserve">Nov-2026</t>
  </si>
  <si>
    <t xml:space="preserve">Dec-2026</t>
  </si>
  <si>
    <t xml:space="preserve">Feb-2027</t>
  </si>
  <si>
    <t xml:space="preserve">Mar-2027</t>
  </si>
  <si>
    <t xml:space="preserve">Apr-2027</t>
  </si>
  <si>
    <t xml:space="preserve">May-2027</t>
  </si>
  <si>
    <t xml:space="preserve">Jun-2027</t>
  </si>
  <si>
    <t xml:space="preserve">Jul-2027</t>
  </si>
  <si>
    <t xml:space="preserve">Aug-2027</t>
  </si>
  <si>
    <t xml:space="preserve">Sep-2027</t>
  </si>
  <si>
    <t xml:space="preserve">Oct-2027</t>
  </si>
  <si>
    <t xml:space="preserve">Nov-2027</t>
  </si>
  <si>
    <t xml:space="preserve">Dec-2027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</si>
</sst>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"/>
    <numFmt numFmtId="167" formatCode="0.00"/>
    <numFmt numFmtId="168" formatCode="0.000"/>
    <numFmt numFmtId="169" formatCode="_-* #,##0_-;\-* #,##0_-;_-* #,##0_-;_-@_-"/>
    <numFmt numFmtId="170" formatCode="0%"/>
    <numFmt numFmtId="171" formatCode="#,##0;\(#,##0\)"/>
    <numFmt numFmtId="172" formatCode="_-* #,##0.0_-;\-* #,##0.0_-;_-* #,##0.0_-;_-@_-"/>
    <numFmt numFmtId="173" formatCode="yyyy\-mm\-dd\ h:mm:ss"/>
    <numFmt numFmtId="174" formatCode="m/d/yyyy"/>
    <numFmt numFmtId="175" formatCode="dd/mm/yyyy"/>
    <numFmt numFmtId="17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0F2E52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B7DA3"/>
      <rgbColor rgb="FFB3B3B3"/>
      <rgbColor rgb="FF0F2E5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Reduction of cost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 Scenarios'!B43</c:f>
              <c:strCache>
                <c:ptCount val="1"/>
                <c:pt idx="0">
                  <c:v>Impact in FY26 ($m)</c:v>
                </c:pt>
              </c:strCache>
            </c:strRef>
          </c:tx>
          <c:spPr>
            <a:solidFill>
              <a:srgbClr val="0f2e5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Scenarios'!$C$42:$E$42</c:f>
              <c:strCache>
                <c:ptCount val="3"/>
                <c:pt idx="0">
                  <c:v>Example scenario</c:v>
                </c:pt>
                <c:pt idx="1">
                  <c:v>Scenario B</c:v>
                </c:pt>
                <c:pt idx="2">
                  <c:v>Scenario C</c:v>
                </c:pt>
              </c:strCache>
            </c:strRef>
          </c:cat>
          <c:val>
            <c:numRef>
              <c:f>'1 Scenarios'!$C$43:$E$43</c:f>
              <c:numCache>
                <c:formatCode>0.000</c:formatCode>
                <c:ptCount val="3"/>
                <c:pt idx="0">
                  <c:v>0.07118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'1 Scenarios'!B44</c:f>
              <c:strCache>
                <c:ptCount val="1"/>
                <c:pt idx="0">
                  <c:v>Impact in FY27 ($m)</c:v>
                </c:pt>
              </c:strCache>
            </c:strRef>
          </c:tx>
          <c:spPr>
            <a:solidFill>
              <a:srgbClr val="5b7d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Scenarios'!$C$42:$E$42</c:f>
              <c:strCache>
                <c:ptCount val="3"/>
                <c:pt idx="0">
                  <c:v>Example scenario</c:v>
                </c:pt>
                <c:pt idx="1">
                  <c:v>Scenario B</c:v>
                </c:pt>
                <c:pt idx="2">
                  <c:v>Scenario C</c:v>
                </c:pt>
              </c:strCache>
            </c:strRef>
          </c:cat>
          <c:val>
            <c:numRef>
              <c:f>'1 Scenarios'!$C$44:$E$44</c:f>
              <c:numCache>
                <c:formatCode>0.000</c:formatCode>
                <c:ptCount val="3"/>
                <c:pt idx="0">
                  <c:v>0.38966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'1 Scenarios'!B45</c:f>
              <c:strCache>
                <c:ptCount val="1"/>
                <c:pt idx="0">
                  <c:v>Reduction of cost, full year ($m)</c:v>
                </c:pt>
              </c:strCache>
            </c:strRef>
          </c:tx>
          <c:spPr>
            <a:solidFill>
              <a:srgbClr val="b7c3d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Scenarios'!$C$42:$E$42</c:f>
              <c:strCache>
                <c:ptCount val="3"/>
                <c:pt idx="0">
                  <c:v>Example scenario</c:v>
                </c:pt>
                <c:pt idx="1">
                  <c:v>Scenario B</c:v>
                </c:pt>
                <c:pt idx="2">
                  <c:v>Scenario C</c:v>
                </c:pt>
              </c:strCache>
            </c:strRef>
          </c:cat>
          <c:val>
            <c:numRef>
              <c:f>'1 Scenarios'!$C$45:$E$45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80"/>
        <c:overlap val="0"/>
        <c:axId val="8146834"/>
        <c:axId val="29275825"/>
      </c:barChart>
      <c:catAx>
        <c:axId val="814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75825"/>
        <c:crosses val="autoZero"/>
        <c:auto val="1"/>
        <c:lblAlgn val="ctr"/>
        <c:lblOffset val="100"/>
        <c:noMultiLvlLbl val="0"/>
      </c:catAx>
      <c:valAx>
        <c:axId val="29275825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68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13</xdr:col>
      <xdr:colOff>447840</xdr:colOff>
      <xdr:row>22</xdr:row>
      <xdr:rowOff>58320</xdr:rowOff>
    </xdr:to>
    <xdr:graphicFrame>
      <xdr:nvGraphicFramePr>
        <xdr:cNvPr id="0" name="Chart 1"/>
        <xdr:cNvGraphicFramePr/>
      </xdr:nvGraphicFramePr>
      <xdr:xfrm>
        <a:off x="7740720" y="2228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5" min="3" style="1" width="12"/>
  </cols>
  <sheetData>
    <row r="2" customFormat="false" ht="19.5" hidden="false" customHeight="true" outlineLevel="0" collapsed="false">
      <c r="B2" s="2" t="s">
        <v>0</v>
      </c>
    </row>
    <row r="3" customFormat="false" ht="68.25" hidden="false" customHeight="true" outlineLevel="0" collapsed="false">
      <c r="B3" s="3" t="s">
        <v>1</v>
      </c>
    </row>
    <row r="4" customFormat="false" ht="27.75" hidden="false" customHeight="true" outlineLevel="0" collapsed="false">
      <c r="B4" s="4" t="s">
        <v>2</v>
      </c>
      <c r="C4" s="5" t="s">
        <v>3</v>
      </c>
      <c r="G4" s="6" t="s">
        <v>4</v>
      </c>
    </row>
    <row r="5" customFormat="false" ht="15" hidden="false" customHeight="true" outlineLevel="0" collapsed="false">
      <c r="B5" s="4" t="s">
        <v>5</v>
      </c>
      <c r="C5" s="5" t="s">
        <v>6</v>
      </c>
    </row>
    <row r="6" customFormat="false" ht="15" hidden="false" customHeight="true" outlineLevel="0" collapsed="false">
      <c r="B6" s="4" t="s">
        <v>7</v>
      </c>
      <c r="C6" s="5" t="s">
        <v>8</v>
      </c>
    </row>
    <row r="8" customFormat="false" ht="27.75" hidden="false" customHeight="true" outlineLevel="0" collapsed="false">
      <c r="B8" s="7" t="s">
        <v>9</v>
      </c>
      <c r="C8" s="8" t="str">
        <f aca="false">C4</f>
        <v>Example scenario</v>
      </c>
      <c r="D8" s="8" t="str">
        <f aca="false">C5</f>
        <v>Scenario B</v>
      </c>
      <c r="E8" s="8" t="str">
        <f aca="false">C6</f>
        <v>Scenario C</v>
      </c>
    </row>
    <row r="9" customFormat="false" ht="15" hidden="false" customHeight="true" outlineLevel="0" collapsed="false">
      <c r="B9" s="4" t="s">
        <v>10</v>
      </c>
      <c r="C9" s="9" t="n">
        <f aca="false">COUNTIF('2 Roles'!K6:K545,"Yes")</f>
        <v>4</v>
      </c>
      <c r="D9" s="9" t="n">
        <f aca="false">COUNTIF('2 Roles'!P6:P545,"Yes")</f>
        <v>0</v>
      </c>
      <c r="E9" s="9" t="n">
        <f aca="false">COUNTIF('2 Roles'!U6:U545,"Yes")</f>
        <v>0</v>
      </c>
    </row>
    <row r="10" customFormat="false" ht="15" hidden="false" customHeight="true" outlineLevel="0" collapsed="false">
      <c r="B10" s="4" t="s">
        <v>11</v>
      </c>
      <c r="C10" s="10" t="n">
        <f aca="false">SUMIF('2 Roles'!K6:K545,"Yes",'2 Roles'!$H$6:$H$545)</f>
        <v>4</v>
      </c>
      <c r="D10" s="10" t="n">
        <f aca="false">SUMIF('2 Roles'!P6:P545,"Yes",'2 Roles'!$H$6:$H$545)</f>
        <v>0</v>
      </c>
      <c r="E10" s="10" t="n">
        <f aca="false">SUMIF('2 Roles'!U6:U545,"Yes",'2 Roles'!$H$6:$H$545)</f>
        <v>0</v>
      </c>
    </row>
    <row r="11" customFormat="false" ht="15" hidden="false" customHeight="true" outlineLevel="0" collapsed="false">
      <c r="B11" s="4" t="s">
        <v>12</v>
      </c>
      <c r="C11" s="11" t="n">
        <f aca="false">SUMIF('2 Roles'!K6:K545,"Yes",'2 Roles'!$J$6:$J$545)</f>
        <v>0.7607</v>
      </c>
      <c r="D11" s="11" t="n">
        <f aca="false">SUMIF('2 Roles'!P6:P545,"Yes",'2 Roles'!$J$6:$J$545)</f>
        <v>0</v>
      </c>
      <c r="E11" s="11" t="n">
        <f aca="false">SUMIF('2 Roles'!U6:U545,"Yes",'2 Roles'!$J$6:$J$545)</f>
        <v>0</v>
      </c>
    </row>
    <row r="12" customFormat="false" ht="15" hidden="false" customHeight="true" outlineLevel="0" collapsed="false">
      <c r="B12" s="4" t="s">
        <v>13</v>
      </c>
      <c r="C12" s="11" t="n">
        <f aca="false">C11-C13</f>
        <v>0.37104</v>
      </c>
      <c r="D12" s="11" t="n">
        <f aca="false">D11-D13</f>
        <v>0</v>
      </c>
      <c r="E12" s="11" t="n">
        <f aca="false">E11-E13</f>
        <v>0</v>
      </c>
    </row>
    <row r="13" customFormat="false" ht="15" hidden="false" customHeight="true" outlineLevel="0" collapsed="false">
      <c r="B13" s="12" t="s">
        <v>14</v>
      </c>
      <c r="C13" s="13" t="n">
        <f aca="false">SUM('2 Roles'!M6:M545)</f>
        <v>0.38966</v>
      </c>
      <c r="D13" s="13" t="n">
        <f aca="false">SUM('2 Roles'!R6:R545)</f>
        <v>0</v>
      </c>
      <c r="E13" s="13" t="n">
        <f aca="false">SUM('2 Roles'!W6:W545)</f>
        <v>0</v>
      </c>
    </row>
    <row r="14" customFormat="false" ht="15" hidden="false" customHeight="true" outlineLevel="0" collapsed="false">
      <c r="B14" s="12" t="s">
        <v>15</v>
      </c>
      <c r="C14" s="13" t="n">
        <f aca="false">SUM('2 Roles'!N6:N545)</f>
        <v>0.07118</v>
      </c>
      <c r="D14" s="13" t="n">
        <f aca="false">SUM('2 Roles'!S6:S545)</f>
        <v>0</v>
      </c>
      <c r="E14" s="13" t="n">
        <f aca="false">SUM('2 Roles'!X6:X545)</f>
        <v>0</v>
      </c>
    </row>
    <row r="15" customFormat="false" ht="15" hidden="false" customHeight="true" outlineLevel="0" collapsed="false">
      <c r="B15" s="12" t="s">
        <v>16</v>
      </c>
      <c r="C15" s="13" t="n">
        <f aca="false">SUM('2 Roles'!O6:O545)</f>
        <v>0.38966</v>
      </c>
      <c r="D15" s="13" t="n">
        <f aca="false">SUM('2 Roles'!T6:T545)</f>
        <v>0</v>
      </c>
      <c r="E15" s="13" t="n">
        <f aca="false">SUM('2 Roles'!Y6:Y545)</f>
        <v>0</v>
      </c>
    </row>
    <row r="18" customFormat="false" ht="27.75" hidden="false" customHeight="true" outlineLevel="0" collapsed="false">
      <c r="B18" s="7" t="s">
        <v>17</v>
      </c>
      <c r="C18" s="8" t="str">
        <f aca="false">C4</f>
        <v>Example scenario</v>
      </c>
      <c r="D18" s="8" t="str">
        <f aca="false">C5</f>
        <v>Scenario B</v>
      </c>
      <c r="E18" s="8" t="str">
        <f aca="false">C6</f>
        <v>Scenario C</v>
      </c>
    </row>
    <row r="19" customFormat="false" ht="15" hidden="false" customHeight="true" outlineLevel="0" collapsed="false">
      <c r="B19" s="3" t="s">
        <v>18</v>
      </c>
      <c r="C19" s="14" t="n">
        <f aca="false">SUMIFS('2 Roles'!$M$6:$M$545,'2 Roles'!$D$6:$D$545,$B19)</f>
        <v>0.16376</v>
      </c>
      <c r="D19" s="14" t="n">
        <f aca="false">SUMIFS('2 Roles'!$R$6:$R$545,'2 Roles'!$D$6:$D$545,$B19)</f>
        <v>0</v>
      </c>
      <c r="E19" s="14" t="n">
        <f aca="false">SUMIFS('2 Roles'!$W$6:$W$545,'2 Roles'!$D$6:$D$545,$B19)</f>
        <v>0</v>
      </c>
    </row>
    <row r="20" customFormat="false" ht="15" hidden="false" customHeight="true" outlineLevel="0" collapsed="false">
      <c r="B20" s="3" t="s">
        <v>19</v>
      </c>
      <c r="C20" s="14" t="n">
        <f aca="false">SUMIFS('2 Roles'!$M$6:$M$545,'2 Roles'!$D$6:$D$545,$B20)</f>
        <v>0</v>
      </c>
      <c r="D20" s="14" t="n">
        <f aca="false">SUMIFS('2 Roles'!$R$6:$R$545,'2 Roles'!$D$6:$D$545,$B20)</f>
        <v>0</v>
      </c>
      <c r="E20" s="14" t="n">
        <f aca="false">SUMIFS('2 Roles'!$W$6:$W$545,'2 Roles'!$D$6:$D$545,$B20)</f>
        <v>0</v>
      </c>
    </row>
    <row r="21" customFormat="false" ht="15" hidden="false" customHeight="true" outlineLevel="0" collapsed="false">
      <c r="B21" s="3" t="s">
        <v>20</v>
      </c>
      <c r="C21" s="14" t="n">
        <f aca="false">SUMIFS('2 Roles'!$M$6:$M$545,'2 Roles'!$D$6:$D$545,$B21)</f>
        <v>0</v>
      </c>
      <c r="D21" s="14" t="n">
        <f aca="false">SUMIFS('2 Roles'!$R$6:$R$545,'2 Roles'!$D$6:$D$545,$B21)</f>
        <v>0</v>
      </c>
      <c r="E21" s="14" t="n">
        <f aca="false">SUMIFS('2 Roles'!$W$6:$W$545,'2 Roles'!$D$6:$D$545,$B21)</f>
        <v>0</v>
      </c>
    </row>
    <row r="22" customFormat="false" ht="15" hidden="false" customHeight="true" outlineLevel="0" collapsed="false">
      <c r="B22" s="3" t="s">
        <v>21</v>
      </c>
      <c r="C22" s="14" t="n">
        <f aca="false">SUMIFS('2 Roles'!$M$6:$M$545,'2 Roles'!$D$6:$D$545,$B22)</f>
        <v>0</v>
      </c>
      <c r="D22" s="14" t="n">
        <f aca="false">SUMIFS('2 Roles'!$R$6:$R$545,'2 Roles'!$D$6:$D$545,$B22)</f>
        <v>0</v>
      </c>
      <c r="E22" s="14" t="n">
        <f aca="false">SUMIFS('2 Roles'!$W$6:$W$545,'2 Roles'!$D$6:$D$545,$B22)</f>
        <v>0</v>
      </c>
    </row>
    <row r="23" customFormat="false" ht="15" hidden="false" customHeight="true" outlineLevel="0" collapsed="false">
      <c r="B23" s="3" t="s">
        <v>22</v>
      </c>
      <c r="C23" s="14" t="n">
        <f aca="false">SUMIFS('2 Roles'!$M$6:$M$545,'2 Roles'!$D$6:$D$545,$B23)</f>
        <v>0</v>
      </c>
      <c r="D23" s="14" t="n">
        <f aca="false">SUMIFS('2 Roles'!$R$6:$R$545,'2 Roles'!$D$6:$D$545,$B23)</f>
        <v>0</v>
      </c>
      <c r="E23" s="14" t="n">
        <f aca="false">SUMIFS('2 Roles'!$W$6:$W$545,'2 Roles'!$D$6:$D$545,$B23)</f>
        <v>0</v>
      </c>
    </row>
    <row r="24" customFormat="false" ht="15" hidden="false" customHeight="true" outlineLevel="0" collapsed="false">
      <c r="B24" s="3" t="s">
        <v>23</v>
      </c>
      <c r="C24" s="14" t="n">
        <f aca="false">SUMIFS('2 Roles'!$M$6:$M$545,'2 Roles'!$D$6:$D$545,$B24)</f>
        <v>0</v>
      </c>
      <c r="D24" s="14" t="n">
        <f aca="false">SUMIFS('2 Roles'!$R$6:$R$545,'2 Roles'!$D$6:$D$545,$B24)</f>
        <v>0</v>
      </c>
      <c r="E24" s="14" t="n">
        <f aca="false">SUMIFS('2 Roles'!$W$6:$W$545,'2 Roles'!$D$6:$D$545,$B24)</f>
        <v>0</v>
      </c>
    </row>
    <row r="25" customFormat="false" ht="15" hidden="false" customHeight="true" outlineLevel="0" collapsed="false">
      <c r="B25" s="3" t="s">
        <v>24</v>
      </c>
      <c r="C25" s="14" t="n">
        <f aca="false">SUMIFS('2 Roles'!$M$6:$M$545,'2 Roles'!$D$6:$D$545,$B25)</f>
        <v>0.10494</v>
      </c>
      <c r="D25" s="14" t="n">
        <f aca="false">SUMIFS('2 Roles'!$R$6:$R$545,'2 Roles'!$D$6:$D$545,$B25)</f>
        <v>0</v>
      </c>
      <c r="E25" s="14" t="n">
        <f aca="false">SUMIFS('2 Roles'!$W$6:$W$545,'2 Roles'!$D$6:$D$545,$B25)</f>
        <v>0</v>
      </c>
    </row>
    <row r="26" customFormat="false" ht="15" hidden="false" customHeight="true" outlineLevel="0" collapsed="false">
      <c r="B26" s="3" t="s">
        <v>25</v>
      </c>
      <c r="C26" s="14" t="n">
        <f aca="false">SUMIFS('2 Roles'!$M$6:$M$545,'2 Roles'!$D$6:$D$545,$B26)</f>
        <v>0</v>
      </c>
      <c r="D26" s="14" t="n">
        <f aca="false">SUMIFS('2 Roles'!$R$6:$R$545,'2 Roles'!$D$6:$D$545,$B26)</f>
        <v>0</v>
      </c>
      <c r="E26" s="14" t="n">
        <f aca="false">SUMIFS('2 Roles'!$W$6:$W$545,'2 Roles'!$D$6:$D$545,$B26)</f>
        <v>0</v>
      </c>
    </row>
    <row r="27" customFormat="false" ht="15" hidden="false" customHeight="true" outlineLevel="0" collapsed="false">
      <c r="B27" s="3" t="s">
        <v>26</v>
      </c>
      <c r="C27" s="14" t="n">
        <f aca="false">SUMIFS('2 Roles'!$M$6:$M$545,'2 Roles'!$D$6:$D$545,$B27)</f>
        <v>0</v>
      </c>
      <c r="D27" s="14" t="n">
        <f aca="false">SUMIFS('2 Roles'!$R$6:$R$545,'2 Roles'!$D$6:$D$545,$B27)</f>
        <v>0</v>
      </c>
      <c r="E27" s="14" t="n">
        <f aca="false">SUMIFS('2 Roles'!$W$6:$W$545,'2 Roles'!$D$6:$D$545,$B27)</f>
        <v>0</v>
      </c>
    </row>
    <row r="28" customFormat="false" ht="15" hidden="false" customHeight="true" outlineLevel="0" collapsed="false">
      <c r="B28" s="3" t="s">
        <v>27</v>
      </c>
      <c r="C28" s="14" t="n">
        <f aca="false">SUMIFS('2 Roles'!$M$6:$M$545,'2 Roles'!$D$6:$D$545,$B28)</f>
        <v>0</v>
      </c>
      <c r="D28" s="14" t="n">
        <f aca="false">SUMIFS('2 Roles'!$R$6:$R$545,'2 Roles'!$D$6:$D$545,$B28)</f>
        <v>0</v>
      </c>
      <c r="E28" s="14" t="n">
        <f aca="false">SUMIFS('2 Roles'!$W$6:$W$545,'2 Roles'!$D$6:$D$545,$B28)</f>
        <v>0</v>
      </c>
    </row>
    <row r="29" customFormat="false" ht="15" hidden="false" customHeight="true" outlineLevel="0" collapsed="false">
      <c r="B29" s="3" t="s">
        <v>28</v>
      </c>
      <c r="C29" s="14" t="n">
        <f aca="false">SUMIFS('2 Roles'!$M$6:$M$545,'2 Roles'!$D$6:$D$545,$B29)</f>
        <v>0</v>
      </c>
      <c r="D29" s="14" t="n">
        <f aca="false">SUMIFS('2 Roles'!$R$6:$R$545,'2 Roles'!$D$6:$D$545,$B29)</f>
        <v>0</v>
      </c>
      <c r="E29" s="14" t="n">
        <f aca="false">SUMIFS('2 Roles'!$W$6:$W$545,'2 Roles'!$D$6:$D$545,$B29)</f>
        <v>0</v>
      </c>
    </row>
    <row r="30" customFormat="false" ht="15" hidden="false" customHeight="true" outlineLevel="0" collapsed="false">
      <c r="B30" s="3" t="s">
        <v>29</v>
      </c>
      <c r="C30" s="14" t="n">
        <f aca="false">SUMIFS('2 Roles'!$M$6:$M$545,'2 Roles'!$D$6:$D$545,$B30)</f>
        <v>0.12096</v>
      </c>
      <c r="D30" s="14" t="n">
        <f aca="false">SUMIFS('2 Roles'!$R$6:$R$545,'2 Roles'!$D$6:$D$545,$B30)</f>
        <v>0</v>
      </c>
      <c r="E30" s="14" t="n">
        <f aca="false">SUMIFS('2 Roles'!$W$6:$W$545,'2 Roles'!$D$6:$D$545,$B30)</f>
        <v>0</v>
      </c>
    </row>
    <row r="31" customFormat="false" ht="15" hidden="false" customHeight="true" outlineLevel="0" collapsed="false">
      <c r="B31" s="3" t="s">
        <v>30</v>
      </c>
      <c r="C31" s="14" t="n">
        <f aca="false">SUMIFS('2 Roles'!$M$6:$M$545,'2 Roles'!$D$6:$D$545,$B31)</f>
        <v>0</v>
      </c>
      <c r="D31" s="14" t="n">
        <f aca="false">SUMIFS('2 Roles'!$R$6:$R$545,'2 Roles'!$D$6:$D$545,$B31)</f>
        <v>0</v>
      </c>
      <c r="E31" s="14" t="n">
        <f aca="false">SUMIFS('2 Roles'!$W$6:$W$545,'2 Roles'!$D$6:$D$545,$B31)</f>
        <v>0</v>
      </c>
    </row>
    <row r="32" customFormat="false" ht="15" hidden="false" customHeight="true" outlineLevel="0" collapsed="false">
      <c r="B32" s="3" t="s">
        <v>31</v>
      </c>
      <c r="C32" s="14" t="n">
        <f aca="false">SUMIFS('2 Roles'!$M$6:$M$545,'2 Roles'!$D$6:$D$545,$B32)</f>
        <v>0</v>
      </c>
      <c r="D32" s="14" t="n">
        <f aca="false">SUMIFS('2 Roles'!$R$6:$R$545,'2 Roles'!$D$6:$D$545,$B32)</f>
        <v>0</v>
      </c>
      <c r="E32" s="14" t="n">
        <f aca="false">SUMIFS('2 Roles'!$W$6:$W$545,'2 Roles'!$D$6:$D$545,$B32)</f>
        <v>0</v>
      </c>
    </row>
    <row r="33" customFormat="false" ht="15" hidden="false" customHeight="true" outlineLevel="0" collapsed="false">
      <c r="B33" s="3" t="s">
        <v>32</v>
      </c>
      <c r="C33" s="14" t="n">
        <f aca="false">SUMIFS('2 Roles'!$M$6:$M$545,'2 Roles'!$D$6:$D$545,$B33)</f>
        <v>0</v>
      </c>
      <c r="D33" s="14" t="n">
        <f aca="false">SUMIFS('2 Roles'!$R$6:$R$545,'2 Roles'!$D$6:$D$545,$B33)</f>
        <v>0</v>
      </c>
      <c r="E33" s="14" t="n">
        <f aca="false">SUMIFS('2 Roles'!$W$6:$W$545,'2 Roles'!$D$6:$D$545,$B33)</f>
        <v>0</v>
      </c>
    </row>
    <row r="34" customFormat="false" ht="15" hidden="false" customHeight="true" outlineLevel="0" collapsed="false">
      <c r="B34" s="3" t="s">
        <v>33</v>
      </c>
      <c r="C34" s="14" t="n">
        <f aca="false">SUMIFS('2 Roles'!$M$6:$M$545,'2 Roles'!$D$6:$D$545,"=")</f>
        <v>0</v>
      </c>
      <c r="D34" s="14" t="n">
        <f aca="false">SUMIFS('2 Roles'!$R$6:$R$545,'2 Roles'!$D$6:$D$545,"=")</f>
        <v>0</v>
      </c>
      <c r="E34" s="14" t="n">
        <f aca="false">SUMIFS('2 Roles'!$W$6:$W$545,'2 Roles'!$D$6:$D$545,"=")</f>
        <v>0</v>
      </c>
    </row>
    <row r="35" customFormat="false" ht="15" hidden="false" customHeight="true" outlineLevel="0" collapsed="false">
      <c r="B35" s="15" t="s">
        <v>34</v>
      </c>
      <c r="C35" s="16" t="n">
        <f aca="false">SUM(C19:C34)</f>
        <v>0.38966</v>
      </c>
      <c r="D35" s="16" t="n">
        <f aca="false">SUM(D19:D34)</f>
        <v>0</v>
      </c>
      <c r="E35" s="16" t="n">
        <f aca="false">SUM(E19:E34)</f>
        <v>0</v>
      </c>
    </row>
    <row r="36" customFormat="false" ht="27.75" hidden="false" customHeight="true" outlineLevel="0" collapsed="false">
      <c r="B36" s="3" t="s">
        <v>35</v>
      </c>
      <c r="C36" s="14" t="n">
        <f aca="false">C35-C13</f>
        <v>0</v>
      </c>
      <c r="D36" s="14" t="n">
        <f aca="false">D35-D13</f>
        <v>0</v>
      </c>
      <c r="E36" s="14" t="n">
        <f aca="false">E35-E13</f>
        <v>0</v>
      </c>
    </row>
    <row r="37" customFormat="false" ht="15" hidden="false" customHeight="true" outlineLevel="0" collapsed="false">
      <c r="B37" s="6" t="s">
        <v>36</v>
      </c>
    </row>
    <row r="41" customFormat="false" ht="15" hidden="false" customHeight="true" outlineLevel="0" collapsed="false"/>
    <row r="42" customFormat="false" ht="27.75" hidden="false" customHeight="true" outlineLevel="0" collapsed="false">
      <c r="B42" s="3" t="s">
        <v>37</v>
      </c>
      <c r="C42" s="4" t="str">
        <f aca="false">C4</f>
        <v>Example scenario</v>
      </c>
      <c r="D42" s="4" t="str">
        <f aca="false">C5</f>
        <v>Scenario B</v>
      </c>
      <c r="E42" s="4" t="str">
        <f aca="false">C6</f>
        <v>Scenario C</v>
      </c>
    </row>
    <row r="43" customFormat="false" ht="15" hidden="false" customHeight="true" outlineLevel="0" collapsed="false">
      <c r="B43" s="3" t="s">
        <v>15</v>
      </c>
      <c r="C43" s="14" t="n">
        <f aca="false">C14</f>
        <v>0.07118</v>
      </c>
      <c r="D43" s="14" t="n">
        <f aca="false">D14</f>
        <v>0</v>
      </c>
      <c r="E43" s="14" t="n">
        <f aca="false">E14</f>
        <v>0</v>
      </c>
    </row>
    <row r="44" customFormat="false" ht="15" hidden="false" customHeight="true" outlineLevel="0" collapsed="false">
      <c r="B44" s="3" t="s">
        <v>16</v>
      </c>
      <c r="C44" s="14" t="n">
        <f aca="false">C15</f>
        <v>0.38966</v>
      </c>
      <c r="D44" s="14" t="n">
        <f aca="false">D15</f>
        <v>0</v>
      </c>
      <c r="E44" s="14" t="n">
        <f aca="false">E15</f>
        <v>0</v>
      </c>
    </row>
    <row r="45" customFormat="false" ht="15" hidden="false" customHeight="true" outlineLevel="0" collapsed="false">
      <c r="B45" s="3" t="s">
        <v>14</v>
      </c>
      <c r="C45" s="14" t="n">
        <f aca="false">C16</f>
        <v>0</v>
      </c>
      <c r="D45" s="14" t="n">
        <f aca="false">D16</f>
        <v>0</v>
      </c>
      <c r="E45" s="14" t="n">
        <f aca="false">E16</f>
        <v>0</v>
      </c>
    </row>
    <row r="46" customFormat="false" ht="15" hidden="false" customHeight="true" outlineLevel="0" collapsed="false"/>
  </sheetData>
  <sheetProtection sheet="true" password="c5c5" formatCell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7"/>
    <col collapsed="false" customWidth="true" hidden="false" outlineLevel="0" max="5" min="5" style="1" width="20"/>
    <col collapsed="false" customWidth="true" hidden="false" outlineLevel="0" max="6" min="6" style="1" width="6"/>
    <col collapsed="false" customWidth="true" hidden="false" outlineLevel="0" max="7" min="7" style="1" width="16"/>
    <col collapsed="false" customWidth="true" hidden="false" outlineLevel="0" max="8" min="8" style="1" width="5"/>
    <col collapsed="false" customWidth="true" hidden="false" outlineLevel="0" max="10" min="9" style="1" width="9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6" min="14" style="1" width="8"/>
    <col collapsed="false" customWidth="true" hidden="false" outlineLevel="0" max="18" min="17" style="1" width="9"/>
    <col collapsed="false" customWidth="true" hidden="false" outlineLevel="0" max="21" min="19" style="1" width="8"/>
    <col collapsed="false" customWidth="true" hidden="false" outlineLevel="0" max="23" min="22" style="1" width="9"/>
    <col collapsed="false" customWidth="true" hidden="false" outlineLevel="0" max="25" min="24" style="1" width="8"/>
  </cols>
  <sheetData>
    <row r="2" customFormat="false" ht="72.75" hidden="false" customHeight="true" outlineLevel="0" collapsed="false">
      <c r="B2" s="2" t="s">
        <v>38</v>
      </c>
    </row>
    <row r="3" customFormat="false" ht="484.5" hidden="false" customHeight="true" outlineLevel="0" collapsed="false">
      <c r="B3" s="4" t="s">
        <v>39</v>
      </c>
    </row>
    <row r="4" customFormat="false" ht="81.75" hidden="false" customHeight="true" outlineLevel="0" collapsed="false">
      <c r="K4" s="17" t="str">
        <f aca="false">CONCATENATE("Scenario ",'1 Scenarios'!C4)</f>
        <v>Scenario Example scenario</v>
      </c>
      <c r="P4" s="17" t="str">
        <f aca="false">CONCATENATE("Scenario ",'1 Scenarios'!C5)</f>
        <v>Scenario Scenario B</v>
      </c>
      <c r="U4" s="17" t="str">
        <f aca="false">CONCATENATE("Scenario ",'1 Scenarios'!C6)</f>
        <v>Scenario Scenario C</v>
      </c>
    </row>
    <row r="5" customFormat="false" ht="54.75" hidden="false" customHeight="true" outlineLevel="0" collapsed="false">
      <c r="B5" s="8" t="s">
        <v>40</v>
      </c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  <c r="H5" s="8" t="s">
        <v>46</v>
      </c>
      <c r="I5" s="8" t="s">
        <v>47</v>
      </c>
      <c r="J5" s="8" t="s">
        <v>48</v>
      </c>
      <c r="K5" s="8" t="s">
        <v>49</v>
      </c>
      <c r="L5" s="8" t="s">
        <v>50</v>
      </c>
      <c r="M5" s="8" t="s">
        <v>51</v>
      </c>
      <c r="N5" s="8" t="s">
        <v>52</v>
      </c>
      <c r="O5" s="8" t="s">
        <v>53</v>
      </c>
      <c r="P5" s="8" t="s">
        <v>49</v>
      </c>
      <c r="Q5" s="8" t="s">
        <v>50</v>
      </c>
      <c r="R5" s="8" t="s">
        <v>51</v>
      </c>
      <c r="S5" s="8" t="s">
        <v>52</v>
      </c>
      <c r="T5" s="8" t="s">
        <v>53</v>
      </c>
      <c r="U5" s="8" t="s">
        <v>49</v>
      </c>
      <c r="V5" s="8" t="s">
        <v>50</v>
      </c>
      <c r="W5" s="8" t="s">
        <v>51</v>
      </c>
      <c r="X5" s="8" t="s">
        <v>52</v>
      </c>
      <c r="Y5" s="8" t="s">
        <v>53</v>
      </c>
    </row>
    <row r="6" customFormat="false" ht="15" hidden="false" customHeight="true" outlineLevel="0" collapsed="false">
      <c r="B6" s="18" t="s">
        <v>54</v>
      </c>
      <c r="C6" s="18" t="s">
        <v>55</v>
      </c>
      <c r="D6" s="18" t="s">
        <v>22</v>
      </c>
      <c r="E6" s="18" t="s">
        <v>56</v>
      </c>
      <c r="F6" s="19" t="s">
        <v>57</v>
      </c>
      <c r="G6" s="19" t="s">
        <v>58</v>
      </c>
      <c r="H6" s="19" t="n">
        <v>1</v>
      </c>
      <c r="I6" s="20" t="n">
        <v>0.2642</v>
      </c>
      <c r="J6" s="20" t="n">
        <v>0.2642</v>
      </c>
      <c r="K6" s="21" t="s">
        <v>59</v>
      </c>
      <c r="L6" s="21"/>
      <c r="M6" s="20" t="n">
        <f aca="false">IF(AND($K6="Yes",$G6&lt;&gt;"Vendor day rates"),$J6-0.4*$I6,0)</f>
        <v>0</v>
      </c>
      <c r="N6" s="20" t="n">
        <f aca="false">IF(OR($K6&lt;&gt;"Yes",$L6=""),0,$M6*MAX(0,7-MATCH($L6,MonthList,0))/12)</f>
        <v>0</v>
      </c>
      <c r="O6" s="20" t="n">
        <f aca="false">IF(OR($K6&lt;&gt;"Yes",$L6=""),0,$M6*IF(MATCH($L6,MonthList,0)&lt;=7,12,19-MATCH($L6,MonthList,0))/12)</f>
        <v>0</v>
      </c>
      <c r="P6" s="21" t="s">
        <v>59</v>
      </c>
      <c r="Q6" s="21"/>
      <c r="R6" s="20" t="n">
        <f aca="false">IF(AND($P6="Yes",$G6&lt;&gt;"Vendor day rates"),$J6-0.4*$I6,0)</f>
        <v>0</v>
      </c>
      <c r="S6" s="20" t="n">
        <f aca="false">IF(OR($P6&lt;&gt;"Yes",$Q6=""),0,$R6*MAX(0,7-MATCH($Q6,MonthList,0))/12)</f>
        <v>0</v>
      </c>
      <c r="T6" s="20" t="n">
        <f aca="false">IF(OR($P6&lt;&gt;"Yes",$Q6=""),0,$R6*IF(MATCH($Q6,MonthList,0)&lt;=7,12,19-MATCH($Q6,MonthList,0))/12)</f>
        <v>0</v>
      </c>
      <c r="U6" s="21" t="s">
        <v>59</v>
      </c>
      <c r="V6" s="21"/>
      <c r="W6" s="20" t="n">
        <f aca="false">IF(AND($U6="Yes",$G6&lt;&gt;"Vendor day rates"),$J6-0.4*$I6,0)</f>
        <v>0</v>
      </c>
      <c r="X6" s="20" t="n">
        <f aca="false">IF(OR($U6&lt;&gt;"Yes",$V6=""),0,$W6*MAX(0,7-MATCH($V6,MonthList,0))/12)</f>
        <v>0</v>
      </c>
      <c r="Y6" s="20" t="n">
        <f aca="false">IF(OR($U6&lt;&gt;"Yes",$V6=""),0,$W6*IF(MATCH($V6,MonthList,0)&lt;=7,12,19-MATCH($V6,MonthList,0))/12)</f>
        <v>0</v>
      </c>
    </row>
    <row r="7" customFormat="false" ht="15" hidden="false" customHeight="true" outlineLevel="0" collapsed="false">
      <c r="B7" s="22" t="s">
        <v>60</v>
      </c>
      <c r="C7" s="22" t="s">
        <v>61</v>
      </c>
      <c r="D7" s="22" t="s">
        <v>18</v>
      </c>
      <c r="E7" s="22" t="s">
        <v>62</v>
      </c>
      <c r="F7" s="23" t="s">
        <v>57</v>
      </c>
      <c r="G7" s="23" t="s">
        <v>58</v>
      </c>
      <c r="H7" s="23" t="n">
        <v>1</v>
      </c>
      <c r="I7" s="24" t="n">
        <v>0.2729</v>
      </c>
      <c r="J7" s="24" t="n">
        <v>0.2729</v>
      </c>
      <c r="K7" s="21" t="s">
        <v>63</v>
      </c>
      <c r="L7" s="21" t="s">
        <v>64</v>
      </c>
      <c r="M7" s="24" t="n">
        <f aca="false">IF(AND($K7="Yes",$G7&lt;&gt;"Vendor day rates"),$J7-0.4*$I7,0)</f>
        <v>0.16374</v>
      </c>
      <c r="N7" s="24" t="n">
        <f aca="false">IF(OR($K7&lt;&gt;"Yes",$L7=""),0,$M7*MAX(0,7-MATCH($L7,MonthList,0))/12)</f>
        <v>0.040935</v>
      </c>
      <c r="O7" s="24" t="n">
        <f aca="false">IF(OR($K7&lt;&gt;"Yes",$L7=""),0,$M7*IF(MATCH($L7,MonthList,0)&lt;=7,12,19-MATCH($L7,MonthList,0))/12)</f>
        <v>0.16374</v>
      </c>
      <c r="P7" s="21" t="s">
        <v>59</v>
      </c>
      <c r="Q7" s="21"/>
      <c r="R7" s="24" t="n">
        <f aca="false">IF(AND($P7="Yes",$G7&lt;&gt;"Vendor day rates"),$J7-0.4*$I7,0)</f>
        <v>0</v>
      </c>
      <c r="S7" s="24" t="n">
        <f aca="false">IF(OR($P7&lt;&gt;"Yes",$Q7=""),0,$R7*MAX(0,7-MATCH($Q7,MonthList,0))/12)</f>
        <v>0</v>
      </c>
      <c r="T7" s="24" t="n">
        <f aca="false">IF(OR($P7&lt;&gt;"Yes",$Q7=""),0,$R7*IF(MATCH($Q7,MonthList,0)&lt;=7,12,19-MATCH($Q7,MonthList,0))/12)</f>
        <v>0</v>
      </c>
      <c r="U7" s="21" t="s">
        <v>59</v>
      </c>
      <c r="V7" s="21"/>
      <c r="W7" s="24" t="n">
        <f aca="false">IF(AND($U7="Yes",$G7&lt;&gt;"Vendor day rates"),$J7-0.4*$I7,0)</f>
        <v>0</v>
      </c>
      <c r="X7" s="24" t="n">
        <f aca="false">IF(OR($U7&lt;&gt;"Yes",$V7=""),0,$W7*MAX(0,7-MATCH($V7,MonthList,0))/12)</f>
        <v>0</v>
      </c>
      <c r="Y7" s="24" t="n">
        <f aca="false">IF(OR($U7&lt;&gt;"Yes",$V7=""),0,$W7*IF(MATCH($V7,MonthList,0)&lt;=7,12,19-MATCH($V7,MonthList,0))/12)</f>
        <v>0</v>
      </c>
    </row>
    <row r="8" customFormat="false" ht="15" hidden="false" customHeight="true" outlineLevel="0" collapsed="false">
      <c r="B8" s="18" t="s">
        <v>65</v>
      </c>
      <c r="C8" s="18" t="s">
        <v>61</v>
      </c>
      <c r="D8" s="18" t="s">
        <v>18</v>
      </c>
      <c r="E8" s="18" t="s">
        <v>66</v>
      </c>
      <c r="F8" s="19" t="s">
        <v>57</v>
      </c>
      <c r="G8" s="19" t="s">
        <v>58</v>
      </c>
      <c r="H8" s="19" t="n">
        <v>1</v>
      </c>
      <c r="I8" s="20" t="n">
        <v>0.2591</v>
      </c>
      <c r="J8" s="20" t="n">
        <v>0.2591</v>
      </c>
      <c r="K8" s="21" t="s">
        <v>59</v>
      </c>
      <c r="L8" s="21"/>
      <c r="M8" s="20" t="n">
        <f aca="false">IF(AND($K8="Yes",$G8&lt;&gt;"Vendor day rates"),$J8-0.4*$I8,0)</f>
        <v>0</v>
      </c>
      <c r="N8" s="20" t="n">
        <f aca="false">IF(OR($K8&lt;&gt;"Yes",$L8=""),0,$M8*MAX(0,7-MATCH($L8,MonthList,0))/12)</f>
        <v>0</v>
      </c>
      <c r="O8" s="20" t="n">
        <f aca="false">IF(OR($K8&lt;&gt;"Yes",$L8=""),0,$M8*IF(MATCH($L8,MonthList,0)&lt;=7,12,19-MATCH($L8,MonthList,0))/12)</f>
        <v>0</v>
      </c>
      <c r="P8" s="21" t="s">
        <v>59</v>
      </c>
      <c r="Q8" s="21"/>
      <c r="R8" s="20" t="n">
        <f aca="false">IF(AND($P8="Yes",$G8&lt;&gt;"Vendor day rates"),$J8-0.4*$I8,0)</f>
        <v>0</v>
      </c>
      <c r="S8" s="20" t="n">
        <f aca="false">IF(OR($P8&lt;&gt;"Yes",$Q8=""),0,$R8*MAX(0,7-MATCH($Q8,MonthList,0))/12)</f>
        <v>0</v>
      </c>
      <c r="T8" s="20" t="n">
        <f aca="false">IF(OR($P8&lt;&gt;"Yes",$Q8=""),0,$R8*IF(MATCH($Q8,MonthList,0)&lt;=7,12,19-MATCH($Q8,MonthList,0))/12)</f>
        <v>0</v>
      </c>
      <c r="U8" s="21" t="s">
        <v>59</v>
      </c>
      <c r="V8" s="21"/>
      <c r="W8" s="20" t="n">
        <f aca="false">IF(AND($U8="Yes",$G8&lt;&gt;"Vendor day rates"),$J8-0.4*$I8,0)</f>
        <v>0</v>
      </c>
      <c r="X8" s="20" t="n">
        <f aca="false">IF(OR($U8&lt;&gt;"Yes",$V8=""),0,$W8*MAX(0,7-MATCH($V8,MonthList,0))/12)</f>
        <v>0</v>
      </c>
      <c r="Y8" s="20" t="n">
        <f aca="false">IF(OR($U8&lt;&gt;"Yes",$V8=""),0,$W8*IF(MATCH($V8,MonthList,0)&lt;=7,12,19-MATCH($V8,MonthList,0))/12)</f>
        <v>0</v>
      </c>
    </row>
    <row r="9" customFormat="false" ht="15" hidden="false" customHeight="true" outlineLevel="0" collapsed="false">
      <c r="B9" s="22" t="s">
        <v>67</v>
      </c>
      <c r="C9" s="22" t="s">
        <v>68</v>
      </c>
      <c r="D9" s="22" t="s">
        <v>21</v>
      </c>
      <c r="E9" s="22" t="s">
        <v>21</v>
      </c>
      <c r="F9" s="23" t="s">
        <v>57</v>
      </c>
      <c r="G9" s="23" t="s">
        <v>58</v>
      </c>
      <c r="H9" s="23" t="n">
        <v>1</v>
      </c>
      <c r="I9" s="24" t="n">
        <v>0.2442</v>
      </c>
      <c r="J9" s="24" t="n">
        <v>0.2442</v>
      </c>
      <c r="K9" s="21" t="s">
        <v>59</v>
      </c>
      <c r="L9" s="21"/>
      <c r="M9" s="24" t="n">
        <f aca="false">IF(AND($K9="Yes",$G9&lt;&gt;"Vendor day rates"),$J9-0.4*$I9,0)</f>
        <v>0</v>
      </c>
      <c r="N9" s="24" t="n">
        <f aca="false">IF(OR($K9&lt;&gt;"Yes",$L9=""),0,$M9*MAX(0,7-MATCH($L9,MonthList,0))/12)</f>
        <v>0</v>
      </c>
      <c r="O9" s="24" t="n">
        <f aca="false">IF(OR($K9&lt;&gt;"Yes",$L9=""),0,$M9*IF(MATCH($L9,MonthList,0)&lt;=7,12,19-MATCH($L9,MonthList,0))/12)</f>
        <v>0</v>
      </c>
      <c r="P9" s="21" t="s">
        <v>59</v>
      </c>
      <c r="Q9" s="21"/>
      <c r="R9" s="24" t="n">
        <f aca="false">IF(AND($P9="Yes",$G9&lt;&gt;"Vendor day rates"),$J9-0.4*$I9,0)</f>
        <v>0</v>
      </c>
      <c r="S9" s="24" t="n">
        <f aca="false">IF(OR($P9&lt;&gt;"Yes",$Q9=""),0,$R9*MAX(0,7-MATCH($Q9,MonthList,0))/12)</f>
        <v>0</v>
      </c>
      <c r="T9" s="24" t="n">
        <f aca="false">IF(OR($P9&lt;&gt;"Yes",$Q9=""),0,$R9*IF(MATCH($Q9,MonthList,0)&lt;=7,12,19-MATCH($Q9,MonthList,0))/12)</f>
        <v>0</v>
      </c>
      <c r="U9" s="21" t="s">
        <v>59</v>
      </c>
      <c r="V9" s="21"/>
      <c r="W9" s="24" t="n">
        <f aca="false">IF(AND($U9="Yes",$G9&lt;&gt;"Vendor day rates"),$J9-0.4*$I9,0)</f>
        <v>0</v>
      </c>
      <c r="X9" s="24" t="n">
        <f aca="false">IF(OR($U9&lt;&gt;"Yes",$V9=""),0,$W9*MAX(0,7-MATCH($V9,MonthList,0))/12)</f>
        <v>0</v>
      </c>
      <c r="Y9" s="24" t="n">
        <f aca="false">IF(OR($U9&lt;&gt;"Yes",$V9=""),0,$W9*IF(MATCH($V9,MonthList,0)&lt;=7,12,19-MATCH($V9,MonthList,0))/12)</f>
        <v>0</v>
      </c>
    </row>
    <row r="10" customFormat="false" ht="15" hidden="false" customHeight="true" outlineLevel="0" collapsed="false">
      <c r="B10" s="18" t="s">
        <v>69</v>
      </c>
      <c r="C10" s="18" t="s">
        <v>70</v>
      </c>
      <c r="D10" s="18" t="s">
        <v>21</v>
      </c>
      <c r="E10" s="18" t="s">
        <v>21</v>
      </c>
      <c r="F10" s="19" t="s">
        <v>57</v>
      </c>
      <c r="G10" s="19" t="s">
        <v>58</v>
      </c>
      <c r="H10" s="19" t="n">
        <v>1</v>
      </c>
      <c r="I10" s="20" t="n">
        <v>0.2442</v>
      </c>
      <c r="J10" s="20" t="n">
        <v>0.2442</v>
      </c>
      <c r="K10" s="21" t="s">
        <v>59</v>
      </c>
      <c r="L10" s="21"/>
      <c r="M10" s="20" t="n">
        <f aca="false">IF(AND($K10="Yes",$G10&lt;&gt;"Vendor day rates"),$J10-0.4*$I10,0)</f>
        <v>0</v>
      </c>
      <c r="N10" s="20" t="n">
        <f aca="false">IF(OR($K10&lt;&gt;"Yes",$L10=""),0,$M10*MAX(0,7-MATCH($L10,MonthList,0))/12)</f>
        <v>0</v>
      </c>
      <c r="O10" s="20" t="n">
        <f aca="false">IF(OR($K10&lt;&gt;"Yes",$L10=""),0,$M10*IF(MATCH($L10,MonthList,0)&lt;=7,12,19-MATCH($L10,MonthList,0))/12)</f>
        <v>0</v>
      </c>
      <c r="P10" s="21" t="s">
        <v>59</v>
      </c>
      <c r="Q10" s="21"/>
      <c r="R10" s="20" t="n">
        <f aca="false">IF(AND($P10="Yes",$G10&lt;&gt;"Vendor day rates"),$J10-0.4*$I10,0)</f>
        <v>0</v>
      </c>
      <c r="S10" s="20" t="n">
        <f aca="false">IF(OR($P10&lt;&gt;"Yes",$Q10=""),0,$R10*MAX(0,7-MATCH($Q10,MonthList,0))/12)</f>
        <v>0</v>
      </c>
      <c r="T10" s="20" t="n">
        <f aca="false">IF(OR($P10&lt;&gt;"Yes",$Q10=""),0,$R10*IF(MATCH($Q10,MonthList,0)&lt;=7,12,19-MATCH($Q10,MonthList,0))/12)</f>
        <v>0</v>
      </c>
      <c r="U10" s="21" t="s">
        <v>59</v>
      </c>
      <c r="V10" s="21"/>
      <c r="W10" s="20" t="n">
        <f aca="false">IF(AND($U10="Yes",$G10&lt;&gt;"Vendor day rates"),$J10-0.4*$I10,0)</f>
        <v>0</v>
      </c>
      <c r="X10" s="20" t="n">
        <f aca="false">IF(OR($U10&lt;&gt;"Yes",$V10=""),0,$W10*MAX(0,7-MATCH($V10,MonthList,0))/12)</f>
        <v>0</v>
      </c>
      <c r="Y10" s="20" t="n">
        <f aca="false">IF(OR($U10&lt;&gt;"Yes",$V10=""),0,$W10*IF(MATCH($V10,MonthList,0)&lt;=7,12,19-MATCH($V10,MonthList,0))/12)</f>
        <v>0</v>
      </c>
    </row>
    <row r="11" customFormat="false" ht="15" hidden="false" customHeight="true" outlineLevel="0" collapsed="false">
      <c r="B11" s="22" t="s">
        <v>71</v>
      </c>
      <c r="C11" s="22" t="s">
        <v>72</v>
      </c>
      <c r="D11" s="22" t="s">
        <v>21</v>
      </c>
      <c r="E11" s="22" t="s">
        <v>21</v>
      </c>
      <c r="F11" s="23" t="s">
        <v>57</v>
      </c>
      <c r="G11" s="23" t="s">
        <v>58</v>
      </c>
      <c r="H11" s="23" t="n">
        <v>1</v>
      </c>
      <c r="I11" s="24" t="n">
        <v>0.3108</v>
      </c>
      <c r="J11" s="24" t="n">
        <v>0.3108</v>
      </c>
      <c r="K11" s="21" t="s">
        <v>59</v>
      </c>
      <c r="L11" s="21"/>
      <c r="M11" s="24" t="n">
        <f aca="false">IF(AND($K11="Yes",$G11&lt;&gt;"Vendor day rates"),$J11-0.4*$I11,0)</f>
        <v>0</v>
      </c>
      <c r="N11" s="24" t="n">
        <f aca="false">IF(OR($K11&lt;&gt;"Yes",$L11=""),0,$M11*MAX(0,7-MATCH($L11,MonthList,0))/12)</f>
        <v>0</v>
      </c>
      <c r="O11" s="24" t="n">
        <f aca="false">IF(OR($K11&lt;&gt;"Yes",$L11=""),0,$M11*IF(MATCH($L11,MonthList,0)&lt;=7,12,19-MATCH($L11,MonthList,0))/12)</f>
        <v>0</v>
      </c>
      <c r="P11" s="21" t="s">
        <v>59</v>
      </c>
      <c r="Q11" s="21"/>
      <c r="R11" s="24" t="n">
        <f aca="false">IF(AND($P11="Yes",$G11&lt;&gt;"Vendor day rates"),$J11-0.4*$I11,0)</f>
        <v>0</v>
      </c>
      <c r="S11" s="24" t="n">
        <f aca="false">IF(OR($P11&lt;&gt;"Yes",$Q11=""),0,$R11*MAX(0,7-MATCH($Q11,MonthList,0))/12)</f>
        <v>0</v>
      </c>
      <c r="T11" s="24" t="n">
        <f aca="false">IF(OR($P11&lt;&gt;"Yes",$Q11=""),0,$R11*IF(MATCH($Q11,MonthList,0)&lt;=7,12,19-MATCH($Q11,MonthList,0))/12)</f>
        <v>0</v>
      </c>
      <c r="U11" s="21" t="s">
        <v>59</v>
      </c>
      <c r="V11" s="21"/>
      <c r="W11" s="24" t="n">
        <f aca="false">IF(AND($U11="Yes",$G11&lt;&gt;"Vendor day rates"),$J11-0.4*$I11,0)</f>
        <v>0</v>
      </c>
      <c r="X11" s="24" t="n">
        <f aca="false">IF(OR($U11&lt;&gt;"Yes",$V11=""),0,$W11*MAX(0,7-MATCH($V11,MonthList,0))/12)</f>
        <v>0</v>
      </c>
      <c r="Y11" s="24" t="n">
        <f aca="false">IF(OR($U11&lt;&gt;"Yes",$V11=""),0,$W11*IF(MATCH($V11,MonthList,0)&lt;=7,12,19-MATCH($V11,MonthList,0))/12)</f>
        <v>0</v>
      </c>
    </row>
    <row r="12" customFormat="false" ht="15" hidden="false" customHeight="true" outlineLevel="0" collapsed="false">
      <c r="B12" s="18" t="s">
        <v>73</v>
      </c>
      <c r="C12" s="18" t="s">
        <v>74</v>
      </c>
      <c r="D12" s="18" t="s">
        <v>21</v>
      </c>
      <c r="E12" s="18" t="s">
        <v>21</v>
      </c>
      <c r="F12" s="19" t="s">
        <v>57</v>
      </c>
      <c r="G12" s="19" t="s">
        <v>58</v>
      </c>
      <c r="H12" s="19" t="n">
        <v>1</v>
      </c>
      <c r="I12" s="20" t="n">
        <v>0.2775</v>
      </c>
      <c r="J12" s="20" t="n">
        <v>0.2775</v>
      </c>
      <c r="K12" s="21" t="s">
        <v>59</v>
      </c>
      <c r="L12" s="21"/>
      <c r="M12" s="20" t="n">
        <f aca="false">IF(AND($K12="Yes",$G12&lt;&gt;"Vendor day rates"),$J12-0.4*$I12,0)</f>
        <v>0</v>
      </c>
      <c r="N12" s="20" t="n">
        <f aca="false">IF(OR($K12&lt;&gt;"Yes",$L12=""),0,$M12*MAX(0,7-MATCH($L12,MonthList,0))/12)</f>
        <v>0</v>
      </c>
      <c r="O12" s="20" t="n">
        <f aca="false">IF(OR($K12&lt;&gt;"Yes",$L12=""),0,$M12*IF(MATCH($L12,MonthList,0)&lt;=7,12,19-MATCH($L12,MonthList,0))/12)</f>
        <v>0</v>
      </c>
      <c r="P12" s="21" t="s">
        <v>59</v>
      </c>
      <c r="Q12" s="21"/>
      <c r="R12" s="20" t="n">
        <f aca="false">IF(AND($P12="Yes",$G12&lt;&gt;"Vendor day rates"),$J12-0.4*$I12,0)</f>
        <v>0</v>
      </c>
      <c r="S12" s="20" t="n">
        <f aca="false">IF(OR($P12&lt;&gt;"Yes",$Q12=""),0,$R12*MAX(0,7-MATCH($Q12,MonthList,0))/12)</f>
        <v>0</v>
      </c>
      <c r="T12" s="20" t="n">
        <f aca="false">IF(OR($P12&lt;&gt;"Yes",$Q12=""),0,$R12*IF(MATCH($Q12,MonthList,0)&lt;=7,12,19-MATCH($Q12,MonthList,0))/12)</f>
        <v>0</v>
      </c>
      <c r="U12" s="21" t="s">
        <v>59</v>
      </c>
      <c r="V12" s="21"/>
      <c r="W12" s="20" t="n">
        <f aca="false">IF(AND($U12="Yes",$G12&lt;&gt;"Vendor day rates"),$J12-0.4*$I12,0)</f>
        <v>0</v>
      </c>
      <c r="X12" s="20" t="n">
        <f aca="false">IF(OR($U12&lt;&gt;"Yes",$V12=""),0,$W12*MAX(0,7-MATCH($V12,MonthList,0))/12)</f>
        <v>0</v>
      </c>
      <c r="Y12" s="20" t="n">
        <f aca="false">IF(OR($U12&lt;&gt;"Yes",$V12=""),0,$W12*IF(MATCH($V12,MonthList,0)&lt;=7,12,19-MATCH($V12,MonthList,0))/12)</f>
        <v>0</v>
      </c>
    </row>
    <row r="13" customFormat="false" ht="15" hidden="false" customHeight="true" outlineLevel="0" collapsed="false">
      <c r="B13" s="22" t="s">
        <v>75</v>
      </c>
      <c r="C13" s="22" t="s">
        <v>76</v>
      </c>
      <c r="D13" s="22" t="s">
        <v>21</v>
      </c>
      <c r="E13" s="22" t="s">
        <v>21</v>
      </c>
      <c r="F13" s="23" t="s">
        <v>57</v>
      </c>
      <c r="G13" s="23" t="s">
        <v>58</v>
      </c>
      <c r="H13" s="23" t="n">
        <v>1</v>
      </c>
      <c r="I13" s="24" t="n">
        <v>0.3013</v>
      </c>
      <c r="J13" s="24" t="n">
        <v>0.3013</v>
      </c>
      <c r="K13" s="21" t="s">
        <v>59</v>
      </c>
      <c r="L13" s="21"/>
      <c r="M13" s="24" t="n">
        <f aca="false">IF(AND($K13="Yes",$G13&lt;&gt;"Vendor day rates"),$J13-0.4*$I13,0)</f>
        <v>0</v>
      </c>
      <c r="N13" s="24" t="n">
        <f aca="false">IF(OR($K13&lt;&gt;"Yes",$L13=""),0,$M13*MAX(0,7-MATCH($L13,MonthList,0))/12)</f>
        <v>0</v>
      </c>
      <c r="O13" s="24" t="n">
        <f aca="false">IF(OR($K13&lt;&gt;"Yes",$L13=""),0,$M13*IF(MATCH($L13,MonthList,0)&lt;=7,12,19-MATCH($L13,MonthList,0))/12)</f>
        <v>0</v>
      </c>
      <c r="P13" s="21" t="s">
        <v>59</v>
      </c>
      <c r="Q13" s="21"/>
      <c r="R13" s="24" t="n">
        <f aca="false">IF(AND($P13="Yes",$G13&lt;&gt;"Vendor day rates"),$J13-0.4*$I13,0)</f>
        <v>0</v>
      </c>
      <c r="S13" s="24" t="n">
        <f aca="false">IF(OR($P13&lt;&gt;"Yes",$Q13=""),0,$R13*MAX(0,7-MATCH($Q13,MonthList,0))/12)</f>
        <v>0</v>
      </c>
      <c r="T13" s="24" t="n">
        <f aca="false">IF(OR($P13&lt;&gt;"Yes",$Q13=""),0,$R13*IF(MATCH($Q13,MonthList,0)&lt;=7,12,19-MATCH($Q13,MonthList,0))/12)</f>
        <v>0</v>
      </c>
      <c r="U13" s="21" t="s">
        <v>59</v>
      </c>
      <c r="V13" s="21"/>
      <c r="W13" s="24" t="n">
        <f aca="false">IF(AND($U13="Yes",$G13&lt;&gt;"Vendor day rates"),$J13-0.4*$I13,0)</f>
        <v>0</v>
      </c>
      <c r="X13" s="24" t="n">
        <f aca="false">IF(OR($U13&lt;&gt;"Yes",$V13=""),0,$W13*MAX(0,7-MATCH($V13,MonthList,0))/12)</f>
        <v>0</v>
      </c>
      <c r="Y13" s="24" t="n">
        <f aca="false">IF(OR($U13&lt;&gt;"Yes",$V13=""),0,$W13*IF(MATCH($V13,MonthList,0)&lt;=7,12,19-MATCH($V13,MonthList,0))/12)</f>
        <v>0</v>
      </c>
    </row>
    <row r="14" customFormat="false" ht="15" hidden="false" customHeight="true" outlineLevel="0" collapsed="false">
      <c r="B14" s="18" t="s">
        <v>77</v>
      </c>
      <c r="C14" s="18" t="s">
        <v>78</v>
      </c>
      <c r="D14" s="18" t="s">
        <v>21</v>
      </c>
      <c r="E14" s="18" t="s">
        <v>21</v>
      </c>
      <c r="F14" s="19" t="s">
        <v>57</v>
      </c>
      <c r="G14" s="19" t="s">
        <v>58</v>
      </c>
      <c r="H14" s="19" t="n">
        <v>1</v>
      </c>
      <c r="I14" s="20" t="n">
        <v>0.3432</v>
      </c>
      <c r="J14" s="20" t="n">
        <v>0.3432</v>
      </c>
      <c r="K14" s="21" t="s">
        <v>59</v>
      </c>
      <c r="L14" s="21"/>
      <c r="M14" s="20" t="n">
        <f aca="false">IF(AND($K14="Yes",$G14&lt;&gt;"Vendor day rates"),$J14-0.4*$I14,0)</f>
        <v>0</v>
      </c>
      <c r="N14" s="20" t="n">
        <f aca="false">IF(OR($K14&lt;&gt;"Yes",$L14=""),0,$M14*MAX(0,7-MATCH($L14,MonthList,0))/12)</f>
        <v>0</v>
      </c>
      <c r="O14" s="20" t="n">
        <f aca="false">IF(OR($K14&lt;&gt;"Yes",$L14=""),0,$M14*IF(MATCH($L14,MonthList,0)&lt;=7,12,19-MATCH($L14,MonthList,0))/12)</f>
        <v>0</v>
      </c>
      <c r="P14" s="21" t="s">
        <v>59</v>
      </c>
      <c r="Q14" s="21"/>
      <c r="R14" s="20" t="n">
        <f aca="false">IF(AND($P14="Yes",$G14&lt;&gt;"Vendor day rates"),$J14-0.4*$I14,0)</f>
        <v>0</v>
      </c>
      <c r="S14" s="20" t="n">
        <f aca="false">IF(OR($P14&lt;&gt;"Yes",$Q14=""),0,$R14*MAX(0,7-MATCH($Q14,MonthList,0))/12)</f>
        <v>0</v>
      </c>
      <c r="T14" s="20" t="n">
        <f aca="false">IF(OR($P14&lt;&gt;"Yes",$Q14=""),0,$R14*IF(MATCH($Q14,MonthList,0)&lt;=7,12,19-MATCH($Q14,MonthList,0))/12)</f>
        <v>0</v>
      </c>
      <c r="U14" s="21" t="s">
        <v>59</v>
      </c>
      <c r="V14" s="21"/>
      <c r="W14" s="20" t="n">
        <f aca="false">IF(AND($U14="Yes",$G14&lt;&gt;"Vendor day rates"),$J14-0.4*$I14,0)</f>
        <v>0</v>
      </c>
      <c r="X14" s="20" t="n">
        <f aca="false">IF(OR($U14&lt;&gt;"Yes",$V14=""),0,$W14*MAX(0,7-MATCH($V14,MonthList,0))/12)</f>
        <v>0</v>
      </c>
      <c r="Y14" s="20" t="n">
        <f aca="false">IF(OR($U14&lt;&gt;"Yes",$V14=""),0,$W14*IF(MATCH($V14,MonthList,0)&lt;=7,12,19-MATCH($V14,MonthList,0))/12)</f>
        <v>0</v>
      </c>
    </row>
    <row r="15" customFormat="false" ht="15" hidden="false" customHeight="true" outlineLevel="0" collapsed="false">
      <c r="B15" s="22" t="s">
        <v>79</v>
      </c>
      <c r="C15" s="22" t="s">
        <v>80</v>
      </c>
      <c r="D15" s="22" t="s">
        <v>21</v>
      </c>
      <c r="E15" s="22" t="s">
        <v>21</v>
      </c>
      <c r="F15" s="23" t="s">
        <v>57</v>
      </c>
      <c r="G15" s="23" t="s">
        <v>58</v>
      </c>
      <c r="H15" s="23" t="n">
        <v>1</v>
      </c>
      <c r="I15" s="24" t="n">
        <v>0.2664</v>
      </c>
      <c r="J15" s="24" t="n">
        <v>0.2664</v>
      </c>
      <c r="K15" s="21" t="s">
        <v>59</v>
      </c>
      <c r="L15" s="21"/>
      <c r="M15" s="24" t="n">
        <f aca="false">IF(AND($K15="Yes",$G15&lt;&gt;"Vendor day rates"),$J15-0.4*$I15,0)</f>
        <v>0</v>
      </c>
      <c r="N15" s="24" t="n">
        <f aca="false">IF(OR($K15&lt;&gt;"Yes",$L15=""),0,$M15*MAX(0,7-MATCH($L15,MonthList,0))/12)</f>
        <v>0</v>
      </c>
      <c r="O15" s="24" t="n">
        <f aca="false">IF(OR($K15&lt;&gt;"Yes",$L15=""),0,$M15*IF(MATCH($L15,MonthList,0)&lt;=7,12,19-MATCH($L15,MonthList,0))/12)</f>
        <v>0</v>
      </c>
      <c r="P15" s="21" t="s">
        <v>59</v>
      </c>
      <c r="Q15" s="21"/>
      <c r="R15" s="24" t="n">
        <f aca="false">IF(AND($P15="Yes",$G15&lt;&gt;"Vendor day rates"),$J15-0.4*$I15,0)</f>
        <v>0</v>
      </c>
      <c r="S15" s="24" t="n">
        <f aca="false">IF(OR($P15&lt;&gt;"Yes",$Q15=""),0,$R15*MAX(0,7-MATCH($Q15,MonthList,0))/12)</f>
        <v>0</v>
      </c>
      <c r="T15" s="24" t="n">
        <f aca="false">IF(OR($P15&lt;&gt;"Yes",$Q15=""),0,$R15*IF(MATCH($Q15,MonthList,0)&lt;=7,12,19-MATCH($Q15,MonthList,0))/12)</f>
        <v>0</v>
      </c>
      <c r="U15" s="21" t="s">
        <v>59</v>
      </c>
      <c r="V15" s="21"/>
      <c r="W15" s="24" t="n">
        <f aca="false">IF(AND($U15="Yes",$G15&lt;&gt;"Vendor day rates"),$J15-0.4*$I15,0)</f>
        <v>0</v>
      </c>
      <c r="X15" s="24" t="n">
        <f aca="false">IF(OR($U15&lt;&gt;"Yes",$V15=""),0,$W15*MAX(0,7-MATCH($V15,MonthList,0))/12)</f>
        <v>0</v>
      </c>
      <c r="Y15" s="24" t="n">
        <f aca="false">IF(OR($U15&lt;&gt;"Yes",$V15=""),0,$W15*IF(MATCH($V15,MonthList,0)&lt;=7,12,19-MATCH($V15,MonthList,0))/12)</f>
        <v>0</v>
      </c>
    </row>
    <row r="16" customFormat="false" ht="15" hidden="false" customHeight="true" outlineLevel="0" collapsed="false">
      <c r="B16" s="18" t="s">
        <v>81</v>
      </c>
      <c r="C16" s="18" t="s">
        <v>82</v>
      </c>
      <c r="D16" s="18" t="s">
        <v>21</v>
      </c>
      <c r="E16" s="18" t="s">
        <v>21</v>
      </c>
      <c r="F16" s="19" t="s">
        <v>57</v>
      </c>
      <c r="G16" s="19" t="s">
        <v>58</v>
      </c>
      <c r="H16" s="19" t="n">
        <v>1</v>
      </c>
      <c r="I16" s="20" t="n">
        <v>0.4884</v>
      </c>
      <c r="J16" s="20" t="n">
        <v>0.4884</v>
      </c>
      <c r="K16" s="21" t="s">
        <v>59</v>
      </c>
      <c r="L16" s="21"/>
      <c r="M16" s="20" t="n">
        <f aca="false">IF(AND($K16="Yes",$G16&lt;&gt;"Vendor day rates"),$J16-0.4*$I16,0)</f>
        <v>0</v>
      </c>
      <c r="N16" s="20" t="n">
        <f aca="false">IF(OR($K16&lt;&gt;"Yes",$L16=""),0,$M16*MAX(0,7-MATCH($L16,MonthList,0))/12)</f>
        <v>0</v>
      </c>
      <c r="O16" s="20" t="n">
        <f aca="false">IF(OR($K16&lt;&gt;"Yes",$L16=""),0,$M16*IF(MATCH($L16,MonthList,0)&lt;=7,12,19-MATCH($L16,MonthList,0))/12)</f>
        <v>0</v>
      </c>
      <c r="P16" s="21" t="s">
        <v>59</v>
      </c>
      <c r="Q16" s="21"/>
      <c r="R16" s="20" t="n">
        <f aca="false">IF(AND($P16="Yes",$G16&lt;&gt;"Vendor day rates"),$J16-0.4*$I16,0)</f>
        <v>0</v>
      </c>
      <c r="S16" s="20" t="n">
        <f aca="false">IF(OR($P16&lt;&gt;"Yes",$Q16=""),0,$R16*MAX(0,7-MATCH($Q16,MonthList,0))/12)</f>
        <v>0</v>
      </c>
      <c r="T16" s="20" t="n">
        <f aca="false">IF(OR($P16&lt;&gt;"Yes",$Q16=""),0,$R16*IF(MATCH($Q16,MonthList,0)&lt;=7,12,19-MATCH($Q16,MonthList,0))/12)</f>
        <v>0</v>
      </c>
      <c r="U16" s="21" t="s">
        <v>59</v>
      </c>
      <c r="V16" s="21"/>
      <c r="W16" s="20" t="n">
        <f aca="false">IF(AND($U16="Yes",$G16&lt;&gt;"Vendor day rates"),$J16-0.4*$I16,0)</f>
        <v>0</v>
      </c>
      <c r="X16" s="20" t="n">
        <f aca="false">IF(OR($U16&lt;&gt;"Yes",$V16=""),0,$W16*MAX(0,7-MATCH($V16,MonthList,0))/12)</f>
        <v>0</v>
      </c>
      <c r="Y16" s="20" t="n">
        <f aca="false">IF(OR($U16&lt;&gt;"Yes",$V16=""),0,$W16*IF(MATCH($V16,MonthList,0)&lt;=7,12,19-MATCH($V16,MonthList,0))/12)</f>
        <v>0</v>
      </c>
    </row>
    <row r="17" customFormat="false" ht="15" hidden="false" customHeight="true" outlineLevel="0" collapsed="false">
      <c r="B17" s="22" t="s">
        <v>83</v>
      </c>
      <c r="C17" s="22" t="s">
        <v>76</v>
      </c>
      <c r="D17" s="22" t="s">
        <v>21</v>
      </c>
      <c r="E17" s="22" t="s">
        <v>21</v>
      </c>
      <c r="F17" s="23" t="s">
        <v>57</v>
      </c>
      <c r="G17" s="23" t="s">
        <v>58</v>
      </c>
      <c r="H17" s="23" t="n">
        <v>1</v>
      </c>
      <c r="I17" s="24" t="n">
        <v>0.2997</v>
      </c>
      <c r="J17" s="24" t="n">
        <v>0.2997</v>
      </c>
      <c r="K17" s="21" t="s">
        <v>59</v>
      </c>
      <c r="L17" s="21"/>
      <c r="M17" s="24" t="n">
        <f aca="false">IF(AND($K17="Yes",$G17&lt;&gt;"Vendor day rates"),$J17-0.4*$I17,0)</f>
        <v>0</v>
      </c>
      <c r="N17" s="24" t="n">
        <f aca="false">IF(OR($K17&lt;&gt;"Yes",$L17=""),0,$M17*MAX(0,7-MATCH($L17,MonthList,0))/12)</f>
        <v>0</v>
      </c>
      <c r="O17" s="24" t="n">
        <f aca="false">IF(OR($K17&lt;&gt;"Yes",$L17=""),0,$M17*IF(MATCH($L17,MonthList,0)&lt;=7,12,19-MATCH($L17,MonthList,0))/12)</f>
        <v>0</v>
      </c>
      <c r="P17" s="21" t="s">
        <v>59</v>
      </c>
      <c r="Q17" s="21"/>
      <c r="R17" s="24" t="n">
        <f aca="false">IF(AND($P17="Yes",$G17&lt;&gt;"Vendor day rates"),$J17-0.4*$I17,0)</f>
        <v>0</v>
      </c>
      <c r="S17" s="24" t="n">
        <f aca="false">IF(OR($P17&lt;&gt;"Yes",$Q17=""),0,$R17*MAX(0,7-MATCH($Q17,MonthList,0))/12)</f>
        <v>0</v>
      </c>
      <c r="T17" s="24" t="n">
        <f aca="false">IF(OR($P17&lt;&gt;"Yes",$Q17=""),0,$R17*IF(MATCH($Q17,MonthList,0)&lt;=7,12,19-MATCH($Q17,MonthList,0))/12)</f>
        <v>0</v>
      </c>
      <c r="U17" s="21" t="s">
        <v>59</v>
      </c>
      <c r="V17" s="21"/>
      <c r="W17" s="24" t="n">
        <f aca="false">IF(AND($U17="Yes",$G17&lt;&gt;"Vendor day rates"),$J17-0.4*$I17,0)</f>
        <v>0</v>
      </c>
      <c r="X17" s="24" t="n">
        <f aca="false">IF(OR($U17&lt;&gt;"Yes",$V17=""),0,$W17*MAX(0,7-MATCH($V17,MonthList,0))/12)</f>
        <v>0</v>
      </c>
      <c r="Y17" s="24" t="n">
        <f aca="false">IF(OR($U17&lt;&gt;"Yes",$V17=""),0,$W17*IF(MATCH($V17,MonthList,0)&lt;=7,12,19-MATCH($V17,MonthList,0))/12)</f>
        <v>0</v>
      </c>
    </row>
    <row r="18" customFormat="false" ht="15" hidden="false" customHeight="true" outlineLevel="0" collapsed="false">
      <c r="B18" s="18" t="s">
        <v>84</v>
      </c>
      <c r="C18" s="18" t="s">
        <v>76</v>
      </c>
      <c r="D18" s="18" t="s">
        <v>21</v>
      </c>
      <c r="E18" s="18" t="s">
        <v>21</v>
      </c>
      <c r="F18" s="19" t="s">
        <v>57</v>
      </c>
      <c r="G18" s="19" t="s">
        <v>58</v>
      </c>
      <c r="H18" s="19" t="n">
        <v>1</v>
      </c>
      <c r="I18" s="20" t="n">
        <v>0.2304</v>
      </c>
      <c r="J18" s="20" t="n">
        <v>0.2304</v>
      </c>
      <c r="K18" s="21" t="s">
        <v>59</v>
      </c>
      <c r="L18" s="21"/>
      <c r="M18" s="20" t="n">
        <f aca="false">IF(AND($K18="Yes",$G18&lt;&gt;"Vendor day rates"),$J18-0.4*$I18,0)</f>
        <v>0</v>
      </c>
      <c r="N18" s="20" t="n">
        <f aca="false">IF(OR($K18&lt;&gt;"Yes",$L18=""),0,$M18*MAX(0,7-MATCH($L18,MonthList,0))/12)</f>
        <v>0</v>
      </c>
      <c r="O18" s="20" t="n">
        <f aca="false">IF(OR($K18&lt;&gt;"Yes",$L18=""),0,$M18*IF(MATCH($L18,MonthList,0)&lt;=7,12,19-MATCH($L18,MonthList,0))/12)</f>
        <v>0</v>
      </c>
      <c r="P18" s="21" t="s">
        <v>59</v>
      </c>
      <c r="Q18" s="21"/>
      <c r="R18" s="20" t="n">
        <f aca="false">IF(AND($P18="Yes",$G18&lt;&gt;"Vendor day rates"),$J18-0.4*$I18,0)</f>
        <v>0</v>
      </c>
      <c r="S18" s="20" t="n">
        <f aca="false">IF(OR($P18&lt;&gt;"Yes",$Q18=""),0,$R18*MAX(0,7-MATCH($Q18,MonthList,0))/12)</f>
        <v>0</v>
      </c>
      <c r="T18" s="20" t="n">
        <f aca="false">IF(OR($P18&lt;&gt;"Yes",$Q18=""),0,$R18*IF(MATCH($Q18,MonthList,0)&lt;=7,12,19-MATCH($Q18,MonthList,0))/12)</f>
        <v>0</v>
      </c>
      <c r="U18" s="21" t="s">
        <v>59</v>
      </c>
      <c r="V18" s="21"/>
      <c r="W18" s="20" t="n">
        <f aca="false">IF(AND($U18="Yes",$G18&lt;&gt;"Vendor day rates"),$J18-0.4*$I18,0)</f>
        <v>0</v>
      </c>
      <c r="X18" s="20" t="n">
        <f aca="false">IF(OR($U18&lt;&gt;"Yes",$V18=""),0,$W18*MAX(0,7-MATCH($V18,MonthList,0))/12)</f>
        <v>0</v>
      </c>
      <c r="Y18" s="20" t="n">
        <f aca="false">IF(OR($U18&lt;&gt;"Yes",$V18=""),0,$W18*IF(MATCH($V18,MonthList,0)&lt;=7,12,19-MATCH($V18,MonthList,0))/12)</f>
        <v>0</v>
      </c>
    </row>
    <row r="19" customFormat="false" ht="15" hidden="false" customHeight="true" outlineLevel="0" collapsed="false">
      <c r="B19" s="22" t="s">
        <v>85</v>
      </c>
      <c r="C19" s="22" t="s">
        <v>86</v>
      </c>
      <c r="D19" s="22"/>
      <c r="E19" s="22" t="s">
        <v>21</v>
      </c>
      <c r="F19" s="23" t="s">
        <v>57</v>
      </c>
      <c r="G19" s="23" t="s">
        <v>58</v>
      </c>
      <c r="H19" s="23" t="n">
        <v>1</v>
      </c>
      <c r="I19" s="24" t="n">
        <v>0.2664</v>
      </c>
      <c r="J19" s="24" t="n">
        <v>0.2664</v>
      </c>
      <c r="K19" s="21" t="s">
        <v>59</v>
      </c>
      <c r="L19" s="21"/>
      <c r="M19" s="24" t="n">
        <f aca="false">IF(AND($K19="Yes",$G19&lt;&gt;"Vendor day rates"),$J19-0.4*$I19,0)</f>
        <v>0</v>
      </c>
      <c r="N19" s="24" t="n">
        <f aca="false">IF(OR($K19&lt;&gt;"Yes",$L19=""),0,$M19*MAX(0,7-MATCH($L19,MonthList,0))/12)</f>
        <v>0</v>
      </c>
      <c r="O19" s="24" t="n">
        <f aca="false">IF(OR($K19&lt;&gt;"Yes",$L19=""),0,$M19*IF(MATCH($L19,MonthList,0)&lt;=7,12,19-MATCH($L19,MonthList,0))/12)</f>
        <v>0</v>
      </c>
      <c r="P19" s="21" t="s">
        <v>59</v>
      </c>
      <c r="Q19" s="21"/>
      <c r="R19" s="24" t="n">
        <f aca="false">IF(AND($P19="Yes",$G19&lt;&gt;"Vendor day rates"),$J19-0.4*$I19,0)</f>
        <v>0</v>
      </c>
      <c r="S19" s="24" t="n">
        <f aca="false">IF(OR($P19&lt;&gt;"Yes",$Q19=""),0,$R19*MAX(0,7-MATCH($Q19,MonthList,0))/12)</f>
        <v>0</v>
      </c>
      <c r="T19" s="24" t="n">
        <f aca="false">IF(OR($P19&lt;&gt;"Yes",$Q19=""),0,$R19*IF(MATCH($Q19,MonthList,0)&lt;=7,12,19-MATCH($Q19,MonthList,0))/12)</f>
        <v>0</v>
      </c>
      <c r="U19" s="21" t="s">
        <v>59</v>
      </c>
      <c r="V19" s="21"/>
      <c r="W19" s="24" t="n">
        <f aca="false">IF(AND($U19="Yes",$G19&lt;&gt;"Vendor day rates"),$J19-0.4*$I19,0)</f>
        <v>0</v>
      </c>
      <c r="X19" s="24" t="n">
        <f aca="false">IF(OR($U19&lt;&gt;"Yes",$V19=""),0,$W19*MAX(0,7-MATCH($V19,MonthList,0))/12)</f>
        <v>0</v>
      </c>
      <c r="Y19" s="24" t="n">
        <f aca="false">IF(OR($U19&lt;&gt;"Yes",$V19=""),0,$W19*IF(MATCH($V19,MonthList,0)&lt;=7,12,19-MATCH($V19,MonthList,0))/12)</f>
        <v>0</v>
      </c>
    </row>
    <row r="20" customFormat="false" ht="15" hidden="false" customHeight="true" outlineLevel="0" collapsed="false">
      <c r="B20" s="18" t="s">
        <v>87</v>
      </c>
      <c r="C20" s="18" t="s">
        <v>88</v>
      </c>
      <c r="D20" s="18" t="s">
        <v>25</v>
      </c>
      <c r="E20" s="18" t="s">
        <v>89</v>
      </c>
      <c r="F20" s="19" t="s">
        <v>57</v>
      </c>
      <c r="G20" s="19" t="s">
        <v>58</v>
      </c>
      <c r="H20" s="19" t="n">
        <v>1</v>
      </c>
      <c r="I20" s="20" t="n">
        <v>0.1976</v>
      </c>
      <c r="J20" s="20" t="n">
        <v>0.1976</v>
      </c>
      <c r="K20" s="21" t="s">
        <v>59</v>
      </c>
      <c r="L20" s="21"/>
      <c r="M20" s="20" t="n">
        <f aca="false">IF(AND($K20="Yes",$G20&lt;&gt;"Vendor day rates"),$J20-0.4*$I20,0)</f>
        <v>0</v>
      </c>
      <c r="N20" s="20" t="n">
        <f aca="false">IF(OR($K20&lt;&gt;"Yes",$L20=""),0,$M20*MAX(0,7-MATCH($L20,MonthList,0))/12)</f>
        <v>0</v>
      </c>
      <c r="O20" s="20" t="n">
        <f aca="false">IF(OR($K20&lt;&gt;"Yes",$L20=""),0,$M20*IF(MATCH($L20,MonthList,0)&lt;=7,12,19-MATCH($L20,MonthList,0))/12)</f>
        <v>0</v>
      </c>
      <c r="P20" s="21" t="s">
        <v>59</v>
      </c>
      <c r="Q20" s="21"/>
      <c r="R20" s="20" t="n">
        <f aca="false">IF(AND($P20="Yes",$G20&lt;&gt;"Vendor day rates"),$J20-0.4*$I20,0)</f>
        <v>0</v>
      </c>
      <c r="S20" s="20" t="n">
        <f aca="false">IF(OR($P20&lt;&gt;"Yes",$Q20=""),0,$R20*MAX(0,7-MATCH($Q20,MonthList,0))/12)</f>
        <v>0</v>
      </c>
      <c r="T20" s="20" t="n">
        <f aca="false">IF(OR($P20&lt;&gt;"Yes",$Q20=""),0,$R20*IF(MATCH($Q20,MonthList,0)&lt;=7,12,19-MATCH($Q20,MonthList,0))/12)</f>
        <v>0</v>
      </c>
      <c r="U20" s="21" t="s">
        <v>59</v>
      </c>
      <c r="V20" s="21"/>
      <c r="W20" s="20" t="n">
        <f aca="false">IF(AND($U20="Yes",$G20&lt;&gt;"Vendor day rates"),$J20-0.4*$I20,0)</f>
        <v>0</v>
      </c>
      <c r="X20" s="20" t="n">
        <f aca="false">IF(OR($U20&lt;&gt;"Yes",$V20=""),0,$W20*MAX(0,7-MATCH($V20,MonthList,0))/12)</f>
        <v>0</v>
      </c>
      <c r="Y20" s="20" t="n">
        <f aca="false">IF(OR($U20&lt;&gt;"Yes",$V20=""),0,$W20*IF(MATCH($V20,MonthList,0)&lt;=7,12,19-MATCH($V20,MonthList,0))/12)</f>
        <v>0</v>
      </c>
    </row>
    <row r="21" customFormat="false" ht="15" hidden="false" customHeight="true" outlineLevel="0" collapsed="false">
      <c r="B21" s="22" t="s">
        <v>90</v>
      </c>
      <c r="C21" s="22" t="s">
        <v>91</v>
      </c>
      <c r="D21" s="22" t="s">
        <v>18</v>
      </c>
      <c r="E21" s="22" t="s">
        <v>92</v>
      </c>
      <c r="F21" s="23" t="s">
        <v>57</v>
      </c>
      <c r="G21" s="23" t="s">
        <v>93</v>
      </c>
      <c r="H21" s="23" t="n">
        <v>1</v>
      </c>
      <c r="I21" s="24" t="n">
        <v>0.0733</v>
      </c>
      <c r="J21" s="24" t="n">
        <v>0.0733</v>
      </c>
      <c r="K21" s="21" t="s">
        <v>59</v>
      </c>
      <c r="L21" s="21"/>
      <c r="M21" s="24" t="n">
        <f aca="false">IF(AND($K21="Yes",$G21&lt;&gt;"Vendor day rates"),$J21-0.4*$I21,0)</f>
        <v>0</v>
      </c>
      <c r="N21" s="24" t="n">
        <f aca="false">IF(OR($K21&lt;&gt;"Yes",$L21=""),0,$M21*MAX(0,7-MATCH($L21,MonthList,0))/12)</f>
        <v>0</v>
      </c>
      <c r="O21" s="24" t="n">
        <f aca="false">IF(OR($K21&lt;&gt;"Yes",$L21=""),0,$M21*IF(MATCH($L21,MonthList,0)&lt;=7,12,19-MATCH($L21,MonthList,0))/12)</f>
        <v>0</v>
      </c>
      <c r="P21" s="21" t="s">
        <v>59</v>
      </c>
      <c r="Q21" s="21"/>
      <c r="R21" s="24" t="n">
        <f aca="false">IF(AND($P21="Yes",$G21&lt;&gt;"Vendor day rates"),$J21-0.4*$I21,0)</f>
        <v>0</v>
      </c>
      <c r="S21" s="24" t="n">
        <f aca="false">IF(OR($P21&lt;&gt;"Yes",$Q21=""),0,$R21*MAX(0,7-MATCH($Q21,MonthList,0))/12)</f>
        <v>0</v>
      </c>
      <c r="T21" s="24" t="n">
        <f aca="false">IF(OR($P21&lt;&gt;"Yes",$Q21=""),0,$R21*IF(MATCH($Q21,MonthList,0)&lt;=7,12,19-MATCH($Q21,MonthList,0))/12)</f>
        <v>0</v>
      </c>
      <c r="U21" s="21" t="s">
        <v>59</v>
      </c>
      <c r="V21" s="21"/>
      <c r="W21" s="24" t="n">
        <f aca="false">IF(AND($U21="Yes",$G21&lt;&gt;"Vendor day rates"),$J21-0.4*$I21,0)</f>
        <v>0</v>
      </c>
      <c r="X21" s="24" t="n">
        <f aca="false">IF(OR($U21&lt;&gt;"Yes",$V21=""),0,$W21*MAX(0,7-MATCH($V21,MonthList,0))/12)</f>
        <v>0</v>
      </c>
      <c r="Y21" s="24" t="n">
        <f aca="false">IF(OR($U21&lt;&gt;"Yes",$V21=""),0,$W21*IF(MATCH($V21,MonthList,0)&lt;=7,12,19-MATCH($V21,MonthList,0))/12)</f>
        <v>0</v>
      </c>
    </row>
    <row r="22" customFormat="false" ht="15" hidden="false" customHeight="true" outlineLevel="0" collapsed="false">
      <c r="B22" s="18" t="s">
        <v>94</v>
      </c>
      <c r="C22" s="18" t="s">
        <v>95</v>
      </c>
      <c r="D22" s="18" t="s">
        <v>18</v>
      </c>
      <c r="E22" s="18" t="s">
        <v>92</v>
      </c>
      <c r="F22" s="19" t="s">
        <v>57</v>
      </c>
      <c r="G22" s="19" t="s">
        <v>93</v>
      </c>
      <c r="H22" s="19" t="n">
        <v>1</v>
      </c>
      <c r="I22" s="20" t="n">
        <v>0.0733</v>
      </c>
      <c r="J22" s="20" t="n">
        <v>0.0733</v>
      </c>
      <c r="K22" s="21" t="s">
        <v>59</v>
      </c>
      <c r="L22" s="21"/>
      <c r="M22" s="20" t="n">
        <f aca="false">IF(AND($K22="Yes",$G22&lt;&gt;"Vendor day rates"),$J22-0.4*$I22,0)</f>
        <v>0</v>
      </c>
      <c r="N22" s="20" t="n">
        <f aca="false">IF(OR($K22&lt;&gt;"Yes",$L22=""),0,$M22*MAX(0,7-MATCH($L22,MonthList,0))/12)</f>
        <v>0</v>
      </c>
      <c r="O22" s="20" t="n">
        <f aca="false">IF(OR($K22&lt;&gt;"Yes",$L22=""),0,$M22*IF(MATCH($L22,MonthList,0)&lt;=7,12,19-MATCH($L22,MonthList,0))/12)</f>
        <v>0</v>
      </c>
      <c r="P22" s="21" t="s">
        <v>59</v>
      </c>
      <c r="Q22" s="21"/>
      <c r="R22" s="20" t="n">
        <f aca="false">IF(AND($P22="Yes",$G22&lt;&gt;"Vendor day rates"),$J22-0.4*$I22,0)</f>
        <v>0</v>
      </c>
      <c r="S22" s="20" t="n">
        <f aca="false">IF(OR($P22&lt;&gt;"Yes",$Q22=""),0,$R22*MAX(0,7-MATCH($Q22,MonthList,0))/12)</f>
        <v>0</v>
      </c>
      <c r="T22" s="20" t="n">
        <f aca="false">IF(OR($P22&lt;&gt;"Yes",$Q22=""),0,$R22*IF(MATCH($Q22,MonthList,0)&lt;=7,12,19-MATCH($Q22,MonthList,0))/12)</f>
        <v>0</v>
      </c>
      <c r="U22" s="21" t="s">
        <v>59</v>
      </c>
      <c r="V22" s="21"/>
      <c r="W22" s="20" t="n">
        <f aca="false">IF(AND($U22="Yes",$G22&lt;&gt;"Vendor day rates"),$J22-0.4*$I22,0)</f>
        <v>0</v>
      </c>
      <c r="X22" s="20" t="n">
        <f aca="false">IF(OR($U22&lt;&gt;"Yes",$V22=""),0,$W22*MAX(0,7-MATCH($V22,MonthList,0))/12)</f>
        <v>0</v>
      </c>
      <c r="Y22" s="20" t="n">
        <f aca="false">IF(OR($U22&lt;&gt;"Yes",$V22=""),0,$W22*IF(MATCH($V22,MonthList,0)&lt;=7,12,19-MATCH($V22,MonthList,0))/12)</f>
        <v>0</v>
      </c>
    </row>
    <row r="23" customFormat="false" ht="15" hidden="false" customHeight="true" outlineLevel="0" collapsed="false">
      <c r="B23" s="22" t="s">
        <v>96</v>
      </c>
      <c r="C23" s="22" t="s">
        <v>97</v>
      </c>
      <c r="D23" s="22" t="s">
        <v>22</v>
      </c>
      <c r="E23" s="22" t="s">
        <v>98</v>
      </c>
      <c r="F23" s="23" t="s">
        <v>57</v>
      </c>
      <c r="G23" s="23" t="s">
        <v>58</v>
      </c>
      <c r="H23" s="23" t="n">
        <v>1</v>
      </c>
      <c r="I23" s="24" t="n">
        <v>0.2997</v>
      </c>
      <c r="J23" s="24" t="n">
        <v>0.2997</v>
      </c>
      <c r="K23" s="21" t="s">
        <v>59</v>
      </c>
      <c r="L23" s="21"/>
      <c r="M23" s="24" t="n">
        <f aca="false">IF(AND($K23="Yes",$G23&lt;&gt;"Vendor day rates"),$J23-0.4*$I23,0)</f>
        <v>0</v>
      </c>
      <c r="N23" s="24" t="n">
        <f aca="false">IF(OR($K23&lt;&gt;"Yes",$L23=""),0,$M23*MAX(0,7-MATCH($L23,MonthList,0))/12)</f>
        <v>0</v>
      </c>
      <c r="O23" s="24" t="n">
        <f aca="false">IF(OR($K23&lt;&gt;"Yes",$L23=""),0,$M23*IF(MATCH($L23,MonthList,0)&lt;=7,12,19-MATCH($L23,MonthList,0))/12)</f>
        <v>0</v>
      </c>
      <c r="P23" s="21" t="s">
        <v>59</v>
      </c>
      <c r="Q23" s="21"/>
      <c r="R23" s="24" t="n">
        <f aca="false">IF(AND($P23="Yes",$G23&lt;&gt;"Vendor day rates"),$J23-0.4*$I23,0)</f>
        <v>0</v>
      </c>
      <c r="S23" s="24" t="n">
        <f aca="false">IF(OR($P23&lt;&gt;"Yes",$Q23=""),0,$R23*MAX(0,7-MATCH($Q23,MonthList,0))/12)</f>
        <v>0</v>
      </c>
      <c r="T23" s="24" t="n">
        <f aca="false">IF(OR($P23&lt;&gt;"Yes",$Q23=""),0,$R23*IF(MATCH($Q23,MonthList,0)&lt;=7,12,19-MATCH($Q23,MonthList,0))/12)</f>
        <v>0</v>
      </c>
      <c r="U23" s="21" t="s">
        <v>59</v>
      </c>
      <c r="V23" s="21"/>
      <c r="W23" s="24" t="n">
        <f aca="false">IF(AND($U23="Yes",$G23&lt;&gt;"Vendor day rates"),$J23-0.4*$I23,0)</f>
        <v>0</v>
      </c>
      <c r="X23" s="24" t="n">
        <f aca="false">IF(OR($U23&lt;&gt;"Yes",$V23=""),0,$W23*MAX(0,7-MATCH($V23,MonthList,0))/12)</f>
        <v>0</v>
      </c>
      <c r="Y23" s="24" t="n">
        <f aca="false">IF(OR($U23&lt;&gt;"Yes",$V23=""),0,$W23*IF(MATCH($V23,MonthList,0)&lt;=7,12,19-MATCH($V23,MonthList,0))/12)</f>
        <v>0</v>
      </c>
    </row>
    <row r="24" customFormat="false" ht="15" hidden="false" customHeight="true" outlineLevel="0" collapsed="false">
      <c r="B24" s="18" t="s">
        <v>99</v>
      </c>
      <c r="C24" s="18" t="s">
        <v>100</v>
      </c>
      <c r="D24" s="18" t="s">
        <v>18</v>
      </c>
      <c r="E24" s="18" t="s">
        <v>101</v>
      </c>
      <c r="F24" s="19" t="s">
        <v>57</v>
      </c>
      <c r="G24" s="19" t="s">
        <v>93</v>
      </c>
      <c r="H24" s="19" t="n">
        <v>1</v>
      </c>
      <c r="I24" s="20" t="n">
        <v>0.0733</v>
      </c>
      <c r="J24" s="20" t="n">
        <v>0.0733</v>
      </c>
      <c r="K24" s="21" t="s">
        <v>59</v>
      </c>
      <c r="L24" s="21"/>
      <c r="M24" s="20" t="n">
        <f aca="false">IF(AND($K24="Yes",$G24&lt;&gt;"Vendor day rates"),$J24-0.4*$I24,0)</f>
        <v>0</v>
      </c>
      <c r="N24" s="20" t="n">
        <f aca="false">IF(OR($K24&lt;&gt;"Yes",$L24=""),0,$M24*MAX(0,7-MATCH($L24,MonthList,0))/12)</f>
        <v>0</v>
      </c>
      <c r="O24" s="20" t="n">
        <f aca="false">IF(OR($K24&lt;&gt;"Yes",$L24=""),0,$M24*IF(MATCH($L24,MonthList,0)&lt;=7,12,19-MATCH($L24,MonthList,0))/12)</f>
        <v>0</v>
      </c>
      <c r="P24" s="21" t="s">
        <v>59</v>
      </c>
      <c r="Q24" s="21"/>
      <c r="R24" s="20" t="n">
        <f aca="false">IF(AND($P24="Yes",$G24&lt;&gt;"Vendor day rates"),$J24-0.4*$I24,0)</f>
        <v>0</v>
      </c>
      <c r="S24" s="20" t="n">
        <f aca="false">IF(OR($P24&lt;&gt;"Yes",$Q24=""),0,$R24*MAX(0,7-MATCH($Q24,MonthList,0))/12)</f>
        <v>0</v>
      </c>
      <c r="T24" s="20" t="n">
        <f aca="false">IF(OR($P24&lt;&gt;"Yes",$Q24=""),0,$R24*IF(MATCH($Q24,MonthList,0)&lt;=7,12,19-MATCH($Q24,MonthList,0))/12)</f>
        <v>0</v>
      </c>
      <c r="U24" s="21" t="s">
        <v>59</v>
      </c>
      <c r="V24" s="21"/>
      <c r="W24" s="20" t="n">
        <f aca="false">IF(AND($U24="Yes",$G24&lt;&gt;"Vendor day rates"),$J24-0.4*$I24,0)</f>
        <v>0</v>
      </c>
      <c r="X24" s="20" t="n">
        <f aca="false">IF(OR($U24&lt;&gt;"Yes",$V24=""),0,$W24*MAX(0,7-MATCH($V24,MonthList,0))/12)</f>
        <v>0</v>
      </c>
      <c r="Y24" s="20" t="n">
        <f aca="false">IF(OR($U24&lt;&gt;"Yes",$V24=""),0,$W24*IF(MATCH($V24,MonthList,0)&lt;=7,12,19-MATCH($V24,MonthList,0))/12)</f>
        <v>0</v>
      </c>
    </row>
    <row r="25" customFormat="false" ht="15" hidden="false" customHeight="true" outlineLevel="0" collapsed="false">
      <c r="B25" s="22" t="s">
        <v>102</v>
      </c>
      <c r="C25" s="22" t="s">
        <v>100</v>
      </c>
      <c r="D25" s="22" t="s">
        <v>18</v>
      </c>
      <c r="E25" s="22" t="s">
        <v>101</v>
      </c>
      <c r="F25" s="23" t="s">
        <v>57</v>
      </c>
      <c r="G25" s="23" t="s">
        <v>93</v>
      </c>
      <c r="H25" s="23" t="n">
        <v>1</v>
      </c>
      <c r="I25" s="24" t="n">
        <v>0.0733</v>
      </c>
      <c r="J25" s="24" t="n">
        <v>0.0733</v>
      </c>
      <c r="K25" s="21" t="s">
        <v>59</v>
      </c>
      <c r="L25" s="21"/>
      <c r="M25" s="24" t="n">
        <f aca="false">IF(AND($K25="Yes",$G25&lt;&gt;"Vendor day rates"),$J25-0.4*$I25,0)</f>
        <v>0</v>
      </c>
      <c r="N25" s="24" t="n">
        <f aca="false">IF(OR($K25&lt;&gt;"Yes",$L25=""),0,$M25*MAX(0,7-MATCH($L25,MonthList,0))/12)</f>
        <v>0</v>
      </c>
      <c r="O25" s="24" t="n">
        <f aca="false">IF(OR($K25&lt;&gt;"Yes",$L25=""),0,$M25*IF(MATCH($L25,MonthList,0)&lt;=7,12,19-MATCH($L25,MonthList,0))/12)</f>
        <v>0</v>
      </c>
      <c r="P25" s="21" t="s">
        <v>59</v>
      </c>
      <c r="Q25" s="21"/>
      <c r="R25" s="24" t="n">
        <f aca="false">IF(AND($P25="Yes",$G25&lt;&gt;"Vendor day rates"),$J25-0.4*$I25,0)</f>
        <v>0</v>
      </c>
      <c r="S25" s="24" t="n">
        <f aca="false">IF(OR($P25&lt;&gt;"Yes",$Q25=""),0,$R25*MAX(0,7-MATCH($Q25,MonthList,0))/12)</f>
        <v>0</v>
      </c>
      <c r="T25" s="24" t="n">
        <f aca="false">IF(OR($P25&lt;&gt;"Yes",$Q25=""),0,$R25*IF(MATCH($Q25,MonthList,0)&lt;=7,12,19-MATCH($Q25,MonthList,0))/12)</f>
        <v>0</v>
      </c>
      <c r="U25" s="21" t="s">
        <v>59</v>
      </c>
      <c r="V25" s="21"/>
      <c r="W25" s="24" t="n">
        <f aca="false">IF(AND($U25="Yes",$G25&lt;&gt;"Vendor day rates"),$J25-0.4*$I25,0)</f>
        <v>0</v>
      </c>
      <c r="X25" s="24" t="n">
        <f aca="false">IF(OR($U25&lt;&gt;"Yes",$V25=""),0,$W25*MAX(0,7-MATCH($V25,MonthList,0))/12)</f>
        <v>0</v>
      </c>
      <c r="Y25" s="24" t="n">
        <f aca="false">IF(OR($U25&lt;&gt;"Yes",$V25=""),0,$W25*IF(MATCH($V25,MonthList,0)&lt;=7,12,19-MATCH($V25,MonthList,0))/12)</f>
        <v>0</v>
      </c>
    </row>
    <row r="26" customFormat="false" ht="15" hidden="false" customHeight="true" outlineLevel="0" collapsed="false">
      <c r="B26" s="18" t="s">
        <v>103</v>
      </c>
      <c r="C26" s="18" t="s">
        <v>100</v>
      </c>
      <c r="D26" s="18" t="s">
        <v>18</v>
      </c>
      <c r="E26" s="18" t="s">
        <v>101</v>
      </c>
      <c r="F26" s="19" t="s">
        <v>57</v>
      </c>
      <c r="G26" s="19" t="s">
        <v>93</v>
      </c>
      <c r="H26" s="19" t="n">
        <v>1</v>
      </c>
      <c r="I26" s="20" t="n">
        <v>0.0733</v>
      </c>
      <c r="J26" s="20" t="n">
        <v>0.0733</v>
      </c>
      <c r="K26" s="21" t="s">
        <v>59</v>
      </c>
      <c r="L26" s="21"/>
      <c r="M26" s="20" t="n">
        <f aca="false">IF(AND($K26="Yes",$G26&lt;&gt;"Vendor day rates"),$J26-0.4*$I26,0)</f>
        <v>0</v>
      </c>
      <c r="N26" s="20" t="n">
        <f aca="false">IF(OR($K26&lt;&gt;"Yes",$L26=""),0,$M26*MAX(0,7-MATCH($L26,MonthList,0))/12)</f>
        <v>0</v>
      </c>
      <c r="O26" s="20" t="n">
        <f aca="false">IF(OR($K26&lt;&gt;"Yes",$L26=""),0,$M26*IF(MATCH($L26,MonthList,0)&lt;=7,12,19-MATCH($L26,MonthList,0))/12)</f>
        <v>0</v>
      </c>
      <c r="P26" s="21" t="s">
        <v>59</v>
      </c>
      <c r="Q26" s="21"/>
      <c r="R26" s="20" t="n">
        <f aca="false">IF(AND($P26="Yes",$G26&lt;&gt;"Vendor day rates"),$J26-0.4*$I26,0)</f>
        <v>0</v>
      </c>
      <c r="S26" s="20" t="n">
        <f aca="false">IF(OR($P26&lt;&gt;"Yes",$Q26=""),0,$R26*MAX(0,7-MATCH($Q26,MonthList,0))/12)</f>
        <v>0</v>
      </c>
      <c r="T26" s="20" t="n">
        <f aca="false">IF(OR($P26&lt;&gt;"Yes",$Q26=""),0,$R26*IF(MATCH($Q26,MonthList,0)&lt;=7,12,19-MATCH($Q26,MonthList,0))/12)</f>
        <v>0</v>
      </c>
      <c r="U26" s="21" t="s">
        <v>59</v>
      </c>
      <c r="V26" s="21"/>
      <c r="W26" s="20" t="n">
        <f aca="false">IF(AND($U26="Yes",$G26&lt;&gt;"Vendor day rates"),$J26-0.4*$I26,0)</f>
        <v>0</v>
      </c>
      <c r="X26" s="20" t="n">
        <f aca="false">IF(OR($U26&lt;&gt;"Yes",$V26=""),0,$W26*MAX(0,7-MATCH($V26,MonthList,0))/12)</f>
        <v>0</v>
      </c>
      <c r="Y26" s="20" t="n">
        <f aca="false">IF(OR($U26&lt;&gt;"Yes",$V26=""),0,$W26*IF(MATCH($V26,MonthList,0)&lt;=7,12,19-MATCH($V26,MonthList,0))/12)</f>
        <v>0</v>
      </c>
    </row>
    <row r="27" customFormat="false" ht="15" hidden="false" customHeight="true" outlineLevel="0" collapsed="false">
      <c r="B27" s="22" t="s">
        <v>104</v>
      </c>
      <c r="C27" s="22" t="s">
        <v>91</v>
      </c>
      <c r="D27" s="22" t="s">
        <v>18</v>
      </c>
      <c r="E27" s="22" t="s">
        <v>101</v>
      </c>
      <c r="F27" s="23" t="s">
        <v>57</v>
      </c>
      <c r="G27" s="23" t="s">
        <v>93</v>
      </c>
      <c r="H27" s="23" t="n">
        <v>1</v>
      </c>
      <c r="I27" s="24" t="n">
        <v>0.0733</v>
      </c>
      <c r="J27" s="24" t="n">
        <v>0.0733</v>
      </c>
      <c r="K27" s="21" t="s">
        <v>59</v>
      </c>
      <c r="L27" s="21"/>
      <c r="M27" s="24" t="n">
        <f aca="false">IF(AND($K27="Yes",$G27&lt;&gt;"Vendor day rates"),$J27-0.4*$I27,0)</f>
        <v>0</v>
      </c>
      <c r="N27" s="24" t="n">
        <f aca="false">IF(OR($K27&lt;&gt;"Yes",$L27=""),0,$M27*MAX(0,7-MATCH($L27,MonthList,0))/12)</f>
        <v>0</v>
      </c>
      <c r="O27" s="24" t="n">
        <f aca="false">IF(OR($K27&lt;&gt;"Yes",$L27=""),0,$M27*IF(MATCH($L27,MonthList,0)&lt;=7,12,19-MATCH($L27,MonthList,0))/12)</f>
        <v>0</v>
      </c>
      <c r="P27" s="21" t="s">
        <v>59</v>
      </c>
      <c r="Q27" s="21"/>
      <c r="R27" s="24" t="n">
        <f aca="false">IF(AND($P27="Yes",$G27&lt;&gt;"Vendor day rates"),$J27-0.4*$I27,0)</f>
        <v>0</v>
      </c>
      <c r="S27" s="24" t="n">
        <f aca="false">IF(OR($P27&lt;&gt;"Yes",$Q27=""),0,$R27*MAX(0,7-MATCH($Q27,MonthList,0))/12)</f>
        <v>0</v>
      </c>
      <c r="T27" s="24" t="n">
        <f aca="false">IF(OR($P27&lt;&gt;"Yes",$Q27=""),0,$R27*IF(MATCH($Q27,MonthList,0)&lt;=7,12,19-MATCH($Q27,MonthList,0))/12)</f>
        <v>0</v>
      </c>
      <c r="U27" s="21" t="s">
        <v>59</v>
      </c>
      <c r="V27" s="21"/>
      <c r="W27" s="24" t="n">
        <f aca="false">IF(AND($U27="Yes",$G27&lt;&gt;"Vendor day rates"),$J27-0.4*$I27,0)</f>
        <v>0</v>
      </c>
      <c r="X27" s="24" t="n">
        <f aca="false">IF(OR($U27&lt;&gt;"Yes",$V27=""),0,$W27*MAX(0,7-MATCH($V27,MonthList,0))/12)</f>
        <v>0</v>
      </c>
      <c r="Y27" s="24" t="n">
        <f aca="false">IF(OR($U27&lt;&gt;"Yes",$V27=""),0,$W27*IF(MATCH($V27,MonthList,0)&lt;=7,12,19-MATCH($V27,MonthList,0))/12)</f>
        <v>0</v>
      </c>
    </row>
    <row r="28" customFormat="false" ht="15" hidden="false" customHeight="true" outlineLevel="0" collapsed="false">
      <c r="B28" s="18" t="s">
        <v>105</v>
      </c>
      <c r="C28" s="18" t="s">
        <v>106</v>
      </c>
      <c r="D28" s="18" t="s">
        <v>21</v>
      </c>
      <c r="E28" s="18" t="s">
        <v>98</v>
      </c>
      <c r="F28" s="19" t="s">
        <v>57</v>
      </c>
      <c r="G28" s="19" t="s">
        <v>58</v>
      </c>
      <c r="H28" s="19" t="n">
        <v>1</v>
      </c>
      <c r="I28" s="20" t="n">
        <v>0.3481</v>
      </c>
      <c r="J28" s="20" t="n">
        <v>0.3481</v>
      </c>
      <c r="K28" s="21" t="s">
        <v>59</v>
      </c>
      <c r="L28" s="21"/>
      <c r="M28" s="20" t="n">
        <f aca="false">IF(AND($K28="Yes",$G28&lt;&gt;"Vendor day rates"),$J28-0.4*$I28,0)</f>
        <v>0</v>
      </c>
      <c r="N28" s="20" t="n">
        <f aca="false">IF(OR($K28&lt;&gt;"Yes",$L28=""),0,$M28*MAX(0,7-MATCH($L28,MonthList,0))/12)</f>
        <v>0</v>
      </c>
      <c r="O28" s="20" t="n">
        <f aca="false">IF(OR($K28&lt;&gt;"Yes",$L28=""),0,$M28*IF(MATCH($L28,MonthList,0)&lt;=7,12,19-MATCH($L28,MonthList,0))/12)</f>
        <v>0</v>
      </c>
      <c r="P28" s="21" t="s">
        <v>59</v>
      </c>
      <c r="Q28" s="21"/>
      <c r="R28" s="20" t="n">
        <f aca="false">IF(AND($P28="Yes",$G28&lt;&gt;"Vendor day rates"),$J28-0.4*$I28,0)</f>
        <v>0</v>
      </c>
      <c r="S28" s="20" t="n">
        <f aca="false">IF(OR($P28&lt;&gt;"Yes",$Q28=""),0,$R28*MAX(0,7-MATCH($Q28,MonthList,0))/12)</f>
        <v>0</v>
      </c>
      <c r="T28" s="20" t="n">
        <f aca="false">IF(OR($P28&lt;&gt;"Yes",$Q28=""),0,$R28*IF(MATCH($Q28,MonthList,0)&lt;=7,12,19-MATCH($Q28,MonthList,0))/12)</f>
        <v>0</v>
      </c>
      <c r="U28" s="21" t="s">
        <v>59</v>
      </c>
      <c r="V28" s="21"/>
      <c r="W28" s="20" t="n">
        <f aca="false">IF(AND($U28="Yes",$G28&lt;&gt;"Vendor day rates"),$J28-0.4*$I28,0)</f>
        <v>0</v>
      </c>
      <c r="X28" s="20" t="n">
        <f aca="false">IF(OR($U28&lt;&gt;"Yes",$V28=""),0,$W28*MAX(0,7-MATCH($V28,MonthList,0))/12)</f>
        <v>0</v>
      </c>
      <c r="Y28" s="20" t="n">
        <f aca="false">IF(OR($U28&lt;&gt;"Yes",$V28=""),0,$W28*IF(MATCH($V28,MonthList,0)&lt;=7,12,19-MATCH($V28,MonthList,0))/12)</f>
        <v>0</v>
      </c>
    </row>
    <row r="29" customFormat="false" ht="15" hidden="false" customHeight="true" outlineLevel="0" collapsed="false">
      <c r="B29" s="22" t="s">
        <v>107</v>
      </c>
      <c r="C29" s="22" t="s">
        <v>108</v>
      </c>
      <c r="D29" s="22" t="s">
        <v>21</v>
      </c>
      <c r="E29" s="22" t="s">
        <v>98</v>
      </c>
      <c r="F29" s="23" t="s">
        <v>109</v>
      </c>
      <c r="G29" s="23" t="s">
        <v>58</v>
      </c>
      <c r="H29" s="23" t="n">
        <v>1</v>
      </c>
      <c r="I29" s="24" t="n">
        <v>0.2664</v>
      </c>
      <c r="J29" s="24" t="n">
        <v>0.2664</v>
      </c>
      <c r="K29" s="21" t="s">
        <v>59</v>
      </c>
      <c r="L29" s="21"/>
      <c r="M29" s="24" t="n">
        <f aca="false">IF(AND($K29="Yes",$G29&lt;&gt;"Vendor day rates"),$J29-0.4*$I29,0)</f>
        <v>0</v>
      </c>
      <c r="N29" s="24" t="n">
        <f aca="false">IF(OR($K29&lt;&gt;"Yes",$L29=""),0,$M29*MAX(0,7-MATCH($L29,MonthList,0))/12)</f>
        <v>0</v>
      </c>
      <c r="O29" s="24" t="n">
        <f aca="false">IF(OR($K29&lt;&gt;"Yes",$L29=""),0,$M29*IF(MATCH($L29,MonthList,0)&lt;=7,12,19-MATCH($L29,MonthList,0))/12)</f>
        <v>0</v>
      </c>
      <c r="P29" s="21" t="s">
        <v>59</v>
      </c>
      <c r="Q29" s="21"/>
      <c r="R29" s="24" t="n">
        <f aca="false">IF(AND($P29="Yes",$G29&lt;&gt;"Vendor day rates"),$J29-0.4*$I29,0)</f>
        <v>0</v>
      </c>
      <c r="S29" s="24" t="n">
        <f aca="false">IF(OR($P29&lt;&gt;"Yes",$Q29=""),0,$R29*MAX(0,7-MATCH($Q29,MonthList,0))/12)</f>
        <v>0</v>
      </c>
      <c r="T29" s="24" t="n">
        <f aca="false">IF(OR($P29&lt;&gt;"Yes",$Q29=""),0,$R29*IF(MATCH($Q29,MonthList,0)&lt;=7,12,19-MATCH($Q29,MonthList,0))/12)</f>
        <v>0</v>
      </c>
      <c r="U29" s="21" t="s">
        <v>59</v>
      </c>
      <c r="V29" s="21"/>
      <c r="W29" s="24" t="n">
        <f aca="false">IF(AND($U29="Yes",$G29&lt;&gt;"Vendor day rates"),$J29-0.4*$I29,0)</f>
        <v>0</v>
      </c>
      <c r="X29" s="24" t="n">
        <f aca="false">IF(OR($U29&lt;&gt;"Yes",$V29=""),0,$W29*MAX(0,7-MATCH($V29,MonthList,0))/12)</f>
        <v>0</v>
      </c>
      <c r="Y29" s="24" t="n">
        <f aca="false">IF(OR($U29&lt;&gt;"Yes",$V29=""),0,$W29*IF(MATCH($V29,MonthList,0)&lt;=7,12,19-MATCH($V29,MonthList,0))/12)</f>
        <v>0</v>
      </c>
    </row>
    <row r="30" customFormat="false" ht="15" hidden="false" customHeight="true" outlineLevel="0" collapsed="false">
      <c r="B30" s="18" t="s">
        <v>110</v>
      </c>
      <c r="C30" s="18" t="s">
        <v>111</v>
      </c>
      <c r="D30" s="18" t="s">
        <v>18</v>
      </c>
      <c r="E30" s="18" t="s">
        <v>66</v>
      </c>
      <c r="F30" s="19" t="s">
        <v>57</v>
      </c>
      <c r="G30" s="19" t="s">
        <v>58</v>
      </c>
      <c r="H30" s="19" t="n">
        <v>1</v>
      </c>
      <c r="I30" s="20" t="n">
        <v>0.1909</v>
      </c>
      <c r="J30" s="20" t="n">
        <v>0.1909</v>
      </c>
      <c r="K30" s="21" t="s">
        <v>59</v>
      </c>
      <c r="L30" s="21"/>
      <c r="M30" s="20" t="n">
        <f aca="false">IF(AND($K30="Yes",$G30&lt;&gt;"Vendor day rates"),$J30-0.4*$I30,0)</f>
        <v>0</v>
      </c>
      <c r="N30" s="20" t="n">
        <f aca="false">IF(OR($K30&lt;&gt;"Yes",$L30=""),0,$M30*MAX(0,7-MATCH($L30,MonthList,0))/12)</f>
        <v>0</v>
      </c>
      <c r="O30" s="20" t="n">
        <f aca="false">IF(OR($K30&lt;&gt;"Yes",$L30=""),0,$M30*IF(MATCH($L30,MonthList,0)&lt;=7,12,19-MATCH($L30,MonthList,0))/12)</f>
        <v>0</v>
      </c>
      <c r="P30" s="21" t="s">
        <v>59</v>
      </c>
      <c r="Q30" s="21"/>
      <c r="R30" s="20" t="n">
        <f aca="false">IF(AND($P30="Yes",$G30&lt;&gt;"Vendor day rates"),$J30-0.4*$I30,0)</f>
        <v>0</v>
      </c>
      <c r="S30" s="20" t="n">
        <f aca="false">IF(OR($P30&lt;&gt;"Yes",$Q30=""),0,$R30*MAX(0,7-MATCH($Q30,MonthList,0))/12)</f>
        <v>0</v>
      </c>
      <c r="T30" s="20" t="n">
        <f aca="false">IF(OR($P30&lt;&gt;"Yes",$Q30=""),0,$R30*IF(MATCH($Q30,MonthList,0)&lt;=7,12,19-MATCH($Q30,MonthList,0))/12)</f>
        <v>0</v>
      </c>
      <c r="U30" s="21" t="s">
        <v>59</v>
      </c>
      <c r="V30" s="21"/>
      <c r="W30" s="20" t="n">
        <f aca="false">IF(AND($U30="Yes",$G30&lt;&gt;"Vendor day rates"),$J30-0.4*$I30,0)</f>
        <v>0</v>
      </c>
      <c r="X30" s="20" t="n">
        <f aca="false">IF(OR($U30&lt;&gt;"Yes",$V30=""),0,$W30*MAX(0,7-MATCH($V30,MonthList,0))/12)</f>
        <v>0</v>
      </c>
      <c r="Y30" s="20" t="n">
        <f aca="false">IF(OR($U30&lt;&gt;"Yes",$V30=""),0,$W30*IF(MATCH($V30,MonthList,0)&lt;=7,12,19-MATCH($V30,MonthList,0))/12)</f>
        <v>0</v>
      </c>
    </row>
    <row r="31" customFormat="false" ht="15" hidden="false" customHeight="true" outlineLevel="0" collapsed="false">
      <c r="B31" s="22" t="s">
        <v>112</v>
      </c>
      <c r="C31" s="22" t="s">
        <v>113</v>
      </c>
      <c r="D31" s="22" t="s">
        <v>18</v>
      </c>
      <c r="E31" s="22" t="s">
        <v>62</v>
      </c>
      <c r="F31" s="23" t="s">
        <v>57</v>
      </c>
      <c r="G31" s="23" t="s">
        <v>58</v>
      </c>
      <c r="H31" s="23" t="n">
        <v>1</v>
      </c>
      <c r="I31" s="24" t="n">
        <v>0.3219</v>
      </c>
      <c r="J31" s="24" t="n">
        <v>0.3219</v>
      </c>
      <c r="K31" s="21" t="s">
        <v>59</v>
      </c>
      <c r="L31" s="21"/>
      <c r="M31" s="24" t="n">
        <f aca="false">IF(AND($K31="Yes",$G31&lt;&gt;"Vendor day rates"),$J31-0.4*$I31,0)</f>
        <v>0</v>
      </c>
      <c r="N31" s="24" t="n">
        <f aca="false">IF(OR($K31&lt;&gt;"Yes",$L31=""),0,$M31*MAX(0,7-MATCH($L31,MonthList,0))/12)</f>
        <v>0</v>
      </c>
      <c r="O31" s="24" t="n">
        <f aca="false">IF(OR($K31&lt;&gt;"Yes",$L31=""),0,$M31*IF(MATCH($L31,MonthList,0)&lt;=7,12,19-MATCH($L31,MonthList,0))/12)</f>
        <v>0</v>
      </c>
      <c r="P31" s="21" t="s">
        <v>59</v>
      </c>
      <c r="Q31" s="21"/>
      <c r="R31" s="24" t="n">
        <f aca="false">IF(AND($P31="Yes",$G31&lt;&gt;"Vendor day rates"),$J31-0.4*$I31,0)</f>
        <v>0</v>
      </c>
      <c r="S31" s="24" t="n">
        <f aca="false">IF(OR($P31&lt;&gt;"Yes",$Q31=""),0,$R31*MAX(0,7-MATCH($Q31,MonthList,0))/12)</f>
        <v>0</v>
      </c>
      <c r="T31" s="24" t="n">
        <f aca="false">IF(OR($P31&lt;&gt;"Yes",$Q31=""),0,$R31*IF(MATCH($Q31,MonthList,0)&lt;=7,12,19-MATCH($Q31,MonthList,0))/12)</f>
        <v>0</v>
      </c>
      <c r="U31" s="21" t="s">
        <v>59</v>
      </c>
      <c r="V31" s="21"/>
      <c r="W31" s="24" t="n">
        <f aca="false">IF(AND($U31="Yes",$G31&lt;&gt;"Vendor day rates"),$J31-0.4*$I31,0)</f>
        <v>0</v>
      </c>
      <c r="X31" s="24" t="n">
        <f aca="false">IF(OR($U31&lt;&gt;"Yes",$V31=""),0,$W31*MAX(0,7-MATCH($V31,MonthList,0))/12)</f>
        <v>0</v>
      </c>
      <c r="Y31" s="24" t="n">
        <f aca="false">IF(OR($U31&lt;&gt;"Yes",$V31=""),0,$W31*IF(MATCH($V31,MonthList,0)&lt;=7,12,19-MATCH($V31,MonthList,0))/12)</f>
        <v>0</v>
      </c>
    </row>
    <row r="32" customFormat="false" ht="15" hidden="false" customHeight="true" outlineLevel="0" collapsed="false">
      <c r="B32" s="18" t="s">
        <v>114</v>
      </c>
      <c r="C32" s="18" t="s">
        <v>115</v>
      </c>
      <c r="D32" s="18" t="s">
        <v>21</v>
      </c>
      <c r="E32" s="18" t="s">
        <v>21</v>
      </c>
      <c r="F32" s="19" t="s">
        <v>57</v>
      </c>
      <c r="G32" s="19" t="s">
        <v>58</v>
      </c>
      <c r="H32" s="19" t="n">
        <v>1</v>
      </c>
      <c r="I32" s="20" t="n">
        <v>0.2395</v>
      </c>
      <c r="J32" s="20" t="n">
        <v>0.2395</v>
      </c>
      <c r="K32" s="21" t="s">
        <v>59</v>
      </c>
      <c r="L32" s="21"/>
      <c r="M32" s="20" t="n">
        <f aca="false">IF(AND($K32="Yes",$G32&lt;&gt;"Vendor day rates"),$J32-0.4*$I32,0)</f>
        <v>0</v>
      </c>
      <c r="N32" s="20" t="n">
        <f aca="false">IF(OR($K32&lt;&gt;"Yes",$L32=""),0,$M32*MAX(0,7-MATCH($L32,MonthList,0))/12)</f>
        <v>0</v>
      </c>
      <c r="O32" s="20" t="n">
        <f aca="false">IF(OR($K32&lt;&gt;"Yes",$L32=""),0,$M32*IF(MATCH($L32,MonthList,0)&lt;=7,12,19-MATCH($L32,MonthList,0))/12)</f>
        <v>0</v>
      </c>
      <c r="P32" s="21" t="s">
        <v>59</v>
      </c>
      <c r="Q32" s="21"/>
      <c r="R32" s="20" t="n">
        <f aca="false">IF(AND($P32="Yes",$G32&lt;&gt;"Vendor day rates"),$J32-0.4*$I32,0)</f>
        <v>0</v>
      </c>
      <c r="S32" s="20" t="n">
        <f aca="false">IF(OR($P32&lt;&gt;"Yes",$Q32=""),0,$R32*MAX(0,7-MATCH($Q32,MonthList,0))/12)</f>
        <v>0</v>
      </c>
      <c r="T32" s="20" t="n">
        <f aca="false">IF(OR($P32&lt;&gt;"Yes",$Q32=""),0,$R32*IF(MATCH($Q32,MonthList,0)&lt;=7,12,19-MATCH($Q32,MonthList,0))/12)</f>
        <v>0</v>
      </c>
      <c r="U32" s="21" t="s">
        <v>59</v>
      </c>
      <c r="V32" s="21"/>
      <c r="W32" s="20" t="n">
        <f aca="false">IF(AND($U32="Yes",$G32&lt;&gt;"Vendor day rates"),$J32-0.4*$I32,0)</f>
        <v>0</v>
      </c>
      <c r="X32" s="20" t="n">
        <f aca="false">IF(OR($U32&lt;&gt;"Yes",$V32=""),0,$W32*MAX(0,7-MATCH($V32,MonthList,0))/12)</f>
        <v>0</v>
      </c>
      <c r="Y32" s="20" t="n">
        <f aca="false">IF(OR($U32&lt;&gt;"Yes",$V32=""),0,$W32*IF(MATCH($V32,MonthList,0)&lt;=7,12,19-MATCH($V32,MonthList,0))/12)</f>
        <v>0</v>
      </c>
    </row>
    <row r="33" customFormat="false" ht="15" hidden="false" customHeight="true" outlineLevel="0" collapsed="false">
      <c r="B33" s="22" t="s">
        <v>116</v>
      </c>
      <c r="C33" s="22" t="s">
        <v>117</v>
      </c>
      <c r="D33" s="22" t="s">
        <v>18</v>
      </c>
      <c r="E33" s="22" t="s">
        <v>66</v>
      </c>
      <c r="F33" s="23" t="s">
        <v>57</v>
      </c>
      <c r="G33" s="23" t="s">
        <v>118</v>
      </c>
      <c r="H33" s="23" t="n">
        <v>1</v>
      </c>
      <c r="I33" s="24" t="n">
        <v>0.1792</v>
      </c>
      <c r="J33" s="24" t="n">
        <v>0.0717</v>
      </c>
      <c r="K33" s="21" t="s">
        <v>59</v>
      </c>
      <c r="L33" s="21"/>
      <c r="M33" s="24" t="n">
        <f aca="false">IF(AND($K33="Yes",$G33&lt;&gt;"Vendor day rates"),$J33-0.4*$I33,0)</f>
        <v>0</v>
      </c>
      <c r="N33" s="24" t="n">
        <f aca="false">IF(OR($K33&lt;&gt;"Yes",$L33=""),0,$M33*MAX(0,7-MATCH($L33,MonthList,0))/12)</f>
        <v>0</v>
      </c>
      <c r="O33" s="24" t="n">
        <f aca="false">IF(OR($K33&lt;&gt;"Yes",$L33=""),0,$M33*IF(MATCH($L33,MonthList,0)&lt;=7,12,19-MATCH($L33,MonthList,0))/12)</f>
        <v>0</v>
      </c>
      <c r="P33" s="21" t="s">
        <v>59</v>
      </c>
      <c r="Q33" s="21"/>
      <c r="R33" s="24" t="n">
        <f aca="false">IF(AND($P33="Yes",$G33&lt;&gt;"Vendor day rates"),$J33-0.4*$I33,0)</f>
        <v>0</v>
      </c>
      <c r="S33" s="24" t="n">
        <f aca="false">IF(OR($P33&lt;&gt;"Yes",$Q33=""),0,$R33*MAX(0,7-MATCH($Q33,MonthList,0))/12)</f>
        <v>0</v>
      </c>
      <c r="T33" s="24" t="n">
        <f aca="false">IF(OR($P33&lt;&gt;"Yes",$Q33=""),0,$R33*IF(MATCH($Q33,MonthList,0)&lt;=7,12,19-MATCH($Q33,MonthList,0))/12)</f>
        <v>0</v>
      </c>
      <c r="U33" s="21" t="s">
        <v>59</v>
      </c>
      <c r="V33" s="21"/>
      <c r="W33" s="24" t="n">
        <f aca="false">IF(AND($U33="Yes",$G33&lt;&gt;"Vendor day rates"),$J33-0.4*$I33,0)</f>
        <v>0</v>
      </c>
      <c r="X33" s="24" t="n">
        <f aca="false">IF(OR($U33&lt;&gt;"Yes",$V33=""),0,$W33*MAX(0,7-MATCH($V33,MonthList,0))/12)</f>
        <v>0</v>
      </c>
      <c r="Y33" s="24" t="n">
        <f aca="false">IF(OR($U33&lt;&gt;"Yes",$V33=""),0,$W33*IF(MATCH($V33,MonthList,0)&lt;=7,12,19-MATCH($V33,MonthList,0))/12)</f>
        <v>0</v>
      </c>
    </row>
    <row r="34" customFormat="false" ht="15" hidden="false" customHeight="true" outlineLevel="0" collapsed="false">
      <c r="B34" s="18" t="s">
        <v>119</v>
      </c>
      <c r="C34" s="18" t="s">
        <v>120</v>
      </c>
      <c r="D34" s="18" t="s">
        <v>18</v>
      </c>
      <c r="E34" s="18" t="s">
        <v>66</v>
      </c>
      <c r="F34" s="19" t="s">
        <v>57</v>
      </c>
      <c r="G34" s="19" t="s">
        <v>118</v>
      </c>
      <c r="H34" s="19" t="n">
        <v>1</v>
      </c>
      <c r="I34" s="20" t="n">
        <v>0.2782</v>
      </c>
      <c r="J34" s="20" t="n">
        <v>0.1113</v>
      </c>
      <c r="K34" s="21" t="s">
        <v>63</v>
      </c>
      <c r="L34" s="21" t="s">
        <v>64</v>
      </c>
      <c r="M34" s="20" t="n">
        <f aca="false">IF(AND($K34="Yes",$G34&lt;&gt;"Vendor day rates"),$J34-0.4*$I34,0)</f>
        <v>1.99999999999922E-005</v>
      </c>
      <c r="N34" s="20" t="n">
        <f aca="false">IF(OR($K34&lt;&gt;"Yes",$L34=""),0,$M34*MAX(0,7-MATCH($L34,MonthList,0))/12)</f>
        <v>4.99999999999806E-006</v>
      </c>
      <c r="O34" s="20" t="n">
        <f aca="false">IF(OR($K34&lt;&gt;"Yes",$L34=""),0,$M34*IF(MATCH($L34,MonthList,0)&lt;=7,12,19-MATCH($L34,MonthList,0))/12)</f>
        <v>1.99999999999922E-005</v>
      </c>
      <c r="P34" s="21" t="s">
        <v>59</v>
      </c>
      <c r="Q34" s="21"/>
      <c r="R34" s="20" t="n">
        <f aca="false">IF(AND($P34="Yes",$G34&lt;&gt;"Vendor day rates"),$J34-0.4*$I34,0)</f>
        <v>0</v>
      </c>
      <c r="S34" s="20" t="n">
        <f aca="false">IF(OR($P34&lt;&gt;"Yes",$Q34=""),0,$R34*MAX(0,7-MATCH($Q34,MonthList,0))/12)</f>
        <v>0</v>
      </c>
      <c r="T34" s="20" t="n">
        <f aca="false">IF(OR($P34&lt;&gt;"Yes",$Q34=""),0,$R34*IF(MATCH($Q34,MonthList,0)&lt;=7,12,19-MATCH($Q34,MonthList,0))/12)</f>
        <v>0</v>
      </c>
      <c r="U34" s="21" t="s">
        <v>59</v>
      </c>
      <c r="V34" s="21"/>
      <c r="W34" s="20" t="n">
        <f aca="false">IF(AND($U34="Yes",$G34&lt;&gt;"Vendor day rates"),$J34-0.4*$I34,0)</f>
        <v>0</v>
      </c>
      <c r="X34" s="20" t="n">
        <f aca="false">IF(OR($U34&lt;&gt;"Yes",$V34=""),0,$W34*MAX(0,7-MATCH($V34,MonthList,0))/12)</f>
        <v>0</v>
      </c>
      <c r="Y34" s="20" t="n">
        <f aca="false">IF(OR($U34&lt;&gt;"Yes",$V34=""),0,$W34*IF(MATCH($V34,MonthList,0)&lt;=7,12,19-MATCH($V34,MonthList,0))/12)</f>
        <v>0</v>
      </c>
    </row>
    <row r="35" customFormat="false" ht="15" hidden="false" customHeight="true" outlineLevel="0" collapsed="false">
      <c r="B35" s="22" t="s">
        <v>121</v>
      </c>
      <c r="C35" s="22" t="s">
        <v>113</v>
      </c>
      <c r="D35" s="22" t="s">
        <v>18</v>
      </c>
      <c r="E35" s="22" t="s">
        <v>62</v>
      </c>
      <c r="F35" s="23" t="s">
        <v>57</v>
      </c>
      <c r="G35" s="23" t="s">
        <v>58</v>
      </c>
      <c r="H35" s="23" t="n">
        <v>1</v>
      </c>
      <c r="I35" s="24" t="n">
        <v>0.2431</v>
      </c>
      <c r="J35" s="24" t="n">
        <v>0.2431</v>
      </c>
      <c r="K35" s="21" t="s">
        <v>59</v>
      </c>
      <c r="L35" s="21"/>
      <c r="M35" s="24" t="n">
        <f aca="false">IF(AND($K35="Yes",$G35&lt;&gt;"Vendor day rates"),$J35-0.4*$I35,0)</f>
        <v>0</v>
      </c>
      <c r="N35" s="24" t="n">
        <f aca="false">IF(OR($K35&lt;&gt;"Yes",$L35=""),0,$M35*MAX(0,7-MATCH($L35,MonthList,0))/12)</f>
        <v>0</v>
      </c>
      <c r="O35" s="24" t="n">
        <f aca="false">IF(OR($K35&lt;&gt;"Yes",$L35=""),0,$M35*IF(MATCH($L35,MonthList,0)&lt;=7,12,19-MATCH($L35,MonthList,0))/12)</f>
        <v>0</v>
      </c>
      <c r="P35" s="21" t="s">
        <v>59</v>
      </c>
      <c r="Q35" s="21"/>
      <c r="R35" s="24" t="n">
        <f aca="false">IF(AND($P35="Yes",$G35&lt;&gt;"Vendor day rates"),$J35-0.4*$I35,0)</f>
        <v>0</v>
      </c>
      <c r="S35" s="24" t="n">
        <f aca="false">IF(OR($P35&lt;&gt;"Yes",$Q35=""),0,$R35*MAX(0,7-MATCH($Q35,MonthList,0))/12)</f>
        <v>0</v>
      </c>
      <c r="T35" s="24" t="n">
        <f aca="false">IF(OR($P35&lt;&gt;"Yes",$Q35=""),0,$R35*IF(MATCH($Q35,MonthList,0)&lt;=7,12,19-MATCH($Q35,MonthList,0))/12)</f>
        <v>0</v>
      </c>
      <c r="U35" s="21" t="s">
        <v>59</v>
      </c>
      <c r="V35" s="21"/>
      <c r="W35" s="24" t="n">
        <f aca="false">IF(AND($U35="Yes",$G35&lt;&gt;"Vendor day rates"),$J35-0.4*$I35,0)</f>
        <v>0</v>
      </c>
      <c r="X35" s="24" t="n">
        <f aca="false">IF(OR($U35&lt;&gt;"Yes",$V35=""),0,$W35*MAX(0,7-MATCH($V35,MonthList,0))/12)</f>
        <v>0</v>
      </c>
      <c r="Y35" s="24" t="n">
        <f aca="false">IF(OR($U35&lt;&gt;"Yes",$V35=""),0,$W35*IF(MATCH($V35,MonthList,0)&lt;=7,12,19-MATCH($V35,MonthList,0))/12)</f>
        <v>0</v>
      </c>
    </row>
    <row r="36" customFormat="false" ht="15" hidden="false" customHeight="true" outlineLevel="0" collapsed="false">
      <c r="B36" s="18" t="s">
        <v>122</v>
      </c>
      <c r="C36" s="18" t="s">
        <v>117</v>
      </c>
      <c r="D36" s="18" t="s">
        <v>22</v>
      </c>
      <c r="E36" s="18" t="s">
        <v>56</v>
      </c>
      <c r="F36" s="19" t="s">
        <v>57</v>
      </c>
      <c r="G36" s="19" t="s">
        <v>58</v>
      </c>
      <c r="H36" s="19" t="n">
        <v>1</v>
      </c>
      <c r="I36" s="20" t="n">
        <v>0.2697</v>
      </c>
      <c r="J36" s="20" t="n">
        <v>0.2697</v>
      </c>
      <c r="K36" s="21" t="s">
        <v>59</v>
      </c>
      <c r="L36" s="21"/>
      <c r="M36" s="20" t="n">
        <f aca="false">IF(AND($K36="Yes",$G36&lt;&gt;"Vendor day rates"),$J36-0.4*$I36,0)</f>
        <v>0</v>
      </c>
      <c r="N36" s="20" t="n">
        <f aca="false">IF(OR($K36&lt;&gt;"Yes",$L36=""),0,$M36*MAX(0,7-MATCH($L36,MonthList,0))/12)</f>
        <v>0</v>
      </c>
      <c r="O36" s="20" t="n">
        <f aca="false">IF(OR($K36&lt;&gt;"Yes",$L36=""),0,$M36*IF(MATCH($L36,MonthList,0)&lt;=7,12,19-MATCH($L36,MonthList,0))/12)</f>
        <v>0</v>
      </c>
      <c r="P36" s="21" t="s">
        <v>59</v>
      </c>
      <c r="Q36" s="21"/>
      <c r="R36" s="20" t="n">
        <f aca="false">IF(AND($P36="Yes",$G36&lt;&gt;"Vendor day rates"),$J36-0.4*$I36,0)</f>
        <v>0</v>
      </c>
      <c r="S36" s="20" t="n">
        <f aca="false">IF(OR($P36&lt;&gt;"Yes",$Q36=""),0,$R36*MAX(0,7-MATCH($Q36,MonthList,0))/12)</f>
        <v>0</v>
      </c>
      <c r="T36" s="20" t="n">
        <f aca="false">IF(OR($P36&lt;&gt;"Yes",$Q36=""),0,$R36*IF(MATCH($Q36,MonthList,0)&lt;=7,12,19-MATCH($Q36,MonthList,0))/12)</f>
        <v>0</v>
      </c>
      <c r="U36" s="21" t="s">
        <v>59</v>
      </c>
      <c r="V36" s="21"/>
      <c r="W36" s="20" t="n">
        <f aca="false">IF(AND($U36="Yes",$G36&lt;&gt;"Vendor day rates"),$J36-0.4*$I36,0)</f>
        <v>0</v>
      </c>
      <c r="X36" s="20" t="n">
        <f aca="false">IF(OR($U36&lt;&gt;"Yes",$V36=""),0,$W36*MAX(0,7-MATCH($V36,MonthList,0))/12)</f>
        <v>0</v>
      </c>
      <c r="Y36" s="20" t="n">
        <f aca="false">IF(OR($U36&lt;&gt;"Yes",$V36=""),0,$W36*IF(MATCH($V36,MonthList,0)&lt;=7,12,19-MATCH($V36,MonthList,0))/12)</f>
        <v>0</v>
      </c>
    </row>
    <row r="37" customFormat="false" ht="15" hidden="false" customHeight="true" outlineLevel="0" collapsed="false">
      <c r="B37" s="22" t="s">
        <v>123</v>
      </c>
      <c r="C37" s="22" t="s">
        <v>124</v>
      </c>
      <c r="D37" s="22" t="s">
        <v>21</v>
      </c>
      <c r="E37" s="22" t="s">
        <v>21</v>
      </c>
      <c r="F37" s="23" t="s">
        <v>57</v>
      </c>
      <c r="G37" s="23" t="s">
        <v>58</v>
      </c>
      <c r="H37" s="23" t="n">
        <v>1</v>
      </c>
      <c r="I37" s="24" t="n">
        <v>0.2735</v>
      </c>
      <c r="J37" s="24" t="n">
        <v>0.2735</v>
      </c>
      <c r="K37" s="21" t="s">
        <v>59</v>
      </c>
      <c r="L37" s="21"/>
      <c r="M37" s="24" t="n">
        <f aca="false">IF(AND($K37="Yes",$G37&lt;&gt;"Vendor day rates"),$J37-0.4*$I37,0)</f>
        <v>0</v>
      </c>
      <c r="N37" s="24" t="n">
        <f aca="false">IF(OR($K37&lt;&gt;"Yes",$L37=""),0,$M37*MAX(0,7-MATCH($L37,MonthList,0))/12)</f>
        <v>0</v>
      </c>
      <c r="O37" s="24" t="n">
        <f aca="false">IF(OR($K37&lt;&gt;"Yes",$L37=""),0,$M37*IF(MATCH($L37,MonthList,0)&lt;=7,12,19-MATCH($L37,MonthList,0))/12)</f>
        <v>0</v>
      </c>
      <c r="P37" s="21" t="s">
        <v>59</v>
      </c>
      <c r="Q37" s="21"/>
      <c r="R37" s="24" t="n">
        <f aca="false">IF(AND($P37="Yes",$G37&lt;&gt;"Vendor day rates"),$J37-0.4*$I37,0)</f>
        <v>0</v>
      </c>
      <c r="S37" s="24" t="n">
        <f aca="false">IF(OR($P37&lt;&gt;"Yes",$Q37=""),0,$R37*MAX(0,7-MATCH($Q37,MonthList,0))/12)</f>
        <v>0</v>
      </c>
      <c r="T37" s="24" t="n">
        <f aca="false">IF(OR($P37&lt;&gt;"Yes",$Q37=""),0,$R37*IF(MATCH($Q37,MonthList,0)&lt;=7,12,19-MATCH($Q37,MonthList,0))/12)</f>
        <v>0</v>
      </c>
      <c r="U37" s="21" t="s">
        <v>59</v>
      </c>
      <c r="V37" s="21"/>
      <c r="W37" s="24" t="n">
        <f aca="false">IF(AND($U37="Yes",$G37&lt;&gt;"Vendor day rates"),$J37-0.4*$I37,0)</f>
        <v>0</v>
      </c>
      <c r="X37" s="24" t="n">
        <f aca="false">IF(OR($U37&lt;&gt;"Yes",$V37=""),0,$W37*MAX(0,7-MATCH($V37,MonthList,0))/12)</f>
        <v>0</v>
      </c>
      <c r="Y37" s="24" t="n">
        <f aca="false">IF(OR($U37&lt;&gt;"Yes",$V37=""),0,$W37*IF(MATCH($V37,MonthList,0)&lt;=7,12,19-MATCH($V37,MonthList,0))/12)</f>
        <v>0</v>
      </c>
    </row>
    <row r="38" customFormat="false" ht="15" hidden="false" customHeight="true" outlineLevel="0" collapsed="false">
      <c r="B38" s="18" t="s">
        <v>125</v>
      </c>
      <c r="C38" s="18" t="s">
        <v>126</v>
      </c>
      <c r="D38" s="18"/>
      <c r="E38" s="18" t="s">
        <v>127</v>
      </c>
      <c r="F38" s="19" t="s">
        <v>57</v>
      </c>
      <c r="G38" s="19" t="s">
        <v>58</v>
      </c>
      <c r="H38" s="19" t="n">
        <v>1</v>
      </c>
      <c r="I38" s="20" t="n">
        <v>0.3552</v>
      </c>
      <c r="J38" s="20" t="n">
        <v>0.3552</v>
      </c>
      <c r="K38" s="21" t="s">
        <v>59</v>
      </c>
      <c r="L38" s="21"/>
      <c r="M38" s="20" t="n">
        <f aca="false">IF(AND($K38="Yes",$G38&lt;&gt;"Vendor day rates"),$J38-0.4*$I38,0)</f>
        <v>0</v>
      </c>
      <c r="N38" s="20" t="n">
        <f aca="false">IF(OR($K38&lt;&gt;"Yes",$L38=""),0,$M38*MAX(0,7-MATCH($L38,MonthList,0))/12)</f>
        <v>0</v>
      </c>
      <c r="O38" s="20" t="n">
        <f aca="false">IF(OR($K38&lt;&gt;"Yes",$L38=""),0,$M38*IF(MATCH($L38,MonthList,0)&lt;=7,12,19-MATCH($L38,MonthList,0))/12)</f>
        <v>0</v>
      </c>
      <c r="P38" s="21" t="s">
        <v>59</v>
      </c>
      <c r="Q38" s="21"/>
      <c r="R38" s="20" t="n">
        <f aca="false">IF(AND($P38="Yes",$G38&lt;&gt;"Vendor day rates"),$J38-0.4*$I38,0)</f>
        <v>0</v>
      </c>
      <c r="S38" s="20" t="n">
        <f aca="false">IF(OR($P38&lt;&gt;"Yes",$Q38=""),0,$R38*MAX(0,7-MATCH($Q38,MonthList,0))/12)</f>
        <v>0</v>
      </c>
      <c r="T38" s="20" t="n">
        <f aca="false">IF(OR($P38&lt;&gt;"Yes",$Q38=""),0,$R38*IF(MATCH($Q38,MonthList,0)&lt;=7,12,19-MATCH($Q38,MonthList,0))/12)</f>
        <v>0</v>
      </c>
      <c r="U38" s="21" t="s">
        <v>59</v>
      </c>
      <c r="V38" s="21"/>
      <c r="W38" s="20" t="n">
        <f aca="false">IF(AND($U38="Yes",$G38&lt;&gt;"Vendor day rates"),$J38-0.4*$I38,0)</f>
        <v>0</v>
      </c>
      <c r="X38" s="20" t="n">
        <f aca="false">IF(OR($U38&lt;&gt;"Yes",$V38=""),0,$W38*MAX(0,7-MATCH($V38,MonthList,0))/12)</f>
        <v>0</v>
      </c>
      <c r="Y38" s="20" t="n">
        <f aca="false">IF(OR($U38&lt;&gt;"Yes",$V38=""),0,$W38*IF(MATCH($V38,MonthList,0)&lt;=7,12,19-MATCH($V38,MonthList,0))/12)</f>
        <v>0</v>
      </c>
    </row>
    <row r="39" customFormat="false" ht="15" hidden="false" customHeight="true" outlineLevel="0" collapsed="false">
      <c r="B39" s="22" t="s">
        <v>128</v>
      </c>
      <c r="C39" s="22" t="s">
        <v>129</v>
      </c>
      <c r="D39" s="22" t="s">
        <v>21</v>
      </c>
      <c r="E39" s="22" t="s">
        <v>21</v>
      </c>
      <c r="F39" s="23" t="s">
        <v>57</v>
      </c>
      <c r="G39" s="23" t="s">
        <v>58</v>
      </c>
      <c r="H39" s="23" t="n">
        <v>1</v>
      </c>
      <c r="I39" s="24" t="n">
        <v>0.222</v>
      </c>
      <c r="J39" s="24" t="n">
        <v>0.222</v>
      </c>
      <c r="K39" s="21" t="s">
        <v>59</v>
      </c>
      <c r="L39" s="21"/>
      <c r="M39" s="24" t="n">
        <f aca="false">IF(AND($K39="Yes",$G39&lt;&gt;"Vendor day rates"),$J39-0.4*$I39,0)</f>
        <v>0</v>
      </c>
      <c r="N39" s="24" t="n">
        <f aca="false">IF(OR($K39&lt;&gt;"Yes",$L39=""),0,$M39*MAX(0,7-MATCH($L39,MonthList,0))/12)</f>
        <v>0</v>
      </c>
      <c r="O39" s="24" t="n">
        <f aca="false">IF(OR($K39&lt;&gt;"Yes",$L39=""),0,$M39*IF(MATCH($L39,MonthList,0)&lt;=7,12,19-MATCH($L39,MonthList,0))/12)</f>
        <v>0</v>
      </c>
      <c r="P39" s="21" t="s">
        <v>59</v>
      </c>
      <c r="Q39" s="21"/>
      <c r="R39" s="24" t="n">
        <f aca="false">IF(AND($P39="Yes",$G39&lt;&gt;"Vendor day rates"),$J39-0.4*$I39,0)</f>
        <v>0</v>
      </c>
      <c r="S39" s="24" t="n">
        <f aca="false">IF(OR($P39&lt;&gt;"Yes",$Q39=""),0,$R39*MAX(0,7-MATCH($Q39,MonthList,0))/12)</f>
        <v>0</v>
      </c>
      <c r="T39" s="24" t="n">
        <f aca="false">IF(OR($P39&lt;&gt;"Yes",$Q39=""),0,$R39*IF(MATCH($Q39,MonthList,0)&lt;=7,12,19-MATCH($Q39,MonthList,0))/12)</f>
        <v>0</v>
      </c>
      <c r="U39" s="21" t="s">
        <v>59</v>
      </c>
      <c r="V39" s="21"/>
      <c r="W39" s="24" t="n">
        <f aca="false">IF(AND($U39="Yes",$G39&lt;&gt;"Vendor day rates"),$J39-0.4*$I39,0)</f>
        <v>0</v>
      </c>
      <c r="X39" s="24" t="n">
        <f aca="false">IF(OR($U39&lt;&gt;"Yes",$V39=""),0,$W39*MAX(0,7-MATCH($V39,MonthList,0))/12)</f>
        <v>0</v>
      </c>
      <c r="Y39" s="24" t="n">
        <f aca="false">IF(OR($U39&lt;&gt;"Yes",$V39=""),0,$W39*IF(MATCH($V39,MonthList,0)&lt;=7,12,19-MATCH($V39,MonthList,0))/12)</f>
        <v>0</v>
      </c>
    </row>
    <row r="40" customFormat="false" ht="15" hidden="false" customHeight="true" outlineLevel="0" collapsed="false">
      <c r="B40" s="18" t="s">
        <v>130</v>
      </c>
      <c r="C40" s="18" t="s">
        <v>131</v>
      </c>
      <c r="D40" s="18" t="s">
        <v>21</v>
      </c>
      <c r="E40" s="18" t="s">
        <v>21</v>
      </c>
      <c r="F40" s="19" t="s">
        <v>57</v>
      </c>
      <c r="G40" s="19" t="s">
        <v>58</v>
      </c>
      <c r="H40" s="19" t="n">
        <v>1</v>
      </c>
      <c r="I40" s="20" t="n">
        <v>0.333</v>
      </c>
      <c r="J40" s="20" t="n">
        <v>0.333</v>
      </c>
      <c r="K40" s="21" t="s">
        <v>59</v>
      </c>
      <c r="L40" s="21"/>
      <c r="M40" s="20" t="n">
        <f aca="false">IF(AND($K40="Yes",$G40&lt;&gt;"Vendor day rates"),$J40-0.4*$I40,0)</f>
        <v>0</v>
      </c>
      <c r="N40" s="20" t="n">
        <f aca="false">IF(OR($K40&lt;&gt;"Yes",$L40=""),0,$M40*MAX(0,7-MATCH($L40,MonthList,0))/12)</f>
        <v>0</v>
      </c>
      <c r="O40" s="20" t="n">
        <f aca="false">IF(OR($K40&lt;&gt;"Yes",$L40=""),0,$M40*IF(MATCH($L40,MonthList,0)&lt;=7,12,19-MATCH($L40,MonthList,0))/12)</f>
        <v>0</v>
      </c>
      <c r="P40" s="21" t="s">
        <v>59</v>
      </c>
      <c r="Q40" s="21"/>
      <c r="R40" s="20" t="n">
        <f aca="false">IF(AND($P40="Yes",$G40&lt;&gt;"Vendor day rates"),$J40-0.4*$I40,0)</f>
        <v>0</v>
      </c>
      <c r="S40" s="20" t="n">
        <f aca="false">IF(OR($P40&lt;&gt;"Yes",$Q40=""),0,$R40*MAX(0,7-MATCH($Q40,MonthList,0))/12)</f>
        <v>0</v>
      </c>
      <c r="T40" s="20" t="n">
        <f aca="false">IF(OR($P40&lt;&gt;"Yes",$Q40=""),0,$R40*IF(MATCH($Q40,MonthList,0)&lt;=7,12,19-MATCH($Q40,MonthList,0))/12)</f>
        <v>0</v>
      </c>
      <c r="U40" s="21" t="s">
        <v>59</v>
      </c>
      <c r="V40" s="21"/>
      <c r="W40" s="20" t="n">
        <f aca="false">IF(AND($U40="Yes",$G40&lt;&gt;"Vendor day rates"),$J40-0.4*$I40,0)</f>
        <v>0</v>
      </c>
      <c r="X40" s="20" t="n">
        <f aca="false">IF(OR($U40&lt;&gt;"Yes",$V40=""),0,$W40*MAX(0,7-MATCH($V40,MonthList,0))/12)</f>
        <v>0</v>
      </c>
      <c r="Y40" s="20" t="n">
        <f aca="false">IF(OR($U40&lt;&gt;"Yes",$V40=""),0,$W40*IF(MATCH($V40,MonthList,0)&lt;=7,12,19-MATCH($V40,MonthList,0))/12)</f>
        <v>0</v>
      </c>
    </row>
    <row r="41" customFormat="false" ht="15" hidden="false" customHeight="true" outlineLevel="0" collapsed="false">
      <c r="B41" s="22" t="s">
        <v>132</v>
      </c>
      <c r="C41" s="22" t="s">
        <v>133</v>
      </c>
      <c r="D41" s="22" t="s">
        <v>18</v>
      </c>
      <c r="E41" s="22" t="s">
        <v>62</v>
      </c>
      <c r="F41" s="23" t="s">
        <v>57</v>
      </c>
      <c r="G41" s="23" t="s">
        <v>118</v>
      </c>
      <c r="H41" s="23" t="n">
        <v>1</v>
      </c>
      <c r="I41" s="24" t="n">
        <v>0.2775</v>
      </c>
      <c r="J41" s="24" t="n">
        <v>0.111</v>
      </c>
      <c r="K41" s="21" t="s">
        <v>59</v>
      </c>
      <c r="L41" s="21"/>
      <c r="M41" s="24" t="n">
        <f aca="false">IF(AND($K41="Yes",$G41&lt;&gt;"Vendor day rates"),$J41-0.4*$I41,0)</f>
        <v>0</v>
      </c>
      <c r="N41" s="24" t="n">
        <f aca="false">IF(OR($K41&lt;&gt;"Yes",$L41=""),0,$M41*MAX(0,7-MATCH($L41,MonthList,0))/12)</f>
        <v>0</v>
      </c>
      <c r="O41" s="24" t="n">
        <f aca="false">IF(OR($K41&lt;&gt;"Yes",$L41=""),0,$M41*IF(MATCH($L41,MonthList,0)&lt;=7,12,19-MATCH($L41,MonthList,0))/12)</f>
        <v>0</v>
      </c>
      <c r="P41" s="21" t="s">
        <v>59</v>
      </c>
      <c r="Q41" s="21"/>
      <c r="R41" s="24" t="n">
        <f aca="false">IF(AND($P41="Yes",$G41&lt;&gt;"Vendor day rates"),$J41-0.4*$I41,0)</f>
        <v>0</v>
      </c>
      <c r="S41" s="24" t="n">
        <f aca="false">IF(OR($P41&lt;&gt;"Yes",$Q41=""),0,$R41*MAX(0,7-MATCH($Q41,MonthList,0))/12)</f>
        <v>0</v>
      </c>
      <c r="T41" s="24" t="n">
        <f aca="false">IF(OR($P41&lt;&gt;"Yes",$Q41=""),0,$R41*IF(MATCH($Q41,MonthList,0)&lt;=7,12,19-MATCH($Q41,MonthList,0))/12)</f>
        <v>0</v>
      </c>
      <c r="U41" s="21" t="s">
        <v>59</v>
      </c>
      <c r="V41" s="21"/>
      <c r="W41" s="24" t="n">
        <f aca="false">IF(AND($U41="Yes",$G41&lt;&gt;"Vendor day rates"),$J41-0.4*$I41,0)</f>
        <v>0</v>
      </c>
      <c r="X41" s="24" t="n">
        <f aca="false">IF(OR($U41&lt;&gt;"Yes",$V41=""),0,$W41*MAX(0,7-MATCH($V41,MonthList,0))/12)</f>
        <v>0</v>
      </c>
      <c r="Y41" s="24" t="n">
        <f aca="false">IF(OR($U41&lt;&gt;"Yes",$V41=""),0,$W41*IF(MATCH($V41,MonthList,0)&lt;=7,12,19-MATCH($V41,MonthList,0))/12)</f>
        <v>0</v>
      </c>
    </row>
    <row r="42" customFormat="false" ht="15" hidden="false" customHeight="true" outlineLevel="0" collapsed="false">
      <c r="B42" s="18" t="s">
        <v>134</v>
      </c>
      <c r="C42" s="18" t="s">
        <v>133</v>
      </c>
      <c r="D42" s="18" t="s">
        <v>18</v>
      </c>
      <c r="E42" s="18" t="s">
        <v>66</v>
      </c>
      <c r="F42" s="19" t="s">
        <v>57</v>
      </c>
      <c r="G42" s="19" t="s">
        <v>118</v>
      </c>
      <c r="H42" s="19" t="n">
        <v>1</v>
      </c>
      <c r="I42" s="20" t="n">
        <v>0.2705</v>
      </c>
      <c r="J42" s="20" t="n">
        <v>0.1082</v>
      </c>
      <c r="K42" s="21" t="s">
        <v>59</v>
      </c>
      <c r="L42" s="21"/>
      <c r="M42" s="20" t="n">
        <f aca="false">IF(AND($K42="Yes",$G42&lt;&gt;"Vendor day rates"),$J42-0.4*$I42,0)</f>
        <v>0</v>
      </c>
      <c r="N42" s="20" t="n">
        <f aca="false">IF(OR($K42&lt;&gt;"Yes",$L42=""),0,$M42*MAX(0,7-MATCH($L42,MonthList,0))/12)</f>
        <v>0</v>
      </c>
      <c r="O42" s="20" t="n">
        <f aca="false">IF(OR($K42&lt;&gt;"Yes",$L42=""),0,$M42*IF(MATCH($L42,MonthList,0)&lt;=7,12,19-MATCH($L42,MonthList,0))/12)</f>
        <v>0</v>
      </c>
      <c r="P42" s="21" t="s">
        <v>59</v>
      </c>
      <c r="Q42" s="21"/>
      <c r="R42" s="20" t="n">
        <f aca="false">IF(AND($P42="Yes",$G42&lt;&gt;"Vendor day rates"),$J42-0.4*$I42,0)</f>
        <v>0</v>
      </c>
      <c r="S42" s="20" t="n">
        <f aca="false">IF(OR($P42&lt;&gt;"Yes",$Q42=""),0,$R42*MAX(0,7-MATCH($Q42,MonthList,0))/12)</f>
        <v>0</v>
      </c>
      <c r="T42" s="20" t="n">
        <f aca="false">IF(OR($P42&lt;&gt;"Yes",$Q42=""),0,$R42*IF(MATCH($Q42,MonthList,0)&lt;=7,12,19-MATCH($Q42,MonthList,0))/12)</f>
        <v>0</v>
      </c>
      <c r="U42" s="21" t="s">
        <v>59</v>
      </c>
      <c r="V42" s="21"/>
      <c r="W42" s="20" t="n">
        <f aca="false">IF(AND($U42="Yes",$G42&lt;&gt;"Vendor day rates"),$J42-0.4*$I42,0)</f>
        <v>0</v>
      </c>
      <c r="X42" s="20" t="n">
        <f aca="false">IF(OR($U42&lt;&gt;"Yes",$V42=""),0,$W42*MAX(0,7-MATCH($V42,MonthList,0))/12)</f>
        <v>0</v>
      </c>
      <c r="Y42" s="20" t="n">
        <f aca="false">IF(OR($U42&lt;&gt;"Yes",$V42=""),0,$W42*IF(MATCH($V42,MonthList,0)&lt;=7,12,19-MATCH($V42,MonthList,0))/12)</f>
        <v>0</v>
      </c>
    </row>
    <row r="43" customFormat="false" ht="15" hidden="false" customHeight="true" outlineLevel="0" collapsed="false">
      <c r="B43" s="22" t="s">
        <v>135</v>
      </c>
      <c r="C43" s="22" t="s">
        <v>133</v>
      </c>
      <c r="D43" s="22" t="s">
        <v>22</v>
      </c>
      <c r="E43" s="22" t="s">
        <v>56</v>
      </c>
      <c r="F43" s="23" t="s">
        <v>57</v>
      </c>
      <c r="G43" s="23" t="s">
        <v>58</v>
      </c>
      <c r="H43" s="23" t="n">
        <v>1</v>
      </c>
      <c r="I43" s="24" t="n">
        <v>0</v>
      </c>
      <c r="J43" s="24" t="n">
        <v>0</v>
      </c>
      <c r="K43" s="21" t="s">
        <v>59</v>
      </c>
      <c r="L43" s="21"/>
      <c r="M43" s="24" t="n">
        <f aca="false">IF(AND($K43="Yes",$G43&lt;&gt;"Vendor day rates"),$J43-0.4*$I43,0)</f>
        <v>0</v>
      </c>
      <c r="N43" s="24" t="n">
        <f aca="false">IF(OR($K43&lt;&gt;"Yes",$L43=""),0,$M43*MAX(0,7-MATCH($L43,MonthList,0))/12)</f>
        <v>0</v>
      </c>
      <c r="O43" s="24" t="n">
        <f aca="false">IF(OR($K43&lt;&gt;"Yes",$L43=""),0,$M43*IF(MATCH($L43,MonthList,0)&lt;=7,12,19-MATCH($L43,MonthList,0))/12)</f>
        <v>0</v>
      </c>
      <c r="P43" s="21" t="s">
        <v>59</v>
      </c>
      <c r="Q43" s="21"/>
      <c r="R43" s="24" t="n">
        <f aca="false">IF(AND($P43="Yes",$G43&lt;&gt;"Vendor day rates"),$J43-0.4*$I43,0)</f>
        <v>0</v>
      </c>
      <c r="S43" s="24" t="n">
        <f aca="false">IF(OR($P43&lt;&gt;"Yes",$Q43=""),0,$R43*MAX(0,7-MATCH($Q43,MonthList,0))/12)</f>
        <v>0</v>
      </c>
      <c r="T43" s="24" t="n">
        <f aca="false">IF(OR($P43&lt;&gt;"Yes",$Q43=""),0,$R43*IF(MATCH($Q43,MonthList,0)&lt;=7,12,19-MATCH($Q43,MonthList,0))/12)</f>
        <v>0</v>
      </c>
      <c r="U43" s="21" t="s">
        <v>59</v>
      </c>
      <c r="V43" s="21"/>
      <c r="W43" s="24" t="n">
        <f aca="false">IF(AND($U43="Yes",$G43&lt;&gt;"Vendor day rates"),$J43-0.4*$I43,0)</f>
        <v>0</v>
      </c>
      <c r="X43" s="24" t="n">
        <f aca="false">IF(OR($U43&lt;&gt;"Yes",$V43=""),0,$W43*MAX(0,7-MATCH($V43,MonthList,0))/12)</f>
        <v>0</v>
      </c>
      <c r="Y43" s="24" t="n">
        <f aca="false">IF(OR($U43&lt;&gt;"Yes",$V43=""),0,$W43*IF(MATCH($V43,MonthList,0)&lt;=7,12,19-MATCH($V43,MonthList,0))/12)</f>
        <v>0</v>
      </c>
    </row>
    <row r="44" customFormat="false" ht="15" hidden="false" customHeight="true" outlineLevel="0" collapsed="false">
      <c r="B44" s="18" t="s">
        <v>136</v>
      </c>
      <c r="C44" s="18" t="s">
        <v>133</v>
      </c>
      <c r="D44" s="18" t="s">
        <v>22</v>
      </c>
      <c r="E44" s="18" t="s">
        <v>56</v>
      </c>
      <c r="F44" s="19" t="s">
        <v>57</v>
      </c>
      <c r="G44" s="19" t="s">
        <v>58</v>
      </c>
      <c r="H44" s="19" t="n">
        <v>1</v>
      </c>
      <c r="I44" s="20" t="n">
        <v>0.2642</v>
      </c>
      <c r="J44" s="20" t="n">
        <v>0.2642</v>
      </c>
      <c r="K44" s="21" t="s">
        <v>59</v>
      </c>
      <c r="L44" s="21"/>
      <c r="M44" s="20" t="n">
        <f aca="false">IF(AND($K44="Yes",$G44&lt;&gt;"Vendor day rates"),$J44-0.4*$I44,0)</f>
        <v>0</v>
      </c>
      <c r="N44" s="20" t="n">
        <f aca="false">IF(OR($K44&lt;&gt;"Yes",$L44=""),0,$M44*MAX(0,7-MATCH($L44,MonthList,0))/12)</f>
        <v>0</v>
      </c>
      <c r="O44" s="20" t="n">
        <f aca="false">IF(OR($K44&lt;&gt;"Yes",$L44=""),0,$M44*IF(MATCH($L44,MonthList,0)&lt;=7,12,19-MATCH($L44,MonthList,0))/12)</f>
        <v>0</v>
      </c>
      <c r="P44" s="21" t="s">
        <v>59</v>
      </c>
      <c r="Q44" s="21"/>
      <c r="R44" s="20" t="n">
        <f aca="false">IF(AND($P44="Yes",$G44&lt;&gt;"Vendor day rates"),$J44-0.4*$I44,0)</f>
        <v>0</v>
      </c>
      <c r="S44" s="20" t="n">
        <f aca="false">IF(OR($P44&lt;&gt;"Yes",$Q44=""),0,$R44*MAX(0,7-MATCH($Q44,MonthList,0))/12)</f>
        <v>0</v>
      </c>
      <c r="T44" s="20" t="n">
        <f aca="false">IF(OR($P44&lt;&gt;"Yes",$Q44=""),0,$R44*IF(MATCH($Q44,MonthList,0)&lt;=7,12,19-MATCH($Q44,MonthList,0))/12)</f>
        <v>0</v>
      </c>
      <c r="U44" s="21" t="s">
        <v>59</v>
      </c>
      <c r="V44" s="21"/>
      <c r="W44" s="20" t="n">
        <f aca="false">IF(AND($U44="Yes",$G44&lt;&gt;"Vendor day rates"),$J44-0.4*$I44,0)</f>
        <v>0</v>
      </c>
      <c r="X44" s="20" t="n">
        <f aca="false">IF(OR($U44&lt;&gt;"Yes",$V44=""),0,$W44*MAX(0,7-MATCH($V44,MonthList,0))/12)</f>
        <v>0</v>
      </c>
      <c r="Y44" s="20" t="n">
        <f aca="false">IF(OR($U44&lt;&gt;"Yes",$V44=""),0,$W44*IF(MATCH($V44,MonthList,0)&lt;=7,12,19-MATCH($V44,MonthList,0))/12)</f>
        <v>0</v>
      </c>
    </row>
    <row r="45" customFormat="false" ht="15" hidden="false" customHeight="true" outlineLevel="0" collapsed="false">
      <c r="B45" s="22" t="s">
        <v>137</v>
      </c>
      <c r="C45" s="22" t="s">
        <v>138</v>
      </c>
      <c r="D45" s="22" t="s">
        <v>22</v>
      </c>
      <c r="E45" s="22" t="s">
        <v>139</v>
      </c>
      <c r="F45" s="23" t="s">
        <v>57</v>
      </c>
      <c r="G45" s="23" t="s">
        <v>58</v>
      </c>
      <c r="H45" s="23" t="n">
        <v>1</v>
      </c>
      <c r="I45" s="24" t="n">
        <v>0.222</v>
      </c>
      <c r="J45" s="24" t="n">
        <v>0.222</v>
      </c>
      <c r="K45" s="21" t="s">
        <v>59</v>
      </c>
      <c r="L45" s="21"/>
      <c r="M45" s="24" t="n">
        <f aca="false">IF(AND($K45="Yes",$G45&lt;&gt;"Vendor day rates"),$J45-0.4*$I45,0)</f>
        <v>0</v>
      </c>
      <c r="N45" s="24" t="n">
        <f aca="false">IF(OR($K45&lt;&gt;"Yes",$L45=""),0,$M45*MAX(0,7-MATCH($L45,MonthList,0))/12)</f>
        <v>0</v>
      </c>
      <c r="O45" s="24" t="n">
        <f aca="false">IF(OR($K45&lt;&gt;"Yes",$L45=""),0,$M45*IF(MATCH($L45,MonthList,0)&lt;=7,12,19-MATCH($L45,MonthList,0))/12)</f>
        <v>0</v>
      </c>
      <c r="P45" s="21" t="s">
        <v>59</v>
      </c>
      <c r="Q45" s="21"/>
      <c r="R45" s="24" t="n">
        <f aca="false">IF(AND($P45="Yes",$G45&lt;&gt;"Vendor day rates"),$J45-0.4*$I45,0)</f>
        <v>0</v>
      </c>
      <c r="S45" s="24" t="n">
        <f aca="false">IF(OR($P45&lt;&gt;"Yes",$Q45=""),0,$R45*MAX(0,7-MATCH($Q45,MonthList,0))/12)</f>
        <v>0</v>
      </c>
      <c r="T45" s="24" t="n">
        <f aca="false">IF(OR($P45&lt;&gt;"Yes",$Q45=""),0,$R45*IF(MATCH($Q45,MonthList,0)&lt;=7,12,19-MATCH($Q45,MonthList,0))/12)</f>
        <v>0</v>
      </c>
      <c r="U45" s="21" t="s">
        <v>59</v>
      </c>
      <c r="V45" s="21"/>
      <c r="W45" s="24" t="n">
        <f aca="false">IF(AND($U45="Yes",$G45&lt;&gt;"Vendor day rates"),$J45-0.4*$I45,0)</f>
        <v>0</v>
      </c>
      <c r="X45" s="24" t="n">
        <f aca="false">IF(OR($U45&lt;&gt;"Yes",$V45=""),0,$W45*MAX(0,7-MATCH($V45,MonthList,0))/12)</f>
        <v>0</v>
      </c>
      <c r="Y45" s="24" t="n">
        <f aca="false">IF(OR($U45&lt;&gt;"Yes",$V45=""),0,$W45*IF(MATCH($V45,MonthList,0)&lt;=7,12,19-MATCH($V45,MonthList,0))/12)</f>
        <v>0</v>
      </c>
    </row>
    <row r="46" customFormat="false" ht="15" hidden="false" customHeight="true" outlineLevel="0" collapsed="false">
      <c r="B46" s="18" t="s">
        <v>140</v>
      </c>
      <c r="C46" s="18" t="s">
        <v>141</v>
      </c>
      <c r="D46" s="18" t="s">
        <v>21</v>
      </c>
      <c r="E46" s="18" t="s">
        <v>21</v>
      </c>
      <c r="F46" s="19" t="s">
        <v>57</v>
      </c>
      <c r="G46" s="19" t="s">
        <v>58</v>
      </c>
      <c r="H46" s="19" t="n">
        <v>1</v>
      </c>
      <c r="I46" s="20" t="n">
        <v>0.2775</v>
      </c>
      <c r="J46" s="20" t="n">
        <v>0.2775</v>
      </c>
      <c r="K46" s="21" t="s">
        <v>59</v>
      </c>
      <c r="L46" s="21"/>
      <c r="M46" s="20" t="n">
        <f aca="false">IF(AND($K46="Yes",$G46&lt;&gt;"Vendor day rates"),$J46-0.4*$I46,0)</f>
        <v>0</v>
      </c>
      <c r="N46" s="20" t="n">
        <f aca="false">IF(OR($K46&lt;&gt;"Yes",$L46=""),0,$M46*MAX(0,7-MATCH($L46,MonthList,0))/12)</f>
        <v>0</v>
      </c>
      <c r="O46" s="20" t="n">
        <f aca="false">IF(OR($K46&lt;&gt;"Yes",$L46=""),0,$M46*IF(MATCH($L46,MonthList,0)&lt;=7,12,19-MATCH($L46,MonthList,0))/12)</f>
        <v>0</v>
      </c>
      <c r="P46" s="21" t="s">
        <v>59</v>
      </c>
      <c r="Q46" s="21"/>
      <c r="R46" s="20" t="n">
        <f aca="false">IF(AND($P46="Yes",$G46&lt;&gt;"Vendor day rates"),$J46-0.4*$I46,0)</f>
        <v>0</v>
      </c>
      <c r="S46" s="20" t="n">
        <f aca="false">IF(OR($P46&lt;&gt;"Yes",$Q46=""),0,$R46*MAX(0,7-MATCH($Q46,MonthList,0))/12)</f>
        <v>0</v>
      </c>
      <c r="T46" s="20" t="n">
        <f aca="false">IF(OR($P46&lt;&gt;"Yes",$Q46=""),0,$R46*IF(MATCH($Q46,MonthList,0)&lt;=7,12,19-MATCH($Q46,MonthList,0))/12)</f>
        <v>0</v>
      </c>
      <c r="U46" s="21" t="s">
        <v>59</v>
      </c>
      <c r="V46" s="21"/>
      <c r="W46" s="20" t="n">
        <f aca="false">IF(AND($U46="Yes",$G46&lt;&gt;"Vendor day rates"),$J46-0.4*$I46,0)</f>
        <v>0</v>
      </c>
      <c r="X46" s="20" t="n">
        <f aca="false">IF(OR($U46&lt;&gt;"Yes",$V46=""),0,$W46*MAX(0,7-MATCH($V46,MonthList,0))/12)</f>
        <v>0</v>
      </c>
      <c r="Y46" s="20" t="n">
        <f aca="false">IF(OR($U46&lt;&gt;"Yes",$V46=""),0,$W46*IF(MATCH($V46,MonthList,0)&lt;=7,12,19-MATCH($V46,MonthList,0))/12)</f>
        <v>0</v>
      </c>
    </row>
    <row r="47" customFormat="false" ht="15" hidden="false" customHeight="true" outlineLevel="0" collapsed="false">
      <c r="B47" s="22" t="s">
        <v>142</v>
      </c>
      <c r="C47" s="22" t="s">
        <v>143</v>
      </c>
      <c r="D47" s="22" t="s">
        <v>26</v>
      </c>
      <c r="E47" s="22" t="s">
        <v>144</v>
      </c>
      <c r="F47" s="23" t="s">
        <v>57</v>
      </c>
      <c r="G47" s="23" t="s">
        <v>145</v>
      </c>
      <c r="H47" s="23" t="n">
        <v>1</v>
      </c>
      <c r="I47" s="24" t="n">
        <v>0.4395</v>
      </c>
      <c r="J47" s="24" t="n">
        <v>0.4395</v>
      </c>
      <c r="K47" s="21" t="s">
        <v>59</v>
      </c>
      <c r="L47" s="21"/>
      <c r="M47" s="24" t="n">
        <f aca="false">IF(AND($K47="Yes",$G47&lt;&gt;"Vendor day rates"),$J47-0.4*$I47,0)</f>
        <v>0</v>
      </c>
      <c r="N47" s="24" t="n">
        <f aca="false">IF(OR($K47&lt;&gt;"Yes",$L47=""),0,$M47*MAX(0,7-MATCH($L47,MonthList,0))/12)</f>
        <v>0</v>
      </c>
      <c r="O47" s="24" t="n">
        <f aca="false">IF(OR($K47&lt;&gt;"Yes",$L47=""),0,$M47*IF(MATCH($L47,MonthList,0)&lt;=7,12,19-MATCH($L47,MonthList,0))/12)</f>
        <v>0</v>
      </c>
      <c r="P47" s="21" t="s">
        <v>59</v>
      </c>
      <c r="Q47" s="21"/>
      <c r="R47" s="24" t="n">
        <f aca="false">IF(AND($P47="Yes",$G47&lt;&gt;"Vendor day rates"),$J47-0.4*$I47,0)</f>
        <v>0</v>
      </c>
      <c r="S47" s="24" t="n">
        <f aca="false">IF(OR($P47&lt;&gt;"Yes",$Q47=""),0,$R47*MAX(0,7-MATCH($Q47,MonthList,0))/12)</f>
        <v>0</v>
      </c>
      <c r="T47" s="24" t="n">
        <f aca="false">IF(OR($P47&lt;&gt;"Yes",$Q47=""),0,$R47*IF(MATCH($Q47,MonthList,0)&lt;=7,12,19-MATCH($Q47,MonthList,0))/12)</f>
        <v>0</v>
      </c>
      <c r="U47" s="21" t="s">
        <v>59</v>
      </c>
      <c r="V47" s="21"/>
      <c r="W47" s="24" t="n">
        <f aca="false">IF(AND($U47="Yes",$G47&lt;&gt;"Vendor day rates"),$J47-0.4*$I47,0)</f>
        <v>0</v>
      </c>
      <c r="X47" s="24" t="n">
        <f aca="false">IF(OR($U47&lt;&gt;"Yes",$V47=""),0,$W47*MAX(0,7-MATCH($V47,MonthList,0))/12)</f>
        <v>0</v>
      </c>
      <c r="Y47" s="24" t="n">
        <f aca="false">IF(OR($U47&lt;&gt;"Yes",$V47=""),0,$W47*IF(MATCH($V47,MonthList,0)&lt;=7,12,19-MATCH($V47,MonthList,0))/12)</f>
        <v>0</v>
      </c>
    </row>
    <row r="48" customFormat="false" ht="15" hidden="false" customHeight="true" outlineLevel="0" collapsed="false">
      <c r="B48" s="18" t="s">
        <v>146</v>
      </c>
      <c r="C48" s="18" t="s">
        <v>147</v>
      </c>
      <c r="D48" s="18" t="s">
        <v>32</v>
      </c>
      <c r="E48" s="18" t="s">
        <v>148</v>
      </c>
      <c r="F48" s="19" t="s">
        <v>109</v>
      </c>
      <c r="G48" s="19" t="s">
        <v>58</v>
      </c>
      <c r="H48" s="19" t="n">
        <v>1</v>
      </c>
      <c r="I48" s="20" t="n">
        <v>0.3011</v>
      </c>
      <c r="J48" s="20" t="n">
        <v>0.3011</v>
      </c>
      <c r="K48" s="21" t="s">
        <v>59</v>
      </c>
      <c r="L48" s="21"/>
      <c r="M48" s="20" t="n">
        <f aca="false">IF(AND($K48="Yes",$G48&lt;&gt;"Vendor day rates"),$J48-0.4*$I48,0)</f>
        <v>0</v>
      </c>
      <c r="N48" s="20" t="n">
        <f aca="false">IF(OR($K48&lt;&gt;"Yes",$L48=""),0,$M48*MAX(0,7-MATCH($L48,MonthList,0))/12)</f>
        <v>0</v>
      </c>
      <c r="O48" s="20" t="n">
        <f aca="false">IF(OR($K48&lt;&gt;"Yes",$L48=""),0,$M48*IF(MATCH($L48,MonthList,0)&lt;=7,12,19-MATCH($L48,MonthList,0))/12)</f>
        <v>0</v>
      </c>
      <c r="P48" s="21" t="s">
        <v>59</v>
      </c>
      <c r="Q48" s="21"/>
      <c r="R48" s="20" t="n">
        <f aca="false">IF(AND($P48="Yes",$G48&lt;&gt;"Vendor day rates"),$J48-0.4*$I48,0)</f>
        <v>0</v>
      </c>
      <c r="S48" s="20" t="n">
        <f aca="false">IF(OR($P48&lt;&gt;"Yes",$Q48=""),0,$R48*MAX(0,7-MATCH($Q48,MonthList,0))/12)</f>
        <v>0</v>
      </c>
      <c r="T48" s="20" t="n">
        <f aca="false">IF(OR($P48&lt;&gt;"Yes",$Q48=""),0,$R48*IF(MATCH($Q48,MonthList,0)&lt;=7,12,19-MATCH($Q48,MonthList,0))/12)</f>
        <v>0</v>
      </c>
      <c r="U48" s="21" t="s">
        <v>59</v>
      </c>
      <c r="V48" s="21"/>
      <c r="W48" s="20" t="n">
        <f aca="false">IF(AND($U48="Yes",$G48&lt;&gt;"Vendor day rates"),$J48-0.4*$I48,0)</f>
        <v>0</v>
      </c>
      <c r="X48" s="20" t="n">
        <f aca="false">IF(OR($U48&lt;&gt;"Yes",$V48=""),0,$W48*MAX(0,7-MATCH($V48,MonthList,0))/12)</f>
        <v>0</v>
      </c>
      <c r="Y48" s="20" t="n">
        <f aca="false">IF(OR($U48&lt;&gt;"Yes",$V48=""),0,$W48*IF(MATCH($V48,MonthList,0)&lt;=7,12,19-MATCH($V48,MonthList,0))/12)</f>
        <v>0</v>
      </c>
    </row>
    <row r="49" customFormat="false" ht="15" hidden="false" customHeight="true" outlineLevel="0" collapsed="false">
      <c r="B49" s="22" t="s">
        <v>149</v>
      </c>
      <c r="C49" s="22" t="s">
        <v>150</v>
      </c>
      <c r="D49" s="22" t="s">
        <v>18</v>
      </c>
      <c r="E49" s="22" t="s">
        <v>148</v>
      </c>
      <c r="F49" s="23" t="s">
        <v>109</v>
      </c>
      <c r="G49" s="23" t="s">
        <v>58</v>
      </c>
      <c r="H49" s="23" t="n">
        <v>1</v>
      </c>
      <c r="I49" s="24" t="n">
        <v>0.2743</v>
      </c>
      <c r="J49" s="24" t="n">
        <v>0.2743</v>
      </c>
      <c r="K49" s="21" t="s">
        <v>59</v>
      </c>
      <c r="L49" s="21"/>
      <c r="M49" s="24" t="n">
        <f aca="false">IF(AND($K49="Yes",$G49&lt;&gt;"Vendor day rates"),$J49-0.4*$I49,0)</f>
        <v>0</v>
      </c>
      <c r="N49" s="24" t="n">
        <f aca="false">IF(OR($K49&lt;&gt;"Yes",$L49=""),0,$M49*MAX(0,7-MATCH($L49,MonthList,0))/12)</f>
        <v>0</v>
      </c>
      <c r="O49" s="24" t="n">
        <f aca="false">IF(OR($K49&lt;&gt;"Yes",$L49=""),0,$M49*IF(MATCH($L49,MonthList,0)&lt;=7,12,19-MATCH($L49,MonthList,0))/12)</f>
        <v>0</v>
      </c>
      <c r="P49" s="21" t="s">
        <v>59</v>
      </c>
      <c r="Q49" s="21"/>
      <c r="R49" s="24" t="n">
        <f aca="false">IF(AND($P49="Yes",$G49&lt;&gt;"Vendor day rates"),$J49-0.4*$I49,0)</f>
        <v>0</v>
      </c>
      <c r="S49" s="24" t="n">
        <f aca="false">IF(OR($P49&lt;&gt;"Yes",$Q49=""),0,$R49*MAX(0,7-MATCH($Q49,MonthList,0))/12)</f>
        <v>0</v>
      </c>
      <c r="T49" s="24" t="n">
        <f aca="false">IF(OR($P49&lt;&gt;"Yes",$Q49=""),0,$R49*IF(MATCH($Q49,MonthList,0)&lt;=7,12,19-MATCH($Q49,MonthList,0))/12)</f>
        <v>0</v>
      </c>
      <c r="U49" s="21" t="s">
        <v>59</v>
      </c>
      <c r="V49" s="21"/>
      <c r="W49" s="24" t="n">
        <f aca="false">IF(AND($U49="Yes",$G49&lt;&gt;"Vendor day rates"),$J49-0.4*$I49,0)</f>
        <v>0</v>
      </c>
      <c r="X49" s="24" t="n">
        <f aca="false">IF(OR($U49&lt;&gt;"Yes",$V49=""),0,$W49*MAX(0,7-MATCH($V49,MonthList,0))/12)</f>
        <v>0</v>
      </c>
      <c r="Y49" s="24" t="n">
        <f aca="false">IF(OR($U49&lt;&gt;"Yes",$V49=""),0,$W49*IF(MATCH($V49,MonthList,0)&lt;=7,12,19-MATCH($V49,MonthList,0))/12)</f>
        <v>0</v>
      </c>
    </row>
    <row r="50" customFormat="false" ht="15" hidden="false" customHeight="true" outlineLevel="0" collapsed="false">
      <c r="B50" s="18" t="s">
        <v>151</v>
      </c>
      <c r="C50" s="18" t="s">
        <v>152</v>
      </c>
      <c r="D50" s="18" t="s">
        <v>30</v>
      </c>
      <c r="E50" s="18" t="s">
        <v>148</v>
      </c>
      <c r="F50" s="19" t="s">
        <v>57</v>
      </c>
      <c r="G50" s="19" t="s">
        <v>145</v>
      </c>
      <c r="H50" s="19" t="n">
        <v>1</v>
      </c>
      <c r="I50" s="20" t="n">
        <v>0.333</v>
      </c>
      <c r="J50" s="20" t="n">
        <v>0.333</v>
      </c>
      <c r="K50" s="21" t="s">
        <v>59</v>
      </c>
      <c r="L50" s="21"/>
      <c r="M50" s="20" t="n">
        <f aca="false">IF(AND($K50="Yes",$G50&lt;&gt;"Vendor day rates"),$J50-0.4*$I50,0)</f>
        <v>0</v>
      </c>
      <c r="N50" s="20" t="n">
        <f aca="false">IF(OR($K50&lt;&gt;"Yes",$L50=""),0,$M50*MAX(0,7-MATCH($L50,MonthList,0))/12)</f>
        <v>0</v>
      </c>
      <c r="O50" s="20" t="n">
        <f aca="false">IF(OR($K50&lt;&gt;"Yes",$L50=""),0,$M50*IF(MATCH($L50,MonthList,0)&lt;=7,12,19-MATCH($L50,MonthList,0))/12)</f>
        <v>0</v>
      </c>
      <c r="P50" s="21" t="s">
        <v>59</v>
      </c>
      <c r="Q50" s="21"/>
      <c r="R50" s="20" t="n">
        <f aca="false">IF(AND($P50="Yes",$G50&lt;&gt;"Vendor day rates"),$J50-0.4*$I50,0)</f>
        <v>0</v>
      </c>
      <c r="S50" s="20" t="n">
        <f aca="false">IF(OR($P50&lt;&gt;"Yes",$Q50=""),0,$R50*MAX(0,7-MATCH($Q50,MonthList,0))/12)</f>
        <v>0</v>
      </c>
      <c r="T50" s="20" t="n">
        <f aca="false">IF(OR($P50&lt;&gt;"Yes",$Q50=""),0,$R50*IF(MATCH($Q50,MonthList,0)&lt;=7,12,19-MATCH($Q50,MonthList,0))/12)</f>
        <v>0</v>
      </c>
      <c r="U50" s="21" t="s">
        <v>59</v>
      </c>
      <c r="V50" s="21"/>
      <c r="W50" s="20" t="n">
        <f aca="false">IF(AND($U50="Yes",$G50&lt;&gt;"Vendor day rates"),$J50-0.4*$I50,0)</f>
        <v>0</v>
      </c>
      <c r="X50" s="20" t="n">
        <f aca="false">IF(OR($U50&lt;&gt;"Yes",$V50=""),0,$W50*MAX(0,7-MATCH($V50,MonthList,0))/12)</f>
        <v>0</v>
      </c>
      <c r="Y50" s="20" t="n">
        <f aca="false">IF(OR($U50&lt;&gt;"Yes",$V50=""),0,$W50*IF(MATCH($V50,MonthList,0)&lt;=7,12,19-MATCH($V50,MonthList,0))/12)</f>
        <v>0</v>
      </c>
    </row>
    <row r="51" customFormat="false" ht="15" hidden="false" customHeight="true" outlineLevel="0" collapsed="false">
      <c r="B51" s="22" t="s">
        <v>153</v>
      </c>
      <c r="C51" s="22" t="s">
        <v>154</v>
      </c>
      <c r="D51" s="22" t="s">
        <v>28</v>
      </c>
      <c r="E51" s="22" t="s">
        <v>148</v>
      </c>
      <c r="F51" s="23" t="s">
        <v>57</v>
      </c>
      <c r="G51" s="23" t="s">
        <v>58</v>
      </c>
      <c r="H51" s="23" t="n">
        <v>1</v>
      </c>
      <c r="I51" s="24" t="n">
        <v>0.3642</v>
      </c>
      <c r="J51" s="24" t="n">
        <v>0.3642</v>
      </c>
      <c r="K51" s="21" t="s">
        <v>59</v>
      </c>
      <c r="L51" s="21"/>
      <c r="M51" s="24" t="n">
        <f aca="false">IF(AND($K51="Yes",$G51&lt;&gt;"Vendor day rates"),$J51-0.4*$I51,0)</f>
        <v>0</v>
      </c>
      <c r="N51" s="24" t="n">
        <f aca="false">IF(OR($K51&lt;&gt;"Yes",$L51=""),0,$M51*MAX(0,7-MATCH($L51,MonthList,0))/12)</f>
        <v>0</v>
      </c>
      <c r="O51" s="24" t="n">
        <f aca="false">IF(OR($K51&lt;&gt;"Yes",$L51=""),0,$M51*IF(MATCH($L51,MonthList,0)&lt;=7,12,19-MATCH($L51,MonthList,0))/12)</f>
        <v>0</v>
      </c>
      <c r="P51" s="21" t="s">
        <v>59</v>
      </c>
      <c r="Q51" s="21"/>
      <c r="R51" s="24" t="n">
        <f aca="false">IF(AND($P51="Yes",$G51&lt;&gt;"Vendor day rates"),$J51-0.4*$I51,0)</f>
        <v>0</v>
      </c>
      <c r="S51" s="24" t="n">
        <f aca="false">IF(OR($P51&lt;&gt;"Yes",$Q51=""),0,$R51*MAX(0,7-MATCH($Q51,MonthList,0))/12)</f>
        <v>0</v>
      </c>
      <c r="T51" s="24" t="n">
        <f aca="false">IF(OR($P51&lt;&gt;"Yes",$Q51=""),0,$R51*IF(MATCH($Q51,MonthList,0)&lt;=7,12,19-MATCH($Q51,MonthList,0))/12)</f>
        <v>0</v>
      </c>
      <c r="U51" s="21" t="s">
        <v>59</v>
      </c>
      <c r="V51" s="21"/>
      <c r="W51" s="24" t="n">
        <f aca="false">IF(AND($U51="Yes",$G51&lt;&gt;"Vendor day rates"),$J51-0.4*$I51,0)</f>
        <v>0</v>
      </c>
      <c r="X51" s="24" t="n">
        <f aca="false">IF(OR($U51&lt;&gt;"Yes",$V51=""),0,$W51*MAX(0,7-MATCH($V51,MonthList,0))/12)</f>
        <v>0</v>
      </c>
      <c r="Y51" s="24" t="n">
        <f aca="false">IF(OR($U51&lt;&gt;"Yes",$V51=""),0,$W51*IF(MATCH($V51,MonthList,0)&lt;=7,12,19-MATCH($V51,MonthList,0))/12)</f>
        <v>0</v>
      </c>
    </row>
    <row r="52" customFormat="false" ht="15" hidden="false" customHeight="true" outlineLevel="0" collapsed="false">
      <c r="B52" s="18" t="s">
        <v>155</v>
      </c>
      <c r="C52" s="18" t="s">
        <v>156</v>
      </c>
      <c r="D52" s="18" t="s">
        <v>26</v>
      </c>
      <c r="E52" s="18" t="s">
        <v>157</v>
      </c>
      <c r="F52" s="19" t="s">
        <v>57</v>
      </c>
      <c r="G52" s="19" t="s">
        <v>58</v>
      </c>
      <c r="H52" s="19" t="n">
        <v>1</v>
      </c>
      <c r="I52" s="20" t="n">
        <v>0.3826</v>
      </c>
      <c r="J52" s="20" t="n">
        <v>0.3826</v>
      </c>
      <c r="K52" s="21" t="s">
        <v>59</v>
      </c>
      <c r="L52" s="21"/>
      <c r="M52" s="20" t="n">
        <f aca="false">IF(AND($K52="Yes",$G52&lt;&gt;"Vendor day rates"),$J52-0.4*$I52,0)</f>
        <v>0</v>
      </c>
      <c r="N52" s="20" t="n">
        <f aca="false">IF(OR($K52&lt;&gt;"Yes",$L52=""),0,$M52*MAX(0,7-MATCH($L52,MonthList,0))/12)</f>
        <v>0</v>
      </c>
      <c r="O52" s="20" t="n">
        <f aca="false">IF(OR($K52&lt;&gt;"Yes",$L52=""),0,$M52*IF(MATCH($L52,MonthList,0)&lt;=7,12,19-MATCH($L52,MonthList,0))/12)</f>
        <v>0</v>
      </c>
      <c r="P52" s="21" t="s">
        <v>59</v>
      </c>
      <c r="Q52" s="21"/>
      <c r="R52" s="20" t="n">
        <f aca="false">IF(AND($P52="Yes",$G52&lt;&gt;"Vendor day rates"),$J52-0.4*$I52,0)</f>
        <v>0</v>
      </c>
      <c r="S52" s="20" t="n">
        <f aca="false">IF(OR($P52&lt;&gt;"Yes",$Q52=""),0,$R52*MAX(0,7-MATCH($Q52,MonthList,0))/12)</f>
        <v>0</v>
      </c>
      <c r="T52" s="20" t="n">
        <f aca="false">IF(OR($P52&lt;&gt;"Yes",$Q52=""),0,$R52*IF(MATCH($Q52,MonthList,0)&lt;=7,12,19-MATCH($Q52,MonthList,0))/12)</f>
        <v>0</v>
      </c>
      <c r="U52" s="21" t="s">
        <v>59</v>
      </c>
      <c r="V52" s="21"/>
      <c r="W52" s="20" t="n">
        <f aca="false">IF(AND($U52="Yes",$G52&lt;&gt;"Vendor day rates"),$J52-0.4*$I52,0)</f>
        <v>0</v>
      </c>
      <c r="X52" s="20" t="n">
        <f aca="false">IF(OR($U52&lt;&gt;"Yes",$V52=""),0,$W52*MAX(0,7-MATCH($V52,MonthList,0))/12)</f>
        <v>0</v>
      </c>
      <c r="Y52" s="20" t="n">
        <f aca="false">IF(OR($U52&lt;&gt;"Yes",$V52=""),0,$W52*IF(MATCH($V52,MonthList,0)&lt;=7,12,19-MATCH($V52,MonthList,0))/12)</f>
        <v>0</v>
      </c>
    </row>
    <row r="53" customFormat="false" ht="15" hidden="false" customHeight="true" outlineLevel="0" collapsed="false">
      <c r="B53" s="22" t="s">
        <v>158</v>
      </c>
      <c r="C53" s="22" t="s">
        <v>159</v>
      </c>
      <c r="D53" s="22" t="s">
        <v>26</v>
      </c>
      <c r="E53" s="22" t="s">
        <v>160</v>
      </c>
      <c r="F53" s="23" t="s">
        <v>57</v>
      </c>
      <c r="G53" s="23" t="s">
        <v>58</v>
      </c>
      <c r="H53" s="23" t="n">
        <v>1</v>
      </c>
      <c r="I53" s="24" t="n">
        <v>0.4007</v>
      </c>
      <c r="J53" s="24" t="n">
        <v>0.4007</v>
      </c>
      <c r="K53" s="21" t="s">
        <v>59</v>
      </c>
      <c r="L53" s="21"/>
      <c r="M53" s="24" t="n">
        <f aca="false">IF(AND($K53="Yes",$G53&lt;&gt;"Vendor day rates"),$J53-0.4*$I53,0)</f>
        <v>0</v>
      </c>
      <c r="N53" s="24" t="n">
        <f aca="false">IF(OR($K53&lt;&gt;"Yes",$L53=""),0,$M53*MAX(0,7-MATCH($L53,MonthList,0))/12)</f>
        <v>0</v>
      </c>
      <c r="O53" s="24" t="n">
        <f aca="false">IF(OR($K53&lt;&gt;"Yes",$L53=""),0,$M53*IF(MATCH($L53,MonthList,0)&lt;=7,12,19-MATCH($L53,MonthList,0))/12)</f>
        <v>0</v>
      </c>
      <c r="P53" s="21" t="s">
        <v>59</v>
      </c>
      <c r="Q53" s="21"/>
      <c r="R53" s="24" t="n">
        <f aca="false">IF(AND($P53="Yes",$G53&lt;&gt;"Vendor day rates"),$J53-0.4*$I53,0)</f>
        <v>0</v>
      </c>
      <c r="S53" s="24" t="n">
        <f aca="false">IF(OR($P53&lt;&gt;"Yes",$Q53=""),0,$R53*MAX(0,7-MATCH($Q53,MonthList,0))/12)</f>
        <v>0</v>
      </c>
      <c r="T53" s="24" t="n">
        <f aca="false">IF(OR($P53&lt;&gt;"Yes",$Q53=""),0,$R53*IF(MATCH($Q53,MonthList,0)&lt;=7,12,19-MATCH($Q53,MonthList,0))/12)</f>
        <v>0</v>
      </c>
      <c r="U53" s="21" t="s">
        <v>59</v>
      </c>
      <c r="V53" s="21"/>
      <c r="W53" s="24" t="n">
        <f aca="false">IF(AND($U53="Yes",$G53&lt;&gt;"Vendor day rates"),$J53-0.4*$I53,0)</f>
        <v>0</v>
      </c>
      <c r="X53" s="24" t="n">
        <f aca="false">IF(OR($U53&lt;&gt;"Yes",$V53=""),0,$W53*MAX(0,7-MATCH($V53,MonthList,0))/12)</f>
        <v>0</v>
      </c>
      <c r="Y53" s="24" t="n">
        <f aca="false">IF(OR($U53&lt;&gt;"Yes",$V53=""),0,$W53*IF(MATCH($V53,MonthList,0)&lt;=7,12,19-MATCH($V53,MonthList,0))/12)</f>
        <v>0</v>
      </c>
    </row>
    <row r="54" customFormat="false" ht="15" hidden="false" customHeight="true" outlineLevel="0" collapsed="false">
      <c r="B54" s="18" t="s">
        <v>161</v>
      </c>
      <c r="C54" s="18" t="s">
        <v>162</v>
      </c>
      <c r="D54" s="18" t="s">
        <v>21</v>
      </c>
      <c r="E54" s="18" t="s">
        <v>21</v>
      </c>
      <c r="F54" s="19" t="s">
        <v>57</v>
      </c>
      <c r="G54" s="19" t="s">
        <v>58</v>
      </c>
      <c r="H54" s="19" t="n">
        <v>1</v>
      </c>
      <c r="I54" s="20" t="n">
        <v>0.3255</v>
      </c>
      <c r="J54" s="20" t="n">
        <v>0.3255</v>
      </c>
      <c r="K54" s="21" t="s">
        <v>59</v>
      </c>
      <c r="L54" s="21"/>
      <c r="M54" s="20" t="n">
        <f aca="false">IF(AND($K54="Yes",$G54&lt;&gt;"Vendor day rates"),$J54-0.4*$I54,0)</f>
        <v>0</v>
      </c>
      <c r="N54" s="20" t="n">
        <f aca="false">IF(OR($K54&lt;&gt;"Yes",$L54=""),0,$M54*MAX(0,7-MATCH($L54,MonthList,0))/12)</f>
        <v>0</v>
      </c>
      <c r="O54" s="20" t="n">
        <f aca="false">IF(OR($K54&lt;&gt;"Yes",$L54=""),0,$M54*IF(MATCH($L54,MonthList,0)&lt;=7,12,19-MATCH($L54,MonthList,0))/12)</f>
        <v>0</v>
      </c>
      <c r="P54" s="21" t="s">
        <v>59</v>
      </c>
      <c r="Q54" s="21"/>
      <c r="R54" s="20" t="n">
        <f aca="false">IF(AND($P54="Yes",$G54&lt;&gt;"Vendor day rates"),$J54-0.4*$I54,0)</f>
        <v>0</v>
      </c>
      <c r="S54" s="20" t="n">
        <f aca="false">IF(OR($P54&lt;&gt;"Yes",$Q54=""),0,$R54*MAX(0,7-MATCH($Q54,MonthList,0))/12)</f>
        <v>0</v>
      </c>
      <c r="T54" s="20" t="n">
        <f aca="false">IF(OR($P54&lt;&gt;"Yes",$Q54=""),0,$R54*IF(MATCH($Q54,MonthList,0)&lt;=7,12,19-MATCH($Q54,MonthList,0))/12)</f>
        <v>0</v>
      </c>
      <c r="U54" s="21" t="s">
        <v>59</v>
      </c>
      <c r="V54" s="21"/>
      <c r="W54" s="20" t="n">
        <f aca="false">IF(AND($U54="Yes",$G54&lt;&gt;"Vendor day rates"),$J54-0.4*$I54,0)</f>
        <v>0</v>
      </c>
      <c r="X54" s="20" t="n">
        <f aca="false">IF(OR($U54&lt;&gt;"Yes",$V54=""),0,$W54*MAX(0,7-MATCH($V54,MonthList,0))/12)</f>
        <v>0</v>
      </c>
      <c r="Y54" s="20" t="n">
        <f aca="false">IF(OR($U54&lt;&gt;"Yes",$V54=""),0,$W54*IF(MATCH($V54,MonthList,0)&lt;=7,12,19-MATCH($V54,MonthList,0))/12)</f>
        <v>0</v>
      </c>
    </row>
    <row r="55" customFormat="false" ht="15" hidden="false" customHeight="true" outlineLevel="0" collapsed="false">
      <c r="B55" s="22" t="s">
        <v>163</v>
      </c>
      <c r="C55" s="22" t="s">
        <v>164</v>
      </c>
      <c r="D55" s="22" t="s">
        <v>23</v>
      </c>
      <c r="E55" s="22" t="s">
        <v>165</v>
      </c>
      <c r="F55" s="23" t="s">
        <v>109</v>
      </c>
      <c r="G55" s="23" t="s">
        <v>58</v>
      </c>
      <c r="H55" s="23" t="n">
        <v>1</v>
      </c>
      <c r="I55" s="24" t="n">
        <v>0.3209</v>
      </c>
      <c r="J55" s="24" t="n">
        <v>0.3209</v>
      </c>
      <c r="K55" s="21" t="s">
        <v>59</v>
      </c>
      <c r="L55" s="21"/>
      <c r="M55" s="24" t="n">
        <f aca="false">IF(AND($K55="Yes",$G55&lt;&gt;"Vendor day rates"),$J55-0.4*$I55,0)</f>
        <v>0</v>
      </c>
      <c r="N55" s="24" t="n">
        <f aca="false">IF(OR($K55&lt;&gt;"Yes",$L55=""),0,$M55*MAX(0,7-MATCH($L55,MonthList,0))/12)</f>
        <v>0</v>
      </c>
      <c r="O55" s="24" t="n">
        <f aca="false">IF(OR($K55&lt;&gt;"Yes",$L55=""),0,$M55*IF(MATCH($L55,MonthList,0)&lt;=7,12,19-MATCH($L55,MonthList,0))/12)</f>
        <v>0</v>
      </c>
      <c r="P55" s="21" t="s">
        <v>59</v>
      </c>
      <c r="Q55" s="21"/>
      <c r="R55" s="24" t="n">
        <f aca="false">IF(AND($P55="Yes",$G55&lt;&gt;"Vendor day rates"),$J55-0.4*$I55,0)</f>
        <v>0</v>
      </c>
      <c r="S55" s="24" t="n">
        <f aca="false">IF(OR($P55&lt;&gt;"Yes",$Q55=""),0,$R55*MAX(0,7-MATCH($Q55,MonthList,0))/12)</f>
        <v>0</v>
      </c>
      <c r="T55" s="24" t="n">
        <f aca="false">IF(OR($P55&lt;&gt;"Yes",$Q55=""),0,$R55*IF(MATCH($Q55,MonthList,0)&lt;=7,12,19-MATCH($Q55,MonthList,0))/12)</f>
        <v>0</v>
      </c>
      <c r="U55" s="21" t="s">
        <v>59</v>
      </c>
      <c r="V55" s="21"/>
      <c r="W55" s="24" t="n">
        <f aca="false">IF(AND($U55="Yes",$G55&lt;&gt;"Vendor day rates"),$J55-0.4*$I55,0)</f>
        <v>0</v>
      </c>
      <c r="X55" s="24" t="n">
        <f aca="false">IF(OR($U55&lt;&gt;"Yes",$V55=""),0,$W55*MAX(0,7-MATCH($V55,MonthList,0))/12)</f>
        <v>0</v>
      </c>
      <c r="Y55" s="24" t="n">
        <f aca="false">IF(OR($U55&lt;&gt;"Yes",$V55=""),0,$W55*IF(MATCH($V55,MonthList,0)&lt;=7,12,19-MATCH($V55,MonthList,0))/12)</f>
        <v>0</v>
      </c>
    </row>
    <row r="56" customFormat="false" ht="15" hidden="false" customHeight="true" outlineLevel="0" collapsed="false">
      <c r="B56" s="18" t="s">
        <v>166</v>
      </c>
      <c r="C56" s="18" t="s">
        <v>167</v>
      </c>
      <c r="D56" s="18"/>
      <c r="E56" s="18" t="s">
        <v>168</v>
      </c>
      <c r="F56" s="19" t="s">
        <v>57</v>
      </c>
      <c r="G56" s="19" t="s">
        <v>58</v>
      </c>
      <c r="H56" s="19" t="n">
        <v>1</v>
      </c>
      <c r="I56" s="20" t="n">
        <v>0.3891</v>
      </c>
      <c r="J56" s="20" t="n">
        <v>0.3891</v>
      </c>
      <c r="K56" s="21" t="s">
        <v>59</v>
      </c>
      <c r="L56" s="21"/>
      <c r="M56" s="20" t="n">
        <f aca="false">IF(AND($K56="Yes",$G56&lt;&gt;"Vendor day rates"),$J56-0.4*$I56,0)</f>
        <v>0</v>
      </c>
      <c r="N56" s="20" t="n">
        <f aca="false">IF(OR($K56&lt;&gt;"Yes",$L56=""),0,$M56*MAX(0,7-MATCH($L56,MonthList,0))/12)</f>
        <v>0</v>
      </c>
      <c r="O56" s="20" t="n">
        <f aca="false">IF(OR($K56&lt;&gt;"Yes",$L56=""),0,$M56*IF(MATCH($L56,MonthList,0)&lt;=7,12,19-MATCH($L56,MonthList,0))/12)</f>
        <v>0</v>
      </c>
      <c r="P56" s="21" t="s">
        <v>59</v>
      </c>
      <c r="Q56" s="21"/>
      <c r="R56" s="20" t="n">
        <f aca="false">IF(AND($P56="Yes",$G56&lt;&gt;"Vendor day rates"),$J56-0.4*$I56,0)</f>
        <v>0</v>
      </c>
      <c r="S56" s="20" t="n">
        <f aca="false">IF(OR($P56&lt;&gt;"Yes",$Q56=""),0,$R56*MAX(0,7-MATCH($Q56,MonthList,0))/12)</f>
        <v>0</v>
      </c>
      <c r="T56" s="20" t="n">
        <f aca="false">IF(OR($P56&lt;&gt;"Yes",$Q56=""),0,$R56*IF(MATCH($Q56,MonthList,0)&lt;=7,12,19-MATCH($Q56,MonthList,0))/12)</f>
        <v>0</v>
      </c>
      <c r="U56" s="21" t="s">
        <v>59</v>
      </c>
      <c r="V56" s="21"/>
      <c r="W56" s="20" t="n">
        <f aca="false">IF(AND($U56="Yes",$G56&lt;&gt;"Vendor day rates"),$J56-0.4*$I56,0)</f>
        <v>0</v>
      </c>
      <c r="X56" s="20" t="n">
        <f aca="false">IF(OR($U56&lt;&gt;"Yes",$V56=""),0,$W56*MAX(0,7-MATCH($V56,MonthList,0))/12)</f>
        <v>0</v>
      </c>
      <c r="Y56" s="20" t="n">
        <f aca="false">IF(OR($U56&lt;&gt;"Yes",$V56=""),0,$W56*IF(MATCH($V56,MonthList,0)&lt;=7,12,19-MATCH($V56,MonthList,0))/12)</f>
        <v>0</v>
      </c>
    </row>
    <row r="57" customFormat="false" ht="15" hidden="false" customHeight="true" outlineLevel="0" collapsed="false">
      <c r="B57" s="22" t="s">
        <v>169</v>
      </c>
      <c r="C57" s="22" t="s">
        <v>170</v>
      </c>
      <c r="D57" s="22" t="s">
        <v>23</v>
      </c>
      <c r="E57" s="22" t="s">
        <v>148</v>
      </c>
      <c r="F57" s="23" t="s">
        <v>57</v>
      </c>
      <c r="G57" s="23" t="s">
        <v>58</v>
      </c>
      <c r="H57" s="23" t="n">
        <v>1</v>
      </c>
      <c r="I57" s="24" t="n">
        <v>0.4098</v>
      </c>
      <c r="J57" s="24" t="n">
        <v>0.4098</v>
      </c>
      <c r="K57" s="21" t="s">
        <v>59</v>
      </c>
      <c r="L57" s="21"/>
      <c r="M57" s="24" t="n">
        <f aca="false">IF(AND($K57="Yes",$G57&lt;&gt;"Vendor day rates"),$J57-0.4*$I57,0)</f>
        <v>0</v>
      </c>
      <c r="N57" s="24" t="n">
        <f aca="false">IF(OR($K57&lt;&gt;"Yes",$L57=""),0,$M57*MAX(0,7-MATCH($L57,MonthList,0))/12)</f>
        <v>0</v>
      </c>
      <c r="O57" s="24" t="n">
        <f aca="false">IF(OR($K57&lt;&gt;"Yes",$L57=""),0,$M57*IF(MATCH($L57,MonthList,0)&lt;=7,12,19-MATCH($L57,MonthList,0))/12)</f>
        <v>0</v>
      </c>
      <c r="P57" s="21" t="s">
        <v>59</v>
      </c>
      <c r="Q57" s="21"/>
      <c r="R57" s="24" t="n">
        <f aca="false">IF(AND($P57="Yes",$G57&lt;&gt;"Vendor day rates"),$J57-0.4*$I57,0)</f>
        <v>0</v>
      </c>
      <c r="S57" s="24" t="n">
        <f aca="false">IF(OR($P57&lt;&gt;"Yes",$Q57=""),0,$R57*MAX(0,7-MATCH($Q57,MonthList,0))/12)</f>
        <v>0</v>
      </c>
      <c r="T57" s="24" t="n">
        <f aca="false">IF(OR($P57&lt;&gt;"Yes",$Q57=""),0,$R57*IF(MATCH($Q57,MonthList,0)&lt;=7,12,19-MATCH($Q57,MonthList,0))/12)</f>
        <v>0</v>
      </c>
      <c r="U57" s="21" t="s">
        <v>59</v>
      </c>
      <c r="V57" s="21"/>
      <c r="W57" s="24" t="n">
        <f aca="false">IF(AND($U57="Yes",$G57&lt;&gt;"Vendor day rates"),$J57-0.4*$I57,0)</f>
        <v>0</v>
      </c>
      <c r="X57" s="24" t="n">
        <f aca="false">IF(OR($U57&lt;&gt;"Yes",$V57=""),0,$W57*MAX(0,7-MATCH($V57,MonthList,0))/12)</f>
        <v>0</v>
      </c>
      <c r="Y57" s="24" t="n">
        <f aca="false">IF(OR($U57&lt;&gt;"Yes",$V57=""),0,$W57*IF(MATCH($V57,MonthList,0)&lt;=7,12,19-MATCH($V57,MonthList,0))/12)</f>
        <v>0</v>
      </c>
    </row>
    <row r="58" customFormat="false" ht="15" hidden="false" customHeight="true" outlineLevel="0" collapsed="false">
      <c r="B58" s="18" t="s">
        <v>171</v>
      </c>
      <c r="C58" s="18" t="s">
        <v>172</v>
      </c>
      <c r="D58" s="18"/>
      <c r="E58" s="18" t="s">
        <v>173</v>
      </c>
      <c r="F58" s="19" t="s">
        <v>57</v>
      </c>
      <c r="G58" s="19" t="s">
        <v>58</v>
      </c>
      <c r="H58" s="19" t="n">
        <v>1</v>
      </c>
      <c r="I58" s="20" t="n">
        <v>0.3691</v>
      </c>
      <c r="J58" s="20" t="n">
        <v>0.3691</v>
      </c>
      <c r="K58" s="21" t="s">
        <v>59</v>
      </c>
      <c r="L58" s="21"/>
      <c r="M58" s="20" t="n">
        <f aca="false">IF(AND($K58="Yes",$G58&lt;&gt;"Vendor day rates"),$J58-0.4*$I58,0)</f>
        <v>0</v>
      </c>
      <c r="N58" s="20" t="n">
        <f aca="false">IF(OR($K58&lt;&gt;"Yes",$L58=""),0,$M58*MAX(0,7-MATCH($L58,MonthList,0))/12)</f>
        <v>0</v>
      </c>
      <c r="O58" s="20" t="n">
        <f aca="false">IF(OR($K58&lt;&gt;"Yes",$L58=""),0,$M58*IF(MATCH($L58,MonthList,0)&lt;=7,12,19-MATCH($L58,MonthList,0))/12)</f>
        <v>0</v>
      </c>
      <c r="P58" s="21" t="s">
        <v>59</v>
      </c>
      <c r="Q58" s="21"/>
      <c r="R58" s="20" t="n">
        <f aca="false">IF(AND($P58="Yes",$G58&lt;&gt;"Vendor day rates"),$J58-0.4*$I58,0)</f>
        <v>0</v>
      </c>
      <c r="S58" s="20" t="n">
        <f aca="false">IF(OR($P58&lt;&gt;"Yes",$Q58=""),0,$R58*MAX(0,7-MATCH($Q58,MonthList,0))/12)</f>
        <v>0</v>
      </c>
      <c r="T58" s="20" t="n">
        <f aca="false">IF(OR($P58&lt;&gt;"Yes",$Q58=""),0,$R58*IF(MATCH($Q58,MonthList,0)&lt;=7,12,19-MATCH($Q58,MonthList,0))/12)</f>
        <v>0</v>
      </c>
      <c r="U58" s="21" t="s">
        <v>59</v>
      </c>
      <c r="V58" s="21"/>
      <c r="W58" s="20" t="n">
        <f aca="false">IF(AND($U58="Yes",$G58&lt;&gt;"Vendor day rates"),$J58-0.4*$I58,0)</f>
        <v>0</v>
      </c>
      <c r="X58" s="20" t="n">
        <f aca="false">IF(OR($U58&lt;&gt;"Yes",$V58=""),0,$W58*MAX(0,7-MATCH($V58,MonthList,0))/12)</f>
        <v>0</v>
      </c>
      <c r="Y58" s="20" t="n">
        <f aca="false">IF(OR($U58&lt;&gt;"Yes",$V58=""),0,$W58*IF(MATCH($V58,MonthList,0)&lt;=7,12,19-MATCH($V58,MonthList,0))/12)</f>
        <v>0</v>
      </c>
    </row>
    <row r="59" customFormat="false" ht="15" hidden="false" customHeight="true" outlineLevel="0" collapsed="false">
      <c r="B59" s="22" t="s">
        <v>174</v>
      </c>
      <c r="C59" s="22" t="s">
        <v>175</v>
      </c>
      <c r="D59" s="22"/>
      <c r="E59" s="22" t="s">
        <v>173</v>
      </c>
      <c r="F59" s="23" t="s">
        <v>57</v>
      </c>
      <c r="G59" s="23" t="s">
        <v>145</v>
      </c>
      <c r="H59" s="23" t="n">
        <v>1</v>
      </c>
      <c r="I59" s="24" t="n">
        <v>0.335</v>
      </c>
      <c r="J59" s="24" t="n">
        <v>0.335</v>
      </c>
      <c r="K59" s="21" t="s">
        <v>59</v>
      </c>
      <c r="L59" s="21"/>
      <c r="M59" s="24" t="n">
        <f aca="false">IF(AND($K59="Yes",$G59&lt;&gt;"Vendor day rates"),$J59-0.4*$I59,0)</f>
        <v>0</v>
      </c>
      <c r="N59" s="24" t="n">
        <f aca="false">IF(OR($K59&lt;&gt;"Yes",$L59=""),0,$M59*MAX(0,7-MATCH($L59,MonthList,0))/12)</f>
        <v>0</v>
      </c>
      <c r="O59" s="24" t="n">
        <f aca="false">IF(OR($K59&lt;&gt;"Yes",$L59=""),0,$M59*IF(MATCH($L59,MonthList,0)&lt;=7,12,19-MATCH($L59,MonthList,0))/12)</f>
        <v>0</v>
      </c>
      <c r="P59" s="21" t="s">
        <v>59</v>
      </c>
      <c r="Q59" s="21"/>
      <c r="R59" s="24" t="n">
        <f aca="false">IF(AND($P59="Yes",$G59&lt;&gt;"Vendor day rates"),$J59-0.4*$I59,0)</f>
        <v>0</v>
      </c>
      <c r="S59" s="24" t="n">
        <f aca="false">IF(OR($P59&lt;&gt;"Yes",$Q59=""),0,$R59*MAX(0,7-MATCH($Q59,MonthList,0))/12)</f>
        <v>0</v>
      </c>
      <c r="T59" s="24" t="n">
        <f aca="false">IF(OR($P59&lt;&gt;"Yes",$Q59=""),0,$R59*IF(MATCH($Q59,MonthList,0)&lt;=7,12,19-MATCH($Q59,MonthList,0))/12)</f>
        <v>0</v>
      </c>
      <c r="U59" s="21" t="s">
        <v>59</v>
      </c>
      <c r="V59" s="21"/>
      <c r="W59" s="24" t="n">
        <f aca="false">IF(AND($U59="Yes",$G59&lt;&gt;"Vendor day rates"),$J59-0.4*$I59,0)</f>
        <v>0</v>
      </c>
      <c r="X59" s="24" t="n">
        <f aca="false">IF(OR($U59&lt;&gt;"Yes",$V59=""),0,$W59*MAX(0,7-MATCH($V59,MonthList,0))/12)</f>
        <v>0</v>
      </c>
      <c r="Y59" s="24" t="n">
        <f aca="false">IF(OR($U59&lt;&gt;"Yes",$V59=""),0,$W59*IF(MATCH($V59,MonthList,0)&lt;=7,12,19-MATCH($V59,MonthList,0))/12)</f>
        <v>0</v>
      </c>
    </row>
    <row r="60" customFormat="false" ht="15" hidden="false" customHeight="true" outlineLevel="0" collapsed="false">
      <c r="B60" s="18" t="s">
        <v>176</v>
      </c>
      <c r="C60" s="18" t="s">
        <v>177</v>
      </c>
      <c r="D60" s="18"/>
      <c r="E60" s="18" t="s">
        <v>173</v>
      </c>
      <c r="F60" s="19" t="s">
        <v>57</v>
      </c>
      <c r="G60" s="19" t="s">
        <v>145</v>
      </c>
      <c r="H60" s="19" t="n">
        <v>1</v>
      </c>
      <c r="I60" s="20" t="n">
        <v>0.333</v>
      </c>
      <c r="J60" s="20" t="n">
        <v>0.333</v>
      </c>
      <c r="K60" s="21" t="s">
        <v>59</v>
      </c>
      <c r="L60" s="21"/>
      <c r="M60" s="20" t="n">
        <f aca="false">IF(AND($K60="Yes",$G60&lt;&gt;"Vendor day rates"),$J60-0.4*$I60,0)</f>
        <v>0</v>
      </c>
      <c r="N60" s="20" t="n">
        <f aca="false">IF(OR($K60&lt;&gt;"Yes",$L60=""),0,$M60*MAX(0,7-MATCH($L60,MonthList,0))/12)</f>
        <v>0</v>
      </c>
      <c r="O60" s="20" t="n">
        <f aca="false">IF(OR($K60&lt;&gt;"Yes",$L60=""),0,$M60*IF(MATCH($L60,MonthList,0)&lt;=7,12,19-MATCH($L60,MonthList,0))/12)</f>
        <v>0</v>
      </c>
      <c r="P60" s="21" t="s">
        <v>59</v>
      </c>
      <c r="Q60" s="21"/>
      <c r="R60" s="20" t="n">
        <f aca="false">IF(AND($P60="Yes",$G60&lt;&gt;"Vendor day rates"),$J60-0.4*$I60,0)</f>
        <v>0</v>
      </c>
      <c r="S60" s="20" t="n">
        <f aca="false">IF(OR($P60&lt;&gt;"Yes",$Q60=""),0,$R60*MAX(0,7-MATCH($Q60,MonthList,0))/12)</f>
        <v>0</v>
      </c>
      <c r="T60" s="20" t="n">
        <f aca="false">IF(OR($P60&lt;&gt;"Yes",$Q60=""),0,$R60*IF(MATCH($Q60,MonthList,0)&lt;=7,12,19-MATCH($Q60,MonthList,0))/12)</f>
        <v>0</v>
      </c>
      <c r="U60" s="21" t="s">
        <v>59</v>
      </c>
      <c r="V60" s="21"/>
      <c r="W60" s="20" t="n">
        <f aca="false">IF(AND($U60="Yes",$G60&lt;&gt;"Vendor day rates"),$J60-0.4*$I60,0)</f>
        <v>0</v>
      </c>
      <c r="X60" s="20" t="n">
        <f aca="false">IF(OR($U60&lt;&gt;"Yes",$V60=""),0,$W60*MAX(0,7-MATCH($V60,MonthList,0))/12)</f>
        <v>0</v>
      </c>
      <c r="Y60" s="20" t="n">
        <f aca="false">IF(OR($U60&lt;&gt;"Yes",$V60=""),0,$W60*IF(MATCH($V60,MonthList,0)&lt;=7,12,19-MATCH($V60,MonthList,0))/12)</f>
        <v>0</v>
      </c>
    </row>
    <row r="61" customFormat="false" ht="15" hidden="false" customHeight="true" outlineLevel="0" collapsed="false">
      <c r="B61" s="22" t="s">
        <v>178</v>
      </c>
      <c r="C61" s="22" t="s">
        <v>179</v>
      </c>
      <c r="D61" s="22" t="s">
        <v>26</v>
      </c>
      <c r="E61" s="22" t="s">
        <v>180</v>
      </c>
      <c r="F61" s="23" t="s">
        <v>57</v>
      </c>
      <c r="G61" s="23" t="s">
        <v>58</v>
      </c>
      <c r="H61" s="23" t="n">
        <v>1</v>
      </c>
      <c r="I61" s="24" t="n">
        <v>0.2972</v>
      </c>
      <c r="J61" s="24" t="n">
        <v>0.2972</v>
      </c>
      <c r="K61" s="21" t="s">
        <v>59</v>
      </c>
      <c r="L61" s="21"/>
      <c r="M61" s="24" t="n">
        <f aca="false">IF(AND($K61="Yes",$G61&lt;&gt;"Vendor day rates"),$J61-0.4*$I61,0)</f>
        <v>0</v>
      </c>
      <c r="N61" s="24" t="n">
        <f aca="false">IF(OR($K61&lt;&gt;"Yes",$L61=""),0,$M61*MAX(0,7-MATCH($L61,MonthList,0))/12)</f>
        <v>0</v>
      </c>
      <c r="O61" s="24" t="n">
        <f aca="false">IF(OR($K61&lt;&gt;"Yes",$L61=""),0,$M61*IF(MATCH($L61,MonthList,0)&lt;=7,12,19-MATCH($L61,MonthList,0))/12)</f>
        <v>0</v>
      </c>
      <c r="P61" s="21" t="s">
        <v>59</v>
      </c>
      <c r="Q61" s="21"/>
      <c r="R61" s="24" t="n">
        <f aca="false">IF(AND($P61="Yes",$G61&lt;&gt;"Vendor day rates"),$J61-0.4*$I61,0)</f>
        <v>0</v>
      </c>
      <c r="S61" s="24" t="n">
        <f aca="false">IF(OR($P61&lt;&gt;"Yes",$Q61=""),0,$R61*MAX(0,7-MATCH($Q61,MonthList,0))/12)</f>
        <v>0</v>
      </c>
      <c r="T61" s="24" t="n">
        <f aca="false">IF(OR($P61&lt;&gt;"Yes",$Q61=""),0,$R61*IF(MATCH($Q61,MonthList,0)&lt;=7,12,19-MATCH($Q61,MonthList,0))/12)</f>
        <v>0</v>
      </c>
      <c r="U61" s="21" t="s">
        <v>59</v>
      </c>
      <c r="V61" s="21"/>
      <c r="W61" s="24" t="n">
        <f aca="false">IF(AND($U61="Yes",$G61&lt;&gt;"Vendor day rates"),$J61-0.4*$I61,0)</f>
        <v>0</v>
      </c>
      <c r="X61" s="24" t="n">
        <f aca="false">IF(OR($U61&lt;&gt;"Yes",$V61=""),0,$W61*MAX(0,7-MATCH($V61,MonthList,0))/12)</f>
        <v>0</v>
      </c>
      <c r="Y61" s="24" t="n">
        <f aca="false">IF(OR($U61&lt;&gt;"Yes",$V61=""),0,$W61*IF(MATCH($V61,MonthList,0)&lt;=7,12,19-MATCH($V61,MonthList,0))/12)</f>
        <v>0</v>
      </c>
    </row>
    <row r="62" customFormat="false" ht="15" hidden="false" customHeight="true" outlineLevel="0" collapsed="false">
      <c r="B62" s="18" t="s">
        <v>181</v>
      </c>
      <c r="C62" s="18" t="s">
        <v>182</v>
      </c>
      <c r="D62" s="18" t="s">
        <v>26</v>
      </c>
      <c r="E62" s="18" t="s">
        <v>180</v>
      </c>
      <c r="F62" s="19" t="s">
        <v>57</v>
      </c>
      <c r="G62" s="19" t="s">
        <v>58</v>
      </c>
      <c r="H62" s="19" t="n">
        <v>1</v>
      </c>
      <c r="I62" s="20" t="n">
        <v>0.6661</v>
      </c>
      <c r="J62" s="20" t="n">
        <v>0.6661</v>
      </c>
      <c r="K62" s="21" t="s">
        <v>59</v>
      </c>
      <c r="L62" s="21"/>
      <c r="M62" s="20" t="n">
        <f aca="false">IF(AND($K62="Yes",$G62&lt;&gt;"Vendor day rates"),$J62-0.4*$I62,0)</f>
        <v>0</v>
      </c>
      <c r="N62" s="20" t="n">
        <f aca="false">IF(OR($K62&lt;&gt;"Yes",$L62=""),0,$M62*MAX(0,7-MATCH($L62,MonthList,0))/12)</f>
        <v>0</v>
      </c>
      <c r="O62" s="20" t="n">
        <f aca="false">IF(OR($K62&lt;&gt;"Yes",$L62=""),0,$M62*IF(MATCH($L62,MonthList,0)&lt;=7,12,19-MATCH($L62,MonthList,0))/12)</f>
        <v>0</v>
      </c>
      <c r="P62" s="21" t="s">
        <v>59</v>
      </c>
      <c r="Q62" s="21"/>
      <c r="R62" s="20" t="n">
        <f aca="false">IF(AND($P62="Yes",$G62&lt;&gt;"Vendor day rates"),$J62-0.4*$I62,0)</f>
        <v>0</v>
      </c>
      <c r="S62" s="20" t="n">
        <f aca="false">IF(OR($P62&lt;&gt;"Yes",$Q62=""),0,$R62*MAX(0,7-MATCH($Q62,MonthList,0))/12)</f>
        <v>0</v>
      </c>
      <c r="T62" s="20" t="n">
        <f aca="false">IF(OR($P62&lt;&gt;"Yes",$Q62=""),0,$R62*IF(MATCH($Q62,MonthList,0)&lt;=7,12,19-MATCH($Q62,MonthList,0))/12)</f>
        <v>0</v>
      </c>
      <c r="U62" s="21" t="s">
        <v>59</v>
      </c>
      <c r="V62" s="21"/>
      <c r="W62" s="20" t="n">
        <f aca="false">IF(AND($U62="Yes",$G62&lt;&gt;"Vendor day rates"),$J62-0.4*$I62,0)</f>
        <v>0</v>
      </c>
      <c r="X62" s="20" t="n">
        <f aca="false">IF(OR($U62&lt;&gt;"Yes",$V62=""),0,$W62*MAX(0,7-MATCH($V62,MonthList,0))/12)</f>
        <v>0</v>
      </c>
      <c r="Y62" s="20" t="n">
        <f aca="false">IF(OR($U62&lt;&gt;"Yes",$V62=""),0,$W62*IF(MATCH($V62,MonthList,0)&lt;=7,12,19-MATCH($V62,MonthList,0))/12)</f>
        <v>0</v>
      </c>
    </row>
    <row r="63" customFormat="false" ht="15" hidden="false" customHeight="true" outlineLevel="0" collapsed="false">
      <c r="B63" s="22" t="s">
        <v>183</v>
      </c>
      <c r="C63" s="22" t="s">
        <v>184</v>
      </c>
      <c r="D63" s="22" t="s">
        <v>26</v>
      </c>
      <c r="E63" s="22" t="s">
        <v>180</v>
      </c>
      <c r="F63" s="23" t="s">
        <v>109</v>
      </c>
      <c r="G63" s="23" t="s">
        <v>58</v>
      </c>
      <c r="H63" s="23" t="n">
        <v>1</v>
      </c>
      <c r="I63" s="24" t="n">
        <v>0.2914</v>
      </c>
      <c r="J63" s="24" t="n">
        <v>0.2914</v>
      </c>
      <c r="K63" s="21" t="s">
        <v>59</v>
      </c>
      <c r="L63" s="21"/>
      <c r="M63" s="24" t="n">
        <f aca="false">IF(AND($K63="Yes",$G63&lt;&gt;"Vendor day rates"),$J63-0.4*$I63,0)</f>
        <v>0</v>
      </c>
      <c r="N63" s="24" t="n">
        <f aca="false">IF(OR($K63&lt;&gt;"Yes",$L63=""),0,$M63*MAX(0,7-MATCH($L63,MonthList,0))/12)</f>
        <v>0</v>
      </c>
      <c r="O63" s="24" t="n">
        <f aca="false">IF(OR($K63&lt;&gt;"Yes",$L63=""),0,$M63*IF(MATCH($L63,MonthList,0)&lt;=7,12,19-MATCH($L63,MonthList,0))/12)</f>
        <v>0</v>
      </c>
      <c r="P63" s="21" t="s">
        <v>59</v>
      </c>
      <c r="Q63" s="21"/>
      <c r="R63" s="24" t="n">
        <f aca="false">IF(AND($P63="Yes",$G63&lt;&gt;"Vendor day rates"),$J63-0.4*$I63,0)</f>
        <v>0</v>
      </c>
      <c r="S63" s="24" t="n">
        <f aca="false">IF(OR($P63&lt;&gt;"Yes",$Q63=""),0,$R63*MAX(0,7-MATCH($Q63,MonthList,0))/12)</f>
        <v>0</v>
      </c>
      <c r="T63" s="24" t="n">
        <f aca="false">IF(OR($P63&lt;&gt;"Yes",$Q63=""),0,$R63*IF(MATCH($Q63,MonthList,0)&lt;=7,12,19-MATCH($Q63,MonthList,0))/12)</f>
        <v>0</v>
      </c>
      <c r="U63" s="21" t="s">
        <v>59</v>
      </c>
      <c r="V63" s="21"/>
      <c r="W63" s="24" t="n">
        <f aca="false">IF(AND($U63="Yes",$G63&lt;&gt;"Vendor day rates"),$J63-0.4*$I63,0)</f>
        <v>0</v>
      </c>
      <c r="X63" s="24" t="n">
        <f aca="false">IF(OR($U63&lt;&gt;"Yes",$V63=""),0,$W63*MAX(0,7-MATCH($V63,MonthList,0))/12)</f>
        <v>0</v>
      </c>
      <c r="Y63" s="24" t="n">
        <f aca="false">IF(OR($U63&lt;&gt;"Yes",$V63=""),0,$W63*IF(MATCH($V63,MonthList,0)&lt;=7,12,19-MATCH($V63,MonthList,0))/12)</f>
        <v>0</v>
      </c>
    </row>
    <row r="64" customFormat="false" ht="15" hidden="false" customHeight="true" outlineLevel="0" collapsed="false">
      <c r="B64" s="18" t="s">
        <v>185</v>
      </c>
      <c r="C64" s="18" t="s">
        <v>186</v>
      </c>
      <c r="D64" s="18" t="s">
        <v>26</v>
      </c>
      <c r="E64" s="18" t="s">
        <v>180</v>
      </c>
      <c r="F64" s="19" t="s">
        <v>57</v>
      </c>
      <c r="G64" s="19" t="s">
        <v>58</v>
      </c>
      <c r="H64" s="19" t="n">
        <v>1</v>
      </c>
      <c r="I64" s="20" t="n">
        <v>0.4174</v>
      </c>
      <c r="J64" s="20" t="n">
        <v>0.4174</v>
      </c>
      <c r="K64" s="21" t="s">
        <v>59</v>
      </c>
      <c r="L64" s="21"/>
      <c r="M64" s="20" t="n">
        <f aca="false">IF(AND($K64="Yes",$G64&lt;&gt;"Vendor day rates"),$J64-0.4*$I64,0)</f>
        <v>0</v>
      </c>
      <c r="N64" s="20" t="n">
        <f aca="false">IF(OR($K64&lt;&gt;"Yes",$L64=""),0,$M64*MAX(0,7-MATCH($L64,MonthList,0))/12)</f>
        <v>0</v>
      </c>
      <c r="O64" s="20" t="n">
        <f aca="false">IF(OR($K64&lt;&gt;"Yes",$L64=""),0,$M64*IF(MATCH($L64,MonthList,0)&lt;=7,12,19-MATCH($L64,MonthList,0))/12)</f>
        <v>0</v>
      </c>
      <c r="P64" s="21" t="s">
        <v>59</v>
      </c>
      <c r="Q64" s="21"/>
      <c r="R64" s="20" t="n">
        <f aca="false">IF(AND($P64="Yes",$G64&lt;&gt;"Vendor day rates"),$J64-0.4*$I64,0)</f>
        <v>0</v>
      </c>
      <c r="S64" s="20" t="n">
        <f aca="false">IF(OR($P64&lt;&gt;"Yes",$Q64=""),0,$R64*MAX(0,7-MATCH($Q64,MonthList,0))/12)</f>
        <v>0</v>
      </c>
      <c r="T64" s="20" t="n">
        <f aca="false">IF(OR($P64&lt;&gt;"Yes",$Q64=""),0,$R64*IF(MATCH($Q64,MonthList,0)&lt;=7,12,19-MATCH($Q64,MonthList,0))/12)</f>
        <v>0</v>
      </c>
      <c r="U64" s="21" t="s">
        <v>59</v>
      </c>
      <c r="V64" s="21"/>
      <c r="W64" s="20" t="n">
        <f aca="false">IF(AND($U64="Yes",$G64&lt;&gt;"Vendor day rates"),$J64-0.4*$I64,0)</f>
        <v>0</v>
      </c>
      <c r="X64" s="20" t="n">
        <f aca="false">IF(OR($U64&lt;&gt;"Yes",$V64=""),0,$W64*MAX(0,7-MATCH($V64,MonthList,0))/12)</f>
        <v>0</v>
      </c>
      <c r="Y64" s="20" t="n">
        <f aca="false">IF(OR($U64&lt;&gt;"Yes",$V64=""),0,$W64*IF(MATCH($V64,MonthList,0)&lt;=7,12,19-MATCH($V64,MonthList,0))/12)</f>
        <v>0</v>
      </c>
    </row>
    <row r="65" customFormat="false" ht="15" hidden="false" customHeight="true" outlineLevel="0" collapsed="false">
      <c r="B65" s="22" t="s">
        <v>187</v>
      </c>
      <c r="C65" s="22" t="s">
        <v>188</v>
      </c>
      <c r="D65" s="22" t="s">
        <v>26</v>
      </c>
      <c r="E65" s="22" t="s">
        <v>180</v>
      </c>
      <c r="F65" s="23" t="s">
        <v>57</v>
      </c>
      <c r="G65" s="23" t="s">
        <v>58</v>
      </c>
      <c r="H65" s="23" t="n">
        <v>1</v>
      </c>
      <c r="I65" s="24" t="n">
        <v>0.3434</v>
      </c>
      <c r="J65" s="24" t="n">
        <v>0.3434</v>
      </c>
      <c r="K65" s="21" t="s">
        <v>59</v>
      </c>
      <c r="L65" s="21"/>
      <c r="M65" s="24" t="n">
        <f aca="false">IF(AND($K65="Yes",$G65&lt;&gt;"Vendor day rates"),$J65-0.4*$I65,0)</f>
        <v>0</v>
      </c>
      <c r="N65" s="24" t="n">
        <f aca="false">IF(OR($K65&lt;&gt;"Yes",$L65=""),0,$M65*MAX(0,7-MATCH($L65,MonthList,0))/12)</f>
        <v>0</v>
      </c>
      <c r="O65" s="24" t="n">
        <f aca="false">IF(OR($K65&lt;&gt;"Yes",$L65=""),0,$M65*IF(MATCH($L65,MonthList,0)&lt;=7,12,19-MATCH($L65,MonthList,0))/12)</f>
        <v>0</v>
      </c>
      <c r="P65" s="21" t="s">
        <v>59</v>
      </c>
      <c r="Q65" s="21"/>
      <c r="R65" s="24" t="n">
        <f aca="false">IF(AND($P65="Yes",$G65&lt;&gt;"Vendor day rates"),$J65-0.4*$I65,0)</f>
        <v>0</v>
      </c>
      <c r="S65" s="24" t="n">
        <f aca="false">IF(OR($P65&lt;&gt;"Yes",$Q65=""),0,$R65*MAX(0,7-MATCH($Q65,MonthList,0))/12)</f>
        <v>0</v>
      </c>
      <c r="T65" s="24" t="n">
        <f aca="false">IF(OR($P65&lt;&gt;"Yes",$Q65=""),0,$R65*IF(MATCH($Q65,MonthList,0)&lt;=7,12,19-MATCH($Q65,MonthList,0))/12)</f>
        <v>0</v>
      </c>
      <c r="U65" s="21" t="s">
        <v>59</v>
      </c>
      <c r="V65" s="21"/>
      <c r="W65" s="24" t="n">
        <f aca="false">IF(AND($U65="Yes",$G65&lt;&gt;"Vendor day rates"),$J65-0.4*$I65,0)</f>
        <v>0</v>
      </c>
      <c r="X65" s="24" t="n">
        <f aca="false">IF(OR($U65&lt;&gt;"Yes",$V65=""),0,$W65*MAX(0,7-MATCH($V65,MonthList,0))/12)</f>
        <v>0</v>
      </c>
      <c r="Y65" s="24" t="n">
        <f aca="false">IF(OR($U65&lt;&gt;"Yes",$V65=""),0,$W65*IF(MATCH($V65,MonthList,0)&lt;=7,12,19-MATCH($V65,MonthList,0))/12)</f>
        <v>0</v>
      </c>
    </row>
    <row r="66" customFormat="false" ht="15" hidden="false" customHeight="true" outlineLevel="0" collapsed="false">
      <c r="B66" s="18" t="s">
        <v>189</v>
      </c>
      <c r="C66" s="18" t="s">
        <v>190</v>
      </c>
      <c r="D66" s="18" t="s">
        <v>26</v>
      </c>
      <c r="E66" s="18" t="s">
        <v>191</v>
      </c>
      <c r="F66" s="19" t="s">
        <v>57</v>
      </c>
      <c r="G66" s="19" t="s">
        <v>58</v>
      </c>
      <c r="H66" s="19" t="n">
        <v>1</v>
      </c>
      <c r="I66" s="20" t="n">
        <v>0.3679</v>
      </c>
      <c r="J66" s="20" t="n">
        <v>0.3679</v>
      </c>
      <c r="K66" s="21" t="s">
        <v>59</v>
      </c>
      <c r="L66" s="21"/>
      <c r="M66" s="20" t="n">
        <f aca="false">IF(AND($K66="Yes",$G66&lt;&gt;"Vendor day rates"),$J66-0.4*$I66,0)</f>
        <v>0</v>
      </c>
      <c r="N66" s="20" t="n">
        <f aca="false">IF(OR($K66&lt;&gt;"Yes",$L66=""),0,$M66*MAX(0,7-MATCH($L66,MonthList,0))/12)</f>
        <v>0</v>
      </c>
      <c r="O66" s="20" t="n">
        <f aca="false">IF(OR($K66&lt;&gt;"Yes",$L66=""),0,$M66*IF(MATCH($L66,MonthList,0)&lt;=7,12,19-MATCH($L66,MonthList,0))/12)</f>
        <v>0</v>
      </c>
      <c r="P66" s="21" t="s">
        <v>59</v>
      </c>
      <c r="Q66" s="21"/>
      <c r="R66" s="20" t="n">
        <f aca="false">IF(AND($P66="Yes",$G66&lt;&gt;"Vendor day rates"),$J66-0.4*$I66,0)</f>
        <v>0</v>
      </c>
      <c r="S66" s="20" t="n">
        <f aca="false">IF(OR($P66&lt;&gt;"Yes",$Q66=""),0,$R66*MAX(0,7-MATCH($Q66,MonthList,0))/12)</f>
        <v>0</v>
      </c>
      <c r="T66" s="20" t="n">
        <f aca="false">IF(OR($P66&lt;&gt;"Yes",$Q66=""),0,$R66*IF(MATCH($Q66,MonthList,0)&lt;=7,12,19-MATCH($Q66,MonthList,0))/12)</f>
        <v>0</v>
      </c>
      <c r="U66" s="21" t="s">
        <v>59</v>
      </c>
      <c r="V66" s="21"/>
      <c r="W66" s="20" t="n">
        <f aca="false">IF(AND($U66="Yes",$G66&lt;&gt;"Vendor day rates"),$J66-0.4*$I66,0)</f>
        <v>0</v>
      </c>
      <c r="X66" s="20" t="n">
        <f aca="false">IF(OR($U66&lt;&gt;"Yes",$V66=""),0,$W66*MAX(0,7-MATCH($V66,MonthList,0))/12)</f>
        <v>0</v>
      </c>
      <c r="Y66" s="20" t="n">
        <f aca="false">IF(OR($U66&lt;&gt;"Yes",$V66=""),0,$W66*IF(MATCH($V66,MonthList,0)&lt;=7,12,19-MATCH($V66,MonthList,0))/12)</f>
        <v>0</v>
      </c>
    </row>
    <row r="67" customFormat="false" ht="15" hidden="false" customHeight="true" outlineLevel="0" collapsed="false">
      <c r="B67" s="22" t="s">
        <v>192</v>
      </c>
      <c r="C67" s="22" t="s">
        <v>193</v>
      </c>
      <c r="D67" s="22" t="s">
        <v>25</v>
      </c>
      <c r="E67" s="22" t="s">
        <v>148</v>
      </c>
      <c r="F67" s="23" t="s">
        <v>57</v>
      </c>
      <c r="G67" s="23" t="s">
        <v>58</v>
      </c>
      <c r="H67" s="23" t="n">
        <v>1</v>
      </c>
      <c r="I67" s="24" t="n">
        <v>0.3636</v>
      </c>
      <c r="J67" s="24" t="n">
        <v>0.3636</v>
      </c>
      <c r="K67" s="21" t="s">
        <v>59</v>
      </c>
      <c r="L67" s="21"/>
      <c r="M67" s="24" t="n">
        <f aca="false">IF(AND($K67="Yes",$G67&lt;&gt;"Vendor day rates"),$J67-0.4*$I67,0)</f>
        <v>0</v>
      </c>
      <c r="N67" s="24" t="n">
        <f aca="false">IF(OR($K67&lt;&gt;"Yes",$L67=""),0,$M67*MAX(0,7-MATCH($L67,MonthList,0))/12)</f>
        <v>0</v>
      </c>
      <c r="O67" s="24" t="n">
        <f aca="false">IF(OR($K67&lt;&gt;"Yes",$L67=""),0,$M67*IF(MATCH($L67,MonthList,0)&lt;=7,12,19-MATCH($L67,MonthList,0))/12)</f>
        <v>0</v>
      </c>
      <c r="P67" s="21" t="s">
        <v>59</v>
      </c>
      <c r="Q67" s="21"/>
      <c r="R67" s="24" t="n">
        <f aca="false">IF(AND($P67="Yes",$G67&lt;&gt;"Vendor day rates"),$J67-0.4*$I67,0)</f>
        <v>0</v>
      </c>
      <c r="S67" s="24" t="n">
        <f aca="false">IF(OR($P67&lt;&gt;"Yes",$Q67=""),0,$R67*MAX(0,7-MATCH($Q67,MonthList,0))/12)</f>
        <v>0</v>
      </c>
      <c r="T67" s="24" t="n">
        <f aca="false">IF(OR($P67&lt;&gt;"Yes",$Q67=""),0,$R67*IF(MATCH($Q67,MonthList,0)&lt;=7,12,19-MATCH($Q67,MonthList,0))/12)</f>
        <v>0</v>
      </c>
      <c r="U67" s="21" t="s">
        <v>59</v>
      </c>
      <c r="V67" s="21"/>
      <c r="W67" s="24" t="n">
        <f aca="false">IF(AND($U67="Yes",$G67&lt;&gt;"Vendor day rates"),$J67-0.4*$I67,0)</f>
        <v>0</v>
      </c>
      <c r="X67" s="24" t="n">
        <f aca="false">IF(OR($U67&lt;&gt;"Yes",$V67=""),0,$W67*MAX(0,7-MATCH($V67,MonthList,0))/12)</f>
        <v>0</v>
      </c>
      <c r="Y67" s="24" t="n">
        <f aca="false">IF(OR($U67&lt;&gt;"Yes",$V67=""),0,$W67*IF(MATCH($V67,MonthList,0)&lt;=7,12,19-MATCH($V67,MonthList,0))/12)</f>
        <v>0</v>
      </c>
    </row>
    <row r="68" customFormat="false" ht="15" hidden="false" customHeight="true" outlineLevel="0" collapsed="false">
      <c r="B68" s="18" t="s">
        <v>194</v>
      </c>
      <c r="C68" s="18" t="s">
        <v>195</v>
      </c>
      <c r="D68" s="18" t="s">
        <v>20</v>
      </c>
      <c r="E68" s="18" t="s">
        <v>148</v>
      </c>
      <c r="F68" s="19" t="s">
        <v>109</v>
      </c>
      <c r="G68" s="19" t="s">
        <v>58</v>
      </c>
      <c r="H68" s="19" t="n">
        <v>1</v>
      </c>
      <c r="I68" s="20" t="n">
        <v>0.2924</v>
      </c>
      <c r="J68" s="20" t="n">
        <v>0.2924</v>
      </c>
      <c r="K68" s="21" t="s">
        <v>59</v>
      </c>
      <c r="L68" s="21"/>
      <c r="M68" s="20" t="n">
        <f aca="false">IF(AND($K68="Yes",$G68&lt;&gt;"Vendor day rates"),$J68-0.4*$I68,0)</f>
        <v>0</v>
      </c>
      <c r="N68" s="20" t="n">
        <f aca="false">IF(OR($K68&lt;&gt;"Yes",$L68=""),0,$M68*MAX(0,7-MATCH($L68,MonthList,0))/12)</f>
        <v>0</v>
      </c>
      <c r="O68" s="20" t="n">
        <f aca="false">IF(OR($K68&lt;&gt;"Yes",$L68=""),0,$M68*IF(MATCH($L68,MonthList,0)&lt;=7,12,19-MATCH($L68,MonthList,0))/12)</f>
        <v>0</v>
      </c>
      <c r="P68" s="21" t="s">
        <v>59</v>
      </c>
      <c r="Q68" s="21"/>
      <c r="R68" s="20" t="n">
        <f aca="false">IF(AND($P68="Yes",$G68&lt;&gt;"Vendor day rates"),$J68-0.4*$I68,0)</f>
        <v>0</v>
      </c>
      <c r="S68" s="20" t="n">
        <f aca="false">IF(OR($P68&lt;&gt;"Yes",$Q68=""),0,$R68*MAX(0,7-MATCH($Q68,MonthList,0))/12)</f>
        <v>0</v>
      </c>
      <c r="T68" s="20" t="n">
        <f aca="false">IF(OR($P68&lt;&gt;"Yes",$Q68=""),0,$R68*IF(MATCH($Q68,MonthList,0)&lt;=7,12,19-MATCH($Q68,MonthList,0))/12)</f>
        <v>0</v>
      </c>
      <c r="U68" s="21" t="s">
        <v>59</v>
      </c>
      <c r="V68" s="21"/>
      <c r="W68" s="20" t="n">
        <f aca="false">IF(AND($U68="Yes",$G68&lt;&gt;"Vendor day rates"),$J68-0.4*$I68,0)</f>
        <v>0</v>
      </c>
      <c r="X68" s="20" t="n">
        <f aca="false">IF(OR($U68&lt;&gt;"Yes",$V68=""),0,$W68*MAX(0,7-MATCH($V68,MonthList,0))/12)</f>
        <v>0</v>
      </c>
      <c r="Y68" s="20" t="n">
        <f aca="false">IF(OR($U68&lt;&gt;"Yes",$V68=""),0,$W68*IF(MATCH($V68,MonthList,0)&lt;=7,12,19-MATCH($V68,MonthList,0))/12)</f>
        <v>0</v>
      </c>
    </row>
    <row r="69" customFormat="false" ht="15" hidden="false" customHeight="true" outlineLevel="0" collapsed="false">
      <c r="B69" s="22" t="s">
        <v>196</v>
      </c>
      <c r="C69" s="22" t="s">
        <v>197</v>
      </c>
      <c r="D69" s="22" t="s">
        <v>19</v>
      </c>
      <c r="E69" s="22" t="s">
        <v>148</v>
      </c>
      <c r="F69" s="23" t="s">
        <v>109</v>
      </c>
      <c r="G69" s="23" t="s">
        <v>58</v>
      </c>
      <c r="H69" s="23" t="n">
        <v>1</v>
      </c>
      <c r="I69" s="24" t="n">
        <v>0.2738</v>
      </c>
      <c r="J69" s="24" t="n">
        <v>0.2738</v>
      </c>
      <c r="K69" s="21" t="s">
        <v>59</v>
      </c>
      <c r="L69" s="21"/>
      <c r="M69" s="24" t="n">
        <f aca="false">IF(AND($K69="Yes",$G69&lt;&gt;"Vendor day rates"),$J69-0.4*$I69,0)</f>
        <v>0</v>
      </c>
      <c r="N69" s="24" t="n">
        <f aca="false">IF(OR($K69&lt;&gt;"Yes",$L69=""),0,$M69*MAX(0,7-MATCH($L69,MonthList,0))/12)</f>
        <v>0</v>
      </c>
      <c r="O69" s="24" t="n">
        <f aca="false">IF(OR($K69&lt;&gt;"Yes",$L69=""),0,$M69*IF(MATCH($L69,MonthList,0)&lt;=7,12,19-MATCH($L69,MonthList,0))/12)</f>
        <v>0</v>
      </c>
      <c r="P69" s="21" t="s">
        <v>59</v>
      </c>
      <c r="Q69" s="21"/>
      <c r="R69" s="24" t="n">
        <f aca="false">IF(AND($P69="Yes",$G69&lt;&gt;"Vendor day rates"),$J69-0.4*$I69,0)</f>
        <v>0</v>
      </c>
      <c r="S69" s="24" t="n">
        <f aca="false">IF(OR($P69&lt;&gt;"Yes",$Q69=""),0,$R69*MAX(0,7-MATCH($Q69,MonthList,0))/12)</f>
        <v>0</v>
      </c>
      <c r="T69" s="24" t="n">
        <f aca="false">IF(OR($P69&lt;&gt;"Yes",$Q69=""),0,$R69*IF(MATCH($Q69,MonthList,0)&lt;=7,12,19-MATCH($Q69,MonthList,0))/12)</f>
        <v>0</v>
      </c>
      <c r="U69" s="21" t="s">
        <v>59</v>
      </c>
      <c r="V69" s="21"/>
      <c r="W69" s="24" t="n">
        <f aca="false">IF(AND($U69="Yes",$G69&lt;&gt;"Vendor day rates"),$J69-0.4*$I69,0)</f>
        <v>0</v>
      </c>
      <c r="X69" s="24" t="n">
        <f aca="false">IF(OR($U69&lt;&gt;"Yes",$V69=""),0,$W69*MAX(0,7-MATCH($V69,MonthList,0))/12)</f>
        <v>0</v>
      </c>
      <c r="Y69" s="24" t="n">
        <f aca="false">IF(OR($U69&lt;&gt;"Yes",$V69=""),0,$W69*IF(MATCH($V69,MonthList,0)&lt;=7,12,19-MATCH($V69,MonthList,0))/12)</f>
        <v>0</v>
      </c>
    </row>
    <row r="70" customFormat="false" ht="15" hidden="false" customHeight="true" outlineLevel="0" collapsed="false">
      <c r="B70" s="18" t="s">
        <v>198</v>
      </c>
      <c r="C70" s="18" t="s">
        <v>199</v>
      </c>
      <c r="D70" s="18"/>
      <c r="E70" s="18" t="s">
        <v>168</v>
      </c>
      <c r="F70" s="19" t="s">
        <v>57</v>
      </c>
      <c r="G70" s="19" t="s">
        <v>145</v>
      </c>
      <c r="H70" s="19" t="n">
        <v>1</v>
      </c>
      <c r="I70" s="20" t="n">
        <v>0.3896</v>
      </c>
      <c r="J70" s="20" t="n">
        <v>0.1948</v>
      </c>
      <c r="K70" s="21" t="s">
        <v>59</v>
      </c>
      <c r="L70" s="21"/>
      <c r="M70" s="20" t="n">
        <f aca="false">IF(AND($K70="Yes",$G70&lt;&gt;"Vendor day rates"),$J70-0.4*$I70,0)</f>
        <v>0</v>
      </c>
      <c r="N70" s="20" t="n">
        <f aca="false">IF(OR($K70&lt;&gt;"Yes",$L70=""),0,$M70*MAX(0,7-MATCH($L70,MonthList,0))/12)</f>
        <v>0</v>
      </c>
      <c r="O70" s="20" t="n">
        <f aca="false">IF(OR($K70&lt;&gt;"Yes",$L70=""),0,$M70*IF(MATCH($L70,MonthList,0)&lt;=7,12,19-MATCH($L70,MonthList,0))/12)</f>
        <v>0</v>
      </c>
      <c r="P70" s="21" t="s">
        <v>59</v>
      </c>
      <c r="Q70" s="21"/>
      <c r="R70" s="20" t="n">
        <f aca="false">IF(AND($P70="Yes",$G70&lt;&gt;"Vendor day rates"),$J70-0.4*$I70,0)</f>
        <v>0</v>
      </c>
      <c r="S70" s="20" t="n">
        <f aca="false">IF(OR($P70&lt;&gt;"Yes",$Q70=""),0,$R70*MAX(0,7-MATCH($Q70,MonthList,0))/12)</f>
        <v>0</v>
      </c>
      <c r="T70" s="20" t="n">
        <f aca="false">IF(OR($P70&lt;&gt;"Yes",$Q70=""),0,$R70*IF(MATCH($Q70,MonthList,0)&lt;=7,12,19-MATCH($Q70,MonthList,0))/12)</f>
        <v>0</v>
      </c>
      <c r="U70" s="21" t="s">
        <v>59</v>
      </c>
      <c r="V70" s="21"/>
      <c r="W70" s="20" t="n">
        <f aca="false">IF(AND($U70="Yes",$G70&lt;&gt;"Vendor day rates"),$J70-0.4*$I70,0)</f>
        <v>0</v>
      </c>
      <c r="X70" s="20" t="n">
        <f aca="false">IF(OR($U70&lt;&gt;"Yes",$V70=""),0,$W70*MAX(0,7-MATCH($V70,MonthList,0))/12)</f>
        <v>0</v>
      </c>
      <c r="Y70" s="20" t="n">
        <f aca="false">IF(OR($U70&lt;&gt;"Yes",$V70=""),0,$W70*IF(MATCH($V70,MonthList,0)&lt;=7,12,19-MATCH($V70,MonthList,0))/12)</f>
        <v>0</v>
      </c>
    </row>
    <row r="71" customFormat="false" ht="15" hidden="false" customHeight="true" outlineLevel="0" collapsed="false">
      <c r="B71" s="22" t="s">
        <v>200</v>
      </c>
      <c r="C71" s="22" t="s">
        <v>201</v>
      </c>
      <c r="D71" s="22" t="s">
        <v>29</v>
      </c>
      <c r="E71" s="22" t="s">
        <v>148</v>
      </c>
      <c r="F71" s="23" t="s">
        <v>57</v>
      </c>
      <c r="G71" s="23" t="s">
        <v>58</v>
      </c>
      <c r="H71" s="23" t="n">
        <v>1</v>
      </c>
      <c r="I71" s="24" t="n">
        <v>0.186</v>
      </c>
      <c r="J71" s="24" t="n">
        <v>0.186</v>
      </c>
      <c r="K71" s="21" t="s">
        <v>59</v>
      </c>
      <c r="L71" s="21"/>
      <c r="M71" s="24" t="n">
        <f aca="false">IF(AND($K71="Yes",$G71&lt;&gt;"Vendor day rates"),$J71-0.4*$I71,0)</f>
        <v>0</v>
      </c>
      <c r="N71" s="24" t="n">
        <f aca="false">IF(OR($K71&lt;&gt;"Yes",$L71=""),0,$M71*MAX(0,7-MATCH($L71,MonthList,0))/12)</f>
        <v>0</v>
      </c>
      <c r="O71" s="24" t="n">
        <f aca="false">IF(OR($K71&lt;&gt;"Yes",$L71=""),0,$M71*IF(MATCH($L71,MonthList,0)&lt;=7,12,19-MATCH($L71,MonthList,0))/12)</f>
        <v>0</v>
      </c>
      <c r="P71" s="21" t="s">
        <v>59</v>
      </c>
      <c r="Q71" s="21"/>
      <c r="R71" s="24" t="n">
        <f aca="false">IF(AND($P71="Yes",$G71&lt;&gt;"Vendor day rates"),$J71-0.4*$I71,0)</f>
        <v>0</v>
      </c>
      <c r="S71" s="24" t="n">
        <f aca="false">IF(OR($P71&lt;&gt;"Yes",$Q71=""),0,$R71*MAX(0,7-MATCH($Q71,MonthList,0))/12)</f>
        <v>0</v>
      </c>
      <c r="T71" s="24" t="n">
        <f aca="false">IF(OR($P71&lt;&gt;"Yes",$Q71=""),0,$R71*IF(MATCH($Q71,MonthList,0)&lt;=7,12,19-MATCH($Q71,MonthList,0))/12)</f>
        <v>0</v>
      </c>
      <c r="U71" s="21" t="s">
        <v>59</v>
      </c>
      <c r="V71" s="21"/>
      <c r="W71" s="24" t="n">
        <f aca="false">IF(AND($U71="Yes",$G71&lt;&gt;"Vendor day rates"),$J71-0.4*$I71,0)</f>
        <v>0</v>
      </c>
      <c r="X71" s="24" t="n">
        <f aca="false">IF(OR($U71&lt;&gt;"Yes",$V71=""),0,$W71*MAX(0,7-MATCH($V71,MonthList,0))/12)</f>
        <v>0</v>
      </c>
      <c r="Y71" s="24" t="n">
        <f aca="false">IF(OR($U71&lt;&gt;"Yes",$V71=""),0,$W71*IF(MATCH($V71,MonthList,0)&lt;=7,12,19-MATCH($V71,MonthList,0))/12)</f>
        <v>0</v>
      </c>
    </row>
    <row r="72" customFormat="false" ht="15" hidden="false" customHeight="true" outlineLevel="0" collapsed="false">
      <c r="B72" s="18" t="s">
        <v>202</v>
      </c>
      <c r="C72" s="18" t="s">
        <v>203</v>
      </c>
      <c r="D72" s="18" t="s">
        <v>31</v>
      </c>
      <c r="E72" s="18" t="s">
        <v>148</v>
      </c>
      <c r="F72" s="19" t="s">
        <v>109</v>
      </c>
      <c r="G72" s="19" t="s">
        <v>145</v>
      </c>
      <c r="H72" s="19" t="n">
        <v>1</v>
      </c>
      <c r="I72" s="20" t="n">
        <v>0.2914</v>
      </c>
      <c r="J72" s="20" t="n">
        <v>0.2914</v>
      </c>
      <c r="K72" s="21" t="s">
        <v>59</v>
      </c>
      <c r="L72" s="21"/>
      <c r="M72" s="20" t="n">
        <f aca="false">IF(AND($K72="Yes",$G72&lt;&gt;"Vendor day rates"),$J72-0.4*$I72,0)</f>
        <v>0</v>
      </c>
      <c r="N72" s="20" t="n">
        <f aca="false">IF(OR($K72&lt;&gt;"Yes",$L72=""),0,$M72*MAX(0,7-MATCH($L72,MonthList,0))/12)</f>
        <v>0</v>
      </c>
      <c r="O72" s="20" t="n">
        <f aca="false">IF(OR($K72&lt;&gt;"Yes",$L72=""),0,$M72*IF(MATCH($L72,MonthList,0)&lt;=7,12,19-MATCH($L72,MonthList,0))/12)</f>
        <v>0</v>
      </c>
      <c r="P72" s="21" t="s">
        <v>59</v>
      </c>
      <c r="Q72" s="21"/>
      <c r="R72" s="20" t="n">
        <f aca="false">IF(AND($P72="Yes",$G72&lt;&gt;"Vendor day rates"),$J72-0.4*$I72,0)</f>
        <v>0</v>
      </c>
      <c r="S72" s="20" t="n">
        <f aca="false">IF(OR($P72&lt;&gt;"Yes",$Q72=""),0,$R72*MAX(0,7-MATCH($Q72,MonthList,0))/12)</f>
        <v>0</v>
      </c>
      <c r="T72" s="20" t="n">
        <f aca="false">IF(OR($P72&lt;&gt;"Yes",$Q72=""),0,$R72*IF(MATCH($Q72,MonthList,0)&lt;=7,12,19-MATCH($Q72,MonthList,0))/12)</f>
        <v>0</v>
      </c>
      <c r="U72" s="21" t="s">
        <v>59</v>
      </c>
      <c r="V72" s="21"/>
      <c r="W72" s="20" t="n">
        <f aca="false">IF(AND($U72="Yes",$G72&lt;&gt;"Vendor day rates"),$J72-0.4*$I72,0)</f>
        <v>0</v>
      </c>
      <c r="X72" s="20" t="n">
        <f aca="false">IF(OR($U72&lt;&gt;"Yes",$V72=""),0,$W72*MAX(0,7-MATCH($V72,MonthList,0))/12)</f>
        <v>0</v>
      </c>
      <c r="Y72" s="20" t="n">
        <f aca="false">IF(OR($U72&lt;&gt;"Yes",$V72=""),0,$W72*IF(MATCH($V72,MonthList,0)&lt;=7,12,19-MATCH($V72,MonthList,0))/12)</f>
        <v>0</v>
      </c>
    </row>
    <row r="73" customFormat="false" ht="15" hidden="false" customHeight="true" outlineLevel="0" collapsed="false">
      <c r="B73" s="22" t="s">
        <v>204</v>
      </c>
      <c r="C73" s="22" t="s">
        <v>205</v>
      </c>
      <c r="D73" s="22" t="s">
        <v>32</v>
      </c>
      <c r="E73" s="22" t="s">
        <v>205</v>
      </c>
      <c r="F73" s="23" t="s">
        <v>109</v>
      </c>
      <c r="G73" s="23" t="s">
        <v>58</v>
      </c>
      <c r="H73" s="23" t="n">
        <v>1</v>
      </c>
      <c r="I73" s="24" t="n">
        <v>0.222</v>
      </c>
      <c r="J73" s="24" t="n">
        <v>0.222</v>
      </c>
      <c r="K73" s="21" t="s">
        <v>59</v>
      </c>
      <c r="L73" s="21"/>
      <c r="M73" s="24" t="n">
        <f aca="false">IF(AND($K73="Yes",$G73&lt;&gt;"Vendor day rates"),$J73-0.4*$I73,0)</f>
        <v>0</v>
      </c>
      <c r="N73" s="24" t="n">
        <f aca="false">IF(OR($K73&lt;&gt;"Yes",$L73=""),0,$M73*MAX(0,7-MATCH($L73,MonthList,0))/12)</f>
        <v>0</v>
      </c>
      <c r="O73" s="24" t="n">
        <f aca="false">IF(OR($K73&lt;&gt;"Yes",$L73=""),0,$M73*IF(MATCH($L73,MonthList,0)&lt;=7,12,19-MATCH($L73,MonthList,0))/12)</f>
        <v>0</v>
      </c>
      <c r="P73" s="21" t="s">
        <v>59</v>
      </c>
      <c r="Q73" s="21"/>
      <c r="R73" s="24" t="n">
        <f aca="false">IF(AND($P73="Yes",$G73&lt;&gt;"Vendor day rates"),$J73-0.4*$I73,0)</f>
        <v>0</v>
      </c>
      <c r="S73" s="24" t="n">
        <f aca="false">IF(OR($P73&lt;&gt;"Yes",$Q73=""),0,$R73*MAX(0,7-MATCH($Q73,MonthList,0))/12)</f>
        <v>0</v>
      </c>
      <c r="T73" s="24" t="n">
        <f aca="false">IF(OR($P73&lt;&gt;"Yes",$Q73=""),0,$R73*IF(MATCH($Q73,MonthList,0)&lt;=7,12,19-MATCH($Q73,MonthList,0))/12)</f>
        <v>0</v>
      </c>
      <c r="U73" s="21" t="s">
        <v>59</v>
      </c>
      <c r="V73" s="21"/>
      <c r="W73" s="24" t="n">
        <f aca="false">IF(AND($U73="Yes",$G73&lt;&gt;"Vendor day rates"),$J73-0.4*$I73,0)</f>
        <v>0</v>
      </c>
      <c r="X73" s="24" t="n">
        <f aca="false">IF(OR($U73&lt;&gt;"Yes",$V73=""),0,$W73*MAX(0,7-MATCH($V73,MonthList,0))/12)</f>
        <v>0</v>
      </c>
      <c r="Y73" s="24" t="n">
        <f aca="false">IF(OR($U73&lt;&gt;"Yes",$V73=""),0,$W73*IF(MATCH($V73,MonthList,0)&lt;=7,12,19-MATCH($V73,MonthList,0))/12)</f>
        <v>0</v>
      </c>
    </row>
    <row r="74" customFormat="false" ht="15" hidden="false" customHeight="true" outlineLevel="0" collapsed="false">
      <c r="B74" s="18" t="s">
        <v>206</v>
      </c>
      <c r="C74" s="18" t="s">
        <v>207</v>
      </c>
      <c r="D74" s="18" t="s">
        <v>32</v>
      </c>
      <c r="E74" s="18" t="s">
        <v>165</v>
      </c>
      <c r="F74" s="19" t="s">
        <v>109</v>
      </c>
      <c r="G74" s="19" t="s">
        <v>58</v>
      </c>
      <c r="H74" s="19" t="n">
        <v>1</v>
      </c>
      <c r="I74" s="20" t="n">
        <v>0.2077</v>
      </c>
      <c r="J74" s="20" t="n">
        <v>0.2077</v>
      </c>
      <c r="K74" s="21" t="s">
        <v>59</v>
      </c>
      <c r="L74" s="21"/>
      <c r="M74" s="20" t="n">
        <f aca="false">IF(AND($K74="Yes",$G74&lt;&gt;"Vendor day rates"),$J74-0.4*$I74,0)</f>
        <v>0</v>
      </c>
      <c r="N74" s="20" t="n">
        <f aca="false">IF(OR($K74&lt;&gt;"Yes",$L74=""),0,$M74*MAX(0,7-MATCH($L74,MonthList,0))/12)</f>
        <v>0</v>
      </c>
      <c r="O74" s="20" t="n">
        <f aca="false">IF(OR($K74&lt;&gt;"Yes",$L74=""),0,$M74*IF(MATCH($L74,MonthList,0)&lt;=7,12,19-MATCH($L74,MonthList,0))/12)</f>
        <v>0</v>
      </c>
      <c r="P74" s="21" t="s">
        <v>59</v>
      </c>
      <c r="Q74" s="21"/>
      <c r="R74" s="20" t="n">
        <f aca="false">IF(AND($P74="Yes",$G74&lt;&gt;"Vendor day rates"),$J74-0.4*$I74,0)</f>
        <v>0</v>
      </c>
      <c r="S74" s="20" t="n">
        <f aca="false">IF(OR($P74&lt;&gt;"Yes",$Q74=""),0,$R74*MAX(0,7-MATCH($Q74,MonthList,0))/12)</f>
        <v>0</v>
      </c>
      <c r="T74" s="20" t="n">
        <f aca="false">IF(OR($P74&lt;&gt;"Yes",$Q74=""),0,$R74*IF(MATCH($Q74,MonthList,0)&lt;=7,12,19-MATCH($Q74,MonthList,0))/12)</f>
        <v>0</v>
      </c>
      <c r="U74" s="21" t="s">
        <v>59</v>
      </c>
      <c r="V74" s="21"/>
      <c r="W74" s="20" t="n">
        <f aca="false">IF(AND($U74="Yes",$G74&lt;&gt;"Vendor day rates"),$J74-0.4*$I74,0)</f>
        <v>0</v>
      </c>
      <c r="X74" s="20" t="n">
        <f aca="false">IF(OR($U74&lt;&gt;"Yes",$V74=""),0,$W74*MAX(0,7-MATCH($V74,MonthList,0))/12)</f>
        <v>0</v>
      </c>
      <c r="Y74" s="20" t="n">
        <f aca="false">IF(OR($U74&lt;&gt;"Yes",$V74=""),0,$W74*IF(MATCH($V74,MonthList,0)&lt;=7,12,19-MATCH($V74,MonthList,0))/12)</f>
        <v>0</v>
      </c>
    </row>
    <row r="75" customFormat="false" ht="15" hidden="false" customHeight="true" outlineLevel="0" collapsed="false">
      <c r="B75" s="22" t="s">
        <v>208</v>
      </c>
      <c r="C75" s="22" t="s">
        <v>209</v>
      </c>
      <c r="D75" s="22" t="s">
        <v>32</v>
      </c>
      <c r="E75" s="22" t="s">
        <v>165</v>
      </c>
      <c r="F75" s="23" t="s">
        <v>109</v>
      </c>
      <c r="G75" s="23" t="s">
        <v>58</v>
      </c>
      <c r="H75" s="23" t="n">
        <v>1</v>
      </c>
      <c r="I75" s="24" t="n">
        <v>0.2232</v>
      </c>
      <c r="J75" s="24" t="n">
        <v>0.2232</v>
      </c>
      <c r="K75" s="21" t="s">
        <v>59</v>
      </c>
      <c r="L75" s="21"/>
      <c r="M75" s="24" t="n">
        <f aca="false">IF(AND($K75="Yes",$G75&lt;&gt;"Vendor day rates"),$J75-0.4*$I75,0)</f>
        <v>0</v>
      </c>
      <c r="N75" s="24" t="n">
        <f aca="false">IF(OR($K75&lt;&gt;"Yes",$L75=""),0,$M75*MAX(0,7-MATCH($L75,MonthList,0))/12)</f>
        <v>0</v>
      </c>
      <c r="O75" s="24" t="n">
        <f aca="false">IF(OR($K75&lt;&gt;"Yes",$L75=""),0,$M75*IF(MATCH($L75,MonthList,0)&lt;=7,12,19-MATCH($L75,MonthList,0))/12)</f>
        <v>0</v>
      </c>
      <c r="P75" s="21" t="s">
        <v>59</v>
      </c>
      <c r="Q75" s="21"/>
      <c r="R75" s="24" t="n">
        <f aca="false">IF(AND($P75="Yes",$G75&lt;&gt;"Vendor day rates"),$J75-0.4*$I75,0)</f>
        <v>0</v>
      </c>
      <c r="S75" s="24" t="n">
        <f aca="false">IF(OR($P75&lt;&gt;"Yes",$Q75=""),0,$R75*MAX(0,7-MATCH($Q75,MonthList,0))/12)</f>
        <v>0</v>
      </c>
      <c r="T75" s="24" t="n">
        <f aca="false">IF(OR($P75&lt;&gt;"Yes",$Q75=""),0,$R75*IF(MATCH($Q75,MonthList,0)&lt;=7,12,19-MATCH($Q75,MonthList,0))/12)</f>
        <v>0</v>
      </c>
      <c r="U75" s="21" t="s">
        <v>59</v>
      </c>
      <c r="V75" s="21"/>
      <c r="W75" s="24" t="n">
        <f aca="false">IF(AND($U75="Yes",$G75&lt;&gt;"Vendor day rates"),$J75-0.4*$I75,0)</f>
        <v>0</v>
      </c>
      <c r="X75" s="24" t="n">
        <f aca="false">IF(OR($U75&lt;&gt;"Yes",$V75=""),0,$W75*MAX(0,7-MATCH($V75,MonthList,0))/12)</f>
        <v>0</v>
      </c>
      <c r="Y75" s="24" t="n">
        <f aca="false">IF(OR($U75&lt;&gt;"Yes",$V75=""),0,$W75*IF(MATCH($V75,MonthList,0)&lt;=7,12,19-MATCH($V75,MonthList,0))/12)</f>
        <v>0</v>
      </c>
    </row>
    <row r="76" customFormat="false" ht="15" hidden="false" customHeight="true" outlineLevel="0" collapsed="false">
      <c r="B76" s="18" t="s">
        <v>210</v>
      </c>
      <c r="C76" s="18" t="s">
        <v>211</v>
      </c>
      <c r="D76" s="18" t="s">
        <v>18</v>
      </c>
      <c r="E76" s="18" t="s">
        <v>212</v>
      </c>
      <c r="F76" s="19" t="s">
        <v>57</v>
      </c>
      <c r="G76" s="19" t="s">
        <v>58</v>
      </c>
      <c r="H76" s="19" t="n">
        <v>1</v>
      </c>
      <c r="I76" s="20" t="n">
        <v>0.3397</v>
      </c>
      <c r="J76" s="20" t="n">
        <v>0.3397</v>
      </c>
      <c r="K76" s="21" t="s">
        <v>59</v>
      </c>
      <c r="L76" s="21"/>
      <c r="M76" s="20" t="n">
        <f aca="false">IF(AND($K76="Yes",$G76&lt;&gt;"Vendor day rates"),$J76-0.4*$I76,0)</f>
        <v>0</v>
      </c>
      <c r="N76" s="20" t="n">
        <f aca="false">IF(OR($K76&lt;&gt;"Yes",$L76=""),0,$M76*MAX(0,7-MATCH($L76,MonthList,0))/12)</f>
        <v>0</v>
      </c>
      <c r="O76" s="20" t="n">
        <f aca="false">IF(OR($K76&lt;&gt;"Yes",$L76=""),0,$M76*IF(MATCH($L76,MonthList,0)&lt;=7,12,19-MATCH($L76,MonthList,0))/12)</f>
        <v>0</v>
      </c>
      <c r="P76" s="21" t="s">
        <v>59</v>
      </c>
      <c r="Q76" s="21"/>
      <c r="R76" s="20" t="n">
        <f aca="false">IF(AND($P76="Yes",$G76&lt;&gt;"Vendor day rates"),$J76-0.4*$I76,0)</f>
        <v>0</v>
      </c>
      <c r="S76" s="20" t="n">
        <f aca="false">IF(OR($P76&lt;&gt;"Yes",$Q76=""),0,$R76*MAX(0,7-MATCH($Q76,MonthList,0))/12)</f>
        <v>0</v>
      </c>
      <c r="T76" s="20" t="n">
        <f aca="false">IF(OR($P76&lt;&gt;"Yes",$Q76=""),0,$R76*IF(MATCH($Q76,MonthList,0)&lt;=7,12,19-MATCH($Q76,MonthList,0))/12)</f>
        <v>0</v>
      </c>
      <c r="U76" s="21" t="s">
        <v>59</v>
      </c>
      <c r="V76" s="21"/>
      <c r="W76" s="20" t="n">
        <f aca="false">IF(AND($U76="Yes",$G76&lt;&gt;"Vendor day rates"),$J76-0.4*$I76,0)</f>
        <v>0</v>
      </c>
      <c r="X76" s="20" t="n">
        <f aca="false">IF(OR($U76&lt;&gt;"Yes",$V76=""),0,$W76*MAX(0,7-MATCH($V76,MonthList,0))/12)</f>
        <v>0</v>
      </c>
      <c r="Y76" s="20" t="n">
        <f aca="false">IF(OR($U76&lt;&gt;"Yes",$V76=""),0,$W76*IF(MATCH($V76,MonthList,0)&lt;=7,12,19-MATCH($V76,MonthList,0))/12)</f>
        <v>0</v>
      </c>
    </row>
    <row r="77" customFormat="false" ht="15" hidden="false" customHeight="true" outlineLevel="0" collapsed="false">
      <c r="B77" s="22" t="s">
        <v>213</v>
      </c>
      <c r="C77" s="22" t="s">
        <v>214</v>
      </c>
      <c r="D77" s="22" t="s">
        <v>18</v>
      </c>
      <c r="E77" s="22" t="s">
        <v>56</v>
      </c>
      <c r="F77" s="23" t="s">
        <v>57</v>
      </c>
      <c r="G77" s="23" t="s">
        <v>145</v>
      </c>
      <c r="H77" s="23" t="n">
        <v>1</v>
      </c>
      <c r="I77" s="24" t="n">
        <v>0.3049</v>
      </c>
      <c r="J77" s="24" t="n">
        <v>0.3049</v>
      </c>
      <c r="K77" s="21" t="s">
        <v>59</v>
      </c>
      <c r="L77" s="21"/>
      <c r="M77" s="24" t="n">
        <f aca="false">IF(AND($K77="Yes",$G77&lt;&gt;"Vendor day rates"),$J77-0.4*$I77,0)</f>
        <v>0</v>
      </c>
      <c r="N77" s="24" t="n">
        <f aca="false">IF(OR($K77&lt;&gt;"Yes",$L77=""),0,$M77*MAX(0,7-MATCH($L77,MonthList,0))/12)</f>
        <v>0</v>
      </c>
      <c r="O77" s="24" t="n">
        <f aca="false">IF(OR($K77&lt;&gt;"Yes",$L77=""),0,$M77*IF(MATCH($L77,MonthList,0)&lt;=7,12,19-MATCH($L77,MonthList,0))/12)</f>
        <v>0</v>
      </c>
      <c r="P77" s="21" t="s">
        <v>59</v>
      </c>
      <c r="Q77" s="21"/>
      <c r="R77" s="24" t="n">
        <f aca="false">IF(AND($P77="Yes",$G77&lt;&gt;"Vendor day rates"),$J77-0.4*$I77,0)</f>
        <v>0</v>
      </c>
      <c r="S77" s="24" t="n">
        <f aca="false">IF(OR($P77&lt;&gt;"Yes",$Q77=""),0,$R77*MAX(0,7-MATCH($Q77,MonthList,0))/12)</f>
        <v>0</v>
      </c>
      <c r="T77" s="24" t="n">
        <f aca="false">IF(OR($P77&lt;&gt;"Yes",$Q77=""),0,$R77*IF(MATCH($Q77,MonthList,0)&lt;=7,12,19-MATCH($Q77,MonthList,0))/12)</f>
        <v>0</v>
      </c>
      <c r="U77" s="21" t="s">
        <v>59</v>
      </c>
      <c r="V77" s="21"/>
      <c r="W77" s="24" t="n">
        <f aca="false">IF(AND($U77="Yes",$G77&lt;&gt;"Vendor day rates"),$J77-0.4*$I77,0)</f>
        <v>0</v>
      </c>
      <c r="X77" s="24" t="n">
        <f aca="false">IF(OR($U77&lt;&gt;"Yes",$V77=""),0,$W77*MAX(0,7-MATCH($V77,MonthList,0))/12)</f>
        <v>0</v>
      </c>
      <c r="Y77" s="24" t="n">
        <f aca="false">IF(OR($U77&lt;&gt;"Yes",$V77=""),0,$W77*IF(MATCH($V77,MonthList,0)&lt;=7,12,19-MATCH($V77,MonthList,0))/12)</f>
        <v>0</v>
      </c>
    </row>
    <row r="78" customFormat="false" ht="15" hidden="false" customHeight="true" outlineLevel="0" collapsed="false">
      <c r="B78" s="18" t="s">
        <v>215</v>
      </c>
      <c r="C78" s="18" t="s">
        <v>205</v>
      </c>
      <c r="D78" s="18" t="s">
        <v>18</v>
      </c>
      <c r="E78" s="18" t="s">
        <v>205</v>
      </c>
      <c r="F78" s="19" t="s">
        <v>57</v>
      </c>
      <c r="G78" s="19" t="s">
        <v>58</v>
      </c>
      <c r="H78" s="19" t="n">
        <v>1</v>
      </c>
      <c r="I78" s="20" t="n">
        <v>0.3049</v>
      </c>
      <c r="J78" s="20" t="n">
        <v>0.3049</v>
      </c>
      <c r="K78" s="21" t="s">
        <v>59</v>
      </c>
      <c r="L78" s="21"/>
      <c r="M78" s="20" t="n">
        <f aca="false">IF(AND($K78="Yes",$G78&lt;&gt;"Vendor day rates"),$J78-0.4*$I78,0)</f>
        <v>0</v>
      </c>
      <c r="N78" s="20" t="n">
        <f aca="false">IF(OR($K78&lt;&gt;"Yes",$L78=""),0,$M78*MAX(0,7-MATCH($L78,MonthList,0))/12)</f>
        <v>0</v>
      </c>
      <c r="O78" s="20" t="n">
        <f aca="false">IF(OR($K78&lt;&gt;"Yes",$L78=""),0,$M78*IF(MATCH($L78,MonthList,0)&lt;=7,12,19-MATCH($L78,MonthList,0))/12)</f>
        <v>0</v>
      </c>
      <c r="P78" s="21" t="s">
        <v>59</v>
      </c>
      <c r="Q78" s="21"/>
      <c r="R78" s="20" t="n">
        <f aca="false">IF(AND($P78="Yes",$G78&lt;&gt;"Vendor day rates"),$J78-0.4*$I78,0)</f>
        <v>0</v>
      </c>
      <c r="S78" s="20" t="n">
        <f aca="false">IF(OR($P78&lt;&gt;"Yes",$Q78=""),0,$R78*MAX(0,7-MATCH($Q78,MonthList,0))/12)</f>
        <v>0</v>
      </c>
      <c r="T78" s="20" t="n">
        <f aca="false">IF(OR($P78&lt;&gt;"Yes",$Q78=""),0,$R78*IF(MATCH($Q78,MonthList,0)&lt;=7,12,19-MATCH($Q78,MonthList,0))/12)</f>
        <v>0</v>
      </c>
      <c r="U78" s="21" t="s">
        <v>59</v>
      </c>
      <c r="V78" s="21"/>
      <c r="W78" s="20" t="n">
        <f aca="false">IF(AND($U78="Yes",$G78&lt;&gt;"Vendor day rates"),$J78-0.4*$I78,0)</f>
        <v>0</v>
      </c>
      <c r="X78" s="20" t="n">
        <f aca="false">IF(OR($U78&lt;&gt;"Yes",$V78=""),0,$W78*MAX(0,7-MATCH($V78,MonthList,0))/12)</f>
        <v>0</v>
      </c>
      <c r="Y78" s="20" t="n">
        <f aca="false">IF(OR($U78&lt;&gt;"Yes",$V78=""),0,$W78*IF(MATCH($V78,MonthList,0)&lt;=7,12,19-MATCH($V78,MonthList,0))/12)</f>
        <v>0</v>
      </c>
    </row>
    <row r="79" customFormat="false" ht="15" hidden="false" customHeight="true" outlineLevel="0" collapsed="false">
      <c r="B79" s="22" t="s">
        <v>216</v>
      </c>
      <c r="C79" s="22" t="s">
        <v>217</v>
      </c>
      <c r="D79" s="22" t="s">
        <v>32</v>
      </c>
      <c r="E79" s="22" t="s">
        <v>218</v>
      </c>
      <c r="F79" s="23" t="s">
        <v>109</v>
      </c>
      <c r="G79" s="23" t="s">
        <v>58</v>
      </c>
      <c r="H79" s="23" t="n">
        <v>1</v>
      </c>
      <c r="I79" s="24" t="n">
        <v>0.2092</v>
      </c>
      <c r="J79" s="24" t="n">
        <v>0.2092</v>
      </c>
      <c r="K79" s="21" t="s">
        <v>59</v>
      </c>
      <c r="L79" s="21"/>
      <c r="M79" s="24" t="n">
        <f aca="false">IF(AND($K79="Yes",$G79&lt;&gt;"Vendor day rates"),$J79-0.4*$I79,0)</f>
        <v>0</v>
      </c>
      <c r="N79" s="24" t="n">
        <f aca="false">IF(OR($K79&lt;&gt;"Yes",$L79=""),0,$M79*MAX(0,7-MATCH($L79,MonthList,0))/12)</f>
        <v>0</v>
      </c>
      <c r="O79" s="24" t="n">
        <f aca="false">IF(OR($K79&lt;&gt;"Yes",$L79=""),0,$M79*IF(MATCH($L79,MonthList,0)&lt;=7,12,19-MATCH($L79,MonthList,0))/12)</f>
        <v>0</v>
      </c>
      <c r="P79" s="21" t="s">
        <v>59</v>
      </c>
      <c r="Q79" s="21"/>
      <c r="R79" s="24" t="n">
        <f aca="false">IF(AND($P79="Yes",$G79&lt;&gt;"Vendor day rates"),$J79-0.4*$I79,0)</f>
        <v>0</v>
      </c>
      <c r="S79" s="24" t="n">
        <f aca="false">IF(OR($P79&lt;&gt;"Yes",$Q79=""),0,$R79*MAX(0,7-MATCH($Q79,MonthList,0))/12)</f>
        <v>0</v>
      </c>
      <c r="T79" s="24" t="n">
        <f aca="false">IF(OR($P79&lt;&gt;"Yes",$Q79=""),0,$R79*IF(MATCH($Q79,MonthList,0)&lt;=7,12,19-MATCH($Q79,MonthList,0))/12)</f>
        <v>0</v>
      </c>
      <c r="U79" s="21" t="s">
        <v>59</v>
      </c>
      <c r="V79" s="21"/>
      <c r="W79" s="24" t="n">
        <f aca="false">IF(AND($U79="Yes",$G79&lt;&gt;"Vendor day rates"),$J79-0.4*$I79,0)</f>
        <v>0</v>
      </c>
      <c r="X79" s="24" t="n">
        <f aca="false">IF(OR($U79&lt;&gt;"Yes",$V79=""),0,$W79*MAX(0,7-MATCH($V79,MonthList,0))/12)</f>
        <v>0</v>
      </c>
      <c r="Y79" s="24" t="n">
        <f aca="false">IF(OR($U79&lt;&gt;"Yes",$V79=""),0,$W79*IF(MATCH($V79,MonthList,0)&lt;=7,12,19-MATCH($V79,MonthList,0))/12)</f>
        <v>0</v>
      </c>
    </row>
    <row r="80" customFormat="false" ht="15" hidden="false" customHeight="true" outlineLevel="0" collapsed="false">
      <c r="B80" s="18" t="s">
        <v>219</v>
      </c>
      <c r="C80" s="18" t="s">
        <v>220</v>
      </c>
      <c r="D80" s="18" t="s">
        <v>18</v>
      </c>
      <c r="E80" s="18" t="s">
        <v>165</v>
      </c>
      <c r="F80" s="19" t="s">
        <v>57</v>
      </c>
      <c r="G80" s="19" t="s">
        <v>58</v>
      </c>
      <c r="H80" s="19" t="n">
        <v>1</v>
      </c>
      <c r="I80" s="20" t="n">
        <v>0.3011</v>
      </c>
      <c r="J80" s="20" t="n">
        <v>0.3011</v>
      </c>
      <c r="K80" s="21" t="s">
        <v>59</v>
      </c>
      <c r="L80" s="21"/>
      <c r="M80" s="20" t="n">
        <f aca="false">IF(AND($K80="Yes",$G80&lt;&gt;"Vendor day rates"),$J80-0.4*$I80,0)</f>
        <v>0</v>
      </c>
      <c r="N80" s="20" t="n">
        <f aca="false">IF(OR($K80&lt;&gt;"Yes",$L80=""),0,$M80*MAX(0,7-MATCH($L80,MonthList,0))/12)</f>
        <v>0</v>
      </c>
      <c r="O80" s="20" t="n">
        <f aca="false">IF(OR($K80&lt;&gt;"Yes",$L80=""),0,$M80*IF(MATCH($L80,MonthList,0)&lt;=7,12,19-MATCH($L80,MonthList,0))/12)</f>
        <v>0</v>
      </c>
      <c r="P80" s="21" t="s">
        <v>59</v>
      </c>
      <c r="Q80" s="21"/>
      <c r="R80" s="20" t="n">
        <f aca="false">IF(AND($P80="Yes",$G80&lt;&gt;"Vendor day rates"),$J80-0.4*$I80,0)</f>
        <v>0</v>
      </c>
      <c r="S80" s="20" t="n">
        <f aca="false">IF(OR($P80&lt;&gt;"Yes",$Q80=""),0,$R80*MAX(0,7-MATCH($Q80,MonthList,0))/12)</f>
        <v>0</v>
      </c>
      <c r="T80" s="20" t="n">
        <f aca="false">IF(OR($P80&lt;&gt;"Yes",$Q80=""),0,$R80*IF(MATCH($Q80,MonthList,0)&lt;=7,12,19-MATCH($Q80,MonthList,0))/12)</f>
        <v>0</v>
      </c>
      <c r="U80" s="21" t="s">
        <v>59</v>
      </c>
      <c r="V80" s="21"/>
      <c r="W80" s="20" t="n">
        <f aca="false">IF(AND($U80="Yes",$G80&lt;&gt;"Vendor day rates"),$J80-0.4*$I80,0)</f>
        <v>0</v>
      </c>
      <c r="X80" s="20" t="n">
        <f aca="false">IF(OR($U80&lt;&gt;"Yes",$V80=""),0,$W80*MAX(0,7-MATCH($V80,MonthList,0))/12)</f>
        <v>0</v>
      </c>
      <c r="Y80" s="20" t="n">
        <f aca="false">IF(OR($U80&lt;&gt;"Yes",$V80=""),0,$W80*IF(MATCH($V80,MonthList,0)&lt;=7,12,19-MATCH($V80,MonthList,0))/12)</f>
        <v>0</v>
      </c>
    </row>
    <row r="81" customFormat="false" ht="15" hidden="false" customHeight="true" outlineLevel="0" collapsed="false">
      <c r="B81" s="22" t="s">
        <v>221</v>
      </c>
      <c r="C81" s="22" t="s">
        <v>222</v>
      </c>
      <c r="D81" s="22" t="s">
        <v>22</v>
      </c>
      <c r="E81" s="22" t="s">
        <v>56</v>
      </c>
      <c r="F81" s="23" t="s">
        <v>57</v>
      </c>
      <c r="G81" s="23" t="s">
        <v>58</v>
      </c>
      <c r="H81" s="23" t="n">
        <v>1</v>
      </c>
      <c r="I81" s="24" t="n">
        <v>0.3049</v>
      </c>
      <c r="J81" s="24" t="n">
        <v>0.3049</v>
      </c>
      <c r="K81" s="21" t="s">
        <v>59</v>
      </c>
      <c r="L81" s="21"/>
      <c r="M81" s="24" t="n">
        <f aca="false">IF(AND($K81="Yes",$G81&lt;&gt;"Vendor day rates"),$J81-0.4*$I81,0)</f>
        <v>0</v>
      </c>
      <c r="N81" s="24" t="n">
        <f aca="false">IF(OR($K81&lt;&gt;"Yes",$L81=""),0,$M81*MAX(0,7-MATCH($L81,MonthList,0))/12)</f>
        <v>0</v>
      </c>
      <c r="O81" s="24" t="n">
        <f aca="false">IF(OR($K81&lt;&gt;"Yes",$L81=""),0,$M81*IF(MATCH($L81,MonthList,0)&lt;=7,12,19-MATCH($L81,MonthList,0))/12)</f>
        <v>0</v>
      </c>
      <c r="P81" s="21" t="s">
        <v>59</v>
      </c>
      <c r="Q81" s="21"/>
      <c r="R81" s="24" t="n">
        <f aca="false">IF(AND($P81="Yes",$G81&lt;&gt;"Vendor day rates"),$J81-0.4*$I81,0)</f>
        <v>0</v>
      </c>
      <c r="S81" s="24" t="n">
        <f aca="false">IF(OR($P81&lt;&gt;"Yes",$Q81=""),0,$R81*MAX(0,7-MATCH($Q81,MonthList,0))/12)</f>
        <v>0</v>
      </c>
      <c r="T81" s="24" t="n">
        <f aca="false">IF(OR($P81&lt;&gt;"Yes",$Q81=""),0,$R81*IF(MATCH($Q81,MonthList,0)&lt;=7,12,19-MATCH($Q81,MonthList,0))/12)</f>
        <v>0</v>
      </c>
      <c r="U81" s="21" t="s">
        <v>59</v>
      </c>
      <c r="V81" s="21"/>
      <c r="W81" s="24" t="n">
        <f aca="false">IF(AND($U81="Yes",$G81&lt;&gt;"Vendor day rates"),$J81-0.4*$I81,0)</f>
        <v>0</v>
      </c>
      <c r="X81" s="24" t="n">
        <f aca="false">IF(OR($U81&lt;&gt;"Yes",$V81=""),0,$W81*MAX(0,7-MATCH($V81,MonthList,0))/12)</f>
        <v>0</v>
      </c>
      <c r="Y81" s="24" t="n">
        <f aca="false">IF(OR($U81&lt;&gt;"Yes",$V81=""),0,$W81*IF(MATCH($V81,MonthList,0)&lt;=7,12,19-MATCH($V81,MonthList,0))/12)</f>
        <v>0</v>
      </c>
    </row>
    <row r="82" customFormat="false" ht="15" hidden="false" customHeight="true" outlineLevel="0" collapsed="false">
      <c r="B82" s="18" t="s">
        <v>223</v>
      </c>
      <c r="C82" s="18" t="s">
        <v>224</v>
      </c>
      <c r="D82" s="18" t="s">
        <v>18</v>
      </c>
      <c r="E82" s="18" t="s">
        <v>165</v>
      </c>
      <c r="F82" s="19" t="s">
        <v>57</v>
      </c>
      <c r="G82" s="19" t="s">
        <v>145</v>
      </c>
      <c r="H82" s="19" t="n">
        <v>1</v>
      </c>
      <c r="I82" s="20" t="n">
        <v>0.3049</v>
      </c>
      <c r="J82" s="20" t="n">
        <v>0.3049</v>
      </c>
      <c r="K82" s="21" t="s">
        <v>59</v>
      </c>
      <c r="L82" s="21"/>
      <c r="M82" s="20" t="n">
        <f aca="false">IF(AND($K82="Yes",$G82&lt;&gt;"Vendor day rates"),$J82-0.4*$I82,0)</f>
        <v>0</v>
      </c>
      <c r="N82" s="20" t="n">
        <f aca="false">IF(OR($K82&lt;&gt;"Yes",$L82=""),0,$M82*MAX(0,7-MATCH($L82,MonthList,0))/12)</f>
        <v>0</v>
      </c>
      <c r="O82" s="20" t="n">
        <f aca="false">IF(OR($K82&lt;&gt;"Yes",$L82=""),0,$M82*IF(MATCH($L82,MonthList,0)&lt;=7,12,19-MATCH($L82,MonthList,0))/12)</f>
        <v>0</v>
      </c>
      <c r="P82" s="21" t="s">
        <v>59</v>
      </c>
      <c r="Q82" s="21"/>
      <c r="R82" s="20" t="n">
        <f aca="false">IF(AND($P82="Yes",$G82&lt;&gt;"Vendor day rates"),$J82-0.4*$I82,0)</f>
        <v>0</v>
      </c>
      <c r="S82" s="20" t="n">
        <f aca="false">IF(OR($P82&lt;&gt;"Yes",$Q82=""),0,$R82*MAX(0,7-MATCH($Q82,MonthList,0))/12)</f>
        <v>0</v>
      </c>
      <c r="T82" s="20" t="n">
        <f aca="false">IF(OR($P82&lt;&gt;"Yes",$Q82=""),0,$R82*IF(MATCH($Q82,MonthList,0)&lt;=7,12,19-MATCH($Q82,MonthList,0))/12)</f>
        <v>0</v>
      </c>
      <c r="U82" s="21" t="s">
        <v>59</v>
      </c>
      <c r="V82" s="21"/>
      <c r="W82" s="20" t="n">
        <f aca="false">IF(AND($U82="Yes",$G82&lt;&gt;"Vendor day rates"),$J82-0.4*$I82,0)</f>
        <v>0</v>
      </c>
      <c r="X82" s="20" t="n">
        <f aca="false">IF(OR($U82&lt;&gt;"Yes",$V82=""),0,$W82*MAX(0,7-MATCH($V82,MonthList,0))/12)</f>
        <v>0</v>
      </c>
      <c r="Y82" s="20" t="n">
        <f aca="false">IF(OR($U82&lt;&gt;"Yes",$V82=""),0,$W82*IF(MATCH($V82,MonthList,0)&lt;=7,12,19-MATCH($V82,MonthList,0))/12)</f>
        <v>0</v>
      </c>
    </row>
    <row r="83" customFormat="false" ht="15" hidden="false" customHeight="true" outlineLevel="0" collapsed="false">
      <c r="B83" s="22" t="s">
        <v>225</v>
      </c>
      <c r="C83" s="22" t="s">
        <v>226</v>
      </c>
      <c r="D83" s="22" t="s">
        <v>25</v>
      </c>
      <c r="E83" s="22" t="s">
        <v>227</v>
      </c>
      <c r="F83" s="23" t="s">
        <v>57</v>
      </c>
      <c r="G83" s="23" t="s">
        <v>58</v>
      </c>
      <c r="H83" s="23" t="n">
        <v>1</v>
      </c>
      <c r="I83" s="24" t="n">
        <v>0.2251</v>
      </c>
      <c r="J83" s="24" t="n">
        <v>0.2251</v>
      </c>
      <c r="K83" s="21" t="s">
        <v>59</v>
      </c>
      <c r="L83" s="21"/>
      <c r="M83" s="24" t="n">
        <f aca="false">IF(AND($K83="Yes",$G83&lt;&gt;"Vendor day rates"),$J83-0.4*$I83,0)</f>
        <v>0</v>
      </c>
      <c r="N83" s="24" t="n">
        <f aca="false">IF(OR($K83&lt;&gt;"Yes",$L83=""),0,$M83*MAX(0,7-MATCH($L83,MonthList,0))/12)</f>
        <v>0</v>
      </c>
      <c r="O83" s="24" t="n">
        <f aca="false">IF(OR($K83&lt;&gt;"Yes",$L83=""),0,$M83*IF(MATCH($L83,MonthList,0)&lt;=7,12,19-MATCH($L83,MonthList,0))/12)</f>
        <v>0</v>
      </c>
      <c r="P83" s="21" t="s">
        <v>59</v>
      </c>
      <c r="Q83" s="21"/>
      <c r="R83" s="24" t="n">
        <f aca="false">IF(AND($P83="Yes",$G83&lt;&gt;"Vendor day rates"),$J83-0.4*$I83,0)</f>
        <v>0</v>
      </c>
      <c r="S83" s="24" t="n">
        <f aca="false">IF(OR($P83&lt;&gt;"Yes",$Q83=""),0,$R83*MAX(0,7-MATCH($Q83,MonthList,0))/12)</f>
        <v>0</v>
      </c>
      <c r="T83" s="24" t="n">
        <f aca="false">IF(OR($P83&lt;&gt;"Yes",$Q83=""),0,$R83*IF(MATCH($Q83,MonthList,0)&lt;=7,12,19-MATCH($Q83,MonthList,0))/12)</f>
        <v>0</v>
      </c>
      <c r="U83" s="21" t="s">
        <v>59</v>
      </c>
      <c r="V83" s="21"/>
      <c r="W83" s="24" t="n">
        <f aca="false">IF(AND($U83="Yes",$G83&lt;&gt;"Vendor day rates"),$J83-0.4*$I83,0)</f>
        <v>0</v>
      </c>
      <c r="X83" s="24" t="n">
        <f aca="false">IF(OR($U83&lt;&gt;"Yes",$V83=""),0,$W83*MAX(0,7-MATCH($V83,MonthList,0))/12)</f>
        <v>0</v>
      </c>
      <c r="Y83" s="24" t="n">
        <f aca="false">IF(OR($U83&lt;&gt;"Yes",$V83=""),0,$W83*IF(MATCH($V83,MonthList,0)&lt;=7,12,19-MATCH($V83,MonthList,0))/12)</f>
        <v>0</v>
      </c>
    </row>
    <row r="84" customFormat="false" ht="15" hidden="false" customHeight="true" outlineLevel="0" collapsed="false">
      <c r="B84" s="18" t="s">
        <v>228</v>
      </c>
      <c r="C84" s="18" t="s">
        <v>229</v>
      </c>
      <c r="D84" s="18" t="s">
        <v>25</v>
      </c>
      <c r="E84" s="18" t="s">
        <v>205</v>
      </c>
      <c r="F84" s="19" t="s">
        <v>57</v>
      </c>
      <c r="G84" s="19" t="s">
        <v>58</v>
      </c>
      <c r="H84" s="19" t="n">
        <v>1</v>
      </c>
      <c r="I84" s="20" t="n">
        <v>0.3167</v>
      </c>
      <c r="J84" s="20" t="n">
        <v>0.3167</v>
      </c>
      <c r="K84" s="21" t="s">
        <v>59</v>
      </c>
      <c r="L84" s="21"/>
      <c r="M84" s="20" t="n">
        <f aca="false">IF(AND($K84="Yes",$G84&lt;&gt;"Vendor day rates"),$J84-0.4*$I84,0)</f>
        <v>0</v>
      </c>
      <c r="N84" s="20" t="n">
        <f aca="false">IF(OR($K84&lt;&gt;"Yes",$L84=""),0,$M84*MAX(0,7-MATCH($L84,MonthList,0))/12)</f>
        <v>0</v>
      </c>
      <c r="O84" s="20" t="n">
        <f aca="false">IF(OR($K84&lt;&gt;"Yes",$L84=""),0,$M84*IF(MATCH($L84,MonthList,0)&lt;=7,12,19-MATCH($L84,MonthList,0))/12)</f>
        <v>0</v>
      </c>
      <c r="P84" s="21" t="s">
        <v>59</v>
      </c>
      <c r="Q84" s="21"/>
      <c r="R84" s="20" t="n">
        <f aca="false">IF(AND($P84="Yes",$G84&lt;&gt;"Vendor day rates"),$J84-0.4*$I84,0)</f>
        <v>0</v>
      </c>
      <c r="S84" s="20" t="n">
        <f aca="false">IF(OR($P84&lt;&gt;"Yes",$Q84=""),0,$R84*MAX(0,7-MATCH($Q84,MonthList,0))/12)</f>
        <v>0</v>
      </c>
      <c r="T84" s="20" t="n">
        <f aca="false">IF(OR($P84&lt;&gt;"Yes",$Q84=""),0,$R84*IF(MATCH($Q84,MonthList,0)&lt;=7,12,19-MATCH($Q84,MonthList,0))/12)</f>
        <v>0</v>
      </c>
      <c r="U84" s="21" t="s">
        <v>59</v>
      </c>
      <c r="V84" s="21"/>
      <c r="W84" s="20" t="n">
        <f aca="false">IF(AND($U84="Yes",$G84&lt;&gt;"Vendor day rates"),$J84-0.4*$I84,0)</f>
        <v>0</v>
      </c>
      <c r="X84" s="20" t="n">
        <f aca="false">IF(OR($U84&lt;&gt;"Yes",$V84=""),0,$W84*MAX(0,7-MATCH($V84,MonthList,0))/12)</f>
        <v>0</v>
      </c>
      <c r="Y84" s="20" t="n">
        <f aca="false">IF(OR($U84&lt;&gt;"Yes",$V84=""),0,$W84*IF(MATCH($V84,MonthList,0)&lt;=7,12,19-MATCH($V84,MonthList,0))/12)</f>
        <v>0</v>
      </c>
    </row>
    <row r="85" customFormat="false" ht="15" hidden="false" customHeight="true" outlineLevel="0" collapsed="false">
      <c r="B85" s="22" t="s">
        <v>230</v>
      </c>
      <c r="C85" s="22" t="s">
        <v>231</v>
      </c>
      <c r="D85" s="22" t="s">
        <v>25</v>
      </c>
      <c r="E85" s="22" t="s">
        <v>227</v>
      </c>
      <c r="F85" s="23" t="s">
        <v>57</v>
      </c>
      <c r="G85" s="23" t="s">
        <v>58</v>
      </c>
      <c r="H85" s="23" t="n">
        <v>1</v>
      </c>
      <c r="I85" s="24" t="n">
        <v>0.2577</v>
      </c>
      <c r="J85" s="24" t="n">
        <v>0.2577</v>
      </c>
      <c r="K85" s="21" t="s">
        <v>59</v>
      </c>
      <c r="L85" s="21"/>
      <c r="M85" s="24" t="n">
        <f aca="false">IF(AND($K85="Yes",$G85&lt;&gt;"Vendor day rates"),$J85-0.4*$I85,0)</f>
        <v>0</v>
      </c>
      <c r="N85" s="24" t="n">
        <f aca="false">IF(OR($K85&lt;&gt;"Yes",$L85=""),0,$M85*MAX(0,7-MATCH($L85,MonthList,0))/12)</f>
        <v>0</v>
      </c>
      <c r="O85" s="24" t="n">
        <f aca="false">IF(OR($K85&lt;&gt;"Yes",$L85=""),0,$M85*IF(MATCH($L85,MonthList,0)&lt;=7,12,19-MATCH($L85,MonthList,0))/12)</f>
        <v>0</v>
      </c>
      <c r="P85" s="21" t="s">
        <v>59</v>
      </c>
      <c r="Q85" s="21"/>
      <c r="R85" s="24" t="n">
        <f aca="false">IF(AND($P85="Yes",$G85&lt;&gt;"Vendor day rates"),$J85-0.4*$I85,0)</f>
        <v>0</v>
      </c>
      <c r="S85" s="24" t="n">
        <f aca="false">IF(OR($P85&lt;&gt;"Yes",$Q85=""),0,$R85*MAX(0,7-MATCH($Q85,MonthList,0))/12)</f>
        <v>0</v>
      </c>
      <c r="T85" s="24" t="n">
        <f aca="false">IF(OR($P85&lt;&gt;"Yes",$Q85=""),0,$R85*IF(MATCH($Q85,MonthList,0)&lt;=7,12,19-MATCH($Q85,MonthList,0))/12)</f>
        <v>0</v>
      </c>
      <c r="U85" s="21" t="s">
        <v>59</v>
      </c>
      <c r="V85" s="21"/>
      <c r="W85" s="24" t="n">
        <f aca="false">IF(AND($U85="Yes",$G85&lt;&gt;"Vendor day rates"),$J85-0.4*$I85,0)</f>
        <v>0</v>
      </c>
      <c r="X85" s="24" t="n">
        <f aca="false">IF(OR($U85&lt;&gt;"Yes",$V85=""),0,$W85*MAX(0,7-MATCH($V85,MonthList,0))/12)</f>
        <v>0</v>
      </c>
      <c r="Y85" s="24" t="n">
        <f aca="false">IF(OR($U85&lt;&gt;"Yes",$V85=""),0,$W85*IF(MATCH($V85,MonthList,0)&lt;=7,12,19-MATCH($V85,MonthList,0))/12)</f>
        <v>0</v>
      </c>
    </row>
    <row r="86" customFormat="false" ht="15" hidden="false" customHeight="true" outlineLevel="0" collapsed="false">
      <c r="B86" s="18" t="s">
        <v>232</v>
      </c>
      <c r="C86" s="18" t="s">
        <v>233</v>
      </c>
      <c r="D86" s="18" t="s">
        <v>25</v>
      </c>
      <c r="E86" s="18" t="s">
        <v>165</v>
      </c>
      <c r="F86" s="19" t="s">
        <v>57</v>
      </c>
      <c r="G86" s="19" t="s">
        <v>58</v>
      </c>
      <c r="H86" s="19" t="n">
        <v>1</v>
      </c>
      <c r="I86" s="20" t="n">
        <v>0.2491</v>
      </c>
      <c r="J86" s="20" t="n">
        <v>0.2491</v>
      </c>
      <c r="K86" s="21" t="s">
        <v>59</v>
      </c>
      <c r="L86" s="21"/>
      <c r="M86" s="20" t="n">
        <f aca="false">IF(AND($K86="Yes",$G86&lt;&gt;"Vendor day rates"),$J86-0.4*$I86,0)</f>
        <v>0</v>
      </c>
      <c r="N86" s="20" t="n">
        <f aca="false">IF(OR($K86&lt;&gt;"Yes",$L86=""),0,$M86*MAX(0,7-MATCH($L86,MonthList,0))/12)</f>
        <v>0</v>
      </c>
      <c r="O86" s="20" t="n">
        <f aca="false">IF(OR($K86&lt;&gt;"Yes",$L86=""),0,$M86*IF(MATCH($L86,MonthList,0)&lt;=7,12,19-MATCH($L86,MonthList,0))/12)</f>
        <v>0</v>
      </c>
      <c r="P86" s="21" t="s">
        <v>59</v>
      </c>
      <c r="Q86" s="21"/>
      <c r="R86" s="20" t="n">
        <f aca="false">IF(AND($P86="Yes",$G86&lt;&gt;"Vendor day rates"),$J86-0.4*$I86,0)</f>
        <v>0</v>
      </c>
      <c r="S86" s="20" t="n">
        <f aca="false">IF(OR($P86&lt;&gt;"Yes",$Q86=""),0,$R86*MAX(0,7-MATCH($Q86,MonthList,0))/12)</f>
        <v>0</v>
      </c>
      <c r="T86" s="20" t="n">
        <f aca="false">IF(OR($P86&lt;&gt;"Yes",$Q86=""),0,$R86*IF(MATCH($Q86,MonthList,0)&lt;=7,12,19-MATCH($Q86,MonthList,0))/12)</f>
        <v>0</v>
      </c>
      <c r="U86" s="21" t="s">
        <v>59</v>
      </c>
      <c r="V86" s="21"/>
      <c r="W86" s="20" t="n">
        <f aca="false">IF(AND($U86="Yes",$G86&lt;&gt;"Vendor day rates"),$J86-0.4*$I86,0)</f>
        <v>0</v>
      </c>
      <c r="X86" s="20" t="n">
        <f aca="false">IF(OR($U86&lt;&gt;"Yes",$V86=""),0,$W86*MAX(0,7-MATCH($V86,MonthList,0))/12)</f>
        <v>0</v>
      </c>
      <c r="Y86" s="20" t="n">
        <f aca="false">IF(OR($U86&lt;&gt;"Yes",$V86=""),0,$W86*IF(MATCH($V86,MonthList,0)&lt;=7,12,19-MATCH($V86,MonthList,0))/12)</f>
        <v>0</v>
      </c>
    </row>
    <row r="87" customFormat="false" ht="15" hidden="false" customHeight="true" outlineLevel="0" collapsed="false">
      <c r="B87" s="22" t="s">
        <v>234</v>
      </c>
      <c r="C87" s="22" t="s">
        <v>235</v>
      </c>
      <c r="D87" s="22" t="s">
        <v>25</v>
      </c>
      <c r="E87" s="22" t="s">
        <v>165</v>
      </c>
      <c r="F87" s="23" t="s">
        <v>57</v>
      </c>
      <c r="G87" s="23" t="s">
        <v>145</v>
      </c>
      <c r="H87" s="23" t="n">
        <v>1</v>
      </c>
      <c r="I87" s="24" t="n">
        <v>0.2758</v>
      </c>
      <c r="J87" s="24" t="n">
        <v>0.2758</v>
      </c>
      <c r="K87" s="21" t="s">
        <v>59</v>
      </c>
      <c r="L87" s="21"/>
      <c r="M87" s="24" t="n">
        <f aca="false">IF(AND($K87="Yes",$G87&lt;&gt;"Vendor day rates"),$J87-0.4*$I87,0)</f>
        <v>0</v>
      </c>
      <c r="N87" s="24" t="n">
        <f aca="false">IF(OR($K87&lt;&gt;"Yes",$L87=""),0,$M87*MAX(0,7-MATCH($L87,MonthList,0))/12)</f>
        <v>0</v>
      </c>
      <c r="O87" s="24" t="n">
        <f aca="false">IF(OR($K87&lt;&gt;"Yes",$L87=""),0,$M87*IF(MATCH($L87,MonthList,0)&lt;=7,12,19-MATCH($L87,MonthList,0))/12)</f>
        <v>0</v>
      </c>
      <c r="P87" s="21" t="s">
        <v>59</v>
      </c>
      <c r="Q87" s="21"/>
      <c r="R87" s="24" t="n">
        <f aca="false">IF(AND($P87="Yes",$G87&lt;&gt;"Vendor day rates"),$J87-0.4*$I87,0)</f>
        <v>0</v>
      </c>
      <c r="S87" s="24" t="n">
        <f aca="false">IF(OR($P87&lt;&gt;"Yes",$Q87=""),0,$R87*MAX(0,7-MATCH($Q87,MonthList,0))/12)</f>
        <v>0</v>
      </c>
      <c r="T87" s="24" t="n">
        <f aca="false">IF(OR($P87&lt;&gt;"Yes",$Q87=""),0,$R87*IF(MATCH($Q87,MonthList,0)&lt;=7,12,19-MATCH($Q87,MonthList,0))/12)</f>
        <v>0</v>
      </c>
      <c r="U87" s="21" t="s">
        <v>59</v>
      </c>
      <c r="V87" s="21"/>
      <c r="W87" s="24" t="n">
        <f aca="false">IF(AND($U87="Yes",$G87&lt;&gt;"Vendor day rates"),$J87-0.4*$I87,0)</f>
        <v>0</v>
      </c>
      <c r="X87" s="24" t="n">
        <f aca="false">IF(OR($U87&lt;&gt;"Yes",$V87=""),0,$W87*MAX(0,7-MATCH($V87,MonthList,0))/12)</f>
        <v>0</v>
      </c>
      <c r="Y87" s="24" t="n">
        <f aca="false">IF(OR($U87&lt;&gt;"Yes",$V87=""),0,$W87*IF(MATCH($V87,MonthList,0)&lt;=7,12,19-MATCH($V87,MonthList,0))/12)</f>
        <v>0</v>
      </c>
    </row>
    <row r="88" customFormat="false" ht="15" hidden="false" customHeight="true" outlineLevel="0" collapsed="false">
      <c r="B88" s="18" t="s">
        <v>236</v>
      </c>
      <c r="C88" s="18" t="s">
        <v>237</v>
      </c>
      <c r="D88" s="18" t="s">
        <v>26</v>
      </c>
      <c r="E88" s="18" t="s">
        <v>238</v>
      </c>
      <c r="F88" s="19" t="s">
        <v>57</v>
      </c>
      <c r="G88" s="19" t="s">
        <v>58</v>
      </c>
      <c r="H88" s="19" t="n">
        <v>1</v>
      </c>
      <c r="I88" s="20" t="n">
        <v>0.287</v>
      </c>
      <c r="J88" s="20" t="n">
        <v>0.287</v>
      </c>
      <c r="K88" s="21" t="s">
        <v>59</v>
      </c>
      <c r="L88" s="21"/>
      <c r="M88" s="20" t="n">
        <f aca="false">IF(AND($K88="Yes",$G88&lt;&gt;"Vendor day rates"),$J88-0.4*$I88,0)</f>
        <v>0</v>
      </c>
      <c r="N88" s="20" t="n">
        <f aca="false">IF(OR($K88&lt;&gt;"Yes",$L88=""),0,$M88*MAX(0,7-MATCH($L88,MonthList,0))/12)</f>
        <v>0</v>
      </c>
      <c r="O88" s="20" t="n">
        <f aca="false">IF(OR($K88&lt;&gt;"Yes",$L88=""),0,$M88*IF(MATCH($L88,MonthList,0)&lt;=7,12,19-MATCH($L88,MonthList,0))/12)</f>
        <v>0</v>
      </c>
      <c r="P88" s="21" t="s">
        <v>59</v>
      </c>
      <c r="Q88" s="21"/>
      <c r="R88" s="20" t="n">
        <f aca="false">IF(AND($P88="Yes",$G88&lt;&gt;"Vendor day rates"),$J88-0.4*$I88,0)</f>
        <v>0</v>
      </c>
      <c r="S88" s="20" t="n">
        <f aca="false">IF(OR($P88&lt;&gt;"Yes",$Q88=""),0,$R88*MAX(0,7-MATCH($Q88,MonthList,0))/12)</f>
        <v>0</v>
      </c>
      <c r="T88" s="20" t="n">
        <f aca="false">IF(OR($P88&lt;&gt;"Yes",$Q88=""),0,$R88*IF(MATCH($Q88,MonthList,0)&lt;=7,12,19-MATCH($Q88,MonthList,0))/12)</f>
        <v>0</v>
      </c>
      <c r="U88" s="21" t="s">
        <v>59</v>
      </c>
      <c r="V88" s="21"/>
      <c r="W88" s="20" t="n">
        <f aca="false">IF(AND($U88="Yes",$G88&lt;&gt;"Vendor day rates"),$J88-0.4*$I88,0)</f>
        <v>0</v>
      </c>
      <c r="X88" s="20" t="n">
        <f aca="false">IF(OR($U88&lt;&gt;"Yes",$V88=""),0,$W88*MAX(0,7-MATCH($V88,MonthList,0))/12)</f>
        <v>0</v>
      </c>
      <c r="Y88" s="20" t="n">
        <f aca="false">IF(OR($U88&lt;&gt;"Yes",$V88=""),0,$W88*IF(MATCH($V88,MonthList,0)&lt;=7,12,19-MATCH($V88,MonthList,0))/12)</f>
        <v>0</v>
      </c>
    </row>
    <row r="89" customFormat="false" ht="15" hidden="false" customHeight="true" outlineLevel="0" collapsed="false">
      <c r="B89" s="22" t="s">
        <v>239</v>
      </c>
      <c r="C89" s="22" t="s">
        <v>240</v>
      </c>
      <c r="D89" s="22" t="s">
        <v>26</v>
      </c>
      <c r="E89" s="22" t="s">
        <v>241</v>
      </c>
      <c r="F89" s="23" t="s">
        <v>57</v>
      </c>
      <c r="G89" s="23" t="s">
        <v>58</v>
      </c>
      <c r="H89" s="23" t="n">
        <v>1</v>
      </c>
      <c r="I89" s="24" t="n">
        <v>0.287</v>
      </c>
      <c r="J89" s="24" t="n">
        <v>0.287</v>
      </c>
      <c r="K89" s="21" t="s">
        <v>59</v>
      </c>
      <c r="L89" s="21"/>
      <c r="M89" s="24" t="n">
        <f aca="false">IF(AND($K89="Yes",$G89&lt;&gt;"Vendor day rates"),$J89-0.4*$I89,0)</f>
        <v>0</v>
      </c>
      <c r="N89" s="24" t="n">
        <f aca="false">IF(OR($K89&lt;&gt;"Yes",$L89=""),0,$M89*MAX(0,7-MATCH($L89,MonthList,0))/12)</f>
        <v>0</v>
      </c>
      <c r="O89" s="24" t="n">
        <f aca="false">IF(OR($K89&lt;&gt;"Yes",$L89=""),0,$M89*IF(MATCH($L89,MonthList,0)&lt;=7,12,19-MATCH($L89,MonthList,0))/12)</f>
        <v>0</v>
      </c>
      <c r="P89" s="21" t="s">
        <v>59</v>
      </c>
      <c r="Q89" s="21"/>
      <c r="R89" s="24" t="n">
        <f aca="false">IF(AND($P89="Yes",$G89&lt;&gt;"Vendor day rates"),$J89-0.4*$I89,0)</f>
        <v>0</v>
      </c>
      <c r="S89" s="24" t="n">
        <f aca="false">IF(OR($P89&lt;&gt;"Yes",$Q89=""),0,$R89*MAX(0,7-MATCH($Q89,MonthList,0))/12)</f>
        <v>0</v>
      </c>
      <c r="T89" s="24" t="n">
        <f aca="false">IF(OR($P89&lt;&gt;"Yes",$Q89=""),0,$R89*IF(MATCH($Q89,MonthList,0)&lt;=7,12,19-MATCH($Q89,MonthList,0))/12)</f>
        <v>0</v>
      </c>
      <c r="U89" s="21" t="s">
        <v>59</v>
      </c>
      <c r="V89" s="21"/>
      <c r="W89" s="24" t="n">
        <f aca="false">IF(AND($U89="Yes",$G89&lt;&gt;"Vendor day rates"),$J89-0.4*$I89,0)</f>
        <v>0</v>
      </c>
      <c r="X89" s="24" t="n">
        <f aca="false">IF(OR($U89&lt;&gt;"Yes",$V89=""),0,$W89*MAX(0,7-MATCH($V89,MonthList,0))/12)</f>
        <v>0</v>
      </c>
      <c r="Y89" s="24" t="n">
        <f aca="false">IF(OR($U89&lt;&gt;"Yes",$V89=""),0,$W89*IF(MATCH($V89,MonthList,0)&lt;=7,12,19-MATCH($V89,MonthList,0))/12)</f>
        <v>0</v>
      </c>
    </row>
    <row r="90" customFormat="false" ht="15" hidden="false" customHeight="true" outlineLevel="0" collapsed="false">
      <c r="B90" s="18" t="s">
        <v>242</v>
      </c>
      <c r="C90" s="18" t="s">
        <v>243</v>
      </c>
      <c r="D90" s="18" t="s">
        <v>26</v>
      </c>
      <c r="E90" s="18" t="s">
        <v>244</v>
      </c>
      <c r="F90" s="19" t="s">
        <v>57</v>
      </c>
      <c r="G90" s="19" t="s">
        <v>58</v>
      </c>
      <c r="H90" s="19" t="n">
        <v>1</v>
      </c>
      <c r="I90" s="20" t="n">
        <v>0.3166</v>
      </c>
      <c r="J90" s="20" t="n">
        <v>0.3166</v>
      </c>
      <c r="K90" s="21" t="s">
        <v>59</v>
      </c>
      <c r="L90" s="21"/>
      <c r="M90" s="20" t="n">
        <f aca="false">IF(AND($K90="Yes",$G90&lt;&gt;"Vendor day rates"),$J90-0.4*$I90,0)</f>
        <v>0</v>
      </c>
      <c r="N90" s="20" t="n">
        <f aca="false">IF(OR($K90&lt;&gt;"Yes",$L90=""),0,$M90*MAX(0,7-MATCH($L90,MonthList,0))/12)</f>
        <v>0</v>
      </c>
      <c r="O90" s="20" t="n">
        <f aca="false">IF(OR($K90&lt;&gt;"Yes",$L90=""),0,$M90*IF(MATCH($L90,MonthList,0)&lt;=7,12,19-MATCH($L90,MonthList,0))/12)</f>
        <v>0</v>
      </c>
      <c r="P90" s="21" t="s">
        <v>59</v>
      </c>
      <c r="Q90" s="21"/>
      <c r="R90" s="20" t="n">
        <f aca="false">IF(AND($P90="Yes",$G90&lt;&gt;"Vendor day rates"),$J90-0.4*$I90,0)</f>
        <v>0</v>
      </c>
      <c r="S90" s="20" t="n">
        <f aca="false">IF(OR($P90&lt;&gt;"Yes",$Q90=""),0,$R90*MAX(0,7-MATCH($Q90,MonthList,0))/12)</f>
        <v>0</v>
      </c>
      <c r="T90" s="20" t="n">
        <f aca="false">IF(OR($P90&lt;&gt;"Yes",$Q90=""),0,$R90*IF(MATCH($Q90,MonthList,0)&lt;=7,12,19-MATCH($Q90,MonthList,0))/12)</f>
        <v>0</v>
      </c>
      <c r="U90" s="21" t="s">
        <v>59</v>
      </c>
      <c r="V90" s="21"/>
      <c r="W90" s="20" t="n">
        <f aca="false">IF(AND($U90="Yes",$G90&lt;&gt;"Vendor day rates"),$J90-0.4*$I90,0)</f>
        <v>0</v>
      </c>
      <c r="X90" s="20" t="n">
        <f aca="false">IF(OR($U90&lt;&gt;"Yes",$V90=""),0,$W90*MAX(0,7-MATCH($V90,MonthList,0))/12)</f>
        <v>0</v>
      </c>
      <c r="Y90" s="20" t="n">
        <f aca="false">IF(OR($U90&lt;&gt;"Yes",$V90=""),0,$W90*IF(MATCH($V90,MonthList,0)&lt;=7,12,19-MATCH($V90,MonthList,0))/12)</f>
        <v>0</v>
      </c>
    </row>
    <row r="91" customFormat="false" ht="15" hidden="false" customHeight="true" outlineLevel="0" collapsed="false">
      <c r="B91" s="22" t="s">
        <v>245</v>
      </c>
      <c r="C91" s="22" t="s">
        <v>246</v>
      </c>
      <c r="D91" s="22" t="s">
        <v>26</v>
      </c>
      <c r="E91" s="22" t="s">
        <v>247</v>
      </c>
      <c r="F91" s="23" t="s">
        <v>57</v>
      </c>
      <c r="G91" s="23" t="s">
        <v>58</v>
      </c>
      <c r="H91" s="23" t="n">
        <v>1</v>
      </c>
      <c r="I91" s="24" t="n">
        <v>0.3157</v>
      </c>
      <c r="J91" s="24" t="n">
        <v>0.3157</v>
      </c>
      <c r="K91" s="21" t="s">
        <v>59</v>
      </c>
      <c r="L91" s="21"/>
      <c r="M91" s="24" t="n">
        <f aca="false">IF(AND($K91="Yes",$G91&lt;&gt;"Vendor day rates"),$J91-0.4*$I91,0)</f>
        <v>0</v>
      </c>
      <c r="N91" s="24" t="n">
        <f aca="false">IF(OR($K91&lt;&gt;"Yes",$L91=""),0,$M91*MAX(0,7-MATCH($L91,MonthList,0))/12)</f>
        <v>0</v>
      </c>
      <c r="O91" s="24" t="n">
        <f aca="false">IF(OR($K91&lt;&gt;"Yes",$L91=""),0,$M91*IF(MATCH($L91,MonthList,0)&lt;=7,12,19-MATCH($L91,MonthList,0))/12)</f>
        <v>0</v>
      </c>
      <c r="P91" s="21" t="s">
        <v>59</v>
      </c>
      <c r="Q91" s="21"/>
      <c r="R91" s="24" t="n">
        <f aca="false">IF(AND($P91="Yes",$G91&lt;&gt;"Vendor day rates"),$J91-0.4*$I91,0)</f>
        <v>0</v>
      </c>
      <c r="S91" s="24" t="n">
        <f aca="false">IF(OR($P91&lt;&gt;"Yes",$Q91=""),0,$R91*MAX(0,7-MATCH($Q91,MonthList,0))/12)</f>
        <v>0</v>
      </c>
      <c r="T91" s="24" t="n">
        <f aca="false">IF(OR($P91&lt;&gt;"Yes",$Q91=""),0,$R91*IF(MATCH($Q91,MonthList,0)&lt;=7,12,19-MATCH($Q91,MonthList,0))/12)</f>
        <v>0</v>
      </c>
      <c r="U91" s="21" t="s">
        <v>59</v>
      </c>
      <c r="V91" s="21"/>
      <c r="W91" s="24" t="n">
        <f aca="false">IF(AND($U91="Yes",$G91&lt;&gt;"Vendor day rates"),$J91-0.4*$I91,0)</f>
        <v>0</v>
      </c>
      <c r="X91" s="24" t="n">
        <f aca="false">IF(OR($U91&lt;&gt;"Yes",$V91=""),0,$W91*MAX(0,7-MATCH($V91,MonthList,0))/12)</f>
        <v>0</v>
      </c>
      <c r="Y91" s="24" t="n">
        <f aca="false">IF(OR($U91&lt;&gt;"Yes",$V91=""),0,$W91*IF(MATCH($V91,MonthList,0)&lt;=7,12,19-MATCH($V91,MonthList,0))/12)</f>
        <v>0</v>
      </c>
    </row>
    <row r="92" customFormat="false" ht="15" hidden="false" customHeight="true" outlineLevel="0" collapsed="false">
      <c r="B92" s="18" t="s">
        <v>248</v>
      </c>
      <c r="C92" s="18" t="s">
        <v>249</v>
      </c>
      <c r="D92" s="18" t="s">
        <v>23</v>
      </c>
      <c r="E92" s="18" t="s">
        <v>173</v>
      </c>
      <c r="F92" s="19" t="s">
        <v>57</v>
      </c>
      <c r="G92" s="19" t="s">
        <v>58</v>
      </c>
      <c r="H92" s="19" t="n">
        <v>1</v>
      </c>
      <c r="I92" s="20" t="n">
        <v>0.2959</v>
      </c>
      <c r="J92" s="20" t="n">
        <v>0.2959</v>
      </c>
      <c r="K92" s="21" t="s">
        <v>59</v>
      </c>
      <c r="L92" s="21"/>
      <c r="M92" s="20" t="n">
        <f aca="false">IF(AND($K92="Yes",$G92&lt;&gt;"Vendor day rates"),$J92-0.4*$I92,0)</f>
        <v>0</v>
      </c>
      <c r="N92" s="20" t="n">
        <f aca="false">IF(OR($K92&lt;&gt;"Yes",$L92=""),0,$M92*MAX(0,7-MATCH($L92,MonthList,0))/12)</f>
        <v>0</v>
      </c>
      <c r="O92" s="20" t="n">
        <f aca="false">IF(OR($K92&lt;&gt;"Yes",$L92=""),0,$M92*IF(MATCH($L92,MonthList,0)&lt;=7,12,19-MATCH($L92,MonthList,0))/12)</f>
        <v>0</v>
      </c>
      <c r="P92" s="21" t="s">
        <v>59</v>
      </c>
      <c r="Q92" s="21"/>
      <c r="R92" s="20" t="n">
        <f aca="false">IF(AND($P92="Yes",$G92&lt;&gt;"Vendor day rates"),$J92-0.4*$I92,0)</f>
        <v>0</v>
      </c>
      <c r="S92" s="20" t="n">
        <f aca="false">IF(OR($P92&lt;&gt;"Yes",$Q92=""),0,$R92*MAX(0,7-MATCH($Q92,MonthList,0))/12)</f>
        <v>0</v>
      </c>
      <c r="T92" s="20" t="n">
        <f aca="false">IF(OR($P92&lt;&gt;"Yes",$Q92=""),0,$R92*IF(MATCH($Q92,MonthList,0)&lt;=7,12,19-MATCH($Q92,MonthList,0))/12)</f>
        <v>0</v>
      </c>
      <c r="U92" s="21" t="s">
        <v>59</v>
      </c>
      <c r="V92" s="21"/>
      <c r="W92" s="20" t="n">
        <f aca="false">IF(AND($U92="Yes",$G92&lt;&gt;"Vendor day rates"),$J92-0.4*$I92,0)</f>
        <v>0</v>
      </c>
      <c r="X92" s="20" t="n">
        <f aca="false">IF(OR($U92&lt;&gt;"Yes",$V92=""),0,$W92*MAX(0,7-MATCH($V92,MonthList,0))/12)</f>
        <v>0</v>
      </c>
      <c r="Y92" s="20" t="n">
        <f aca="false">IF(OR($U92&lt;&gt;"Yes",$V92=""),0,$W92*IF(MATCH($V92,MonthList,0)&lt;=7,12,19-MATCH($V92,MonthList,0))/12)</f>
        <v>0</v>
      </c>
    </row>
    <row r="93" customFormat="false" ht="15" hidden="false" customHeight="true" outlineLevel="0" collapsed="false">
      <c r="B93" s="22" t="s">
        <v>250</v>
      </c>
      <c r="C93" s="22" t="s">
        <v>251</v>
      </c>
      <c r="D93" s="22" t="s">
        <v>23</v>
      </c>
      <c r="E93" s="22" t="s">
        <v>165</v>
      </c>
      <c r="F93" s="23" t="s">
        <v>57</v>
      </c>
      <c r="G93" s="23" t="s">
        <v>58</v>
      </c>
      <c r="H93" s="23" t="n">
        <v>1</v>
      </c>
      <c r="I93" s="24" t="n">
        <v>0.3304</v>
      </c>
      <c r="J93" s="24" t="n">
        <v>0.3304</v>
      </c>
      <c r="K93" s="21" t="s">
        <v>59</v>
      </c>
      <c r="L93" s="21"/>
      <c r="M93" s="24" t="n">
        <f aca="false">IF(AND($K93="Yes",$G93&lt;&gt;"Vendor day rates"),$J93-0.4*$I93,0)</f>
        <v>0</v>
      </c>
      <c r="N93" s="24" t="n">
        <f aca="false">IF(OR($K93&lt;&gt;"Yes",$L93=""),0,$M93*MAX(0,7-MATCH($L93,MonthList,0))/12)</f>
        <v>0</v>
      </c>
      <c r="O93" s="24" t="n">
        <f aca="false">IF(OR($K93&lt;&gt;"Yes",$L93=""),0,$M93*IF(MATCH($L93,MonthList,0)&lt;=7,12,19-MATCH($L93,MonthList,0))/12)</f>
        <v>0</v>
      </c>
      <c r="P93" s="21" t="s">
        <v>59</v>
      </c>
      <c r="Q93" s="21"/>
      <c r="R93" s="24" t="n">
        <f aca="false">IF(AND($P93="Yes",$G93&lt;&gt;"Vendor day rates"),$J93-0.4*$I93,0)</f>
        <v>0</v>
      </c>
      <c r="S93" s="24" t="n">
        <f aca="false">IF(OR($P93&lt;&gt;"Yes",$Q93=""),0,$R93*MAX(0,7-MATCH($Q93,MonthList,0))/12)</f>
        <v>0</v>
      </c>
      <c r="T93" s="24" t="n">
        <f aca="false">IF(OR($P93&lt;&gt;"Yes",$Q93=""),0,$R93*IF(MATCH($Q93,MonthList,0)&lt;=7,12,19-MATCH($Q93,MonthList,0))/12)</f>
        <v>0</v>
      </c>
      <c r="U93" s="21" t="s">
        <v>59</v>
      </c>
      <c r="V93" s="21"/>
      <c r="W93" s="24" t="n">
        <f aca="false">IF(AND($U93="Yes",$G93&lt;&gt;"Vendor day rates"),$J93-0.4*$I93,0)</f>
        <v>0</v>
      </c>
      <c r="X93" s="24" t="n">
        <f aca="false">IF(OR($U93&lt;&gt;"Yes",$V93=""),0,$W93*MAX(0,7-MATCH($V93,MonthList,0))/12)</f>
        <v>0</v>
      </c>
      <c r="Y93" s="24" t="n">
        <f aca="false">IF(OR($U93&lt;&gt;"Yes",$V93=""),0,$W93*IF(MATCH($V93,MonthList,0)&lt;=7,12,19-MATCH($V93,MonthList,0))/12)</f>
        <v>0</v>
      </c>
    </row>
    <row r="94" customFormat="false" ht="15" hidden="false" customHeight="true" outlineLevel="0" collapsed="false">
      <c r="B94" s="18" t="s">
        <v>252</v>
      </c>
      <c r="C94" s="18" t="s">
        <v>55</v>
      </c>
      <c r="D94" s="18" t="s">
        <v>23</v>
      </c>
      <c r="E94" s="18" t="s">
        <v>253</v>
      </c>
      <c r="F94" s="19" t="s">
        <v>109</v>
      </c>
      <c r="G94" s="19" t="s">
        <v>58</v>
      </c>
      <c r="H94" s="19" t="n">
        <v>1</v>
      </c>
      <c r="I94" s="20" t="n">
        <v>0.1858</v>
      </c>
      <c r="J94" s="20" t="n">
        <v>0.1858</v>
      </c>
      <c r="K94" s="21" t="s">
        <v>59</v>
      </c>
      <c r="L94" s="21"/>
      <c r="M94" s="20" t="n">
        <f aca="false">IF(AND($K94="Yes",$G94&lt;&gt;"Vendor day rates"),$J94-0.4*$I94,0)</f>
        <v>0</v>
      </c>
      <c r="N94" s="20" t="n">
        <f aca="false">IF(OR($K94&lt;&gt;"Yes",$L94=""),0,$M94*MAX(0,7-MATCH($L94,MonthList,0))/12)</f>
        <v>0</v>
      </c>
      <c r="O94" s="20" t="n">
        <f aca="false">IF(OR($K94&lt;&gt;"Yes",$L94=""),0,$M94*IF(MATCH($L94,MonthList,0)&lt;=7,12,19-MATCH($L94,MonthList,0))/12)</f>
        <v>0</v>
      </c>
      <c r="P94" s="21" t="s">
        <v>59</v>
      </c>
      <c r="Q94" s="21"/>
      <c r="R94" s="20" t="n">
        <f aca="false">IF(AND($P94="Yes",$G94&lt;&gt;"Vendor day rates"),$J94-0.4*$I94,0)</f>
        <v>0</v>
      </c>
      <c r="S94" s="20" t="n">
        <f aca="false">IF(OR($P94&lt;&gt;"Yes",$Q94=""),0,$R94*MAX(0,7-MATCH($Q94,MonthList,0))/12)</f>
        <v>0</v>
      </c>
      <c r="T94" s="20" t="n">
        <f aca="false">IF(OR($P94&lt;&gt;"Yes",$Q94=""),0,$R94*IF(MATCH($Q94,MonthList,0)&lt;=7,12,19-MATCH($Q94,MonthList,0))/12)</f>
        <v>0</v>
      </c>
      <c r="U94" s="21" t="s">
        <v>59</v>
      </c>
      <c r="V94" s="21"/>
      <c r="W94" s="20" t="n">
        <f aca="false">IF(AND($U94="Yes",$G94&lt;&gt;"Vendor day rates"),$J94-0.4*$I94,0)</f>
        <v>0</v>
      </c>
      <c r="X94" s="20" t="n">
        <f aca="false">IF(OR($U94&lt;&gt;"Yes",$V94=""),0,$W94*MAX(0,7-MATCH($V94,MonthList,0))/12)</f>
        <v>0</v>
      </c>
      <c r="Y94" s="20" t="n">
        <f aca="false">IF(OR($U94&lt;&gt;"Yes",$V94=""),0,$W94*IF(MATCH($V94,MonthList,0)&lt;=7,12,19-MATCH($V94,MonthList,0))/12)</f>
        <v>0</v>
      </c>
    </row>
    <row r="95" customFormat="false" ht="15" hidden="false" customHeight="true" outlineLevel="0" collapsed="false">
      <c r="B95" s="22" t="s">
        <v>254</v>
      </c>
      <c r="C95" s="22" t="s">
        <v>255</v>
      </c>
      <c r="D95" s="22" t="s">
        <v>19</v>
      </c>
      <c r="E95" s="22" t="s">
        <v>165</v>
      </c>
      <c r="F95" s="23" t="s">
        <v>109</v>
      </c>
      <c r="G95" s="23" t="s">
        <v>58</v>
      </c>
      <c r="H95" s="23" t="n">
        <v>1</v>
      </c>
      <c r="I95" s="24" t="n">
        <v>0.2096</v>
      </c>
      <c r="J95" s="24" t="n">
        <v>0.2096</v>
      </c>
      <c r="K95" s="21" t="s">
        <v>59</v>
      </c>
      <c r="L95" s="21"/>
      <c r="M95" s="24" t="n">
        <f aca="false">IF(AND($K95="Yes",$G95&lt;&gt;"Vendor day rates"),$J95-0.4*$I95,0)</f>
        <v>0</v>
      </c>
      <c r="N95" s="24" t="n">
        <f aca="false">IF(OR($K95&lt;&gt;"Yes",$L95=""),0,$M95*MAX(0,7-MATCH($L95,MonthList,0))/12)</f>
        <v>0</v>
      </c>
      <c r="O95" s="24" t="n">
        <f aca="false">IF(OR($K95&lt;&gt;"Yes",$L95=""),0,$M95*IF(MATCH($L95,MonthList,0)&lt;=7,12,19-MATCH($L95,MonthList,0))/12)</f>
        <v>0</v>
      </c>
      <c r="P95" s="21" t="s">
        <v>59</v>
      </c>
      <c r="Q95" s="21"/>
      <c r="R95" s="24" t="n">
        <f aca="false">IF(AND($P95="Yes",$G95&lt;&gt;"Vendor day rates"),$J95-0.4*$I95,0)</f>
        <v>0</v>
      </c>
      <c r="S95" s="24" t="n">
        <f aca="false">IF(OR($P95&lt;&gt;"Yes",$Q95=""),0,$R95*MAX(0,7-MATCH($Q95,MonthList,0))/12)</f>
        <v>0</v>
      </c>
      <c r="T95" s="24" t="n">
        <f aca="false">IF(OR($P95&lt;&gt;"Yes",$Q95=""),0,$R95*IF(MATCH($Q95,MonthList,0)&lt;=7,12,19-MATCH($Q95,MonthList,0))/12)</f>
        <v>0</v>
      </c>
      <c r="U95" s="21" t="s">
        <v>59</v>
      </c>
      <c r="V95" s="21"/>
      <c r="W95" s="24" t="n">
        <f aca="false">IF(AND($U95="Yes",$G95&lt;&gt;"Vendor day rates"),$J95-0.4*$I95,0)</f>
        <v>0</v>
      </c>
      <c r="X95" s="24" t="n">
        <f aca="false">IF(OR($U95&lt;&gt;"Yes",$V95=""),0,$W95*MAX(0,7-MATCH($V95,MonthList,0))/12)</f>
        <v>0</v>
      </c>
      <c r="Y95" s="24" t="n">
        <f aca="false">IF(OR($U95&lt;&gt;"Yes",$V95=""),0,$W95*IF(MATCH($V95,MonthList,0)&lt;=7,12,19-MATCH($V95,MonthList,0))/12)</f>
        <v>0</v>
      </c>
    </row>
    <row r="96" customFormat="false" ht="15" hidden="false" customHeight="true" outlineLevel="0" collapsed="false">
      <c r="B96" s="18" t="s">
        <v>256</v>
      </c>
      <c r="C96" s="18" t="s">
        <v>257</v>
      </c>
      <c r="D96" s="18" t="s">
        <v>19</v>
      </c>
      <c r="E96" s="18" t="s">
        <v>165</v>
      </c>
      <c r="F96" s="19" t="s">
        <v>57</v>
      </c>
      <c r="G96" s="19" t="s">
        <v>58</v>
      </c>
      <c r="H96" s="19" t="n">
        <v>1</v>
      </c>
      <c r="I96" s="20" t="n">
        <v>0.2946</v>
      </c>
      <c r="J96" s="20" t="n">
        <v>0.2946</v>
      </c>
      <c r="K96" s="21" t="s">
        <v>59</v>
      </c>
      <c r="L96" s="21"/>
      <c r="M96" s="20" t="n">
        <f aca="false">IF(AND($K96="Yes",$G96&lt;&gt;"Vendor day rates"),$J96-0.4*$I96,0)</f>
        <v>0</v>
      </c>
      <c r="N96" s="20" t="n">
        <f aca="false">IF(OR($K96&lt;&gt;"Yes",$L96=""),0,$M96*MAX(0,7-MATCH($L96,MonthList,0))/12)</f>
        <v>0</v>
      </c>
      <c r="O96" s="20" t="n">
        <f aca="false">IF(OR($K96&lt;&gt;"Yes",$L96=""),0,$M96*IF(MATCH($L96,MonthList,0)&lt;=7,12,19-MATCH($L96,MonthList,0))/12)</f>
        <v>0</v>
      </c>
      <c r="P96" s="21" t="s">
        <v>59</v>
      </c>
      <c r="Q96" s="21"/>
      <c r="R96" s="20" t="n">
        <f aca="false">IF(AND($P96="Yes",$G96&lt;&gt;"Vendor day rates"),$J96-0.4*$I96,0)</f>
        <v>0</v>
      </c>
      <c r="S96" s="20" t="n">
        <f aca="false">IF(OR($P96&lt;&gt;"Yes",$Q96=""),0,$R96*MAX(0,7-MATCH($Q96,MonthList,0))/12)</f>
        <v>0</v>
      </c>
      <c r="T96" s="20" t="n">
        <f aca="false">IF(OR($P96&lt;&gt;"Yes",$Q96=""),0,$R96*IF(MATCH($Q96,MonthList,0)&lt;=7,12,19-MATCH($Q96,MonthList,0))/12)</f>
        <v>0</v>
      </c>
      <c r="U96" s="21" t="s">
        <v>59</v>
      </c>
      <c r="V96" s="21"/>
      <c r="W96" s="20" t="n">
        <f aca="false">IF(AND($U96="Yes",$G96&lt;&gt;"Vendor day rates"),$J96-0.4*$I96,0)</f>
        <v>0</v>
      </c>
      <c r="X96" s="20" t="n">
        <f aca="false">IF(OR($U96&lt;&gt;"Yes",$V96=""),0,$W96*MAX(0,7-MATCH($V96,MonthList,0))/12)</f>
        <v>0</v>
      </c>
      <c r="Y96" s="20" t="n">
        <f aca="false">IF(OR($U96&lt;&gt;"Yes",$V96=""),0,$W96*IF(MATCH($V96,MonthList,0)&lt;=7,12,19-MATCH($V96,MonthList,0))/12)</f>
        <v>0</v>
      </c>
    </row>
    <row r="97" customFormat="false" ht="15" hidden="false" customHeight="true" outlineLevel="0" collapsed="false">
      <c r="B97" s="22" t="s">
        <v>258</v>
      </c>
      <c r="C97" s="22" t="s">
        <v>229</v>
      </c>
      <c r="D97" s="22" t="s">
        <v>19</v>
      </c>
      <c r="E97" s="22" t="s">
        <v>205</v>
      </c>
      <c r="F97" s="23" t="s">
        <v>57</v>
      </c>
      <c r="G97" s="23" t="s">
        <v>145</v>
      </c>
      <c r="H97" s="23" t="n">
        <v>1</v>
      </c>
      <c r="I97" s="24" t="n">
        <v>0.2758</v>
      </c>
      <c r="J97" s="24" t="n">
        <v>0.2758</v>
      </c>
      <c r="K97" s="21" t="s">
        <v>59</v>
      </c>
      <c r="L97" s="21"/>
      <c r="M97" s="24" t="n">
        <f aca="false">IF(AND($K97="Yes",$G97&lt;&gt;"Vendor day rates"),$J97-0.4*$I97,0)</f>
        <v>0</v>
      </c>
      <c r="N97" s="24" t="n">
        <f aca="false">IF(OR($K97&lt;&gt;"Yes",$L97=""),0,$M97*MAX(0,7-MATCH($L97,MonthList,0))/12)</f>
        <v>0</v>
      </c>
      <c r="O97" s="24" t="n">
        <f aca="false">IF(OR($K97&lt;&gt;"Yes",$L97=""),0,$M97*IF(MATCH($L97,MonthList,0)&lt;=7,12,19-MATCH($L97,MonthList,0))/12)</f>
        <v>0</v>
      </c>
      <c r="P97" s="21" t="s">
        <v>59</v>
      </c>
      <c r="Q97" s="21"/>
      <c r="R97" s="24" t="n">
        <f aca="false">IF(AND($P97="Yes",$G97&lt;&gt;"Vendor day rates"),$J97-0.4*$I97,0)</f>
        <v>0</v>
      </c>
      <c r="S97" s="24" t="n">
        <f aca="false">IF(OR($P97&lt;&gt;"Yes",$Q97=""),0,$R97*MAX(0,7-MATCH($Q97,MonthList,0))/12)</f>
        <v>0</v>
      </c>
      <c r="T97" s="24" t="n">
        <f aca="false">IF(OR($P97&lt;&gt;"Yes",$Q97=""),0,$R97*IF(MATCH($Q97,MonthList,0)&lt;=7,12,19-MATCH($Q97,MonthList,0))/12)</f>
        <v>0</v>
      </c>
      <c r="U97" s="21" t="s">
        <v>59</v>
      </c>
      <c r="V97" s="21"/>
      <c r="W97" s="24" t="n">
        <f aca="false">IF(AND($U97="Yes",$G97&lt;&gt;"Vendor day rates"),$J97-0.4*$I97,0)</f>
        <v>0</v>
      </c>
      <c r="X97" s="24" t="n">
        <f aca="false">IF(OR($U97&lt;&gt;"Yes",$V97=""),0,$W97*MAX(0,7-MATCH($V97,MonthList,0))/12)</f>
        <v>0</v>
      </c>
      <c r="Y97" s="24" t="n">
        <f aca="false">IF(OR($U97&lt;&gt;"Yes",$V97=""),0,$W97*IF(MATCH($V97,MonthList,0)&lt;=7,12,19-MATCH($V97,MonthList,0))/12)</f>
        <v>0</v>
      </c>
    </row>
    <row r="98" customFormat="false" ht="15" hidden="false" customHeight="true" outlineLevel="0" collapsed="false">
      <c r="B98" s="18" t="s">
        <v>259</v>
      </c>
      <c r="C98" s="18" t="s">
        <v>260</v>
      </c>
      <c r="D98" s="18" t="s">
        <v>29</v>
      </c>
      <c r="E98" s="18" t="s">
        <v>165</v>
      </c>
      <c r="F98" s="19" t="s">
        <v>57</v>
      </c>
      <c r="G98" s="19" t="s">
        <v>58</v>
      </c>
      <c r="H98" s="19" t="n">
        <v>1</v>
      </c>
      <c r="I98" s="20" t="n">
        <v>0.2243</v>
      </c>
      <c r="J98" s="20" t="n">
        <v>0.2243</v>
      </c>
      <c r="K98" s="21" t="s">
        <v>59</v>
      </c>
      <c r="L98" s="21"/>
      <c r="M98" s="20" t="n">
        <f aca="false">IF(AND($K98="Yes",$G98&lt;&gt;"Vendor day rates"),$J98-0.4*$I98,0)</f>
        <v>0</v>
      </c>
      <c r="N98" s="20" t="n">
        <f aca="false">IF(OR($K98&lt;&gt;"Yes",$L98=""),0,$M98*MAX(0,7-MATCH($L98,MonthList,0))/12)</f>
        <v>0</v>
      </c>
      <c r="O98" s="20" t="n">
        <f aca="false">IF(OR($K98&lt;&gt;"Yes",$L98=""),0,$M98*IF(MATCH($L98,MonthList,0)&lt;=7,12,19-MATCH($L98,MonthList,0))/12)</f>
        <v>0</v>
      </c>
      <c r="P98" s="21" t="s">
        <v>59</v>
      </c>
      <c r="Q98" s="21"/>
      <c r="R98" s="20" t="n">
        <f aca="false">IF(AND($P98="Yes",$G98&lt;&gt;"Vendor day rates"),$J98-0.4*$I98,0)</f>
        <v>0</v>
      </c>
      <c r="S98" s="20" t="n">
        <f aca="false">IF(OR($P98&lt;&gt;"Yes",$Q98=""),0,$R98*MAX(0,7-MATCH($Q98,MonthList,0))/12)</f>
        <v>0</v>
      </c>
      <c r="T98" s="20" t="n">
        <f aca="false">IF(OR($P98&lt;&gt;"Yes",$Q98=""),0,$R98*IF(MATCH($Q98,MonthList,0)&lt;=7,12,19-MATCH($Q98,MonthList,0))/12)</f>
        <v>0</v>
      </c>
      <c r="U98" s="21" t="s">
        <v>59</v>
      </c>
      <c r="V98" s="21"/>
      <c r="W98" s="20" t="n">
        <f aca="false">IF(AND($U98="Yes",$G98&lt;&gt;"Vendor day rates"),$J98-0.4*$I98,0)</f>
        <v>0</v>
      </c>
      <c r="X98" s="20" t="n">
        <f aca="false">IF(OR($U98&lt;&gt;"Yes",$V98=""),0,$W98*MAX(0,7-MATCH($V98,MonthList,0))/12)</f>
        <v>0</v>
      </c>
      <c r="Y98" s="20" t="n">
        <f aca="false">IF(OR($U98&lt;&gt;"Yes",$V98=""),0,$W98*IF(MATCH($V98,MonthList,0)&lt;=7,12,19-MATCH($V98,MonthList,0))/12)</f>
        <v>0</v>
      </c>
    </row>
    <row r="99" customFormat="false" ht="15" hidden="false" customHeight="true" outlineLevel="0" collapsed="false">
      <c r="B99" s="22" t="s">
        <v>261</v>
      </c>
      <c r="C99" s="22" t="s">
        <v>205</v>
      </c>
      <c r="D99" s="22" t="s">
        <v>29</v>
      </c>
      <c r="E99" s="22" t="s">
        <v>205</v>
      </c>
      <c r="F99" s="23" t="s">
        <v>57</v>
      </c>
      <c r="G99" s="23" t="s">
        <v>58</v>
      </c>
      <c r="H99" s="23" t="n">
        <v>0.7</v>
      </c>
      <c r="I99" s="24" t="n">
        <v>0.2121</v>
      </c>
      <c r="J99" s="24" t="n">
        <v>0.2121</v>
      </c>
      <c r="K99" s="21" t="s">
        <v>59</v>
      </c>
      <c r="L99" s="21"/>
      <c r="M99" s="24" t="n">
        <f aca="false">IF(AND($K99="Yes",$G99&lt;&gt;"Vendor day rates"),$J99-0.4*$I99,0)</f>
        <v>0</v>
      </c>
      <c r="N99" s="24" t="n">
        <f aca="false">IF(OR($K99&lt;&gt;"Yes",$L99=""),0,$M99*MAX(0,7-MATCH($L99,MonthList,0))/12)</f>
        <v>0</v>
      </c>
      <c r="O99" s="24" t="n">
        <f aca="false">IF(OR($K99&lt;&gt;"Yes",$L99=""),0,$M99*IF(MATCH($L99,MonthList,0)&lt;=7,12,19-MATCH($L99,MonthList,0))/12)</f>
        <v>0</v>
      </c>
      <c r="P99" s="21" t="s">
        <v>59</v>
      </c>
      <c r="Q99" s="21"/>
      <c r="R99" s="24" t="n">
        <f aca="false">IF(AND($P99="Yes",$G99&lt;&gt;"Vendor day rates"),$J99-0.4*$I99,0)</f>
        <v>0</v>
      </c>
      <c r="S99" s="24" t="n">
        <f aca="false">IF(OR($P99&lt;&gt;"Yes",$Q99=""),0,$R99*MAX(0,7-MATCH($Q99,MonthList,0))/12)</f>
        <v>0</v>
      </c>
      <c r="T99" s="24" t="n">
        <f aca="false">IF(OR($P99&lt;&gt;"Yes",$Q99=""),0,$R99*IF(MATCH($Q99,MonthList,0)&lt;=7,12,19-MATCH($Q99,MonthList,0))/12)</f>
        <v>0</v>
      </c>
      <c r="U99" s="21" t="s">
        <v>59</v>
      </c>
      <c r="V99" s="21"/>
      <c r="W99" s="24" t="n">
        <f aca="false">IF(AND($U99="Yes",$G99&lt;&gt;"Vendor day rates"),$J99-0.4*$I99,0)</f>
        <v>0</v>
      </c>
      <c r="X99" s="24" t="n">
        <f aca="false">IF(OR($U99&lt;&gt;"Yes",$V99=""),0,$W99*MAX(0,7-MATCH($V99,MonthList,0))/12)</f>
        <v>0</v>
      </c>
      <c r="Y99" s="24" t="n">
        <f aca="false">IF(OR($U99&lt;&gt;"Yes",$V99=""),0,$W99*IF(MATCH($V99,MonthList,0)&lt;=7,12,19-MATCH($V99,MonthList,0))/12)</f>
        <v>0</v>
      </c>
    </row>
    <row r="100" customFormat="false" ht="15" hidden="false" customHeight="true" outlineLevel="0" collapsed="false">
      <c r="B100" s="18" t="s">
        <v>262</v>
      </c>
      <c r="C100" s="18" t="s">
        <v>263</v>
      </c>
      <c r="D100" s="18" t="s">
        <v>29</v>
      </c>
      <c r="E100" s="18" t="s">
        <v>165</v>
      </c>
      <c r="F100" s="19" t="s">
        <v>57</v>
      </c>
      <c r="G100" s="19" t="s">
        <v>58</v>
      </c>
      <c r="H100" s="19" t="n">
        <v>1</v>
      </c>
      <c r="I100" s="20" t="n">
        <v>0.2846</v>
      </c>
      <c r="J100" s="20" t="n">
        <v>0.2846</v>
      </c>
      <c r="K100" s="21" t="s">
        <v>59</v>
      </c>
      <c r="L100" s="21"/>
      <c r="M100" s="20" t="n">
        <f aca="false">IF(AND($K100="Yes",$G100&lt;&gt;"Vendor day rates"),$J100-0.4*$I100,0)</f>
        <v>0</v>
      </c>
      <c r="N100" s="20" t="n">
        <f aca="false">IF(OR($K100&lt;&gt;"Yes",$L100=""),0,$M100*MAX(0,7-MATCH($L100,MonthList,0))/12)</f>
        <v>0</v>
      </c>
      <c r="O100" s="20" t="n">
        <f aca="false">IF(OR($K100&lt;&gt;"Yes",$L100=""),0,$M100*IF(MATCH($L100,MonthList,0)&lt;=7,12,19-MATCH($L100,MonthList,0))/12)</f>
        <v>0</v>
      </c>
      <c r="P100" s="21" t="s">
        <v>59</v>
      </c>
      <c r="Q100" s="21"/>
      <c r="R100" s="20" t="n">
        <f aca="false">IF(AND($P100="Yes",$G100&lt;&gt;"Vendor day rates"),$J100-0.4*$I100,0)</f>
        <v>0</v>
      </c>
      <c r="S100" s="20" t="n">
        <f aca="false">IF(OR($P100&lt;&gt;"Yes",$Q100=""),0,$R100*MAX(0,7-MATCH($Q100,MonthList,0))/12)</f>
        <v>0</v>
      </c>
      <c r="T100" s="20" t="n">
        <f aca="false">IF(OR($P100&lt;&gt;"Yes",$Q100=""),0,$R100*IF(MATCH($Q100,MonthList,0)&lt;=7,12,19-MATCH($Q100,MonthList,0))/12)</f>
        <v>0</v>
      </c>
      <c r="U100" s="21" t="s">
        <v>59</v>
      </c>
      <c r="V100" s="21"/>
      <c r="W100" s="20" t="n">
        <f aca="false">IF(AND($U100="Yes",$G100&lt;&gt;"Vendor day rates"),$J100-0.4*$I100,0)</f>
        <v>0</v>
      </c>
      <c r="X100" s="20" t="n">
        <f aca="false">IF(OR($U100&lt;&gt;"Yes",$V100=""),0,$W100*MAX(0,7-MATCH($V100,MonthList,0))/12)</f>
        <v>0</v>
      </c>
      <c r="Y100" s="20" t="n">
        <f aca="false">IF(OR($U100&lt;&gt;"Yes",$V100=""),0,$W100*IF(MATCH($V100,MonthList,0)&lt;=7,12,19-MATCH($V100,MonthList,0))/12)</f>
        <v>0</v>
      </c>
    </row>
    <row r="101" customFormat="false" ht="15" hidden="false" customHeight="true" outlineLevel="0" collapsed="false">
      <c r="B101" s="22" t="s">
        <v>264</v>
      </c>
      <c r="C101" s="22" t="s">
        <v>265</v>
      </c>
      <c r="D101" s="22" t="s">
        <v>26</v>
      </c>
      <c r="E101" s="22" t="s">
        <v>180</v>
      </c>
      <c r="F101" s="23" t="s">
        <v>57</v>
      </c>
      <c r="G101" s="23" t="s">
        <v>58</v>
      </c>
      <c r="H101" s="23" t="n">
        <v>1</v>
      </c>
      <c r="I101" s="24" t="n">
        <v>0.2981</v>
      </c>
      <c r="J101" s="24" t="n">
        <v>0.2981</v>
      </c>
      <c r="K101" s="21" t="s">
        <v>59</v>
      </c>
      <c r="L101" s="21"/>
      <c r="M101" s="24" t="n">
        <f aca="false">IF(AND($K101="Yes",$G101&lt;&gt;"Vendor day rates"),$J101-0.4*$I101,0)</f>
        <v>0</v>
      </c>
      <c r="N101" s="24" t="n">
        <f aca="false">IF(OR($K101&lt;&gt;"Yes",$L101=""),0,$M101*MAX(0,7-MATCH($L101,MonthList,0))/12)</f>
        <v>0</v>
      </c>
      <c r="O101" s="24" t="n">
        <f aca="false">IF(OR($K101&lt;&gt;"Yes",$L101=""),0,$M101*IF(MATCH($L101,MonthList,0)&lt;=7,12,19-MATCH($L101,MonthList,0))/12)</f>
        <v>0</v>
      </c>
      <c r="P101" s="21" t="s">
        <v>59</v>
      </c>
      <c r="Q101" s="21"/>
      <c r="R101" s="24" t="n">
        <f aca="false">IF(AND($P101="Yes",$G101&lt;&gt;"Vendor day rates"),$J101-0.4*$I101,0)</f>
        <v>0</v>
      </c>
      <c r="S101" s="24" t="n">
        <f aca="false">IF(OR($P101&lt;&gt;"Yes",$Q101=""),0,$R101*MAX(0,7-MATCH($Q101,MonthList,0))/12)</f>
        <v>0</v>
      </c>
      <c r="T101" s="24" t="n">
        <f aca="false">IF(OR($P101&lt;&gt;"Yes",$Q101=""),0,$R101*IF(MATCH($Q101,MonthList,0)&lt;=7,12,19-MATCH($Q101,MonthList,0))/12)</f>
        <v>0</v>
      </c>
      <c r="U101" s="21" t="s">
        <v>59</v>
      </c>
      <c r="V101" s="21"/>
      <c r="W101" s="24" t="n">
        <f aca="false">IF(AND($U101="Yes",$G101&lt;&gt;"Vendor day rates"),$J101-0.4*$I101,0)</f>
        <v>0</v>
      </c>
      <c r="X101" s="24" t="n">
        <f aca="false">IF(OR($U101&lt;&gt;"Yes",$V101=""),0,$W101*MAX(0,7-MATCH($V101,MonthList,0))/12)</f>
        <v>0</v>
      </c>
      <c r="Y101" s="24" t="n">
        <f aca="false">IF(OR($U101&lt;&gt;"Yes",$V101=""),0,$W101*IF(MATCH($V101,MonthList,0)&lt;=7,12,19-MATCH($V101,MonthList,0))/12)</f>
        <v>0</v>
      </c>
    </row>
    <row r="102" customFormat="false" ht="15" hidden="false" customHeight="true" outlineLevel="0" collapsed="false">
      <c r="B102" s="18" t="s">
        <v>266</v>
      </c>
      <c r="C102" s="18" t="s">
        <v>267</v>
      </c>
      <c r="D102" s="18" t="s">
        <v>20</v>
      </c>
      <c r="E102" s="18" t="s">
        <v>165</v>
      </c>
      <c r="F102" s="19" t="s">
        <v>57</v>
      </c>
      <c r="G102" s="19" t="s">
        <v>58</v>
      </c>
      <c r="H102" s="19" t="n">
        <v>1</v>
      </c>
      <c r="I102" s="20" t="n">
        <v>0.2873</v>
      </c>
      <c r="J102" s="20" t="n">
        <v>0.2873</v>
      </c>
      <c r="K102" s="21" t="s">
        <v>59</v>
      </c>
      <c r="L102" s="21"/>
      <c r="M102" s="20" t="n">
        <f aca="false">IF(AND($K102="Yes",$G102&lt;&gt;"Vendor day rates"),$J102-0.4*$I102,0)</f>
        <v>0</v>
      </c>
      <c r="N102" s="20" t="n">
        <f aca="false">IF(OR($K102&lt;&gt;"Yes",$L102=""),0,$M102*MAX(0,7-MATCH($L102,MonthList,0))/12)</f>
        <v>0</v>
      </c>
      <c r="O102" s="20" t="n">
        <f aca="false">IF(OR($K102&lt;&gt;"Yes",$L102=""),0,$M102*IF(MATCH($L102,MonthList,0)&lt;=7,12,19-MATCH($L102,MonthList,0))/12)</f>
        <v>0</v>
      </c>
      <c r="P102" s="21" t="s">
        <v>59</v>
      </c>
      <c r="Q102" s="21"/>
      <c r="R102" s="20" t="n">
        <f aca="false">IF(AND($P102="Yes",$G102&lt;&gt;"Vendor day rates"),$J102-0.4*$I102,0)</f>
        <v>0</v>
      </c>
      <c r="S102" s="20" t="n">
        <f aca="false">IF(OR($P102&lt;&gt;"Yes",$Q102=""),0,$R102*MAX(0,7-MATCH($Q102,MonthList,0))/12)</f>
        <v>0</v>
      </c>
      <c r="T102" s="20" t="n">
        <f aca="false">IF(OR($P102&lt;&gt;"Yes",$Q102=""),0,$R102*IF(MATCH($Q102,MonthList,0)&lt;=7,12,19-MATCH($Q102,MonthList,0))/12)</f>
        <v>0</v>
      </c>
      <c r="U102" s="21" t="s">
        <v>59</v>
      </c>
      <c r="V102" s="21"/>
      <c r="W102" s="20" t="n">
        <f aca="false">IF(AND($U102="Yes",$G102&lt;&gt;"Vendor day rates"),$J102-0.4*$I102,0)</f>
        <v>0</v>
      </c>
      <c r="X102" s="20" t="n">
        <f aca="false">IF(OR($U102&lt;&gt;"Yes",$V102=""),0,$W102*MAX(0,7-MATCH($V102,MonthList,0))/12)</f>
        <v>0</v>
      </c>
      <c r="Y102" s="20" t="n">
        <f aca="false">IF(OR($U102&lt;&gt;"Yes",$V102=""),0,$W102*IF(MATCH($V102,MonthList,0)&lt;=7,12,19-MATCH($V102,MonthList,0))/12)</f>
        <v>0</v>
      </c>
    </row>
    <row r="103" customFormat="false" ht="15" hidden="false" customHeight="true" outlineLevel="0" collapsed="false">
      <c r="B103" s="22" t="s">
        <v>268</v>
      </c>
      <c r="C103" s="22" t="s">
        <v>205</v>
      </c>
      <c r="D103" s="22" t="s">
        <v>20</v>
      </c>
      <c r="E103" s="22" t="s">
        <v>205</v>
      </c>
      <c r="F103" s="23" t="s">
        <v>57</v>
      </c>
      <c r="G103" s="23" t="s">
        <v>145</v>
      </c>
      <c r="H103" s="23" t="n">
        <v>1</v>
      </c>
      <c r="I103" s="24" t="n">
        <v>0.2758</v>
      </c>
      <c r="J103" s="24" t="n">
        <v>0.2758</v>
      </c>
      <c r="K103" s="21" t="s">
        <v>59</v>
      </c>
      <c r="L103" s="21"/>
      <c r="M103" s="24" t="n">
        <f aca="false">IF(AND($K103="Yes",$G103&lt;&gt;"Vendor day rates"),$J103-0.4*$I103,0)</f>
        <v>0</v>
      </c>
      <c r="N103" s="24" t="n">
        <f aca="false">IF(OR($K103&lt;&gt;"Yes",$L103=""),0,$M103*MAX(0,7-MATCH($L103,MonthList,0))/12)</f>
        <v>0</v>
      </c>
      <c r="O103" s="24" t="n">
        <f aca="false">IF(OR($K103&lt;&gt;"Yes",$L103=""),0,$M103*IF(MATCH($L103,MonthList,0)&lt;=7,12,19-MATCH($L103,MonthList,0))/12)</f>
        <v>0</v>
      </c>
      <c r="P103" s="21" t="s">
        <v>59</v>
      </c>
      <c r="Q103" s="21"/>
      <c r="R103" s="24" t="n">
        <f aca="false">IF(AND($P103="Yes",$G103&lt;&gt;"Vendor day rates"),$J103-0.4*$I103,0)</f>
        <v>0</v>
      </c>
      <c r="S103" s="24" t="n">
        <f aca="false">IF(OR($P103&lt;&gt;"Yes",$Q103=""),0,$R103*MAX(0,7-MATCH($Q103,MonthList,0))/12)</f>
        <v>0</v>
      </c>
      <c r="T103" s="24" t="n">
        <f aca="false">IF(OR($P103&lt;&gt;"Yes",$Q103=""),0,$R103*IF(MATCH($Q103,MonthList,0)&lt;=7,12,19-MATCH($Q103,MonthList,0))/12)</f>
        <v>0</v>
      </c>
      <c r="U103" s="21" t="s">
        <v>59</v>
      </c>
      <c r="V103" s="21"/>
      <c r="W103" s="24" t="n">
        <f aca="false">IF(AND($U103="Yes",$G103&lt;&gt;"Vendor day rates"),$J103-0.4*$I103,0)</f>
        <v>0</v>
      </c>
      <c r="X103" s="24" t="n">
        <f aca="false">IF(OR($U103&lt;&gt;"Yes",$V103=""),0,$W103*MAX(0,7-MATCH($V103,MonthList,0))/12)</f>
        <v>0</v>
      </c>
      <c r="Y103" s="24" t="n">
        <f aca="false">IF(OR($U103&lt;&gt;"Yes",$V103=""),0,$W103*IF(MATCH($V103,MonthList,0)&lt;=7,12,19-MATCH($V103,MonthList,0))/12)</f>
        <v>0</v>
      </c>
    </row>
    <row r="104" customFormat="false" ht="15" hidden="false" customHeight="true" outlineLevel="0" collapsed="false">
      <c r="B104" s="18" t="s">
        <v>269</v>
      </c>
      <c r="C104" s="18" t="s">
        <v>270</v>
      </c>
      <c r="D104" s="18" t="s">
        <v>20</v>
      </c>
      <c r="E104" s="18" t="s">
        <v>165</v>
      </c>
      <c r="F104" s="19" t="s">
        <v>57</v>
      </c>
      <c r="G104" s="19" t="s">
        <v>145</v>
      </c>
      <c r="H104" s="19" t="n">
        <v>1</v>
      </c>
      <c r="I104" s="20" t="n">
        <v>0.2758</v>
      </c>
      <c r="J104" s="20" t="n">
        <v>0.2758</v>
      </c>
      <c r="K104" s="21" t="s">
        <v>59</v>
      </c>
      <c r="L104" s="21"/>
      <c r="M104" s="20" t="n">
        <f aca="false">IF(AND($K104="Yes",$G104&lt;&gt;"Vendor day rates"),$J104-0.4*$I104,0)</f>
        <v>0</v>
      </c>
      <c r="N104" s="20" t="n">
        <f aca="false">IF(OR($K104&lt;&gt;"Yes",$L104=""),0,$M104*MAX(0,7-MATCH($L104,MonthList,0))/12)</f>
        <v>0</v>
      </c>
      <c r="O104" s="20" t="n">
        <f aca="false">IF(OR($K104&lt;&gt;"Yes",$L104=""),0,$M104*IF(MATCH($L104,MonthList,0)&lt;=7,12,19-MATCH($L104,MonthList,0))/12)</f>
        <v>0</v>
      </c>
      <c r="P104" s="21" t="s">
        <v>59</v>
      </c>
      <c r="Q104" s="21"/>
      <c r="R104" s="20" t="n">
        <f aca="false">IF(AND($P104="Yes",$G104&lt;&gt;"Vendor day rates"),$J104-0.4*$I104,0)</f>
        <v>0</v>
      </c>
      <c r="S104" s="20" t="n">
        <f aca="false">IF(OR($P104&lt;&gt;"Yes",$Q104=""),0,$R104*MAX(0,7-MATCH($Q104,MonthList,0))/12)</f>
        <v>0</v>
      </c>
      <c r="T104" s="20" t="n">
        <f aca="false">IF(OR($P104&lt;&gt;"Yes",$Q104=""),0,$R104*IF(MATCH($Q104,MonthList,0)&lt;=7,12,19-MATCH($Q104,MonthList,0))/12)</f>
        <v>0</v>
      </c>
      <c r="U104" s="21" t="s">
        <v>59</v>
      </c>
      <c r="V104" s="21"/>
      <c r="W104" s="20" t="n">
        <f aca="false">IF(AND($U104="Yes",$G104&lt;&gt;"Vendor day rates"),$J104-0.4*$I104,0)</f>
        <v>0</v>
      </c>
      <c r="X104" s="20" t="n">
        <f aca="false">IF(OR($U104&lt;&gt;"Yes",$V104=""),0,$W104*MAX(0,7-MATCH($V104,MonthList,0))/12)</f>
        <v>0</v>
      </c>
      <c r="Y104" s="20" t="n">
        <f aca="false">IF(OR($U104&lt;&gt;"Yes",$V104=""),0,$W104*IF(MATCH($V104,MonthList,0)&lt;=7,12,19-MATCH($V104,MonthList,0))/12)</f>
        <v>0</v>
      </c>
    </row>
    <row r="105" customFormat="false" ht="15" hidden="false" customHeight="true" outlineLevel="0" collapsed="false">
      <c r="B105" s="22" t="s">
        <v>271</v>
      </c>
      <c r="C105" s="22" t="s">
        <v>272</v>
      </c>
      <c r="D105" s="22" t="s">
        <v>26</v>
      </c>
      <c r="E105" s="22" t="s">
        <v>160</v>
      </c>
      <c r="F105" s="23" t="s">
        <v>57</v>
      </c>
      <c r="G105" s="23" t="s">
        <v>58</v>
      </c>
      <c r="H105" s="23" t="n">
        <v>1</v>
      </c>
      <c r="I105" s="24" t="n">
        <v>0.2721</v>
      </c>
      <c r="J105" s="24" t="n">
        <v>0.2721</v>
      </c>
      <c r="K105" s="21" t="s">
        <v>59</v>
      </c>
      <c r="L105" s="21"/>
      <c r="M105" s="24" t="n">
        <f aca="false">IF(AND($K105="Yes",$G105&lt;&gt;"Vendor day rates"),$J105-0.4*$I105,0)</f>
        <v>0</v>
      </c>
      <c r="N105" s="24" t="n">
        <f aca="false">IF(OR($K105&lt;&gt;"Yes",$L105=""),0,$M105*MAX(0,7-MATCH($L105,MonthList,0))/12)</f>
        <v>0</v>
      </c>
      <c r="O105" s="24" t="n">
        <f aca="false">IF(OR($K105&lt;&gt;"Yes",$L105=""),0,$M105*IF(MATCH($L105,MonthList,0)&lt;=7,12,19-MATCH($L105,MonthList,0))/12)</f>
        <v>0</v>
      </c>
      <c r="P105" s="21" t="s">
        <v>59</v>
      </c>
      <c r="Q105" s="21"/>
      <c r="R105" s="24" t="n">
        <f aca="false">IF(AND($P105="Yes",$G105&lt;&gt;"Vendor day rates"),$J105-0.4*$I105,0)</f>
        <v>0</v>
      </c>
      <c r="S105" s="24" t="n">
        <f aca="false">IF(OR($P105&lt;&gt;"Yes",$Q105=""),0,$R105*MAX(0,7-MATCH($Q105,MonthList,0))/12)</f>
        <v>0</v>
      </c>
      <c r="T105" s="24" t="n">
        <f aca="false">IF(OR($P105&lt;&gt;"Yes",$Q105=""),0,$R105*IF(MATCH($Q105,MonthList,0)&lt;=7,12,19-MATCH($Q105,MonthList,0))/12)</f>
        <v>0</v>
      </c>
      <c r="U105" s="21" t="s">
        <v>59</v>
      </c>
      <c r="V105" s="21"/>
      <c r="W105" s="24" t="n">
        <f aca="false">IF(AND($U105="Yes",$G105&lt;&gt;"Vendor day rates"),$J105-0.4*$I105,0)</f>
        <v>0</v>
      </c>
      <c r="X105" s="24" t="n">
        <f aca="false">IF(OR($U105&lt;&gt;"Yes",$V105=""),0,$W105*MAX(0,7-MATCH($V105,MonthList,0))/12)</f>
        <v>0</v>
      </c>
      <c r="Y105" s="24" t="n">
        <f aca="false">IF(OR($U105&lt;&gt;"Yes",$V105=""),0,$W105*IF(MATCH($V105,MonthList,0)&lt;=7,12,19-MATCH($V105,MonthList,0))/12)</f>
        <v>0</v>
      </c>
    </row>
    <row r="106" customFormat="false" ht="15" hidden="false" customHeight="true" outlineLevel="0" collapsed="false">
      <c r="B106" s="18" t="s">
        <v>273</v>
      </c>
      <c r="C106" s="18" t="s">
        <v>274</v>
      </c>
      <c r="D106" s="18" t="s">
        <v>20</v>
      </c>
      <c r="E106" s="18" t="s">
        <v>275</v>
      </c>
      <c r="F106" s="19" t="s">
        <v>57</v>
      </c>
      <c r="G106" s="19" t="s">
        <v>58</v>
      </c>
      <c r="H106" s="19" t="n">
        <v>1</v>
      </c>
      <c r="I106" s="20" t="n">
        <v>0.3237</v>
      </c>
      <c r="J106" s="20" t="n">
        <v>0.3237</v>
      </c>
      <c r="K106" s="21" t="s">
        <v>59</v>
      </c>
      <c r="L106" s="21"/>
      <c r="M106" s="20" t="n">
        <f aca="false">IF(AND($K106="Yes",$G106&lt;&gt;"Vendor day rates"),$J106-0.4*$I106,0)</f>
        <v>0</v>
      </c>
      <c r="N106" s="20" t="n">
        <f aca="false">IF(OR($K106&lt;&gt;"Yes",$L106=""),0,$M106*MAX(0,7-MATCH($L106,MonthList,0))/12)</f>
        <v>0</v>
      </c>
      <c r="O106" s="20" t="n">
        <f aca="false">IF(OR($K106&lt;&gt;"Yes",$L106=""),0,$M106*IF(MATCH($L106,MonthList,0)&lt;=7,12,19-MATCH($L106,MonthList,0))/12)</f>
        <v>0</v>
      </c>
      <c r="P106" s="21" t="s">
        <v>59</v>
      </c>
      <c r="Q106" s="21"/>
      <c r="R106" s="20" t="n">
        <f aca="false">IF(AND($P106="Yes",$G106&lt;&gt;"Vendor day rates"),$J106-0.4*$I106,0)</f>
        <v>0</v>
      </c>
      <c r="S106" s="20" t="n">
        <f aca="false">IF(OR($P106&lt;&gt;"Yes",$Q106=""),0,$R106*MAX(0,7-MATCH($Q106,MonthList,0))/12)</f>
        <v>0</v>
      </c>
      <c r="T106" s="20" t="n">
        <f aca="false">IF(OR($P106&lt;&gt;"Yes",$Q106=""),0,$R106*IF(MATCH($Q106,MonthList,0)&lt;=7,12,19-MATCH($Q106,MonthList,0))/12)</f>
        <v>0</v>
      </c>
      <c r="U106" s="21" t="s">
        <v>59</v>
      </c>
      <c r="V106" s="21"/>
      <c r="W106" s="20" t="n">
        <f aca="false">IF(AND($U106="Yes",$G106&lt;&gt;"Vendor day rates"),$J106-0.4*$I106,0)</f>
        <v>0</v>
      </c>
      <c r="X106" s="20" t="n">
        <f aca="false">IF(OR($U106&lt;&gt;"Yes",$V106=""),0,$W106*MAX(0,7-MATCH($V106,MonthList,0))/12)</f>
        <v>0</v>
      </c>
      <c r="Y106" s="20" t="n">
        <f aca="false">IF(OR($U106&lt;&gt;"Yes",$V106=""),0,$W106*IF(MATCH($V106,MonthList,0)&lt;=7,12,19-MATCH($V106,MonthList,0))/12)</f>
        <v>0</v>
      </c>
    </row>
    <row r="107" customFormat="false" ht="15" hidden="false" customHeight="true" outlineLevel="0" collapsed="false">
      <c r="B107" s="22" t="s">
        <v>276</v>
      </c>
      <c r="C107" s="22" t="s">
        <v>277</v>
      </c>
      <c r="D107" s="22"/>
      <c r="E107" s="22" t="s">
        <v>278</v>
      </c>
      <c r="F107" s="23" t="s">
        <v>109</v>
      </c>
      <c r="G107" s="23" t="s">
        <v>58</v>
      </c>
      <c r="H107" s="23" t="n">
        <v>1</v>
      </c>
      <c r="I107" s="24" t="n">
        <v>0.2427</v>
      </c>
      <c r="J107" s="24" t="n">
        <v>0.2427</v>
      </c>
      <c r="K107" s="21" t="s">
        <v>59</v>
      </c>
      <c r="L107" s="21"/>
      <c r="M107" s="24" t="n">
        <f aca="false">IF(AND($K107="Yes",$G107&lt;&gt;"Vendor day rates"),$J107-0.4*$I107,0)</f>
        <v>0</v>
      </c>
      <c r="N107" s="24" t="n">
        <f aca="false">IF(OR($K107&lt;&gt;"Yes",$L107=""),0,$M107*MAX(0,7-MATCH($L107,MonthList,0))/12)</f>
        <v>0</v>
      </c>
      <c r="O107" s="24" t="n">
        <f aca="false">IF(OR($K107&lt;&gt;"Yes",$L107=""),0,$M107*IF(MATCH($L107,MonthList,0)&lt;=7,12,19-MATCH($L107,MonthList,0))/12)</f>
        <v>0</v>
      </c>
      <c r="P107" s="21" t="s">
        <v>59</v>
      </c>
      <c r="Q107" s="21"/>
      <c r="R107" s="24" t="n">
        <f aca="false">IF(AND($P107="Yes",$G107&lt;&gt;"Vendor day rates"),$J107-0.4*$I107,0)</f>
        <v>0</v>
      </c>
      <c r="S107" s="24" t="n">
        <f aca="false">IF(OR($P107&lt;&gt;"Yes",$Q107=""),0,$R107*MAX(0,7-MATCH($Q107,MonthList,0))/12)</f>
        <v>0</v>
      </c>
      <c r="T107" s="24" t="n">
        <f aca="false">IF(OR($P107&lt;&gt;"Yes",$Q107=""),0,$R107*IF(MATCH($Q107,MonthList,0)&lt;=7,12,19-MATCH($Q107,MonthList,0))/12)</f>
        <v>0</v>
      </c>
      <c r="U107" s="21" t="s">
        <v>59</v>
      </c>
      <c r="V107" s="21"/>
      <c r="W107" s="24" t="n">
        <f aca="false">IF(AND($U107="Yes",$G107&lt;&gt;"Vendor day rates"),$J107-0.4*$I107,0)</f>
        <v>0</v>
      </c>
      <c r="X107" s="24" t="n">
        <f aca="false">IF(OR($U107&lt;&gt;"Yes",$V107=""),0,$W107*MAX(0,7-MATCH($V107,MonthList,0))/12)</f>
        <v>0</v>
      </c>
      <c r="Y107" s="24" t="n">
        <f aca="false">IF(OR($U107&lt;&gt;"Yes",$V107=""),0,$W107*IF(MATCH($V107,MonthList,0)&lt;=7,12,19-MATCH($V107,MonthList,0))/12)</f>
        <v>0</v>
      </c>
    </row>
    <row r="108" customFormat="false" ht="15" hidden="false" customHeight="true" outlineLevel="0" collapsed="false">
      <c r="B108" s="18" t="s">
        <v>279</v>
      </c>
      <c r="C108" s="18" t="s">
        <v>280</v>
      </c>
      <c r="D108" s="18"/>
      <c r="E108" s="18" t="s">
        <v>278</v>
      </c>
      <c r="F108" s="19" t="s">
        <v>109</v>
      </c>
      <c r="G108" s="19" t="s">
        <v>58</v>
      </c>
      <c r="H108" s="19" t="n">
        <v>1</v>
      </c>
      <c r="I108" s="20" t="n">
        <v>0.2143</v>
      </c>
      <c r="J108" s="20" t="n">
        <v>0.2143</v>
      </c>
      <c r="K108" s="21" t="s">
        <v>59</v>
      </c>
      <c r="L108" s="21"/>
      <c r="M108" s="20" t="n">
        <f aca="false">IF(AND($K108="Yes",$G108&lt;&gt;"Vendor day rates"),$J108-0.4*$I108,0)</f>
        <v>0</v>
      </c>
      <c r="N108" s="20" t="n">
        <f aca="false">IF(OR($K108&lt;&gt;"Yes",$L108=""),0,$M108*MAX(0,7-MATCH($L108,MonthList,0))/12)</f>
        <v>0</v>
      </c>
      <c r="O108" s="20" t="n">
        <f aca="false">IF(OR($K108&lt;&gt;"Yes",$L108=""),0,$M108*IF(MATCH($L108,MonthList,0)&lt;=7,12,19-MATCH($L108,MonthList,0))/12)</f>
        <v>0</v>
      </c>
      <c r="P108" s="21" t="s">
        <v>59</v>
      </c>
      <c r="Q108" s="21"/>
      <c r="R108" s="20" t="n">
        <f aca="false">IF(AND($P108="Yes",$G108&lt;&gt;"Vendor day rates"),$J108-0.4*$I108,0)</f>
        <v>0</v>
      </c>
      <c r="S108" s="20" t="n">
        <f aca="false">IF(OR($P108&lt;&gt;"Yes",$Q108=""),0,$R108*MAX(0,7-MATCH($Q108,MonthList,0))/12)</f>
        <v>0</v>
      </c>
      <c r="T108" s="20" t="n">
        <f aca="false">IF(OR($P108&lt;&gt;"Yes",$Q108=""),0,$R108*IF(MATCH($Q108,MonthList,0)&lt;=7,12,19-MATCH($Q108,MonthList,0))/12)</f>
        <v>0</v>
      </c>
      <c r="U108" s="21" t="s">
        <v>59</v>
      </c>
      <c r="V108" s="21"/>
      <c r="W108" s="20" t="n">
        <f aca="false">IF(AND($U108="Yes",$G108&lt;&gt;"Vendor day rates"),$J108-0.4*$I108,0)</f>
        <v>0</v>
      </c>
      <c r="X108" s="20" t="n">
        <f aca="false">IF(OR($U108&lt;&gt;"Yes",$V108=""),0,$W108*MAX(0,7-MATCH($V108,MonthList,0))/12)</f>
        <v>0</v>
      </c>
      <c r="Y108" s="20" t="n">
        <f aca="false">IF(OR($U108&lt;&gt;"Yes",$V108=""),0,$W108*IF(MATCH($V108,MonthList,0)&lt;=7,12,19-MATCH($V108,MonthList,0))/12)</f>
        <v>0</v>
      </c>
    </row>
    <row r="109" customFormat="false" ht="15" hidden="false" customHeight="true" outlineLevel="0" collapsed="false">
      <c r="B109" s="22" t="s">
        <v>281</v>
      </c>
      <c r="C109" s="22" t="s">
        <v>282</v>
      </c>
      <c r="D109" s="22"/>
      <c r="E109" s="22" t="s">
        <v>278</v>
      </c>
      <c r="F109" s="23" t="s">
        <v>109</v>
      </c>
      <c r="G109" s="23" t="s">
        <v>58</v>
      </c>
      <c r="H109" s="23" t="n">
        <v>1</v>
      </c>
      <c r="I109" s="24" t="n">
        <v>0.2369</v>
      </c>
      <c r="J109" s="24" t="n">
        <v>0.2369</v>
      </c>
      <c r="K109" s="21" t="s">
        <v>59</v>
      </c>
      <c r="L109" s="21"/>
      <c r="M109" s="24" t="n">
        <f aca="false">IF(AND($K109="Yes",$G109&lt;&gt;"Vendor day rates"),$J109-0.4*$I109,0)</f>
        <v>0</v>
      </c>
      <c r="N109" s="24" t="n">
        <f aca="false">IF(OR($K109&lt;&gt;"Yes",$L109=""),0,$M109*MAX(0,7-MATCH($L109,MonthList,0))/12)</f>
        <v>0</v>
      </c>
      <c r="O109" s="24" t="n">
        <f aca="false">IF(OR($K109&lt;&gt;"Yes",$L109=""),0,$M109*IF(MATCH($L109,MonthList,0)&lt;=7,12,19-MATCH($L109,MonthList,0))/12)</f>
        <v>0</v>
      </c>
      <c r="P109" s="21" t="s">
        <v>59</v>
      </c>
      <c r="Q109" s="21"/>
      <c r="R109" s="24" t="n">
        <f aca="false">IF(AND($P109="Yes",$G109&lt;&gt;"Vendor day rates"),$J109-0.4*$I109,0)</f>
        <v>0</v>
      </c>
      <c r="S109" s="24" t="n">
        <f aca="false">IF(OR($P109&lt;&gt;"Yes",$Q109=""),0,$R109*MAX(0,7-MATCH($Q109,MonthList,0))/12)</f>
        <v>0</v>
      </c>
      <c r="T109" s="24" t="n">
        <f aca="false">IF(OR($P109&lt;&gt;"Yes",$Q109=""),0,$R109*IF(MATCH($Q109,MonthList,0)&lt;=7,12,19-MATCH($Q109,MonthList,0))/12)</f>
        <v>0</v>
      </c>
      <c r="U109" s="21" t="s">
        <v>59</v>
      </c>
      <c r="V109" s="21"/>
      <c r="W109" s="24" t="n">
        <f aca="false">IF(AND($U109="Yes",$G109&lt;&gt;"Vendor day rates"),$J109-0.4*$I109,0)</f>
        <v>0</v>
      </c>
      <c r="X109" s="24" t="n">
        <f aca="false">IF(OR($U109&lt;&gt;"Yes",$V109=""),0,$W109*MAX(0,7-MATCH($V109,MonthList,0))/12)</f>
        <v>0</v>
      </c>
      <c r="Y109" s="24" t="n">
        <f aca="false">IF(OR($U109&lt;&gt;"Yes",$V109=""),0,$W109*IF(MATCH($V109,MonthList,0)&lt;=7,12,19-MATCH($V109,MonthList,0))/12)</f>
        <v>0</v>
      </c>
    </row>
    <row r="110" customFormat="false" ht="15" hidden="false" customHeight="true" outlineLevel="0" collapsed="false">
      <c r="B110" s="18" t="s">
        <v>283</v>
      </c>
      <c r="C110" s="18" t="s">
        <v>284</v>
      </c>
      <c r="D110" s="18" t="s">
        <v>30</v>
      </c>
      <c r="E110" s="18" t="s">
        <v>165</v>
      </c>
      <c r="F110" s="19" t="s">
        <v>57</v>
      </c>
      <c r="G110" s="19" t="s">
        <v>58</v>
      </c>
      <c r="H110" s="19" t="n">
        <v>1</v>
      </c>
      <c r="I110" s="20" t="n">
        <v>0.2758</v>
      </c>
      <c r="J110" s="20" t="n">
        <v>0.2758</v>
      </c>
      <c r="K110" s="21" t="s">
        <v>59</v>
      </c>
      <c r="L110" s="21"/>
      <c r="M110" s="20" t="n">
        <f aca="false">IF(AND($K110="Yes",$G110&lt;&gt;"Vendor day rates"),$J110-0.4*$I110,0)</f>
        <v>0</v>
      </c>
      <c r="N110" s="20" t="n">
        <f aca="false">IF(OR($K110&lt;&gt;"Yes",$L110=""),0,$M110*MAX(0,7-MATCH($L110,MonthList,0))/12)</f>
        <v>0</v>
      </c>
      <c r="O110" s="20" t="n">
        <f aca="false">IF(OR($K110&lt;&gt;"Yes",$L110=""),0,$M110*IF(MATCH($L110,MonthList,0)&lt;=7,12,19-MATCH($L110,MonthList,0))/12)</f>
        <v>0</v>
      </c>
      <c r="P110" s="21" t="s">
        <v>59</v>
      </c>
      <c r="Q110" s="21"/>
      <c r="R110" s="20" t="n">
        <f aca="false">IF(AND($P110="Yes",$G110&lt;&gt;"Vendor day rates"),$J110-0.4*$I110,0)</f>
        <v>0</v>
      </c>
      <c r="S110" s="20" t="n">
        <f aca="false">IF(OR($P110&lt;&gt;"Yes",$Q110=""),0,$R110*MAX(0,7-MATCH($Q110,MonthList,0))/12)</f>
        <v>0</v>
      </c>
      <c r="T110" s="20" t="n">
        <f aca="false">IF(OR($P110&lt;&gt;"Yes",$Q110=""),0,$R110*IF(MATCH($Q110,MonthList,0)&lt;=7,12,19-MATCH($Q110,MonthList,0))/12)</f>
        <v>0</v>
      </c>
      <c r="U110" s="21" t="s">
        <v>59</v>
      </c>
      <c r="V110" s="21"/>
      <c r="W110" s="20" t="n">
        <f aca="false">IF(AND($U110="Yes",$G110&lt;&gt;"Vendor day rates"),$J110-0.4*$I110,0)</f>
        <v>0</v>
      </c>
      <c r="X110" s="20" t="n">
        <f aca="false">IF(OR($U110&lt;&gt;"Yes",$V110=""),0,$W110*MAX(0,7-MATCH($V110,MonthList,0))/12)</f>
        <v>0</v>
      </c>
      <c r="Y110" s="20" t="n">
        <f aca="false">IF(OR($U110&lt;&gt;"Yes",$V110=""),0,$W110*IF(MATCH($V110,MonthList,0)&lt;=7,12,19-MATCH($V110,MonthList,0))/12)</f>
        <v>0</v>
      </c>
    </row>
    <row r="111" customFormat="false" ht="15" hidden="false" customHeight="true" outlineLevel="0" collapsed="false">
      <c r="B111" s="22" t="s">
        <v>285</v>
      </c>
      <c r="C111" s="22" t="s">
        <v>286</v>
      </c>
      <c r="D111" s="22" t="s">
        <v>30</v>
      </c>
      <c r="E111" s="22" t="s">
        <v>165</v>
      </c>
      <c r="F111" s="23" t="s">
        <v>109</v>
      </c>
      <c r="G111" s="23" t="s">
        <v>58</v>
      </c>
      <c r="H111" s="23" t="n">
        <v>1</v>
      </c>
      <c r="I111" s="24" t="n">
        <v>0.2215</v>
      </c>
      <c r="J111" s="24" t="n">
        <v>0.2215</v>
      </c>
      <c r="K111" s="21" t="s">
        <v>59</v>
      </c>
      <c r="L111" s="21"/>
      <c r="M111" s="24" t="n">
        <f aca="false">IF(AND($K111="Yes",$G111&lt;&gt;"Vendor day rates"),$J111-0.4*$I111,0)</f>
        <v>0</v>
      </c>
      <c r="N111" s="24" t="n">
        <f aca="false">IF(OR($K111&lt;&gt;"Yes",$L111=""),0,$M111*MAX(0,7-MATCH($L111,MonthList,0))/12)</f>
        <v>0</v>
      </c>
      <c r="O111" s="24" t="n">
        <f aca="false">IF(OR($K111&lt;&gt;"Yes",$L111=""),0,$M111*IF(MATCH($L111,MonthList,0)&lt;=7,12,19-MATCH($L111,MonthList,0))/12)</f>
        <v>0</v>
      </c>
      <c r="P111" s="21" t="s">
        <v>59</v>
      </c>
      <c r="Q111" s="21"/>
      <c r="R111" s="24" t="n">
        <f aca="false">IF(AND($P111="Yes",$G111&lt;&gt;"Vendor day rates"),$J111-0.4*$I111,0)</f>
        <v>0</v>
      </c>
      <c r="S111" s="24" t="n">
        <f aca="false">IF(OR($P111&lt;&gt;"Yes",$Q111=""),0,$R111*MAX(0,7-MATCH($Q111,MonthList,0))/12)</f>
        <v>0</v>
      </c>
      <c r="T111" s="24" t="n">
        <f aca="false">IF(OR($P111&lt;&gt;"Yes",$Q111=""),0,$R111*IF(MATCH($Q111,MonthList,0)&lt;=7,12,19-MATCH($Q111,MonthList,0))/12)</f>
        <v>0</v>
      </c>
      <c r="U111" s="21" t="s">
        <v>59</v>
      </c>
      <c r="V111" s="21"/>
      <c r="W111" s="24" t="n">
        <f aca="false">IF(AND($U111="Yes",$G111&lt;&gt;"Vendor day rates"),$J111-0.4*$I111,0)</f>
        <v>0</v>
      </c>
      <c r="X111" s="24" t="n">
        <f aca="false">IF(OR($U111&lt;&gt;"Yes",$V111=""),0,$W111*MAX(0,7-MATCH($V111,MonthList,0))/12)</f>
        <v>0</v>
      </c>
      <c r="Y111" s="24" t="n">
        <f aca="false">IF(OR($U111&lt;&gt;"Yes",$V111=""),0,$W111*IF(MATCH($V111,MonthList,0)&lt;=7,12,19-MATCH($V111,MonthList,0))/12)</f>
        <v>0</v>
      </c>
    </row>
    <row r="112" customFormat="false" ht="15" hidden="false" customHeight="true" outlineLevel="0" collapsed="false">
      <c r="B112" s="18" t="s">
        <v>287</v>
      </c>
      <c r="C112" s="18" t="s">
        <v>224</v>
      </c>
      <c r="D112" s="18" t="s">
        <v>31</v>
      </c>
      <c r="E112" s="18" t="s">
        <v>165</v>
      </c>
      <c r="F112" s="19" t="s">
        <v>109</v>
      </c>
      <c r="G112" s="19" t="s">
        <v>58</v>
      </c>
      <c r="H112" s="19" t="n">
        <v>1</v>
      </c>
      <c r="I112" s="20" t="n">
        <v>0.2365</v>
      </c>
      <c r="J112" s="20" t="n">
        <v>0.2365</v>
      </c>
      <c r="K112" s="21" t="s">
        <v>59</v>
      </c>
      <c r="L112" s="21"/>
      <c r="M112" s="20" t="n">
        <f aca="false">IF(AND($K112="Yes",$G112&lt;&gt;"Vendor day rates"),$J112-0.4*$I112,0)</f>
        <v>0</v>
      </c>
      <c r="N112" s="20" t="n">
        <f aca="false">IF(OR($K112&lt;&gt;"Yes",$L112=""),0,$M112*MAX(0,7-MATCH($L112,MonthList,0))/12)</f>
        <v>0</v>
      </c>
      <c r="O112" s="20" t="n">
        <f aca="false">IF(OR($K112&lt;&gt;"Yes",$L112=""),0,$M112*IF(MATCH($L112,MonthList,0)&lt;=7,12,19-MATCH($L112,MonthList,0))/12)</f>
        <v>0</v>
      </c>
      <c r="P112" s="21" t="s">
        <v>59</v>
      </c>
      <c r="Q112" s="21"/>
      <c r="R112" s="20" t="n">
        <f aca="false">IF(AND($P112="Yes",$G112&lt;&gt;"Vendor day rates"),$J112-0.4*$I112,0)</f>
        <v>0</v>
      </c>
      <c r="S112" s="20" t="n">
        <f aca="false">IF(OR($P112&lt;&gt;"Yes",$Q112=""),0,$R112*MAX(0,7-MATCH($Q112,MonthList,0))/12)</f>
        <v>0</v>
      </c>
      <c r="T112" s="20" t="n">
        <f aca="false">IF(OR($P112&lt;&gt;"Yes",$Q112=""),0,$R112*IF(MATCH($Q112,MonthList,0)&lt;=7,12,19-MATCH($Q112,MonthList,0))/12)</f>
        <v>0</v>
      </c>
      <c r="U112" s="21" t="s">
        <v>59</v>
      </c>
      <c r="V112" s="21"/>
      <c r="W112" s="20" t="n">
        <f aca="false">IF(AND($U112="Yes",$G112&lt;&gt;"Vendor day rates"),$J112-0.4*$I112,0)</f>
        <v>0</v>
      </c>
      <c r="X112" s="20" t="n">
        <f aca="false">IF(OR($U112&lt;&gt;"Yes",$V112=""),0,$W112*MAX(0,7-MATCH($V112,MonthList,0))/12)</f>
        <v>0</v>
      </c>
      <c r="Y112" s="20" t="n">
        <f aca="false">IF(OR($U112&lt;&gt;"Yes",$V112=""),0,$W112*IF(MATCH($V112,MonthList,0)&lt;=7,12,19-MATCH($V112,MonthList,0))/12)</f>
        <v>0</v>
      </c>
    </row>
    <row r="113" customFormat="false" ht="15" hidden="false" customHeight="true" outlineLevel="0" collapsed="false">
      <c r="B113" s="22" t="s">
        <v>288</v>
      </c>
      <c r="C113" s="22" t="s">
        <v>270</v>
      </c>
      <c r="D113" s="22" t="s">
        <v>31</v>
      </c>
      <c r="E113" s="22" t="s">
        <v>165</v>
      </c>
      <c r="F113" s="23" t="s">
        <v>57</v>
      </c>
      <c r="G113" s="23" t="s">
        <v>58</v>
      </c>
      <c r="H113" s="23" t="n">
        <v>1</v>
      </c>
      <c r="I113" s="24" t="n">
        <v>0.2542</v>
      </c>
      <c r="J113" s="24" t="n">
        <v>0.2542</v>
      </c>
      <c r="K113" s="21" t="s">
        <v>59</v>
      </c>
      <c r="L113" s="21"/>
      <c r="M113" s="24" t="n">
        <f aca="false">IF(AND($K113="Yes",$G113&lt;&gt;"Vendor day rates"),$J113-0.4*$I113,0)</f>
        <v>0</v>
      </c>
      <c r="N113" s="24" t="n">
        <f aca="false">IF(OR($K113&lt;&gt;"Yes",$L113=""),0,$M113*MAX(0,7-MATCH($L113,MonthList,0))/12)</f>
        <v>0</v>
      </c>
      <c r="O113" s="24" t="n">
        <f aca="false">IF(OR($K113&lt;&gt;"Yes",$L113=""),0,$M113*IF(MATCH($L113,MonthList,0)&lt;=7,12,19-MATCH($L113,MonthList,0))/12)</f>
        <v>0</v>
      </c>
      <c r="P113" s="21" t="s">
        <v>59</v>
      </c>
      <c r="Q113" s="21"/>
      <c r="R113" s="24" t="n">
        <f aca="false">IF(AND($P113="Yes",$G113&lt;&gt;"Vendor day rates"),$J113-0.4*$I113,0)</f>
        <v>0</v>
      </c>
      <c r="S113" s="24" t="n">
        <f aca="false">IF(OR($P113&lt;&gt;"Yes",$Q113=""),0,$R113*MAX(0,7-MATCH($Q113,MonthList,0))/12)</f>
        <v>0</v>
      </c>
      <c r="T113" s="24" t="n">
        <f aca="false">IF(OR($P113&lt;&gt;"Yes",$Q113=""),0,$R113*IF(MATCH($Q113,MonthList,0)&lt;=7,12,19-MATCH($Q113,MonthList,0))/12)</f>
        <v>0</v>
      </c>
      <c r="U113" s="21" t="s">
        <v>59</v>
      </c>
      <c r="V113" s="21"/>
      <c r="W113" s="24" t="n">
        <f aca="false">IF(AND($U113="Yes",$G113&lt;&gt;"Vendor day rates"),$J113-0.4*$I113,0)</f>
        <v>0</v>
      </c>
      <c r="X113" s="24" t="n">
        <f aca="false">IF(OR($U113&lt;&gt;"Yes",$V113=""),0,$W113*MAX(0,7-MATCH($V113,MonthList,0))/12)</f>
        <v>0</v>
      </c>
      <c r="Y113" s="24" t="n">
        <f aca="false">IF(OR($U113&lt;&gt;"Yes",$V113=""),0,$W113*IF(MATCH($V113,MonthList,0)&lt;=7,12,19-MATCH($V113,MonthList,0))/12)</f>
        <v>0</v>
      </c>
    </row>
    <row r="114" customFormat="false" ht="15" hidden="false" customHeight="true" outlineLevel="0" collapsed="false">
      <c r="B114" s="18" t="s">
        <v>289</v>
      </c>
      <c r="C114" s="18" t="s">
        <v>290</v>
      </c>
      <c r="D114" s="18" t="s">
        <v>26</v>
      </c>
      <c r="E114" s="18" t="s">
        <v>191</v>
      </c>
      <c r="F114" s="19" t="s">
        <v>57</v>
      </c>
      <c r="G114" s="19" t="s">
        <v>145</v>
      </c>
      <c r="H114" s="19" t="n">
        <v>1</v>
      </c>
      <c r="I114" s="20" t="n">
        <v>0.2758</v>
      </c>
      <c r="J114" s="20" t="n">
        <v>0.2758</v>
      </c>
      <c r="K114" s="21" t="s">
        <v>59</v>
      </c>
      <c r="L114" s="21"/>
      <c r="M114" s="20" t="n">
        <f aca="false">IF(AND($K114="Yes",$G114&lt;&gt;"Vendor day rates"),$J114-0.4*$I114,0)</f>
        <v>0</v>
      </c>
      <c r="N114" s="20" t="n">
        <f aca="false">IF(OR($K114&lt;&gt;"Yes",$L114=""),0,$M114*MAX(0,7-MATCH($L114,MonthList,0))/12)</f>
        <v>0</v>
      </c>
      <c r="O114" s="20" t="n">
        <f aca="false">IF(OR($K114&lt;&gt;"Yes",$L114=""),0,$M114*IF(MATCH($L114,MonthList,0)&lt;=7,12,19-MATCH($L114,MonthList,0))/12)</f>
        <v>0</v>
      </c>
      <c r="P114" s="21" t="s">
        <v>59</v>
      </c>
      <c r="Q114" s="21"/>
      <c r="R114" s="20" t="n">
        <f aca="false">IF(AND($P114="Yes",$G114&lt;&gt;"Vendor day rates"),$J114-0.4*$I114,0)</f>
        <v>0</v>
      </c>
      <c r="S114" s="20" t="n">
        <f aca="false">IF(OR($P114&lt;&gt;"Yes",$Q114=""),0,$R114*MAX(0,7-MATCH($Q114,MonthList,0))/12)</f>
        <v>0</v>
      </c>
      <c r="T114" s="20" t="n">
        <f aca="false">IF(OR($P114&lt;&gt;"Yes",$Q114=""),0,$R114*IF(MATCH($Q114,MonthList,0)&lt;=7,12,19-MATCH($Q114,MonthList,0))/12)</f>
        <v>0</v>
      </c>
      <c r="U114" s="21" t="s">
        <v>59</v>
      </c>
      <c r="V114" s="21"/>
      <c r="W114" s="20" t="n">
        <f aca="false">IF(AND($U114="Yes",$G114&lt;&gt;"Vendor day rates"),$J114-0.4*$I114,0)</f>
        <v>0</v>
      </c>
      <c r="X114" s="20" t="n">
        <f aca="false">IF(OR($U114&lt;&gt;"Yes",$V114=""),0,$W114*MAX(0,7-MATCH($V114,MonthList,0))/12)</f>
        <v>0</v>
      </c>
      <c r="Y114" s="20" t="n">
        <f aca="false">IF(OR($U114&lt;&gt;"Yes",$V114=""),0,$W114*IF(MATCH($V114,MonthList,0)&lt;=7,12,19-MATCH($V114,MonthList,0))/12)</f>
        <v>0</v>
      </c>
    </row>
    <row r="115" customFormat="false" ht="15" hidden="false" customHeight="true" outlineLevel="0" collapsed="false">
      <c r="B115" s="22" t="s">
        <v>291</v>
      </c>
      <c r="C115" s="22" t="s">
        <v>280</v>
      </c>
      <c r="D115" s="22"/>
      <c r="E115" s="22" t="s">
        <v>278</v>
      </c>
      <c r="F115" s="23" t="s">
        <v>57</v>
      </c>
      <c r="G115" s="23" t="s">
        <v>292</v>
      </c>
      <c r="H115" s="23" t="n">
        <v>1</v>
      </c>
      <c r="I115" s="24" t="n">
        <v>0.2758</v>
      </c>
      <c r="J115" s="24" t="n">
        <v>0</v>
      </c>
      <c r="K115" s="21" t="s">
        <v>59</v>
      </c>
      <c r="L115" s="21"/>
      <c r="M115" s="24" t="n">
        <f aca="false">IF(AND($K115="Yes",$G115&lt;&gt;"Vendor day rates"),$J115-0.4*$I115,0)</f>
        <v>0</v>
      </c>
      <c r="N115" s="24" t="n">
        <f aca="false">IF(OR($K115&lt;&gt;"Yes",$L115=""),0,$M115*MAX(0,7-MATCH($L115,MonthList,0))/12)</f>
        <v>0</v>
      </c>
      <c r="O115" s="24" t="n">
        <f aca="false">IF(OR($K115&lt;&gt;"Yes",$L115=""),0,$M115*IF(MATCH($L115,MonthList,0)&lt;=7,12,19-MATCH($L115,MonthList,0))/12)</f>
        <v>0</v>
      </c>
      <c r="P115" s="21" t="s">
        <v>59</v>
      </c>
      <c r="Q115" s="21"/>
      <c r="R115" s="24" t="n">
        <f aca="false">IF(AND($P115="Yes",$G115&lt;&gt;"Vendor day rates"),$J115-0.4*$I115,0)</f>
        <v>0</v>
      </c>
      <c r="S115" s="24" t="n">
        <f aca="false">IF(OR($P115&lt;&gt;"Yes",$Q115=""),0,$R115*MAX(0,7-MATCH($Q115,MonthList,0))/12)</f>
        <v>0</v>
      </c>
      <c r="T115" s="24" t="n">
        <f aca="false">IF(OR($P115&lt;&gt;"Yes",$Q115=""),0,$R115*IF(MATCH($Q115,MonthList,0)&lt;=7,12,19-MATCH($Q115,MonthList,0))/12)</f>
        <v>0</v>
      </c>
      <c r="U115" s="21" t="s">
        <v>59</v>
      </c>
      <c r="V115" s="21"/>
      <c r="W115" s="24" t="n">
        <f aca="false">IF(AND($U115="Yes",$G115&lt;&gt;"Vendor day rates"),$J115-0.4*$I115,0)</f>
        <v>0</v>
      </c>
      <c r="X115" s="24" t="n">
        <f aca="false">IF(OR($U115&lt;&gt;"Yes",$V115=""),0,$W115*MAX(0,7-MATCH($V115,MonthList,0))/12)</f>
        <v>0</v>
      </c>
      <c r="Y115" s="24" t="n">
        <f aca="false">IF(OR($U115&lt;&gt;"Yes",$V115=""),0,$W115*IF(MATCH($V115,MonthList,0)&lt;=7,12,19-MATCH($V115,MonthList,0))/12)</f>
        <v>0</v>
      </c>
    </row>
    <row r="116" customFormat="false" ht="15" hidden="false" customHeight="true" outlineLevel="0" collapsed="false">
      <c r="B116" s="18" t="s">
        <v>293</v>
      </c>
      <c r="C116" s="18" t="s">
        <v>294</v>
      </c>
      <c r="D116" s="18"/>
      <c r="E116" s="18" t="s">
        <v>295</v>
      </c>
      <c r="F116" s="19" t="s">
        <v>57</v>
      </c>
      <c r="G116" s="19" t="s">
        <v>145</v>
      </c>
      <c r="H116" s="19" t="n">
        <v>1</v>
      </c>
      <c r="I116" s="20" t="n">
        <v>0.2758</v>
      </c>
      <c r="J116" s="20" t="n">
        <v>0.2758</v>
      </c>
      <c r="K116" s="21" t="s">
        <v>59</v>
      </c>
      <c r="L116" s="21"/>
      <c r="M116" s="20" t="n">
        <f aca="false">IF(AND($K116="Yes",$G116&lt;&gt;"Vendor day rates"),$J116-0.4*$I116,0)</f>
        <v>0</v>
      </c>
      <c r="N116" s="20" t="n">
        <f aca="false">IF(OR($K116&lt;&gt;"Yes",$L116=""),0,$M116*MAX(0,7-MATCH($L116,MonthList,0))/12)</f>
        <v>0</v>
      </c>
      <c r="O116" s="20" t="n">
        <f aca="false">IF(OR($K116&lt;&gt;"Yes",$L116=""),0,$M116*IF(MATCH($L116,MonthList,0)&lt;=7,12,19-MATCH($L116,MonthList,0))/12)</f>
        <v>0</v>
      </c>
      <c r="P116" s="21" t="s">
        <v>59</v>
      </c>
      <c r="Q116" s="21"/>
      <c r="R116" s="20" t="n">
        <f aca="false">IF(AND($P116="Yes",$G116&lt;&gt;"Vendor day rates"),$J116-0.4*$I116,0)</f>
        <v>0</v>
      </c>
      <c r="S116" s="20" t="n">
        <f aca="false">IF(OR($P116&lt;&gt;"Yes",$Q116=""),0,$R116*MAX(0,7-MATCH($Q116,MonthList,0))/12)</f>
        <v>0</v>
      </c>
      <c r="T116" s="20" t="n">
        <f aca="false">IF(OR($P116&lt;&gt;"Yes",$Q116=""),0,$R116*IF(MATCH($Q116,MonthList,0)&lt;=7,12,19-MATCH($Q116,MonthList,0))/12)</f>
        <v>0</v>
      </c>
      <c r="U116" s="21" t="s">
        <v>59</v>
      </c>
      <c r="V116" s="21"/>
      <c r="W116" s="20" t="n">
        <f aca="false">IF(AND($U116="Yes",$G116&lt;&gt;"Vendor day rates"),$J116-0.4*$I116,0)</f>
        <v>0</v>
      </c>
      <c r="X116" s="20" t="n">
        <f aca="false">IF(OR($U116&lt;&gt;"Yes",$V116=""),0,$W116*MAX(0,7-MATCH($V116,MonthList,0))/12)</f>
        <v>0</v>
      </c>
      <c r="Y116" s="20" t="n">
        <f aca="false">IF(OR($U116&lt;&gt;"Yes",$V116=""),0,$W116*IF(MATCH($V116,MonthList,0)&lt;=7,12,19-MATCH($V116,MonthList,0))/12)</f>
        <v>0</v>
      </c>
    </row>
    <row r="117" customFormat="false" ht="15" hidden="false" customHeight="true" outlineLevel="0" collapsed="false">
      <c r="B117" s="22" t="s">
        <v>296</v>
      </c>
      <c r="C117" s="22" t="s">
        <v>297</v>
      </c>
      <c r="D117" s="22" t="s">
        <v>30</v>
      </c>
      <c r="E117" s="22" t="s">
        <v>165</v>
      </c>
      <c r="F117" s="23" t="s">
        <v>109</v>
      </c>
      <c r="G117" s="23" t="s">
        <v>58</v>
      </c>
      <c r="H117" s="23" t="n">
        <v>1</v>
      </c>
      <c r="I117" s="24" t="n">
        <v>0.2292</v>
      </c>
      <c r="J117" s="24" t="n">
        <v>0.2292</v>
      </c>
      <c r="K117" s="21" t="s">
        <v>59</v>
      </c>
      <c r="L117" s="21"/>
      <c r="M117" s="24" t="n">
        <f aca="false">IF(AND($K117="Yes",$G117&lt;&gt;"Vendor day rates"),$J117-0.4*$I117,0)</f>
        <v>0</v>
      </c>
      <c r="N117" s="24" t="n">
        <f aca="false">IF(OR($K117&lt;&gt;"Yes",$L117=""),0,$M117*MAX(0,7-MATCH($L117,MonthList,0))/12)</f>
        <v>0</v>
      </c>
      <c r="O117" s="24" t="n">
        <f aca="false">IF(OR($K117&lt;&gt;"Yes",$L117=""),0,$M117*IF(MATCH($L117,MonthList,0)&lt;=7,12,19-MATCH($L117,MonthList,0))/12)</f>
        <v>0</v>
      </c>
      <c r="P117" s="21" t="s">
        <v>59</v>
      </c>
      <c r="Q117" s="21"/>
      <c r="R117" s="24" t="n">
        <f aca="false">IF(AND($P117="Yes",$G117&lt;&gt;"Vendor day rates"),$J117-0.4*$I117,0)</f>
        <v>0</v>
      </c>
      <c r="S117" s="24" t="n">
        <f aca="false">IF(OR($P117&lt;&gt;"Yes",$Q117=""),0,$R117*MAX(0,7-MATCH($Q117,MonthList,0))/12)</f>
        <v>0</v>
      </c>
      <c r="T117" s="24" t="n">
        <f aca="false">IF(OR($P117&lt;&gt;"Yes",$Q117=""),0,$R117*IF(MATCH($Q117,MonthList,0)&lt;=7,12,19-MATCH($Q117,MonthList,0))/12)</f>
        <v>0</v>
      </c>
      <c r="U117" s="21" t="s">
        <v>59</v>
      </c>
      <c r="V117" s="21"/>
      <c r="W117" s="24" t="n">
        <f aca="false">IF(AND($U117="Yes",$G117&lt;&gt;"Vendor day rates"),$J117-0.4*$I117,0)</f>
        <v>0</v>
      </c>
      <c r="X117" s="24" t="n">
        <f aca="false">IF(OR($U117&lt;&gt;"Yes",$V117=""),0,$W117*MAX(0,7-MATCH($V117,MonthList,0))/12)</f>
        <v>0</v>
      </c>
      <c r="Y117" s="24" t="n">
        <f aca="false">IF(OR($U117&lt;&gt;"Yes",$V117=""),0,$W117*IF(MATCH($V117,MonthList,0)&lt;=7,12,19-MATCH($V117,MonthList,0))/12)</f>
        <v>0</v>
      </c>
    </row>
    <row r="118" customFormat="false" ht="15" hidden="false" customHeight="true" outlineLevel="0" collapsed="false">
      <c r="B118" s="18" t="s">
        <v>298</v>
      </c>
      <c r="C118" s="18" t="s">
        <v>205</v>
      </c>
      <c r="D118" s="18" t="s">
        <v>30</v>
      </c>
      <c r="E118" s="18" t="s">
        <v>205</v>
      </c>
      <c r="F118" s="19" t="s">
        <v>57</v>
      </c>
      <c r="G118" s="19" t="s">
        <v>145</v>
      </c>
      <c r="H118" s="19" t="n">
        <v>1</v>
      </c>
      <c r="I118" s="20" t="n">
        <v>0.2758</v>
      </c>
      <c r="J118" s="20" t="n">
        <v>0.2758</v>
      </c>
      <c r="K118" s="21" t="s">
        <v>59</v>
      </c>
      <c r="L118" s="21"/>
      <c r="M118" s="20" t="n">
        <f aca="false">IF(AND($K118="Yes",$G118&lt;&gt;"Vendor day rates"),$J118-0.4*$I118,0)</f>
        <v>0</v>
      </c>
      <c r="N118" s="20" t="n">
        <f aca="false">IF(OR($K118&lt;&gt;"Yes",$L118=""),0,$M118*MAX(0,7-MATCH($L118,MonthList,0))/12)</f>
        <v>0</v>
      </c>
      <c r="O118" s="20" t="n">
        <f aca="false">IF(OR($K118&lt;&gt;"Yes",$L118=""),0,$M118*IF(MATCH($L118,MonthList,0)&lt;=7,12,19-MATCH($L118,MonthList,0))/12)</f>
        <v>0</v>
      </c>
      <c r="P118" s="21" t="s">
        <v>59</v>
      </c>
      <c r="Q118" s="21"/>
      <c r="R118" s="20" t="n">
        <f aca="false">IF(AND($P118="Yes",$G118&lt;&gt;"Vendor day rates"),$J118-0.4*$I118,0)</f>
        <v>0</v>
      </c>
      <c r="S118" s="20" t="n">
        <f aca="false">IF(OR($P118&lt;&gt;"Yes",$Q118=""),0,$R118*MAX(0,7-MATCH($Q118,MonthList,0))/12)</f>
        <v>0</v>
      </c>
      <c r="T118" s="20" t="n">
        <f aca="false">IF(OR($P118&lt;&gt;"Yes",$Q118=""),0,$R118*IF(MATCH($Q118,MonthList,0)&lt;=7,12,19-MATCH($Q118,MonthList,0))/12)</f>
        <v>0</v>
      </c>
      <c r="U118" s="21" t="s">
        <v>59</v>
      </c>
      <c r="V118" s="21"/>
      <c r="W118" s="20" t="n">
        <f aca="false">IF(AND($U118="Yes",$G118&lt;&gt;"Vendor day rates"),$J118-0.4*$I118,0)</f>
        <v>0</v>
      </c>
      <c r="X118" s="20" t="n">
        <f aca="false">IF(OR($U118&lt;&gt;"Yes",$V118=""),0,$W118*MAX(0,7-MATCH($V118,MonthList,0))/12)</f>
        <v>0</v>
      </c>
      <c r="Y118" s="20" t="n">
        <f aca="false">IF(OR($U118&lt;&gt;"Yes",$V118=""),0,$W118*IF(MATCH($V118,MonthList,0)&lt;=7,12,19-MATCH($V118,MonthList,0))/12)</f>
        <v>0</v>
      </c>
    </row>
    <row r="119" customFormat="false" ht="15" hidden="false" customHeight="true" outlineLevel="0" collapsed="false">
      <c r="B119" s="22" t="s">
        <v>299</v>
      </c>
      <c r="C119" s="22" t="s">
        <v>300</v>
      </c>
      <c r="D119" s="22" t="s">
        <v>30</v>
      </c>
      <c r="E119" s="22" t="s">
        <v>165</v>
      </c>
      <c r="F119" s="23" t="s">
        <v>57</v>
      </c>
      <c r="G119" s="23" t="s">
        <v>292</v>
      </c>
      <c r="H119" s="23" t="n">
        <v>1</v>
      </c>
      <c r="I119" s="24" t="n">
        <v>0.2758</v>
      </c>
      <c r="J119" s="24" t="n">
        <v>0</v>
      </c>
      <c r="K119" s="21" t="s">
        <v>59</v>
      </c>
      <c r="L119" s="21"/>
      <c r="M119" s="24" t="n">
        <f aca="false">IF(AND($K119="Yes",$G119&lt;&gt;"Vendor day rates"),$J119-0.4*$I119,0)</f>
        <v>0</v>
      </c>
      <c r="N119" s="24" t="n">
        <f aca="false">IF(OR($K119&lt;&gt;"Yes",$L119=""),0,$M119*MAX(0,7-MATCH($L119,MonthList,0))/12)</f>
        <v>0</v>
      </c>
      <c r="O119" s="24" t="n">
        <f aca="false">IF(OR($K119&lt;&gt;"Yes",$L119=""),0,$M119*IF(MATCH($L119,MonthList,0)&lt;=7,12,19-MATCH($L119,MonthList,0))/12)</f>
        <v>0</v>
      </c>
      <c r="P119" s="21" t="s">
        <v>59</v>
      </c>
      <c r="Q119" s="21"/>
      <c r="R119" s="24" t="n">
        <f aca="false">IF(AND($P119="Yes",$G119&lt;&gt;"Vendor day rates"),$J119-0.4*$I119,0)</f>
        <v>0</v>
      </c>
      <c r="S119" s="24" t="n">
        <f aca="false">IF(OR($P119&lt;&gt;"Yes",$Q119=""),0,$R119*MAX(0,7-MATCH($Q119,MonthList,0))/12)</f>
        <v>0</v>
      </c>
      <c r="T119" s="24" t="n">
        <f aca="false">IF(OR($P119&lt;&gt;"Yes",$Q119=""),0,$R119*IF(MATCH($Q119,MonthList,0)&lt;=7,12,19-MATCH($Q119,MonthList,0))/12)</f>
        <v>0</v>
      </c>
      <c r="U119" s="21" t="s">
        <v>59</v>
      </c>
      <c r="V119" s="21"/>
      <c r="W119" s="24" t="n">
        <f aca="false">IF(AND($U119="Yes",$G119&lt;&gt;"Vendor day rates"),$J119-0.4*$I119,0)</f>
        <v>0</v>
      </c>
      <c r="X119" s="24" t="n">
        <f aca="false">IF(OR($U119&lt;&gt;"Yes",$V119=""),0,$W119*MAX(0,7-MATCH($V119,MonthList,0))/12)</f>
        <v>0</v>
      </c>
      <c r="Y119" s="24" t="n">
        <f aca="false">IF(OR($U119&lt;&gt;"Yes",$V119=""),0,$W119*IF(MATCH($V119,MonthList,0)&lt;=7,12,19-MATCH($V119,MonthList,0))/12)</f>
        <v>0</v>
      </c>
    </row>
    <row r="120" customFormat="false" ht="15" hidden="false" customHeight="true" outlineLevel="0" collapsed="false">
      <c r="B120" s="18" t="s">
        <v>301</v>
      </c>
      <c r="C120" s="18" t="s">
        <v>302</v>
      </c>
      <c r="D120" s="18" t="s">
        <v>29</v>
      </c>
      <c r="E120" s="18" t="s">
        <v>165</v>
      </c>
      <c r="F120" s="19" t="s">
        <v>57</v>
      </c>
      <c r="G120" s="19" t="s">
        <v>58</v>
      </c>
      <c r="H120" s="19" t="n">
        <v>1</v>
      </c>
      <c r="I120" s="20" t="n">
        <v>0.2578</v>
      </c>
      <c r="J120" s="20" t="n">
        <v>0.2578</v>
      </c>
      <c r="K120" s="21" t="s">
        <v>59</v>
      </c>
      <c r="L120" s="21"/>
      <c r="M120" s="20" t="n">
        <f aca="false">IF(AND($K120="Yes",$G120&lt;&gt;"Vendor day rates"),$J120-0.4*$I120,0)</f>
        <v>0</v>
      </c>
      <c r="N120" s="20" t="n">
        <f aca="false">IF(OR($K120&lt;&gt;"Yes",$L120=""),0,$M120*MAX(0,7-MATCH($L120,MonthList,0))/12)</f>
        <v>0</v>
      </c>
      <c r="O120" s="20" t="n">
        <f aca="false">IF(OR($K120&lt;&gt;"Yes",$L120=""),0,$M120*IF(MATCH($L120,MonthList,0)&lt;=7,12,19-MATCH($L120,MonthList,0))/12)</f>
        <v>0</v>
      </c>
      <c r="P120" s="21" t="s">
        <v>59</v>
      </c>
      <c r="Q120" s="21"/>
      <c r="R120" s="20" t="n">
        <f aca="false">IF(AND($P120="Yes",$G120&lt;&gt;"Vendor day rates"),$J120-0.4*$I120,0)</f>
        <v>0</v>
      </c>
      <c r="S120" s="20" t="n">
        <f aca="false">IF(OR($P120&lt;&gt;"Yes",$Q120=""),0,$R120*MAX(0,7-MATCH($Q120,MonthList,0))/12)</f>
        <v>0</v>
      </c>
      <c r="T120" s="20" t="n">
        <f aca="false">IF(OR($P120&lt;&gt;"Yes",$Q120=""),0,$R120*IF(MATCH($Q120,MonthList,0)&lt;=7,12,19-MATCH($Q120,MonthList,0))/12)</f>
        <v>0</v>
      </c>
      <c r="U120" s="21" t="s">
        <v>59</v>
      </c>
      <c r="V120" s="21"/>
      <c r="W120" s="20" t="n">
        <f aca="false">IF(AND($U120="Yes",$G120&lt;&gt;"Vendor day rates"),$J120-0.4*$I120,0)</f>
        <v>0</v>
      </c>
      <c r="X120" s="20" t="n">
        <f aca="false">IF(OR($U120&lt;&gt;"Yes",$V120=""),0,$W120*MAX(0,7-MATCH($V120,MonthList,0))/12)</f>
        <v>0</v>
      </c>
      <c r="Y120" s="20" t="n">
        <f aca="false">IF(OR($U120&lt;&gt;"Yes",$V120=""),0,$W120*IF(MATCH($V120,MonthList,0)&lt;=7,12,19-MATCH($V120,MonthList,0))/12)</f>
        <v>0</v>
      </c>
    </row>
    <row r="121" customFormat="false" ht="15" hidden="false" customHeight="true" outlineLevel="0" collapsed="false">
      <c r="B121" s="22" t="s">
        <v>303</v>
      </c>
      <c r="C121" s="22" t="s">
        <v>304</v>
      </c>
      <c r="D121" s="22" t="s">
        <v>31</v>
      </c>
      <c r="E121" s="22" t="s">
        <v>165</v>
      </c>
      <c r="F121" s="23" t="s">
        <v>109</v>
      </c>
      <c r="G121" s="23" t="s">
        <v>58</v>
      </c>
      <c r="H121" s="23" t="n">
        <v>1</v>
      </c>
      <c r="I121" s="24" t="n">
        <v>0.2105</v>
      </c>
      <c r="J121" s="24" t="n">
        <v>0.2105</v>
      </c>
      <c r="K121" s="21" t="s">
        <v>59</v>
      </c>
      <c r="L121" s="21"/>
      <c r="M121" s="24" t="n">
        <f aca="false">IF(AND($K121="Yes",$G121&lt;&gt;"Vendor day rates"),$J121-0.4*$I121,0)</f>
        <v>0</v>
      </c>
      <c r="N121" s="24" t="n">
        <f aca="false">IF(OR($K121&lt;&gt;"Yes",$L121=""),0,$M121*MAX(0,7-MATCH($L121,MonthList,0))/12)</f>
        <v>0</v>
      </c>
      <c r="O121" s="24" t="n">
        <f aca="false">IF(OR($K121&lt;&gt;"Yes",$L121=""),0,$M121*IF(MATCH($L121,MonthList,0)&lt;=7,12,19-MATCH($L121,MonthList,0))/12)</f>
        <v>0</v>
      </c>
      <c r="P121" s="21" t="s">
        <v>59</v>
      </c>
      <c r="Q121" s="21"/>
      <c r="R121" s="24" t="n">
        <f aca="false">IF(AND($P121="Yes",$G121&lt;&gt;"Vendor day rates"),$J121-0.4*$I121,0)</f>
        <v>0</v>
      </c>
      <c r="S121" s="24" t="n">
        <f aca="false">IF(OR($P121&lt;&gt;"Yes",$Q121=""),0,$R121*MAX(0,7-MATCH($Q121,MonthList,0))/12)</f>
        <v>0</v>
      </c>
      <c r="T121" s="24" t="n">
        <f aca="false">IF(OR($P121&lt;&gt;"Yes",$Q121=""),0,$R121*IF(MATCH($Q121,MonthList,0)&lt;=7,12,19-MATCH($Q121,MonthList,0))/12)</f>
        <v>0</v>
      </c>
      <c r="U121" s="21" t="s">
        <v>59</v>
      </c>
      <c r="V121" s="21"/>
      <c r="W121" s="24" t="n">
        <f aca="false">IF(AND($U121="Yes",$G121&lt;&gt;"Vendor day rates"),$J121-0.4*$I121,0)</f>
        <v>0</v>
      </c>
      <c r="X121" s="24" t="n">
        <f aca="false">IF(OR($U121&lt;&gt;"Yes",$V121=""),0,$W121*MAX(0,7-MATCH($V121,MonthList,0))/12)</f>
        <v>0</v>
      </c>
      <c r="Y121" s="24" t="n">
        <f aca="false">IF(OR($U121&lt;&gt;"Yes",$V121=""),0,$W121*IF(MATCH($V121,MonthList,0)&lt;=7,12,19-MATCH($V121,MonthList,0))/12)</f>
        <v>0</v>
      </c>
    </row>
    <row r="122" customFormat="false" ht="15" hidden="false" customHeight="true" outlineLevel="0" collapsed="false">
      <c r="B122" s="18" t="s">
        <v>305</v>
      </c>
      <c r="C122" s="18" t="s">
        <v>205</v>
      </c>
      <c r="D122" s="18" t="s">
        <v>31</v>
      </c>
      <c r="E122" s="18" t="s">
        <v>205</v>
      </c>
      <c r="F122" s="19" t="s">
        <v>57</v>
      </c>
      <c r="G122" s="19" t="s">
        <v>145</v>
      </c>
      <c r="H122" s="19" t="n">
        <v>1</v>
      </c>
      <c r="I122" s="20" t="n">
        <v>0.2029</v>
      </c>
      <c r="J122" s="20" t="n">
        <v>0.2029</v>
      </c>
      <c r="K122" s="21" t="s">
        <v>59</v>
      </c>
      <c r="L122" s="21"/>
      <c r="M122" s="20" t="n">
        <f aca="false">IF(AND($K122="Yes",$G122&lt;&gt;"Vendor day rates"),$J122-0.4*$I122,0)</f>
        <v>0</v>
      </c>
      <c r="N122" s="20" t="n">
        <f aca="false">IF(OR($K122&lt;&gt;"Yes",$L122=""),0,$M122*MAX(0,7-MATCH($L122,MonthList,0))/12)</f>
        <v>0</v>
      </c>
      <c r="O122" s="20" t="n">
        <f aca="false">IF(OR($K122&lt;&gt;"Yes",$L122=""),0,$M122*IF(MATCH($L122,MonthList,0)&lt;=7,12,19-MATCH($L122,MonthList,0))/12)</f>
        <v>0</v>
      </c>
      <c r="P122" s="21" t="s">
        <v>59</v>
      </c>
      <c r="Q122" s="21"/>
      <c r="R122" s="20" t="n">
        <f aca="false">IF(AND($P122="Yes",$G122&lt;&gt;"Vendor day rates"),$J122-0.4*$I122,0)</f>
        <v>0</v>
      </c>
      <c r="S122" s="20" t="n">
        <f aca="false">IF(OR($P122&lt;&gt;"Yes",$Q122=""),0,$R122*MAX(0,7-MATCH($Q122,MonthList,0))/12)</f>
        <v>0</v>
      </c>
      <c r="T122" s="20" t="n">
        <f aca="false">IF(OR($P122&lt;&gt;"Yes",$Q122=""),0,$R122*IF(MATCH($Q122,MonthList,0)&lt;=7,12,19-MATCH($Q122,MonthList,0))/12)</f>
        <v>0</v>
      </c>
      <c r="U122" s="21" t="s">
        <v>59</v>
      </c>
      <c r="V122" s="21"/>
      <c r="W122" s="20" t="n">
        <f aca="false">IF(AND($U122="Yes",$G122&lt;&gt;"Vendor day rates"),$J122-0.4*$I122,0)</f>
        <v>0</v>
      </c>
      <c r="X122" s="20" t="n">
        <f aca="false">IF(OR($U122&lt;&gt;"Yes",$V122=""),0,$W122*MAX(0,7-MATCH($V122,MonthList,0))/12)</f>
        <v>0</v>
      </c>
      <c r="Y122" s="20" t="n">
        <f aca="false">IF(OR($U122&lt;&gt;"Yes",$V122=""),0,$W122*IF(MATCH($V122,MonthList,0)&lt;=7,12,19-MATCH($V122,MonthList,0))/12)</f>
        <v>0</v>
      </c>
    </row>
    <row r="123" customFormat="false" ht="15" hidden="false" customHeight="true" outlineLevel="0" collapsed="false">
      <c r="B123" s="22" t="s">
        <v>306</v>
      </c>
      <c r="C123" s="22" t="s">
        <v>307</v>
      </c>
      <c r="D123" s="22" t="s">
        <v>26</v>
      </c>
      <c r="E123" s="22" t="s">
        <v>191</v>
      </c>
      <c r="F123" s="23" t="s">
        <v>57</v>
      </c>
      <c r="G123" s="23" t="s">
        <v>145</v>
      </c>
      <c r="H123" s="23" t="n">
        <v>1</v>
      </c>
      <c r="I123" s="24" t="n">
        <v>0.2758</v>
      </c>
      <c r="J123" s="24" t="n">
        <v>0.2758</v>
      </c>
      <c r="K123" s="21" t="s">
        <v>59</v>
      </c>
      <c r="L123" s="21"/>
      <c r="M123" s="24" t="n">
        <f aca="false">IF(AND($K123="Yes",$G123&lt;&gt;"Vendor day rates"),$J123-0.4*$I123,0)</f>
        <v>0</v>
      </c>
      <c r="N123" s="24" t="n">
        <f aca="false">IF(OR($K123&lt;&gt;"Yes",$L123=""),0,$M123*MAX(0,7-MATCH($L123,MonthList,0))/12)</f>
        <v>0</v>
      </c>
      <c r="O123" s="24" t="n">
        <f aca="false">IF(OR($K123&lt;&gt;"Yes",$L123=""),0,$M123*IF(MATCH($L123,MonthList,0)&lt;=7,12,19-MATCH($L123,MonthList,0))/12)</f>
        <v>0</v>
      </c>
      <c r="P123" s="21" t="s">
        <v>59</v>
      </c>
      <c r="Q123" s="21"/>
      <c r="R123" s="24" t="n">
        <f aca="false">IF(AND($P123="Yes",$G123&lt;&gt;"Vendor day rates"),$J123-0.4*$I123,0)</f>
        <v>0</v>
      </c>
      <c r="S123" s="24" t="n">
        <f aca="false">IF(OR($P123&lt;&gt;"Yes",$Q123=""),0,$R123*MAX(0,7-MATCH($Q123,MonthList,0))/12)</f>
        <v>0</v>
      </c>
      <c r="T123" s="24" t="n">
        <f aca="false">IF(OR($P123&lt;&gt;"Yes",$Q123=""),0,$R123*IF(MATCH($Q123,MonthList,0)&lt;=7,12,19-MATCH($Q123,MonthList,0))/12)</f>
        <v>0</v>
      </c>
      <c r="U123" s="21" t="s">
        <v>59</v>
      </c>
      <c r="V123" s="21"/>
      <c r="W123" s="24" t="n">
        <f aca="false">IF(AND($U123="Yes",$G123&lt;&gt;"Vendor day rates"),$J123-0.4*$I123,0)</f>
        <v>0</v>
      </c>
      <c r="X123" s="24" t="n">
        <f aca="false">IF(OR($U123&lt;&gt;"Yes",$V123=""),0,$W123*MAX(0,7-MATCH($V123,MonthList,0))/12)</f>
        <v>0</v>
      </c>
      <c r="Y123" s="24" t="n">
        <f aca="false">IF(OR($U123&lt;&gt;"Yes",$V123=""),0,$W123*IF(MATCH($V123,MonthList,0)&lt;=7,12,19-MATCH($V123,MonthList,0))/12)</f>
        <v>0</v>
      </c>
    </row>
    <row r="124" customFormat="false" ht="15" hidden="false" customHeight="true" outlineLevel="0" collapsed="false">
      <c r="B124" s="18" t="s">
        <v>308</v>
      </c>
      <c r="C124" s="18" t="s">
        <v>309</v>
      </c>
      <c r="D124" s="18" t="s">
        <v>26</v>
      </c>
      <c r="E124" s="18" t="s">
        <v>191</v>
      </c>
      <c r="F124" s="19" t="s">
        <v>57</v>
      </c>
      <c r="G124" s="19" t="s">
        <v>58</v>
      </c>
      <c r="H124" s="19" t="n">
        <v>1</v>
      </c>
      <c r="I124" s="20" t="n">
        <v>0.2933</v>
      </c>
      <c r="J124" s="20" t="n">
        <v>0.2933</v>
      </c>
      <c r="K124" s="21" t="s">
        <v>59</v>
      </c>
      <c r="L124" s="21"/>
      <c r="M124" s="20" t="n">
        <f aca="false">IF(AND($K124="Yes",$G124&lt;&gt;"Vendor day rates"),$J124-0.4*$I124,0)</f>
        <v>0</v>
      </c>
      <c r="N124" s="20" t="n">
        <f aca="false">IF(OR($K124&lt;&gt;"Yes",$L124=""),0,$M124*MAX(0,7-MATCH($L124,MonthList,0))/12)</f>
        <v>0</v>
      </c>
      <c r="O124" s="20" t="n">
        <f aca="false">IF(OR($K124&lt;&gt;"Yes",$L124=""),0,$M124*IF(MATCH($L124,MonthList,0)&lt;=7,12,19-MATCH($L124,MonthList,0))/12)</f>
        <v>0</v>
      </c>
      <c r="P124" s="21" t="s">
        <v>59</v>
      </c>
      <c r="Q124" s="21"/>
      <c r="R124" s="20" t="n">
        <f aca="false">IF(AND($P124="Yes",$G124&lt;&gt;"Vendor day rates"),$J124-0.4*$I124,0)</f>
        <v>0</v>
      </c>
      <c r="S124" s="20" t="n">
        <f aca="false">IF(OR($P124&lt;&gt;"Yes",$Q124=""),0,$R124*MAX(0,7-MATCH($Q124,MonthList,0))/12)</f>
        <v>0</v>
      </c>
      <c r="T124" s="20" t="n">
        <f aca="false">IF(OR($P124&lt;&gt;"Yes",$Q124=""),0,$R124*IF(MATCH($Q124,MonthList,0)&lt;=7,12,19-MATCH($Q124,MonthList,0))/12)</f>
        <v>0</v>
      </c>
      <c r="U124" s="21" t="s">
        <v>59</v>
      </c>
      <c r="V124" s="21"/>
      <c r="W124" s="20" t="n">
        <f aca="false">IF(AND($U124="Yes",$G124&lt;&gt;"Vendor day rates"),$J124-0.4*$I124,0)</f>
        <v>0</v>
      </c>
      <c r="X124" s="20" t="n">
        <f aca="false">IF(OR($U124&lt;&gt;"Yes",$V124=""),0,$W124*MAX(0,7-MATCH($V124,MonthList,0))/12)</f>
        <v>0</v>
      </c>
      <c r="Y124" s="20" t="n">
        <f aca="false">IF(OR($U124&lt;&gt;"Yes",$V124=""),0,$W124*IF(MATCH($V124,MonthList,0)&lt;=7,12,19-MATCH($V124,MonthList,0))/12)</f>
        <v>0</v>
      </c>
    </row>
    <row r="125" customFormat="false" ht="15" hidden="false" customHeight="true" outlineLevel="0" collapsed="false">
      <c r="B125" s="22" t="s">
        <v>310</v>
      </c>
      <c r="C125" s="22" t="s">
        <v>55</v>
      </c>
      <c r="D125" s="22" t="s">
        <v>25</v>
      </c>
      <c r="E125" s="22" t="s">
        <v>89</v>
      </c>
      <c r="F125" s="23" t="s">
        <v>57</v>
      </c>
      <c r="G125" s="23" t="s">
        <v>58</v>
      </c>
      <c r="H125" s="23" t="n">
        <v>1</v>
      </c>
      <c r="I125" s="24" t="n">
        <v>0.2778</v>
      </c>
      <c r="J125" s="24" t="n">
        <v>0.2778</v>
      </c>
      <c r="K125" s="21" t="s">
        <v>59</v>
      </c>
      <c r="L125" s="21"/>
      <c r="M125" s="24" t="n">
        <f aca="false">IF(AND($K125="Yes",$G125&lt;&gt;"Vendor day rates"),$J125-0.4*$I125,0)</f>
        <v>0</v>
      </c>
      <c r="N125" s="24" t="n">
        <f aca="false">IF(OR($K125&lt;&gt;"Yes",$L125=""),0,$M125*MAX(0,7-MATCH($L125,MonthList,0))/12)</f>
        <v>0</v>
      </c>
      <c r="O125" s="24" t="n">
        <f aca="false">IF(OR($K125&lt;&gt;"Yes",$L125=""),0,$M125*IF(MATCH($L125,MonthList,0)&lt;=7,12,19-MATCH($L125,MonthList,0))/12)</f>
        <v>0</v>
      </c>
      <c r="P125" s="21" t="s">
        <v>59</v>
      </c>
      <c r="Q125" s="21"/>
      <c r="R125" s="24" t="n">
        <f aca="false">IF(AND($P125="Yes",$G125&lt;&gt;"Vendor day rates"),$J125-0.4*$I125,0)</f>
        <v>0</v>
      </c>
      <c r="S125" s="24" t="n">
        <f aca="false">IF(OR($P125&lt;&gt;"Yes",$Q125=""),0,$R125*MAX(0,7-MATCH($Q125,MonthList,0))/12)</f>
        <v>0</v>
      </c>
      <c r="T125" s="24" t="n">
        <f aca="false">IF(OR($P125&lt;&gt;"Yes",$Q125=""),0,$R125*IF(MATCH($Q125,MonthList,0)&lt;=7,12,19-MATCH($Q125,MonthList,0))/12)</f>
        <v>0</v>
      </c>
      <c r="U125" s="21" t="s">
        <v>59</v>
      </c>
      <c r="V125" s="21"/>
      <c r="W125" s="24" t="n">
        <f aca="false">IF(AND($U125="Yes",$G125&lt;&gt;"Vendor day rates"),$J125-0.4*$I125,0)</f>
        <v>0</v>
      </c>
      <c r="X125" s="24" t="n">
        <f aca="false">IF(OR($U125&lt;&gt;"Yes",$V125=""),0,$W125*MAX(0,7-MATCH($V125,MonthList,0))/12)</f>
        <v>0</v>
      </c>
      <c r="Y125" s="24" t="n">
        <f aca="false">IF(OR($U125&lt;&gt;"Yes",$V125=""),0,$W125*IF(MATCH($V125,MonthList,0)&lt;=7,12,19-MATCH($V125,MonthList,0))/12)</f>
        <v>0</v>
      </c>
    </row>
    <row r="126" customFormat="false" ht="15" hidden="false" customHeight="true" outlineLevel="0" collapsed="false">
      <c r="B126" s="18" t="s">
        <v>311</v>
      </c>
      <c r="C126" s="18" t="s">
        <v>312</v>
      </c>
      <c r="D126" s="18" t="s">
        <v>29</v>
      </c>
      <c r="E126" s="18" t="s">
        <v>313</v>
      </c>
      <c r="F126" s="19" t="s">
        <v>109</v>
      </c>
      <c r="G126" s="19" t="s">
        <v>58</v>
      </c>
      <c r="H126" s="19" t="n">
        <v>1</v>
      </c>
      <c r="I126" s="20" t="n">
        <v>0.202</v>
      </c>
      <c r="J126" s="20" t="n">
        <v>0.202</v>
      </c>
      <c r="K126" s="21" t="s">
        <v>59</v>
      </c>
      <c r="L126" s="21"/>
      <c r="M126" s="20" t="n">
        <f aca="false">IF(AND($K126="Yes",$G126&lt;&gt;"Vendor day rates"),$J126-0.4*$I126,0)</f>
        <v>0</v>
      </c>
      <c r="N126" s="20" t="n">
        <f aca="false">IF(OR($K126&lt;&gt;"Yes",$L126=""),0,$M126*MAX(0,7-MATCH($L126,MonthList,0))/12)</f>
        <v>0</v>
      </c>
      <c r="O126" s="20" t="n">
        <f aca="false">IF(OR($K126&lt;&gt;"Yes",$L126=""),0,$M126*IF(MATCH($L126,MonthList,0)&lt;=7,12,19-MATCH($L126,MonthList,0))/12)</f>
        <v>0</v>
      </c>
      <c r="P126" s="21" t="s">
        <v>59</v>
      </c>
      <c r="Q126" s="21"/>
      <c r="R126" s="20" t="n">
        <f aca="false">IF(AND($P126="Yes",$G126&lt;&gt;"Vendor day rates"),$J126-0.4*$I126,0)</f>
        <v>0</v>
      </c>
      <c r="S126" s="20" t="n">
        <f aca="false">IF(OR($P126&lt;&gt;"Yes",$Q126=""),0,$R126*MAX(0,7-MATCH($Q126,MonthList,0))/12)</f>
        <v>0</v>
      </c>
      <c r="T126" s="20" t="n">
        <f aca="false">IF(OR($P126&lt;&gt;"Yes",$Q126=""),0,$R126*IF(MATCH($Q126,MonthList,0)&lt;=7,12,19-MATCH($Q126,MonthList,0))/12)</f>
        <v>0</v>
      </c>
      <c r="U126" s="21" t="s">
        <v>59</v>
      </c>
      <c r="V126" s="21"/>
      <c r="W126" s="20" t="n">
        <f aca="false">IF(AND($U126="Yes",$G126&lt;&gt;"Vendor day rates"),$J126-0.4*$I126,0)</f>
        <v>0</v>
      </c>
      <c r="X126" s="20" t="n">
        <f aca="false">IF(OR($U126&lt;&gt;"Yes",$V126=""),0,$W126*MAX(0,7-MATCH($V126,MonthList,0))/12)</f>
        <v>0</v>
      </c>
      <c r="Y126" s="20" t="n">
        <f aca="false">IF(OR($U126&lt;&gt;"Yes",$V126=""),0,$W126*IF(MATCH($V126,MonthList,0)&lt;=7,12,19-MATCH($V126,MonthList,0))/12)</f>
        <v>0</v>
      </c>
    </row>
    <row r="127" customFormat="false" ht="15" hidden="false" customHeight="true" outlineLevel="0" collapsed="false">
      <c r="B127" s="22" t="s">
        <v>314</v>
      </c>
      <c r="C127" s="22" t="s">
        <v>315</v>
      </c>
      <c r="D127" s="22" t="s">
        <v>27</v>
      </c>
      <c r="E127" s="22" t="s">
        <v>165</v>
      </c>
      <c r="F127" s="23" t="s">
        <v>57</v>
      </c>
      <c r="G127" s="23" t="s">
        <v>58</v>
      </c>
      <c r="H127" s="23" t="n">
        <v>1</v>
      </c>
      <c r="I127" s="24" t="n">
        <v>0.2964</v>
      </c>
      <c r="J127" s="24" t="n">
        <v>0.2964</v>
      </c>
      <c r="K127" s="21" t="s">
        <v>59</v>
      </c>
      <c r="L127" s="21"/>
      <c r="M127" s="24" t="n">
        <f aca="false">IF(AND($K127="Yes",$G127&lt;&gt;"Vendor day rates"),$J127-0.4*$I127,0)</f>
        <v>0</v>
      </c>
      <c r="N127" s="24" t="n">
        <f aca="false">IF(OR($K127&lt;&gt;"Yes",$L127=""),0,$M127*MAX(0,7-MATCH($L127,MonthList,0))/12)</f>
        <v>0</v>
      </c>
      <c r="O127" s="24" t="n">
        <f aca="false">IF(OR($K127&lt;&gt;"Yes",$L127=""),0,$M127*IF(MATCH($L127,MonthList,0)&lt;=7,12,19-MATCH($L127,MonthList,0))/12)</f>
        <v>0</v>
      </c>
      <c r="P127" s="21" t="s">
        <v>59</v>
      </c>
      <c r="Q127" s="21"/>
      <c r="R127" s="24" t="n">
        <f aca="false">IF(AND($P127="Yes",$G127&lt;&gt;"Vendor day rates"),$J127-0.4*$I127,0)</f>
        <v>0</v>
      </c>
      <c r="S127" s="24" t="n">
        <f aca="false">IF(OR($P127&lt;&gt;"Yes",$Q127=""),0,$R127*MAX(0,7-MATCH($Q127,MonthList,0))/12)</f>
        <v>0</v>
      </c>
      <c r="T127" s="24" t="n">
        <f aca="false">IF(OR($P127&lt;&gt;"Yes",$Q127=""),0,$R127*IF(MATCH($Q127,MonthList,0)&lt;=7,12,19-MATCH($Q127,MonthList,0))/12)</f>
        <v>0</v>
      </c>
      <c r="U127" s="21" t="s">
        <v>59</v>
      </c>
      <c r="V127" s="21"/>
      <c r="W127" s="24" t="n">
        <f aca="false">IF(AND($U127="Yes",$G127&lt;&gt;"Vendor day rates"),$J127-0.4*$I127,0)</f>
        <v>0</v>
      </c>
      <c r="X127" s="24" t="n">
        <f aca="false">IF(OR($U127&lt;&gt;"Yes",$V127=""),0,$W127*MAX(0,7-MATCH($V127,MonthList,0))/12)</f>
        <v>0</v>
      </c>
      <c r="Y127" s="24" t="n">
        <f aca="false">IF(OR($U127&lt;&gt;"Yes",$V127=""),0,$W127*IF(MATCH($V127,MonthList,0)&lt;=7,12,19-MATCH($V127,MonthList,0))/12)</f>
        <v>0</v>
      </c>
    </row>
    <row r="128" customFormat="false" ht="15" hidden="false" customHeight="true" outlineLevel="0" collapsed="false">
      <c r="B128" s="18" t="s">
        <v>316</v>
      </c>
      <c r="C128" s="18" t="s">
        <v>317</v>
      </c>
      <c r="D128" s="18" t="s">
        <v>24</v>
      </c>
      <c r="E128" s="18" t="s">
        <v>165</v>
      </c>
      <c r="F128" s="19" t="s">
        <v>57</v>
      </c>
      <c r="G128" s="19" t="s">
        <v>58</v>
      </c>
      <c r="H128" s="19" t="n">
        <v>1</v>
      </c>
      <c r="I128" s="20" t="n">
        <v>0.3236</v>
      </c>
      <c r="J128" s="20" t="n">
        <v>0.3236</v>
      </c>
      <c r="K128" s="21" t="s">
        <v>59</v>
      </c>
      <c r="L128" s="21"/>
      <c r="M128" s="20" t="n">
        <f aca="false">IF(AND($K128="Yes",$G128&lt;&gt;"Vendor day rates"),$J128-0.4*$I128,0)</f>
        <v>0</v>
      </c>
      <c r="N128" s="20" t="n">
        <f aca="false">IF(OR($K128&lt;&gt;"Yes",$L128=""),0,$M128*MAX(0,7-MATCH($L128,MonthList,0))/12)</f>
        <v>0</v>
      </c>
      <c r="O128" s="20" t="n">
        <f aca="false">IF(OR($K128&lt;&gt;"Yes",$L128=""),0,$M128*IF(MATCH($L128,MonthList,0)&lt;=7,12,19-MATCH($L128,MonthList,0))/12)</f>
        <v>0</v>
      </c>
      <c r="P128" s="21" t="s">
        <v>59</v>
      </c>
      <c r="Q128" s="21"/>
      <c r="R128" s="20" t="n">
        <f aca="false">IF(AND($P128="Yes",$G128&lt;&gt;"Vendor day rates"),$J128-0.4*$I128,0)</f>
        <v>0</v>
      </c>
      <c r="S128" s="20" t="n">
        <f aca="false">IF(OR($P128&lt;&gt;"Yes",$Q128=""),0,$R128*MAX(0,7-MATCH($Q128,MonthList,0))/12)</f>
        <v>0</v>
      </c>
      <c r="T128" s="20" t="n">
        <f aca="false">IF(OR($P128&lt;&gt;"Yes",$Q128=""),0,$R128*IF(MATCH($Q128,MonthList,0)&lt;=7,12,19-MATCH($Q128,MonthList,0))/12)</f>
        <v>0</v>
      </c>
      <c r="U128" s="21" t="s">
        <v>59</v>
      </c>
      <c r="V128" s="21"/>
      <c r="W128" s="20" t="n">
        <f aca="false">IF(AND($U128="Yes",$G128&lt;&gt;"Vendor day rates"),$J128-0.4*$I128,0)</f>
        <v>0</v>
      </c>
      <c r="X128" s="20" t="n">
        <f aca="false">IF(OR($U128&lt;&gt;"Yes",$V128=""),0,$W128*MAX(0,7-MATCH($V128,MonthList,0))/12)</f>
        <v>0</v>
      </c>
      <c r="Y128" s="20" t="n">
        <f aca="false">IF(OR($U128&lt;&gt;"Yes",$V128=""),0,$W128*IF(MATCH($V128,MonthList,0)&lt;=7,12,19-MATCH($V128,MonthList,0))/12)</f>
        <v>0</v>
      </c>
    </row>
    <row r="129" customFormat="false" ht="15" hidden="false" customHeight="true" outlineLevel="0" collapsed="false">
      <c r="B129" s="22" t="s">
        <v>318</v>
      </c>
      <c r="C129" s="22" t="s">
        <v>205</v>
      </c>
      <c r="D129" s="22" t="s">
        <v>28</v>
      </c>
      <c r="E129" s="22" t="s">
        <v>205</v>
      </c>
      <c r="F129" s="23" t="s">
        <v>57</v>
      </c>
      <c r="G129" s="23" t="s">
        <v>145</v>
      </c>
      <c r="H129" s="23" t="n">
        <v>1</v>
      </c>
      <c r="I129" s="24" t="n">
        <v>0.2758</v>
      </c>
      <c r="J129" s="24" t="n">
        <v>0.2758</v>
      </c>
      <c r="K129" s="21" t="s">
        <v>59</v>
      </c>
      <c r="L129" s="21"/>
      <c r="M129" s="24" t="n">
        <f aca="false">IF(AND($K129="Yes",$G129&lt;&gt;"Vendor day rates"),$J129-0.4*$I129,0)</f>
        <v>0</v>
      </c>
      <c r="N129" s="24" t="n">
        <f aca="false">IF(OR($K129&lt;&gt;"Yes",$L129=""),0,$M129*MAX(0,7-MATCH($L129,MonthList,0))/12)</f>
        <v>0</v>
      </c>
      <c r="O129" s="24" t="n">
        <f aca="false">IF(OR($K129&lt;&gt;"Yes",$L129=""),0,$M129*IF(MATCH($L129,MonthList,0)&lt;=7,12,19-MATCH($L129,MonthList,0))/12)</f>
        <v>0</v>
      </c>
      <c r="P129" s="21" t="s">
        <v>59</v>
      </c>
      <c r="Q129" s="21"/>
      <c r="R129" s="24" t="n">
        <f aca="false">IF(AND($P129="Yes",$G129&lt;&gt;"Vendor day rates"),$J129-0.4*$I129,0)</f>
        <v>0</v>
      </c>
      <c r="S129" s="24" t="n">
        <f aca="false">IF(OR($P129&lt;&gt;"Yes",$Q129=""),0,$R129*MAX(0,7-MATCH($Q129,MonthList,0))/12)</f>
        <v>0</v>
      </c>
      <c r="T129" s="24" t="n">
        <f aca="false">IF(OR($P129&lt;&gt;"Yes",$Q129=""),0,$R129*IF(MATCH($Q129,MonthList,0)&lt;=7,12,19-MATCH($Q129,MonthList,0))/12)</f>
        <v>0</v>
      </c>
      <c r="U129" s="21" t="s">
        <v>59</v>
      </c>
      <c r="V129" s="21"/>
      <c r="W129" s="24" t="n">
        <f aca="false">IF(AND($U129="Yes",$G129&lt;&gt;"Vendor day rates"),$J129-0.4*$I129,0)</f>
        <v>0</v>
      </c>
      <c r="X129" s="24" t="n">
        <f aca="false">IF(OR($U129&lt;&gt;"Yes",$V129=""),0,$W129*MAX(0,7-MATCH($V129,MonthList,0))/12)</f>
        <v>0</v>
      </c>
      <c r="Y129" s="24" t="n">
        <f aca="false">IF(OR($U129&lt;&gt;"Yes",$V129=""),0,$W129*IF(MATCH($V129,MonthList,0)&lt;=7,12,19-MATCH($V129,MonthList,0))/12)</f>
        <v>0</v>
      </c>
    </row>
    <row r="130" customFormat="false" ht="15" hidden="false" customHeight="true" outlineLevel="0" collapsed="false">
      <c r="B130" s="18" t="s">
        <v>319</v>
      </c>
      <c r="C130" s="18" t="s">
        <v>320</v>
      </c>
      <c r="D130" s="18" t="s">
        <v>21</v>
      </c>
      <c r="E130" s="18" t="s">
        <v>21</v>
      </c>
      <c r="F130" s="19" t="s">
        <v>57</v>
      </c>
      <c r="G130" s="19" t="s">
        <v>58</v>
      </c>
      <c r="H130" s="19" t="n">
        <v>1</v>
      </c>
      <c r="I130" s="20" t="n">
        <v>0.2074</v>
      </c>
      <c r="J130" s="20" t="n">
        <v>0.2074</v>
      </c>
      <c r="K130" s="21" t="s">
        <v>59</v>
      </c>
      <c r="L130" s="21"/>
      <c r="M130" s="20" t="n">
        <f aca="false">IF(AND($K130="Yes",$G130&lt;&gt;"Vendor day rates"),$J130-0.4*$I130,0)</f>
        <v>0</v>
      </c>
      <c r="N130" s="20" t="n">
        <f aca="false">IF(OR($K130&lt;&gt;"Yes",$L130=""),0,$M130*MAX(0,7-MATCH($L130,MonthList,0))/12)</f>
        <v>0</v>
      </c>
      <c r="O130" s="20" t="n">
        <f aca="false">IF(OR($K130&lt;&gt;"Yes",$L130=""),0,$M130*IF(MATCH($L130,MonthList,0)&lt;=7,12,19-MATCH($L130,MonthList,0))/12)</f>
        <v>0</v>
      </c>
      <c r="P130" s="21" t="s">
        <v>59</v>
      </c>
      <c r="Q130" s="21"/>
      <c r="R130" s="20" t="n">
        <f aca="false">IF(AND($P130="Yes",$G130&lt;&gt;"Vendor day rates"),$J130-0.4*$I130,0)</f>
        <v>0</v>
      </c>
      <c r="S130" s="20" t="n">
        <f aca="false">IF(OR($P130&lt;&gt;"Yes",$Q130=""),0,$R130*MAX(0,7-MATCH($Q130,MonthList,0))/12)</f>
        <v>0</v>
      </c>
      <c r="T130" s="20" t="n">
        <f aca="false">IF(OR($P130&lt;&gt;"Yes",$Q130=""),0,$R130*IF(MATCH($Q130,MonthList,0)&lt;=7,12,19-MATCH($Q130,MonthList,0))/12)</f>
        <v>0</v>
      </c>
      <c r="U130" s="21" t="s">
        <v>59</v>
      </c>
      <c r="V130" s="21"/>
      <c r="W130" s="20" t="n">
        <f aca="false">IF(AND($U130="Yes",$G130&lt;&gt;"Vendor day rates"),$J130-0.4*$I130,0)</f>
        <v>0</v>
      </c>
      <c r="X130" s="20" t="n">
        <f aca="false">IF(OR($U130&lt;&gt;"Yes",$V130=""),0,$W130*MAX(0,7-MATCH($V130,MonthList,0))/12)</f>
        <v>0</v>
      </c>
      <c r="Y130" s="20" t="n">
        <f aca="false">IF(OR($U130&lt;&gt;"Yes",$V130=""),0,$W130*IF(MATCH($V130,MonthList,0)&lt;=7,12,19-MATCH($V130,MonthList,0))/12)</f>
        <v>0</v>
      </c>
    </row>
    <row r="131" customFormat="false" ht="15" hidden="false" customHeight="true" outlineLevel="0" collapsed="false">
      <c r="B131" s="22" t="s">
        <v>321</v>
      </c>
      <c r="C131" s="22" t="s">
        <v>55</v>
      </c>
      <c r="D131" s="22" t="s">
        <v>32</v>
      </c>
      <c r="E131" s="22" t="s">
        <v>218</v>
      </c>
      <c r="F131" s="23" t="s">
        <v>109</v>
      </c>
      <c r="G131" s="23" t="s">
        <v>58</v>
      </c>
      <c r="H131" s="23" t="n">
        <v>1</v>
      </c>
      <c r="I131" s="24" t="n">
        <v>0.1783</v>
      </c>
      <c r="J131" s="24" t="n">
        <v>0.1783</v>
      </c>
      <c r="K131" s="21" t="s">
        <v>59</v>
      </c>
      <c r="L131" s="21"/>
      <c r="M131" s="24" t="n">
        <f aca="false">IF(AND($K131="Yes",$G131&lt;&gt;"Vendor day rates"),$J131-0.4*$I131,0)</f>
        <v>0</v>
      </c>
      <c r="N131" s="24" t="n">
        <f aca="false">IF(OR($K131&lt;&gt;"Yes",$L131=""),0,$M131*MAX(0,7-MATCH($L131,MonthList,0))/12)</f>
        <v>0</v>
      </c>
      <c r="O131" s="24" t="n">
        <f aca="false">IF(OR($K131&lt;&gt;"Yes",$L131=""),0,$M131*IF(MATCH($L131,MonthList,0)&lt;=7,12,19-MATCH($L131,MonthList,0))/12)</f>
        <v>0</v>
      </c>
      <c r="P131" s="21" t="s">
        <v>59</v>
      </c>
      <c r="Q131" s="21"/>
      <c r="R131" s="24" t="n">
        <f aca="false">IF(AND($P131="Yes",$G131&lt;&gt;"Vendor day rates"),$J131-0.4*$I131,0)</f>
        <v>0</v>
      </c>
      <c r="S131" s="24" t="n">
        <f aca="false">IF(OR($P131&lt;&gt;"Yes",$Q131=""),0,$R131*MAX(0,7-MATCH($Q131,MonthList,0))/12)</f>
        <v>0</v>
      </c>
      <c r="T131" s="24" t="n">
        <f aca="false">IF(OR($P131&lt;&gt;"Yes",$Q131=""),0,$R131*IF(MATCH($Q131,MonthList,0)&lt;=7,12,19-MATCH($Q131,MonthList,0))/12)</f>
        <v>0</v>
      </c>
      <c r="U131" s="21" t="s">
        <v>59</v>
      </c>
      <c r="V131" s="21"/>
      <c r="W131" s="24" t="n">
        <f aca="false">IF(AND($U131="Yes",$G131&lt;&gt;"Vendor day rates"),$J131-0.4*$I131,0)</f>
        <v>0</v>
      </c>
      <c r="X131" s="24" t="n">
        <f aca="false">IF(OR($U131&lt;&gt;"Yes",$V131=""),0,$W131*MAX(0,7-MATCH($V131,MonthList,0))/12)</f>
        <v>0</v>
      </c>
      <c r="Y131" s="24" t="n">
        <f aca="false">IF(OR($U131&lt;&gt;"Yes",$V131=""),0,$W131*IF(MATCH($V131,MonthList,0)&lt;=7,12,19-MATCH($V131,MonthList,0))/12)</f>
        <v>0</v>
      </c>
    </row>
    <row r="132" customFormat="false" ht="15" hidden="false" customHeight="true" outlineLevel="0" collapsed="false">
      <c r="B132" s="18" t="s">
        <v>322</v>
      </c>
      <c r="C132" s="18" t="s">
        <v>55</v>
      </c>
      <c r="D132" s="18" t="s">
        <v>18</v>
      </c>
      <c r="E132" s="18" t="s">
        <v>66</v>
      </c>
      <c r="F132" s="19" t="s">
        <v>57</v>
      </c>
      <c r="G132" s="19" t="s">
        <v>58</v>
      </c>
      <c r="H132" s="19" t="n">
        <v>1</v>
      </c>
      <c r="I132" s="20" t="n">
        <v>0.255</v>
      </c>
      <c r="J132" s="20" t="n">
        <v>0.255</v>
      </c>
      <c r="K132" s="21" t="s">
        <v>59</v>
      </c>
      <c r="L132" s="21"/>
      <c r="M132" s="20" t="n">
        <f aca="false">IF(AND($K132="Yes",$G132&lt;&gt;"Vendor day rates"),$J132-0.4*$I132,0)</f>
        <v>0</v>
      </c>
      <c r="N132" s="20" t="n">
        <f aca="false">IF(OR($K132&lt;&gt;"Yes",$L132=""),0,$M132*MAX(0,7-MATCH($L132,MonthList,0))/12)</f>
        <v>0</v>
      </c>
      <c r="O132" s="20" t="n">
        <f aca="false">IF(OR($K132&lt;&gt;"Yes",$L132=""),0,$M132*IF(MATCH($L132,MonthList,0)&lt;=7,12,19-MATCH($L132,MonthList,0))/12)</f>
        <v>0</v>
      </c>
      <c r="P132" s="21" t="s">
        <v>59</v>
      </c>
      <c r="Q132" s="21"/>
      <c r="R132" s="20" t="n">
        <f aca="false">IF(AND($P132="Yes",$G132&lt;&gt;"Vendor day rates"),$J132-0.4*$I132,0)</f>
        <v>0</v>
      </c>
      <c r="S132" s="20" t="n">
        <f aca="false">IF(OR($P132&lt;&gt;"Yes",$Q132=""),0,$R132*MAX(0,7-MATCH($Q132,MonthList,0))/12)</f>
        <v>0</v>
      </c>
      <c r="T132" s="20" t="n">
        <f aca="false">IF(OR($P132&lt;&gt;"Yes",$Q132=""),0,$R132*IF(MATCH($Q132,MonthList,0)&lt;=7,12,19-MATCH($Q132,MonthList,0))/12)</f>
        <v>0</v>
      </c>
      <c r="U132" s="21" t="s">
        <v>59</v>
      </c>
      <c r="V132" s="21"/>
      <c r="W132" s="20" t="n">
        <f aca="false">IF(AND($U132="Yes",$G132&lt;&gt;"Vendor day rates"),$J132-0.4*$I132,0)</f>
        <v>0</v>
      </c>
      <c r="X132" s="20" t="n">
        <f aca="false">IF(OR($U132&lt;&gt;"Yes",$V132=""),0,$W132*MAX(0,7-MATCH($V132,MonthList,0))/12)</f>
        <v>0</v>
      </c>
      <c r="Y132" s="20" t="n">
        <f aca="false">IF(OR($U132&lt;&gt;"Yes",$V132=""),0,$W132*IF(MATCH($V132,MonthList,0)&lt;=7,12,19-MATCH($V132,MonthList,0))/12)</f>
        <v>0</v>
      </c>
    </row>
    <row r="133" customFormat="false" ht="15" hidden="false" customHeight="true" outlineLevel="0" collapsed="false">
      <c r="B133" s="22" t="s">
        <v>323</v>
      </c>
      <c r="C133" s="22" t="s">
        <v>55</v>
      </c>
      <c r="D133" s="22" t="s">
        <v>18</v>
      </c>
      <c r="E133" s="22" t="s">
        <v>62</v>
      </c>
      <c r="F133" s="23" t="s">
        <v>57</v>
      </c>
      <c r="G133" s="23" t="s">
        <v>58</v>
      </c>
      <c r="H133" s="23" t="n">
        <v>1</v>
      </c>
      <c r="I133" s="24" t="n">
        <v>0.2431</v>
      </c>
      <c r="J133" s="24" t="n">
        <v>0.2431</v>
      </c>
      <c r="K133" s="21" t="s">
        <v>59</v>
      </c>
      <c r="L133" s="21"/>
      <c r="M133" s="24" t="n">
        <f aca="false">IF(AND($K133="Yes",$G133&lt;&gt;"Vendor day rates"),$J133-0.4*$I133,0)</f>
        <v>0</v>
      </c>
      <c r="N133" s="24" t="n">
        <f aca="false">IF(OR($K133&lt;&gt;"Yes",$L133=""),0,$M133*MAX(0,7-MATCH($L133,MonthList,0))/12)</f>
        <v>0</v>
      </c>
      <c r="O133" s="24" t="n">
        <f aca="false">IF(OR($K133&lt;&gt;"Yes",$L133=""),0,$M133*IF(MATCH($L133,MonthList,0)&lt;=7,12,19-MATCH($L133,MonthList,0))/12)</f>
        <v>0</v>
      </c>
      <c r="P133" s="21" t="s">
        <v>59</v>
      </c>
      <c r="Q133" s="21"/>
      <c r="R133" s="24" t="n">
        <f aca="false">IF(AND($P133="Yes",$G133&lt;&gt;"Vendor day rates"),$J133-0.4*$I133,0)</f>
        <v>0</v>
      </c>
      <c r="S133" s="24" t="n">
        <f aca="false">IF(OR($P133&lt;&gt;"Yes",$Q133=""),0,$R133*MAX(0,7-MATCH($Q133,MonthList,0))/12)</f>
        <v>0</v>
      </c>
      <c r="T133" s="24" t="n">
        <f aca="false">IF(OR($P133&lt;&gt;"Yes",$Q133=""),0,$R133*IF(MATCH($Q133,MonthList,0)&lt;=7,12,19-MATCH($Q133,MonthList,0))/12)</f>
        <v>0</v>
      </c>
      <c r="U133" s="21" t="s">
        <v>59</v>
      </c>
      <c r="V133" s="21"/>
      <c r="W133" s="24" t="n">
        <f aca="false">IF(AND($U133="Yes",$G133&lt;&gt;"Vendor day rates"),$J133-0.4*$I133,0)</f>
        <v>0</v>
      </c>
      <c r="X133" s="24" t="n">
        <f aca="false">IF(OR($U133&lt;&gt;"Yes",$V133=""),0,$W133*MAX(0,7-MATCH($V133,MonthList,0))/12)</f>
        <v>0</v>
      </c>
      <c r="Y133" s="24" t="n">
        <f aca="false">IF(OR($U133&lt;&gt;"Yes",$V133=""),0,$W133*IF(MATCH($V133,MonthList,0)&lt;=7,12,19-MATCH($V133,MonthList,0))/12)</f>
        <v>0</v>
      </c>
    </row>
    <row r="134" customFormat="false" ht="15" hidden="false" customHeight="true" outlineLevel="0" collapsed="false">
      <c r="B134" s="18" t="s">
        <v>324</v>
      </c>
      <c r="C134" s="18" t="s">
        <v>325</v>
      </c>
      <c r="D134" s="18" t="s">
        <v>18</v>
      </c>
      <c r="E134" s="18" t="s">
        <v>66</v>
      </c>
      <c r="F134" s="19" t="s">
        <v>57</v>
      </c>
      <c r="G134" s="19" t="s">
        <v>58</v>
      </c>
      <c r="H134" s="19" t="n">
        <v>1</v>
      </c>
      <c r="I134" s="20" t="n">
        <v>0.2353</v>
      </c>
      <c r="J134" s="20" t="n">
        <v>0.2353</v>
      </c>
      <c r="K134" s="21" t="s">
        <v>59</v>
      </c>
      <c r="L134" s="21"/>
      <c r="M134" s="20" t="n">
        <f aca="false">IF(AND($K134="Yes",$G134&lt;&gt;"Vendor day rates"),$J134-0.4*$I134,0)</f>
        <v>0</v>
      </c>
      <c r="N134" s="20" t="n">
        <f aca="false">IF(OR($K134&lt;&gt;"Yes",$L134=""),0,$M134*MAX(0,7-MATCH($L134,MonthList,0))/12)</f>
        <v>0</v>
      </c>
      <c r="O134" s="20" t="n">
        <f aca="false">IF(OR($K134&lt;&gt;"Yes",$L134=""),0,$M134*IF(MATCH($L134,MonthList,0)&lt;=7,12,19-MATCH($L134,MonthList,0))/12)</f>
        <v>0</v>
      </c>
      <c r="P134" s="21" t="s">
        <v>59</v>
      </c>
      <c r="Q134" s="21"/>
      <c r="R134" s="20" t="n">
        <f aca="false">IF(AND($P134="Yes",$G134&lt;&gt;"Vendor day rates"),$J134-0.4*$I134,0)</f>
        <v>0</v>
      </c>
      <c r="S134" s="20" t="n">
        <f aca="false">IF(OR($P134&lt;&gt;"Yes",$Q134=""),0,$R134*MAX(0,7-MATCH($Q134,MonthList,0))/12)</f>
        <v>0</v>
      </c>
      <c r="T134" s="20" t="n">
        <f aca="false">IF(OR($P134&lt;&gt;"Yes",$Q134=""),0,$R134*IF(MATCH($Q134,MonthList,0)&lt;=7,12,19-MATCH($Q134,MonthList,0))/12)</f>
        <v>0</v>
      </c>
      <c r="U134" s="21" t="s">
        <v>59</v>
      </c>
      <c r="V134" s="21"/>
      <c r="W134" s="20" t="n">
        <f aca="false">IF(AND($U134="Yes",$G134&lt;&gt;"Vendor day rates"),$J134-0.4*$I134,0)</f>
        <v>0</v>
      </c>
      <c r="X134" s="20" t="n">
        <f aca="false">IF(OR($U134&lt;&gt;"Yes",$V134=""),0,$W134*MAX(0,7-MATCH($V134,MonthList,0))/12)</f>
        <v>0</v>
      </c>
      <c r="Y134" s="20" t="n">
        <f aca="false">IF(OR($U134&lt;&gt;"Yes",$V134=""),0,$W134*IF(MATCH($V134,MonthList,0)&lt;=7,12,19-MATCH($V134,MonthList,0))/12)</f>
        <v>0</v>
      </c>
    </row>
    <row r="135" customFormat="false" ht="15" hidden="false" customHeight="true" outlineLevel="0" collapsed="false">
      <c r="B135" s="22" t="s">
        <v>326</v>
      </c>
      <c r="C135" s="22" t="s">
        <v>327</v>
      </c>
      <c r="D135" s="22" t="s">
        <v>32</v>
      </c>
      <c r="E135" s="22" t="s">
        <v>218</v>
      </c>
      <c r="F135" s="23" t="s">
        <v>109</v>
      </c>
      <c r="G135" s="23" t="s">
        <v>58</v>
      </c>
      <c r="H135" s="23" t="n">
        <v>1</v>
      </c>
      <c r="I135" s="24" t="n">
        <v>0.1811</v>
      </c>
      <c r="J135" s="24" t="n">
        <v>0.1811</v>
      </c>
      <c r="K135" s="21" t="s">
        <v>59</v>
      </c>
      <c r="L135" s="21"/>
      <c r="M135" s="24" t="n">
        <f aca="false">IF(AND($K135="Yes",$G135&lt;&gt;"Vendor day rates"),$J135-0.4*$I135,0)</f>
        <v>0</v>
      </c>
      <c r="N135" s="24" t="n">
        <f aca="false">IF(OR($K135&lt;&gt;"Yes",$L135=""),0,$M135*MAX(0,7-MATCH($L135,MonthList,0))/12)</f>
        <v>0</v>
      </c>
      <c r="O135" s="24" t="n">
        <f aca="false">IF(OR($K135&lt;&gt;"Yes",$L135=""),0,$M135*IF(MATCH($L135,MonthList,0)&lt;=7,12,19-MATCH($L135,MonthList,0))/12)</f>
        <v>0</v>
      </c>
      <c r="P135" s="21" t="s">
        <v>59</v>
      </c>
      <c r="Q135" s="21"/>
      <c r="R135" s="24" t="n">
        <f aca="false">IF(AND($P135="Yes",$G135&lt;&gt;"Vendor day rates"),$J135-0.4*$I135,0)</f>
        <v>0</v>
      </c>
      <c r="S135" s="24" t="n">
        <f aca="false">IF(OR($P135&lt;&gt;"Yes",$Q135=""),0,$R135*MAX(0,7-MATCH($Q135,MonthList,0))/12)</f>
        <v>0</v>
      </c>
      <c r="T135" s="24" t="n">
        <f aca="false">IF(OR($P135&lt;&gt;"Yes",$Q135=""),0,$R135*IF(MATCH($Q135,MonthList,0)&lt;=7,12,19-MATCH($Q135,MonthList,0))/12)</f>
        <v>0</v>
      </c>
      <c r="U135" s="21" t="s">
        <v>59</v>
      </c>
      <c r="V135" s="21"/>
      <c r="W135" s="24" t="n">
        <f aca="false">IF(AND($U135="Yes",$G135&lt;&gt;"Vendor day rates"),$J135-0.4*$I135,0)</f>
        <v>0</v>
      </c>
      <c r="X135" s="24" t="n">
        <f aca="false">IF(OR($U135&lt;&gt;"Yes",$V135=""),0,$W135*MAX(0,7-MATCH($V135,MonthList,0))/12)</f>
        <v>0</v>
      </c>
      <c r="Y135" s="24" t="n">
        <f aca="false">IF(OR($U135&lt;&gt;"Yes",$V135=""),0,$W135*IF(MATCH($V135,MonthList,0)&lt;=7,12,19-MATCH($V135,MonthList,0))/12)</f>
        <v>0</v>
      </c>
    </row>
    <row r="136" customFormat="false" ht="15" hidden="false" customHeight="true" outlineLevel="0" collapsed="false">
      <c r="B136" s="18" t="s">
        <v>328</v>
      </c>
      <c r="C136" s="18" t="s">
        <v>327</v>
      </c>
      <c r="D136" s="18" t="s">
        <v>18</v>
      </c>
      <c r="E136" s="18" t="s">
        <v>66</v>
      </c>
      <c r="F136" s="19" t="s">
        <v>57</v>
      </c>
      <c r="G136" s="19" t="s">
        <v>58</v>
      </c>
      <c r="H136" s="19" t="n">
        <v>1</v>
      </c>
      <c r="I136" s="20" t="n">
        <v>0.2403</v>
      </c>
      <c r="J136" s="20" t="n">
        <v>0.2403</v>
      </c>
      <c r="K136" s="21" t="s">
        <v>59</v>
      </c>
      <c r="L136" s="21"/>
      <c r="M136" s="20" t="n">
        <f aca="false">IF(AND($K136="Yes",$G136&lt;&gt;"Vendor day rates"),$J136-0.4*$I136,0)</f>
        <v>0</v>
      </c>
      <c r="N136" s="20" t="n">
        <f aca="false">IF(OR($K136&lt;&gt;"Yes",$L136=""),0,$M136*MAX(0,7-MATCH($L136,MonthList,0))/12)</f>
        <v>0</v>
      </c>
      <c r="O136" s="20" t="n">
        <f aca="false">IF(OR($K136&lt;&gt;"Yes",$L136=""),0,$M136*IF(MATCH($L136,MonthList,0)&lt;=7,12,19-MATCH($L136,MonthList,0))/12)</f>
        <v>0</v>
      </c>
      <c r="P136" s="21" t="s">
        <v>59</v>
      </c>
      <c r="Q136" s="21"/>
      <c r="R136" s="20" t="n">
        <f aca="false">IF(AND($P136="Yes",$G136&lt;&gt;"Vendor day rates"),$J136-0.4*$I136,0)</f>
        <v>0</v>
      </c>
      <c r="S136" s="20" t="n">
        <f aca="false">IF(OR($P136&lt;&gt;"Yes",$Q136=""),0,$R136*MAX(0,7-MATCH($Q136,MonthList,0))/12)</f>
        <v>0</v>
      </c>
      <c r="T136" s="20" t="n">
        <f aca="false">IF(OR($P136&lt;&gt;"Yes",$Q136=""),0,$R136*IF(MATCH($Q136,MonthList,0)&lt;=7,12,19-MATCH($Q136,MonthList,0))/12)</f>
        <v>0</v>
      </c>
      <c r="U136" s="21" t="s">
        <v>59</v>
      </c>
      <c r="V136" s="21"/>
      <c r="W136" s="20" t="n">
        <f aca="false">IF(AND($U136="Yes",$G136&lt;&gt;"Vendor day rates"),$J136-0.4*$I136,0)</f>
        <v>0</v>
      </c>
      <c r="X136" s="20" t="n">
        <f aca="false">IF(OR($U136&lt;&gt;"Yes",$V136=""),0,$W136*MAX(0,7-MATCH($V136,MonthList,0))/12)</f>
        <v>0</v>
      </c>
      <c r="Y136" s="20" t="n">
        <f aca="false">IF(OR($U136&lt;&gt;"Yes",$V136=""),0,$W136*IF(MATCH($V136,MonthList,0)&lt;=7,12,19-MATCH($V136,MonthList,0))/12)</f>
        <v>0</v>
      </c>
    </row>
    <row r="137" customFormat="false" ht="15" hidden="false" customHeight="true" outlineLevel="0" collapsed="false">
      <c r="B137" s="22" t="s">
        <v>329</v>
      </c>
      <c r="C137" s="22" t="s">
        <v>327</v>
      </c>
      <c r="D137" s="22" t="s">
        <v>32</v>
      </c>
      <c r="E137" s="22" t="s">
        <v>218</v>
      </c>
      <c r="F137" s="23" t="s">
        <v>109</v>
      </c>
      <c r="G137" s="23" t="s">
        <v>58</v>
      </c>
      <c r="H137" s="23" t="n">
        <v>1</v>
      </c>
      <c r="I137" s="24" t="n">
        <v>0.1636</v>
      </c>
      <c r="J137" s="24" t="n">
        <v>0.1636</v>
      </c>
      <c r="K137" s="21" t="s">
        <v>59</v>
      </c>
      <c r="L137" s="21"/>
      <c r="M137" s="24" t="n">
        <f aca="false">IF(AND($K137="Yes",$G137&lt;&gt;"Vendor day rates"),$J137-0.4*$I137,0)</f>
        <v>0</v>
      </c>
      <c r="N137" s="24" t="n">
        <f aca="false">IF(OR($K137&lt;&gt;"Yes",$L137=""),0,$M137*MAX(0,7-MATCH($L137,MonthList,0))/12)</f>
        <v>0</v>
      </c>
      <c r="O137" s="24" t="n">
        <f aca="false">IF(OR($K137&lt;&gt;"Yes",$L137=""),0,$M137*IF(MATCH($L137,MonthList,0)&lt;=7,12,19-MATCH($L137,MonthList,0))/12)</f>
        <v>0</v>
      </c>
      <c r="P137" s="21" t="s">
        <v>59</v>
      </c>
      <c r="Q137" s="21"/>
      <c r="R137" s="24" t="n">
        <f aca="false">IF(AND($P137="Yes",$G137&lt;&gt;"Vendor day rates"),$J137-0.4*$I137,0)</f>
        <v>0</v>
      </c>
      <c r="S137" s="24" t="n">
        <f aca="false">IF(OR($P137&lt;&gt;"Yes",$Q137=""),0,$R137*MAX(0,7-MATCH($Q137,MonthList,0))/12)</f>
        <v>0</v>
      </c>
      <c r="T137" s="24" t="n">
        <f aca="false">IF(OR($P137&lt;&gt;"Yes",$Q137=""),0,$R137*IF(MATCH($Q137,MonthList,0)&lt;=7,12,19-MATCH($Q137,MonthList,0))/12)</f>
        <v>0</v>
      </c>
      <c r="U137" s="21" t="s">
        <v>59</v>
      </c>
      <c r="V137" s="21"/>
      <c r="W137" s="24" t="n">
        <f aca="false">IF(AND($U137="Yes",$G137&lt;&gt;"Vendor day rates"),$J137-0.4*$I137,0)</f>
        <v>0</v>
      </c>
      <c r="X137" s="24" t="n">
        <f aca="false">IF(OR($U137&lt;&gt;"Yes",$V137=""),0,$W137*MAX(0,7-MATCH($V137,MonthList,0))/12)</f>
        <v>0</v>
      </c>
      <c r="Y137" s="24" t="n">
        <f aca="false">IF(OR($U137&lt;&gt;"Yes",$V137=""),0,$W137*IF(MATCH($V137,MonthList,0)&lt;=7,12,19-MATCH($V137,MonthList,0))/12)</f>
        <v>0</v>
      </c>
    </row>
    <row r="138" customFormat="false" ht="15" hidden="false" customHeight="true" outlineLevel="0" collapsed="false">
      <c r="B138" s="18" t="s">
        <v>330</v>
      </c>
      <c r="C138" s="18" t="s">
        <v>331</v>
      </c>
      <c r="D138" s="18" t="s">
        <v>32</v>
      </c>
      <c r="E138" s="18" t="s">
        <v>92</v>
      </c>
      <c r="F138" s="19" t="s">
        <v>109</v>
      </c>
      <c r="G138" s="19" t="s">
        <v>58</v>
      </c>
      <c r="H138" s="19" t="n">
        <v>0.8</v>
      </c>
      <c r="I138" s="20" t="n">
        <v>0.1553</v>
      </c>
      <c r="J138" s="20" t="n">
        <v>0.1553</v>
      </c>
      <c r="K138" s="21" t="s">
        <v>59</v>
      </c>
      <c r="L138" s="21"/>
      <c r="M138" s="20" t="n">
        <f aca="false">IF(AND($K138="Yes",$G138&lt;&gt;"Vendor day rates"),$J138-0.4*$I138,0)</f>
        <v>0</v>
      </c>
      <c r="N138" s="20" t="n">
        <f aca="false">IF(OR($K138&lt;&gt;"Yes",$L138=""),0,$M138*MAX(0,7-MATCH($L138,MonthList,0))/12)</f>
        <v>0</v>
      </c>
      <c r="O138" s="20" t="n">
        <f aca="false">IF(OR($K138&lt;&gt;"Yes",$L138=""),0,$M138*IF(MATCH($L138,MonthList,0)&lt;=7,12,19-MATCH($L138,MonthList,0))/12)</f>
        <v>0</v>
      </c>
      <c r="P138" s="21" t="s">
        <v>59</v>
      </c>
      <c r="Q138" s="21"/>
      <c r="R138" s="20" t="n">
        <f aca="false">IF(AND($P138="Yes",$G138&lt;&gt;"Vendor day rates"),$J138-0.4*$I138,0)</f>
        <v>0</v>
      </c>
      <c r="S138" s="20" t="n">
        <f aca="false">IF(OR($P138&lt;&gt;"Yes",$Q138=""),0,$R138*MAX(0,7-MATCH($Q138,MonthList,0))/12)</f>
        <v>0</v>
      </c>
      <c r="T138" s="20" t="n">
        <f aca="false">IF(OR($P138&lt;&gt;"Yes",$Q138=""),0,$R138*IF(MATCH($Q138,MonthList,0)&lt;=7,12,19-MATCH($Q138,MonthList,0))/12)</f>
        <v>0</v>
      </c>
      <c r="U138" s="21" t="s">
        <v>59</v>
      </c>
      <c r="V138" s="21"/>
      <c r="W138" s="20" t="n">
        <f aca="false">IF(AND($U138="Yes",$G138&lt;&gt;"Vendor day rates"),$J138-0.4*$I138,0)</f>
        <v>0</v>
      </c>
      <c r="X138" s="20" t="n">
        <f aca="false">IF(OR($U138&lt;&gt;"Yes",$V138=""),0,$W138*MAX(0,7-MATCH($V138,MonthList,0))/12)</f>
        <v>0</v>
      </c>
      <c r="Y138" s="20" t="n">
        <f aca="false">IF(OR($U138&lt;&gt;"Yes",$V138=""),0,$W138*IF(MATCH($V138,MonthList,0)&lt;=7,12,19-MATCH($V138,MonthList,0))/12)</f>
        <v>0</v>
      </c>
    </row>
    <row r="139" customFormat="false" ht="15" hidden="false" customHeight="true" outlineLevel="0" collapsed="false">
      <c r="B139" s="22" t="s">
        <v>332</v>
      </c>
      <c r="C139" s="22" t="s">
        <v>55</v>
      </c>
      <c r="D139" s="22" t="s">
        <v>32</v>
      </c>
      <c r="E139" s="22" t="s">
        <v>333</v>
      </c>
      <c r="F139" s="23" t="s">
        <v>109</v>
      </c>
      <c r="G139" s="23" t="s">
        <v>58</v>
      </c>
      <c r="H139" s="23" t="n">
        <v>1</v>
      </c>
      <c r="I139" s="24" t="n">
        <v>0.1972</v>
      </c>
      <c r="J139" s="24" t="n">
        <v>0.1972</v>
      </c>
      <c r="K139" s="21" t="s">
        <v>59</v>
      </c>
      <c r="L139" s="21"/>
      <c r="M139" s="24" t="n">
        <f aca="false">IF(AND($K139="Yes",$G139&lt;&gt;"Vendor day rates"),$J139-0.4*$I139,0)</f>
        <v>0</v>
      </c>
      <c r="N139" s="24" t="n">
        <f aca="false">IF(OR($K139&lt;&gt;"Yes",$L139=""),0,$M139*MAX(0,7-MATCH($L139,MonthList,0))/12)</f>
        <v>0</v>
      </c>
      <c r="O139" s="24" t="n">
        <f aca="false">IF(OR($K139&lt;&gt;"Yes",$L139=""),0,$M139*IF(MATCH($L139,MonthList,0)&lt;=7,12,19-MATCH($L139,MonthList,0))/12)</f>
        <v>0</v>
      </c>
      <c r="P139" s="21" t="s">
        <v>59</v>
      </c>
      <c r="Q139" s="21"/>
      <c r="R139" s="24" t="n">
        <f aca="false">IF(AND($P139="Yes",$G139&lt;&gt;"Vendor day rates"),$J139-0.4*$I139,0)</f>
        <v>0</v>
      </c>
      <c r="S139" s="24" t="n">
        <f aca="false">IF(OR($P139&lt;&gt;"Yes",$Q139=""),0,$R139*MAX(0,7-MATCH($Q139,MonthList,0))/12)</f>
        <v>0</v>
      </c>
      <c r="T139" s="24" t="n">
        <f aca="false">IF(OR($P139&lt;&gt;"Yes",$Q139=""),0,$R139*IF(MATCH($Q139,MonthList,0)&lt;=7,12,19-MATCH($Q139,MonthList,0))/12)</f>
        <v>0</v>
      </c>
      <c r="U139" s="21" t="s">
        <v>59</v>
      </c>
      <c r="V139" s="21"/>
      <c r="W139" s="24" t="n">
        <f aca="false">IF(AND($U139="Yes",$G139&lt;&gt;"Vendor day rates"),$J139-0.4*$I139,0)</f>
        <v>0</v>
      </c>
      <c r="X139" s="24" t="n">
        <f aca="false">IF(OR($U139&lt;&gt;"Yes",$V139=""),0,$W139*MAX(0,7-MATCH($V139,MonthList,0))/12)</f>
        <v>0</v>
      </c>
      <c r="Y139" s="24" t="n">
        <f aca="false">IF(OR($U139&lt;&gt;"Yes",$V139=""),0,$W139*IF(MATCH($V139,MonthList,0)&lt;=7,12,19-MATCH($V139,MonthList,0))/12)</f>
        <v>0</v>
      </c>
    </row>
    <row r="140" customFormat="false" ht="15" hidden="false" customHeight="true" outlineLevel="0" collapsed="false">
      <c r="B140" s="18" t="s">
        <v>334</v>
      </c>
      <c r="C140" s="18" t="s">
        <v>335</v>
      </c>
      <c r="D140" s="18" t="s">
        <v>32</v>
      </c>
      <c r="E140" s="18" t="s">
        <v>333</v>
      </c>
      <c r="F140" s="19" t="s">
        <v>109</v>
      </c>
      <c r="G140" s="19" t="s">
        <v>58</v>
      </c>
      <c r="H140" s="19" t="n">
        <v>1</v>
      </c>
      <c r="I140" s="20" t="n">
        <v>0.1747</v>
      </c>
      <c r="J140" s="20" t="n">
        <v>0.1747</v>
      </c>
      <c r="K140" s="21" t="s">
        <v>59</v>
      </c>
      <c r="L140" s="21"/>
      <c r="M140" s="20" t="n">
        <f aca="false">IF(AND($K140="Yes",$G140&lt;&gt;"Vendor day rates"),$J140-0.4*$I140,0)</f>
        <v>0</v>
      </c>
      <c r="N140" s="20" t="n">
        <f aca="false">IF(OR($K140&lt;&gt;"Yes",$L140=""),0,$M140*MAX(0,7-MATCH($L140,MonthList,0))/12)</f>
        <v>0</v>
      </c>
      <c r="O140" s="20" t="n">
        <f aca="false">IF(OR($K140&lt;&gt;"Yes",$L140=""),0,$M140*IF(MATCH($L140,MonthList,0)&lt;=7,12,19-MATCH($L140,MonthList,0))/12)</f>
        <v>0</v>
      </c>
      <c r="P140" s="21" t="s">
        <v>59</v>
      </c>
      <c r="Q140" s="21"/>
      <c r="R140" s="20" t="n">
        <f aca="false">IF(AND($P140="Yes",$G140&lt;&gt;"Vendor day rates"),$J140-0.4*$I140,0)</f>
        <v>0</v>
      </c>
      <c r="S140" s="20" t="n">
        <f aca="false">IF(OR($P140&lt;&gt;"Yes",$Q140=""),0,$R140*MAX(0,7-MATCH($Q140,MonthList,0))/12)</f>
        <v>0</v>
      </c>
      <c r="T140" s="20" t="n">
        <f aca="false">IF(OR($P140&lt;&gt;"Yes",$Q140=""),0,$R140*IF(MATCH($Q140,MonthList,0)&lt;=7,12,19-MATCH($Q140,MonthList,0))/12)</f>
        <v>0</v>
      </c>
      <c r="U140" s="21" t="s">
        <v>59</v>
      </c>
      <c r="V140" s="21"/>
      <c r="W140" s="20" t="n">
        <f aca="false">IF(AND($U140="Yes",$G140&lt;&gt;"Vendor day rates"),$J140-0.4*$I140,0)</f>
        <v>0</v>
      </c>
      <c r="X140" s="20" t="n">
        <f aca="false">IF(OR($U140&lt;&gt;"Yes",$V140=""),0,$W140*MAX(0,7-MATCH($V140,MonthList,0))/12)</f>
        <v>0</v>
      </c>
      <c r="Y140" s="20" t="n">
        <f aca="false">IF(OR($U140&lt;&gt;"Yes",$V140=""),0,$W140*IF(MATCH($V140,MonthList,0)&lt;=7,12,19-MATCH($V140,MonthList,0))/12)</f>
        <v>0</v>
      </c>
    </row>
    <row r="141" customFormat="false" ht="15" hidden="false" customHeight="true" outlineLevel="0" collapsed="false">
      <c r="B141" s="22" t="s">
        <v>336</v>
      </c>
      <c r="C141" s="22" t="s">
        <v>337</v>
      </c>
      <c r="D141" s="22" t="s">
        <v>32</v>
      </c>
      <c r="E141" s="22" t="s">
        <v>333</v>
      </c>
      <c r="F141" s="23" t="s">
        <v>109</v>
      </c>
      <c r="G141" s="23" t="s">
        <v>58</v>
      </c>
      <c r="H141" s="23" t="n">
        <v>0.8</v>
      </c>
      <c r="I141" s="24" t="n">
        <v>0.1248</v>
      </c>
      <c r="J141" s="24" t="n">
        <v>0.1248</v>
      </c>
      <c r="K141" s="21" t="s">
        <v>59</v>
      </c>
      <c r="L141" s="21"/>
      <c r="M141" s="24" t="n">
        <f aca="false">IF(AND($K141="Yes",$G141&lt;&gt;"Vendor day rates"),$J141-0.4*$I141,0)</f>
        <v>0</v>
      </c>
      <c r="N141" s="24" t="n">
        <f aca="false">IF(OR($K141&lt;&gt;"Yes",$L141=""),0,$M141*MAX(0,7-MATCH($L141,MonthList,0))/12)</f>
        <v>0</v>
      </c>
      <c r="O141" s="24" t="n">
        <f aca="false">IF(OR($K141&lt;&gt;"Yes",$L141=""),0,$M141*IF(MATCH($L141,MonthList,0)&lt;=7,12,19-MATCH($L141,MonthList,0))/12)</f>
        <v>0</v>
      </c>
      <c r="P141" s="21" t="s">
        <v>59</v>
      </c>
      <c r="Q141" s="21"/>
      <c r="R141" s="24" t="n">
        <f aca="false">IF(AND($P141="Yes",$G141&lt;&gt;"Vendor day rates"),$J141-0.4*$I141,0)</f>
        <v>0</v>
      </c>
      <c r="S141" s="24" t="n">
        <f aca="false">IF(OR($P141&lt;&gt;"Yes",$Q141=""),0,$R141*MAX(0,7-MATCH($Q141,MonthList,0))/12)</f>
        <v>0</v>
      </c>
      <c r="T141" s="24" t="n">
        <f aca="false">IF(OR($P141&lt;&gt;"Yes",$Q141=""),0,$R141*IF(MATCH($Q141,MonthList,0)&lt;=7,12,19-MATCH($Q141,MonthList,0))/12)</f>
        <v>0</v>
      </c>
      <c r="U141" s="21" t="s">
        <v>59</v>
      </c>
      <c r="V141" s="21"/>
      <c r="W141" s="24" t="n">
        <f aca="false">IF(AND($U141="Yes",$G141&lt;&gt;"Vendor day rates"),$J141-0.4*$I141,0)</f>
        <v>0</v>
      </c>
      <c r="X141" s="24" t="n">
        <f aca="false">IF(OR($U141&lt;&gt;"Yes",$V141=""),0,$W141*MAX(0,7-MATCH($V141,MonthList,0))/12)</f>
        <v>0</v>
      </c>
      <c r="Y141" s="24" t="n">
        <f aca="false">IF(OR($U141&lt;&gt;"Yes",$V141=""),0,$W141*IF(MATCH($V141,MonthList,0)&lt;=7,12,19-MATCH($V141,MonthList,0))/12)</f>
        <v>0</v>
      </c>
    </row>
    <row r="142" customFormat="false" ht="15" hidden="false" customHeight="true" outlineLevel="0" collapsed="false">
      <c r="B142" s="18" t="s">
        <v>338</v>
      </c>
      <c r="C142" s="18" t="s">
        <v>335</v>
      </c>
      <c r="D142" s="18" t="s">
        <v>32</v>
      </c>
      <c r="E142" s="18" t="s">
        <v>333</v>
      </c>
      <c r="F142" s="19" t="s">
        <v>109</v>
      </c>
      <c r="G142" s="19" t="s">
        <v>58</v>
      </c>
      <c r="H142" s="19" t="n">
        <v>1</v>
      </c>
      <c r="I142" s="20" t="n">
        <v>0.1963</v>
      </c>
      <c r="J142" s="20" t="n">
        <v>0.1963</v>
      </c>
      <c r="K142" s="21" t="s">
        <v>59</v>
      </c>
      <c r="L142" s="21"/>
      <c r="M142" s="20" t="n">
        <f aca="false">IF(AND($K142="Yes",$G142&lt;&gt;"Vendor day rates"),$J142-0.4*$I142,0)</f>
        <v>0</v>
      </c>
      <c r="N142" s="20" t="n">
        <f aca="false">IF(OR($K142&lt;&gt;"Yes",$L142=""),0,$M142*MAX(0,7-MATCH($L142,MonthList,0))/12)</f>
        <v>0</v>
      </c>
      <c r="O142" s="20" t="n">
        <f aca="false">IF(OR($K142&lt;&gt;"Yes",$L142=""),0,$M142*IF(MATCH($L142,MonthList,0)&lt;=7,12,19-MATCH($L142,MonthList,0))/12)</f>
        <v>0</v>
      </c>
      <c r="P142" s="21" t="s">
        <v>59</v>
      </c>
      <c r="Q142" s="21"/>
      <c r="R142" s="20" t="n">
        <f aca="false">IF(AND($P142="Yes",$G142&lt;&gt;"Vendor day rates"),$J142-0.4*$I142,0)</f>
        <v>0</v>
      </c>
      <c r="S142" s="20" t="n">
        <f aca="false">IF(OR($P142&lt;&gt;"Yes",$Q142=""),0,$R142*MAX(0,7-MATCH($Q142,MonthList,0))/12)</f>
        <v>0</v>
      </c>
      <c r="T142" s="20" t="n">
        <f aca="false">IF(OR($P142&lt;&gt;"Yes",$Q142=""),0,$R142*IF(MATCH($Q142,MonthList,0)&lt;=7,12,19-MATCH($Q142,MonthList,0))/12)</f>
        <v>0</v>
      </c>
      <c r="U142" s="21" t="s">
        <v>59</v>
      </c>
      <c r="V142" s="21"/>
      <c r="W142" s="20" t="n">
        <f aca="false">IF(AND($U142="Yes",$G142&lt;&gt;"Vendor day rates"),$J142-0.4*$I142,0)</f>
        <v>0</v>
      </c>
      <c r="X142" s="20" t="n">
        <f aca="false">IF(OR($U142&lt;&gt;"Yes",$V142=""),0,$W142*MAX(0,7-MATCH($V142,MonthList,0))/12)</f>
        <v>0</v>
      </c>
      <c r="Y142" s="20" t="n">
        <f aca="false">IF(OR($U142&lt;&gt;"Yes",$V142=""),0,$W142*IF(MATCH($V142,MonthList,0)&lt;=7,12,19-MATCH($V142,MonthList,0))/12)</f>
        <v>0</v>
      </c>
    </row>
    <row r="143" customFormat="false" ht="15" hidden="false" customHeight="true" outlineLevel="0" collapsed="false">
      <c r="B143" s="22" t="s">
        <v>339</v>
      </c>
      <c r="C143" s="22" t="s">
        <v>113</v>
      </c>
      <c r="D143" s="22" t="s">
        <v>32</v>
      </c>
      <c r="E143" s="22" t="s">
        <v>333</v>
      </c>
      <c r="F143" s="23" t="s">
        <v>57</v>
      </c>
      <c r="G143" s="23" t="s">
        <v>145</v>
      </c>
      <c r="H143" s="23" t="n">
        <v>1</v>
      </c>
      <c r="I143" s="24" t="n">
        <v>0.2353</v>
      </c>
      <c r="J143" s="24" t="n">
        <v>0.2353</v>
      </c>
      <c r="K143" s="21" t="s">
        <v>59</v>
      </c>
      <c r="L143" s="21"/>
      <c r="M143" s="24" t="n">
        <f aca="false">IF(AND($K143="Yes",$G143&lt;&gt;"Vendor day rates"),$J143-0.4*$I143,0)</f>
        <v>0</v>
      </c>
      <c r="N143" s="24" t="n">
        <f aca="false">IF(OR($K143&lt;&gt;"Yes",$L143=""),0,$M143*MAX(0,7-MATCH($L143,MonthList,0))/12)</f>
        <v>0</v>
      </c>
      <c r="O143" s="24" t="n">
        <f aca="false">IF(OR($K143&lt;&gt;"Yes",$L143=""),0,$M143*IF(MATCH($L143,MonthList,0)&lt;=7,12,19-MATCH($L143,MonthList,0))/12)</f>
        <v>0</v>
      </c>
      <c r="P143" s="21" t="s">
        <v>59</v>
      </c>
      <c r="Q143" s="21"/>
      <c r="R143" s="24" t="n">
        <f aca="false">IF(AND($P143="Yes",$G143&lt;&gt;"Vendor day rates"),$J143-0.4*$I143,0)</f>
        <v>0</v>
      </c>
      <c r="S143" s="24" t="n">
        <f aca="false">IF(OR($P143&lt;&gt;"Yes",$Q143=""),0,$R143*MAX(0,7-MATCH($Q143,MonthList,0))/12)</f>
        <v>0</v>
      </c>
      <c r="T143" s="24" t="n">
        <f aca="false">IF(OR($P143&lt;&gt;"Yes",$Q143=""),0,$R143*IF(MATCH($Q143,MonthList,0)&lt;=7,12,19-MATCH($Q143,MonthList,0))/12)</f>
        <v>0</v>
      </c>
      <c r="U143" s="21" t="s">
        <v>59</v>
      </c>
      <c r="V143" s="21"/>
      <c r="W143" s="24" t="n">
        <f aca="false">IF(AND($U143="Yes",$G143&lt;&gt;"Vendor day rates"),$J143-0.4*$I143,0)</f>
        <v>0</v>
      </c>
      <c r="X143" s="24" t="n">
        <f aca="false">IF(OR($U143&lt;&gt;"Yes",$V143=""),0,$W143*MAX(0,7-MATCH($V143,MonthList,0))/12)</f>
        <v>0</v>
      </c>
      <c r="Y143" s="24" t="n">
        <f aca="false">IF(OR($U143&lt;&gt;"Yes",$V143=""),0,$W143*IF(MATCH($V143,MonthList,0)&lt;=7,12,19-MATCH($V143,MonthList,0))/12)</f>
        <v>0</v>
      </c>
    </row>
    <row r="144" customFormat="false" ht="15" hidden="false" customHeight="true" outlineLevel="0" collapsed="false">
      <c r="B144" s="18" t="s">
        <v>340</v>
      </c>
      <c r="C144" s="18" t="s">
        <v>341</v>
      </c>
      <c r="D144" s="18" t="s">
        <v>18</v>
      </c>
      <c r="E144" s="18" t="s">
        <v>101</v>
      </c>
      <c r="F144" s="19" t="s">
        <v>57</v>
      </c>
      <c r="G144" s="19" t="s">
        <v>58</v>
      </c>
      <c r="H144" s="19" t="n">
        <v>1</v>
      </c>
      <c r="I144" s="20" t="n">
        <v>0.2578</v>
      </c>
      <c r="J144" s="20" t="n">
        <v>0.2578</v>
      </c>
      <c r="K144" s="21" t="s">
        <v>59</v>
      </c>
      <c r="L144" s="21"/>
      <c r="M144" s="20" t="n">
        <f aca="false">IF(AND($K144="Yes",$G144&lt;&gt;"Vendor day rates"),$J144-0.4*$I144,0)</f>
        <v>0</v>
      </c>
      <c r="N144" s="20" t="n">
        <f aca="false">IF(OR($K144&lt;&gt;"Yes",$L144=""),0,$M144*MAX(0,7-MATCH($L144,MonthList,0))/12)</f>
        <v>0</v>
      </c>
      <c r="O144" s="20" t="n">
        <f aca="false">IF(OR($K144&lt;&gt;"Yes",$L144=""),0,$M144*IF(MATCH($L144,MonthList,0)&lt;=7,12,19-MATCH($L144,MonthList,0))/12)</f>
        <v>0</v>
      </c>
      <c r="P144" s="21" t="s">
        <v>59</v>
      </c>
      <c r="Q144" s="21"/>
      <c r="R144" s="20" t="n">
        <f aca="false">IF(AND($P144="Yes",$G144&lt;&gt;"Vendor day rates"),$J144-0.4*$I144,0)</f>
        <v>0</v>
      </c>
      <c r="S144" s="20" t="n">
        <f aca="false">IF(OR($P144&lt;&gt;"Yes",$Q144=""),0,$R144*MAX(0,7-MATCH($Q144,MonthList,0))/12)</f>
        <v>0</v>
      </c>
      <c r="T144" s="20" t="n">
        <f aca="false">IF(OR($P144&lt;&gt;"Yes",$Q144=""),0,$R144*IF(MATCH($Q144,MonthList,0)&lt;=7,12,19-MATCH($Q144,MonthList,0))/12)</f>
        <v>0</v>
      </c>
      <c r="U144" s="21" t="s">
        <v>59</v>
      </c>
      <c r="V144" s="21"/>
      <c r="W144" s="20" t="n">
        <f aca="false">IF(AND($U144="Yes",$G144&lt;&gt;"Vendor day rates"),$J144-0.4*$I144,0)</f>
        <v>0</v>
      </c>
      <c r="X144" s="20" t="n">
        <f aca="false">IF(OR($U144&lt;&gt;"Yes",$V144=""),0,$W144*MAX(0,7-MATCH($V144,MonthList,0))/12)</f>
        <v>0</v>
      </c>
      <c r="Y144" s="20" t="n">
        <f aca="false">IF(OR($U144&lt;&gt;"Yes",$V144=""),0,$W144*IF(MATCH($V144,MonthList,0)&lt;=7,12,19-MATCH($V144,MonthList,0))/12)</f>
        <v>0</v>
      </c>
    </row>
    <row r="145" customFormat="false" ht="15" hidden="false" customHeight="true" outlineLevel="0" collapsed="false">
      <c r="B145" s="22" t="s">
        <v>342</v>
      </c>
      <c r="C145" s="22" t="s">
        <v>343</v>
      </c>
      <c r="D145" s="22" t="s">
        <v>32</v>
      </c>
      <c r="E145" s="22" t="s">
        <v>218</v>
      </c>
      <c r="F145" s="23" t="s">
        <v>109</v>
      </c>
      <c r="G145" s="23" t="s">
        <v>58</v>
      </c>
      <c r="H145" s="23" t="n">
        <v>1</v>
      </c>
      <c r="I145" s="24" t="n">
        <v>0.1864</v>
      </c>
      <c r="J145" s="24" t="n">
        <v>0.1864</v>
      </c>
      <c r="K145" s="21" t="s">
        <v>59</v>
      </c>
      <c r="L145" s="21"/>
      <c r="M145" s="24" t="n">
        <f aca="false">IF(AND($K145="Yes",$G145&lt;&gt;"Vendor day rates"),$J145-0.4*$I145,0)</f>
        <v>0</v>
      </c>
      <c r="N145" s="24" t="n">
        <f aca="false">IF(OR($K145&lt;&gt;"Yes",$L145=""),0,$M145*MAX(0,7-MATCH($L145,MonthList,0))/12)</f>
        <v>0</v>
      </c>
      <c r="O145" s="24" t="n">
        <f aca="false">IF(OR($K145&lt;&gt;"Yes",$L145=""),0,$M145*IF(MATCH($L145,MonthList,0)&lt;=7,12,19-MATCH($L145,MonthList,0))/12)</f>
        <v>0</v>
      </c>
      <c r="P145" s="21" t="s">
        <v>59</v>
      </c>
      <c r="Q145" s="21"/>
      <c r="R145" s="24" t="n">
        <f aca="false">IF(AND($P145="Yes",$G145&lt;&gt;"Vendor day rates"),$J145-0.4*$I145,0)</f>
        <v>0</v>
      </c>
      <c r="S145" s="24" t="n">
        <f aca="false">IF(OR($P145&lt;&gt;"Yes",$Q145=""),0,$R145*MAX(0,7-MATCH($Q145,MonthList,0))/12)</f>
        <v>0</v>
      </c>
      <c r="T145" s="24" t="n">
        <f aca="false">IF(OR($P145&lt;&gt;"Yes",$Q145=""),0,$R145*IF(MATCH($Q145,MonthList,0)&lt;=7,12,19-MATCH($Q145,MonthList,0))/12)</f>
        <v>0</v>
      </c>
      <c r="U145" s="21" t="s">
        <v>59</v>
      </c>
      <c r="V145" s="21"/>
      <c r="W145" s="24" t="n">
        <f aca="false">IF(AND($U145="Yes",$G145&lt;&gt;"Vendor day rates"),$J145-0.4*$I145,0)</f>
        <v>0</v>
      </c>
      <c r="X145" s="24" t="n">
        <f aca="false">IF(OR($U145&lt;&gt;"Yes",$V145=""),0,$W145*MAX(0,7-MATCH($V145,MonthList,0))/12)</f>
        <v>0</v>
      </c>
      <c r="Y145" s="24" t="n">
        <f aca="false">IF(OR($U145&lt;&gt;"Yes",$V145=""),0,$W145*IF(MATCH($V145,MonthList,0)&lt;=7,12,19-MATCH($V145,MonthList,0))/12)</f>
        <v>0</v>
      </c>
    </row>
    <row r="146" customFormat="false" ht="15" hidden="false" customHeight="true" outlineLevel="0" collapsed="false">
      <c r="B146" s="18" t="s">
        <v>344</v>
      </c>
      <c r="C146" s="18" t="s">
        <v>345</v>
      </c>
      <c r="D146" s="18" t="s">
        <v>18</v>
      </c>
      <c r="E146" s="18" t="s">
        <v>56</v>
      </c>
      <c r="F146" s="19" t="s">
        <v>57</v>
      </c>
      <c r="G146" s="19" t="s">
        <v>58</v>
      </c>
      <c r="H146" s="19" t="n">
        <v>1</v>
      </c>
      <c r="I146" s="20" t="n">
        <v>0.2403</v>
      </c>
      <c r="J146" s="20" t="n">
        <v>0.2403</v>
      </c>
      <c r="K146" s="21" t="s">
        <v>59</v>
      </c>
      <c r="L146" s="21"/>
      <c r="M146" s="20" t="n">
        <f aca="false">IF(AND($K146="Yes",$G146&lt;&gt;"Vendor day rates"),$J146-0.4*$I146,0)</f>
        <v>0</v>
      </c>
      <c r="N146" s="20" t="n">
        <f aca="false">IF(OR($K146&lt;&gt;"Yes",$L146=""),0,$M146*MAX(0,7-MATCH($L146,MonthList,0))/12)</f>
        <v>0</v>
      </c>
      <c r="O146" s="20" t="n">
        <f aca="false">IF(OR($K146&lt;&gt;"Yes",$L146=""),0,$M146*IF(MATCH($L146,MonthList,0)&lt;=7,12,19-MATCH($L146,MonthList,0))/12)</f>
        <v>0</v>
      </c>
      <c r="P146" s="21" t="s">
        <v>59</v>
      </c>
      <c r="Q146" s="21"/>
      <c r="R146" s="20" t="n">
        <f aca="false">IF(AND($P146="Yes",$G146&lt;&gt;"Vendor day rates"),$J146-0.4*$I146,0)</f>
        <v>0</v>
      </c>
      <c r="S146" s="20" t="n">
        <f aca="false">IF(OR($P146&lt;&gt;"Yes",$Q146=""),0,$R146*MAX(0,7-MATCH($Q146,MonthList,0))/12)</f>
        <v>0</v>
      </c>
      <c r="T146" s="20" t="n">
        <f aca="false">IF(OR($P146&lt;&gt;"Yes",$Q146=""),0,$R146*IF(MATCH($Q146,MonthList,0)&lt;=7,12,19-MATCH($Q146,MonthList,0))/12)</f>
        <v>0</v>
      </c>
      <c r="U146" s="21" t="s">
        <v>59</v>
      </c>
      <c r="V146" s="21"/>
      <c r="W146" s="20" t="n">
        <f aca="false">IF(AND($U146="Yes",$G146&lt;&gt;"Vendor day rates"),$J146-0.4*$I146,0)</f>
        <v>0</v>
      </c>
      <c r="X146" s="20" t="n">
        <f aca="false">IF(OR($U146&lt;&gt;"Yes",$V146=""),0,$W146*MAX(0,7-MATCH($V146,MonthList,0))/12)</f>
        <v>0</v>
      </c>
      <c r="Y146" s="20" t="n">
        <f aca="false">IF(OR($U146&lt;&gt;"Yes",$V146=""),0,$W146*IF(MATCH($V146,MonthList,0)&lt;=7,12,19-MATCH($V146,MonthList,0))/12)</f>
        <v>0</v>
      </c>
    </row>
    <row r="147" customFormat="false" ht="15" hidden="false" customHeight="true" outlineLevel="0" collapsed="false">
      <c r="B147" s="22" t="s">
        <v>346</v>
      </c>
      <c r="C147" s="22" t="s">
        <v>347</v>
      </c>
      <c r="D147" s="22" t="s">
        <v>18</v>
      </c>
      <c r="E147" s="22" t="s">
        <v>62</v>
      </c>
      <c r="F147" s="23" t="s">
        <v>57</v>
      </c>
      <c r="G147" s="23" t="s">
        <v>118</v>
      </c>
      <c r="H147" s="23" t="n">
        <v>1</v>
      </c>
      <c r="I147" s="24" t="n">
        <v>0.2403</v>
      </c>
      <c r="J147" s="24" t="n">
        <v>0.0961</v>
      </c>
      <c r="K147" s="21" t="s">
        <v>59</v>
      </c>
      <c r="L147" s="21"/>
      <c r="M147" s="24" t="n">
        <f aca="false">IF(AND($K147="Yes",$G147&lt;&gt;"Vendor day rates"),$J147-0.4*$I147,0)</f>
        <v>0</v>
      </c>
      <c r="N147" s="24" t="n">
        <f aca="false">IF(OR($K147&lt;&gt;"Yes",$L147=""),0,$M147*MAX(0,7-MATCH($L147,MonthList,0))/12)</f>
        <v>0</v>
      </c>
      <c r="O147" s="24" t="n">
        <f aca="false">IF(OR($K147&lt;&gt;"Yes",$L147=""),0,$M147*IF(MATCH($L147,MonthList,0)&lt;=7,12,19-MATCH($L147,MonthList,0))/12)</f>
        <v>0</v>
      </c>
      <c r="P147" s="21" t="s">
        <v>59</v>
      </c>
      <c r="Q147" s="21"/>
      <c r="R147" s="24" t="n">
        <f aca="false">IF(AND($P147="Yes",$G147&lt;&gt;"Vendor day rates"),$J147-0.4*$I147,0)</f>
        <v>0</v>
      </c>
      <c r="S147" s="24" t="n">
        <f aca="false">IF(OR($P147&lt;&gt;"Yes",$Q147=""),0,$R147*MAX(0,7-MATCH($Q147,MonthList,0))/12)</f>
        <v>0</v>
      </c>
      <c r="T147" s="24" t="n">
        <f aca="false">IF(OR($P147&lt;&gt;"Yes",$Q147=""),0,$R147*IF(MATCH($Q147,MonthList,0)&lt;=7,12,19-MATCH($Q147,MonthList,0))/12)</f>
        <v>0</v>
      </c>
      <c r="U147" s="21" t="s">
        <v>59</v>
      </c>
      <c r="V147" s="21"/>
      <c r="W147" s="24" t="n">
        <f aca="false">IF(AND($U147="Yes",$G147&lt;&gt;"Vendor day rates"),$J147-0.4*$I147,0)</f>
        <v>0</v>
      </c>
      <c r="X147" s="24" t="n">
        <f aca="false">IF(OR($U147&lt;&gt;"Yes",$V147=""),0,$W147*MAX(0,7-MATCH($V147,MonthList,0))/12)</f>
        <v>0</v>
      </c>
      <c r="Y147" s="24" t="n">
        <f aca="false">IF(OR($U147&lt;&gt;"Yes",$V147=""),0,$W147*IF(MATCH($V147,MonthList,0)&lt;=7,12,19-MATCH($V147,MonthList,0))/12)</f>
        <v>0</v>
      </c>
    </row>
    <row r="148" customFormat="false" ht="15" hidden="false" customHeight="true" outlineLevel="0" collapsed="false">
      <c r="B148" s="18" t="s">
        <v>348</v>
      </c>
      <c r="C148" s="18" t="s">
        <v>347</v>
      </c>
      <c r="D148" s="18" t="s">
        <v>18</v>
      </c>
      <c r="E148" s="18" t="s">
        <v>66</v>
      </c>
      <c r="F148" s="19" t="s">
        <v>57</v>
      </c>
      <c r="G148" s="19" t="s">
        <v>58</v>
      </c>
      <c r="H148" s="19" t="n">
        <v>1</v>
      </c>
      <c r="I148" s="20" t="n">
        <v>0.2602</v>
      </c>
      <c r="J148" s="20" t="n">
        <v>0.2602</v>
      </c>
      <c r="K148" s="21" t="s">
        <v>59</v>
      </c>
      <c r="L148" s="21"/>
      <c r="M148" s="20" t="n">
        <f aca="false">IF(AND($K148="Yes",$G148&lt;&gt;"Vendor day rates"),$J148-0.4*$I148,0)</f>
        <v>0</v>
      </c>
      <c r="N148" s="20" t="n">
        <f aca="false">IF(OR($K148&lt;&gt;"Yes",$L148=""),0,$M148*MAX(0,7-MATCH($L148,MonthList,0))/12)</f>
        <v>0</v>
      </c>
      <c r="O148" s="20" t="n">
        <f aca="false">IF(OR($K148&lt;&gt;"Yes",$L148=""),0,$M148*IF(MATCH($L148,MonthList,0)&lt;=7,12,19-MATCH($L148,MonthList,0))/12)</f>
        <v>0</v>
      </c>
      <c r="P148" s="21" t="s">
        <v>59</v>
      </c>
      <c r="Q148" s="21"/>
      <c r="R148" s="20" t="n">
        <f aca="false">IF(AND($P148="Yes",$G148&lt;&gt;"Vendor day rates"),$J148-0.4*$I148,0)</f>
        <v>0</v>
      </c>
      <c r="S148" s="20" t="n">
        <f aca="false">IF(OR($P148&lt;&gt;"Yes",$Q148=""),0,$R148*MAX(0,7-MATCH($Q148,MonthList,0))/12)</f>
        <v>0</v>
      </c>
      <c r="T148" s="20" t="n">
        <f aca="false">IF(OR($P148&lt;&gt;"Yes",$Q148=""),0,$R148*IF(MATCH($Q148,MonthList,0)&lt;=7,12,19-MATCH($Q148,MonthList,0))/12)</f>
        <v>0</v>
      </c>
      <c r="U148" s="21" t="s">
        <v>59</v>
      </c>
      <c r="V148" s="21"/>
      <c r="W148" s="20" t="n">
        <f aca="false">IF(AND($U148="Yes",$G148&lt;&gt;"Vendor day rates"),$J148-0.4*$I148,0)</f>
        <v>0</v>
      </c>
      <c r="X148" s="20" t="n">
        <f aca="false">IF(OR($U148&lt;&gt;"Yes",$V148=""),0,$W148*MAX(0,7-MATCH($V148,MonthList,0))/12)</f>
        <v>0</v>
      </c>
      <c r="Y148" s="20" t="n">
        <f aca="false">IF(OR($U148&lt;&gt;"Yes",$V148=""),0,$W148*IF(MATCH($V148,MonthList,0)&lt;=7,12,19-MATCH($V148,MonthList,0))/12)</f>
        <v>0</v>
      </c>
    </row>
    <row r="149" customFormat="false" ht="15" hidden="false" customHeight="true" outlineLevel="0" collapsed="false">
      <c r="B149" s="22" t="s">
        <v>349</v>
      </c>
      <c r="C149" s="22" t="s">
        <v>350</v>
      </c>
      <c r="D149" s="22" t="s">
        <v>20</v>
      </c>
      <c r="E149" s="22" t="s">
        <v>351</v>
      </c>
      <c r="F149" s="23" t="s">
        <v>57</v>
      </c>
      <c r="G149" s="23" t="s">
        <v>58</v>
      </c>
      <c r="H149" s="23" t="n">
        <v>1</v>
      </c>
      <c r="I149" s="24" t="n">
        <v>0.3467</v>
      </c>
      <c r="J149" s="24" t="n">
        <v>0.3467</v>
      </c>
      <c r="K149" s="21" t="s">
        <v>59</v>
      </c>
      <c r="L149" s="21"/>
      <c r="M149" s="24" t="n">
        <f aca="false">IF(AND($K149="Yes",$G149&lt;&gt;"Vendor day rates"),$J149-0.4*$I149,0)</f>
        <v>0</v>
      </c>
      <c r="N149" s="24" t="n">
        <f aca="false">IF(OR($K149&lt;&gt;"Yes",$L149=""),0,$M149*MAX(0,7-MATCH($L149,MonthList,0))/12)</f>
        <v>0</v>
      </c>
      <c r="O149" s="24" t="n">
        <f aca="false">IF(OR($K149&lt;&gt;"Yes",$L149=""),0,$M149*IF(MATCH($L149,MonthList,0)&lt;=7,12,19-MATCH($L149,MonthList,0))/12)</f>
        <v>0</v>
      </c>
      <c r="P149" s="21" t="s">
        <v>59</v>
      </c>
      <c r="Q149" s="21"/>
      <c r="R149" s="24" t="n">
        <f aca="false">IF(AND($P149="Yes",$G149&lt;&gt;"Vendor day rates"),$J149-0.4*$I149,0)</f>
        <v>0</v>
      </c>
      <c r="S149" s="24" t="n">
        <f aca="false">IF(OR($P149&lt;&gt;"Yes",$Q149=""),0,$R149*MAX(0,7-MATCH($Q149,MonthList,0))/12)</f>
        <v>0</v>
      </c>
      <c r="T149" s="24" t="n">
        <f aca="false">IF(OR($P149&lt;&gt;"Yes",$Q149=""),0,$R149*IF(MATCH($Q149,MonthList,0)&lt;=7,12,19-MATCH($Q149,MonthList,0))/12)</f>
        <v>0</v>
      </c>
      <c r="U149" s="21" t="s">
        <v>59</v>
      </c>
      <c r="V149" s="21"/>
      <c r="W149" s="24" t="n">
        <f aca="false">IF(AND($U149="Yes",$G149&lt;&gt;"Vendor day rates"),$J149-0.4*$I149,0)</f>
        <v>0</v>
      </c>
      <c r="X149" s="24" t="n">
        <f aca="false">IF(OR($U149&lt;&gt;"Yes",$V149=""),0,$W149*MAX(0,7-MATCH($V149,MonthList,0))/12)</f>
        <v>0</v>
      </c>
      <c r="Y149" s="24" t="n">
        <f aca="false">IF(OR($U149&lt;&gt;"Yes",$V149=""),0,$W149*IF(MATCH($V149,MonthList,0)&lt;=7,12,19-MATCH($V149,MonthList,0))/12)</f>
        <v>0</v>
      </c>
    </row>
    <row r="150" customFormat="false" ht="15" hidden="false" customHeight="true" outlineLevel="0" collapsed="false">
      <c r="B150" s="18" t="s">
        <v>352</v>
      </c>
      <c r="C150" s="18" t="s">
        <v>353</v>
      </c>
      <c r="D150" s="18" t="s">
        <v>20</v>
      </c>
      <c r="E150" s="18" t="s">
        <v>275</v>
      </c>
      <c r="F150" s="19" t="s">
        <v>57</v>
      </c>
      <c r="G150" s="19" t="s">
        <v>58</v>
      </c>
      <c r="H150" s="19" t="n">
        <v>1</v>
      </c>
      <c r="I150" s="20" t="n">
        <v>0.3047</v>
      </c>
      <c r="J150" s="20" t="n">
        <v>0.3047</v>
      </c>
      <c r="K150" s="21" t="s">
        <v>59</v>
      </c>
      <c r="L150" s="21"/>
      <c r="M150" s="20" t="n">
        <f aca="false">IF(AND($K150="Yes",$G150&lt;&gt;"Vendor day rates"),$J150-0.4*$I150,0)</f>
        <v>0</v>
      </c>
      <c r="N150" s="20" t="n">
        <f aca="false">IF(OR($K150&lt;&gt;"Yes",$L150=""),0,$M150*MAX(0,7-MATCH($L150,MonthList,0))/12)</f>
        <v>0</v>
      </c>
      <c r="O150" s="20" t="n">
        <f aca="false">IF(OR($K150&lt;&gt;"Yes",$L150=""),0,$M150*IF(MATCH($L150,MonthList,0)&lt;=7,12,19-MATCH($L150,MonthList,0))/12)</f>
        <v>0</v>
      </c>
      <c r="P150" s="21" t="s">
        <v>59</v>
      </c>
      <c r="Q150" s="21"/>
      <c r="R150" s="20" t="n">
        <f aca="false">IF(AND($P150="Yes",$G150&lt;&gt;"Vendor day rates"),$J150-0.4*$I150,0)</f>
        <v>0</v>
      </c>
      <c r="S150" s="20" t="n">
        <f aca="false">IF(OR($P150&lt;&gt;"Yes",$Q150=""),0,$R150*MAX(0,7-MATCH($Q150,MonthList,0))/12)</f>
        <v>0</v>
      </c>
      <c r="T150" s="20" t="n">
        <f aca="false">IF(OR($P150&lt;&gt;"Yes",$Q150=""),0,$R150*IF(MATCH($Q150,MonthList,0)&lt;=7,12,19-MATCH($Q150,MonthList,0))/12)</f>
        <v>0</v>
      </c>
      <c r="U150" s="21" t="s">
        <v>59</v>
      </c>
      <c r="V150" s="21"/>
      <c r="W150" s="20" t="n">
        <f aca="false">IF(AND($U150="Yes",$G150&lt;&gt;"Vendor day rates"),$J150-0.4*$I150,0)</f>
        <v>0</v>
      </c>
      <c r="X150" s="20" t="n">
        <f aca="false">IF(OR($U150&lt;&gt;"Yes",$V150=""),0,$W150*MAX(0,7-MATCH($V150,MonthList,0))/12)</f>
        <v>0</v>
      </c>
      <c r="Y150" s="20" t="n">
        <f aca="false">IF(OR($U150&lt;&gt;"Yes",$V150=""),0,$W150*IF(MATCH($V150,MonthList,0)&lt;=7,12,19-MATCH($V150,MonthList,0))/12)</f>
        <v>0</v>
      </c>
    </row>
    <row r="151" customFormat="false" ht="15" hidden="false" customHeight="true" outlineLevel="0" collapsed="false">
      <c r="B151" s="22" t="s">
        <v>354</v>
      </c>
      <c r="C151" s="22" t="s">
        <v>353</v>
      </c>
      <c r="D151" s="22" t="s">
        <v>20</v>
      </c>
      <c r="E151" s="22" t="s">
        <v>275</v>
      </c>
      <c r="F151" s="23" t="s">
        <v>57</v>
      </c>
      <c r="G151" s="23" t="s">
        <v>58</v>
      </c>
      <c r="H151" s="23" t="n">
        <v>1</v>
      </c>
      <c r="I151" s="24" t="n">
        <v>0.2212</v>
      </c>
      <c r="J151" s="24" t="n">
        <v>0.2212</v>
      </c>
      <c r="K151" s="21" t="s">
        <v>59</v>
      </c>
      <c r="L151" s="21"/>
      <c r="M151" s="24" t="n">
        <f aca="false">IF(AND($K151="Yes",$G151&lt;&gt;"Vendor day rates"),$J151-0.4*$I151,0)</f>
        <v>0</v>
      </c>
      <c r="N151" s="24" t="n">
        <f aca="false">IF(OR($K151&lt;&gt;"Yes",$L151=""),0,$M151*MAX(0,7-MATCH($L151,MonthList,0))/12)</f>
        <v>0</v>
      </c>
      <c r="O151" s="24" t="n">
        <f aca="false">IF(OR($K151&lt;&gt;"Yes",$L151=""),0,$M151*IF(MATCH($L151,MonthList,0)&lt;=7,12,19-MATCH($L151,MonthList,0))/12)</f>
        <v>0</v>
      </c>
      <c r="P151" s="21" t="s">
        <v>59</v>
      </c>
      <c r="Q151" s="21"/>
      <c r="R151" s="24" t="n">
        <f aca="false">IF(AND($P151="Yes",$G151&lt;&gt;"Vendor day rates"),$J151-0.4*$I151,0)</f>
        <v>0</v>
      </c>
      <c r="S151" s="24" t="n">
        <f aca="false">IF(OR($P151&lt;&gt;"Yes",$Q151=""),0,$R151*MAX(0,7-MATCH($Q151,MonthList,0))/12)</f>
        <v>0</v>
      </c>
      <c r="T151" s="24" t="n">
        <f aca="false">IF(OR($P151&lt;&gt;"Yes",$Q151=""),0,$R151*IF(MATCH($Q151,MonthList,0)&lt;=7,12,19-MATCH($Q151,MonthList,0))/12)</f>
        <v>0</v>
      </c>
      <c r="U151" s="21" t="s">
        <v>59</v>
      </c>
      <c r="V151" s="21"/>
      <c r="W151" s="24" t="n">
        <f aca="false">IF(AND($U151="Yes",$G151&lt;&gt;"Vendor day rates"),$J151-0.4*$I151,0)</f>
        <v>0</v>
      </c>
      <c r="X151" s="24" t="n">
        <f aca="false">IF(OR($U151&lt;&gt;"Yes",$V151=""),0,$W151*MAX(0,7-MATCH($V151,MonthList,0))/12)</f>
        <v>0</v>
      </c>
      <c r="Y151" s="24" t="n">
        <f aca="false">IF(OR($U151&lt;&gt;"Yes",$V151=""),0,$W151*IF(MATCH($V151,MonthList,0)&lt;=7,12,19-MATCH($V151,MonthList,0))/12)</f>
        <v>0</v>
      </c>
    </row>
    <row r="152" customFormat="false" ht="15" hidden="false" customHeight="true" outlineLevel="0" collapsed="false">
      <c r="B152" s="18" t="s">
        <v>355</v>
      </c>
      <c r="C152" s="18" t="s">
        <v>113</v>
      </c>
      <c r="D152" s="18" t="s">
        <v>25</v>
      </c>
      <c r="E152" s="18" t="s">
        <v>173</v>
      </c>
      <c r="F152" s="19" t="s">
        <v>57</v>
      </c>
      <c r="G152" s="19" t="s">
        <v>58</v>
      </c>
      <c r="H152" s="19" t="n">
        <v>1</v>
      </c>
      <c r="I152" s="20" t="n">
        <v>0.2567</v>
      </c>
      <c r="J152" s="20" t="n">
        <v>0.2567</v>
      </c>
      <c r="K152" s="21" t="s">
        <v>59</v>
      </c>
      <c r="L152" s="21"/>
      <c r="M152" s="20" t="n">
        <f aca="false">IF(AND($K152="Yes",$G152&lt;&gt;"Vendor day rates"),$J152-0.4*$I152,0)</f>
        <v>0</v>
      </c>
      <c r="N152" s="20" t="n">
        <f aca="false">IF(OR($K152&lt;&gt;"Yes",$L152=""),0,$M152*MAX(0,7-MATCH($L152,MonthList,0))/12)</f>
        <v>0</v>
      </c>
      <c r="O152" s="20" t="n">
        <f aca="false">IF(OR($K152&lt;&gt;"Yes",$L152=""),0,$M152*IF(MATCH($L152,MonthList,0)&lt;=7,12,19-MATCH($L152,MonthList,0))/12)</f>
        <v>0</v>
      </c>
      <c r="P152" s="21" t="s">
        <v>59</v>
      </c>
      <c r="Q152" s="21"/>
      <c r="R152" s="20" t="n">
        <f aca="false">IF(AND($P152="Yes",$G152&lt;&gt;"Vendor day rates"),$J152-0.4*$I152,0)</f>
        <v>0</v>
      </c>
      <c r="S152" s="20" t="n">
        <f aca="false">IF(OR($P152&lt;&gt;"Yes",$Q152=""),0,$R152*MAX(0,7-MATCH($Q152,MonthList,0))/12)</f>
        <v>0</v>
      </c>
      <c r="T152" s="20" t="n">
        <f aca="false">IF(OR($P152&lt;&gt;"Yes",$Q152=""),0,$R152*IF(MATCH($Q152,MonthList,0)&lt;=7,12,19-MATCH($Q152,MonthList,0))/12)</f>
        <v>0</v>
      </c>
      <c r="U152" s="21" t="s">
        <v>59</v>
      </c>
      <c r="V152" s="21"/>
      <c r="W152" s="20" t="n">
        <f aca="false">IF(AND($U152="Yes",$G152&lt;&gt;"Vendor day rates"),$J152-0.4*$I152,0)</f>
        <v>0</v>
      </c>
      <c r="X152" s="20" t="n">
        <f aca="false">IF(OR($U152&lt;&gt;"Yes",$V152=""),0,$W152*MAX(0,7-MATCH($V152,MonthList,0))/12)</f>
        <v>0</v>
      </c>
      <c r="Y152" s="20" t="n">
        <f aca="false">IF(OR($U152&lt;&gt;"Yes",$V152=""),0,$W152*IF(MATCH($V152,MonthList,0)&lt;=7,12,19-MATCH($V152,MonthList,0))/12)</f>
        <v>0</v>
      </c>
    </row>
    <row r="153" customFormat="false" ht="15" hidden="false" customHeight="true" outlineLevel="0" collapsed="false">
      <c r="B153" s="22" t="s">
        <v>356</v>
      </c>
      <c r="C153" s="22" t="s">
        <v>357</v>
      </c>
      <c r="D153" s="22" t="s">
        <v>26</v>
      </c>
      <c r="E153" s="22" t="s">
        <v>238</v>
      </c>
      <c r="F153" s="23" t="s">
        <v>109</v>
      </c>
      <c r="G153" s="23" t="s">
        <v>118</v>
      </c>
      <c r="H153" s="23" t="n">
        <v>1</v>
      </c>
      <c r="I153" s="24" t="n">
        <v>0.1885</v>
      </c>
      <c r="J153" s="24" t="n">
        <v>0.0754</v>
      </c>
      <c r="K153" s="21" t="s">
        <v>59</v>
      </c>
      <c r="L153" s="21"/>
      <c r="M153" s="24" t="n">
        <f aca="false">IF(AND($K153="Yes",$G153&lt;&gt;"Vendor day rates"),$J153-0.4*$I153,0)</f>
        <v>0</v>
      </c>
      <c r="N153" s="24" t="n">
        <f aca="false">IF(OR($K153&lt;&gt;"Yes",$L153=""),0,$M153*MAX(0,7-MATCH($L153,MonthList,0))/12)</f>
        <v>0</v>
      </c>
      <c r="O153" s="24" t="n">
        <f aca="false">IF(OR($K153&lt;&gt;"Yes",$L153=""),0,$M153*IF(MATCH($L153,MonthList,0)&lt;=7,12,19-MATCH($L153,MonthList,0))/12)</f>
        <v>0</v>
      </c>
      <c r="P153" s="21" t="s">
        <v>59</v>
      </c>
      <c r="Q153" s="21"/>
      <c r="R153" s="24" t="n">
        <f aca="false">IF(AND($P153="Yes",$G153&lt;&gt;"Vendor day rates"),$J153-0.4*$I153,0)</f>
        <v>0</v>
      </c>
      <c r="S153" s="24" t="n">
        <f aca="false">IF(OR($P153&lt;&gt;"Yes",$Q153=""),0,$R153*MAX(0,7-MATCH($Q153,MonthList,0))/12)</f>
        <v>0</v>
      </c>
      <c r="T153" s="24" t="n">
        <f aca="false">IF(OR($P153&lt;&gt;"Yes",$Q153=""),0,$R153*IF(MATCH($Q153,MonthList,0)&lt;=7,12,19-MATCH($Q153,MonthList,0))/12)</f>
        <v>0</v>
      </c>
      <c r="U153" s="21" t="s">
        <v>59</v>
      </c>
      <c r="V153" s="21"/>
      <c r="W153" s="24" t="n">
        <f aca="false">IF(AND($U153="Yes",$G153&lt;&gt;"Vendor day rates"),$J153-0.4*$I153,0)</f>
        <v>0</v>
      </c>
      <c r="X153" s="24" t="n">
        <f aca="false">IF(OR($U153&lt;&gt;"Yes",$V153=""),0,$W153*MAX(0,7-MATCH($V153,MonthList,0))/12)</f>
        <v>0</v>
      </c>
      <c r="Y153" s="24" t="n">
        <f aca="false">IF(OR($U153&lt;&gt;"Yes",$V153=""),0,$W153*IF(MATCH($V153,MonthList,0)&lt;=7,12,19-MATCH($V153,MonthList,0))/12)</f>
        <v>0</v>
      </c>
    </row>
    <row r="154" customFormat="false" ht="15" hidden="false" customHeight="true" outlineLevel="0" collapsed="false">
      <c r="B154" s="18" t="s">
        <v>358</v>
      </c>
      <c r="C154" s="18" t="s">
        <v>113</v>
      </c>
      <c r="D154" s="18" t="s">
        <v>31</v>
      </c>
      <c r="E154" s="18" t="s">
        <v>359</v>
      </c>
      <c r="F154" s="19" t="s">
        <v>109</v>
      </c>
      <c r="G154" s="19" t="s">
        <v>58</v>
      </c>
      <c r="H154" s="19" t="n">
        <v>1</v>
      </c>
      <c r="I154" s="20" t="n">
        <v>0.1862</v>
      </c>
      <c r="J154" s="20" t="n">
        <v>0.1862</v>
      </c>
      <c r="K154" s="21" t="s">
        <v>59</v>
      </c>
      <c r="L154" s="21"/>
      <c r="M154" s="20" t="n">
        <f aca="false">IF(AND($K154="Yes",$G154&lt;&gt;"Vendor day rates"),$J154-0.4*$I154,0)</f>
        <v>0</v>
      </c>
      <c r="N154" s="20" t="n">
        <f aca="false">IF(OR($K154&lt;&gt;"Yes",$L154=""),0,$M154*MAX(0,7-MATCH($L154,MonthList,0))/12)</f>
        <v>0</v>
      </c>
      <c r="O154" s="20" t="n">
        <f aca="false">IF(OR($K154&lt;&gt;"Yes",$L154=""),0,$M154*IF(MATCH($L154,MonthList,0)&lt;=7,12,19-MATCH($L154,MonthList,0))/12)</f>
        <v>0</v>
      </c>
      <c r="P154" s="21" t="s">
        <v>59</v>
      </c>
      <c r="Q154" s="21"/>
      <c r="R154" s="20" t="n">
        <f aca="false">IF(AND($P154="Yes",$G154&lt;&gt;"Vendor day rates"),$J154-0.4*$I154,0)</f>
        <v>0</v>
      </c>
      <c r="S154" s="20" t="n">
        <f aca="false">IF(OR($P154&lt;&gt;"Yes",$Q154=""),0,$R154*MAX(0,7-MATCH($Q154,MonthList,0))/12)</f>
        <v>0</v>
      </c>
      <c r="T154" s="20" t="n">
        <f aca="false">IF(OR($P154&lt;&gt;"Yes",$Q154=""),0,$R154*IF(MATCH($Q154,MonthList,0)&lt;=7,12,19-MATCH($Q154,MonthList,0))/12)</f>
        <v>0</v>
      </c>
      <c r="U154" s="21" t="s">
        <v>59</v>
      </c>
      <c r="V154" s="21"/>
      <c r="W154" s="20" t="n">
        <f aca="false">IF(AND($U154="Yes",$G154&lt;&gt;"Vendor day rates"),$J154-0.4*$I154,0)</f>
        <v>0</v>
      </c>
      <c r="X154" s="20" t="n">
        <f aca="false">IF(OR($U154&lt;&gt;"Yes",$V154=""),0,$W154*MAX(0,7-MATCH($V154,MonthList,0))/12)</f>
        <v>0</v>
      </c>
      <c r="Y154" s="20" t="n">
        <f aca="false">IF(OR($U154&lt;&gt;"Yes",$V154=""),0,$W154*IF(MATCH($V154,MonthList,0)&lt;=7,12,19-MATCH($V154,MonthList,0))/12)</f>
        <v>0</v>
      </c>
    </row>
    <row r="155" customFormat="false" ht="15" hidden="false" customHeight="true" outlineLevel="0" collapsed="false">
      <c r="B155" s="22" t="s">
        <v>360</v>
      </c>
      <c r="C155" s="22" t="s">
        <v>113</v>
      </c>
      <c r="D155" s="22" t="s">
        <v>31</v>
      </c>
      <c r="E155" s="22" t="s">
        <v>361</v>
      </c>
      <c r="F155" s="23" t="s">
        <v>109</v>
      </c>
      <c r="G155" s="23" t="s">
        <v>58</v>
      </c>
      <c r="H155" s="23" t="n">
        <v>1</v>
      </c>
      <c r="I155" s="24" t="n">
        <v>0.2066</v>
      </c>
      <c r="J155" s="24" t="n">
        <v>0.2066</v>
      </c>
      <c r="K155" s="21" t="s">
        <v>59</v>
      </c>
      <c r="L155" s="21"/>
      <c r="M155" s="24" t="n">
        <f aca="false">IF(AND($K155="Yes",$G155&lt;&gt;"Vendor day rates"),$J155-0.4*$I155,0)</f>
        <v>0</v>
      </c>
      <c r="N155" s="24" t="n">
        <f aca="false">IF(OR($K155&lt;&gt;"Yes",$L155=""),0,$M155*MAX(0,7-MATCH($L155,MonthList,0))/12)</f>
        <v>0</v>
      </c>
      <c r="O155" s="24" t="n">
        <f aca="false">IF(OR($K155&lt;&gt;"Yes",$L155=""),0,$M155*IF(MATCH($L155,MonthList,0)&lt;=7,12,19-MATCH($L155,MonthList,0))/12)</f>
        <v>0</v>
      </c>
      <c r="P155" s="21" t="s">
        <v>59</v>
      </c>
      <c r="Q155" s="21"/>
      <c r="R155" s="24" t="n">
        <f aca="false">IF(AND($P155="Yes",$G155&lt;&gt;"Vendor day rates"),$J155-0.4*$I155,0)</f>
        <v>0</v>
      </c>
      <c r="S155" s="24" t="n">
        <f aca="false">IF(OR($P155&lt;&gt;"Yes",$Q155=""),0,$R155*MAX(0,7-MATCH($Q155,MonthList,0))/12)</f>
        <v>0</v>
      </c>
      <c r="T155" s="24" t="n">
        <f aca="false">IF(OR($P155&lt;&gt;"Yes",$Q155=""),0,$R155*IF(MATCH($Q155,MonthList,0)&lt;=7,12,19-MATCH($Q155,MonthList,0))/12)</f>
        <v>0</v>
      </c>
      <c r="U155" s="21" t="s">
        <v>59</v>
      </c>
      <c r="V155" s="21"/>
      <c r="W155" s="24" t="n">
        <f aca="false">IF(AND($U155="Yes",$G155&lt;&gt;"Vendor day rates"),$J155-0.4*$I155,0)</f>
        <v>0</v>
      </c>
      <c r="X155" s="24" t="n">
        <f aca="false">IF(OR($U155&lt;&gt;"Yes",$V155=""),0,$W155*MAX(0,7-MATCH($V155,MonthList,0))/12)</f>
        <v>0</v>
      </c>
      <c r="Y155" s="24" t="n">
        <f aca="false">IF(OR($U155&lt;&gt;"Yes",$V155=""),0,$W155*IF(MATCH($V155,MonthList,0)&lt;=7,12,19-MATCH($V155,MonthList,0))/12)</f>
        <v>0</v>
      </c>
    </row>
    <row r="156" customFormat="false" ht="15" hidden="false" customHeight="true" outlineLevel="0" collapsed="false">
      <c r="B156" s="18" t="s">
        <v>362</v>
      </c>
      <c r="C156" s="18" t="s">
        <v>337</v>
      </c>
      <c r="D156" s="18" t="s">
        <v>31</v>
      </c>
      <c r="E156" s="18" t="s">
        <v>359</v>
      </c>
      <c r="F156" s="19" t="s">
        <v>109</v>
      </c>
      <c r="G156" s="19" t="s">
        <v>58</v>
      </c>
      <c r="H156" s="19" t="n">
        <v>1</v>
      </c>
      <c r="I156" s="20" t="n">
        <v>0.0811</v>
      </c>
      <c r="J156" s="20" t="n">
        <v>0.0811</v>
      </c>
      <c r="K156" s="21" t="s">
        <v>59</v>
      </c>
      <c r="L156" s="21"/>
      <c r="M156" s="20" t="n">
        <f aca="false">IF(AND($K156="Yes",$G156&lt;&gt;"Vendor day rates"),$J156-0.4*$I156,0)</f>
        <v>0</v>
      </c>
      <c r="N156" s="20" t="n">
        <f aca="false">IF(OR($K156&lt;&gt;"Yes",$L156=""),0,$M156*MAX(0,7-MATCH($L156,MonthList,0))/12)</f>
        <v>0</v>
      </c>
      <c r="O156" s="20" t="n">
        <f aca="false">IF(OR($K156&lt;&gt;"Yes",$L156=""),0,$M156*IF(MATCH($L156,MonthList,0)&lt;=7,12,19-MATCH($L156,MonthList,0))/12)</f>
        <v>0</v>
      </c>
      <c r="P156" s="21" t="s">
        <v>59</v>
      </c>
      <c r="Q156" s="21"/>
      <c r="R156" s="20" t="n">
        <f aca="false">IF(AND($P156="Yes",$G156&lt;&gt;"Vendor day rates"),$J156-0.4*$I156,0)</f>
        <v>0</v>
      </c>
      <c r="S156" s="20" t="n">
        <f aca="false">IF(OR($P156&lt;&gt;"Yes",$Q156=""),0,$R156*MAX(0,7-MATCH($Q156,MonthList,0))/12)</f>
        <v>0</v>
      </c>
      <c r="T156" s="20" t="n">
        <f aca="false">IF(OR($P156&lt;&gt;"Yes",$Q156=""),0,$R156*IF(MATCH($Q156,MonthList,0)&lt;=7,12,19-MATCH($Q156,MonthList,0))/12)</f>
        <v>0</v>
      </c>
      <c r="U156" s="21" t="s">
        <v>59</v>
      </c>
      <c r="V156" s="21"/>
      <c r="W156" s="20" t="n">
        <f aca="false">IF(AND($U156="Yes",$G156&lt;&gt;"Vendor day rates"),$J156-0.4*$I156,0)</f>
        <v>0</v>
      </c>
      <c r="X156" s="20" t="n">
        <f aca="false">IF(OR($U156&lt;&gt;"Yes",$V156=""),0,$W156*MAX(0,7-MATCH($V156,MonthList,0))/12)</f>
        <v>0</v>
      </c>
      <c r="Y156" s="20" t="n">
        <f aca="false">IF(OR($U156&lt;&gt;"Yes",$V156=""),0,$W156*IF(MATCH($V156,MonthList,0)&lt;=7,12,19-MATCH($V156,MonthList,0))/12)</f>
        <v>0</v>
      </c>
    </row>
    <row r="157" customFormat="false" ht="15" hidden="false" customHeight="true" outlineLevel="0" collapsed="false">
      <c r="B157" s="22" t="s">
        <v>363</v>
      </c>
      <c r="C157" s="22" t="s">
        <v>337</v>
      </c>
      <c r="D157" s="22" t="s">
        <v>31</v>
      </c>
      <c r="E157" s="22" t="s">
        <v>359</v>
      </c>
      <c r="F157" s="23" t="s">
        <v>109</v>
      </c>
      <c r="G157" s="23" t="s">
        <v>58</v>
      </c>
      <c r="H157" s="23" t="n">
        <v>1</v>
      </c>
      <c r="I157" s="24" t="n">
        <v>0.1999</v>
      </c>
      <c r="J157" s="24" t="n">
        <v>0.1999</v>
      </c>
      <c r="K157" s="21" t="s">
        <v>59</v>
      </c>
      <c r="L157" s="21"/>
      <c r="M157" s="24" t="n">
        <f aca="false">IF(AND($K157="Yes",$G157&lt;&gt;"Vendor day rates"),$J157-0.4*$I157,0)</f>
        <v>0</v>
      </c>
      <c r="N157" s="24" t="n">
        <f aca="false">IF(OR($K157&lt;&gt;"Yes",$L157=""),0,$M157*MAX(0,7-MATCH($L157,MonthList,0))/12)</f>
        <v>0</v>
      </c>
      <c r="O157" s="24" t="n">
        <f aca="false">IF(OR($K157&lt;&gt;"Yes",$L157=""),0,$M157*IF(MATCH($L157,MonthList,0)&lt;=7,12,19-MATCH($L157,MonthList,0))/12)</f>
        <v>0</v>
      </c>
      <c r="P157" s="21" t="s">
        <v>59</v>
      </c>
      <c r="Q157" s="21"/>
      <c r="R157" s="24" t="n">
        <f aca="false">IF(AND($P157="Yes",$G157&lt;&gt;"Vendor day rates"),$J157-0.4*$I157,0)</f>
        <v>0</v>
      </c>
      <c r="S157" s="24" t="n">
        <f aca="false">IF(OR($P157&lt;&gt;"Yes",$Q157=""),0,$R157*MAX(0,7-MATCH($Q157,MonthList,0))/12)</f>
        <v>0</v>
      </c>
      <c r="T157" s="24" t="n">
        <f aca="false">IF(OR($P157&lt;&gt;"Yes",$Q157=""),0,$R157*IF(MATCH($Q157,MonthList,0)&lt;=7,12,19-MATCH($Q157,MonthList,0))/12)</f>
        <v>0</v>
      </c>
      <c r="U157" s="21" t="s">
        <v>59</v>
      </c>
      <c r="V157" s="21"/>
      <c r="W157" s="24" t="n">
        <f aca="false">IF(AND($U157="Yes",$G157&lt;&gt;"Vendor day rates"),$J157-0.4*$I157,0)</f>
        <v>0</v>
      </c>
      <c r="X157" s="24" t="n">
        <f aca="false">IF(OR($U157&lt;&gt;"Yes",$V157=""),0,$W157*MAX(0,7-MATCH($V157,MonthList,0))/12)</f>
        <v>0</v>
      </c>
      <c r="Y157" s="24" t="n">
        <f aca="false">IF(OR($U157&lt;&gt;"Yes",$V157=""),0,$W157*IF(MATCH($V157,MonthList,0)&lt;=7,12,19-MATCH($V157,MonthList,0))/12)</f>
        <v>0</v>
      </c>
    </row>
    <row r="158" customFormat="false" ht="15" hidden="false" customHeight="true" outlineLevel="0" collapsed="false">
      <c r="B158" s="18" t="s">
        <v>364</v>
      </c>
      <c r="C158" s="18" t="s">
        <v>365</v>
      </c>
      <c r="D158" s="18" t="s">
        <v>27</v>
      </c>
      <c r="E158" s="18" t="s">
        <v>27</v>
      </c>
      <c r="F158" s="19" t="s">
        <v>57</v>
      </c>
      <c r="G158" s="19" t="s">
        <v>58</v>
      </c>
      <c r="H158" s="19" t="n">
        <v>1</v>
      </c>
      <c r="I158" s="20" t="n">
        <v>0.238</v>
      </c>
      <c r="J158" s="20" t="n">
        <v>0.238</v>
      </c>
      <c r="K158" s="21" t="s">
        <v>59</v>
      </c>
      <c r="L158" s="21"/>
      <c r="M158" s="20" t="n">
        <f aca="false">IF(AND($K158="Yes",$G158&lt;&gt;"Vendor day rates"),$J158-0.4*$I158,0)</f>
        <v>0</v>
      </c>
      <c r="N158" s="20" t="n">
        <f aca="false">IF(OR($K158&lt;&gt;"Yes",$L158=""),0,$M158*MAX(0,7-MATCH($L158,MonthList,0))/12)</f>
        <v>0</v>
      </c>
      <c r="O158" s="20" t="n">
        <f aca="false">IF(OR($K158&lt;&gt;"Yes",$L158=""),0,$M158*IF(MATCH($L158,MonthList,0)&lt;=7,12,19-MATCH($L158,MonthList,0))/12)</f>
        <v>0</v>
      </c>
      <c r="P158" s="21" t="s">
        <v>59</v>
      </c>
      <c r="Q158" s="21"/>
      <c r="R158" s="20" t="n">
        <f aca="false">IF(AND($P158="Yes",$G158&lt;&gt;"Vendor day rates"),$J158-0.4*$I158,0)</f>
        <v>0</v>
      </c>
      <c r="S158" s="20" t="n">
        <f aca="false">IF(OR($P158&lt;&gt;"Yes",$Q158=""),0,$R158*MAX(0,7-MATCH($Q158,MonthList,0))/12)</f>
        <v>0</v>
      </c>
      <c r="T158" s="20" t="n">
        <f aca="false">IF(OR($P158&lt;&gt;"Yes",$Q158=""),0,$R158*IF(MATCH($Q158,MonthList,0)&lt;=7,12,19-MATCH($Q158,MonthList,0))/12)</f>
        <v>0</v>
      </c>
      <c r="U158" s="21" t="s">
        <v>59</v>
      </c>
      <c r="V158" s="21"/>
      <c r="W158" s="20" t="n">
        <f aca="false">IF(AND($U158="Yes",$G158&lt;&gt;"Vendor day rates"),$J158-0.4*$I158,0)</f>
        <v>0</v>
      </c>
      <c r="X158" s="20" t="n">
        <f aca="false">IF(OR($U158&lt;&gt;"Yes",$V158=""),0,$W158*MAX(0,7-MATCH($V158,MonthList,0))/12)</f>
        <v>0</v>
      </c>
      <c r="Y158" s="20" t="n">
        <f aca="false">IF(OR($U158&lt;&gt;"Yes",$V158=""),0,$W158*IF(MATCH($V158,MonthList,0)&lt;=7,12,19-MATCH($V158,MonthList,0))/12)</f>
        <v>0</v>
      </c>
    </row>
    <row r="159" customFormat="false" ht="15" hidden="false" customHeight="true" outlineLevel="0" collapsed="false">
      <c r="B159" s="22" t="s">
        <v>366</v>
      </c>
      <c r="C159" s="22" t="s">
        <v>113</v>
      </c>
      <c r="D159" s="22" t="s">
        <v>27</v>
      </c>
      <c r="E159" s="22" t="s">
        <v>27</v>
      </c>
      <c r="F159" s="23" t="s">
        <v>57</v>
      </c>
      <c r="G159" s="23" t="s">
        <v>58</v>
      </c>
      <c r="H159" s="23" t="n">
        <v>1</v>
      </c>
      <c r="I159" s="24" t="n">
        <v>0.2723</v>
      </c>
      <c r="J159" s="24" t="n">
        <v>0.2723</v>
      </c>
      <c r="K159" s="21" t="s">
        <v>59</v>
      </c>
      <c r="L159" s="21"/>
      <c r="M159" s="24" t="n">
        <f aca="false">IF(AND($K159="Yes",$G159&lt;&gt;"Vendor day rates"),$J159-0.4*$I159,0)</f>
        <v>0</v>
      </c>
      <c r="N159" s="24" t="n">
        <f aca="false">IF(OR($K159&lt;&gt;"Yes",$L159=""),0,$M159*MAX(0,7-MATCH($L159,MonthList,0))/12)</f>
        <v>0</v>
      </c>
      <c r="O159" s="24" t="n">
        <f aca="false">IF(OR($K159&lt;&gt;"Yes",$L159=""),0,$M159*IF(MATCH($L159,MonthList,0)&lt;=7,12,19-MATCH($L159,MonthList,0))/12)</f>
        <v>0</v>
      </c>
      <c r="P159" s="21" t="s">
        <v>59</v>
      </c>
      <c r="Q159" s="21"/>
      <c r="R159" s="24" t="n">
        <f aca="false">IF(AND($P159="Yes",$G159&lt;&gt;"Vendor day rates"),$J159-0.4*$I159,0)</f>
        <v>0</v>
      </c>
      <c r="S159" s="24" t="n">
        <f aca="false">IF(OR($P159&lt;&gt;"Yes",$Q159=""),0,$R159*MAX(0,7-MATCH($Q159,MonthList,0))/12)</f>
        <v>0</v>
      </c>
      <c r="T159" s="24" t="n">
        <f aca="false">IF(OR($P159&lt;&gt;"Yes",$Q159=""),0,$R159*IF(MATCH($Q159,MonthList,0)&lt;=7,12,19-MATCH($Q159,MonthList,0))/12)</f>
        <v>0</v>
      </c>
      <c r="U159" s="21" t="s">
        <v>59</v>
      </c>
      <c r="V159" s="21"/>
      <c r="W159" s="24" t="n">
        <f aca="false">IF(AND($U159="Yes",$G159&lt;&gt;"Vendor day rates"),$J159-0.4*$I159,0)</f>
        <v>0</v>
      </c>
      <c r="X159" s="24" t="n">
        <f aca="false">IF(OR($U159&lt;&gt;"Yes",$V159=""),0,$W159*MAX(0,7-MATCH($V159,MonthList,0))/12)</f>
        <v>0</v>
      </c>
      <c r="Y159" s="24" t="n">
        <f aca="false">IF(OR($U159&lt;&gt;"Yes",$V159=""),0,$W159*IF(MATCH($V159,MonthList,0)&lt;=7,12,19-MATCH($V159,MonthList,0))/12)</f>
        <v>0</v>
      </c>
    </row>
    <row r="160" customFormat="false" ht="15" hidden="false" customHeight="true" outlineLevel="0" collapsed="false">
      <c r="B160" s="18" t="s">
        <v>367</v>
      </c>
      <c r="C160" s="18" t="s">
        <v>368</v>
      </c>
      <c r="D160" s="18" t="s">
        <v>27</v>
      </c>
      <c r="E160" s="18" t="s">
        <v>27</v>
      </c>
      <c r="F160" s="19" t="s">
        <v>57</v>
      </c>
      <c r="G160" s="19" t="s">
        <v>58</v>
      </c>
      <c r="H160" s="19" t="n">
        <v>1</v>
      </c>
      <c r="I160" s="20" t="n">
        <v>0.2342</v>
      </c>
      <c r="J160" s="20" t="n">
        <v>0.2342</v>
      </c>
      <c r="K160" s="21" t="s">
        <v>59</v>
      </c>
      <c r="L160" s="21"/>
      <c r="M160" s="20" t="n">
        <f aca="false">IF(AND($K160="Yes",$G160&lt;&gt;"Vendor day rates"),$J160-0.4*$I160,0)</f>
        <v>0</v>
      </c>
      <c r="N160" s="20" t="n">
        <f aca="false">IF(OR($K160&lt;&gt;"Yes",$L160=""),0,$M160*MAX(0,7-MATCH($L160,MonthList,0))/12)</f>
        <v>0</v>
      </c>
      <c r="O160" s="20" t="n">
        <f aca="false">IF(OR($K160&lt;&gt;"Yes",$L160=""),0,$M160*IF(MATCH($L160,MonthList,0)&lt;=7,12,19-MATCH($L160,MonthList,0))/12)</f>
        <v>0</v>
      </c>
      <c r="P160" s="21" t="s">
        <v>59</v>
      </c>
      <c r="Q160" s="21"/>
      <c r="R160" s="20" t="n">
        <f aca="false">IF(AND($P160="Yes",$G160&lt;&gt;"Vendor day rates"),$J160-0.4*$I160,0)</f>
        <v>0</v>
      </c>
      <c r="S160" s="20" t="n">
        <f aca="false">IF(OR($P160&lt;&gt;"Yes",$Q160=""),0,$R160*MAX(0,7-MATCH($Q160,MonthList,0))/12)</f>
        <v>0</v>
      </c>
      <c r="T160" s="20" t="n">
        <f aca="false">IF(OR($P160&lt;&gt;"Yes",$Q160=""),0,$R160*IF(MATCH($Q160,MonthList,0)&lt;=7,12,19-MATCH($Q160,MonthList,0))/12)</f>
        <v>0</v>
      </c>
      <c r="U160" s="21" t="s">
        <v>59</v>
      </c>
      <c r="V160" s="21"/>
      <c r="W160" s="20" t="n">
        <f aca="false">IF(AND($U160="Yes",$G160&lt;&gt;"Vendor day rates"),$J160-0.4*$I160,0)</f>
        <v>0</v>
      </c>
      <c r="X160" s="20" t="n">
        <f aca="false">IF(OR($U160&lt;&gt;"Yes",$V160=""),0,$W160*MAX(0,7-MATCH($V160,MonthList,0))/12)</f>
        <v>0</v>
      </c>
      <c r="Y160" s="20" t="n">
        <f aca="false">IF(OR($U160&lt;&gt;"Yes",$V160=""),0,$W160*IF(MATCH($V160,MonthList,0)&lt;=7,12,19-MATCH($V160,MonthList,0))/12)</f>
        <v>0</v>
      </c>
    </row>
    <row r="161" customFormat="false" ht="15" hidden="false" customHeight="true" outlineLevel="0" collapsed="false">
      <c r="B161" s="22" t="s">
        <v>369</v>
      </c>
      <c r="C161" s="22" t="s">
        <v>370</v>
      </c>
      <c r="D161" s="22" t="s">
        <v>26</v>
      </c>
      <c r="E161" s="22" t="s">
        <v>241</v>
      </c>
      <c r="F161" s="23" t="s">
        <v>57</v>
      </c>
      <c r="G161" s="23" t="s">
        <v>118</v>
      </c>
      <c r="H161" s="23" t="n">
        <v>1</v>
      </c>
      <c r="I161" s="24" t="n">
        <v>0.2203</v>
      </c>
      <c r="J161" s="24" t="n">
        <v>0.0881</v>
      </c>
      <c r="K161" s="21" t="s">
        <v>59</v>
      </c>
      <c r="L161" s="21"/>
      <c r="M161" s="24" t="n">
        <f aca="false">IF(AND($K161="Yes",$G161&lt;&gt;"Vendor day rates"),$J161-0.4*$I161,0)</f>
        <v>0</v>
      </c>
      <c r="N161" s="24" t="n">
        <f aca="false">IF(OR($K161&lt;&gt;"Yes",$L161=""),0,$M161*MAX(0,7-MATCH($L161,MonthList,0))/12)</f>
        <v>0</v>
      </c>
      <c r="O161" s="24" t="n">
        <f aca="false">IF(OR($K161&lt;&gt;"Yes",$L161=""),0,$M161*IF(MATCH($L161,MonthList,0)&lt;=7,12,19-MATCH($L161,MonthList,0))/12)</f>
        <v>0</v>
      </c>
      <c r="P161" s="21" t="s">
        <v>59</v>
      </c>
      <c r="Q161" s="21"/>
      <c r="R161" s="24" t="n">
        <f aca="false">IF(AND($P161="Yes",$G161&lt;&gt;"Vendor day rates"),$J161-0.4*$I161,0)</f>
        <v>0</v>
      </c>
      <c r="S161" s="24" t="n">
        <f aca="false">IF(OR($P161&lt;&gt;"Yes",$Q161=""),0,$R161*MAX(0,7-MATCH($Q161,MonthList,0))/12)</f>
        <v>0</v>
      </c>
      <c r="T161" s="24" t="n">
        <f aca="false">IF(OR($P161&lt;&gt;"Yes",$Q161=""),0,$R161*IF(MATCH($Q161,MonthList,0)&lt;=7,12,19-MATCH($Q161,MonthList,0))/12)</f>
        <v>0</v>
      </c>
      <c r="U161" s="21" t="s">
        <v>59</v>
      </c>
      <c r="V161" s="21"/>
      <c r="W161" s="24" t="n">
        <f aca="false">IF(AND($U161="Yes",$G161&lt;&gt;"Vendor day rates"),$J161-0.4*$I161,0)</f>
        <v>0</v>
      </c>
      <c r="X161" s="24" t="n">
        <f aca="false">IF(OR($U161&lt;&gt;"Yes",$V161=""),0,$W161*MAX(0,7-MATCH($V161,MonthList,0))/12)</f>
        <v>0</v>
      </c>
      <c r="Y161" s="24" t="n">
        <f aca="false">IF(OR($U161&lt;&gt;"Yes",$V161=""),0,$W161*IF(MATCH($V161,MonthList,0)&lt;=7,12,19-MATCH($V161,MonthList,0))/12)</f>
        <v>0</v>
      </c>
    </row>
    <row r="162" customFormat="false" ht="15" hidden="false" customHeight="true" outlineLevel="0" collapsed="false">
      <c r="B162" s="18" t="s">
        <v>371</v>
      </c>
      <c r="C162" s="18" t="s">
        <v>372</v>
      </c>
      <c r="D162" s="18" t="s">
        <v>24</v>
      </c>
      <c r="E162" s="18" t="s">
        <v>127</v>
      </c>
      <c r="F162" s="19" t="s">
        <v>57</v>
      </c>
      <c r="G162" s="19" t="s">
        <v>145</v>
      </c>
      <c r="H162" s="19" t="n">
        <v>1</v>
      </c>
      <c r="I162" s="20" t="n">
        <v>0.2317</v>
      </c>
      <c r="J162" s="20" t="n">
        <v>0.2317</v>
      </c>
      <c r="K162" s="21" t="s">
        <v>59</v>
      </c>
      <c r="L162" s="21"/>
      <c r="M162" s="20" t="n">
        <f aca="false">IF(AND($K162="Yes",$G162&lt;&gt;"Vendor day rates"),$J162-0.4*$I162,0)</f>
        <v>0</v>
      </c>
      <c r="N162" s="20" t="n">
        <f aca="false">IF(OR($K162&lt;&gt;"Yes",$L162=""),0,$M162*MAX(0,7-MATCH($L162,MonthList,0))/12)</f>
        <v>0</v>
      </c>
      <c r="O162" s="20" t="n">
        <f aca="false">IF(OR($K162&lt;&gt;"Yes",$L162=""),0,$M162*IF(MATCH($L162,MonthList,0)&lt;=7,12,19-MATCH($L162,MonthList,0))/12)</f>
        <v>0</v>
      </c>
      <c r="P162" s="21" t="s">
        <v>59</v>
      </c>
      <c r="Q162" s="21"/>
      <c r="R162" s="20" t="n">
        <f aca="false">IF(AND($P162="Yes",$G162&lt;&gt;"Vendor day rates"),$J162-0.4*$I162,0)</f>
        <v>0</v>
      </c>
      <c r="S162" s="20" t="n">
        <f aca="false">IF(OR($P162&lt;&gt;"Yes",$Q162=""),0,$R162*MAX(0,7-MATCH($Q162,MonthList,0))/12)</f>
        <v>0</v>
      </c>
      <c r="T162" s="20" t="n">
        <f aca="false">IF(OR($P162&lt;&gt;"Yes",$Q162=""),0,$R162*IF(MATCH($Q162,MonthList,0)&lt;=7,12,19-MATCH($Q162,MonthList,0))/12)</f>
        <v>0</v>
      </c>
      <c r="U162" s="21" t="s">
        <v>59</v>
      </c>
      <c r="V162" s="21"/>
      <c r="W162" s="20" t="n">
        <f aca="false">IF(AND($U162="Yes",$G162&lt;&gt;"Vendor day rates"),$J162-0.4*$I162,0)</f>
        <v>0</v>
      </c>
      <c r="X162" s="20" t="n">
        <f aca="false">IF(OR($U162&lt;&gt;"Yes",$V162=""),0,$W162*MAX(0,7-MATCH($V162,MonthList,0))/12)</f>
        <v>0</v>
      </c>
      <c r="Y162" s="20" t="n">
        <f aca="false">IF(OR($U162&lt;&gt;"Yes",$V162=""),0,$W162*IF(MATCH($V162,MonthList,0)&lt;=7,12,19-MATCH($V162,MonthList,0))/12)</f>
        <v>0</v>
      </c>
    </row>
    <row r="163" customFormat="false" ht="15" hidden="false" customHeight="true" outlineLevel="0" collapsed="false">
      <c r="B163" s="22" t="s">
        <v>373</v>
      </c>
      <c r="C163" s="22" t="s">
        <v>226</v>
      </c>
      <c r="D163" s="22" t="s">
        <v>19</v>
      </c>
      <c r="E163" s="22" t="s">
        <v>374</v>
      </c>
      <c r="F163" s="23" t="s">
        <v>57</v>
      </c>
      <c r="G163" s="23" t="s">
        <v>58</v>
      </c>
      <c r="H163" s="23" t="n">
        <v>1</v>
      </c>
      <c r="I163" s="24" t="n">
        <v>0.2236</v>
      </c>
      <c r="J163" s="24" t="n">
        <v>0.2236</v>
      </c>
      <c r="K163" s="21" t="s">
        <v>59</v>
      </c>
      <c r="L163" s="21"/>
      <c r="M163" s="24" t="n">
        <f aca="false">IF(AND($K163="Yes",$G163&lt;&gt;"Vendor day rates"),$J163-0.4*$I163,0)</f>
        <v>0</v>
      </c>
      <c r="N163" s="24" t="n">
        <f aca="false">IF(OR($K163&lt;&gt;"Yes",$L163=""),0,$M163*MAX(0,7-MATCH($L163,MonthList,0))/12)</f>
        <v>0</v>
      </c>
      <c r="O163" s="24" t="n">
        <f aca="false">IF(OR($K163&lt;&gt;"Yes",$L163=""),0,$M163*IF(MATCH($L163,MonthList,0)&lt;=7,12,19-MATCH($L163,MonthList,0))/12)</f>
        <v>0</v>
      </c>
      <c r="P163" s="21" t="s">
        <v>59</v>
      </c>
      <c r="Q163" s="21"/>
      <c r="R163" s="24" t="n">
        <f aca="false">IF(AND($P163="Yes",$G163&lt;&gt;"Vendor day rates"),$J163-0.4*$I163,0)</f>
        <v>0</v>
      </c>
      <c r="S163" s="24" t="n">
        <f aca="false">IF(OR($P163&lt;&gt;"Yes",$Q163=""),0,$R163*MAX(0,7-MATCH($Q163,MonthList,0))/12)</f>
        <v>0</v>
      </c>
      <c r="T163" s="24" t="n">
        <f aca="false">IF(OR($P163&lt;&gt;"Yes",$Q163=""),0,$R163*IF(MATCH($Q163,MonthList,0)&lt;=7,12,19-MATCH($Q163,MonthList,0))/12)</f>
        <v>0</v>
      </c>
      <c r="U163" s="21" t="s">
        <v>59</v>
      </c>
      <c r="V163" s="21"/>
      <c r="W163" s="24" t="n">
        <f aca="false">IF(AND($U163="Yes",$G163&lt;&gt;"Vendor day rates"),$J163-0.4*$I163,0)</f>
        <v>0</v>
      </c>
      <c r="X163" s="24" t="n">
        <f aca="false">IF(OR($U163&lt;&gt;"Yes",$V163=""),0,$W163*MAX(0,7-MATCH($V163,MonthList,0))/12)</f>
        <v>0</v>
      </c>
      <c r="Y163" s="24" t="n">
        <f aca="false">IF(OR($U163&lt;&gt;"Yes",$V163=""),0,$W163*IF(MATCH($V163,MonthList,0)&lt;=7,12,19-MATCH($V163,MonthList,0))/12)</f>
        <v>0</v>
      </c>
    </row>
    <row r="164" customFormat="false" ht="15" hidden="false" customHeight="true" outlineLevel="0" collapsed="false">
      <c r="B164" s="18" t="s">
        <v>375</v>
      </c>
      <c r="C164" s="18" t="s">
        <v>376</v>
      </c>
      <c r="D164" s="18" t="s">
        <v>19</v>
      </c>
      <c r="E164" s="18" t="s">
        <v>374</v>
      </c>
      <c r="F164" s="19" t="s">
        <v>57</v>
      </c>
      <c r="G164" s="19" t="s">
        <v>58</v>
      </c>
      <c r="H164" s="19" t="n">
        <v>1</v>
      </c>
      <c r="I164" s="20" t="n">
        <v>0.2216</v>
      </c>
      <c r="J164" s="20" t="n">
        <v>0.2216</v>
      </c>
      <c r="K164" s="21" t="s">
        <v>59</v>
      </c>
      <c r="L164" s="21"/>
      <c r="M164" s="20" t="n">
        <f aca="false">IF(AND($K164="Yes",$G164&lt;&gt;"Vendor day rates"),$J164-0.4*$I164,0)</f>
        <v>0</v>
      </c>
      <c r="N164" s="20" t="n">
        <f aca="false">IF(OR($K164&lt;&gt;"Yes",$L164=""),0,$M164*MAX(0,7-MATCH($L164,MonthList,0))/12)</f>
        <v>0</v>
      </c>
      <c r="O164" s="20" t="n">
        <f aca="false">IF(OR($K164&lt;&gt;"Yes",$L164=""),0,$M164*IF(MATCH($L164,MonthList,0)&lt;=7,12,19-MATCH($L164,MonthList,0))/12)</f>
        <v>0</v>
      </c>
      <c r="P164" s="21" t="s">
        <v>59</v>
      </c>
      <c r="Q164" s="21"/>
      <c r="R164" s="20" t="n">
        <f aca="false">IF(AND($P164="Yes",$G164&lt;&gt;"Vendor day rates"),$J164-0.4*$I164,0)</f>
        <v>0</v>
      </c>
      <c r="S164" s="20" t="n">
        <f aca="false">IF(OR($P164&lt;&gt;"Yes",$Q164=""),0,$R164*MAX(0,7-MATCH($Q164,MonthList,0))/12)</f>
        <v>0</v>
      </c>
      <c r="T164" s="20" t="n">
        <f aca="false">IF(OR($P164&lt;&gt;"Yes",$Q164=""),0,$R164*IF(MATCH($Q164,MonthList,0)&lt;=7,12,19-MATCH($Q164,MonthList,0))/12)</f>
        <v>0</v>
      </c>
      <c r="U164" s="21" t="s">
        <v>59</v>
      </c>
      <c r="V164" s="21"/>
      <c r="W164" s="20" t="n">
        <f aca="false">IF(AND($U164="Yes",$G164&lt;&gt;"Vendor day rates"),$J164-0.4*$I164,0)</f>
        <v>0</v>
      </c>
      <c r="X164" s="20" t="n">
        <f aca="false">IF(OR($U164&lt;&gt;"Yes",$V164=""),0,$W164*MAX(0,7-MATCH($V164,MonthList,0))/12)</f>
        <v>0</v>
      </c>
      <c r="Y164" s="20" t="n">
        <f aca="false">IF(OR($U164&lt;&gt;"Yes",$V164=""),0,$W164*IF(MATCH($V164,MonthList,0)&lt;=7,12,19-MATCH($V164,MonthList,0))/12)</f>
        <v>0</v>
      </c>
    </row>
    <row r="165" customFormat="false" ht="15" hidden="false" customHeight="true" outlineLevel="0" collapsed="false">
      <c r="B165" s="22" t="s">
        <v>377</v>
      </c>
      <c r="C165" s="22" t="s">
        <v>113</v>
      </c>
      <c r="D165" s="22" t="s">
        <v>19</v>
      </c>
      <c r="E165" s="22" t="s">
        <v>374</v>
      </c>
      <c r="F165" s="23" t="s">
        <v>57</v>
      </c>
      <c r="G165" s="23" t="s">
        <v>145</v>
      </c>
      <c r="H165" s="23" t="n">
        <v>1</v>
      </c>
      <c r="I165" s="24" t="n">
        <v>0.2317</v>
      </c>
      <c r="J165" s="24" t="n">
        <v>0.2317</v>
      </c>
      <c r="K165" s="21" t="s">
        <v>59</v>
      </c>
      <c r="L165" s="21"/>
      <c r="M165" s="24" t="n">
        <f aca="false">IF(AND($K165="Yes",$G165&lt;&gt;"Vendor day rates"),$J165-0.4*$I165,0)</f>
        <v>0</v>
      </c>
      <c r="N165" s="24" t="n">
        <f aca="false">IF(OR($K165&lt;&gt;"Yes",$L165=""),0,$M165*MAX(0,7-MATCH($L165,MonthList,0))/12)</f>
        <v>0</v>
      </c>
      <c r="O165" s="24" t="n">
        <f aca="false">IF(OR($K165&lt;&gt;"Yes",$L165=""),0,$M165*IF(MATCH($L165,MonthList,0)&lt;=7,12,19-MATCH($L165,MonthList,0))/12)</f>
        <v>0</v>
      </c>
      <c r="P165" s="21" t="s">
        <v>59</v>
      </c>
      <c r="Q165" s="21"/>
      <c r="R165" s="24" t="n">
        <f aca="false">IF(AND($P165="Yes",$G165&lt;&gt;"Vendor day rates"),$J165-0.4*$I165,0)</f>
        <v>0</v>
      </c>
      <c r="S165" s="24" t="n">
        <f aca="false">IF(OR($P165&lt;&gt;"Yes",$Q165=""),0,$R165*MAX(0,7-MATCH($Q165,MonthList,0))/12)</f>
        <v>0</v>
      </c>
      <c r="T165" s="24" t="n">
        <f aca="false">IF(OR($P165&lt;&gt;"Yes",$Q165=""),0,$R165*IF(MATCH($Q165,MonthList,0)&lt;=7,12,19-MATCH($Q165,MonthList,0))/12)</f>
        <v>0</v>
      </c>
      <c r="U165" s="21" t="s">
        <v>59</v>
      </c>
      <c r="V165" s="21"/>
      <c r="W165" s="24" t="n">
        <f aca="false">IF(AND($U165="Yes",$G165&lt;&gt;"Vendor day rates"),$J165-0.4*$I165,0)</f>
        <v>0</v>
      </c>
      <c r="X165" s="24" t="n">
        <f aca="false">IF(OR($U165&lt;&gt;"Yes",$V165=""),0,$W165*MAX(0,7-MATCH($V165,MonthList,0))/12)</f>
        <v>0</v>
      </c>
      <c r="Y165" s="24" t="n">
        <f aca="false">IF(OR($U165&lt;&gt;"Yes",$V165=""),0,$W165*IF(MATCH($V165,MonthList,0)&lt;=7,12,19-MATCH($V165,MonthList,0))/12)</f>
        <v>0</v>
      </c>
    </row>
    <row r="166" customFormat="false" ht="15" hidden="false" customHeight="true" outlineLevel="0" collapsed="false">
      <c r="B166" s="18" t="s">
        <v>378</v>
      </c>
      <c r="C166" s="18" t="s">
        <v>379</v>
      </c>
      <c r="D166" s="18" t="s">
        <v>31</v>
      </c>
      <c r="E166" s="18" t="s">
        <v>380</v>
      </c>
      <c r="F166" s="19" t="s">
        <v>109</v>
      </c>
      <c r="G166" s="19" t="s">
        <v>58</v>
      </c>
      <c r="H166" s="19" t="n">
        <v>1</v>
      </c>
      <c r="I166" s="20" t="n">
        <v>0.1842</v>
      </c>
      <c r="J166" s="20" t="n">
        <v>0.1842</v>
      </c>
      <c r="K166" s="21" t="s">
        <v>59</v>
      </c>
      <c r="L166" s="21"/>
      <c r="M166" s="20" t="n">
        <f aca="false">IF(AND($K166="Yes",$G166&lt;&gt;"Vendor day rates"),$J166-0.4*$I166,0)</f>
        <v>0</v>
      </c>
      <c r="N166" s="20" t="n">
        <f aca="false">IF(OR($K166&lt;&gt;"Yes",$L166=""),0,$M166*MAX(0,7-MATCH($L166,MonthList,0))/12)</f>
        <v>0</v>
      </c>
      <c r="O166" s="20" t="n">
        <f aca="false">IF(OR($K166&lt;&gt;"Yes",$L166=""),0,$M166*IF(MATCH($L166,MonthList,0)&lt;=7,12,19-MATCH($L166,MonthList,0))/12)</f>
        <v>0</v>
      </c>
      <c r="P166" s="21" t="s">
        <v>59</v>
      </c>
      <c r="Q166" s="21"/>
      <c r="R166" s="20" t="n">
        <f aca="false">IF(AND($P166="Yes",$G166&lt;&gt;"Vendor day rates"),$J166-0.4*$I166,0)</f>
        <v>0</v>
      </c>
      <c r="S166" s="20" t="n">
        <f aca="false">IF(OR($P166&lt;&gt;"Yes",$Q166=""),0,$R166*MAX(0,7-MATCH($Q166,MonthList,0))/12)</f>
        <v>0</v>
      </c>
      <c r="T166" s="20" t="n">
        <f aca="false">IF(OR($P166&lt;&gt;"Yes",$Q166=""),0,$R166*IF(MATCH($Q166,MonthList,0)&lt;=7,12,19-MATCH($Q166,MonthList,0))/12)</f>
        <v>0</v>
      </c>
      <c r="U166" s="21" t="s">
        <v>59</v>
      </c>
      <c r="V166" s="21"/>
      <c r="W166" s="20" t="n">
        <f aca="false">IF(AND($U166="Yes",$G166&lt;&gt;"Vendor day rates"),$J166-0.4*$I166,0)</f>
        <v>0</v>
      </c>
      <c r="X166" s="20" t="n">
        <f aca="false">IF(OR($U166&lt;&gt;"Yes",$V166=""),0,$W166*MAX(0,7-MATCH($V166,MonthList,0))/12)</f>
        <v>0</v>
      </c>
      <c r="Y166" s="20" t="n">
        <f aca="false">IF(OR($U166&lt;&gt;"Yes",$V166=""),0,$W166*IF(MATCH($V166,MonthList,0)&lt;=7,12,19-MATCH($V166,MonthList,0))/12)</f>
        <v>0</v>
      </c>
    </row>
    <row r="167" customFormat="false" ht="15" hidden="false" customHeight="true" outlineLevel="0" collapsed="false">
      <c r="B167" s="22" t="s">
        <v>381</v>
      </c>
      <c r="C167" s="22" t="s">
        <v>382</v>
      </c>
      <c r="D167" s="22" t="s">
        <v>31</v>
      </c>
      <c r="E167" s="22" t="s">
        <v>361</v>
      </c>
      <c r="F167" s="23" t="s">
        <v>109</v>
      </c>
      <c r="G167" s="23" t="s">
        <v>58</v>
      </c>
      <c r="H167" s="23" t="n">
        <v>1</v>
      </c>
      <c r="I167" s="24" t="n">
        <v>0.1753</v>
      </c>
      <c r="J167" s="24" t="n">
        <v>0.1753</v>
      </c>
      <c r="K167" s="21" t="s">
        <v>59</v>
      </c>
      <c r="L167" s="21"/>
      <c r="M167" s="24" t="n">
        <f aca="false">IF(AND($K167="Yes",$G167&lt;&gt;"Vendor day rates"),$J167-0.4*$I167,0)</f>
        <v>0</v>
      </c>
      <c r="N167" s="24" t="n">
        <f aca="false">IF(OR($K167&lt;&gt;"Yes",$L167=""),0,$M167*MAX(0,7-MATCH($L167,MonthList,0))/12)</f>
        <v>0</v>
      </c>
      <c r="O167" s="24" t="n">
        <f aca="false">IF(OR($K167&lt;&gt;"Yes",$L167=""),0,$M167*IF(MATCH($L167,MonthList,0)&lt;=7,12,19-MATCH($L167,MonthList,0))/12)</f>
        <v>0</v>
      </c>
      <c r="P167" s="21" t="s">
        <v>59</v>
      </c>
      <c r="Q167" s="21"/>
      <c r="R167" s="24" t="n">
        <f aca="false">IF(AND($P167="Yes",$G167&lt;&gt;"Vendor day rates"),$J167-0.4*$I167,0)</f>
        <v>0</v>
      </c>
      <c r="S167" s="24" t="n">
        <f aca="false">IF(OR($P167&lt;&gt;"Yes",$Q167=""),0,$R167*MAX(0,7-MATCH($Q167,MonthList,0))/12)</f>
        <v>0</v>
      </c>
      <c r="T167" s="24" t="n">
        <f aca="false">IF(OR($P167&lt;&gt;"Yes",$Q167=""),0,$R167*IF(MATCH($Q167,MonthList,0)&lt;=7,12,19-MATCH($Q167,MonthList,0))/12)</f>
        <v>0</v>
      </c>
      <c r="U167" s="21" t="s">
        <v>59</v>
      </c>
      <c r="V167" s="21"/>
      <c r="W167" s="24" t="n">
        <f aca="false">IF(AND($U167="Yes",$G167&lt;&gt;"Vendor day rates"),$J167-0.4*$I167,0)</f>
        <v>0</v>
      </c>
      <c r="X167" s="24" t="n">
        <f aca="false">IF(OR($U167&lt;&gt;"Yes",$V167=""),0,$W167*MAX(0,7-MATCH($V167,MonthList,0))/12)</f>
        <v>0</v>
      </c>
      <c r="Y167" s="24" t="n">
        <f aca="false">IF(OR($U167&lt;&gt;"Yes",$V167=""),0,$W167*IF(MATCH($V167,MonthList,0)&lt;=7,12,19-MATCH($V167,MonthList,0))/12)</f>
        <v>0</v>
      </c>
    </row>
    <row r="168" customFormat="false" ht="15" hidden="false" customHeight="true" outlineLevel="0" collapsed="false">
      <c r="B168" s="18" t="s">
        <v>383</v>
      </c>
      <c r="C168" s="18" t="s">
        <v>337</v>
      </c>
      <c r="D168" s="18" t="s">
        <v>31</v>
      </c>
      <c r="E168" s="18" t="s">
        <v>361</v>
      </c>
      <c r="F168" s="19" t="s">
        <v>57</v>
      </c>
      <c r="G168" s="19" t="s">
        <v>292</v>
      </c>
      <c r="H168" s="19" t="n">
        <v>1</v>
      </c>
      <c r="I168" s="20" t="n">
        <v>0.1705</v>
      </c>
      <c r="J168" s="20" t="n">
        <v>0</v>
      </c>
      <c r="K168" s="21" t="s">
        <v>59</v>
      </c>
      <c r="L168" s="21"/>
      <c r="M168" s="20" t="n">
        <f aca="false">IF(AND($K168="Yes",$G168&lt;&gt;"Vendor day rates"),$J168-0.4*$I168,0)</f>
        <v>0</v>
      </c>
      <c r="N168" s="20" t="n">
        <f aca="false">IF(OR($K168&lt;&gt;"Yes",$L168=""),0,$M168*MAX(0,7-MATCH($L168,MonthList,0))/12)</f>
        <v>0</v>
      </c>
      <c r="O168" s="20" t="n">
        <f aca="false">IF(OR($K168&lt;&gt;"Yes",$L168=""),0,$M168*IF(MATCH($L168,MonthList,0)&lt;=7,12,19-MATCH($L168,MonthList,0))/12)</f>
        <v>0</v>
      </c>
      <c r="P168" s="21" t="s">
        <v>59</v>
      </c>
      <c r="Q168" s="21"/>
      <c r="R168" s="20" t="n">
        <f aca="false">IF(AND($P168="Yes",$G168&lt;&gt;"Vendor day rates"),$J168-0.4*$I168,0)</f>
        <v>0</v>
      </c>
      <c r="S168" s="20" t="n">
        <f aca="false">IF(OR($P168&lt;&gt;"Yes",$Q168=""),0,$R168*MAX(0,7-MATCH($Q168,MonthList,0))/12)</f>
        <v>0</v>
      </c>
      <c r="T168" s="20" t="n">
        <f aca="false">IF(OR($P168&lt;&gt;"Yes",$Q168=""),0,$R168*IF(MATCH($Q168,MonthList,0)&lt;=7,12,19-MATCH($Q168,MonthList,0))/12)</f>
        <v>0</v>
      </c>
      <c r="U168" s="21" t="s">
        <v>59</v>
      </c>
      <c r="V168" s="21"/>
      <c r="W168" s="20" t="n">
        <f aca="false">IF(AND($U168="Yes",$G168&lt;&gt;"Vendor day rates"),$J168-0.4*$I168,0)</f>
        <v>0</v>
      </c>
      <c r="X168" s="20" t="n">
        <f aca="false">IF(OR($U168&lt;&gt;"Yes",$V168=""),0,$W168*MAX(0,7-MATCH($V168,MonthList,0))/12)</f>
        <v>0</v>
      </c>
      <c r="Y168" s="20" t="n">
        <f aca="false">IF(OR($U168&lt;&gt;"Yes",$V168=""),0,$W168*IF(MATCH($V168,MonthList,0)&lt;=7,12,19-MATCH($V168,MonthList,0))/12)</f>
        <v>0</v>
      </c>
    </row>
    <row r="169" customFormat="false" ht="15" hidden="false" customHeight="true" outlineLevel="0" collapsed="false">
      <c r="B169" s="22" t="s">
        <v>384</v>
      </c>
      <c r="C169" s="22" t="s">
        <v>385</v>
      </c>
      <c r="D169" s="22" t="s">
        <v>22</v>
      </c>
      <c r="E169" s="22" t="s">
        <v>139</v>
      </c>
      <c r="F169" s="23" t="s">
        <v>57</v>
      </c>
      <c r="G169" s="23" t="s">
        <v>58</v>
      </c>
      <c r="H169" s="23" t="n">
        <v>1</v>
      </c>
      <c r="I169" s="24" t="n">
        <v>0.1555</v>
      </c>
      <c r="J169" s="24" t="n">
        <v>0.1555</v>
      </c>
      <c r="K169" s="21" t="s">
        <v>59</v>
      </c>
      <c r="L169" s="21"/>
      <c r="M169" s="24" t="n">
        <f aca="false">IF(AND($K169="Yes",$G169&lt;&gt;"Vendor day rates"),$J169-0.4*$I169,0)</f>
        <v>0</v>
      </c>
      <c r="N169" s="24" t="n">
        <f aca="false">IF(OR($K169&lt;&gt;"Yes",$L169=""),0,$M169*MAX(0,7-MATCH($L169,MonthList,0))/12)</f>
        <v>0</v>
      </c>
      <c r="O169" s="24" t="n">
        <f aca="false">IF(OR($K169&lt;&gt;"Yes",$L169=""),0,$M169*IF(MATCH($L169,MonthList,0)&lt;=7,12,19-MATCH($L169,MonthList,0))/12)</f>
        <v>0</v>
      </c>
      <c r="P169" s="21" t="s">
        <v>59</v>
      </c>
      <c r="Q169" s="21"/>
      <c r="R169" s="24" t="n">
        <f aca="false">IF(AND($P169="Yes",$G169&lt;&gt;"Vendor day rates"),$J169-0.4*$I169,0)</f>
        <v>0</v>
      </c>
      <c r="S169" s="24" t="n">
        <f aca="false">IF(OR($P169&lt;&gt;"Yes",$Q169=""),0,$R169*MAX(0,7-MATCH($Q169,MonthList,0))/12)</f>
        <v>0</v>
      </c>
      <c r="T169" s="24" t="n">
        <f aca="false">IF(OR($P169&lt;&gt;"Yes",$Q169=""),0,$R169*IF(MATCH($Q169,MonthList,0)&lt;=7,12,19-MATCH($Q169,MonthList,0))/12)</f>
        <v>0</v>
      </c>
      <c r="U169" s="21" t="s">
        <v>59</v>
      </c>
      <c r="V169" s="21"/>
      <c r="W169" s="24" t="n">
        <f aca="false">IF(AND($U169="Yes",$G169&lt;&gt;"Vendor day rates"),$J169-0.4*$I169,0)</f>
        <v>0</v>
      </c>
      <c r="X169" s="24" t="n">
        <f aca="false">IF(OR($U169&lt;&gt;"Yes",$V169=""),0,$W169*MAX(0,7-MATCH($V169,MonthList,0))/12)</f>
        <v>0</v>
      </c>
      <c r="Y169" s="24" t="n">
        <f aca="false">IF(OR($U169&lt;&gt;"Yes",$V169=""),0,$W169*IF(MATCH($V169,MonthList,0)&lt;=7,12,19-MATCH($V169,MonthList,0))/12)</f>
        <v>0</v>
      </c>
    </row>
    <row r="170" customFormat="false" ht="15" hidden="false" customHeight="true" outlineLevel="0" collapsed="false">
      <c r="B170" s="18" t="s">
        <v>386</v>
      </c>
      <c r="C170" s="18" t="s">
        <v>113</v>
      </c>
      <c r="D170" s="18" t="s">
        <v>19</v>
      </c>
      <c r="E170" s="18" t="s">
        <v>387</v>
      </c>
      <c r="F170" s="19" t="s">
        <v>109</v>
      </c>
      <c r="G170" s="19" t="s">
        <v>58</v>
      </c>
      <c r="H170" s="19" t="n">
        <v>1</v>
      </c>
      <c r="I170" s="20" t="n">
        <v>0.1917</v>
      </c>
      <c r="J170" s="20" t="n">
        <v>0.1917</v>
      </c>
      <c r="K170" s="21" t="s">
        <v>59</v>
      </c>
      <c r="L170" s="21"/>
      <c r="M170" s="20" t="n">
        <f aca="false">IF(AND($K170="Yes",$G170&lt;&gt;"Vendor day rates"),$J170-0.4*$I170,0)</f>
        <v>0</v>
      </c>
      <c r="N170" s="20" t="n">
        <f aca="false">IF(OR($K170&lt;&gt;"Yes",$L170=""),0,$M170*MAX(0,7-MATCH($L170,MonthList,0))/12)</f>
        <v>0</v>
      </c>
      <c r="O170" s="20" t="n">
        <f aca="false">IF(OR($K170&lt;&gt;"Yes",$L170=""),0,$M170*IF(MATCH($L170,MonthList,0)&lt;=7,12,19-MATCH($L170,MonthList,0))/12)</f>
        <v>0</v>
      </c>
      <c r="P170" s="21" t="s">
        <v>59</v>
      </c>
      <c r="Q170" s="21"/>
      <c r="R170" s="20" t="n">
        <f aca="false">IF(AND($P170="Yes",$G170&lt;&gt;"Vendor day rates"),$J170-0.4*$I170,0)</f>
        <v>0</v>
      </c>
      <c r="S170" s="20" t="n">
        <f aca="false">IF(OR($P170&lt;&gt;"Yes",$Q170=""),0,$R170*MAX(0,7-MATCH($Q170,MonthList,0))/12)</f>
        <v>0</v>
      </c>
      <c r="T170" s="20" t="n">
        <f aca="false">IF(OR($P170&lt;&gt;"Yes",$Q170=""),0,$R170*IF(MATCH($Q170,MonthList,0)&lt;=7,12,19-MATCH($Q170,MonthList,0))/12)</f>
        <v>0</v>
      </c>
      <c r="U170" s="21" t="s">
        <v>59</v>
      </c>
      <c r="V170" s="21"/>
      <c r="W170" s="20" t="n">
        <f aca="false">IF(AND($U170="Yes",$G170&lt;&gt;"Vendor day rates"),$J170-0.4*$I170,0)</f>
        <v>0</v>
      </c>
      <c r="X170" s="20" t="n">
        <f aca="false">IF(OR($U170&lt;&gt;"Yes",$V170=""),0,$W170*MAX(0,7-MATCH($V170,MonthList,0))/12)</f>
        <v>0</v>
      </c>
      <c r="Y170" s="20" t="n">
        <f aca="false">IF(OR($U170&lt;&gt;"Yes",$V170=""),0,$W170*IF(MATCH($V170,MonthList,0)&lt;=7,12,19-MATCH($V170,MonthList,0))/12)</f>
        <v>0</v>
      </c>
    </row>
    <row r="171" customFormat="false" ht="15" hidden="false" customHeight="true" outlineLevel="0" collapsed="false">
      <c r="B171" s="22" t="s">
        <v>388</v>
      </c>
      <c r="C171" s="22" t="s">
        <v>389</v>
      </c>
      <c r="D171" s="22" t="s">
        <v>19</v>
      </c>
      <c r="E171" s="22" t="s">
        <v>390</v>
      </c>
      <c r="F171" s="23" t="s">
        <v>109</v>
      </c>
      <c r="G171" s="23" t="s">
        <v>58</v>
      </c>
      <c r="H171" s="23" t="n">
        <v>1</v>
      </c>
      <c r="I171" s="24" t="n">
        <v>0.1842</v>
      </c>
      <c r="J171" s="24" t="n">
        <v>0.1842</v>
      </c>
      <c r="K171" s="21" t="s">
        <v>59</v>
      </c>
      <c r="L171" s="21"/>
      <c r="M171" s="24" t="n">
        <f aca="false">IF(AND($K171="Yes",$G171&lt;&gt;"Vendor day rates"),$J171-0.4*$I171,0)</f>
        <v>0</v>
      </c>
      <c r="N171" s="24" t="n">
        <f aca="false">IF(OR($K171&lt;&gt;"Yes",$L171=""),0,$M171*MAX(0,7-MATCH($L171,MonthList,0))/12)</f>
        <v>0</v>
      </c>
      <c r="O171" s="24" t="n">
        <f aca="false">IF(OR($K171&lt;&gt;"Yes",$L171=""),0,$M171*IF(MATCH($L171,MonthList,0)&lt;=7,12,19-MATCH($L171,MonthList,0))/12)</f>
        <v>0</v>
      </c>
      <c r="P171" s="21" t="s">
        <v>59</v>
      </c>
      <c r="Q171" s="21"/>
      <c r="R171" s="24" t="n">
        <f aca="false">IF(AND($P171="Yes",$G171&lt;&gt;"Vendor day rates"),$J171-0.4*$I171,0)</f>
        <v>0</v>
      </c>
      <c r="S171" s="24" t="n">
        <f aca="false">IF(OR($P171&lt;&gt;"Yes",$Q171=""),0,$R171*MAX(0,7-MATCH($Q171,MonthList,0))/12)</f>
        <v>0</v>
      </c>
      <c r="T171" s="24" t="n">
        <f aca="false">IF(OR($P171&lt;&gt;"Yes",$Q171=""),0,$R171*IF(MATCH($Q171,MonthList,0)&lt;=7,12,19-MATCH($Q171,MonthList,0))/12)</f>
        <v>0</v>
      </c>
      <c r="U171" s="21" t="s">
        <v>59</v>
      </c>
      <c r="V171" s="21"/>
      <c r="W171" s="24" t="n">
        <f aca="false">IF(AND($U171="Yes",$G171&lt;&gt;"Vendor day rates"),$J171-0.4*$I171,0)</f>
        <v>0</v>
      </c>
      <c r="X171" s="24" t="n">
        <f aca="false">IF(OR($U171&lt;&gt;"Yes",$V171=""),0,$W171*MAX(0,7-MATCH($V171,MonthList,0))/12)</f>
        <v>0</v>
      </c>
      <c r="Y171" s="24" t="n">
        <f aca="false">IF(OR($U171&lt;&gt;"Yes",$V171=""),0,$W171*IF(MATCH($V171,MonthList,0)&lt;=7,12,19-MATCH($V171,MonthList,0))/12)</f>
        <v>0</v>
      </c>
    </row>
    <row r="172" customFormat="false" ht="15" hidden="false" customHeight="true" outlineLevel="0" collapsed="false">
      <c r="B172" s="18" t="s">
        <v>391</v>
      </c>
      <c r="C172" s="18" t="s">
        <v>392</v>
      </c>
      <c r="D172" s="18" t="s">
        <v>19</v>
      </c>
      <c r="E172" s="18" t="s">
        <v>387</v>
      </c>
      <c r="F172" s="19" t="s">
        <v>57</v>
      </c>
      <c r="G172" s="19" t="s">
        <v>58</v>
      </c>
      <c r="H172" s="19" t="n">
        <v>1</v>
      </c>
      <c r="I172" s="20" t="n">
        <v>0.2506</v>
      </c>
      <c r="J172" s="20" t="n">
        <v>0.2506</v>
      </c>
      <c r="K172" s="21" t="s">
        <v>59</v>
      </c>
      <c r="L172" s="21"/>
      <c r="M172" s="20" t="n">
        <f aca="false">IF(AND($K172="Yes",$G172&lt;&gt;"Vendor day rates"),$J172-0.4*$I172,0)</f>
        <v>0</v>
      </c>
      <c r="N172" s="20" t="n">
        <f aca="false">IF(OR($K172&lt;&gt;"Yes",$L172=""),0,$M172*MAX(0,7-MATCH($L172,MonthList,0))/12)</f>
        <v>0</v>
      </c>
      <c r="O172" s="20" t="n">
        <f aca="false">IF(OR($K172&lt;&gt;"Yes",$L172=""),0,$M172*IF(MATCH($L172,MonthList,0)&lt;=7,12,19-MATCH($L172,MonthList,0))/12)</f>
        <v>0</v>
      </c>
      <c r="P172" s="21" t="s">
        <v>59</v>
      </c>
      <c r="Q172" s="21"/>
      <c r="R172" s="20" t="n">
        <f aca="false">IF(AND($P172="Yes",$G172&lt;&gt;"Vendor day rates"),$J172-0.4*$I172,0)</f>
        <v>0</v>
      </c>
      <c r="S172" s="20" t="n">
        <f aca="false">IF(OR($P172&lt;&gt;"Yes",$Q172=""),0,$R172*MAX(0,7-MATCH($Q172,MonthList,0))/12)</f>
        <v>0</v>
      </c>
      <c r="T172" s="20" t="n">
        <f aca="false">IF(OR($P172&lt;&gt;"Yes",$Q172=""),0,$R172*IF(MATCH($Q172,MonthList,0)&lt;=7,12,19-MATCH($Q172,MonthList,0))/12)</f>
        <v>0</v>
      </c>
      <c r="U172" s="21" t="s">
        <v>59</v>
      </c>
      <c r="V172" s="21"/>
      <c r="W172" s="20" t="n">
        <f aca="false">IF(AND($U172="Yes",$G172&lt;&gt;"Vendor day rates"),$J172-0.4*$I172,0)</f>
        <v>0</v>
      </c>
      <c r="X172" s="20" t="n">
        <f aca="false">IF(OR($U172&lt;&gt;"Yes",$V172=""),0,$W172*MAX(0,7-MATCH($V172,MonthList,0))/12)</f>
        <v>0</v>
      </c>
      <c r="Y172" s="20" t="n">
        <f aca="false">IF(OR($U172&lt;&gt;"Yes",$V172=""),0,$W172*IF(MATCH($V172,MonthList,0)&lt;=7,12,19-MATCH($V172,MonthList,0))/12)</f>
        <v>0</v>
      </c>
    </row>
    <row r="173" customFormat="false" ht="15" hidden="false" customHeight="true" outlineLevel="0" collapsed="false">
      <c r="B173" s="22" t="s">
        <v>393</v>
      </c>
      <c r="C173" s="22" t="s">
        <v>394</v>
      </c>
      <c r="D173" s="22" t="s">
        <v>26</v>
      </c>
      <c r="E173" s="22" t="s">
        <v>395</v>
      </c>
      <c r="F173" s="23" t="s">
        <v>57</v>
      </c>
      <c r="G173" s="23" t="s">
        <v>58</v>
      </c>
      <c r="H173" s="23" t="n">
        <v>1</v>
      </c>
      <c r="I173" s="24" t="n">
        <v>0.2587</v>
      </c>
      <c r="J173" s="24" t="n">
        <v>0.2587</v>
      </c>
      <c r="K173" s="21" t="s">
        <v>59</v>
      </c>
      <c r="L173" s="21"/>
      <c r="M173" s="24" t="n">
        <f aca="false">IF(AND($K173="Yes",$G173&lt;&gt;"Vendor day rates"),$J173-0.4*$I173,0)</f>
        <v>0</v>
      </c>
      <c r="N173" s="24" t="n">
        <f aca="false">IF(OR($K173&lt;&gt;"Yes",$L173=""),0,$M173*MAX(0,7-MATCH($L173,MonthList,0))/12)</f>
        <v>0</v>
      </c>
      <c r="O173" s="24" t="n">
        <f aca="false">IF(OR($K173&lt;&gt;"Yes",$L173=""),0,$M173*IF(MATCH($L173,MonthList,0)&lt;=7,12,19-MATCH($L173,MonthList,0))/12)</f>
        <v>0</v>
      </c>
      <c r="P173" s="21" t="s">
        <v>59</v>
      </c>
      <c r="Q173" s="21"/>
      <c r="R173" s="24" t="n">
        <f aca="false">IF(AND($P173="Yes",$G173&lt;&gt;"Vendor day rates"),$J173-0.4*$I173,0)</f>
        <v>0</v>
      </c>
      <c r="S173" s="24" t="n">
        <f aca="false">IF(OR($P173&lt;&gt;"Yes",$Q173=""),0,$R173*MAX(0,7-MATCH($Q173,MonthList,0))/12)</f>
        <v>0</v>
      </c>
      <c r="T173" s="24" t="n">
        <f aca="false">IF(OR($P173&lt;&gt;"Yes",$Q173=""),0,$R173*IF(MATCH($Q173,MonthList,0)&lt;=7,12,19-MATCH($Q173,MonthList,0))/12)</f>
        <v>0</v>
      </c>
      <c r="U173" s="21" t="s">
        <v>59</v>
      </c>
      <c r="V173" s="21"/>
      <c r="W173" s="24" t="n">
        <f aca="false">IF(AND($U173="Yes",$G173&lt;&gt;"Vendor day rates"),$J173-0.4*$I173,0)</f>
        <v>0</v>
      </c>
      <c r="X173" s="24" t="n">
        <f aca="false">IF(OR($U173&lt;&gt;"Yes",$V173=""),0,$W173*MAX(0,7-MATCH($V173,MonthList,0))/12)</f>
        <v>0</v>
      </c>
      <c r="Y173" s="24" t="n">
        <f aca="false">IF(OR($U173&lt;&gt;"Yes",$V173=""),0,$W173*IF(MATCH($V173,MonthList,0)&lt;=7,12,19-MATCH($V173,MonthList,0))/12)</f>
        <v>0</v>
      </c>
    </row>
    <row r="174" customFormat="false" ht="15" hidden="false" customHeight="true" outlineLevel="0" collapsed="false">
      <c r="B174" s="18" t="s">
        <v>396</v>
      </c>
      <c r="C174" s="18" t="s">
        <v>397</v>
      </c>
      <c r="D174" s="18" t="s">
        <v>26</v>
      </c>
      <c r="E174" s="18" t="s">
        <v>247</v>
      </c>
      <c r="F174" s="19" t="s">
        <v>57</v>
      </c>
      <c r="G174" s="19" t="s">
        <v>58</v>
      </c>
      <c r="H174" s="19" t="n">
        <v>1</v>
      </c>
      <c r="I174" s="20" t="n">
        <v>0.285</v>
      </c>
      <c r="J174" s="20" t="n">
        <v>0.285</v>
      </c>
      <c r="K174" s="21" t="s">
        <v>59</v>
      </c>
      <c r="L174" s="21"/>
      <c r="M174" s="20" t="n">
        <f aca="false">IF(AND($K174="Yes",$G174&lt;&gt;"Vendor day rates"),$J174-0.4*$I174,0)</f>
        <v>0</v>
      </c>
      <c r="N174" s="20" t="n">
        <f aca="false">IF(OR($K174&lt;&gt;"Yes",$L174=""),0,$M174*MAX(0,7-MATCH($L174,MonthList,0))/12)</f>
        <v>0</v>
      </c>
      <c r="O174" s="20" t="n">
        <f aca="false">IF(OR($K174&lt;&gt;"Yes",$L174=""),0,$M174*IF(MATCH($L174,MonthList,0)&lt;=7,12,19-MATCH($L174,MonthList,0))/12)</f>
        <v>0</v>
      </c>
      <c r="P174" s="21" t="s">
        <v>59</v>
      </c>
      <c r="Q174" s="21"/>
      <c r="R174" s="20" t="n">
        <f aca="false">IF(AND($P174="Yes",$G174&lt;&gt;"Vendor day rates"),$J174-0.4*$I174,0)</f>
        <v>0</v>
      </c>
      <c r="S174" s="20" t="n">
        <f aca="false">IF(OR($P174&lt;&gt;"Yes",$Q174=""),0,$R174*MAX(0,7-MATCH($Q174,MonthList,0))/12)</f>
        <v>0</v>
      </c>
      <c r="T174" s="20" t="n">
        <f aca="false">IF(OR($P174&lt;&gt;"Yes",$Q174=""),0,$R174*IF(MATCH($Q174,MonthList,0)&lt;=7,12,19-MATCH($Q174,MonthList,0))/12)</f>
        <v>0</v>
      </c>
      <c r="U174" s="21" t="s">
        <v>59</v>
      </c>
      <c r="V174" s="21"/>
      <c r="W174" s="20" t="n">
        <f aca="false">IF(AND($U174="Yes",$G174&lt;&gt;"Vendor day rates"),$J174-0.4*$I174,0)</f>
        <v>0</v>
      </c>
      <c r="X174" s="20" t="n">
        <f aca="false">IF(OR($U174&lt;&gt;"Yes",$V174=""),0,$W174*MAX(0,7-MATCH($V174,MonthList,0))/12)</f>
        <v>0</v>
      </c>
      <c r="Y174" s="20" t="n">
        <f aca="false">IF(OR($U174&lt;&gt;"Yes",$V174=""),0,$W174*IF(MATCH($V174,MonthList,0)&lt;=7,12,19-MATCH($V174,MonthList,0))/12)</f>
        <v>0</v>
      </c>
    </row>
    <row r="175" customFormat="false" ht="15" hidden="false" customHeight="true" outlineLevel="0" collapsed="false">
      <c r="B175" s="22" t="s">
        <v>398</v>
      </c>
      <c r="C175" s="22" t="s">
        <v>399</v>
      </c>
      <c r="D175" s="22" t="s">
        <v>23</v>
      </c>
      <c r="E175" s="22" t="s">
        <v>400</v>
      </c>
      <c r="F175" s="23" t="s">
        <v>57</v>
      </c>
      <c r="G175" s="23" t="s">
        <v>58</v>
      </c>
      <c r="H175" s="23" t="n">
        <v>1</v>
      </c>
      <c r="I175" s="24" t="n">
        <v>0.2554</v>
      </c>
      <c r="J175" s="24" t="n">
        <v>0.2554</v>
      </c>
      <c r="K175" s="21" t="s">
        <v>59</v>
      </c>
      <c r="L175" s="21"/>
      <c r="M175" s="24" t="n">
        <f aca="false">IF(AND($K175="Yes",$G175&lt;&gt;"Vendor day rates"),$J175-0.4*$I175,0)</f>
        <v>0</v>
      </c>
      <c r="N175" s="24" t="n">
        <f aca="false">IF(OR($K175&lt;&gt;"Yes",$L175=""),0,$M175*MAX(0,7-MATCH($L175,MonthList,0))/12)</f>
        <v>0</v>
      </c>
      <c r="O175" s="24" t="n">
        <f aca="false">IF(OR($K175&lt;&gt;"Yes",$L175=""),0,$M175*IF(MATCH($L175,MonthList,0)&lt;=7,12,19-MATCH($L175,MonthList,0))/12)</f>
        <v>0</v>
      </c>
      <c r="P175" s="21" t="s">
        <v>59</v>
      </c>
      <c r="Q175" s="21"/>
      <c r="R175" s="24" t="n">
        <f aca="false">IF(AND($P175="Yes",$G175&lt;&gt;"Vendor day rates"),$J175-0.4*$I175,0)</f>
        <v>0</v>
      </c>
      <c r="S175" s="24" t="n">
        <f aca="false">IF(OR($P175&lt;&gt;"Yes",$Q175=""),0,$R175*MAX(0,7-MATCH($Q175,MonthList,0))/12)</f>
        <v>0</v>
      </c>
      <c r="T175" s="24" t="n">
        <f aca="false">IF(OR($P175&lt;&gt;"Yes",$Q175=""),0,$R175*IF(MATCH($Q175,MonthList,0)&lt;=7,12,19-MATCH($Q175,MonthList,0))/12)</f>
        <v>0</v>
      </c>
      <c r="U175" s="21" t="s">
        <v>59</v>
      </c>
      <c r="V175" s="21"/>
      <c r="W175" s="24" t="n">
        <f aca="false">IF(AND($U175="Yes",$G175&lt;&gt;"Vendor day rates"),$J175-0.4*$I175,0)</f>
        <v>0</v>
      </c>
      <c r="X175" s="24" t="n">
        <f aca="false">IF(OR($U175&lt;&gt;"Yes",$V175=""),0,$W175*MAX(0,7-MATCH($V175,MonthList,0))/12)</f>
        <v>0</v>
      </c>
      <c r="Y175" s="24" t="n">
        <f aca="false">IF(OR($U175&lt;&gt;"Yes",$V175=""),0,$W175*IF(MATCH($V175,MonthList,0)&lt;=7,12,19-MATCH($V175,MonthList,0))/12)</f>
        <v>0</v>
      </c>
    </row>
    <row r="176" customFormat="false" ht="15" hidden="false" customHeight="true" outlineLevel="0" collapsed="false">
      <c r="B176" s="18" t="s">
        <v>401</v>
      </c>
      <c r="C176" s="18" t="s">
        <v>402</v>
      </c>
      <c r="D176" s="18" t="s">
        <v>23</v>
      </c>
      <c r="E176" s="18" t="s">
        <v>253</v>
      </c>
      <c r="F176" s="19" t="s">
        <v>109</v>
      </c>
      <c r="G176" s="19" t="s">
        <v>58</v>
      </c>
      <c r="H176" s="19" t="n">
        <v>1</v>
      </c>
      <c r="I176" s="20" t="n">
        <v>0.204</v>
      </c>
      <c r="J176" s="20" t="n">
        <v>0.204</v>
      </c>
      <c r="K176" s="21" t="s">
        <v>59</v>
      </c>
      <c r="L176" s="21"/>
      <c r="M176" s="20" t="n">
        <f aca="false">IF(AND($K176="Yes",$G176&lt;&gt;"Vendor day rates"),$J176-0.4*$I176,0)</f>
        <v>0</v>
      </c>
      <c r="N176" s="20" t="n">
        <f aca="false">IF(OR($K176&lt;&gt;"Yes",$L176=""),0,$M176*MAX(0,7-MATCH($L176,MonthList,0))/12)</f>
        <v>0</v>
      </c>
      <c r="O176" s="20" t="n">
        <f aca="false">IF(OR($K176&lt;&gt;"Yes",$L176=""),0,$M176*IF(MATCH($L176,MonthList,0)&lt;=7,12,19-MATCH($L176,MonthList,0))/12)</f>
        <v>0</v>
      </c>
      <c r="P176" s="21" t="s">
        <v>59</v>
      </c>
      <c r="Q176" s="21"/>
      <c r="R176" s="20" t="n">
        <f aca="false">IF(AND($P176="Yes",$G176&lt;&gt;"Vendor day rates"),$J176-0.4*$I176,0)</f>
        <v>0</v>
      </c>
      <c r="S176" s="20" t="n">
        <f aca="false">IF(OR($P176&lt;&gt;"Yes",$Q176=""),0,$R176*MAX(0,7-MATCH($Q176,MonthList,0))/12)</f>
        <v>0</v>
      </c>
      <c r="T176" s="20" t="n">
        <f aca="false">IF(OR($P176&lt;&gt;"Yes",$Q176=""),0,$R176*IF(MATCH($Q176,MonthList,0)&lt;=7,12,19-MATCH($Q176,MonthList,0))/12)</f>
        <v>0</v>
      </c>
      <c r="U176" s="21" t="s">
        <v>59</v>
      </c>
      <c r="V176" s="21"/>
      <c r="W176" s="20" t="n">
        <f aca="false">IF(AND($U176="Yes",$G176&lt;&gt;"Vendor day rates"),$J176-0.4*$I176,0)</f>
        <v>0</v>
      </c>
      <c r="X176" s="20" t="n">
        <f aca="false">IF(OR($U176&lt;&gt;"Yes",$V176=""),0,$W176*MAX(0,7-MATCH($V176,MonthList,0))/12)</f>
        <v>0</v>
      </c>
      <c r="Y176" s="20" t="n">
        <f aca="false">IF(OR($U176&lt;&gt;"Yes",$V176=""),0,$W176*IF(MATCH($V176,MonthList,0)&lt;=7,12,19-MATCH($V176,MonthList,0))/12)</f>
        <v>0</v>
      </c>
    </row>
    <row r="177" customFormat="false" ht="15" hidden="false" customHeight="true" outlineLevel="0" collapsed="false">
      <c r="B177" s="22" t="s">
        <v>403</v>
      </c>
      <c r="C177" s="22" t="s">
        <v>404</v>
      </c>
      <c r="D177" s="22" t="s">
        <v>23</v>
      </c>
      <c r="E177" s="22" t="s">
        <v>405</v>
      </c>
      <c r="F177" s="23" t="s">
        <v>57</v>
      </c>
      <c r="G177" s="23" t="s">
        <v>58</v>
      </c>
      <c r="H177" s="23" t="n">
        <v>1</v>
      </c>
      <c r="I177" s="24" t="n">
        <v>0.2636</v>
      </c>
      <c r="J177" s="24" t="n">
        <v>0.2636</v>
      </c>
      <c r="K177" s="21" t="s">
        <v>59</v>
      </c>
      <c r="L177" s="21"/>
      <c r="M177" s="24" t="n">
        <f aca="false">IF(AND($K177="Yes",$G177&lt;&gt;"Vendor day rates"),$J177-0.4*$I177,0)</f>
        <v>0</v>
      </c>
      <c r="N177" s="24" t="n">
        <f aca="false">IF(OR($K177&lt;&gt;"Yes",$L177=""),0,$M177*MAX(0,7-MATCH($L177,MonthList,0))/12)</f>
        <v>0</v>
      </c>
      <c r="O177" s="24" t="n">
        <f aca="false">IF(OR($K177&lt;&gt;"Yes",$L177=""),0,$M177*IF(MATCH($L177,MonthList,0)&lt;=7,12,19-MATCH($L177,MonthList,0))/12)</f>
        <v>0</v>
      </c>
      <c r="P177" s="21" t="s">
        <v>59</v>
      </c>
      <c r="Q177" s="21"/>
      <c r="R177" s="24" t="n">
        <f aca="false">IF(AND($P177="Yes",$G177&lt;&gt;"Vendor day rates"),$J177-0.4*$I177,0)</f>
        <v>0</v>
      </c>
      <c r="S177" s="24" t="n">
        <f aca="false">IF(OR($P177&lt;&gt;"Yes",$Q177=""),0,$R177*MAX(0,7-MATCH($Q177,MonthList,0))/12)</f>
        <v>0</v>
      </c>
      <c r="T177" s="24" t="n">
        <f aca="false">IF(OR($P177&lt;&gt;"Yes",$Q177=""),0,$R177*IF(MATCH($Q177,MonthList,0)&lt;=7,12,19-MATCH($Q177,MonthList,0))/12)</f>
        <v>0</v>
      </c>
      <c r="U177" s="21" t="s">
        <v>59</v>
      </c>
      <c r="V177" s="21"/>
      <c r="W177" s="24" t="n">
        <f aca="false">IF(AND($U177="Yes",$G177&lt;&gt;"Vendor day rates"),$J177-0.4*$I177,0)</f>
        <v>0</v>
      </c>
      <c r="X177" s="24" t="n">
        <f aca="false">IF(OR($U177&lt;&gt;"Yes",$V177=""),0,$W177*MAX(0,7-MATCH($V177,MonthList,0))/12)</f>
        <v>0</v>
      </c>
      <c r="Y177" s="24" t="n">
        <f aca="false">IF(OR($U177&lt;&gt;"Yes",$V177=""),0,$W177*IF(MATCH($V177,MonthList,0)&lt;=7,12,19-MATCH($V177,MonthList,0))/12)</f>
        <v>0</v>
      </c>
    </row>
    <row r="178" customFormat="false" ht="15" hidden="false" customHeight="true" outlineLevel="0" collapsed="false">
      <c r="B178" s="18" t="s">
        <v>406</v>
      </c>
      <c r="C178" s="18" t="s">
        <v>407</v>
      </c>
      <c r="D178" s="18" t="s">
        <v>23</v>
      </c>
      <c r="E178" s="18" t="s">
        <v>405</v>
      </c>
      <c r="F178" s="19" t="s">
        <v>57</v>
      </c>
      <c r="G178" s="19" t="s">
        <v>58</v>
      </c>
      <c r="H178" s="19" t="n">
        <v>1</v>
      </c>
      <c r="I178" s="20" t="n">
        <v>0.251</v>
      </c>
      <c r="J178" s="20" t="n">
        <v>0.251</v>
      </c>
      <c r="K178" s="21" t="s">
        <v>59</v>
      </c>
      <c r="L178" s="21"/>
      <c r="M178" s="20" t="n">
        <f aca="false">IF(AND($K178="Yes",$G178&lt;&gt;"Vendor day rates"),$J178-0.4*$I178,0)</f>
        <v>0</v>
      </c>
      <c r="N178" s="20" t="n">
        <f aca="false">IF(OR($K178&lt;&gt;"Yes",$L178=""),0,$M178*MAX(0,7-MATCH($L178,MonthList,0))/12)</f>
        <v>0</v>
      </c>
      <c r="O178" s="20" t="n">
        <f aca="false">IF(OR($K178&lt;&gt;"Yes",$L178=""),0,$M178*IF(MATCH($L178,MonthList,0)&lt;=7,12,19-MATCH($L178,MonthList,0))/12)</f>
        <v>0</v>
      </c>
      <c r="P178" s="21" t="s">
        <v>59</v>
      </c>
      <c r="Q178" s="21"/>
      <c r="R178" s="20" t="n">
        <f aca="false">IF(AND($P178="Yes",$G178&lt;&gt;"Vendor day rates"),$J178-0.4*$I178,0)</f>
        <v>0</v>
      </c>
      <c r="S178" s="20" t="n">
        <f aca="false">IF(OR($P178&lt;&gt;"Yes",$Q178=""),0,$R178*MAX(0,7-MATCH($Q178,MonthList,0))/12)</f>
        <v>0</v>
      </c>
      <c r="T178" s="20" t="n">
        <f aca="false">IF(OR($P178&lt;&gt;"Yes",$Q178=""),0,$R178*IF(MATCH($Q178,MonthList,0)&lt;=7,12,19-MATCH($Q178,MonthList,0))/12)</f>
        <v>0</v>
      </c>
      <c r="U178" s="21" t="s">
        <v>59</v>
      </c>
      <c r="V178" s="21"/>
      <c r="W178" s="20" t="n">
        <f aca="false">IF(AND($U178="Yes",$G178&lt;&gt;"Vendor day rates"),$J178-0.4*$I178,0)</f>
        <v>0</v>
      </c>
      <c r="X178" s="20" t="n">
        <f aca="false">IF(OR($U178&lt;&gt;"Yes",$V178=""),0,$W178*MAX(0,7-MATCH($V178,MonthList,0))/12)</f>
        <v>0</v>
      </c>
      <c r="Y178" s="20" t="n">
        <f aca="false">IF(OR($U178&lt;&gt;"Yes",$V178=""),0,$W178*IF(MATCH($V178,MonthList,0)&lt;=7,12,19-MATCH($V178,MonthList,0))/12)</f>
        <v>0</v>
      </c>
    </row>
    <row r="179" customFormat="false" ht="15" hidden="false" customHeight="true" outlineLevel="0" collapsed="false">
      <c r="B179" s="22" t="s">
        <v>408</v>
      </c>
      <c r="C179" s="22" t="s">
        <v>113</v>
      </c>
      <c r="D179" s="22" t="s">
        <v>25</v>
      </c>
      <c r="E179" s="22" t="s">
        <v>227</v>
      </c>
      <c r="F179" s="23" t="s">
        <v>57</v>
      </c>
      <c r="G179" s="23" t="s">
        <v>292</v>
      </c>
      <c r="H179" s="23" t="n">
        <v>1</v>
      </c>
      <c r="I179" s="24" t="n">
        <v>0.2317</v>
      </c>
      <c r="J179" s="24" t="n">
        <v>0</v>
      </c>
      <c r="K179" s="21" t="s">
        <v>59</v>
      </c>
      <c r="L179" s="21"/>
      <c r="M179" s="24" t="n">
        <f aca="false">IF(AND($K179="Yes",$G179&lt;&gt;"Vendor day rates"),$J179-0.4*$I179,0)</f>
        <v>0</v>
      </c>
      <c r="N179" s="24" t="n">
        <f aca="false">IF(OR($K179&lt;&gt;"Yes",$L179=""),0,$M179*MAX(0,7-MATCH($L179,MonthList,0))/12)</f>
        <v>0</v>
      </c>
      <c r="O179" s="24" t="n">
        <f aca="false">IF(OR($K179&lt;&gt;"Yes",$L179=""),0,$M179*IF(MATCH($L179,MonthList,0)&lt;=7,12,19-MATCH($L179,MonthList,0))/12)</f>
        <v>0</v>
      </c>
      <c r="P179" s="21" t="s">
        <v>59</v>
      </c>
      <c r="Q179" s="21"/>
      <c r="R179" s="24" t="n">
        <f aca="false">IF(AND($P179="Yes",$G179&lt;&gt;"Vendor day rates"),$J179-0.4*$I179,0)</f>
        <v>0</v>
      </c>
      <c r="S179" s="24" t="n">
        <f aca="false">IF(OR($P179&lt;&gt;"Yes",$Q179=""),0,$R179*MAX(0,7-MATCH($Q179,MonthList,0))/12)</f>
        <v>0</v>
      </c>
      <c r="T179" s="24" t="n">
        <f aca="false">IF(OR($P179&lt;&gt;"Yes",$Q179=""),0,$R179*IF(MATCH($Q179,MonthList,0)&lt;=7,12,19-MATCH($Q179,MonthList,0))/12)</f>
        <v>0</v>
      </c>
      <c r="U179" s="21" t="s">
        <v>59</v>
      </c>
      <c r="V179" s="21"/>
      <c r="W179" s="24" t="n">
        <f aca="false">IF(AND($U179="Yes",$G179&lt;&gt;"Vendor day rates"),$J179-0.4*$I179,0)</f>
        <v>0</v>
      </c>
      <c r="X179" s="24" t="n">
        <f aca="false">IF(OR($U179&lt;&gt;"Yes",$V179=""),0,$W179*MAX(0,7-MATCH($V179,MonthList,0))/12)</f>
        <v>0</v>
      </c>
      <c r="Y179" s="24" t="n">
        <f aca="false">IF(OR($U179&lt;&gt;"Yes",$V179=""),0,$W179*IF(MATCH($V179,MonthList,0)&lt;=7,12,19-MATCH($V179,MonthList,0))/12)</f>
        <v>0</v>
      </c>
    </row>
    <row r="180" customFormat="false" ht="15" hidden="false" customHeight="true" outlineLevel="0" collapsed="false">
      <c r="B180" s="18" t="s">
        <v>409</v>
      </c>
      <c r="C180" s="18" t="s">
        <v>55</v>
      </c>
      <c r="D180" s="18" t="s">
        <v>23</v>
      </c>
      <c r="E180" s="18" t="s">
        <v>400</v>
      </c>
      <c r="F180" s="19" t="s">
        <v>57</v>
      </c>
      <c r="G180" s="19" t="s">
        <v>58</v>
      </c>
      <c r="H180" s="19" t="n">
        <v>0.6</v>
      </c>
      <c r="I180" s="20" t="n">
        <v>0.1579</v>
      </c>
      <c r="J180" s="20" t="n">
        <v>0.1579</v>
      </c>
      <c r="K180" s="21" t="s">
        <v>59</v>
      </c>
      <c r="L180" s="21"/>
      <c r="M180" s="20" t="n">
        <f aca="false">IF(AND($K180="Yes",$G180&lt;&gt;"Vendor day rates"),$J180-0.4*$I180,0)</f>
        <v>0</v>
      </c>
      <c r="N180" s="20" t="n">
        <f aca="false">IF(OR($K180&lt;&gt;"Yes",$L180=""),0,$M180*MAX(0,7-MATCH($L180,MonthList,0))/12)</f>
        <v>0</v>
      </c>
      <c r="O180" s="20" t="n">
        <f aca="false">IF(OR($K180&lt;&gt;"Yes",$L180=""),0,$M180*IF(MATCH($L180,MonthList,0)&lt;=7,12,19-MATCH($L180,MonthList,0))/12)</f>
        <v>0</v>
      </c>
      <c r="P180" s="21" t="s">
        <v>59</v>
      </c>
      <c r="Q180" s="21"/>
      <c r="R180" s="20" t="n">
        <f aca="false">IF(AND($P180="Yes",$G180&lt;&gt;"Vendor day rates"),$J180-0.4*$I180,0)</f>
        <v>0</v>
      </c>
      <c r="S180" s="20" t="n">
        <f aca="false">IF(OR($P180&lt;&gt;"Yes",$Q180=""),0,$R180*MAX(0,7-MATCH($Q180,MonthList,0))/12)</f>
        <v>0</v>
      </c>
      <c r="T180" s="20" t="n">
        <f aca="false">IF(OR($P180&lt;&gt;"Yes",$Q180=""),0,$R180*IF(MATCH($Q180,MonthList,0)&lt;=7,12,19-MATCH($Q180,MonthList,0))/12)</f>
        <v>0</v>
      </c>
      <c r="U180" s="21" t="s">
        <v>59</v>
      </c>
      <c r="V180" s="21"/>
      <c r="W180" s="20" t="n">
        <f aca="false">IF(AND($U180="Yes",$G180&lt;&gt;"Vendor day rates"),$J180-0.4*$I180,0)</f>
        <v>0</v>
      </c>
      <c r="X180" s="20" t="n">
        <f aca="false">IF(OR($U180&lt;&gt;"Yes",$V180=""),0,$W180*MAX(0,7-MATCH($V180,MonthList,0))/12)</f>
        <v>0</v>
      </c>
      <c r="Y180" s="20" t="n">
        <f aca="false">IF(OR($U180&lt;&gt;"Yes",$V180=""),0,$W180*IF(MATCH($V180,MonthList,0)&lt;=7,12,19-MATCH($V180,MonthList,0))/12)</f>
        <v>0</v>
      </c>
    </row>
    <row r="181" customFormat="false" ht="15" hidden="false" customHeight="true" outlineLevel="0" collapsed="false">
      <c r="B181" s="22" t="s">
        <v>410</v>
      </c>
      <c r="C181" s="22" t="s">
        <v>411</v>
      </c>
      <c r="D181" s="22" t="s">
        <v>23</v>
      </c>
      <c r="E181" s="22" t="s">
        <v>400</v>
      </c>
      <c r="F181" s="23" t="s">
        <v>57</v>
      </c>
      <c r="G181" s="23" t="s">
        <v>58</v>
      </c>
      <c r="H181" s="23" t="n">
        <v>1</v>
      </c>
      <c r="I181" s="24" t="n">
        <v>0.2491</v>
      </c>
      <c r="J181" s="24" t="n">
        <v>0.2491</v>
      </c>
      <c r="K181" s="21" t="s">
        <v>59</v>
      </c>
      <c r="L181" s="21"/>
      <c r="M181" s="24" t="n">
        <f aca="false">IF(AND($K181="Yes",$G181&lt;&gt;"Vendor day rates"),$J181-0.4*$I181,0)</f>
        <v>0</v>
      </c>
      <c r="N181" s="24" t="n">
        <f aca="false">IF(OR($K181&lt;&gt;"Yes",$L181=""),0,$M181*MAX(0,7-MATCH($L181,MonthList,0))/12)</f>
        <v>0</v>
      </c>
      <c r="O181" s="24" t="n">
        <f aca="false">IF(OR($K181&lt;&gt;"Yes",$L181=""),0,$M181*IF(MATCH($L181,MonthList,0)&lt;=7,12,19-MATCH($L181,MonthList,0))/12)</f>
        <v>0</v>
      </c>
      <c r="P181" s="21" t="s">
        <v>59</v>
      </c>
      <c r="Q181" s="21"/>
      <c r="R181" s="24" t="n">
        <f aca="false">IF(AND($P181="Yes",$G181&lt;&gt;"Vendor day rates"),$J181-0.4*$I181,0)</f>
        <v>0</v>
      </c>
      <c r="S181" s="24" t="n">
        <f aca="false">IF(OR($P181&lt;&gt;"Yes",$Q181=""),0,$R181*MAX(0,7-MATCH($Q181,MonthList,0))/12)</f>
        <v>0</v>
      </c>
      <c r="T181" s="24" t="n">
        <f aca="false">IF(OR($P181&lt;&gt;"Yes",$Q181=""),0,$R181*IF(MATCH($Q181,MonthList,0)&lt;=7,12,19-MATCH($Q181,MonthList,0))/12)</f>
        <v>0</v>
      </c>
      <c r="U181" s="21" t="s">
        <v>59</v>
      </c>
      <c r="V181" s="21"/>
      <c r="W181" s="24" t="n">
        <f aca="false">IF(AND($U181="Yes",$G181&lt;&gt;"Vendor day rates"),$J181-0.4*$I181,0)</f>
        <v>0</v>
      </c>
      <c r="X181" s="24" t="n">
        <f aca="false">IF(OR($U181&lt;&gt;"Yes",$V181=""),0,$W181*MAX(0,7-MATCH($V181,MonthList,0))/12)</f>
        <v>0</v>
      </c>
      <c r="Y181" s="24" t="n">
        <f aca="false">IF(OR($U181&lt;&gt;"Yes",$V181=""),0,$W181*IF(MATCH($V181,MonthList,0)&lt;=7,12,19-MATCH($V181,MonthList,0))/12)</f>
        <v>0</v>
      </c>
    </row>
    <row r="182" customFormat="false" ht="15" hidden="false" customHeight="true" outlineLevel="0" collapsed="false">
      <c r="B182" s="18" t="s">
        <v>412</v>
      </c>
      <c r="C182" s="18" t="s">
        <v>413</v>
      </c>
      <c r="D182" s="18" t="s">
        <v>23</v>
      </c>
      <c r="E182" s="18" t="s">
        <v>414</v>
      </c>
      <c r="F182" s="19" t="s">
        <v>109</v>
      </c>
      <c r="G182" s="19" t="s">
        <v>58</v>
      </c>
      <c r="H182" s="19" t="n">
        <v>1</v>
      </c>
      <c r="I182" s="20" t="n">
        <v>0.1849</v>
      </c>
      <c r="J182" s="20" t="n">
        <v>0.1849</v>
      </c>
      <c r="K182" s="21" t="s">
        <v>59</v>
      </c>
      <c r="L182" s="21"/>
      <c r="M182" s="20" t="n">
        <f aca="false">IF(AND($K182="Yes",$G182&lt;&gt;"Vendor day rates"),$J182-0.4*$I182,0)</f>
        <v>0</v>
      </c>
      <c r="N182" s="20" t="n">
        <f aca="false">IF(OR($K182&lt;&gt;"Yes",$L182=""),0,$M182*MAX(0,7-MATCH($L182,MonthList,0))/12)</f>
        <v>0</v>
      </c>
      <c r="O182" s="20" t="n">
        <f aca="false">IF(OR($K182&lt;&gt;"Yes",$L182=""),0,$M182*IF(MATCH($L182,MonthList,0)&lt;=7,12,19-MATCH($L182,MonthList,0))/12)</f>
        <v>0</v>
      </c>
      <c r="P182" s="21" t="s">
        <v>59</v>
      </c>
      <c r="Q182" s="21"/>
      <c r="R182" s="20" t="n">
        <f aca="false">IF(AND($P182="Yes",$G182&lt;&gt;"Vendor day rates"),$J182-0.4*$I182,0)</f>
        <v>0</v>
      </c>
      <c r="S182" s="20" t="n">
        <f aca="false">IF(OR($P182&lt;&gt;"Yes",$Q182=""),0,$R182*MAX(0,7-MATCH($Q182,MonthList,0))/12)</f>
        <v>0</v>
      </c>
      <c r="T182" s="20" t="n">
        <f aca="false">IF(OR($P182&lt;&gt;"Yes",$Q182=""),0,$R182*IF(MATCH($Q182,MonthList,0)&lt;=7,12,19-MATCH($Q182,MonthList,0))/12)</f>
        <v>0</v>
      </c>
      <c r="U182" s="21" t="s">
        <v>59</v>
      </c>
      <c r="V182" s="21"/>
      <c r="W182" s="20" t="n">
        <f aca="false">IF(AND($U182="Yes",$G182&lt;&gt;"Vendor day rates"),$J182-0.4*$I182,0)</f>
        <v>0</v>
      </c>
      <c r="X182" s="20" t="n">
        <f aca="false">IF(OR($U182&lt;&gt;"Yes",$V182=""),0,$W182*MAX(0,7-MATCH($V182,MonthList,0))/12)</f>
        <v>0</v>
      </c>
      <c r="Y182" s="20" t="n">
        <f aca="false">IF(OR($U182&lt;&gt;"Yes",$V182=""),0,$W182*IF(MATCH($V182,MonthList,0)&lt;=7,12,19-MATCH($V182,MonthList,0))/12)</f>
        <v>0</v>
      </c>
    </row>
    <row r="183" customFormat="false" ht="15" hidden="false" customHeight="true" outlineLevel="0" collapsed="false">
      <c r="B183" s="22" t="s">
        <v>415</v>
      </c>
      <c r="C183" s="22" t="s">
        <v>413</v>
      </c>
      <c r="D183" s="22" t="s">
        <v>23</v>
      </c>
      <c r="E183" s="22" t="s">
        <v>414</v>
      </c>
      <c r="F183" s="23" t="s">
        <v>57</v>
      </c>
      <c r="G183" s="23" t="s">
        <v>58</v>
      </c>
      <c r="H183" s="23" t="n">
        <v>1</v>
      </c>
      <c r="I183" s="24" t="n">
        <v>0.2316</v>
      </c>
      <c r="J183" s="24" t="n">
        <v>0.2316</v>
      </c>
      <c r="K183" s="21" t="s">
        <v>59</v>
      </c>
      <c r="L183" s="21"/>
      <c r="M183" s="24" t="n">
        <f aca="false">IF(AND($K183="Yes",$G183&lt;&gt;"Vendor day rates"),$J183-0.4*$I183,0)</f>
        <v>0</v>
      </c>
      <c r="N183" s="24" t="n">
        <f aca="false">IF(OR($K183&lt;&gt;"Yes",$L183=""),0,$M183*MAX(0,7-MATCH($L183,MonthList,0))/12)</f>
        <v>0</v>
      </c>
      <c r="O183" s="24" t="n">
        <f aca="false">IF(OR($K183&lt;&gt;"Yes",$L183=""),0,$M183*IF(MATCH($L183,MonthList,0)&lt;=7,12,19-MATCH($L183,MonthList,0))/12)</f>
        <v>0</v>
      </c>
      <c r="P183" s="21" t="s">
        <v>59</v>
      </c>
      <c r="Q183" s="21"/>
      <c r="R183" s="24" t="n">
        <f aca="false">IF(AND($P183="Yes",$G183&lt;&gt;"Vendor day rates"),$J183-0.4*$I183,0)</f>
        <v>0</v>
      </c>
      <c r="S183" s="24" t="n">
        <f aca="false">IF(OR($P183&lt;&gt;"Yes",$Q183=""),0,$R183*MAX(0,7-MATCH($Q183,MonthList,0))/12)</f>
        <v>0</v>
      </c>
      <c r="T183" s="24" t="n">
        <f aca="false">IF(OR($P183&lt;&gt;"Yes",$Q183=""),0,$R183*IF(MATCH($Q183,MonthList,0)&lt;=7,12,19-MATCH($Q183,MonthList,0))/12)</f>
        <v>0</v>
      </c>
      <c r="U183" s="21" t="s">
        <v>59</v>
      </c>
      <c r="V183" s="21"/>
      <c r="W183" s="24" t="n">
        <f aca="false">IF(AND($U183="Yes",$G183&lt;&gt;"Vendor day rates"),$J183-0.4*$I183,0)</f>
        <v>0</v>
      </c>
      <c r="X183" s="24" t="n">
        <f aca="false">IF(OR($U183&lt;&gt;"Yes",$V183=""),0,$W183*MAX(0,7-MATCH($V183,MonthList,0))/12)</f>
        <v>0</v>
      </c>
      <c r="Y183" s="24" t="n">
        <f aca="false">IF(OR($U183&lt;&gt;"Yes",$V183=""),0,$W183*IF(MATCH($V183,MonthList,0)&lt;=7,12,19-MATCH($V183,MonthList,0))/12)</f>
        <v>0</v>
      </c>
    </row>
    <row r="184" customFormat="false" ht="15" hidden="false" customHeight="true" outlineLevel="0" collapsed="false">
      <c r="B184" s="18" t="s">
        <v>416</v>
      </c>
      <c r="C184" s="18" t="s">
        <v>372</v>
      </c>
      <c r="D184" s="18" t="s">
        <v>24</v>
      </c>
      <c r="E184" s="18" t="s">
        <v>127</v>
      </c>
      <c r="F184" s="19" t="s">
        <v>57</v>
      </c>
      <c r="G184" s="19" t="s">
        <v>145</v>
      </c>
      <c r="H184" s="19" t="n">
        <v>1</v>
      </c>
      <c r="I184" s="20" t="n">
        <v>0.2317</v>
      </c>
      <c r="J184" s="20" t="n">
        <v>0.2317</v>
      </c>
      <c r="K184" s="21" t="s">
        <v>59</v>
      </c>
      <c r="L184" s="21"/>
      <c r="M184" s="20" t="n">
        <f aca="false">IF(AND($K184="Yes",$G184&lt;&gt;"Vendor day rates"),$J184-0.4*$I184,0)</f>
        <v>0</v>
      </c>
      <c r="N184" s="20" t="n">
        <f aca="false">IF(OR($K184&lt;&gt;"Yes",$L184=""),0,$M184*MAX(0,7-MATCH($L184,MonthList,0))/12)</f>
        <v>0</v>
      </c>
      <c r="O184" s="20" t="n">
        <f aca="false">IF(OR($K184&lt;&gt;"Yes",$L184=""),0,$M184*IF(MATCH($L184,MonthList,0)&lt;=7,12,19-MATCH($L184,MonthList,0))/12)</f>
        <v>0</v>
      </c>
      <c r="P184" s="21" t="s">
        <v>59</v>
      </c>
      <c r="Q184" s="21"/>
      <c r="R184" s="20" t="n">
        <f aca="false">IF(AND($P184="Yes",$G184&lt;&gt;"Vendor day rates"),$J184-0.4*$I184,0)</f>
        <v>0</v>
      </c>
      <c r="S184" s="20" t="n">
        <f aca="false">IF(OR($P184&lt;&gt;"Yes",$Q184=""),0,$R184*MAX(0,7-MATCH($Q184,MonthList,0))/12)</f>
        <v>0</v>
      </c>
      <c r="T184" s="20" t="n">
        <f aca="false">IF(OR($P184&lt;&gt;"Yes",$Q184=""),0,$R184*IF(MATCH($Q184,MonthList,0)&lt;=7,12,19-MATCH($Q184,MonthList,0))/12)</f>
        <v>0</v>
      </c>
      <c r="U184" s="21" t="s">
        <v>59</v>
      </c>
      <c r="V184" s="21"/>
      <c r="W184" s="20" t="n">
        <f aca="false">IF(AND($U184="Yes",$G184&lt;&gt;"Vendor day rates"),$J184-0.4*$I184,0)</f>
        <v>0</v>
      </c>
      <c r="X184" s="20" t="n">
        <f aca="false">IF(OR($U184&lt;&gt;"Yes",$V184=""),0,$W184*MAX(0,7-MATCH($V184,MonthList,0))/12)</f>
        <v>0</v>
      </c>
      <c r="Y184" s="20" t="n">
        <f aca="false">IF(OR($U184&lt;&gt;"Yes",$V184=""),0,$W184*IF(MATCH($V184,MonthList,0)&lt;=7,12,19-MATCH($V184,MonthList,0))/12)</f>
        <v>0</v>
      </c>
    </row>
    <row r="185" customFormat="false" ht="15" hidden="false" customHeight="true" outlineLevel="0" collapsed="false">
      <c r="B185" s="22" t="s">
        <v>417</v>
      </c>
      <c r="C185" s="22" t="s">
        <v>226</v>
      </c>
      <c r="D185" s="22" t="s">
        <v>25</v>
      </c>
      <c r="E185" s="22" t="s">
        <v>418</v>
      </c>
      <c r="F185" s="23" t="s">
        <v>57</v>
      </c>
      <c r="G185" s="23" t="s">
        <v>58</v>
      </c>
      <c r="H185" s="23" t="n">
        <v>1</v>
      </c>
      <c r="I185" s="24" t="n">
        <v>0.2355</v>
      </c>
      <c r="J185" s="24" t="n">
        <v>0.2355</v>
      </c>
      <c r="K185" s="21" t="s">
        <v>59</v>
      </c>
      <c r="L185" s="21"/>
      <c r="M185" s="24" t="n">
        <f aca="false">IF(AND($K185="Yes",$G185&lt;&gt;"Vendor day rates"),$J185-0.4*$I185,0)</f>
        <v>0</v>
      </c>
      <c r="N185" s="24" t="n">
        <f aca="false">IF(OR($K185&lt;&gt;"Yes",$L185=""),0,$M185*MAX(0,7-MATCH($L185,MonthList,0))/12)</f>
        <v>0</v>
      </c>
      <c r="O185" s="24" t="n">
        <f aca="false">IF(OR($K185&lt;&gt;"Yes",$L185=""),0,$M185*IF(MATCH($L185,MonthList,0)&lt;=7,12,19-MATCH($L185,MonthList,0))/12)</f>
        <v>0</v>
      </c>
      <c r="P185" s="21" t="s">
        <v>59</v>
      </c>
      <c r="Q185" s="21"/>
      <c r="R185" s="24" t="n">
        <f aca="false">IF(AND($P185="Yes",$G185&lt;&gt;"Vendor day rates"),$J185-0.4*$I185,0)</f>
        <v>0</v>
      </c>
      <c r="S185" s="24" t="n">
        <f aca="false">IF(OR($P185&lt;&gt;"Yes",$Q185=""),0,$R185*MAX(0,7-MATCH($Q185,MonthList,0))/12)</f>
        <v>0</v>
      </c>
      <c r="T185" s="24" t="n">
        <f aca="false">IF(OR($P185&lt;&gt;"Yes",$Q185=""),0,$R185*IF(MATCH($Q185,MonthList,0)&lt;=7,12,19-MATCH($Q185,MonthList,0))/12)</f>
        <v>0</v>
      </c>
      <c r="U185" s="21" t="s">
        <v>59</v>
      </c>
      <c r="V185" s="21"/>
      <c r="W185" s="24" t="n">
        <f aca="false">IF(AND($U185="Yes",$G185&lt;&gt;"Vendor day rates"),$J185-0.4*$I185,0)</f>
        <v>0</v>
      </c>
      <c r="X185" s="24" t="n">
        <f aca="false">IF(OR($U185&lt;&gt;"Yes",$V185=""),0,$W185*MAX(0,7-MATCH($V185,MonthList,0))/12)</f>
        <v>0</v>
      </c>
      <c r="Y185" s="24" t="n">
        <f aca="false">IF(OR($U185&lt;&gt;"Yes",$V185=""),0,$W185*IF(MATCH($V185,MonthList,0)&lt;=7,12,19-MATCH($V185,MonthList,0))/12)</f>
        <v>0</v>
      </c>
    </row>
    <row r="186" customFormat="false" ht="15" hidden="false" customHeight="true" outlineLevel="0" collapsed="false">
      <c r="B186" s="18" t="s">
        <v>419</v>
      </c>
      <c r="C186" s="18" t="s">
        <v>420</v>
      </c>
      <c r="D186" s="18" t="s">
        <v>26</v>
      </c>
      <c r="E186" s="18" t="s">
        <v>157</v>
      </c>
      <c r="F186" s="19" t="s">
        <v>57</v>
      </c>
      <c r="G186" s="19" t="s">
        <v>58</v>
      </c>
      <c r="H186" s="19" t="n">
        <v>1</v>
      </c>
      <c r="I186" s="20" t="n">
        <v>0.2853</v>
      </c>
      <c r="J186" s="20" t="n">
        <v>0.2853</v>
      </c>
      <c r="K186" s="21" t="s">
        <v>59</v>
      </c>
      <c r="L186" s="21"/>
      <c r="M186" s="20" t="n">
        <f aca="false">IF(AND($K186="Yes",$G186&lt;&gt;"Vendor day rates"),$J186-0.4*$I186,0)</f>
        <v>0</v>
      </c>
      <c r="N186" s="20" t="n">
        <f aca="false">IF(OR($K186&lt;&gt;"Yes",$L186=""),0,$M186*MAX(0,7-MATCH($L186,MonthList,0))/12)</f>
        <v>0</v>
      </c>
      <c r="O186" s="20" t="n">
        <f aca="false">IF(OR($K186&lt;&gt;"Yes",$L186=""),0,$M186*IF(MATCH($L186,MonthList,0)&lt;=7,12,19-MATCH($L186,MonthList,0))/12)</f>
        <v>0</v>
      </c>
      <c r="P186" s="21" t="s">
        <v>59</v>
      </c>
      <c r="Q186" s="21"/>
      <c r="R186" s="20" t="n">
        <f aca="false">IF(AND($P186="Yes",$G186&lt;&gt;"Vendor day rates"),$J186-0.4*$I186,0)</f>
        <v>0</v>
      </c>
      <c r="S186" s="20" t="n">
        <f aca="false">IF(OR($P186&lt;&gt;"Yes",$Q186=""),0,$R186*MAX(0,7-MATCH($Q186,MonthList,0))/12)</f>
        <v>0</v>
      </c>
      <c r="T186" s="20" t="n">
        <f aca="false">IF(OR($P186&lt;&gt;"Yes",$Q186=""),0,$R186*IF(MATCH($Q186,MonthList,0)&lt;=7,12,19-MATCH($Q186,MonthList,0))/12)</f>
        <v>0</v>
      </c>
      <c r="U186" s="21" t="s">
        <v>59</v>
      </c>
      <c r="V186" s="21"/>
      <c r="W186" s="20" t="n">
        <f aca="false">IF(AND($U186="Yes",$G186&lt;&gt;"Vendor day rates"),$J186-0.4*$I186,0)</f>
        <v>0</v>
      </c>
      <c r="X186" s="20" t="n">
        <f aca="false">IF(OR($U186&lt;&gt;"Yes",$V186=""),0,$W186*MAX(0,7-MATCH($V186,MonthList,0))/12)</f>
        <v>0</v>
      </c>
      <c r="Y186" s="20" t="n">
        <f aca="false">IF(OR($U186&lt;&gt;"Yes",$V186=""),0,$W186*IF(MATCH($V186,MonthList,0)&lt;=7,12,19-MATCH($V186,MonthList,0))/12)</f>
        <v>0</v>
      </c>
    </row>
    <row r="187" customFormat="false" ht="15" hidden="false" customHeight="true" outlineLevel="0" collapsed="false">
      <c r="B187" s="22" t="s">
        <v>421</v>
      </c>
      <c r="C187" s="22" t="s">
        <v>422</v>
      </c>
      <c r="D187" s="22" t="s">
        <v>26</v>
      </c>
      <c r="E187" s="22" t="s">
        <v>157</v>
      </c>
      <c r="F187" s="23" t="s">
        <v>57</v>
      </c>
      <c r="G187" s="23" t="s">
        <v>58</v>
      </c>
      <c r="H187" s="23" t="n">
        <v>1</v>
      </c>
      <c r="I187" s="24" t="n">
        <v>0.2834</v>
      </c>
      <c r="J187" s="24" t="n">
        <v>0.2834</v>
      </c>
      <c r="K187" s="21" t="s">
        <v>59</v>
      </c>
      <c r="L187" s="21"/>
      <c r="M187" s="24" t="n">
        <f aca="false">IF(AND($K187="Yes",$G187&lt;&gt;"Vendor day rates"),$J187-0.4*$I187,0)</f>
        <v>0</v>
      </c>
      <c r="N187" s="24" t="n">
        <f aca="false">IF(OR($K187&lt;&gt;"Yes",$L187=""),0,$M187*MAX(0,7-MATCH($L187,MonthList,0))/12)</f>
        <v>0</v>
      </c>
      <c r="O187" s="24" t="n">
        <f aca="false">IF(OR($K187&lt;&gt;"Yes",$L187=""),0,$M187*IF(MATCH($L187,MonthList,0)&lt;=7,12,19-MATCH($L187,MonthList,0))/12)</f>
        <v>0</v>
      </c>
      <c r="P187" s="21" t="s">
        <v>59</v>
      </c>
      <c r="Q187" s="21"/>
      <c r="R187" s="24" t="n">
        <f aca="false">IF(AND($P187="Yes",$G187&lt;&gt;"Vendor day rates"),$J187-0.4*$I187,0)</f>
        <v>0</v>
      </c>
      <c r="S187" s="24" t="n">
        <f aca="false">IF(OR($P187&lt;&gt;"Yes",$Q187=""),0,$R187*MAX(0,7-MATCH($Q187,MonthList,0))/12)</f>
        <v>0</v>
      </c>
      <c r="T187" s="24" t="n">
        <f aca="false">IF(OR($P187&lt;&gt;"Yes",$Q187=""),0,$R187*IF(MATCH($Q187,MonthList,0)&lt;=7,12,19-MATCH($Q187,MonthList,0))/12)</f>
        <v>0</v>
      </c>
      <c r="U187" s="21" t="s">
        <v>59</v>
      </c>
      <c r="V187" s="21"/>
      <c r="W187" s="24" t="n">
        <f aca="false">IF(AND($U187="Yes",$G187&lt;&gt;"Vendor day rates"),$J187-0.4*$I187,0)</f>
        <v>0</v>
      </c>
      <c r="X187" s="24" t="n">
        <f aca="false">IF(OR($U187&lt;&gt;"Yes",$V187=""),0,$W187*MAX(0,7-MATCH($V187,MonthList,0))/12)</f>
        <v>0</v>
      </c>
      <c r="Y187" s="24" t="n">
        <f aca="false">IF(OR($U187&lt;&gt;"Yes",$V187=""),0,$W187*IF(MATCH($V187,MonthList,0)&lt;=7,12,19-MATCH($V187,MonthList,0))/12)</f>
        <v>0</v>
      </c>
    </row>
    <row r="188" customFormat="false" ht="15" hidden="false" customHeight="true" outlineLevel="0" collapsed="false">
      <c r="B188" s="18" t="s">
        <v>423</v>
      </c>
      <c r="C188" s="18" t="s">
        <v>422</v>
      </c>
      <c r="D188" s="18" t="s">
        <v>26</v>
      </c>
      <c r="E188" s="18" t="s">
        <v>157</v>
      </c>
      <c r="F188" s="19" t="s">
        <v>57</v>
      </c>
      <c r="G188" s="19" t="s">
        <v>58</v>
      </c>
      <c r="H188" s="19" t="n">
        <v>1</v>
      </c>
      <c r="I188" s="20" t="n">
        <v>0.2263</v>
      </c>
      <c r="J188" s="20" t="n">
        <v>0.2263</v>
      </c>
      <c r="K188" s="21" t="s">
        <v>59</v>
      </c>
      <c r="L188" s="21"/>
      <c r="M188" s="20" t="n">
        <f aca="false">IF(AND($K188="Yes",$G188&lt;&gt;"Vendor day rates"),$J188-0.4*$I188,0)</f>
        <v>0</v>
      </c>
      <c r="N188" s="20" t="n">
        <f aca="false">IF(OR($K188&lt;&gt;"Yes",$L188=""),0,$M188*MAX(0,7-MATCH($L188,MonthList,0))/12)</f>
        <v>0</v>
      </c>
      <c r="O188" s="20" t="n">
        <f aca="false">IF(OR($K188&lt;&gt;"Yes",$L188=""),0,$M188*IF(MATCH($L188,MonthList,0)&lt;=7,12,19-MATCH($L188,MonthList,0))/12)</f>
        <v>0</v>
      </c>
      <c r="P188" s="21" t="s">
        <v>59</v>
      </c>
      <c r="Q188" s="21"/>
      <c r="R188" s="20" t="n">
        <f aca="false">IF(AND($P188="Yes",$G188&lt;&gt;"Vendor day rates"),$J188-0.4*$I188,0)</f>
        <v>0</v>
      </c>
      <c r="S188" s="20" t="n">
        <f aca="false">IF(OR($P188&lt;&gt;"Yes",$Q188=""),0,$R188*MAX(0,7-MATCH($Q188,MonthList,0))/12)</f>
        <v>0</v>
      </c>
      <c r="T188" s="20" t="n">
        <f aca="false">IF(OR($P188&lt;&gt;"Yes",$Q188=""),0,$R188*IF(MATCH($Q188,MonthList,0)&lt;=7,12,19-MATCH($Q188,MonthList,0))/12)</f>
        <v>0</v>
      </c>
      <c r="U188" s="21" t="s">
        <v>59</v>
      </c>
      <c r="V188" s="21"/>
      <c r="W188" s="20" t="n">
        <f aca="false">IF(AND($U188="Yes",$G188&lt;&gt;"Vendor day rates"),$J188-0.4*$I188,0)</f>
        <v>0</v>
      </c>
      <c r="X188" s="20" t="n">
        <f aca="false">IF(OR($U188&lt;&gt;"Yes",$V188=""),0,$W188*MAX(0,7-MATCH($V188,MonthList,0))/12)</f>
        <v>0</v>
      </c>
      <c r="Y188" s="20" t="n">
        <f aca="false">IF(OR($U188&lt;&gt;"Yes",$V188=""),0,$W188*IF(MATCH($V188,MonthList,0)&lt;=7,12,19-MATCH($V188,MonthList,0))/12)</f>
        <v>0</v>
      </c>
    </row>
    <row r="189" customFormat="false" ht="15" hidden="false" customHeight="true" outlineLevel="0" collapsed="false">
      <c r="B189" s="22" t="s">
        <v>424</v>
      </c>
      <c r="C189" s="22" t="s">
        <v>425</v>
      </c>
      <c r="D189" s="22" t="s">
        <v>24</v>
      </c>
      <c r="E189" s="22" t="s">
        <v>426</v>
      </c>
      <c r="F189" s="23" t="s">
        <v>109</v>
      </c>
      <c r="G189" s="23" t="s">
        <v>58</v>
      </c>
      <c r="H189" s="23" t="n">
        <v>1</v>
      </c>
      <c r="I189" s="24" t="n">
        <v>0.1845</v>
      </c>
      <c r="J189" s="24" t="n">
        <v>0.1845</v>
      </c>
      <c r="K189" s="21" t="s">
        <v>59</v>
      </c>
      <c r="L189" s="21"/>
      <c r="M189" s="24" t="n">
        <f aca="false">IF(AND($K189="Yes",$G189&lt;&gt;"Vendor day rates"),$J189-0.4*$I189,0)</f>
        <v>0</v>
      </c>
      <c r="N189" s="24" t="n">
        <f aca="false">IF(OR($K189&lt;&gt;"Yes",$L189=""),0,$M189*MAX(0,7-MATCH($L189,MonthList,0))/12)</f>
        <v>0</v>
      </c>
      <c r="O189" s="24" t="n">
        <f aca="false">IF(OR($K189&lt;&gt;"Yes",$L189=""),0,$M189*IF(MATCH($L189,MonthList,0)&lt;=7,12,19-MATCH($L189,MonthList,0))/12)</f>
        <v>0</v>
      </c>
      <c r="P189" s="21" t="s">
        <v>59</v>
      </c>
      <c r="Q189" s="21"/>
      <c r="R189" s="24" t="n">
        <f aca="false">IF(AND($P189="Yes",$G189&lt;&gt;"Vendor day rates"),$J189-0.4*$I189,0)</f>
        <v>0</v>
      </c>
      <c r="S189" s="24" t="n">
        <f aca="false">IF(OR($P189&lt;&gt;"Yes",$Q189=""),0,$R189*MAX(0,7-MATCH($Q189,MonthList,0))/12)</f>
        <v>0</v>
      </c>
      <c r="T189" s="24" t="n">
        <f aca="false">IF(OR($P189&lt;&gt;"Yes",$Q189=""),0,$R189*IF(MATCH($Q189,MonthList,0)&lt;=7,12,19-MATCH($Q189,MonthList,0))/12)</f>
        <v>0</v>
      </c>
      <c r="U189" s="21" t="s">
        <v>59</v>
      </c>
      <c r="V189" s="21"/>
      <c r="W189" s="24" t="n">
        <f aca="false">IF(AND($U189="Yes",$G189&lt;&gt;"Vendor day rates"),$J189-0.4*$I189,0)</f>
        <v>0</v>
      </c>
      <c r="X189" s="24" t="n">
        <f aca="false">IF(OR($U189&lt;&gt;"Yes",$V189=""),0,$W189*MAX(0,7-MATCH($V189,MonthList,0))/12)</f>
        <v>0</v>
      </c>
      <c r="Y189" s="24" t="n">
        <f aca="false">IF(OR($U189&lt;&gt;"Yes",$V189=""),0,$W189*IF(MATCH($V189,MonthList,0)&lt;=7,12,19-MATCH($V189,MonthList,0))/12)</f>
        <v>0</v>
      </c>
    </row>
    <row r="190" customFormat="false" ht="15" hidden="false" customHeight="true" outlineLevel="0" collapsed="false">
      <c r="B190" s="18" t="s">
        <v>427</v>
      </c>
      <c r="C190" s="18" t="s">
        <v>425</v>
      </c>
      <c r="D190" s="18" t="s">
        <v>24</v>
      </c>
      <c r="E190" s="18" t="s">
        <v>426</v>
      </c>
      <c r="F190" s="19" t="s">
        <v>109</v>
      </c>
      <c r="G190" s="19" t="s">
        <v>58</v>
      </c>
      <c r="H190" s="19" t="n">
        <v>1</v>
      </c>
      <c r="I190" s="20" t="n">
        <v>0.1789</v>
      </c>
      <c r="J190" s="20" t="n">
        <v>0.1789</v>
      </c>
      <c r="K190" s="21" t="s">
        <v>59</v>
      </c>
      <c r="L190" s="21"/>
      <c r="M190" s="20" t="n">
        <f aca="false">IF(AND($K190="Yes",$G190&lt;&gt;"Vendor day rates"),$J190-0.4*$I190,0)</f>
        <v>0</v>
      </c>
      <c r="N190" s="20" t="n">
        <f aca="false">IF(OR($K190&lt;&gt;"Yes",$L190=""),0,$M190*MAX(0,7-MATCH($L190,MonthList,0))/12)</f>
        <v>0</v>
      </c>
      <c r="O190" s="20" t="n">
        <f aca="false">IF(OR($K190&lt;&gt;"Yes",$L190=""),0,$M190*IF(MATCH($L190,MonthList,0)&lt;=7,12,19-MATCH($L190,MonthList,0))/12)</f>
        <v>0</v>
      </c>
      <c r="P190" s="21" t="s">
        <v>59</v>
      </c>
      <c r="Q190" s="21"/>
      <c r="R190" s="20" t="n">
        <f aca="false">IF(AND($P190="Yes",$G190&lt;&gt;"Vendor day rates"),$J190-0.4*$I190,0)</f>
        <v>0</v>
      </c>
      <c r="S190" s="20" t="n">
        <f aca="false">IF(OR($P190&lt;&gt;"Yes",$Q190=""),0,$R190*MAX(0,7-MATCH($Q190,MonthList,0))/12)</f>
        <v>0</v>
      </c>
      <c r="T190" s="20" t="n">
        <f aca="false">IF(OR($P190&lt;&gt;"Yes",$Q190=""),0,$R190*IF(MATCH($Q190,MonthList,0)&lt;=7,12,19-MATCH($Q190,MonthList,0))/12)</f>
        <v>0</v>
      </c>
      <c r="U190" s="21" t="s">
        <v>59</v>
      </c>
      <c r="V190" s="21"/>
      <c r="W190" s="20" t="n">
        <f aca="false">IF(AND($U190="Yes",$G190&lt;&gt;"Vendor day rates"),$J190-0.4*$I190,0)</f>
        <v>0</v>
      </c>
      <c r="X190" s="20" t="n">
        <f aca="false">IF(OR($U190&lt;&gt;"Yes",$V190=""),0,$W190*MAX(0,7-MATCH($V190,MonthList,0))/12)</f>
        <v>0</v>
      </c>
      <c r="Y190" s="20" t="n">
        <f aca="false">IF(OR($U190&lt;&gt;"Yes",$V190=""),0,$W190*IF(MATCH($V190,MonthList,0)&lt;=7,12,19-MATCH($V190,MonthList,0))/12)</f>
        <v>0</v>
      </c>
    </row>
    <row r="191" customFormat="false" ht="15" hidden="false" customHeight="true" outlineLevel="0" collapsed="false">
      <c r="B191" s="22" t="s">
        <v>428</v>
      </c>
      <c r="C191" s="22" t="s">
        <v>372</v>
      </c>
      <c r="D191" s="22" t="s">
        <v>24</v>
      </c>
      <c r="E191" s="22" t="s">
        <v>127</v>
      </c>
      <c r="F191" s="23" t="s">
        <v>57</v>
      </c>
      <c r="G191" s="23" t="s">
        <v>292</v>
      </c>
      <c r="H191" s="23" t="n">
        <v>1</v>
      </c>
      <c r="I191" s="24" t="n">
        <v>0.2317</v>
      </c>
      <c r="J191" s="24" t="n">
        <v>0</v>
      </c>
      <c r="K191" s="21" t="s">
        <v>59</v>
      </c>
      <c r="L191" s="21"/>
      <c r="M191" s="24" t="n">
        <f aca="false">IF(AND($K191="Yes",$G191&lt;&gt;"Vendor day rates"),$J191-0.4*$I191,0)</f>
        <v>0</v>
      </c>
      <c r="N191" s="24" t="n">
        <f aca="false">IF(OR($K191&lt;&gt;"Yes",$L191=""),0,$M191*MAX(0,7-MATCH($L191,MonthList,0))/12)</f>
        <v>0</v>
      </c>
      <c r="O191" s="24" t="n">
        <f aca="false">IF(OR($K191&lt;&gt;"Yes",$L191=""),0,$M191*IF(MATCH($L191,MonthList,0)&lt;=7,12,19-MATCH($L191,MonthList,0))/12)</f>
        <v>0</v>
      </c>
      <c r="P191" s="21" t="s">
        <v>59</v>
      </c>
      <c r="Q191" s="21"/>
      <c r="R191" s="24" t="n">
        <f aca="false">IF(AND($P191="Yes",$G191&lt;&gt;"Vendor day rates"),$J191-0.4*$I191,0)</f>
        <v>0</v>
      </c>
      <c r="S191" s="24" t="n">
        <f aca="false">IF(OR($P191&lt;&gt;"Yes",$Q191=""),0,$R191*MAX(0,7-MATCH($Q191,MonthList,0))/12)</f>
        <v>0</v>
      </c>
      <c r="T191" s="24" t="n">
        <f aca="false">IF(OR($P191&lt;&gt;"Yes",$Q191=""),0,$R191*IF(MATCH($Q191,MonthList,0)&lt;=7,12,19-MATCH($Q191,MonthList,0))/12)</f>
        <v>0</v>
      </c>
      <c r="U191" s="21" t="s">
        <v>59</v>
      </c>
      <c r="V191" s="21"/>
      <c r="W191" s="24" t="n">
        <f aca="false">IF(AND($U191="Yes",$G191&lt;&gt;"Vendor day rates"),$J191-0.4*$I191,0)</f>
        <v>0</v>
      </c>
      <c r="X191" s="24" t="n">
        <f aca="false">IF(OR($U191&lt;&gt;"Yes",$V191=""),0,$W191*MAX(0,7-MATCH($V191,MonthList,0))/12)</f>
        <v>0</v>
      </c>
      <c r="Y191" s="24" t="n">
        <f aca="false">IF(OR($U191&lt;&gt;"Yes",$V191=""),0,$W191*IF(MATCH($V191,MonthList,0)&lt;=7,12,19-MATCH($V191,MonthList,0))/12)</f>
        <v>0</v>
      </c>
    </row>
    <row r="192" customFormat="false" ht="15" hidden="false" customHeight="true" outlineLevel="0" collapsed="false">
      <c r="B192" s="18" t="s">
        <v>429</v>
      </c>
      <c r="C192" s="18" t="s">
        <v>430</v>
      </c>
      <c r="D192" s="18" t="s">
        <v>26</v>
      </c>
      <c r="E192" s="18" t="s">
        <v>160</v>
      </c>
      <c r="F192" s="19" t="s">
        <v>109</v>
      </c>
      <c r="G192" s="19" t="s">
        <v>118</v>
      </c>
      <c r="H192" s="19" t="n">
        <v>1</v>
      </c>
      <c r="I192" s="20" t="n">
        <v>0.19</v>
      </c>
      <c r="J192" s="20" t="n">
        <v>0.076</v>
      </c>
      <c r="K192" s="21" t="s">
        <v>59</v>
      </c>
      <c r="L192" s="21"/>
      <c r="M192" s="20" t="n">
        <f aca="false">IF(AND($K192="Yes",$G192&lt;&gt;"Vendor day rates"),$J192-0.4*$I192,0)</f>
        <v>0</v>
      </c>
      <c r="N192" s="20" t="n">
        <f aca="false">IF(OR($K192&lt;&gt;"Yes",$L192=""),0,$M192*MAX(0,7-MATCH($L192,MonthList,0))/12)</f>
        <v>0</v>
      </c>
      <c r="O192" s="20" t="n">
        <f aca="false">IF(OR($K192&lt;&gt;"Yes",$L192=""),0,$M192*IF(MATCH($L192,MonthList,0)&lt;=7,12,19-MATCH($L192,MonthList,0))/12)</f>
        <v>0</v>
      </c>
      <c r="P192" s="21" t="s">
        <v>59</v>
      </c>
      <c r="Q192" s="21"/>
      <c r="R192" s="20" t="n">
        <f aca="false">IF(AND($P192="Yes",$G192&lt;&gt;"Vendor day rates"),$J192-0.4*$I192,0)</f>
        <v>0</v>
      </c>
      <c r="S192" s="20" t="n">
        <f aca="false">IF(OR($P192&lt;&gt;"Yes",$Q192=""),0,$R192*MAX(0,7-MATCH($Q192,MonthList,0))/12)</f>
        <v>0</v>
      </c>
      <c r="T192" s="20" t="n">
        <f aca="false">IF(OR($P192&lt;&gt;"Yes",$Q192=""),0,$R192*IF(MATCH($Q192,MonthList,0)&lt;=7,12,19-MATCH($Q192,MonthList,0))/12)</f>
        <v>0</v>
      </c>
      <c r="U192" s="21" t="s">
        <v>59</v>
      </c>
      <c r="V192" s="21"/>
      <c r="W192" s="20" t="n">
        <f aca="false">IF(AND($U192="Yes",$G192&lt;&gt;"Vendor day rates"),$J192-0.4*$I192,0)</f>
        <v>0</v>
      </c>
      <c r="X192" s="20" t="n">
        <f aca="false">IF(OR($U192&lt;&gt;"Yes",$V192=""),0,$W192*MAX(0,7-MATCH($V192,MonthList,0))/12)</f>
        <v>0</v>
      </c>
      <c r="Y192" s="20" t="n">
        <f aca="false">IF(OR($U192&lt;&gt;"Yes",$V192=""),0,$W192*IF(MATCH($V192,MonthList,0)&lt;=7,12,19-MATCH($V192,MonthList,0))/12)</f>
        <v>0</v>
      </c>
    </row>
    <row r="193" customFormat="false" ht="15" hidden="false" customHeight="true" outlineLevel="0" collapsed="false">
      <c r="B193" s="22" t="s">
        <v>431</v>
      </c>
      <c r="C193" s="22" t="s">
        <v>432</v>
      </c>
      <c r="D193" s="22" t="s">
        <v>30</v>
      </c>
      <c r="E193" s="22" t="s">
        <v>433</v>
      </c>
      <c r="F193" s="23" t="s">
        <v>57</v>
      </c>
      <c r="G193" s="23" t="s">
        <v>58</v>
      </c>
      <c r="H193" s="23" t="n">
        <v>1</v>
      </c>
      <c r="I193" s="24" t="n">
        <v>0.2719</v>
      </c>
      <c r="J193" s="24" t="n">
        <v>0.2719</v>
      </c>
      <c r="K193" s="21" t="s">
        <v>59</v>
      </c>
      <c r="L193" s="21"/>
      <c r="M193" s="24" t="n">
        <f aca="false">IF(AND($K193="Yes",$G193&lt;&gt;"Vendor day rates"),$J193-0.4*$I193,0)</f>
        <v>0</v>
      </c>
      <c r="N193" s="24" t="n">
        <f aca="false">IF(OR($K193&lt;&gt;"Yes",$L193=""),0,$M193*MAX(0,7-MATCH($L193,MonthList,0))/12)</f>
        <v>0</v>
      </c>
      <c r="O193" s="24" t="n">
        <f aca="false">IF(OR($K193&lt;&gt;"Yes",$L193=""),0,$M193*IF(MATCH($L193,MonthList,0)&lt;=7,12,19-MATCH($L193,MonthList,0))/12)</f>
        <v>0</v>
      </c>
      <c r="P193" s="21" t="s">
        <v>59</v>
      </c>
      <c r="Q193" s="21"/>
      <c r="R193" s="24" t="n">
        <f aca="false">IF(AND($P193="Yes",$G193&lt;&gt;"Vendor day rates"),$J193-0.4*$I193,0)</f>
        <v>0</v>
      </c>
      <c r="S193" s="24" t="n">
        <f aca="false">IF(OR($P193&lt;&gt;"Yes",$Q193=""),0,$R193*MAX(0,7-MATCH($Q193,MonthList,0))/12)</f>
        <v>0</v>
      </c>
      <c r="T193" s="24" t="n">
        <f aca="false">IF(OR($P193&lt;&gt;"Yes",$Q193=""),0,$R193*IF(MATCH($Q193,MonthList,0)&lt;=7,12,19-MATCH($Q193,MonthList,0))/12)</f>
        <v>0</v>
      </c>
      <c r="U193" s="21" t="s">
        <v>59</v>
      </c>
      <c r="V193" s="21"/>
      <c r="W193" s="24" t="n">
        <f aca="false">IF(AND($U193="Yes",$G193&lt;&gt;"Vendor day rates"),$J193-0.4*$I193,0)</f>
        <v>0</v>
      </c>
      <c r="X193" s="24" t="n">
        <f aca="false">IF(OR($U193&lt;&gt;"Yes",$V193=""),0,$W193*MAX(0,7-MATCH($V193,MonthList,0))/12)</f>
        <v>0</v>
      </c>
      <c r="Y193" s="24" t="n">
        <f aca="false">IF(OR($U193&lt;&gt;"Yes",$V193=""),0,$W193*IF(MATCH($V193,MonthList,0)&lt;=7,12,19-MATCH($V193,MonthList,0))/12)</f>
        <v>0</v>
      </c>
    </row>
    <row r="194" customFormat="false" ht="15" hidden="false" customHeight="true" outlineLevel="0" collapsed="false">
      <c r="B194" s="18" t="s">
        <v>434</v>
      </c>
      <c r="C194" s="18" t="s">
        <v>389</v>
      </c>
      <c r="D194" s="18" t="s">
        <v>30</v>
      </c>
      <c r="E194" s="18" t="s">
        <v>433</v>
      </c>
      <c r="F194" s="19" t="s">
        <v>109</v>
      </c>
      <c r="G194" s="19" t="s">
        <v>58</v>
      </c>
      <c r="H194" s="19" t="n">
        <v>1</v>
      </c>
      <c r="I194" s="20" t="n">
        <v>0.1781</v>
      </c>
      <c r="J194" s="20" t="n">
        <v>0.1781</v>
      </c>
      <c r="K194" s="21" t="s">
        <v>59</v>
      </c>
      <c r="L194" s="21"/>
      <c r="M194" s="20" t="n">
        <f aca="false">IF(AND($K194="Yes",$G194&lt;&gt;"Vendor day rates"),$J194-0.4*$I194,0)</f>
        <v>0</v>
      </c>
      <c r="N194" s="20" t="n">
        <f aca="false">IF(OR($K194&lt;&gt;"Yes",$L194=""),0,$M194*MAX(0,7-MATCH($L194,MonthList,0))/12)</f>
        <v>0</v>
      </c>
      <c r="O194" s="20" t="n">
        <f aca="false">IF(OR($K194&lt;&gt;"Yes",$L194=""),0,$M194*IF(MATCH($L194,MonthList,0)&lt;=7,12,19-MATCH($L194,MonthList,0))/12)</f>
        <v>0</v>
      </c>
      <c r="P194" s="21" t="s">
        <v>59</v>
      </c>
      <c r="Q194" s="21"/>
      <c r="R194" s="20" t="n">
        <f aca="false">IF(AND($P194="Yes",$G194&lt;&gt;"Vendor day rates"),$J194-0.4*$I194,0)</f>
        <v>0</v>
      </c>
      <c r="S194" s="20" t="n">
        <f aca="false">IF(OR($P194&lt;&gt;"Yes",$Q194=""),0,$R194*MAX(0,7-MATCH($Q194,MonthList,0))/12)</f>
        <v>0</v>
      </c>
      <c r="T194" s="20" t="n">
        <f aca="false">IF(OR($P194&lt;&gt;"Yes",$Q194=""),0,$R194*IF(MATCH($Q194,MonthList,0)&lt;=7,12,19-MATCH($Q194,MonthList,0))/12)</f>
        <v>0</v>
      </c>
      <c r="U194" s="21" t="s">
        <v>59</v>
      </c>
      <c r="V194" s="21"/>
      <c r="W194" s="20" t="n">
        <f aca="false">IF(AND($U194="Yes",$G194&lt;&gt;"Vendor day rates"),$J194-0.4*$I194,0)</f>
        <v>0</v>
      </c>
      <c r="X194" s="20" t="n">
        <f aca="false">IF(OR($U194&lt;&gt;"Yes",$V194=""),0,$W194*MAX(0,7-MATCH($V194,MonthList,0))/12)</f>
        <v>0</v>
      </c>
      <c r="Y194" s="20" t="n">
        <f aca="false">IF(OR($U194&lt;&gt;"Yes",$V194=""),0,$W194*IF(MATCH($V194,MonthList,0)&lt;=7,12,19-MATCH($V194,MonthList,0))/12)</f>
        <v>0</v>
      </c>
    </row>
    <row r="195" customFormat="false" ht="15" hidden="false" customHeight="true" outlineLevel="0" collapsed="false">
      <c r="B195" s="22" t="s">
        <v>435</v>
      </c>
      <c r="C195" s="22" t="s">
        <v>113</v>
      </c>
      <c r="D195" s="22" t="s">
        <v>30</v>
      </c>
      <c r="E195" s="22" t="s">
        <v>433</v>
      </c>
      <c r="F195" s="23" t="s">
        <v>109</v>
      </c>
      <c r="G195" s="23" t="s">
        <v>58</v>
      </c>
      <c r="H195" s="23" t="n">
        <v>1</v>
      </c>
      <c r="I195" s="24" t="n">
        <v>0.2162</v>
      </c>
      <c r="J195" s="24" t="n">
        <v>0.2162</v>
      </c>
      <c r="K195" s="21" t="s">
        <v>59</v>
      </c>
      <c r="L195" s="21"/>
      <c r="M195" s="24" t="n">
        <f aca="false">IF(AND($K195="Yes",$G195&lt;&gt;"Vendor day rates"),$J195-0.4*$I195,0)</f>
        <v>0</v>
      </c>
      <c r="N195" s="24" t="n">
        <f aca="false">IF(OR($K195&lt;&gt;"Yes",$L195=""),0,$M195*MAX(0,7-MATCH($L195,MonthList,0))/12)</f>
        <v>0</v>
      </c>
      <c r="O195" s="24" t="n">
        <f aca="false">IF(OR($K195&lt;&gt;"Yes",$L195=""),0,$M195*IF(MATCH($L195,MonthList,0)&lt;=7,12,19-MATCH($L195,MonthList,0))/12)</f>
        <v>0</v>
      </c>
      <c r="P195" s="21" t="s">
        <v>59</v>
      </c>
      <c r="Q195" s="21"/>
      <c r="R195" s="24" t="n">
        <f aca="false">IF(AND($P195="Yes",$G195&lt;&gt;"Vendor day rates"),$J195-0.4*$I195,0)</f>
        <v>0</v>
      </c>
      <c r="S195" s="24" t="n">
        <f aca="false">IF(OR($P195&lt;&gt;"Yes",$Q195=""),0,$R195*MAX(0,7-MATCH($Q195,MonthList,0))/12)</f>
        <v>0</v>
      </c>
      <c r="T195" s="24" t="n">
        <f aca="false">IF(OR($P195&lt;&gt;"Yes",$Q195=""),0,$R195*IF(MATCH($Q195,MonthList,0)&lt;=7,12,19-MATCH($Q195,MonthList,0))/12)</f>
        <v>0</v>
      </c>
      <c r="U195" s="21" t="s">
        <v>59</v>
      </c>
      <c r="V195" s="21"/>
      <c r="W195" s="24" t="n">
        <f aca="false">IF(AND($U195="Yes",$G195&lt;&gt;"Vendor day rates"),$J195-0.4*$I195,0)</f>
        <v>0</v>
      </c>
      <c r="X195" s="24" t="n">
        <f aca="false">IF(OR($U195&lt;&gt;"Yes",$V195=""),0,$W195*MAX(0,7-MATCH($V195,MonthList,0))/12)</f>
        <v>0</v>
      </c>
      <c r="Y195" s="24" t="n">
        <f aca="false">IF(OR($U195&lt;&gt;"Yes",$V195=""),0,$W195*IF(MATCH($V195,MonthList,0)&lt;=7,12,19-MATCH($V195,MonthList,0))/12)</f>
        <v>0</v>
      </c>
    </row>
    <row r="196" customFormat="false" ht="15" hidden="false" customHeight="true" outlineLevel="0" collapsed="false">
      <c r="B196" s="18" t="s">
        <v>436</v>
      </c>
      <c r="C196" s="18" t="s">
        <v>437</v>
      </c>
      <c r="D196" s="18" t="s">
        <v>30</v>
      </c>
      <c r="E196" s="18" t="s">
        <v>433</v>
      </c>
      <c r="F196" s="19" t="s">
        <v>57</v>
      </c>
      <c r="G196" s="19" t="s">
        <v>145</v>
      </c>
      <c r="H196" s="19" t="n">
        <v>1</v>
      </c>
      <c r="I196" s="20" t="n">
        <v>0.2317</v>
      </c>
      <c r="J196" s="20" t="n">
        <v>0.2317</v>
      </c>
      <c r="K196" s="21" t="s">
        <v>59</v>
      </c>
      <c r="L196" s="21"/>
      <c r="M196" s="20" t="n">
        <f aca="false">IF(AND($K196="Yes",$G196&lt;&gt;"Vendor day rates"),$J196-0.4*$I196,0)</f>
        <v>0</v>
      </c>
      <c r="N196" s="20" t="n">
        <f aca="false">IF(OR($K196&lt;&gt;"Yes",$L196=""),0,$M196*MAX(0,7-MATCH($L196,MonthList,0))/12)</f>
        <v>0</v>
      </c>
      <c r="O196" s="20" t="n">
        <f aca="false">IF(OR($K196&lt;&gt;"Yes",$L196=""),0,$M196*IF(MATCH($L196,MonthList,0)&lt;=7,12,19-MATCH($L196,MonthList,0))/12)</f>
        <v>0</v>
      </c>
      <c r="P196" s="21" t="s">
        <v>59</v>
      </c>
      <c r="Q196" s="21"/>
      <c r="R196" s="20" t="n">
        <f aca="false">IF(AND($P196="Yes",$G196&lt;&gt;"Vendor day rates"),$J196-0.4*$I196,0)</f>
        <v>0</v>
      </c>
      <c r="S196" s="20" t="n">
        <f aca="false">IF(OR($P196&lt;&gt;"Yes",$Q196=""),0,$R196*MAX(0,7-MATCH($Q196,MonthList,0))/12)</f>
        <v>0</v>
      </c>
      <c r="T196" s="20" t="n">
        <f aca="false">IF(OR($P196&lt;&gt;"Yes",$Q196=""),0,$R196*IF(MATCH($Q196,MonthList,0)&lt;=7,12,19-MATCH($Q196,MonthList,0))/12)</f>
        <v>0</v>
      </c>
      <c r="U196" s="21" t="s">
        <v>59</v>
      </c>
      <c r="V196" s="21"/>
      <c r="W196" s="20" t="n">
        <f aca="false">IF(AND($U196="Yes",$G196&lt;&gt;"Vendor day rates"),$J196-0.4*$I196,0)</f>
        <v>0</v>
      </c>
      <c r="X196" s="20" t="n">
        <f aca="false">IF(OR($U196&lt;&gt;"Yes",$V196=""),0,$W196*MAX(0,7-MATCH($V196,MonthList,0))/12)</f>
        <v>0</v>
      </c>
      <c r="Y196" s="20" t="n">
        <f aca="false">IF(OR($U196&lt;&gt;"Yes",$V196=""),0,$W196*IF(MATCH($V196,MonthList,0)&lt;=7,12,19-MATCH($V196,MonthList,0))/12)</f>
        <v>0</v>
      </c>
    </row>
    <row r="197" customFormat="false" ht="15" hidden="false" customHeight="true" outlineLevel="0" collapsed="false">
      <c r="B197" s="22" t="s">
        <v>438</v>
      </c>
      <c r="C197" s="22" t="s">
        <v>439</v>
      </c>
      <c r="D197" s="22" t="s">
        <v>30</v>
      </c>
      <c r="E197" s="22" t="s">
        <v>440</v>
      </c>
      <c r="F197" s="23" t="s">
        <v>57</v>
      </c>
      <c r="G197" s="23" t="s">
        <v>58</v>
      </c>
      <c r="H197" s="23" t="n">
        <v>1</v>
      </c>
      <c r="I197" s="24" t="n">
        <v>0.2209</v>
      </c>
      <c r="J197" s="24" t="n">
        <v>0.2209</v>
      </c>
      <c r="K197" s="21" t="s">
        <v>59</v>
      </c>
      <c r="L197" s="21"/>
      <c r="M197" s="24" t="n">
        <f aca="false">IF(AND($K197="Yes",$G197&lt;&gt;"Vendor day rates"),$J197-0.4*$I197,0)</f>
        <v>0</v>
      </c>
      <c r="N197" s="24" t="n">
        <f aca="false">IF(OR($K197&lt;&gt;"Yes",$L197=""),0,$M197*MAX(0,7-MATCH($L197,MonthList,0))/12)</f>
        <v>0</v>
      </c>
      <c r="O197" s="24" t="n">
        <f aca="false">IF(OR($K197&lt;&gt;"Yes",$L197=""),0,$M197*IF(MATCH($L197,MonthList,0)&lt;=7,12,19-MATCH($L197,MonthList,0))/12)</f>
        <v>0</v>
      </c>
      <c r="P197" s="21" t="s">
        <v>59</v>
      </c>
      <c r="Q197" s="21"/>
      <c r="R197" s="24" t="n">
        <f aca="false">IF(AND($P197="Yes",$G197&lt;&gt;"Vendor day rates"),$J197-0.4*$I197,0)</f>
        <v>0</v>
      </c>
      <c r="S197" s="24" t="n">
        <f aca="false">IF(OR($P197&lt;&gt;"Yes",$Q197=""),0,$R197*MAX(0,7-MATCH($Q197,MonthList,0))/12)</f>
        <v>0</v>
      </c>
      <c r="T197" s="24" t="n">
        <f aca="false">IF(OR($P197&lt;&gt;"Yes",$Q197=""),0,$R197*IF(MATCH($Q197,MonthList,0)&lt;=7,12,19-MATCH($Q197,MonthList,0))/12)</f>
        <v>0</v>
      </c>
      <c r="U197" s="21" t="s">
        <v>59</v>
      </c>
      <c r="V197" s="21"/>
      <c r="W197" s="24" t="n">
        <f aca="false">IF(AND($U197="Yes",$G197&lt;&gt;"Vendor day rates"),$J197-0.4*$I197,0)</f>
        <v>0</v>
      </c>
      <c r="X197" s="24" t="n">
        <f aca="false">IF(OR($U197&lt;&gt;"Yes",$V197=""),0,$W197*MAX(0,7-MATCH($V197,MonthList,0))/12)</f>
        <v>0</v>
      </c>
      <c r="Y197" s="24" t="n">
        <f aca="false">IF(OR($U197&lt;&gt;"Yes",$V197=""),0,$W197*IF(MATCH($V197,MonthList,0)&lt;=7,12,19-MATCH($V197,MonthList,0))/12)</f>
        <v>0</v>
      </c>
    </row>
    <row r="198" customFormat="false" ht="15" hidden="false" customHeight="true" outlineLevel="0" collapsed="false">
      <c r="B198" s="18" t="s">
        <v>441</v>
      </c>
      <c r="C198" s="18" t="s">
        <v>55</v>
      </c>
      <c r="D198" s="18" t="s">
        <v>25</v>
      </c>
      <c r="E198" s="18" t="s">
        <v>418</v>
      </c>
      <c r="F198" s="19" t="s">
        <v>57</v>
      </c>
      <c r="G198" s="19" t="s">
        <v>58</v>
      </c>
      <c r="H198" s="19" t="n">
        <v>1</v>
      </c>
      <c r="I198" s="20" t="n">
        <v>0.2575</v>
      </c>
      <c r="J198" s="20" t="n">
        <v>0.2575</v>
      </c>
      <c r="K198" s="21" t="s">
        <v>59</v>
      </c>
      <c r="L198" s="21"/>
      <c r="M198" s="20" t="n">
        <f aca="false">IF(AND($K198="Yes",$G198&lt;&gt;"Vendor day rates"),$J198-0.4*$I198,0)</f>
        <v>0</v>
      </c>
      <c r="N198" s="20" t="n">
        <f aca="false">IF(OR($K198&lt;&gt;"Yes",$L198=""),0,$M198*MAX(0,7-MATCH($L198,MonthList,0))/12)</f>
        <v>0</v>
      </c>
      <c r="O198" s="20" t="n">
        <f aca="false">IF(OR($K198&lt;&gt;"Yes",$L198=""),0,$M198*IF(MATCH($L198,MonthList,0)&lt;=7,12,19-MATCH($L198,MonthList,0))/12)</f>
        <v>0</v>
      </c>
      <c r="P198" s="21" t="s">
        <v>59</v>
      </c>
      <c r="Q198" s="21"/>
      <c r="R198" s="20" t="n">
        <f aca="false">IF(AND($P198="Yes",$G198&lt;&gt;"Vendor day rates"),$J198-0.4*$I198,0)</f>
        <v>0</v>
      </c>
      <c r="S198" s="20" t="n">
        <f aca="false">IF(OR($P198&lt;&gt;"Yes",$Q198=""),0,$R198*MAX(0,7-MATCH($Q198,MonthList,0))/12)</f>
        <v>0</v>
      </c>
      <c r="T198" s="20" t="n">
        <f aca="false">IF(OR($P198&lt;&gt;"Yes",$Q198=""),0,$R198*IF(MATCH($Q198,MonthList,0)&lt;=7,12,19-MATCH($Q198,MonthList,0))/12)</f>
        <v>0</v>
      </c>
      <c r="U198" s="21" t="s">
        <v>59</v>
      </c>
      <c r="V198" s="21"/>
      <c r="W198" s="20" t="n">
        <f aca="false">IF(AND($U198="Yes",$G198&lt;&gt;"Vendor day rates"),$J198-0.4*$I198,0)</f>
        <v>0</v>
      </c>
      <c r="X198" s="20" t="n">
        <f aca="false">IF(OR($U198&lt;&gt;"Yes",$V198=""),0,$W198*MAX(0,7-MATCH($V198,MonthList,0))/12)</f>
        <v>0</v>
      </c>
      <c r="Y198" s="20" t="n">
        <f aca="false">IF(OR($U198&lt;&gt;"Yes",$V198=""),0,$W198*IF(MATCH($V198,MonthList,0)&lt;=7,12,19-MATCH($V198,MonthList,0))/12)</f>
        <v>0</v>
      </c>
    </row>
    <row r="199" customFormat="false" ht="15" hidden="false" customHeight="true" outlineLevel="0" collapsed="false">
      <c r="B199" s="22" t="s">
        <v>442</v>
      </c>
      <c r="C199" s="22" t="s">
        <v>55</v>
      </c>
      <c r="D199" s="22" t="s">
        <v>443</v>
      </c>
      <c r="E199" s="22" t="s">
        <v>313</v>
      </c>
      <c r="F199" s="23" t="s">
        <v>57</v>
      </c>
      <c r="G199" s="23" t="s">
        <v>58</v>
      </c>
      <c r="H199" s="23" t="n">
        <v>1</v>
      </c>
      <c r="I199" s="24" t="n">
        <v>0.2531</v>
      </c>
      <c r="J199" s="24" t="n">
        <v>0.2531</v>
      </c>
      <c r="K199" s="21" t="s">
        <v>59</v>
      </c>
      <c r="L199" s="21"/>
      <c r="M199" s="24" t="n">
        <f aca="false">IF(AND($K199="Yes",$G199&lt;&gt;"Vendor day rates"),$J199-0.4*$I199,0)</f>
        <v>0</v>
      </c>
      <c r="N199" s="24" t="n">
        <f aca="false">IF(OR($K199&lt;&gt;"Yes",$L199=""),0,$M199*MAX(0,7-MATCH($L199,MonthList,0))/12)</f>
        <v>0</v>
      </c>
      <c r="O199" s="24" t="n">
        <f aca="false">IF(OR($K199&lt;&gt;"Yes",$L199=""),0,$M199*IF(MATCH($L199,MonthList,0)&lt;=7,12,19-MATCH($L199,MonthList,0))/12)</f>
        <v>0</v>
      </c>
      <c r="P199" s="21" t="s">
        <v>59</v>
      </c>
      <c r="Q199" s="21"/>
      <c r="R199" s="24" t="n">
        <f aca="false">IF(AND($P199="Yes",$G199&lt;&gt;"Vendor day rates"),$J199-0.4*$I199,0)</f>
        <v>0</v>
      </c>
      <c r="S199" s="24" t="n">
        <f aca="false">IF(OR($P199&lt;&gt;"Yes",$Q199=""),0,$R199*MAX(0,7-MATCH($Q199,MonthList,0))/12)</f>
        <v>0</v>
      </c>
      <c r="T199" s="24" t="n">
        <f aca="false">IF(OR($P199&lt;&gt;"Yes",$Q199=""),0,$R199*IF(MATCH($Q199,MonthList,0)&lt;=7,12,19-MATCH($Q199,MonthList,0))/12)</f>
        <v>0</v>
      </c>
      <c r="U199" s="21" t="s">
        <v>59</v>
      </c>
      <c r="V199" s="21"/>
      <c r="W199" s="24" t="n">
        <f aca="false">IF(AND($U199="Yes",$G199&lt;&gt;"Vendor day rates"),$J199-0.4*$I199,0)</f>
        <v>0</v>
      </c>
      <c r="X199" s="24" t="n">
        <f aca="false">IF(OR($U199&lt;&gt;"Yes",$V199=""),0,$W199*MAX(0,7-MATCH($V199,MonthList,0))/12)</f>
        <v>0</v>
      </c>
      <c r="Y199" s="24" t="n">
        <f aca="false">IF(OR($U199&lt;&gt;"Yes",$V199=""),0,$W199*IF(MATCH($V199,MonthList,0)&lt;=7,12,19-MATCH($V199,MonthList,0))/12)</f>
        <v>0</v>
      </c>
    </row>
    <row r="200" customFormat="false" ht="15" hidden="false" customHeight="true" outlineLevel="0" collapsed="false">
      <c r="B200" s="18" t="s">
        <v>444</v>
      </c>
      <c r="C200" s="18" t="s">
        <v>55</v>
      </c>
      <c r="D200" s="18" t="s">
        <v>25</v>
      </c>
      <c r="E200" s="18" t="s">
        <v>227</v>
      </c>
      <c r="F200" s="19" t="s">
        <v>57</v>
      </c>
      <c r="G200" s="19" t="s">
        <v>58</v>
      </c>
      <c r="H200" s="19" t="n">
        <v>1</v>
      </c>
      <c r="I200" s="20" t="n">
        <v>0.2565</v>
      </c>
      <c r="J200" s="20" t="n">
        <v>0.2565</v>
      </c>
      <c r="K200" s="21" t="s">
        <v>59</v>
      </c>
      <c r="L200" s="21"/>
      <c r="M200" s="20" t="n">
        <f aca="false">IF(AND($K200="Yes",$G200&lt;&gt;"Vendor day rates"),$J200-0.4*$I200,0)</f>
        <v>0</v>
      </c>
      <c r="N200" s="20" t="n">
        <f aca="false">IF(OR($K200&lt;&gt;"Yes",$L200=""),0,$M200*MAX(0,7-MATCH($L200,MonthList,0))/12)</f>
        <v>0</v>
      </c>
      <c r="O200" s="20" t="n">
        <f aca="false">IF(OR($K200&lt;&gt;"Yes",$L200=""),0,$M200*IF(MATCH($L200,MonthList,0)&lt;=7,12,19-MATCH($L200,MonthList,0))/12)</f>
        <v>0</v>
      </c>
      <c r="P200" s="21" t="s">
        <v>59</v>
      </c>
      <c r="Q200" s="21"/>
      <c r="R200" s="20" t="n">
        <f aca="false">IF(AND($P200="Yes",$G200&lt;&gt;"Vendor day rates"),$J200-0.4*$I200,0)</f>
        <v>0</v>
      </c>
      <c r="S200" s="20" t="n">
        <f aca="false">IF(OR($P200&lt;&gt;"Yes",$Q200=""),0,$R200*MAX(0,7-MATCH($Q200,MonthList,0))/12)</f>
        <v>0</v>
      </c>
      <c r="T200" s="20" t="n">
        <f aca="false">IF(OR($P200&lt;&gt;"Yes",$Q200=""),0,$R200*IF(MATCH($Q200,MonthList,0)&lt;=7,12,19-MATCH($Q200,MonthList,0))/12)</f>
        <v>0</v>
      </c>
      <c r="U200" s="21" t="s">
        <v>59</v>
      </c>
      <c r="V200" s="21"/>
      <c r="W200" s="20" t="n">
        <f aca="false">IF(AND($U200="Yes",$G200&lt;&gt;"Vendor day rates"),$J200-0.4*$I200,0)</f>
        <v>0</v>
      </c>
      <c r="X200" s="20" t="n">
        <f aca="false">IF(OR($U200&lt;&gt;"Yes",$V200=""),0,$W200*MAX(0,7-MATCH($V200,MonthList,0))/12)</f>
        <v>0</v>
      </c>
      <c r="Y200" s="20" t="n">
        <f aca="false">IF(OR($U200&lt;&gt;"Yes",$V200=""),0,$W200*IF(MATCH($V200,MonthList,0)&lt;=7,12,19-MATCH($V200,MonthList,0))/12)</f>
        <v>0</v>
      </c>
    </row>
    <row r="201" customFormat="false" ht="15" hidden="false" customHeight="true" outlineLevel="0" collapsed="false">
      <c r="B201" s="22" t="s">
        <v>445</v>
      </c>
      <c r="C201" s="22" t="s">
        <v>446</v>
      </c>
      <c r="D201" s="22" t="s">
        <v>26</v>
      </c>
      <c r="E201" s="22" t="s">
        <v>160</v>
      </c>
      <c r="F201" s="23" t="s">
        <v>57</v>
      </c>
      <c r="G201" s="23" t="s">
        <v>58</v>
      </c>
      <c r="H201" s="23" t="n">
        <v>1</v>
      </c>
      <c r="I201" s="24" t="n">
        <v>0.2749</v>
      </c>
      <c r="J201" s="24" t="n">
        <v>0.2749</v>
      </c>
      <c r="K201" s="21" t="s">
        <v>59</v>
      </c>
      <c r="L201" s="21"/>
      <c r="M201" s="24" t="n">
        <f aca="false">IF(AND($K201="Yes",$G201&lt;&gt;"Vendor day rates"),$J201-0.4*$I201,0)</f>
        <v>0</v>
      </c>
      <c r="N201" s="24" t="n">
        <f aca="false">IF(OR($K201&lt;&gt;"Yes",$L201=""),0,$M201*MAX(0,7-MATCH($L201,MonthList,0))/12)</f>
        <v>0</v>
      </c>
      <c r="O201" s="24" t="n">
        <f aca="false">IF(OR($K201&lt;&gt;"Yes",$L201=""),0,$M201*IF(MATCH($L201,MonthList,0)&lt;=7,12,19-MATCH($L201,MonthList,0))/12)</f>
        <v>0</v>
      </c>
      <c r="P201" s="21" t="s">
        <v>59</v>
      </c>
      <c r="Q201" s="21"/>
      <c r="R201" s="24" t="n">
        <f aca="false">IF(AND($P201="Yes",$G201&lt;&gt;"Vendor day rates"),$J201-0.4*$I201,0)</f>
        <v>0</v>
      </c>
      <c r="S201" s="24" t="n">
        <f aca="false">IF(OR($P201&lt;&gt;"Yes",$Q201=""),0,$R201*MAX(0,7-MATCH($Q201,MonthList,0))/12)</f>
        <v>0</v>
      </c>
      <c r="T201" s="24" t="n">
        <f aca="false">IF(OR($P201&lt;&gt;"Yes",$Q201=""),0,$R201*IF(MATCH($Q201,MonthList,0)&lt;=7,12,19-MATCH($Q201,MonthList,0))/12)</f>
        <v>0</v>
      </c>
      <c r="U201" s="21" t="s">
        <v>59</v>
      </c>
      <c r="V201" s="21"/>
      <c r="W201" s="24" t="n">
        <f aca="false">IF(AND($U201="Yes",$G201&lt;&gt;"Vendor day rates"),$J201-0.4*$I201,0)</f>
        <v>0</v>
      </c>
      <c r="X201" s="24" t="n">
        <f aca="false">IF(OR($U201&lt;&gt;"Yes",$V201=""),0,$W201*MAX(0,7-MATCH($V201,MonthList,0))/12)</f>
        <v>0</v>
      </c>
      <c r="Y201" s="24" t="n">
        <f aca="false">IF(OR($U201&lt;&gt;"Yes",$V201=""),0,$W201*IF(MATCH($V201,MonthList,0)&lt;=7,12,19-MATCH($V201,MonthList,0))/12)</f>
        <v>0</v>
      </c>
    </row>
    <row r="202" customFormat="false" ht="15" hidden="false" customHeight="true" outlineLevel="0" collapsed="false">
      <c r="B202" s="18" t="s">
        <v>447</v>
      </c>
      <c r="C202" s="18" t="s">
        <v>448</v>
      </c>
      <c r="D202" s="18" t="s">
        <v>26</v>
      </c>
      <c r="E202" s="18" t="s">
        <v>160</v>
      </c>
      <c r="F202" s="19" t="s">
        <v>57</v>
      </c>
      <c r="G202" s="19" t="s">
        <v>58</v>
      </c>
      <c r="H202" s="19" t="n">
        <v>1</v>
      </c>
      <c r="I202" s="20" t="n">
        <v>0.2433</v>
      </c>
      <c r="J202" s="20" t="n">
        <v>0.2433</v>
      </c>
      <c r="K202" s="21" t="s">
        <v>59</v>
      </c>
      <c r="L202" s="21"/>
      <c r="M202" s="20" t="n">
        <f aca="false">IF(AND($K202="Yes",$G202&lt;&gt;"Vendor day rates"),$J202-0.4*$I202,0)</f>
        <v>0</v>
      </c>
      <c r="N202" s="20" t="n">
        <f aca="false">IF(OR($K202&lt;&gt;"Yes",$L202=""),0,$M202*MAX(0,7-MATCH($L202,MonthList,0))/12)</f>
        <v>0</v>
      </c>
      <c r="O202" s="20" t="n">
        <f aca="false">IF(OR($K202&lt;&gt;"Yes",$L202=""),0,$M202*IF(MATCH($L202,MonthList,0)&lt;=7,12,19-MATCH($L202,MonthList,0))/12)</f>
        <v>0</v>
      </c>
      <c r="P202" s="21" t="s">
        <v>59</v>
      </c>
      <c r="Q202" s="21"/>
      <c r="R202" s="20" t="n">
        <f aca="false">IF(AND($P202="Yes",$G202&lt;&gt;"Vendor day rates"),$J202-0.4*$I202,0)</f>
        <v>0</v>
      </c>
      <c r="S202" s="20" t="n">
        <f aca="false">IF(OR($P202&lt;&gt;"Yes",$Q202=""),0,$R202*MAX(0,7-MATCH($Q202,MonthList,0))/12)</f>
        <v>0</v>
      </c>
      <c r="T202" s="20" t="n">
        <f aca="false">IF(OR($P202&lt;&gt;"Yes",$Q202=""),0,$R202*IF(MATCH($Q202,MonthList,0)&lt;=7,12,19-MATCH($Q202,MonthList,0))/12)</f>
        <v>0</v>
      </c>
      <c r="U202" s="21" t="s">
        <v>59</v>
      </c>
      <c r="V202" s="21"/>
      <c r="W202" s="20" t="n">
        <f aca="false">IF(AND($U202="Yes",$G202&lt;&gt;"Vendor day rates"),$J202-0.4*$I202,0)</f>
        <v>0</v>
      </c>
      <c r="X202" s="20" t="n">
        <f aca="false">IF(OR($U202&lt;&gt;"Yes",$V202=""),0,$W202*MAX(0,7-MATCH($V202,MonthList,0))/12)</f>
        <v>0</v>
      </c>
      <c r="Y202" s="20" t="n">
        <f aca="false">IF(OR($U202&lt;&gt;"Yes",$V202=""),0,$W202*IF(MATCH($V202,MonthList,0)&lt;=7,12,19-MATCH($V202,MonthList,0))/12)</f>
        <v>0</v>
      </c>
    </row>
    <row r="203" customFormat="false" ht="15" hidden="false" customHeight="true" outlineLevel="0" collapsed="false">
      <c r="B203" s="22" t="s">
        <v>449</v>
      </c>
      <c r="C203" s="22" t="s">
        <v>450</v>
      </c>
      <c r="D203" s="22"/>
      <c r="E203" s="22" t="s">
        <v>253</v>
      </c>
      <c r="F203" s="23" t="s">
        <v>57</v>
      </c>
      <c r="G203" s="23" t="s">
        <v>58</v>
      </c>
      <c r="H203" s="23" t="n">
        <v>1</v>
      </c>
      <c r="I203" s="24" t="n">
        <v>0.2656</v>
      </c>
      <c r="J203" s="24" t="n">
        <v>0.2656</v>
      </c>
      <c r="K203" s="21" t="s">
        <v>59</v>
      </c>
      <c r="L203" s="21"/>
      <c r="M203" s="24" t="n">
        <f aca="false">IF(AND($K203="Yes",$G203&lt;&gt;"Vendor day rates"),$J203-0.4*$I203,0)</f>
        <v>0</v>
      </c>
      <c r="N203" s="24" t="n">
        <f aca="false">IF(OR($K203&lt;&gt;"Yes",$L203=""),0,$M203*MAX(0,7-MATCH($L203,MonthList,0))/12)</f>
        <v>0</v>
      </c>
      <c r="O203" s="24" t="n">
        <f aca="false">IF(OR($K203&lt;&gt;"Yes",$L203=""),0,$M203*IF(MATCH($L203,MonthList,0)&lt;=7,12,19-MATCH($L203,MonthList,0))/12)</f>
        <v>0</v>
      </c>
      <c r="P203" s="21" t="s">
        <v>59</v>
      </c>
      <c r="Q203" s="21"/>
      <c r="R203" s="24" t="n">
        <f aca="false">IF(AND($P203="Yes",$G203&lt;&gt;"Vendor day rates"),$J203-0.4*$I203,0)</f>
        <v>0</v>
      </c>
      <c r="S203" s="24" t="n">
        <f aca="false">IF(OR($P203&lt;&gt;"Yes",$Q203=""),0,$R203*MAX(0,7-MATCH($Q203,MonthList,0))/12)</f>
        <v>0</v>
      </c>
      <c r="T203" s="24" t="n">
        <f aca="false">IF(OR($P203&lt;&gt;"Yes",$Q203=""),0,$R203*IF(MATCH($Q203,MonthList,0)&lt;=7,12,19-MATCH($Q203,MonthList,0))/12)</f>
        <v>0</v>
      </c>
      <c r="U203" s="21" t="s">
        <v>59</v>
      </c>
      <c r="V203" s="21"/>
      <c r="W203" s="24" t="n">
        <f aca="false">IF(AND($U203="Yes",$G203&lt;&gt;"Vendor day rates"),$J203-0.4*$I203,0)</f>
        <v>0</v>
      </c>
      <c r="X203" s="24" t="n">
        <f aca="false">IF(OR($U203&lt;&gt;"Yes",$V203=""),0,$W203*MAX(0,7-MATCH($V203,MonthList,0))/12)</f>
        <v>0</v>
      </c>
      <c r="Y203" s="24" t="n">
        <f aca="false">IF(OR($U203&lt;&gt;"Yes",$V203=""),0,$W203*IF(MATCH($V203,MonthList,0)&lt;=7,12,19-MATCH($V203,MonthList,0))/12)</f>
        <v>0</v>
      </c>
    </row>
    <row r="204" customFormat="false" ht="15" hidden="false" customHeight="true" outlineLevel="0" collapsed="false">
      <c r="B204" s="18" t="s">
        <v>451</v>
      </c>
      <c r="C204" s="18" t="s">
        <v>452</v>
      </c>
      <c r="D204" s="18"/>
      <c r="E204" s="18" t="s">
        <v>168</v>
      </c>
      <c r="F204" s="19" t="s">
        <v>57</v>
      </c>
      <c r="G204" s="19" t="s">
        <v>58</v>
      </c>
      <c r="H204" s="19" t="n">
        <v>1</v>
      </c>
      <c r="I204" s="20" t="n">
        <v>0.226</v>
      </c>
      <c r="J204" s="20" t="n">
        <v>0.226</v>
      </c>
      <c r="K204" s="21" t="s">
        <v>59</v>
      </c>
      <c r="L204" s="21"/>
      <c r="M204" s="20" t="n">
        <f aca="false">IF(AND($K204="Yes",$G204&lt;&gt;"Vendor day rates"),$J204-0.4*$I204,0)</f>
        <v>0</v>
      </c>
      <c r="N204" s="20" t="n">
        <f aca="false">IF(OR($K204&lt;&gt;"Yes",$L204=""),0,$M204*MAX(0,7-MATCH($L204,MonthList,0))/12)</f>
        <v>0</v>
      </c>
      <c r="O204" s="20" t="n">
        <f aca="false">IF(OR($K204&lt;&gt;"Yes",$L204=""),0,$M204*IF(MATCH($L204,MonthList,0)&lt;=7,12,19-MATCH($L204,MonthList,0))/12)</f>
        <v>0</v>
      </c>
      <c r="P204" s="21" t="s">
        <v>59</v>
      </c>
      <c r="Q204" s="21"/>
      <c r="R204" s="20" t="n">
        <f aca="false">IF(AND($P204="Yes",$G204&lt;&gt;"Vendor day rates"),$J204-0.4*$I204,0)</f>
        <v>0</v>
      </c>
      <c r="S204" s="20" t="n">
        <f aca="false">IF(OR($P204&lt;&gt;"Yes",$Q204=""),0,$R204*MAX(0,7-MATCH($Q204,MonthList,0))/12)</f>
        <v>0</v>
      </c>
      <c r="T204" s="20" t="n">
        <f aca="false">IF(OR($P204&lt;&gt;"Yes",$Q204=""),0,$R204*IF(MATCH($Q204,MonthList,0)&lt;=7,12,19-MATCH($Q204,MonthList,0))/12)</f>
        <v>0</v>
      </c>
      <c r="U204" s="21" t="s">
        <v>59</v>
      </c>
      <c r="V204" s="21"/>
      <c r="W204" s="20" t="n">
        <f aca="false">IF(AND($U204="Yes",$G204&lt;&gt;"Vendor day rates"),$J204-0.4*$I204,0)</f>
        <v>0</v>
      </c>
      <c r="X204" s="20" t="n">
        <f aca="false">IF(OR($U204&lt;&gt;"Yes",$V204=""),0,$W204*MAX(0,7-MATCH($V204,MonthList,0))/12)</f>
        <v>0</v>
      </c>
      <c r="Y204" s="20" t="n">
        <f aca="false">IF(OR($U204&lt;&gt;"Yes",$V204=""),0,$W204*IF(MATCH($V204,MonthList,0)&lt;=7,12,19-MATCH($V204,MonthList,0))/12)</f>
        <v>0</v>
      </c>
    </row>
    <row r="205" customFormat="false" ht="15" hidden="false" customHeight="true" outlineLevel="0" collapsed="false">
      <c r="B205" s="22" t="s">
        <v>453</v>
      </c>
      <c r="C205" s="22" t="s">
        <v>454</v>
      </c>
      <c r="D205" s="22" t="s">
        <v>30</v>
      </c>
      <c r="E205" s="22" t="s">
        <v>455</v>
      </c>
      <c r="F205" s="23" t="s">
        <v>109</v>
      </c>
      <c r="G205" s="23" t="s">
        <v>118</v>
      </c>
      <c r="H205" s="23" t="n">
        <v>1</v>
      </c>
      <c r="I205" s="24" t="n">
        <v>0.1831</v>
      </c>
      <c r="J205" s="24" t="n">
        <v>0.0732</v>
      </c>
      <c r="K205" s="21" t="s">
        <v>59</v>
      </c>
      <c r="L205" s="21"/>
      <c r="M205" s="24" t="n">
        <f aca="false">IF(AND($K205="Yes",$G205&lt;&gt;"Vendor day rates"),$J205-0.4*$I205,0)</f>
        <v>0</v>
      </c>
      <c r="N205" s="24" t="n">
        <f aca="false">IF(OR($K205&lt;&gt;"Yes",$L205=""),0,$M205*MAX(0,7-MATCH($L205,MonthList,0))/12)</f>
        <v>0</v>
      </c>
      <c r="O205" s="24" t="n">
        <f aca="false">IF(OR($K205&lt;&gt;"Yes",$L205=""),0,$M205*IF(MATCH($L205,MonthList,0)&lt;=7,12,19-MATCH($L205,MonthList,0))/12)</f>
        <v>0</v>
      </c>
      <c r="P205" s="21" t="s">
        <v>59</v>
      </c>
      <c r="Q205" s="21"/>
      <c r="R205" s="24" t="n">
        <f aca="false">IF(AND($P205="Yes",$G205&lt;&gt;"Vendor day rates"),$J205-0.4*$I205,0)</f>
        <v>0</v>
      </c>
      <c r="S205" s="24" t="n">
        <f aca="false">IF(OR($P205&lt;&gt;"Yes",$Q205=""),0,$R205*MAX(0,7-MATCH($Q205,MonthList,0))/12)</f>
        <v>0</v>
      </c>
      <c r="T205" s="24" t="n">
        <f aca="false">IF(OR($P205&lt;&gt;"Yes",$Q205=""),0,$R205*IF(MATCH($Q205,MonthList,0)&lt;=7,12,19-MATCH($Q205,MonthList,0))/12)</f>
        <v>0</v>
      </c>
      <c r="U205" s="21" t="s">
        <v>59</v>
      </c>
      <c r="V205" s="21"/>
      <c r="W205" s="24" t="n">
        <f aca="false">IF(AND($U205="Yes",$G205&lt;&gt;"Vendor day rates"),$J205-0.4*$I205,0)</f>
        <v>0</v>
      </c>
      <c r="X205" s="24" t="n">
        <f aca="false">IF(OR($U205&lt;&gt;"Yes",$V205=""),0,$W205*MAX(0,7-MATCH($V205,MonthList,0))/12)</f>
        <v>0</v>
      </c>
      <c r="Y205" s="24" t="n">
        <f aca="false">IF(OR($U205&lt;&gt;"Yes",$V205=""),0,$W205*IF(MATCH($V205,MonthList,0)&lt;=7,12,19-MATCH($V205,MonthList,0))/12)</f>
        <v>0</v>
      </c>
    </row>
    <row r="206" customFormat="false" ht="15" hidden="false" customHeight="true" outlineLevel="0" collapsed="false">
      <c r="B206" s="18" t="s">
        <v>456</v>
      </c>
      <c r="C206" s="18" t="s">
        <v>457</v>
      </c>
      <c r="D206" s="18" t="s">
        <v>21</v>
      </c>
      <c r="E206" s="18" t="s">
        <v>98</v>
      </c>
      <c r="F206" s="19" t="s">
        <v>109</v>
      </c>
      <c r="G206" s="19" t="s">
        <v>58</v>
      </c>
      <c r="H206" s="19" t="n">
        <v>1</v>
      </c>
      <c r="I206" s="20" t="n">
        <v>0.1994</v>
      </c>
      <c r="J206" s="20" t="n">
        <v>0.1994</v>
      </c>
      <c r="K206" s="21" t="s">
        <v>59</v>
      </c>
      <c r="L206" s="21"/>
      <c r="M206" s="20" t="n">
        <f aca="false">IF(AND($K206="Yes",$G206&lt;&gt;"Vendor day rates"),$J206-0.4*$I206,0)</f>
        <v>0</v>
      </c>
      <c r="N206" s="20" t="n">
        <f aca="false">IF(OR($K206&lt;&gt;"Yes",$L206=""),0,$M206*MAX(0,7-MATCH($L206,MonthList,0))/12)</f>
        <v>0</v>
      </c>
      <c r="O206" s="20" t="n">
        <f aca="false">IF(OR($K206&lt;&gt;"Yes",$L206=""),0,$M206*IF(MATCH($L206,MonthList,0)&lt;=7,12,19-MATCH($L206,MonthList,0))/12)</f>
        <v>0</v>
      </c>
      <c r="P206" s="21" t="s">
        <v>59</v>
      </c>
      <c r="Q206" s="21"/>
      <c r="R206" s="20" t="n">
        <f aca="false">IF(AND($P206="Yes",$G206&lt;&gt;"Vendor day rates"),$J206-0.4*$I206,0)</f>
        <v>0</v>
      </c>
      <c r="S206" s="20" t="n">
        <f aca="false">IF(OR($P206&lt;&gt;"Yes",$Q206=""),0,$R206*MAX(0,7-MATCH($Q206,MonthList,0))/12)</f>
        <v>0</v>
      </c>
      <c r="T206" s="20" t="n">
        <f aca="false">IF(OR($P206&lt;&gt;"Yes",$Q206=""),0,$R206*IF(MATCH($Q206,MonthList,0)&lt;=7,12,19-MATCH($Q206,MonthList,0))/12)</f>
        <v>0</v>
      </c>
      <c r="U206" s="21" t="s">
        <v>59</v>
      </c>
      <c r="V206" s="21"/>
      <c r="W206" s="20" t="n">
        <f aca="false">IF(AND($U206="Yes",$G206&lt;&gt;"Vendor day rates"),$J206-0.4*$I206,0)</f>
        <v>0</v>
      </c>
      <c r="X206" s="20" t="n">
        <f aca="false">IF(OR($U206&lt;&gt;"Yes",$V206=""),0,$W206*MAX(0,7-MATCH($V206,MonthList,0))/12)</f>
        <v>0</v>
      </c>
      <c r="Y206" s="20" t="n">
        <f aca="false">IF(OR($U206&lt;&gt;"Yes",$V206=""),0,$W206*IF(MATCH($V206,MonthList,0)&lt;=7,12,19-MATCH($V206,MonthList,0))/12)</f>
        <v>0</v>
      </c>
    </row>
    <row r="207" customFormat="false" ht="15" hidden="false" customHeight="true" outlineLevel="0" collapsed="false">
      <c r="B207" s="22" t="s">
        <v>458</v>
      </c>
      <c r="C207" s="22" t="s">
        <v>459</v>
      </c>
      <c r="D207" s="22" t="s">
        <v>30</v>
      </c>
      <c r="E207" s="22" t="s">
        <v>455</v>
      </c>
      <c r="F207" s="23" t="s">
        <v>109</v>
      </c>
      <c r="G207" s="23" t="s">
        <v>118</v>
      </c>
      <c r="H207" s="23" t="n">
        <v>1</v>
      </c>
      <c r="I207" s="24" t="n">
        <v>0.2009</v>
      </c>
      <c r="J207" s="24" t="n">
        <v>0.0804</v>
      </c>
      <c r="K207" s="21" t="s">
        <v>59</v>
      </c>
      <c r="L207" s="21"/>
      <c r="M207" s="24" t="n">
        <f aca="false">IF(AND($K207="Yes",$G207&lt;&gt;"Vendor day rates"),$J207-0.4*$I207,0)</f>
        <v>0</v>
      </c>
      <c r="N207" s="24" t="n">
        <f aca="false">IF(OR($K207&lt;&gt;"Yes",$L207=""),0,$M207*MAX(0,7-MATCH($L207,MonthList,0))/12)</f>
        <v>0</v>
      </c>
      <c r="O207" s="24" t="n">
        <f aca="false">IF(OR($K207&lt;&gt;"Yes",$L207=""),0,$M207*IF(MATCH($L207,MonthList,0)&lt;=7,12,19-MATCH($L207,MonthList,0))/12)</f>
        <v>0</v>
      </c>
      <c r="P207" s="21" t="s">
        <v>59</v>
      </c>
      <c r="Q207" s="21"/>
      <c r="R207" s="24" t="n">
        <f aca="false">IF(AND($P207="Yes",$G207&lt;&gt;"Vendor day rates"),$J207-0.4*$I207,0)</f>
        <v>0</v>
      </c>
      <c r="S207" s="24" t="n">
        <f aca="false">IF(OR($P207&lt;&gt;"Yes",$Q207=""),0,$R207*MAX(0,7-MATCH($Q207,MonthList,0))/12)</f>
        <v>0</v>
      </c>
      <c r="T207" s="24" t="n">
        <f aca="false">IF(OR($P207&lt;&gt;"Yes",$Q207=""),0,$R207*IF(MATCH($Q207,MonthList,0)&lt;=7,12,19-MATCH($Q207,MonthList,0))/12)</f>
        <v>0</v>
      </c>
      <c r="U207" s="21" t="s">
        <v>59</v>
      </c>
      <c r="V207" s="21"/>
      <c r="W207" s="24" t="n">
        <f aca="false">IF(AND($U207="Yes",$G207&lt;&gt;"Vendor day rates"),$J207-0.4*$I207,0)</f>
        <v>0</v>
      </c>
      <c r="X207" s="24" t="n">
        <f aca="false">IF(OR($U207&lt;&gt;"Yes",$V207=""),0,$W207*MAX(0,7-MATCH($V207,MonthList,0))/12)</f>
        <v>0</v>
      </c>
      <c r="Y207" s="24" t="n">
        <f aca="false">IF(OR($U207&lt;&gt;"Yes",$V207=""),0,$W207*IF(MATCH($V207,MonthList,0)&lt;=7,12,19-MATCH($V207,MonthList,0))/12)</f>
        <v>0</v>
      </c>
    </row>
    <row r="208" customFormat="false" ht="15" hidden="false" customHeight="true" outlineLevel="0" collapsed="false">
      <c r="B208" s="18" t="s">
        <v>460</v>
      </c>
      <c r="C208" s="18" t="s">
        <v>461</v>
      </c>
      <c r="D208" s="18" t="s">
        <v>30</v>
      </c>
      <c r="E208" s="18" t="s">
        <v>455</v>
      </c>
      <c r="F208" s="19" t="s">
        <v>57</v>
      </c>
      <c r="G208" s="19" t="s">
        <v>462</v>
      </c>
      <c r="H208" s="19" t="n">
        <v>1</v>
      </c>
      <c r="I208" s="20" t="n">
        <v>0.2317</v>
      </c>
      <c r="J208" s="20" t="n">
        <v>0.0927</v>
      </c>
      <c r="K208" s="21" t="s">
        <v>59</v>
      </c>
      <c r="L208" s="21"/>
      <c r="M208" s="20" t="n">
        <f aca="false">IF(AND($K208="Yes",$G208&lt;&gt;"Vendor day rates"),$J208-0.4*$I208,0)</f>
        <v>0</v>
      </c>
      <c r="N208" s="20" t="n">
        <f aca="false">IF(OR($K208&lt;&gt;"Yes",$L208=""),0,$M208*MAX(0,7-MATCH($L208,MonthList,0))/12)</f>
        <v>0</v>
      </c>
      <c r="O208" s="20" t="n">
        <f aca="false">IF(OR($K208&lt;&gt;"Yes",$L208=""),0,$M208*IF(MATCH($L208,MonthList,0)&lt;=7,12,19-MATCH($L208,MonthList,0))/12)</f>
        <v>0</v>
      </c>
      <c r="P208" s="21" t="s">
        <v>59</v>
      </c>
      <c r="Q208" s="21"/>
      <c r="R208" s="20" t="n">
        <f aca="false">IF(AND($P208="Yes",$G208&lt;&gt;"Vendor day rates"),$J208-0.4*$I208,0)</f>
        <v>0</v>
      </c>
      <c r="S208" s="20" t="n">
        <f aca="false">IF(OR($P208&lt;&gt;"Yes",$Q208=""),0,$R208*MAX(0,7-MATCH($Q208,MonthList,0))/12)</f>
        <v>0</v>
      </c>
      <c r="T208" s="20" t="n">
        <f aca="false">IF(OR($P208&lt;&gt;"Yes",$Q208=""),0,$R208*IF(MATCH($Q208,MonthList,0)&lt;=7,12,19-MATCH($Q208,MonthList,0))/12)</f>
        <v>0</v>
      </c>
      <c r="U208" s="21" t="s">
        <v>59</v>
      </c>
      <c r="V208" s="21"/>
      <c r="W208" s="20" t="n">
        <f aca="false">IF(AND($U208="Yes",$G208&lt;&gt;"Vendor day rates"),$J208-0.4*$I208,0)</f>
        <v>0</v>
      </c>
      <c r="X208" s="20" t="n">
        <f aca="false">IF(OR($U208&lt;&gt;"Yes",$V208=""),0,$W208*MAX(0,7-MATCH($V208,MonthList,0))/12)</f>
        <v>0</v>
      </c>
      <c r="Y208" s="20" t="n">
        <f aca="false">IF(OR($U208&lt;&gt;"Yes",$V208=""),0,$W208*IF(MATCH($V208,MonthList,0)&lt;=7,12,19-MATCH($V208,MonthList,0))/12)</f>
        <v>0</v>
      </c>
    </row>
    <row r="209" customFormat="false" ht="15" hidden="false" customHeight="true" outlineLevel="0" collapsed="false">
      <c r="B209" s="22" t="s">
        <v>463</v>
      </c>
      <c r="C209" s="22" t="s">
        <v>464</v>
      </c>
      <c r="D209" s="22" t="s">
        <v>21</v>
      </c>
      <c r="E209" s="22" t="s">
        <v>465</v>
      </c>
      <c r="F209" s="23" t="s">
        <v>57</v>
      </c>
      <c r="G209" s="23" t="s">
        <v>58</v>
      </c>
      <c r="H209" s="23" t="n">
        <v>1</v>
      </c>
      <c r="I209" s="24" t="n">
        <v>0.2417</v>
      </c>
      <c r="J209" s="24" t="n">
        <v>0.2417</v>
      </c>
      <c r="K209" s="21" t="s">
        <v>59</v>
      </c>
      <c r="L209" s="21"/>
      <c r="M209" s="24" t="n">
        <f aca="false">IF(AND($K209="Yes",$G209&lt;&gt;"Vendor day rates"),$J209-0.4*$I209,0)</f>
        <v>0</v>
      </c>
      <c r="N209" s="24" t="n">
        <f aca="false">IF(OR($K209&lt;&gt;"Yes",$L209=""),0,$M209*MAX(0,7-MATCH($L209,MonthList,0))/12)</f>
        <v>0</v>
      </c>
      <c r="O209" s="24" t="n">
        <f aca="false">IF(OR($K209&lt;&gt;"Yes",$L209=""),0,$M209*IF(MATCH($L209,MonthList,0)&lt;=7,12,19-MATCH($L209,MonthList,0))/12)</f>
        <v>0</v>
      </c>
      <c r="P209" s="21" t="s">
        <v>59</v>
      </c>
      <c r="Q209" s="21"/>
      <c r="R209" s="24" t="n">
        <f aca="false">IF(AND($P209="Yes",$G209&lt;&gt;"Vendor day rates"),$J209-0.4*$I209,0)</f>
        <v>0</v>
      </c>
      <c r="S209" s="24" t="n">
        <f aca="false">IF(OR($P209&lt;&gt;"Yes",$Q209=""),0,$R209*MAX(0,7-MATCH($Q209,MonthList,0))/12)</f>
        <v>0</v>
      </c>
      <c r="T209" s="24" t="n">
        <f aca="false">IF(OR($P209&lt;&gt;"Yes",$Q209=""),0,$R209*IF(MATCH($Q209,MonthList,0)&lt;=7,12,19-MATCH($Q209,MonthList,0))/12)</f>
        <v>0</v>
      </c>
      <c r="U209" s="21" t="s">
        <v>59</v>
      </c>
      <c r="V209" s="21"/>
      <c r="W209" s="24" t="n">
        <f aca="false">IF(AND($U209="Yes",$G209&lt;&gt;"Vendor day rates"),$J209-0.4*$I209,0)</f>
        <v>0</v>
      </c>
      <c r="X209" s="24" t="n">
        <f aca="false">IF(OR($U209&lt;&gt;"Yes",$V209=""),0,$W209*MAX(0,7-MATCH($V209,MonthList,0))/12)</f>
        <v>0</v>
      </c>
      <c r="Y209" s="24" t="n">
        <f aca="false">IF(OR($U209&lt;&gt;"Yes",$V209=""),0,$W209*IF(MATCH($V209,MonthList,0)&lt;=7,12,19-MATCH($V209,MonthList,0))/12)</f>
        <v>0</v>
      </c>
    </row>
    <row r="210" customFormat="false" ht="15" hidden="false" customHeight="true" outlineLevel="0" collapsed="false">
      <c r="B210" s="18" t="s">
        <v>466</v>
      </c>
      <c r="C210" s="18" t="s">
        <v>464</v>
      </c>
      <c r="D210" s="18" t="s">
        <v>24</v>
      </c>
      <c r="E210" s="18" t="s">
        <v>127</v>
      </c>
      <c r="F210" s="19" t="s">
        <v>57</v>
      </c>
      <c r="G210" s="19" t="s">
        <v>58</v>
      </c>
      <c r="H210" s="19" t="n">
        <v>1</v>
      </c>
      <c r="I210" s="20" t="n">
        <v>0.2399</v>
      </c>
      <c r="J210" s="20" t="n">
        <v>0.2399</v>
      </c>
      <c r="K210" s="21" t="s">
        <v>59</v>
      </c>
      <c r="L210" s="21"/>
      <c r="M210" s="20" t="n">
        <f aca="false">IF(AND($K210="Yes",$G210&lt;&gt;"Vendor day rates"),$J210-0.4*$I210,0)</f>
        <v>0</v>
      </c>
      <c r="N210" s="20" t="n">
        <f aca="false">IF(OR($K210&lt;&gt;"Yes",$L210=""),0,$M210*MAX(0,7-MATCH($L210,MonthList,0))/12)</f>
        <v>0</v>
      </c>
      <c r="O210" s="20" t="n">
        <f aca="false">IF(OR($K210&lt;&gt;"Yes",$L210=""),0,$M210*IF(MATCH($L210,MonthList,0)&lt;=7,12,19-MATCH($L210,MonthList,0))/12)</f>
        <v>0</v>
      </c>
      <c r="P210" s="21" t="s">
        <v>59</v>
      </c>
      <c r="Q210" s="21"/>
      <c r="R210" s="20" t="n">
        <f aca="false">IF(AND($P210="Yes",$G210&lt;&gt;"Vendor day rates"),$J210-0.4*$I210,0)</f>
        <v>0</v>
      </c>
      <c r="S210" s="20" t="n">
        <f aca="false">IF(OR($P210&lt;&gt;"Yes",$Q210=""),0,$R210*MAX(0,7-MATCH($Q210,MonthList,0))/12)</f>
        <v>0</v>
      </c>
      <c r="T210" s="20" t="n">
        <f aca="false">IF(OR($P210&lt;&gt;"Yes",$Q210=""),0,$R210*IF(MATCH($Q210,MonthList,0)&lt;=7,12,19-MATCH($Q210,MonthList,0))/12)</f>
        <v>0</v>
      </c>
      <c r="U210" s="21" t="s">
        <v>59</v>
      </c>
      <c r="V210" s="21"/>
      <c r="W210" s="20" t="n">
        <f aca="false">IF(AND($U210="Yes",$G210&lt;&gt;"Vendor day rates"),$J210-0.4*$I210,0)</f>
        <v>0</v>
      </c>
      <c r="X210" s="20" t="n">
        <f aca="false">IF(OR($U210&lt;&gt;"Yes",$V210=""),0,$W210*MAX(0,7-MATCH($V210,MonthList,0))/12)</f>
        <v>0</v>
      </c>
      <c r="Y210" s="20" t="n">
        <f aca="false">IF(OR($U210&lt;&gt;"Yes",$V210=""),0,$W210*IF(MATCH($V210,MonthList,0)&lt;=7,12,19-MATCH($V210,MonthList,0))/12)</f>
        <v>0</v>
      </c>
    </row>
    <row r="211" customFormat="false" ht="15" hidden="false" customHeight="true" outlineLevel="0" collapsed="false">
      <c r="B211" s="22" t="s">
        <v>467</v>
      </c>
      <c r="C211" s="22" t="s">
        <v>468</v>
      </c>
      <c r="D211" s="22" t="s">
        <v>24</v>
      </c>
      <c r="E211" s="22" t="s">
        <v>426</v>
      </c>
      <c r="F211" s="23" t="s">
        <v>109</v>
      </c>
      <c r="G211" s="23" t="s">
        <v>58</v>
      </c>
      <c r="H211" s="23" t="n">
        <v>1</v>
      </c>
      <c r="I211" s="24" t="n">
        <v>0.1981</v>
      </c>
      <c r="J211" s="24" t="n">
        <v>0.1981</v>
      </c>
      <c r="K211" s="21" t="s">
        <v>59</v>
      </c>
      <c r="L211" s="21"/>
      <c r="M211" s="24" t="n">
        <f aca="false">IF(AND($K211="Yes",$G211&lt;&gt;"Vendor day rates"),$J211-0.4*$I211,0)</f>
        <v>0</v>
      </c>
      <c r="N211" s="24" t="n">
        <f aca="false">IF(OR($K211&lt;&gt;"Yes",$L211=""),0,$M211*MAX(0,7-MATCH($L211,MonthList,0))/12)</f>
        <v>0</v>
      </c>
      <c r="O211" s="24" t="n">
        <f aca="false">IF(OR($K211&lt;&gt;"Yes",$L211=""),0,$M211*IF(MATCH($L211,MonthList,0)&lt;=7,12,19-MATCH($L211,MonthList,0))/12)</f>
        <v>0</v>
      </c>
      <c r="P211" s="21" t="s">
        <v>59</v>
      </c>
      <c r="Q211" s="21"/>
      <c r="R211" s="24" t="n">
        <f aca="false">IF(AND($P211="Yes",$G211&lt;&gt;"Vendor day rates"),$J211-0.4*$I211,0)</f>
        <v>0</v>
      </c>
      <c r="S211" s="24" t="n">
        <f aca="false">IF(OR($P211&lt;&gt;"Yes",$Q211=""),0,$R211*MAX(0,7-MATCH($Q211,MonthList,0))/12)</f>
        <v>0</v>
      </c>
      <c r="T211" s="24" t="n">
        <f aca="false">IF(OR($P211&lt;&gt;"Yes",$Q211=""),0,$R211*IF(MATCH($Q211,MonthList,0)&lt;=7,12,19-MATCH($Q211,MonthList,0))/12)</f>
        <v>0</v>
      </c>
      <c r="U211" s="21" t="s">
        <v>59</v>
      </c>
      <c r="V211" s="21"/>
      <c r="W211" s="24" t="n">
        <f aca="false">IF(AND($U211="Yes",$G211&lt;&gt;"Vendor day rates"),$J211-0.4*$I211,0)</f>
        <v>0</v>
      </c>
      <c r="X211" s="24" t="n">
        <f aca="false">IF(OR($U211&lt;&gt;"Yes",$V211=""),0,$W211*MAX(0,7-MATCH($V211,MonthList,0))/12)</f>
        <v>0</v>
      </c>
      <c r="Y211" s="24" t="n">
        <f aca="false">IF(OR($U211&lt;&gt;"Yes",$V211=""),0,$W211*IF(MATCH($V211,MonthList,0)&lt;=7,12,19-MATCH($V211,MonthList,0))/12)</f>
        <v>0</v>
      </c>
    </row>
    <row r="212" customFormat="false" ht="15" hidden="false" customHeight="true" outlineLevel="0" collapsed="false">
      <c r="B212" s="18" t="s">
        <v>469</v>
      </c>
      <c r="C212" s="18" t="s">
        <v>464</v>
      </c>
      <c r="D212" s="18" t="s">
        <v>24</v>
      </c>
      <c r="E212" s="18" t="s">
        <v>127</v>
      </c>
      <c r="F212" s="19" t="s">
        <v>57</v>
      </c>
      <c r="G212" s="19" t="s">
        <v>58</v>
      </c>
      <c r="H212" s="19" t="n">
        <v>1</v>
      </c>
      <c r="I212" s="20" t="n">
        <v>0.2141</v>
      </c>
      <c r="J212" s="20" t="n">
        <v>0.2141</v>
      </c>
      <c r="K212" s="21" t="s">
        <v>59</v>
      </c>
      <c r="L212" s="21"/>
      <c r="M212" s="20" t="n">
        <f aca="false">IF(AND($K212="Yes",$G212&lt;&gt;"Vendor day rates"),$J212-0.4*$I212,0)</f>
        <v>0</v>
      </c>
      <c r="N212" s="20" t="n">
        <f aca="false">IF(OR($K212&lt;&gt;"Yes",$L212=""),0,$M212*MAX(0,7-MATCH($L212,MonthList,0))/12)</f>
        <v>0</v>
      </c>
      <c r="O212" s="20" t="n">
        <f aca="false">IF(OR($K212&lt;&gt;"Yes",$L212=""),0,$M212*IF(MATCH($L212,MonthList,0)&lt;=7,12,19-MATCH($L212,MonthList,0))/12)</f>
        <v>0</v>
      </c>
      <c r="P212" s="21" t="s">
        <v>59</v>
      </c>
      <c r="Q212" s="21"/>
      <c r="R212" s="20" t="n">
        <f aca="false">IF(AND($P212="Yes",$G212&lt;&gt;"Vendor day rates"),$J212-0.4*$I212,0)</f>
        <v>0</v>
      </c>
      <c r="S212" s="20" t="n">
        <f aca="false">IF(OR($P212&lt;&gt;"Yes",$Q212=""),0,$R212*MAX(0,7-MATCH($Q212,MonthList,0))/12)</f>
        <v>0</v>
      </c>
      <c r="T212" s="20" t="n">
        <f aca="false">IF(OR($P212&lt;&gt;"Yes",$Q212=""),0,$R212*IF(MATCH($Q212,MonthList,0)&lt;=7,12,19-MATCH($Q212,MonthList,0))/12)</f>
        <v>0</v>
      </c>
      <c r="U212" s="21" t="s">
        <v>59</v>
      </c>
      <c r="V212" s="21"/>
      <c r="W212" s="20" t="n">
        <f aca="false">IF(AND($U212="Yes",$G212&lt;&gt;"Vendor day rates"),$J212-0.4*$I212,0)</f>
        <v>0</v>
      </c>
      <c r="X212" s="20" t="n">
        <f aca="false">IF(OR($U212&lt;&gt;"Yes",$V212=""),0,$W212*MAX(0,7-MATCH($V212,MonthList,0))/12)</f>
        <v>0</v>
      </c>
      <c r="Y212" s="20" t="n">
        <f aca="false">IF(OR($U212&lt;&gt;"Yes",$V212=""),0,$W212*IF(MATCH($V212,MonthList,0)&lt;=7,12,19-MATCH($V212,MonthList,0))/12)</f>
        <v>0</v>
      </c>
    </row>
    <row r="213" customFormat="false" ht="15" hidden="false" customHeight="true" outlineLevel="0" collapsed="false">
      <c r="B213" s="22" t="s">
        <v>470</v>
      </c>
      <c r="C213" s="22" t="s">
        <v>372</v>
      </c>
      <c r="D213" s="22" t="s">
        <v>24</v>
      </c>
      <c r="E213" s="22" t="s">
        <v>127</v>
      </c>
      <c r="F213" s="23" t="s">
        <v>57</v>
      </c>
      <c r="G213" s="23" t="s">
        <v>292</v>
      </c>
      <c r="H213" s="23" t="n">
        <v>1</v>
      </c>
      <c r="I213" s="24" t="n">
        <v>0.2317</v>
      </c>
      <c r="J213" s="24" t="n">
        <v>0</v>
      </c>
      <c r="K213" s="21" t="s">
        <v>59</v>
      </c>
      <c r="L213" s="21"/>
      <c r="M213" s="24" t="n">
        <f aca="false">IF(AND($K213="Yes",$G213&lt;&gt;"Vendor day rates"),$J213-0.4*$I213,0)</f>
        <v>0</v>
      </c>
      <c r="N213" s="24" t="n">
        <f aca="false">IF(OR($K213&lt;&gt;"Yes",$L213=""),0,$M213*MAX(0,7-MATCH($L213,MonthList,0))/12)</f>
        <v>0</v>
      </c>
      <c r="O213" s="24" t="n">
        <f aca="false">IF(OR($K213&lt;&gt;"Yes",$L213=""),0,$M213*IF(MATCH($L213,MonthList,0)&lt;=7,12,19-MATCH($L213,MonthList,0))/12)</f>
        <v>0</v>
      </c>
      <c r="P213" s="21" t="s">
        <v>59</v>
      </c>
      <c r="Q213" s="21"/>
      <c r="R213" s="24" t="n">
        <f aca="false">IF(AND($P213="Yes",$G213&lt;&gt;"Vendor day rates"),$J213-0.4*$I213,0)</f>
        <v>0</v>
      </c>
      <c r="S213" s="24" t="n">
        <f aca="false">IF(OR($P213&lt;&gt;"Yes",$Q213=""),0,$R213*MAX(0,7-MATCH($Q213,MonthList,0))/12)</f>
        <v>0</v>
      </c>
      <c r="T213" s="24" t="n">
        <f aca="false">IF(OR($P213&lt;&gt;"Yes",$Q213=""),0,$R213*IF(MATCH($Q213,MonthList,0)&lt;=7,12,19-MATCH($Q213,MonthList,0))/12)</f>
        <v>0</v>
      </c>
      <c r="U213" s="21" t="s">
        <v>59</v>
      </c>
      <c r="V213" s="21"/>
      <c r="W213" s="24" t="n">
        <f aca="false">IF(AND($U213="Yes",$G213&lt;&gt;"Vendor day rates"),$J213-0.4*$I213,0)</f>
        <v>0</v>
      </c>
      <c r="X213" s="24" t="n">
        <f aca="false">IF(OR($U213&lt;&gt;"Yes",$V213=""),0,$W213*MAX(0,7-MATCH($V213,MonthList,0))/12)</f>
        <v>0</v>
      </c>
      <c r="Y213" s="24" t="n">
        <f aca="false">IF(OR($U213&lt;&gt;"Yes",$V213=""),0,$W213*IF(MATCH($V213,MonthList,0)&lt;=7,12,19-MATCH($V213,MonthList,0))/12)</f>
        <v>0</v>
      </c>
    </row>
    <row r="214" customFormat="false" ht="15" hidden="false" customHeight="true" outlineLevel="0" collapsed="false">
      <c r="B214" s="18" t="s">
        <v>471</v>
      </c>
      <c r="C214" s="18" t="s">
        <v>472</v>
      </c>
      <c r="D214" s="18" t="s">
        <v>24</v>
      </c>
      <c r="E214" s="18" t="s">
        <v>127</v>
      </c>
      <c r="F214" s="19" t="s">
        <v>57</v>
      </c>
      <c r="G214" s="19" t="s">
        <v>145</v>
      </c>
      <c r="H214" s="19" t="n">
        <v>1</v>
      </c>
      <c r="I214" s="20" t="n">
        <v>0.2317</v>
      </c>
      <c r="J214" s="20" t="n">
        <v>0.2317</v>
      </c>
      <c r="K214" s="21" t="s">
        <v>59</v>
      </c>
      <c r="L214" s="21"/>
      <c r="M214" s="20" t="n">
        <f aca="false">IF(AND($K214="Yes",$G214&lt;&gt;"Vendor day rates"),$J214-0.4*$I214,0)</f>
        <v>0</v>
      </c>
      <c r="N214" s="20" t="n">
        <f aca="false">IF(OR($K214&lt;&gt;"Yes",$L214=""),0,$M214*MAX(0,7-MATCH($L214,MonthList,0))/12)</f>
        <v>0</v>
      </c>
      <c r="O214" s="20" t="n">
        <f aca="false">IF(OR($K214&lt;&gt;"Yes",$L214=""),0,$M214*IF(MATCH($L214,MonthList,0)&lt;=7,12,19-MATCH($L214,MonthList,0))/12)</f>
        <v>0</v>
      </c>
      <c r="P214" s="21" t="s">
        <v>59</v>
      </c>
      <c r="Q214" s="21"/>
      <c r="R214" s="20" t="n">
        <f aca="false">IF(AND($P214="Yes",$G214&lt;&gt;"Vendor day rates"),$J214-0.4*$I214,0)</f>
        <v>0</v>
      </c>
      <c r="S214" s="20" t="n">
        <f aca="false">IF(OR($P214&lt;&gt;"Yes",$Q214=""),0,$R214*MAX(0,7-MATCH($Q214,MonthList,0))/12)</f>
        <v>0</v>
      </c>
      <c r="T214" s="20" t="n">
        <f aca="false">IF(OR($P214&lt;&gt;"Yes",$Q214=""),0,$R214*IF(MATCH($Q214,MonthList,0)&lt;=7,12,19-MATCH($Q214,MonthList,0))/12)</f>
        <v>0</v>
      </c>
      <c r="U214" s="21" t="s">
        <v>59</v>
      </c>
      <c r="V214" s="21"/>
      <c r="W214" s="20" t="n">
        <f aca="false">IF(AND($U214="Yes",$G214&lt;&gt;"Vendor day rates"),$J214-0.4*$I214,0)</f>
        <v>0</v>
      </c>
      <c r="X214" s="20" t="n">
        <f aca="false">IF(OR($U214&lt;&gt;"Yes",$V214=""),0,$W214*MAX(0,7-MATCH($V214,MonthList,0))/12)</f>
        <v>0</v>
      </c>
      <c r="Y214" s="20" t="n">
        <f aca="false">IF(OR($U214&lt;&gt;"Yes",$V214=""),0,$W214*IF(MATCH($V214,MonthList,0)&lt;=7,12,19-MATCH($V214,MonthList,0))/12)</f>
        <v>0</v>
      </c>
    </row>
    <row r="215" customFormat="false" ht="15" hidden="false" customHeight="true" outlineLevel="0" collapsed="false">
      <c r="B215" s="22" t="s">
        <v>473</v>
      </c>
      <c r="C215" s="22" t="s">
        <v>474</v>
      </c>
      <c r="D215" s="22" t="s">
        <v>26</v>
      </c>
      <c r="E215" s="22" t="s">
        <v>244</v>
      </c>
      <c r="F215" s="23" t="s">
        <v>109</v>
      </c>
      <c r="G215" s="23" t="s">
        <v>58</v>
      </c>
      <c r="H215" s="23" t="n">
        <v>1</v>
      </c>
      <c r="I215" s="24" t="n">
        <v>0.2129</v>
      </c>
      <c r="J215" s="24" t="n">
        <v>0.2129</v>
      </c>
      <c r="K215" s="21" t="s">
        <v>59</v>
      </c>
      <c r="L215" s="21"/>
      <c r="M215" s="24" t="n">
        <f aca="false">IF(AND($K215="Yes",$G215&lt;&gt;"Vendor day rates"),$J215-0.4*$I215,0)</f>
        <v>0</v>
      </c>
      <c r="N215" s="24" t="n">
        <f aca="false">IF(OR($K215&lt;&gt;"Yes",$L215=""),0,$M215*MAX(0,7-MATCH($L215,MonthList,0))/12)</f>
        <v>0</v>
      </c>
      <c r="O215" s="24" t="n">
        <f aca="false">IF(OR($K215&lt;&gt;"Yes",$L215=""),0,$M215*IF(MATCH($L215,MonthList,0)&lt;=7,12,19-MATCH($L215,MonthList,0))/12)</f>
        <v>0</v>
      </c>
      <c r="P215" s="21" t="s">
        <v>59</v>
      </c>
      <c r="Q215" s="21"/>
      <c r="R215" s="24" t="n">
        <f aca="false">IF(AND($P215="Yes",$G215&lt;&gt;"Vendor day rates"),$J215-0.4*$I215,0)</f>
        <v>0</v>
      </c>
      <c r="S215" s="24" t="n">
        <f aca="false">IF(OR($P215&lt;&gt;"Yes",$Q215=""),0,$R215*MAX(0,7-MATCH($Q215,MonthList,0))/12)</f>
        <v>0</v>
      </c>
      <c r="T215" s="24" t="n">
        <f aca="false">IF(OR($P215&lt;&gt;"Yes",$Q215=""),0,$R215*IF(MATCH($Q215,MonthList,0)&lt;=7,12,19-MATCH($Q215,MonthList,0))/12)</f>
        <v>0</v>
      </c>
      <c r="U215" s="21" t="s">
        <v>59</v>
      </c>
      <c r="V215" s="21"/>
      <c r="W215" s="24" t="n">
        <f aca="false">IF(AND($U215="Yes",$G215&lt;&gt;"Vendor day rates"),$J215-0.4*$I215,0)</f>
        <v>0</v>
      </c>
      <c r="X215" s="24" t="n">
        <f aca="false">IF(OR($U215&lt;&gt;"Yes",$V215=""),0,$W215*MAX(0,7-MATCH($V215,MonthList,0))/12)</f>
        <v>0</v>
      </c>
      <c r="Y215" s="24" t="n">
        <f aca="false">IF(OR($U215&lt;&gt;"Yes",$V215=""),0,$W215*IF(MATCH($V215,MonthList,0)&lt;=7,12,19-MATCH($V215,MonthList,0))/12)</f>
        <v>0</v>
      </c>
    </row>
    <row r="216" customFormat="false" ht="15" hidden="false" customHeight="true" outlineLevel="0" collapsed="false">
      <c r="B216" s="18" t="s">
        <v>475</v>
      </c>
      <c r="C216" s="18" t="s">
        <v>476</v>
      </c>
      <c r="D216" s="18" t="s">
        <v>30</v>
      </c>
      <c r="E216" s="18" t="s">
        <v>477</v>
      </c>
      <c r="F216" s="19" t="s">
        <v>109</v>
      </c>
      <c r="G216" s="19" t="s">
        <v>58</v>
      </c>
      <c r="H216" s="19" t="n">
        <v>1</v>
      </c>
      <c r="I216" s="20" t="n">
        <v>0.195</v>
      </c>
      <c r="J216" s="20" t="n">
        <v>0.195</v>
      </c>
      <c r="K216" s="21" t="s">
        <v>59</v>
      </c>
      <c r="L216" s="21"/>
      <c r="M216" s="20" t="n">
        <f aca="false">IF(AND($K216="Yes",$G216&lt;&gt;"Vendor day rates"),$J216-0.4*$I216,0)</f>
        <v>0</v>
      </c>
      <c r="N216" s="20" t="n">
        <f aca="false">IF(OR($K216&lt;&gt;"Yes",$L216=""),0,$M216*MAX(0,7-MATCH($L216,MonthList,0))/12)</f>
        <v>0</v>
      </c>
      <c r="O216" s="20" t="n">
        <f aca="false">IF(OR($K216&lt;&gt;"Yes",$L216=""),0,$M216*IF(MATCH($L216,MonthList,0)&lt;=7,12,19-MATCH($L216,MonthList,0))/12)</f>
        <v>0</v>
      </c>
      <c r="P216" s="21" t="s">
        <v>59</v>
      </c>
      <c r="Q216" s="21"/>
      <c r="R216" s="20" t="n">
        <f aca="false">IF(AND($P216="Yes",$G216&lt;&gt;"Vendor day rates"),$J216-0.4*$I216,0)</f>
        <v>0</v>
      </c>
      <c r="S216" s="20" t="n">
        <f aca="false">IF(OR($P216&lt;&gt;"Yes",$Q216=""),0,$R216*MAX(0,7-MATCH($Q216,MonthList,0))/12)</f>
        <v>0</v>
      </c>
      <c r="T216" s="20" t="n">
        <f aca="false">IF(OR($P216&lt;&gt;"Yes",$Q216=""),0,$R216*IF(MATCH($Q216,MonthList,0)&lt;=7,12,19-MATCH($Q216,MonthList,0))/12)</f>
        <v>0</v>
      </c>
      <c r="U216" s="21" t="s">
        <v>59</v>
      </c>
      <c r="V216" s="21"/>
      <c r="W216" s="20" t="n">
        <f aca="false">IF(AND($U216="Yes",$G216&lt;&gt;"Vendor day rates"),$J216-0.4*$I216,0)</f>
        <v>0</v>
      </c>
      <c r="X216" s="20" t="n">
        <f aca="false">IF(OR($U216&lt;&gt;"Yes",$V216=""),0,$W216*MAX(0,7-MATCH($V216,MonthList,0))/12)</f>
        <v>0</v>
      </c>
      <c r="Y216" s="20" t="n">
        <f aca="false">IF(OR($U216&lt;&gt;"Yes",$V216=""),0,$W216*IF(MATCH($V216,MonthList,0)&lt;=7,12,19-MATCH($V216,MonthList,0))/12)</f>
        <v>0</v>
      </c>
    </row>
    <row r="217" customFormat="false" ht="15" hidden="false" customHeight="true" outlineLevel="0" collapsed="false">
      <c r="B217" s="22" t="s">
        <v>478</v>
      </c>
      <c r="C217" s="22" t="s">
        <v>476</v>
      </c>
      <c r="D217" s="22" t="s">
        <v>30</v>
      </c>
      <c r="E217" s="22" t="s">
        <v>477</v>
      </c>
      <c r="F217" s="23" t="s">
        <v>57</v>
      </c>
      <c r="G217" s="23" t="s">
        <v>58</v>
      </c>
      <c r="H217" s="23" t="n">
        <v>1</v>
      </c>
      <c r="I217" s="24" t="n">
        <v>0.2553</v>
      </c>
      <c r="J217" s="24" t="n">
        <v>0.2553</v>
      </c>
      <c r="K217" s="21" t="s">
        <v>59</v>
      </c>
      <c r="L217" s="21"/>
      <c r="M217" s="24" t="n">
        <f aca="false">IF(AND($K217="Yes",$G217&lt;&gt;"Vendor day rates"),$J217-0.4*$I217,0)</f>
        <v>0</v>
      </c>
      <c r="N217" s="24" t="n">
        <f aca="false">IF(OR($K217&lt;&gt;"Yes",$L217=""),0,$M217*MAX(0,7-MATCH($L217,MonthList,0))/12)</f>
        <v>0</v>
      </c>
      <c r="O217" s="24" t="n">
        <f aca="false">IF(OR($K217&lt;&gt;"Yes",$L217=""),0,$M217*IF(MATCH($L217,MonthList,0)&lt;=7,12,19-MATCH($L217,MonthList,0))/12)</f>
        <v>0</v>
      </c>
      <c r="P217" s="21" t="s">
        <v>59</v>
      </c>
      <c r="Q217" s="21"/>
      <c r="R217" s="24" t="n">
        <f aca="false">IF(AND($P217="Yes",$G217&lt;&gt;"Vendor day rates"),$J217-0.4*$I217,0)</f>
        <v>0</v>
      </c>
      <c r="S217" s="24" t="n">
        <f aca="false">IF(OR($P217&lt;&gt;"Yes",$Q217=""),0,$R217*MAX(0,7-MATCH($Q217,MonthList,0))/12)</f>
        <v>0</v>
      </c>
      <c r="T217" s="24" t="n">
        <f aca="false">IF(OR($P217&lt;&gt;"Yes",$Q217=""),0,$R217*IF(MATCH($Q217,MonthList,0)&lt;=7,12,19-MATCH($Q217,MonthList,0))/12)</f>
        <v>0</v>
      </c>
      <c r="U217" s="21" t="s">
        <v>59</v>
      </c>
      <c r="V217" s="21"/>
      <c r="W217" s="24" t="n">
        <f aca="false">IF(AND($U217="Yes",$G217&lt;&gt;"Vendor day rates"),$J217-0.4*$I217,0)</f>
        <v>0</v>
      </c>
      <c r="X217" s="24" t="n">
        <f aca="false">IF(OR($U217&lt;&gt;"Yes",$V217=""),0,$W217*MAX(0,7-MATCH($V217,MonthList,0))/12)</f>
        <v>0</v>
      </c>
      <c r="Y217" s="24" t="n">
        <f aca="false">IF(OR($U217&lt;&gt;"Yes",$V217=""),0,$W217*IF(MATCH($V217,MonthList,0)&lt;=7,12,19-MATCH($V217,MonthList,0))/12)</f>
        <v>0</v>
      </c>
    </row>
    <row r="218" customFormat="false" ht="15" hidden="false" customHeight="true" outlineLevel="0" collapsed="false">
      <c r="B218" s="18" t="s">
        <v>479</v>
      </c>
      <c r="C218" s="18" t="s">
        <v>476</v>
      </c>
      <c r="D218" s="18" t="s">
        <v>30</v>
      </c>
      <c r="E218" s="18" t="s">
        <v>477</v>
      </c>
      <c r="F218" s="19" t="s">
        <v>57</v>
      </c>
      <c r="G218" s="19" t="s">
        <v>58</v>
      </c>
      <c r="H218" s="19" t="n">
        <v>1</v>
      </c>
      <c r="I218" s="20" t="n">
        <v>0.2545</v>
      </c>
      <c r="J218" s="20" t="n">
        <v>0.2545</v>
      </c>
      <c r="K218" s="21" t="s">
        <v>59</v>
      </c>
      <c r="L218" s="21"/>
      <c r="M218" s="20" t="n">
        <f aca="false">IF(AND($K218="Yes",$G218&lt;&gt;"Vendor day rates"),$J218-0.4*$I218,0)</f>
        <v>0</v>
      </c>
      <c r="N218" s="20" t="n">
        <f aca="false">IF(OR($K218&lt;&gt;"Yes",$L218=""),0,$M218*MAX(0,7-MATCH($L218,MonthList,0))/12)</f>
        <v>0</v>
      </c>
      <c r="O218" s="20" t="n">
        <f aca="false">IF(OR($K218&lt;&gt;"Yes",$L218=""),0,$M218*IF(MATCH($L218,MonthList,0)&lt;=7,12,19-MATCH($L218,MonthList,0))/12)</f>
        <v>0</v>
      </c>
      <c r="P218" s="21" t="s">
        <v>59</v>
      </c>
      <c r="Q218" s="21"/>
      <c r="R218" s="20" t="n">
        <f aca="false">IF(AND($P218="Yes",$G218&lt;&gt;"Vendor day rates"),$J218-0.4*$I218,0)</f>
        <v>0</v>
      </c>
      <c r="S218" s="20" t="n">
        <f aca="false">IF(OR($P218&lt;&gt;"Yes",$Q218=""),0,$R218*MAX(0,7-MATCH($Q218,MonthList,0))/12)</f>
        <v>0</v>
      </c>
      <c r="T218" s="20" t="n">
        <f aca="false">IF(OR($P218&lt;&gt;"Yes",$Q218=""),0,$R218*IF(MATCH($Q218,MonthList,0)&lt;=7,12,19-MATCH($Q218,MonthList,0))/12)</f>
        <v>0</v>
      </c>
      <c r="U218" s="21" t="s">
        <v>59</v>
      </c>
      <c r="V218" s="21"/>
      <c r="W218" s="20" t="n">
        <f aca="false">IF(AND($U218="Yes",$G218&lt;&gt;"Vendor day rates"),$J218-0.4*$I218,0)</f>
        <v>0</v>
      </c>
      <c r="X218" s="20" t="n">
        <f aca="false">IF(OR($U218&lt;&gt;"Yes",$V218=""),0,$W218*MAX(0,7-MATCH($V218,MonthList,0))/12)</f>
        <v>0</v>
      </c>
      <c r="Y218" s="20" t="n">
        <f aca="false">IF(OR($U218&lt;&gt;"Yes",$V218=""),0,$W218*IF(MATCH($V218,MonthList,0)&lt;=7,12,19-MATCH($V218,MonthList,0))/12)</f>
        <v>0</v>
      </c>
    </row>
    <row r="219" customFormat="false" ht="15" hidden="false" customHeight="true" outlineLevel="0" collapsed="false">
      <c r="B219" s="22" t="s">
        <v>480</v>
      </c>
      <c r="C219" s="22" t="s">
        <v>481</v>
      </c>
      <c r="D219" s="22" t="s">
        <v>26</v>
      </c>
      <c r="E219" s="22" t="s">
        <v>191</v>
      </c>
      <c r="F219" s="23" t="s">
        <v>57</v>
      </c>
      <c r="G219" s="23" t="s">
        <v>145</v>
      </c>
      <c r="H219" s="23" t="n">
        <v>1</v>
      </c>
      <c r="I219" s="24" t="n">
        <v>0.2317</v>
      </c>
      <c r="J219" s="24" t="n">
        <v>0.2317</v>
      </c>
      <c r="K219" s="21" t="s">
        <v>59</v>
      </c>
      <c r="L219" s="21"/>
      <c r="M219" s="24" t="n">
        <f aca="false">IF(AND($K219="Yes",$G219&lt;&gt;"Vendor day rates"),$J219-0.4*$I219,0)</f>
        <v>0</v>
      </c>
      <c r="N219" s="24" t="n">
        <f aca="false">IF(OR($K219&lt;&gt;"Yes",$L219=""),0,$M219*MAX(0,7-MATCH($L219,MonthList,0))/12)</f>
        <v>0</v>
      </c>
      <c r="O219" s="24" t="n">
        <f aca="false">IF(OR($K219&lt;&gt;"Yes",$L219=""),0,$M219*IF(MATCH($L219,MonthList,0)&lt;=7,12,19-MATCH($L219,MonthList,0))/12)</f>
        <v>0</v>
      </c>
      <c r="P219" s="21" t="s">
        <v>59</v>
      </c>
      <c r="Q219" s="21"/>
      <c r="R219" s="24" t="n">
        <f aca="false">IF(AND($P219="Yes",$G219&lt;&gt;"Vendor day rates"),$J219-0.4*$I219,0)</f>
        <v>0</v>
      </c>
      <c r="S219" s="24" t="n">
        <f aca="false">IF(OR($P219&lt;&gt;"Yes",$Q219=""),0,$R219*MAX(0,7-MATCH($Q219,MonthList,0))/12)</f>
        <v>0</v>
      </c>
      <c r="T219" s="24" t="n">
        <f aca="false">IF(OR($P219&lt;&gt;"Yes",$Q219=""),0,$R219*IF(MATCH($Q219,MonthList,0)&lt;=7,12,19-MATCH($Q219,MonthList,0))/12)</f>
        <v>0</v>
      </c>
      <c r="U219" s="21" t="s">
        <v>59</v>
      </c>
      <c r="V219" s="21"/>
      <c r="W219" s="24" t="n">
        <f aca="false">IF(AND($U219="Yes",$G219&lt;&gt;"Vendor day rates"),$J219-0.4*$I219,0)</f>
        <v>0</v>
      </c>
      <c r="X219" s="24" t="n">
        <f aca="false">IF(OR($U219&lt;&gt;"Yes",$V219=""),0,$W219*MAX(0,7-MATCH($V219,MonthList,0))/12)</f>
        <v>0</v>
      </c>
      <c r="Y219" s="24" t="n">
        <f aca="false">IF(OR($U219&lt;&gt;"Yes",$V219=""),0,$W219*IF(MATCH($V219,MonthList,0)&lt;=7,12,19-MATCH($V219,MonthList,0))/12)</f>
        <v>0</v>
      </c>
    </row>
    <row r="220" customFormat="false" ht="15" hidden="false" customHeight="true" outlineLevel="0" collapsed="false">
      <c r="B220" s="18" t="s">
        <v>482</v>
      </c>
      <c r="C220" s="18" t="s">
        <v>55</v>
      </c>
      <c r="D220" s="18" t="s">
        <v>19</v>
      </c>
      <c r="E220" s="18" t="s">
        <v>390</v>
      </c>
      <c r="F220" s="19" t="s">
        <v>109</v>
      </c>
      <c r="G220" s="19" t="s">
        <v>58</v>
      </c>
      <c r="H220" s="19" t="n">
        <v>1</v>
      </c>
      <c r="I220" s="20" t="n">
        <v>0.1883</v>
      </c>
      <c r="J220" s="20" t="n">
        <v>0.1883</v>
      </c>
      <c r="K220" s="21" t="s">
        <v>59</v>
      </c>
      <c r="L220" s="21"/>
      <c r="M220" s="20" t="n">
        <f aca="false">IF(AND($K220="Yes",$G220&lt;&gt;"Vendor day rates"),$J220-0.4*$I220,0)</f>
        <v>0</v>
      </c>
      <c r="N220" s="20" t="n">
        <f aca="false">IF(OR($K220&lt;&gt;"Yes",$L220=""),0,$M220*MAX(0,7-MATCH($L220,MonthList,0))/12)</f>
        <v>0</v>
      </c>
      <c r="O220" s="20" t="n">
        <f aca="false">IF(OR($K220&lt;&gt;"Yes",$L220=""),0,$M220*IF(MATCH($L220,MonthList,0)&lt;=7,12,19-MATCH($L220,MonthList,0))/12)</f>
        <v>0</v>
      </c>
      <c r="P220" s="21" t="s">
        <v>59</v>
      </c>
      <c r="Q220" s="21"/>
      <c r="R220" s="20" t="n">
        <f aca="false">IF(AND($P220="Yes",$G220&lt;&gt;"Vendor day rates"),$J220-0.4*$I220,0)</f>
        <v>0</v>
      </c>
      <c r="S220" s="20" t="n">
        <f aca="false">IF(OR($P220&lt;&gt;"Yes",$Q220=""),0,$R220*MAX(0,7-MATCH($Q220,MonthList,0))/12)</f>
        <v>0</v>
      </c>
      <c r="T220" s="20" t="n">
        <f aca="false">IF(OR($P220&lt;&gt;"Yes",$Q220=""),0,$R220*IF(MATCH($Q220,MonthList,0)&lt;=7,12,19-MATCH($Q220,MonthList,0))/12)</f>
        <v>0</v>
      </c>
      <c r="U220" s="21" t="s">
        <v>59</v>
      </c>
      <c r="V220" s="21"/>
      <c r="W220" s="20" t="n">
        <f aca="false">IF(AND($U220="Yes",$G220&lt;&gt;"Vendor day rates"),$J220-0.4*$I220,0)</f>
        <v>0</v>
      </c>
      <c r="X220" s="20" t="n">
        <f aca="false">IF(OR($U220&lt;&gt;"Yes",$V220=""),0,$W220*MAX(0,7-MATCH($V220,MonthList,0))/12)</f>
        <v>0</v>
      </c>
      <c r="Y220" s="20" t="n">
        <f aca="false">IF(OR($U220&lt;&gt;"Yes",$V220=""),0,$W220*IF(MATCH($V220,MonthList,0)&lt;=7,12,19-MATCH($V220,MonthList,0))/12)</f>
        <v>0</v>
      </c>
    </row>
    <row r="221" customFormat="false" ht="15" hidden="false" customHeight="true" outlineLevel="0" collapsed="false">
      <c r="B221" s="22" t="s">
        <v>483</v>
      </c>
      <c r="C221" s="22" t="s">
        <v>484</v>
      </c>
      <c r="D221" s="22" t="s">
        <v>30</v>
      </c>
      <c r="E221" s="22" t="s">
        <v>477</v>
      </c>
      <c r="F221" s="23" t="s">
        <v>57</v>
      </c>
      <c r="G221" s="23" t="s">
        <v>58</v>
      </c>
      <c r="H221" s="23" t="n">
        <v>1</v>
      </c>
      <c r="I221" s="24" t="n">
        <v>0.2492</v>
      </c>
      <c r="J221" s="24" t="n">
        <v>0.2492</v>
      </c>
      <c r="K221" s="21" t="s">
        <v>59</v>
      </c>
      <c r="L221" s="21"/>
      <c r="M221" s="24" t="n">
        <f aca="false">IF(AND($K221="Yes",$G221&lt;&gt;"Vendor day rates"),$J221-0.4*$I221,0)</f>
        <v>0</v>
      </c>
      <c r="N221" s="24" t="n">
        <f aca="false">IF(OR($K221&lt;&gt;"Yes",$L221=""),0,$M221*MAX(0,7-MATCH($L221,MonthList,0))/12)</f>
        <v>0</v>
      </c>
      <c r="O221" s="24" t="n">
        <f aca="false">IF(OR($K221&lt;&gt;"Yes",$L221=""),0,$M221*IF(MATCH($L221,MonthList,0)&lt;=7,12,19-MATCH($L221,MonthList,0))/12)</f>
        <v>0</v>
      </c>
      <c r="P221" s="21" t="s">
        <v>59</v>
      </c>
      <c r="Q221" s="21"/>
      <c r="R221" s="24" t="n">
        <f aca="false">IF(AND($P221="Yes",$G221&lt;&gt;"Vendor day rates"),$J221-0.4*$I221,0)</f>
        <v>0</v>
      </c>
      <c r="S221" s="24" t="n">
        <f aca="false">IF(OR($P221&lt;&gt;"Yes",$Q221=""),0,$R221*MAX(0,7-MATCH($Q221,MonthList,0))/12)</f>
        <v>0</v>
      </c>
      <c r="T221" s="24" t="n">
        <f aca="false">IF(OR($P221&lt;&gt;"Yes",$Q221=""),0,$R221*IF(MATCH($Q221,MonthList,0)&lt;=7,12,19-MATCH($Q221,MonthList,0))/12)</f>
        <v>0</v>
      </c>
      <c r="U221" s="21" t="s">
        <v>59</v>
      </c>
      <c r="V221" s="21"/>
      <c r="W221" s="24" t="n">
        <f aca="false">IF(AND($U221="Yes",$G221&lt;&gt;"Vendor day rates"),$J221-0.4*$I221,0)</f>
        <v>0</v>
      </c>
      <c r="X221" s="24" t="n">
        <f aca="false">IF(OR($U221&lt;&gt;"Yes",$V221=""),0,$W221*MAX(0,7-MATCH($V221,MonthList,0))/12)</f>
        <v>0</v>
      </c>
      <c r="Y221" s="24" t="n">
        <f aca="false">IF(OR($U221&lt;&gt;"Yes",$V221=""),0,$W221*IF(MATCH($V221,MonthList,0)&lt;=7,12,19-MATCH($V221,MonthList,0))/12)</f>
        <v>0</v>
      </c>
    </row>
    <row r="222" customFormat="false" ht="15" hidden="false" customHeight="true" outlineLevel="0" collapsed="false">
      <c r="B222" s="18" t="s">
        <v>485</v>
      </c>
      <c r="C222" s="18" t="s">
        <v>55</v>
      </c>
      <c r="D222" s="18" t="s">
        <v>19</v>
      </c>
      <c r="E222" s="18" t="s">
        <v>374</v>
      </c>
      <c r="F222" s="19" t="s">
        <v>57</v>
      </c>
      <c r="G222" s="19" t="s">
        <v>58</v>
      </c>
      <c r="H222" s="19" t="n">
        <v>1</v>
      </c>
      <c r="I222" s="20" t="n">
        <v>0.2666</v>
      </c>
      <c r="J222" s="20" t="n">
        <v>0.2666</v>
      </c>
      <c r="K222" s="21" t="s">
        <v>59</v>
      </c>
      <c r="L222" s="21"/>
      <c r="M222" s="20" t="n">
        <f aca="false">IF(AND($K222="Yes",$G222&lt;&gt;"Vendor day rates"),$J222-0.4*$I222,0)</f>
        <v>0</v>
      </c>
      <c r="N222" s="20" t="n">
        <f aca="false">IF(OR($K222&lt;&gt;"Yes",$L222=""),0,$M222*MAX(0,7-MATCH($L222,MonthList,0))/12)</f>
        <v>0</v>
      </c>
      <c r="O222" s="20" t="n">
        <f aca="false">IF(OR($K222&lt;&gt;"Yes",$L222=""),0,$M222*IF(MATCH($L222,MonthList,0)&lt;=7,12,19-MATCH($L222,MonthList,0))/12)</f>
        <v>0</v>
      </c>
      <c r="P222" s="21" t="s">
        <v>59</v>
      </c>
      <c r="Q222" s="21"/>
      <c r="R222" s="20" t="n">
        <f aca="false">IF(AND($P222="Yes",$G222&lt;&gt;"Vendor day rates"),$J222-0.4*$I222,0)</f>
        <v>0</v>
      </c>
      <c r="S222" s="20" t="n">
        <f aca="false">IF(OR($P222&lt;&gt;"Yes",$Q222=""),0,$R222*MAX(0,7-MATCH($Q222,MonthList,0))/12)</f>
        <v>0</v>
      </c>
      <c r="T222" s="20" t="n">
        <f aca="false">IF(OR($P222&lt;&gt;"Yes",$Q222=""),0,$R222*IF(MATCH($Q222,MonthList,0)&lt;=7,12,19-MATCH($Q222,MonthList,0))/12)</f>
        <v>0</v>
      </c>
      <c r="U222" s="21" t="s">
        <v>59</v>
      </c>
      <c r="V222" s="21"/>
      <c r="W222" s="20" t="n">
        <f aca="false">IF(AND($U222="Yes",$G222&lt;&gt;"Vendor day rates"),$J222-0.4*$I222,0)</f>
        <v>0</v>
      </c>
      <c r="X222" s="20" t="n">
        <f aca="false">IF(OR($U222&lt;&gt;"Yes",$V222=""),0,$W222*MAX(0,7-MATCH($V222,MonthList,0))/12)</f>
        <v>0</v>
      </c>
      <c r="Y222" s="20" t="n">
        <f aca="false">IF(OR($U222&lt;&gt;"Yes",$V222=""),0,$W222*IF(MATCH($V222,MonthList,0)&lt;=7,12,19-MATCH($V222,MonthList,0))/12)</f>
        <v>0</v>
      </c>
    </row>
    <row r="223" customFormat="false" ht="15" hidden="false" customHeight="true" outlineLevel="0" collapsed="false">
      <c r="B223" s="22" t="s">
        <v>486</v>
      </c>
      <c r="C223" s="22" t="s">
        <v>487</v>
      </c>
      <c r="D223" s="22" t="s">
        <v>30</v>
      </c>
      <c r="E223" s="22" t="s">
        <v>433</v>
      </c>
      <c r="F223" s="23" t="s">
        <v>109</v>
      </c>
      <c r="G223" s="23" t="s">
        <v>58</v>
      </c>
      <c r="H223" s="23" t="n">
        <v>1</v>
      </c>
      <c r="I223" s="24" t="n">
        <v>0.2023</v>
      </c>
      <c r="J223" s="24" t="n">
        <v>0.2023</v>
      </c>
      <c r="K223" s="21" t="s">
        <v>59</v>
      </c>
      <c r="L223" s="21"/>
      <c r="M223" s="24" t="n">
        <f aca="false">IF(AND($K223="Yes",$G223&lt;&gt;"Vendor day rates"),$J223-0.4*$I223,0)</f>
        <v>0</v>
      </c>
      <c r="N223" s="24" t="n">
        <f aca="false">IF(OR($K223&lt;&gt;"Yes",$L223=""),0,$M223*MAX(0,7-MATCH($L223,MonthList,0))/12)</f>
        <v>0</v>
      </c>
      <c r="O223" s="24" t="n">
        <f aca="false">IF(OR($K223&lt;&gt;"Yes",$L223=""),0,$M223*IF(MATCH($L223,MonthList,0)&lt;=7,12,19-MATCH($L223,MonthList,0))/12)</f>
        <v>0</v>
      </c>
      <c r="P223" s="21" t="s">
        <v>59</v>
      </c>
      <c r="Q223" s="21"/>
      <c r="R223" s="24" t="n">
        <f aca="false">IF(AND($P223="Yes",$G223&lt;&gt;"Vendor day rates"),$J223-0.4*$I223,0)</f>
        <v>0</v>
      </c>
      <c r="S223" s="24" t="n">
        <f aca="false">IF(OR($P223&lt;&gt;"Yes",$Q223=""),0,$R223*MAX(0,7-MATCH($Q223,MonthList,0))/12)</f>
        <v>0</v>
      </c>
      <c r="T223" s="24" t="n">
        <f aca="false">IF(OR($P223&lt;&gt;"Yes",$Q223=""),0,$R223*IF(MATCH($Q223,MonthList,0)&lt;=7,12,19-MATCH($Q223,MonthList,0))/12)</f>
        <v>0</v>
      </c>
      <c r="U223" s="21" t="s">
        <v>59</v>
      </c>
      <c r="V223" s="21"/>
      <c r="W223" s="24" t="n">
        <f aca="false">IF(AND($U223="Yes",$G223&lt;&gt;"Vendor day rates"),$J223-0.4*$I223,0)</f>
        <v>0</v>
      </c>
      <c r="X223" s="24" t="n">
        <f aca="false">IF(OR($U223&lt;&gt;"Yes",$V223=""),0,$W223*MAX(0,7-MATCH($V223,MonthList,0))/12)</f>
        <v>0</v>
      </c>
      <c r="Y223" s="24" t="n">
        <f aca="false">IF(OR($U223&lt;&gt;"Yes",$V223=""),0,$W223*IF(MATCH($V223,MonthList,0)&lt;=7,12,19-MATCH($V223,MonthList,0))/12)</f>
        <v>0</v>
      </c>
    </row>
    <row r="224" customFormat="false" ht="15" hidden="false" customHeight="true" outlineLevel="0" collapsed="false">
      <c r="B224" s="18" t="s">
        <v>488</v>
      </c>
      <c r="C224" s="18" t="s">
        <v>55</v>
      </c>
      <c r="D224" s="18" t="s">
        <v>20</v>
      </c>
      <c r="E224" s="18" t="s">
        <v>275</v>
      </c>
      <c r="F224" s="19" t="s">
        <v>57</v>
      </c>
      <c r="G224" s="19" t="s">
        <v>58</v>
      </c>
      <c r="H224" s="19" t="n">
        <v>1</v>
      </c>
      <c r="I224" s="20" t="n">
        <v>0.254</v>
      </c>
      <c r="J224" s="20" t="n">
        <v>0.254</v>
      </c>
      <c r="K224" s="21" t="s">
        <v>59</v>
      </c>
      <c r="L224" s="21"/>
      <c r="M224" s="20" t="n">
        <f aca="false">IF(AND($K224="Yes",$G224&lt;&gt;"Vendor day rates"),$J224-0.4*$I224,0)</f>
        <v>0</v>
      </c>
      <c r="N224" s="20" t="n">
        <f aca="false">IF(OR($K224&lt;&gt;"Yes",$L224=""),0,$M224*MAX(0,7-MATCH($L224,MonthList,0))/12)</f>
        <v>0</v>
      </c>
      <c r="O224" s="20" t="n">
        <f aca="false">IF(OR($K224&lt;&gt;"Yes",$L224=""),0,$M224*IF(MATCH($L224,MonthList,0)&lt;=7,12,19-MATCH($L224,MonthList,0))/12)</f>
        <v>0</v>
      </c>
      <c r="P224" s="21" t="s">
        <v>59</v>
      </c>
      <c r="Q224" s="21"/>
      <c r="R224" s="20" t="n">
        <f aca="false">IF(AND($P224="Yes",$G224&lt;&gt;"Vendor day rates"),$J224-0.4*$I224,0)</f>
        <v>0</v>
      </c>
      <c r="S224" s="20" t="n">
        <f aca="false">IF(OR($P224&lt;&gt;"Yes",$Q224=""),0,$R224*MAX(0,7-MATCH($Q224,MonthList,0))/12)</f>
        <v>0</v>
      </c>
      <c r="T224" s="20" t="n">
        <f aca="false">IF(OR($P224&lt;&gt;"Yes",$Q224=""),0,$R224*IF(MATCH($Q224,MonthList,0)&lt;=7,12,19-MATCH($Q224,MonthList,0))/12)</f>
        <v>0</v>
      </c>
      <c r="U224" s="21" t="s">
        <v>59</v>
      </c>
      <c r="V224" s="21"/>
      <c r="W224" s="20" t="n">
        <f aca="false">IF(AND($U224="Yes",$G224&lt;&gt;"Vendor day rates"),$J224-0.4*$I224,0)</f>
        <v>0</v>
      </c>
      <c r="X224" s="20" t="n">
        <f aca="false">IF(OR($U224&lt;&gt;"Yes",$V224=""),0,$W224*MAX(0,7-MATCH($V224,MonthList,0))/12)</f>
        <v>0</v>
      </c>
      <c r="Y224" s="20" t="n">
        <f aca="false">IF(OR($U224&lt;&gt;"Yes",$V224=""),0,$W224*IF(MATCH($V224,MonthList,0)&lt;=7,12,19-MATCH($V224,MonthList,0))/12)</f>
        <v>0</v>
      </c>
    </row>
    <row r="225" customFormat="false" ht="15" hidden="false" customHeight="true" outlineLevel="0" collapsed="false">
      <c r="B225" s="22" t="s">
        <v>489</v>
      </c>
      <c r="C225" s="22" t="s">
        <v>490</v>
      </c>
      <c r="D225" s="22" t="s">
        <v>20</v>
      </c>
      <c r="E225" s="22" t="s">
        <v>275</v>
      </c>
      <c r="F225" s="23" t="s">
        <v>57</v>
      </c>
      <c r="G225" s="23" t="s">
        <v>58</v>
      </c>
      <c r="H225" s="23" t="n">
        <v>1</v>
      </c>
      <c r="I225" s="24" t="n">
        <v>0.3667</v>
      </c>
      <c r="J225" s="24" t="n">
        <v>0.3667</v>
      </c>
      <c r="K225" s="21" t="s">
        <v>59</v>
      </c>
      <c r="L225" s="21"/>
      <c r="M225" s="24" t="n">
        <f aca="false">IF(AND($K225="Yes",$G225&lt;&gt;"Vendor day rates"),$J225-0.4*$I225,0)</f>
        <v>0</v>
      </c>
      <c r="N225" s="24" t="n">
        <f aca="false">IF(OR($K225&lt;&gt;"Yes",$L225=""),0,$M225*MAX(0,7-MATCH($L225,MonthList,0))/12)</f>
        <v>0</v>
      </c>
      <c r="O225" s="24" t="n">
        <f aca="false">IF(OR($K225&lt;&gt;"Yes",$L225=""),0,$M225*IF(MATCH($L225,MonthList,0)&lt;=7,12,19-MATCH($L225,MonthList,0))/12)</f>
        <v>0</v>
      </c>
      <c r="P225" s="21" t="s">
        <v>59</v>
      </c>
      <c r="Q225" s="21"/>
      <c r="R225" s="24" t="n">
        <f aca="false">IF(AND($P225="Yes",$G225&lt;&gt;"Vendor day rates"),$J225-0.4*$I225,0)</f>
        <v>0</v>
      </c>
      <c r="S225" s="24" t="n">
        <f aca="false">IF(OR($P225&lt;&gt;"Yes",$Q225=""),0,$R225*MAX(0,7-MATCH($Q225,MonthList,0))/12)</f>
        <v>0</v>
      </c>
      <c r="T225" s="24" t="n">
        <f aca="false">IF(OR($P225&lt;&gt;"Yes",$Q225=""),0,$R225*IF(MATCH($Q225,MonthList,0)&lt;=7,12,19-MATCH($Q225,MonthList,0))/12)</f>
        <v>0</v>
      </c>
      <c r="U225" s="21" t="s">
        <v>59</v>
      </c>
      <c r="V225" s="21"/>
      <c r="W225" s="24" t="n">
        <f aca="false">IF(AND($U225="Yes",$G225&lt;&gt;"Vendor day rates"),$J225-0.4*$I225,0)</f>
        <v>0</v>
      </c>
      <c r="X225" s="24" t="n">
        <f aca="false">IF(OR($U225&lt;&gt;"Yes",$V225=""),0,$W225*MAX(0,7-MATCH($V225,MonthList,0))/12)</f>
        <v>0</v>
      </c>
      <c r="Y225" s="24" t="n">
        <f aca="false">IF(OR($U225&lt;&gt;"Yes",$V225=""),0,$W225*IF(MATCH($V225,MonthList,0)&lt;=7,12,19-MATCH($V225,MonthList,0))/12)</f>
        <v>0</v>
      </c>
    </row>
    <row r="226" customFormat="false" ht="15" hidden="false" customHeight="true" outlineLevel="0" collapsed="false">
      <c r="B226" s="18" t="s">
        <v>491</v>
      </c>
      <c r="C226" s="18" t="s">
        <v>411</v>
      </c>
      <c r="D226" s="18" t="s">
        <v>20</v>
      </c>
      <c r="E226" s="18" t="s">
        <v>351</v>
      </c>
      <c r="F226" s="19" t="s">
        <v>57</v>
      </c>
      <c r="G226" s="19" t="s">
        <v>58</v>
      </c>
      <c r="H226" s="19" t="n">
        <v>1</v>
      </c>
      <c r="I226" s="20" t="n">
        <v>0.3521</v>
      </c>
      <c r="J226" s="20" t="n">
        <v>0.3521</v>
      </c>
      <c r="K226" s="21" t="s">
        <v>59</v>
      </c>
      <c r="L226" s="21"/>
      <c r="M226" s="20" t="n">
        <f aca="false">IF(AND($K226="Yes",$G226&lt;&gt;"Vendor day rates"),$J226-0.4*$I226,0)</f>
        <v>0</v>
      </c>
      <c r="N226" s="20" t="n">
        <f aca="false">IF(OR($K226&lt;&gt;"Yes",$L226=""),0,$M226*MAX(0,7-MATCH($L226,MonthList,0))/12)</f>
        <v>0</v>
      </c>
      <c r="O226" s="20" t="n">
        <f aca="false">IF(OR($K226&lt;&gt;"Yes",$L226=""),0,$M226*IF(MATCH($L226,MonthList,0)&lt;=7,12,19-MATCH($L226,MonthList,0))/12)</f>
        <v>0</v>
      </c>
      <c r="P226" s="21" t="s">
        <v>59</v>
      </c>
      <c r="Q226" s="21"/>
      <c r="R226" s="20" t="n">
        <f aca="false">IF(AND($P226="Yes",$G226&lt;&gt;"Vendor day rates"),$J226-0.4*$I226,0)</f>
        <v>0</v>
      </c>
      <c r="S226" s="20" t="n">
        <f aca="false">IF(OR($P226&lt;&gt;"Yes",$Q226=""),0,$R226*MAX(0,7-MATCH($Q226,MonthList,0))/12)</f>
        <v>0</v>
      </c>
      <c r="T226" s="20" t="n">
        <f aca="false">IF(OR($P226&lt;&gt;"Yes",$Q226=""),0,$R226*IF(MATCH($Q226,MonthList,0)&lt;=7,12,19-MATCH($Q226,MonthList,0))/12)</f>
        <v>0</v>
      </c>
      <c r="U226" s="21" t="s">
        <v>59</v>
      </c>
      <c r="V226" s="21"/>
      <c r="W226" s="20" t="n">
        <f aca="false">IF(AND($U226="Yes",$G226&lt;&gt;"Vendor day rates"),$J226-0.4*$I226,0)</f>
        <v>0</v>
      </c>
      <c r="X226" s="20" t="n">
        <f aca="false">IF(OR($U226&lt;&gt;"Yes",$V226=""),0,$W226*MAX(0,7-MATCH($V226,MonthList,0))/12)</f>
        <v>0</v>
      </c>
      <c r="Y226" s="20" t="n">
        <f aca="false">IF(OR($U226&lt;&gt;"Yes",$V226=""),0,$W226*IF(MATCH($V226,MonthList,0)&lt;=7,12,19-MATCH($V226,MonthList,0))/12)</f>
        <v>0</v>
      </c>
    </row>
    <row r="227" customFormat="false" ht="15" hidden="false" customHeight="true" outlineLevel="0" collapsed="false">
      <c r="B227" s="22" t="s">
        <v>492</v>
      </c>
      <c r="C227" s="22" t="s">
        <v>55</v>
      </c>
      <c r="D227" s="22" t="s">
        <v>20</v>
      </c>
      <c r="E227" s="22" t="s">
        <v>493</v>
      </c>
      <c r="F227" s="23" t="s">
        <v>57</v>
      </c>
      <c r="G227" s="23" t="s">
        <v>145</v>
      </c>
      <c r="H227" s="23" t="n">
        <v>1</v>
      </c>
      <c r="I227" s="24" t="n">
        <v>0.2317</v>
      </c>
      <c r="J227" s="24" t="n">
        <v>0.2317</v>
      </c>
      <c r="K227" s="21" t="s">
        <v>59</v>
      </c>
      <c r="L227" s="21"/>
      <c r="M227" s="24" t="n">
        <f aca="false">IF(AND($K227="Yes",$G227&lt;&gt;"Vendor day rates"),$J227-0.4*$I227,0)</f>
        <v>0</v>
      </c>
      <c r="N227" s="24" t="n">
        <f aca="false">IF(OR($K227&lt;&gt;"Yes",$L227=""),0,$M227*MAX(0,7-MATCH($L227,MonthList,0))/12)</f>
        <v>0</v>
      </c>
      <c r="O227" s="24" t="n">
        <f aca="false">IF(OR($K227&lt;&gt;"Yes",$L227=""),0,$M227*IF(MATCH($L227,MonthList,0)&lt;=7,12,19-MATCH($L227,MonthList,0))/12)</f>
        <v>0</v>
      </c>
      <c r="P227" s="21" t="s">
        <v>59</v>
      </c>
      <c r="Q227" s="21"/>
      <c r="R227" s="24" t="n">
        <f aca="false">IF(AND($P227="Yes",$G227&lt;&gt;"Vendor day rates"),$J227-0.4*$I227,0)</f>
        <v>0</v>
      </c>
      <c r="S227" s="24" t="n">
        <f aca="false">IF(OR($P227&lt;&gt;"Yes",$Q227=""),0,$R227*MAX(0,7-MATCH($Q227,MonthList,0))/12)</f>
        <v>0</v>
      </c>
      <c r="T227" s="24" t="n">
        <f aca="false">IF(OR($P227&lt;&gt;"Yes",$Q227=""),0,$R227*IF(MATCH($Q227,MonthList,0)&lt;=7,12,19-MATCH($Q227,MonthList,0))/12)</f>
        <v>0</v>
      </c>
      <c r="U227" s="21" t="s">
        <v>59</v>
      </c>
      <c r="V227" s="21"/>
      <c r="W227" s="24" t="n">
        <f aca="false">IF(AND($U227="Yes",$G227&lt;&gt;"Vendor day rates"),$J227-0.4*$I227,0)</f>
        <v>0</v>
      </c>
      <c r="X227" s="24" t="n">
        <f aca="false">IF(OR($U227&lt;&gt;"Yes",$V227=""),0,$W227*MAX(0,7-MATCH($V227,MonthList,0))/12)</f>
        <v>0</v>
      </c>
      <c r="Y227" s="24" t="n">
        <f aca="false">IF(OR($U227&lt;&gt;"Yes",$V227=""),0,$W227*IF(MATCH($V227,MonthList,0)&lt;=7,12,19-MATCH($V227,MonthList,0))/12)</f>
        <v>0</v>
      </c>
    </row>
    <row r="228" customFormat="false" ht="15" hidden="false" customHeight="true" outlineLevel="0" collapsed="false">
      <c r="B228" s="18" t="s">
        <v>494</v>
      </c>
      <c r="C228" s="18" t="s">
        <v>55</v>
      </c>
      <c r="D228" s="18" t="s">
        <v>20</v>
      </c>
      <c r="E228" s="18" t="s">
        <v>351</v>
      </c>
      <c r="F228" s="19" t="s">
        <v>57</v>
      </c>
      <c r="G228" s="19" t="s">
        <v>145</v>
      </c>
      <c r="H228" s="19" t="n">
        <v>1</v>
      </c>
      <c r="I228" s="20" t="n">
        <v>0.2317</v>
      </c>
      <c r="J228" s="20" t="n">
        <v>0.2317</v>
      </c>
      <c r="K228" s="21" t="s">
        <v>59</v>
      </c>
      <c r="L228" s="21"/>
      <c r="M228" s="20" t="n">
        <f aca="false">IF(AND($K228="Yes",$G228&lt;&gt;"Vendor day rates"),$J228-0.4*$I228,0)</f>
        <v>0</v>
      </c>
      <c r="N228" s="20" t="n">
        <f aca="false">IF(OR($K228&lt;&gt;"Yes",$L228=""),0,$M228*MAX(0,7-MATCH($L228,MonthList,0))/12)</f>
        <v>0</v>
      </c>
      <c r="O228" s="20" t="n">
        <f aca="false">IF(OR($K228&lt;&gt;"Yes",$L228=""),0,$M228*IF(MATCH($L228,MonthList,0)&lt;=7,12,19-MATCH($L228,MonthList,0))/12)</f>
        <v>0</v>
      </c>
      <c r="P228" s="21" t="s">
        <v>59</v>
      </c>
      <c r="Q228" s="21"/>
      <c r="R228" s="20" t="n">
        <f aca="false">IF(AND($P228="Yes",$G228&lt;&gt;"Vendor day rates"),$J228-0.4*$I228,0)</f>
        <v>0</v>
      </c>
      <c r="S228" s="20" t="n">
        <f aca="false">IF(OR($P228&lt;&gt;"Yes",$Q228=""),0,$R228*MAX(0,7-MATCH($Q228,MonthList,0))/12)</f>
        <v>0</v>
      </c>
      <c r="T228" s="20" t="n">
        <f aca="false">IF(OR($P228&lt;&gt;"Yes",$Q228=""),0,$R228*IF(MATCH($Q228,MonthList,0)&lt;=7,12,19-MATCH($Q228,MonthList,0))/12)</f>
        <v>0</v>
      </c>
      <c r="U228" s="21" t="s">
        <v>59</v>
      </c>
      <c r="V228" s="21"/>
      <c r="W228" s="20" t="n">
        <f aca="false">IF(AND($U228="Yes",$G228&lt;&gt;"Vendor day rates"),$J228-0.4*$I228,0)</f>
        <v>0</v>
      </c>
      <c r="X228" s="20" t="n">
        <f aca="false">IF(OR($U228&lt;&gt;"Yes",$V228=""),0,$W228*MAX(0,7-MATCH($V228,MonthList,0))/12)</f>
        <v>0</v>
      </c>
      <c r="Y228" s="20" t="n">
        <f aca="false">IF(OR($U228&lt;&gt;"Yes",$V228=""),0,$W228*IF(MATCH($V228,MonthList,0)&lt;=7,12,19-MATCH($V228,MonthList,0))/12)</f>
        <v>0</v>
      </c>
    </row>
    <row r="229" customFormat="false" ht="15" hidden="false" customHeight="true" outlineLevel="0" collapsed="false">
      <c r="B229" s="22" t="s">
        <v>495</v>
      </c>
      <c r="C229" s="22" t="s">
        <v>55</v>
      </c>
      <c r="D229" s="22" t="s">
        <v>443</v>
      </c>
      <c r="E229" s="22" t="s">
        <v>313</v>
      </c>
      <c r="F229" s="23" t="s">
        <v>57</v>
      </c>
      <c r="G229" s="23" t="s">
        <v>58</v>
      </c>
      <c r="H229" s="23" t="n">
        <v>1</v>
      </c>
      <c r="I229" s="24" t="n">
        <v>0.2475</v>
      </c>
      <c r="J229" s="24" t="n">
        <v>0.2475</v>
      </c>
      <c r="K229" s="21" t="s">
        <v>59</v>
      </c>
      <c r="L229" s="21"/>
      <c r="M229" s="24" t="n">
        <f aca="false">IF(AND($K229="Yes",$G229&lt;&gt;"Vendor day rates"),$J229-0.4*$I229,0)</f>
        <v>0</v>
      </c>
      <c r="N229" s="24" t="n">
        <f aca="false">IF(OR($K229&lt;&gt;"Yes",$L229=""),0,$M229*MAX(0,7-MATCH($L229,MonthList,0))/12)</f>
        <v>0</v>
      </c>
      <c r="O229" s="24" t="n">
        <f aca="false">IF(OR($K229&lt;&gt;"Yes",$L229=""),0,$M229*IF(MATCH($L229,MonthList,0)&lt;=7,12,19-MATCH($L229,MonthList,0))/12)</f>
        <v>0</v>
      </c>
      <c r="P229" s="21" t="s">
        <v>59</v>
      </c>
      <c r="Q229" s="21"/>
      <c r="R229" s="24" t="n">
        <f aca="false">IF(AND($P229="Yes",$G229&lt;&gt;"Vendor day rates"),$J229-0.4*$I229,0)</f>
        <v>0</v>
      </c>
      <c r="S229" s="24" t="n">
        <f aca="false">IF(OR($P229&lt;&gt;"Yes",$Q229=""),0,$R229*MAX(0,7-MATCH($Q229,MonthList,0))/12)</f>
        <v>0</v>
      </c>
      <c r="T229" s="24" t="n">
        <f aca="false">IF(OR($P229&lt;&gt;"Yes",$Q229=""),0,$R229*IF(MATCH($Q229,MonthList,0)&lt;=7,12,19-MATCH($Q229,MonthList,0))/12)</f>
        <v>0</v>
      </c>
      <c r="U229" s="21" t="s">
        <v>59</v>
      </c>
      <c r="V229" s="21"/>
      <c r="W229" s="24" t="n">
        <f aca="false">IF(AND($U229="Yes",$G229&lt;&gt;"Vendor day rates"),$J229-0.4*$I229,0)</f>
        <v>0</v>
      </c>
      <c r="X229" s="24" t="n">
        <f aca="false">IF(OR($U229&lt;&gt;"Yes",$V229=""),0,$W229*MAX(0,7-MATCH($V229,MonthList,0))/12)</f>
        <v>0</v>
      </c>
      <c r="Y229" s="24" t="n">
        <f aca="false">IF(OR($U229&lt;&gt;"Yes",$V229=""),0,$W229*IF(MATCH($V229,MonthList,0)&lt;=7,12,19-MATCH($V229,MonthList,0))/12)</f>
        <v>0</v>
      </c>
    </row>
    <row r="230" customFormat="false" ht="15" hidden="false" customHeight="true" outlineLevel="0" collapsed="false">
      <c r="B230" s="18" t="s">
        <v>496</v>
      </c>
      <c r="C230" s="18" t="s">
        <v>490</v>
      </c>
      <c r="D230" s="18" t="s">
        <v>27</v>
      </c>
      <c r="E230" s="18" t="s">
        <v>27</v>
      </c>
      <c r="F230" s="19" t="s">
        <v>109</v>
      </c>
      <c r="G230" s="19" t="s">
        <v>58</v>
      </c>
      <c r="H230" s="19" t="n">
        <v>1</v>
      </c>
      <c r="I230" s="20" t="n">
        <v>0.1934</v>
      </c>
      <c r="J230" s="20" t="n">
        <v>0.1934</v>
      </c>
      <c r="K230" s="21" t="s">
        <v>59</v>
      </c>
      <c r="L230" s="21"/>
      <c r="M230" s="20" t="n">
        <f aca="false">IF(AND($K230="Yes",$G230&lt;&gt;"Vendor day rates"),$J230-0.4*$I230,0)</f>
        <v>0</v>
      </c>
      <c r="N230" s="20" t="n">
        <f aca="false">IF(OR($K230&lt;&gt;"Yes",$L230=""),0,$M230*MAX(0,7-MATCH($L230,MonthList,0))/12)</f>
        <v>0</v>
      </c>
      <c r="O230" s="20" t="n">
        <f aca="false">IF(OR($K230&lt;&gt;"Yes",$L230=""),0,$M230*IF(MATCH($L230,MonthList,0)&lt;=7,12,19-MATCH($L230,MonthList,0))/12)</f>
        <v>0</v>
      </c>
      <c r="P230" s="21" t="s">
        <v>59</v>
      </c>
      <c r="Q230" s="21"/>
      <c r="R230" s="20" t="n">
        <f aca="false">IF(AND($P230="Yes",$G230&lt;&gt;"Vendor day rates"),$J230-0.4*$I230,0)</f>
        <v>0</v>
      </c>
      <c r="S230" s="20" t="n">
        <f aca="false">IF(OR($P230&lt;&gt;"Yes",$Q230=""),0,$R230*MAX(0,7-MATCH($Q230,MonthList,0))/12)</f>
        <v>0</v>
      </c>
      <c r="T230" s="20" t="n">
        <f aca="false">IF(OR($P230&lt;&gt;"Yes",$Q230=""),0,$R230*IF(MATCH($Q230,MonthList,0)&lt;=7,12,19-MATCH($Q230,MonthList,0))/12)</f>
        <v>0</v>
      </c>
      <c r="U230" s="21" t="s">
        <v>59</v>
      </c>
      <c r="V230" s="21"/>
      <c r="W230" s="20" t="n">
        <f aca="false">IF(AND($U230="Yes",$G230&lt;&gt;"Vendor day rates"),$J230-0.4*$I230,0)</f>
        <v>0</v>
      </c>
      <c r="X230" s="20" t="n">
        <f aca="false">IF(OR($U230&lt;&gt;"Yes",$V230=""),0,$W230*MAX(0,7-MATCH($V230,MonthList,0))/12)</f>
        <v>0</v>
      </c>
      <c r="Y230" s="20" t="n">
        <f aca="false">IF(OR($U230&lt;&gt;"Yes",$V230=""),0,$W230*IF(MATCH($V230,MonthList,0)&lt;=7,12,19-MATCH($V230,MonthList,0))/12)</f>
        <v>0</v>
      </c>
    </row>
    <row r="231" customFormat="false" ht="15" hidden="false" customHeight="true" outlineLevel="0" collapsed="false">
      <c r="B231" s="22" t="s">
        <v>497</v>
      </c>
      <c r="C231" s="22" t="s">
        <v>498</v>
      </c>
      <c r="D231" s="22" t="s">
        <v>27</v>
      </c>
      <c r="E231" s="22" t="s">
        <v>27</v>
      </c>
      <c r="F231" s="23" t="s">
        <v>57</v>
      </c>
      <c r="G231" s="23" t="s">
        <v>58</v>
      </c>
      <c r="H231" s="23" t="n">
        <v>1</v>
      </c>
      <c r="I231" s="24" t="n">
        <v>0.2515</v>
      </c>
      <c r="J231" s="24" t="n">
        <v>0.2515</v>
      </c>
      <c r="K231" s="21" t="s">
        <v>59</v>
      </c>
      <c r="L231" s="21"/>
      <c r="M231" s="24" t="n">
        <f aca="false">IF(AND($K231="Yes",$G231&lt;&gt;"Vendor day rates"),$J231-0.4*$I231,0)</f>
        <v>0</v>
      </c>
      <c r="N231" s="24" t="n">
        <f aca="false">IF(OR($K231&lt;&gt;"Yes",$L231=""),0,$M231*MAX(0,7-MATCH($L231,MonthList,0))/12)</f>
        <v>0</v>
      </c>
      <c r="O231" s="24" t="n">
        <f aca="false">IF(OR($K231&lt;&gt;"Yes",$L231=""),0,$M231*IF(MATCH($L231,MonthList,0)&lt;=7,12,19-MATCH($L231,MonthList,0))/12)</f>
        <v>0</v>
      </c>
      <c r="P231" s="21" t="s">
        <v>59</v>
      </c>
      <c r="Q231" s="21"/>
      <c r="R231" s="24" t="n">
        <f aca="false">IF(AND($P231="Yes",$G231&lt;&gt;"Vendor day rates"),$J231-0.4*$I231,0)</f>
        <v>0</v>
      </c>
      <c r="S231" s="24" t="n">
        <f aca="false">IF(OR($P231&lt;&gt;"Yes",$Q231=""),0,$R231*MAX(0,7-MATCH($Q231,MonthList,0))/12)</f>
        <v>0</v>
      </c>
      <c r="T231" s="24" t="n">
        <f aca="false">IF(OR($P231&lt;&gt;"Yes",$Q231=""),0,$R231*IF(MATCH($Q231,MonthList,0)&lt;=7,12,19-MATCH($Q231,MonthList,0))/12)</f>
        <v>0</v>
      </c>
      <c r="U231" s="21" t="s">
        <v>59</v>
      </c>
      <c r="V231" s="21"/>
      <c r="W231" s="24" t="n">
        <f aca="false">IF(AND($U231="Yes",$G231&lt;&gt;"Vendor day rates"),$J231-0.4*$I231,0)</f>
        <v>0</v>
      </c>
      <c r="X231" s="24" t="n">
        <f aca="false">IF(OR($U231&lt;&gt;"Yes",$V231=""),0,$W231*MAX(0,7-MATCH($V231,MonthList,0))/12)</f>
        <v>0</v>
      </c>
      <c r="Y231" s="24" t="n">
        <f aca="false">IF(OR($U231&lt;&gt;"Yes",$V231=""),0,$W231*IF(MATCH($V231,MonthList,0)&lt;=7,12,19-MATCH($V231,MonthList,0))/12)</f>
        <v>0</v>
      </c>
    </row>
    <row r="232" customFormat="false" ht="15" hidden="false" customHeight="true" outlineLevel="0" collapsed="false">
      <c r="B232" s="18" t="s">
        <v>499</v>
      </c>
      <c r="C232" s="18" t="s">
        <v>500</v>
      </c>
      <c r="D232" s="18" t="s">
        <v>24</v>
      </c>
      <c r="E232" s="18" t="s">
        <v>426</v>
      </c>
      <c r="F232" s="19" t="s">
        <v>57</v>
      </c>
      <c r="G232" s="19" t="s">
        <v>145</v>
      </c>
      <c r="H232" s="19" t="n">
        <v>1</v>
      </c>
      <c r="I232" s="20" t="n">
        <v>0.2317</v>
      </c>
      <c r="J232" s="20" t="n">
        <v>0.2317</v>
      </c>
      <c r="K232" s="21" t="s">
        <v>59</v>
      </c>
      <c r="L232" s="21"/>
      <c r="M232" s="20" t="n">
        <f aca="false">IF(AND($K232="Yes",$G232&lt;&gt;"Vendor day rates"),$J232-0.4*$I232,0)</f>
        <v>0</v>
      </c>
      <c r="N232" s="20" t="n">
        <f aca="false">IF(OR($K232&lt;&gt;"Yes",$L232=""),0,$M232*MAX(0,7-MATCH($L232,MonthList,0))/12)</f>
        <v>0</v>
      </c>
      <c r="O232" s="20" t="n">
        <f aca="false">IF(OR($K232&lt;&gt;"Yes",$L232=""),0,$M232*IF(MATCH($L232,MonthList,0)&lt;=7,12,19-MATCH($L232,MonthList,0))/12)</f>
        <v>0</v>
      </c>
      <c r="P232" s="21" t="s">
        <v>59</v>
      </c>
      <c r="Q232" s="21"/>
      <c r="R232" s="20" t="n">
        <f aca="false">IF(AND($P232="Yes",$G232&lt;&gt;"Vendor day rates"),$J232-0.4*$I232,0)</f>
        <v>0</v>
      </c>
      <c r="S232" s="20" t="n">
        <f aca="false">IF(OR($P232&lt;&gt;"Yes",$Q232=""),0,$R232*MAX(0,7-MATCH($Q232,MonthList,0))/12)</f>
        <v>0</v>
      </c>
      <c r="T232" s="20" t="n">
        <f aca="false">IF(OR($P232&lt;&gt;"Yes",$Q232=""),0,$R232*IF(MATCH($Q232,MonthList,0)&lt;=7,12,19-MATCH($Q232,MonthList,0))/12)</f>
        <v>0</v>
      </c>
      <c r="U232" s="21" t="s">
        <v>59</v>
      </c>
      <c r="V232" s="21"/>
      <c r="W232" s="20" t="n">
        <f aca="false">IF(AND($U232="Yes",$G232&lt;&gt;"Vendor day rates"),$J232-0.4*$I232,0)</f>
        <v>0</v>
      </c>
      <c r="X232" s="20" t="n">
        <f aca="false">IF(OR($U232&lt;&gt;"Yes",$V232=""),0,$W232*MAX(0,7-MATCH($V232,MonthList,0))/12)</f>
        <v>0</v>
      </c>
      <c r="Y232" s="20" t="n">
        <f aca="false">IF(OR($U232&lt;&gt;"Yes",$V232=""),0,$W232*IF(MATCH($V232,MonthList,0)&lt;=7,12,19-MATCH($V232,MonthList,0))/12)</f>
        <v>0</v>
      </c>
    </row>
    <row r="233" customFormat="false" ht="15" hidden="false" customHeight="true" outlineLevel="0" collapsed="false">
      <c r="B233" s="22" t="s">
        <v>501</v>
      </c>
      <c r="C233" s="22" t="s">
        <v>502</v>
      </c>
      <c r="D233" s="22" t="s">
        <v>27</v>
      </c>
      <c r="E233" s="22" t="s">
        <v>503</v>
      </c>
      <c r="F233" s="23" t="s">
        <v>57</v>
      </c>
      <c r="G233" s="23" t="s">
        <v>145</v>
      </c>
      <c r="H233" s="23" t="n">
        <v>1</v>
      </c>
      <c r="I233" s="24" t="n">
        <v>0.2317</v>
      </c>
      <c r="J233" s="24" t="n">
        <v>0.2317</v>
      </c>
      <c r="K233" s="21" t="s">
        <v>59</v>
      </c>
      <c r="L233" s="21"/>
      <c r="M233" s="24" t="n">
        <f aca="false">IF(AND($K233="Yes",$G233&lt;&gt;"Vendor day rates"),$J233-0.4*$I233,0)</f>
        <v>0</v>
      </c>
      <c r="N233" s="24" t="n">
        <f aca="false">IF(OR($K233&lt;&gt;"Yes",$L233=""),0,$M233*MAX(0,7-MATCH($L233,MonthList,0))/12)</f>
        <v>0</v>
      </c>
      <c r="O233" s="24" t="n">
        <f aca="false">IF(OR($K233&lt;&gt;"Yes",$L233=""),0,$M233*IF(MATCH($L233,MonthList,0)&lt;=7,12,19-MATCH($L233,MonthList,0))/12)</f>
        <v>0</v>
      </c>
      <c r="P233" s="21" t="s">
        <v>59</v>
      </c>
      <c r="Q233" s="21"/>
      <c r="R233" s="24" t="n">
        <f aca="false">IF(AND($P233="Yes",$G233&lt;&gt;"Vendor day rates"),$J233-0.4*$I233,0)</f>
        <v>0</v>
      </c>
      <c r="S233" s="24" t="n">
        <f aca="false">IF(OR($P233&lt;&gt;"Yes",$Q233=""),0,$R233*MAX(0,7-MATCH($Q233,MonthList,0))/12)</f>
        <v>0</v>
      </c>
      <c r="T233" s="24" t="n">
        <f aca="false">IF(OR($P233&lt;&gt;"Yes",$Q233=""),0,$R233*IF(MATCH($Q233,MonthList,0)&lt;=7,12,19-MATCH($Q233,MonthList,0))/12)</f>
        <v>0</v>
      </c>
      <c r="U233" s="21" t="s">
        <v>59</v>
      </c>
      <c r="V233" s="21"/>
      <c r="W233" s="24" t="n">
        <f aca="false">IF(AND($U233="Yes",$G233&lt;&gt;"Vendor day rates"),$J233-0.4*$I233,0)</f>
        <v>0</v>
      </c>
      <c r="X233" s="24" t="n">
        <f aca="false">IF(OR($U233&lt;&gt;"Yes",$V233=""),0,$W233*MAX(0,7-MATCH($V233,MonthList,0))/12)</f>
        <v>0</v>
      </c>
      <c r="Y233" s="24" t="n">
        <f aca="false">IF(OR($U233&lt;&gt;"Yes",$V233=""),0,$W233*IF(MATCH($V233,MonthList,0)&lt;=7,12,19-MATCH($V233,MonthList,0))/12)</f>
        <v>0</v>
      </c>
    </row>
    <row r="234" customFormat="false" ht="15" hidden="false" customHeight="true" outlineLevel="0" collapsed="false">
      <c r="B234" s="18" t="s">
        <v>504</v>
      </c>
      <c r="C234" s="18" t="s">
        <v>505</v>
      </c>
      <c r="D234" s="18" t="s">
        <v>24</v>
      </c>
      <c r="E234" s="18" t="s">
        <v>127</v>
      </c>
      <c r="F234" s="19" t="s">
        <v>57</v>
      </c>
      <c r="G234" s="19" t="s">
        <v>145</v>
      </c>
      <c r="H234" s="19" t="n">
        <v>1</v>
      </c>
      <c r="I234" s="20" t="n">
        <v>0.2317</v>
      </c>
      <c r="J234" s="20" t="n">
        <v>0.2317</v>
      </c>
      <c r="K234" s="21" t="s">
        <v>59</v>
      </c>
      <c r="L234" s="21"/>
      <c r="M234" s="20" t="n">
        <f aca="false">IF(AND($K234="Yes",$G234&lt;&gt;"Vendor day rates"),$J234-0.4*$I234,0)</f>
        <v>0</v>
      </c>
      <c r="N234" s="20" t="n">
        <f aca="false">IF(OR($K234&lt;&gt;"Yes",$L234=""),0,$M234*MAX(0,7-MATCH($L234,MonthList,0))/12)</f>
        <v>0</v>
      </c>
      <c r="O234" s="20" t="n">
        <f aca="false">IF(OR($K234&lt;&gt;"Yes",$L234=""),0,$M234*IF(MATCH($L234,MonthList,0)&lt;=7,12,19-MATCH($L234,MonthList,0))/12)</f>
        <v>0</v>
      </c>
      <c r="P234" s="21" t="s">
        <v>59</v>
      </c>
      <c r="Q234" s="21"/>
      <c r="R234" s="20" t="n">
        <f aca="false">IF(AND($P234="Yes",$G234&lt;&gt;"Vendor day rates"),$J234-0.4*$I234,0)</f>
        <v>0</v>
      </c>
      <c r="S234" s="20" t="n">
        <f aca="false">IF(OR($P234&lt;&gt;"Yes",$Q234=""),0,$R234*MAX(0,7-MATCH($Q234,MonthList,0))/12)</f>
        <v>0</v>
      </c>
      <c r="T234" s="20" t="n">
        <f aca="false">IF(OR($P234&lt;&gt;"Yes",$Q234=""),0,$R234*IF(MATCH($Q234,MonthList,0)&lt;=7,12,19-MATCH($Q234,MonthList,0))/12)</f>
        <v>0</v>
      </c>
      <c r="U234" s="21" t="s">
        <v>59</v>
      </c>
      <c r="V234" s="21"/>
      <c r="W234" s="20" t="n">
        <f aca="false">IF(AND($U234="Yes",$G234&lt;&gt;"Vendor day rates"),$J234-0.4*$I234,0)</f>
        <v>0</v>
      </c>
      <c r="X234" s="20" t="n">
        <f aca="false">IF(OR($U234&lt;&gt;"Yes",$V234=""),0,$W234*MAX(0,7-MATCH($V234,MonthList,0))/12)</f>
        <v>0</v>
      </c>
      <c r="Y234" s="20" t="n">
        <f aca="false">IF(OR($U234&lt;&gt;"Yes",$V234=""),0,$W234*IF(MATCH($V234,MonthList,0)&lt;=7,12,19-MATCH($V234,MonthList,0))/12)</f>
        <v>0</v>
      </c>
    </row>
    <row r="235" customFormat="false" ht="15" hidden="false" customHeight="true" outlineLevel="0" collapsed="false">
      <c r="B235" s="22" t="s">
        <v>506</v>
      </c>
      <c r="C235" s="22" t="s">
        <v>507</v>
      </c>
      <c r="D235" s="22" t="s">
        <v>21</v>
      </c>
      <c r="E235" s="22" t="s">
        <v>508</v>
      </c>
      <c r="F235" s="23" t="s">
        <v>57</v>
      </c>
      <c r="G235" s="23" t="s">
        <v>58</v>
      </c>
      <c r="H235" s="23" t="n">
        <v>1</v>
      </c>
      <c r="I235" s="24" t="n">
        <v>0.239</v>
      </c>
      <c r="J235" s="24" t="n">
        <v>0.239</v>
      </c>
      <c r="K235" s="21" t="s">
        <v>59</v>
      </c>
      <c r="L235" s="21"/>
      <c r="M235" s="24" t="n">
        <f aca="false">IF(AND($K235="Yes",$G235&lt;&gt;"Vendor day rates"),$J235-0.4*$I235,0)</f>
        <v>0</v>
      </c>
      <c r="N235" s="24" t="n">
        <f aca="false">IF(OR($K235&lt;&gt;"Yes",$L235=""),0,$M235*MAX(0,7-MATCH($L235,MonthList,0))/12)</f>
        <v>0</v>
      </c>
      <c r="O235" s="24" t="n">
        <f aca="false">IF(OR($K235&lt;&gt;"Yes",$L235=""),0,$M235*IF(MATCH($L235,MonthList,0)&lt;=7,12,19-MATCH($L235,MonthList,0))/12)</f>
        <v>0</v>
      </c>
      <c r="P235" s="21" t="s">
        <v>59</v>
      </c>
      <c r="Q235" s="21"/>
      <c r="R235" s="24" t="n">
        <f aca="false">IF(AND($P235="Yes",$G235&lt;&gt;"Vendor day rates"),$J235-0.4*$I235,0)</f>
        <v>0</v>
      </c>
      <c r="S235" s="24" t="n">
        <f aca="false">IF(OR($P235&lt;&gt;"Yes",$Q235=""),0,$R235*MAX(0,7-MATCH($Q235,MonthList,0))/12)</f>
        <v>0</v>
      </c>
      <c r="T235" s="24" t="n">
        <f aca="false">IF(OR($P235&lt;&gt;"Yes",$Q235=""),0,$R235*IF(MATCH($Q235,MonthList,0)&lt;=7,12,19-MATCH($Q235,MonthList,0))/12)</f>
        <v>0</v>
      </c>
      <c r="U235" s="21" t="s">
        <v>59</v>
      </c>
      <c r="V235" s="21"/>
      <c r="W235" s="24" t="n">
        <f aca="false">IF(AND($U235="Yes",$G235&lt;&gt;"Vendor day rates"),$J235-0.4*$I235,0)</f>
        <v>0</v>
      </c>
      <c r="X235" s="24" t="n">
        <f aca="false">IF(OR($U235&lt;&gt;"Yes",$V235=""),0,$W235*MAX(0,7-MATCH($V235,MonthList,0))/12)</f>
        <v>0</v>
      </c>
      <c r="Y235" s="24" t="n">
        <f aca="false">IF(OR($U235&lt;&gt;"Yes",$V235=""),0,$W235*IF(MATCH($V235,MonthList,0)&lt;=7,12,19-MATCH($V235,MonthList,0))/12)</f>
        <v>0</v>
      </c>
    </row>
    <row r="236" customFormat="false" ht="15" hidden="false" customHeight="true" outlineLevel="0" collapsed="false">
      <c r="B236" s="18" t="s">
        <v>509</v>
      </c>
      <c r="C236" s="18" t="s">
        <v>490</v>
      </c>
      <c r="D236" s="18" t="s">
        <v>22</v>
      </c>
      <c r="E236" s="18" t="s">
        <v>139</v>
      </c>
      <c r="F236" s="19" t="s">
        <v>109</v>
      </c>
      <c r="G236" s="19" t="s">
        <v>58</v>
      </c>
      <c r="H236" s="19" t="n">
        <v>0.8</v>
      </c>
      <c r="I236" s="20" t="n">
        <v>0.1565</v>
      </c>
      <c r="J236" s="20" t="n">
        <v>0.1565</v>
      </c>
      <c r="K236" s="21" t="s">
        <v>59</v>
      </c>
      <c r="L236" s="21"/>
      <c r="M236" s="20" t="n">
        <f aca="false">IF(AND($K236="Yes",$G236&lt;&gt;"Vendor day rates"),$J236-0.4*$I236,0)</f>
        <v>0</v>
      </c>
      <c r="N236" s="20" t="n">
        <f aca="false">IF(OR($K236&lt;&gt;"Yes",$L236=""),0,$M236*MAX(0,7-MATCH($L236,MonthList,0))/12)</f>
        <v>0</v>
      </c>
      <c r="O236" s="20" t="n">
        <f aca="false">IF(OR($K236&lt;&gt;"Yes",$L236=""),0,$M236*IF(MATCH($L236,MonthList,0)&lt;=7,12,19-MATCH($L236,MonthList,0))/12)</f>
        <v>0</v>
      </c>
      <c r="P236" s="21" t="s">
        <v>59</v>
      </c>
      <c r="Q236" s="21"/>
      <c r="R236" s="20" t="n">
        <f aca="false">IF(AND($P236="Yes",$G236&lt;&gt;"Vendor day rates"),$J236-0.4*$I236,0)</f>
        <v>0</v>
      </c>
      <c r="S236" s="20" t="n">
        <f aca="false">IF(OR($P236&lt;&gt;"Yes",$Q236=""),0,$R236*MAX(0,7-MATCH($Q236,MonthList,0))/12)</f>
        <v>0</v>
      </c>
      <c r="T236" s="20" t="n">
        <f aca="false">IF(OR($P236&lt;&gt;"Yes",$Q236=""),0,$R236*IF(MATCH($Q236,MonthList,0)&lt;=7,12,19-MATCH($Q236,MonthList,0))/12)</f>
        <v>0</v>
      </c>
      <c r="U236" s="21" t="s">
        <v>59</v>
      </c>
      <c r="V236" s="21"/>
      <c r="W236" s="20" t="n">
        <f aca="false">IF(AND($U236="Yes",$G236&lt;&gt;"Vendor day rates"),$J236-0.4*$I236,0)</f>
        <v>0</v>
      </c>
      <c r="X236" s="20" t="n">
        <f aca="false">IF(OR($U236&lt;&gt;"Yes",$V236=""),0,$W236*MAX(0,7-MATCH($V236,MonthList,0))/12)</f>
        <v>0</v>
      </c>
      <c r="Y236" s="20" t="n">
        <f aca="false">IF(OR($U236&lt;&gt;"Yes",$V236=""),0,$W236*IF(MATCH($V236,MonthList,0)&lt;=7,12,19-MATCH($V236,MonthList,0))/12)</f>
        <v>0</v>
      </c>
    </row>
    <row r="237" customFormat="false" ht="15" hidden="false" customHeight="true" outlineLevel="0" collapsed="false">
      <c r="B237" s="22" t="s">
        <v>510</v>
      </c>
      <c r="C237" s="22" t="s">
        <v>55</v>
      </c>
      <c r="D237" s="22" t="s">
        <v>31</v>
      </c>
      <c r="E237" s="22" t="s">
        <v>380</v>
      </c>
      <c r="F237" s="23" t="s">
        <v>109</v>
      </c>
      <c r="G237" s="23" t="s">
        <v>58</v>
      </c>
      <c r="H237" s="23" t="n">
        <v>1</v>
      </c>
      <c r="I237" s="24" t="n">
        <v>0.2394</v>
      </c>
      <c r="J237" s="24" t="n">
        <v>0.2394</v>
      </c>
      <c r="K237" s="21" t="s">
        <v>59</v>
      </c>
      <c r="L237" s="21"/>
      <c r="M237" s="24" t="n">
        <f aca="false">IF(AND($K237="Yes",$G237&lt;&gt;"Vendor day rates"),$J237-0.4*$I237,0)</f>
        <v>0</v>
      </c>
      <c r="N237" s="24" t="n">
        <f aca="false">IF(OR($K237&lt;&gt;"Yes",$L237=""),0,$M237*MAX(0,7-MATCH($L237,MonthList,0))/12)</f>
        <v>0</v>
      </c>
      <c r="O237" s="24" t="n">
        <f aca="false">IF(OR($K237&lt;&gt;"Yes",$L237=""),0,$M237*IF(MATCH($L237,MonthList,0)&lt;=7,12,19-MATCH($L237,MonthList,0))/12)</f>
        <v>0</v>
      </c>
      <c r="P237" s="21" t="s">
        <v>59</v>
      </c>
      <c r="Q237" s="21"/>
      <c r="R237" s="24" t="n">
        <f aca="false">IF(AND($P237="Yes",$G237&lt;&gt;"Vendor day rates"),$J237-0.4*$I237,0)</f>
        <v>0</v>
      </c>
      <c r="S237" s="24" t="n">
        <f aca="false">IF(OR($P237&lt;&gt;"Yes",$Q237=""),0,$R237*MAX(0,7-MATCH($Q237,MonthList,0))/12)</f>
        <v>0</v>
      </c>
      <c r="T237" s="24" t="n">
        <f aca="false">IF(OR($P237&lt;&gt;"Yes",$Q237=""),0,$R237*IF(MATCH($Q237,MonthList,0)&lt;=7,12,19-MATCH($Q237,MonthList,0))/12)</f>
        <v>0</v>
      </c>
      <c r="U237" s="21" t="s">
        <v>59</v>
      </c>
      <c r="V237" s="21"/>
      <c r="W237" s="24" t="n">
        <f aca="false">IF(AND($U237="Yes",$G237&lt;&gt;"Vendor day rates"),$J237-0.4*$I237,0)</f>
        <v>0</v>
      </c>
      <c r="X237" s="24" t="n">
        <f aca="false">IF(OR($U237&lt;&gt;"Yes",$V237=""),0,$W237*MAX(0,7-MATCH($V237,MonthList,0))/12)</f>
        <v>0</v>
      </c>
      <c r="Y237" s="24" t="n">
        <f aca="false">IF(OR($U237&lt;&gt;"Yes",$V237=""),0,$W237*IF(MATCH($V237,MonthList,0)&lt;=7,12,19-MATCH($V237,MonthList,0))/12)</f>
        <v>0</v>
      </c>
    </row>
    <row r="238" customFormat="false" ht="15" hidden="false" customHeight="true" outlineLevel="0" collapsed="false">
      <c r="B238" s="18" t="s">
        <v>511</v>
      </c>
      <c r="C238" s="18" t="s">
        <v>55</v>
      </c>
      <c r="D238" s="18" t="s">
        <v>31</v>
      </c>
      <c r="E238" s="18" t="s">
        <v>361</v>
      </c>
      <c r="F238" s="19" t="s">
        <v>109</v>
      </c>
      <c r="G238" s="19" t="s">
        <v>58</v>
      </c>
      <c r="H238" s="19" t="n">
        <v>1</v>
      </c>
      <c r="I238" s="20" t="n">
        <v>0.1802</v>
      </c>
      <c r="J238" s="20" t="n">
        <v>0.1802</v>
      </c>
      <c r="K238" s="21" t="s">
        <v>59</v>
      </c>
      <c r="L238" s="21"/>
      <c r="M238" s="20" t="n">
        <f aca="false">IF(AND($K238="Yes",$G238&lt;&gt;"Vendor day rates"),$J238-0.4*$I238,0)</f>
        <v>0</v>
      </c>
      <c r="N238" s="20" t="n">
        <f aca="false">IF(OR($K238&lt;&gt;"Yes",$L238=""),0,$M238*MAX(0,7-MATCH($L238,MonthList,0))/12)</f>
        <v>0</v>
      </c>
      <c r="O238" s="20" t="n">
        <f aca="false">IF(OR($K238&lt;&gt;"Yes",$L238=""),0,$M238*IF(MATCH($L238,MonthList,0)&lt;=7,12,19-MATCH($L238,MonthList,0))/12)</f>
        <v>0</v>
      </c>
      <c r="P238" s="21" t="s">
        <v>59</v>
      </c>
      <c r="Q238" s="21"/>
      <c r="R238" s="20" t="n">
        <f aca="false">IF(AND($P238="Yes",$G238&lt;&gt;"Vendor day rates"),$J238-0.4*$I238,0)</f>
        <v>0</v>
      </c>
      <c r="S238" s="20" t="n">
        <f aca="false">IF(OR($P238&lt;&gt;"Yes",$Q238=""),0,$R238*MAX(0,7-MATCH($Q238,MonthList,0))/12)</f>
        <v>0</v>
      </c>
      <c r="T238" s="20" t="n">
        <f aca="false">IF(OR($P238&lt;&gt;"Yes",$Q238=""),0,$R238*IF(MATCH($Q238,MonthList,0)&lt;=7,12,19-MATCH($Q238,MonthList,0))/12)</f>
        <v>0</v>
      </c>
      <c r="U238" s="21" t="s">
        <v>59</v>
      </c>
      <c r="V238" s="21"/>
      <c r="W238" s="20" t="n">
        <f aca="false">IF(AND($U238="Yes",$G238&lt;&gt;"Vendor day rates"),$J238-0.4*$I238,0)</f>
        <v>0</v>
      </c>
      <c r="X238" s="20" t="n">
        <f aca="false">IF(OR($U238&lt;&gt;"Yes",$V238=""),0,$W238*MAX(0,7-MATCH($V238,MonthList,0))/12)</f>
        <v>0</v>
      </c>
      <c r="Y238" s="20" t="n">
        <f aca="false">IF(OR($U238&lt;&gt;"Yes",$V238=""),0,$W238*IF(MATCH($V238,MonthList,0)&lt;=7,12,19-MATCH($V238,MonthList,0))/12)</f>
        <v>0</v>
      </c>
    </row>
    <row r="239" customFormat="false" ht="15" hidden="false" customHeight="true" outlineLevel="0" collapsed="false">
      <c r="B239" s="22" t="s">
        <v>512</v>
      </c>
      <c r="C239" s="22" t="s">
        <v>55</v>
      </c>
      <c r="D239" s="22" t="s">
        <v>31</v>
      </c>
      <c r="E239" s="22" t="s">
        <v>359</v>
      </c>
      <c r="F239" s="23" t="s">
        <v>109</v>
      </c>
      <c r="G239" s="23" t="s">
        <v>58</v>
      </c>
      <c r="H239" s="23" t="n">
        <v>1</v>
      </c>
      <c r="I239" s="24" t="n">
        <v>0.2569</v>
      </c>
      <c r="J239" s="24" t="n">
        <v>0.2569</v>
      </c>
      <c r="K239" s="21" t="s">
        <v>59</v>
      </c>
      <c r="L239" s="21"/>
      <c r="M239" s="24" t="n">
        <f aca="false">IF(AND($K239="Yes",$G239&lt;&gt;"Vendor day rates"),$J239-0.4*$I239,0)</f>
        <v>0</v>
      </c>
      <c r="N239" s="24" t="n">
        <f aca="false">IF(OR($K239&lt;&gt;"Yes",$L239=""),0,$M239*MAX(0,7-MATCH($L239,MonthList,0))/12)</f>
        <v>0</v>
      </c>
      <c r="O239" s="24" t="n">
        <f aca="false">IF(OR($K239&lt;&gt;"Yes",$L239=""),0,$M239*IF(MATCH($L239,MonthList,0)&lt;=7,12,19-MATCH($L239,MonthList,0))/12)</f>
        <v>0</v>
      </c>
      <c r="P239" s="21" t="s">
        <v>59</v>
      </c>
      <c r="Q239" s="21"/>
      <c r="R239" s="24" t="n">
        <f aca="false">IF(AND($P239="Yes",$G239&lt;&gt;"Vendor day rates"),$J239-0.4*$I239,0)</f>
        <v>0</v>
      </c>
      <c r="S239" s="24" t="n">
        <f aca="false">IF(OR($P239&lt;&gt;"Yes",$Q239=""),0,$R239*MAX(0,7-MATCH($Q239,MonthList,0))/12)</f>
        <v>0</v>
      </c>
      <c r="T239" s="24" t="n">
        <f aca="false">IF(OR($P239&lt;&gt;"Yes",$Q239=""),0,$R239*IF(MATCH($Q239,MonthList,0)&lt;=7,12,19-MATCH($Q239,MonthList,0))/12)</f>
        <v>0</v>
      </c>
      <c r="U239" s="21" t="s">
        <v>59</v>
      </c>
      <c r="V239" s="21"/>
      <c r="W239" s="24" t="n">
        <f aca="false">IF(AND($U239="Yes",$G239&lt;&gt;"Vendor day rates"),$J239-0.4*$I239,0)</f>
        <v>0</v>
      </c>
      <c r="X239" s="24" t="n">
        <f aca="false">IF(OR($U239&lt;&gt;"Yes",$V239=""),0,$W239*MAX(0,7-MATCH($V239,MonthList,0))/12)</f>
        <v>0</v>
      </c>
      <c r="Y239" s="24" t="n">
        <f aca="false">IF(OR($U239&lt;&gt;"Yes",$V239=""),0,$W239*IF(MATCH($V239,MonthList,0)&lt;=7,12,19-MATCH($V239,MonthList,0))/12)</f>
        <v>0</v>
      </c>
    </row>
    <row r="240" customFormat="false" ht="15" hidden="false" customHeight="true" outlineLevel="0" collapsed="false">
      <c r="B240" s="18" t="s">
        <v>513</v>
      </c>
      <c r="C240" s="18" t="s">
        <v>55</v>
      </c>
      <c r="D240" s="18" t="s">
        <v>29</v>
      </c>
      <c r="E240" s="18" t="s">
        <v>514</v>
      </c>
      <c r="F240" s="19" t="s">
        <v>57</v>
      </c>
      <c r="G240" s="19" t="s">
        <v>462</v>
      </c>
      <c r="H240" s="19" t="n">
        <v>1</v>
      </c>
      <c r="I240" s="20" t="n">
        <v>0.2029</v>
      </c>
      <c r="J240" s="20" t="n">
        <v>0.0811</v>
      </c>
      <c r="K240" s="21" t="s">
        <v>59</v>
      </c>
      <c r="L240" s="21"/>
      <c r="M240" s="20" t="n">
        <f aca="false">IF(AND($K240="Yes",$G240&lt;&gt;"Vendor day rates"),$J240-0.4*$I240,0)</f>
        <v>0</v>
      </c>
      <c r="N240" s="20" t="n">
        <f aca="false">IF(OR($K240&lt;&gt;"Yes",$L240=""),0,$M240*MAX(0,7-MATCH($L240,MonthList,0))/12)</f>
        <v>0</v>
      </c>
      <c r="O240" s="20" t="n">
        <f aca="false">IF(OR($K240&lt;&gt;"Yes",$L240=""),0,$M240*IF(MATCH($L240,MonthList,0)&lt;=7,12,19-MATCH($L240,MonthList,0))/12)</f>
        <v>0</v>
      </c>
      <c r="P240" s="21" t="s">
        <v>59</v>
      </c>
      <c r="Q240" s="21"/>
      <c r="R240" s="20" t="n">
        <f aca="false">IF(AND($P240="Yes",$G240&lt;&gt;"Vendor day rates"),$J240-0.4*$I240,0)</f>
        <v>0</v>
      </c>
      <c r="S240" s="20" t="n">
        <f aca="false">IF(OR($P240&lt;&gt;"Yes",$Q240=""),0,$R240*MAX(0,7-MATCH($Q240,MonthList,0))/12)</f>
        <v>0</v>
      </c>
      <c r="T240" s="20" t="n">
        <f aca="false">IF(OR($P240&lt;&gt;"Yes",$Q240=""),0,$R240*IF(MATCH($Q240,MonthList,0)&lt;=7,12,19-MATCH($Q240,MonthList,0))/12)</f>
        <v>0</v>
      </c>
      <c r="U240" s="21" t="s">
        <v>59</v>
      </c>
      <c r="V240" s="21"/>
      <c r="W240" s="20" t="n">
        <f aca="false">IF(AND($U240="Yes",$G240&lt;&gt;"Vendor day rates"),$J240-0.4*$I240,0)</f>
        <v>0</v>
      </c>
      <c r="X240" s="20" t="n">
        <f aca="false">IF(OR($U240&lt;&gt;"Yes",$V240=""),0,$W240*MAX(0,7-MATCH($V240,MonthList,0))/12)</f>
        <v>0</v>
      </c>
      <c r="Y240" s="20" t="n">
        <f aca="false">IF(OR($U240&lt;&gt;"Yes",$V240=""),0,$W240*IF(MATCH($V240,MonthList,0)&lt;=7,12,19-MATCH($V240,MonthList,0))/12)</f>
        <v>0</v>
      </c>
    </row>
    <row r="241" customFormat="false" ht="15" hidden="false" customHeight="true" outlineLevel="0" collapsed="false">
      <c r="B241" s="22" t="s">
        <v>515</v>
      </c>
      <c r="C241" s="22" t="s">
        <v>55</v>
      </c>
      <c r="D241" s="22" t="s">
        <v>31</v>
      </c>
      <c r="E241" s="22" t="s">
        <v>516</v>
      </c>
      <c r="F241" s="23" t="s">
        <v>57</v>
      </c>
      <c r="G241" s="23" t="s">
        <v>292</v>
      </c>
      <c r="H241" s="23" t="n">
        <v>1</v>
      </c>
      <c r="I241" s="24" t="n">
        <v>0.2758</v>
      </c>
      <c r="J241" s="24" t="n">
        <v>0</v>
      </c>
      <c r="K241" s="21" t="s">
        <v>59</v>
      </c>
      <c r="L241" s="21"/>
      <c r="M241" s="24" t="n">
        <f aca="false">IF(AND($K241="Yes",$G241&lt;&gt;"Vendor day rates"),$J241-0.4*$I241,0)</f>
        <v>0</v>
      </c>
      <c r="N241" s="24" t="n">
        <f aca="false">IF(OR($K241&lt;&gt;"Yes",$L241=""),0,$M241*MAX(0,7-MATCH($L241,MonthList,0))/12)</f>
        <v>0</v>
      </c>
      <c r="O241" s="24" t="n">
        <f aca="false">IF(OR($K241&lt;&gt;"Yes",$L241=""),0,$M241*IF(MATCH($L241,MonthList,0)&lt;=7,12,19-MATCH($L241,MonthList,0))/12)</f>
        <v>0</v>
      </c>
      <c r="P241" s="21" t="s">
        <v>59</v>
      </c>
      <c r="Q241" s="21"/>
      <c r="R241" s="24" t="n">
        <f aca="false">IF(AND($P241="Yes",$G241&lt;&gt;"Vendor day rates"),$J241-0.4*$I241,0)</f>
        <v>0</v>
      </c>
      <c r="S241" s="24" t="n">
        <f aca="false">IF(OR($P241&lt;&gt;"Yes",$Q241=""),0,$R241*MAX(0,7-MATCH($Q241,MonthList,0))/12)</f>
        <v>0</v>
      </c>
      <c r="T241" s="24" t="n">
        <f aca="false">IF(OR($P241&lt;&gt;"Yes",$Q241=""),0,$R241*IF(MATCH($Q241,MonthList,0)&lt;=7,12,19-MATCH($Q241,MonthList,0))/12)</f>
        <v>0</v>
      </c>
      <c r="U241" s="21" t="s">
        <v>59</v>
      </c>
      <c r="V241" s="21"/>
      <c r="W241" s="24" t="n">
        <f aca="false">IF(AND($U241="Yes",$G241&lt;&gt;"Vendor day rates"),$J241-0.4*$I241,0)</f>
        <v>0</v>
      </c>
      <c r="X241" s="24" t="n">
        <f aca="false">IF(OR($U241&lt;&gt;"Yes",$V241=""),0,$W241*MAX(0,7-MATCH($V241,MonthList,0))/12)</f>
        <v>0</v>
      </c>
      <c r="Y241" s="24" t="n">
        <f aca="false">IF(OR($U241&lt;&gt;"Yes",$V241=""),0,$W241*IF(MATCH($V241,MonthList,0)&lt;=7,12,19-MATCH($V241,MonthList,0))/12)</f>
        <v>0</v>
      </c>
    </row>
    <row r="242" customFormat="false" ht="15" hidden="false" customHeight="true" outlineLevel="0" collapsed="false">
      <c r="B242" s="18" t="s">
        <v>517</v>
      </c>
      <c r="C242" s="18" t="s">
        <v>518</v>
      </c>
      <c r="D242" s="18"/>
      <c r="E242" s="18" t="s">
        <v>278</v>
      </c>
      <c r="F242" s="19" t="s">
        <v>57</v>
      </c>
      <c r="G242" s="19" t="s">
        <v>145</v>
      </c>
      <c r="H242" s="19" t="n">
        <v>1</v>
      </c>
      <c r="I242" s="20" t="n">
        <v>0.2317</v>
      </c>
      <c r="J242" s="20" t="n">
        <v>0.2317</v>
      </c>
      <c r="K242" s="21" t="s">
        <v>59</v>
      </c>
      <c r="L242" s="21"/>
      <c r="M242" s="20" t="n">
        <f aca="false">IF(AND($K242="Yes",$G242&lt;&gt;"Vendor day rates"),$J242-0.4*$I242,0)</f>
        <v>0</v>
      </c>
      <c r="N242" s="20" t="n">
        <f aca="false">IF(OR($K242&lt;&gt;"Yes",$L242=""),0,$M242*MAX(0,7-MATCH($L242,MonthList,0))/12)</f>
        <v>0</v>
      </c>
      <c r="O242" s="20" t="n">
        <f aca="false">IF(OR($K242&lt;&gt;"Yes",$L242=""),0,$M242*IF(MATCH($L242,MonthList,0)&lt;=7,12,19-MATCH($L242,MonthList,0))/12)</f>
        <v>0</v>
      </c>
      <c r="P242" s="21" t="s">
        <v>59</v>
      </c>
      <c r="Q242" s="21"/>
      <c r="R242" s="20" t="n">
        <f aca="false">IF(AND($P242="Yes",$G242&lt;&gt;"Vendor day rates"),$J242-0.4*$I242,0)</f>
        <v>0</v>
      </c>
      <c r="S242" s="20" t="n">
        <f aca="false">IF(OR($P242&lt;&gt;"Yes",$Q242=""),0,$R242*MAX(0,7-MATCH($Q242,MonthList,0))/12)</f>
        <v>0</v>
      </c>
      <c r="T242" s="20" t="n">
        <f aca="false">IF(OR($P242&lt;&gt;"Yes",$Q242=""),0,$R242*IF(MATCH($Q242,MonthList,0)&lt;=7,12,19-MATCH($Q242,MonthList,0))/12)</f>
        <v>0</v>
      </c>
      <c r="U242" s="21" t="s">
        <v>59</v>
      </c>
      <c r="V242" s="21"/>
      <c r="W242" s="20" t="n">
        <f aca="false">IF(AND($U242="Yes",$G242&lt;&gt;"Vendor day rates"),$J242-0.4*$I242,0)</f>
        <v>0</v>
      </c>
      <c r="X242" s="20" t="n">
        <f aca="false">IF(OR($U242&lt;&gt;"Yes",$V242=""),0,$W242*MAX(0,7-MATCH($V242,MonthList,0))/12)</f>
        <v>0</v>
      </c>
      <c r="Y242" s="20" t="n">
        <f aca="false">IF(OR($U242&lt;&gt;"Yes",$V242=""),0,$W242*IF(MATCH($V242,MonthList,0)&lt;=7,12,19-MATCH($V242,MonthList,0))/12)</f>
        <v>0</v>
      </c>
    </row>
    <row r="243" customFormat="false" ht="15" hidden="false" customHeight="true" outlineLevel="0" collapsed="false">
      <c r="B243" s="22" t="s">
        <v>519</v>
      </c>
      <c r="C243" s="22" t="s">
        <v>520</v>
      </c>
      <c r="D243" s="22"/>
      <c r="E243" s="22" t="s">
        <v>278</v>
      </c>
      <c r="F243" s="23" t="s">
        <v>57</v>
      </c>
      <c r="G243" s="23" t="s">
        <v>145</v>
      </c>
      <c r="H243" s="23" t="n">
        <v>1</v>
      </c>
      <c r="I243" s="24" t="n">
        <v>0.2317</v>
      </c>
      <c r="J243" s="24" t="n">
        <v>0.2317</v>
      </c>
      <c r="K243" s="21" t="s">
        <v>59</v>
      </c>
      <c r="L243" s="21"/>
      <c r="M243" s="24" t="n">
        <f aca="false">IF(AND($K243="Yes",$G243&lt;&gt;"Vendor day rates"),$J243-0.4*$I243,0)</f>
        <v>0</v>
      </c>
      <c r="N243" s="24" t="n">
        <f aca="false">IF(OR($K243&lt;&gt;"Yes",$L243=""),0,$M243*MAX(0,7-MATCH($L243,MonthList,0))/12)</f>
        <v>0</v>
      </c>
      <c r="O243" s="24" t="n">
        <f aca="false">IF(OR($K243&lt;&gt;"Yes",$L243=""),0,$M243*IF(MATCH($L243,MonthList,0)&lt;=7,12,19-MATCH($L243,MonthList,0))/12)</f>
        <v>0</v>
      </c>
      <c r="P243" s="21" t="s">
        <v>59</v>
      </c>
      <c r="Q243" s="21"/>
      <c r="R243" s="24" t="n">
        <f aca="false">IF(AND($P243="Yes",$G243&lt;&gt;"Vendor day rates"),$J243-0.4*$I243,0)</f>
        <v>0</v>
      </c>
      <c r="S243" s="24" t="n">
        <f aca="false">IF(OR($P243&lt;&gt;"Yes",$Q243=""),0,$R243*MAX(0,7-MATCH($Q243,MonthList,0))/12)</f>
        <v>0</v>
      </c>
      <c r="T243" s="24" t="n">
        <f aca="false">IF(OR($P243&lt;&gt;"Yes",$Q243=""),0,$R243*IF(MATCH($Q243,MonthList,0)&lt;=7,12,19-MATCH($Q243,MonthList,0))/12)</f>
        <v>0</v>
      </c>
      <c r="U243" s="21" t="s">
        <v>59</v>
      </c>
      <c r="V243" s="21"/>
      <c r="W243" s="24" t="n">
        <f aca="false">IF(AND($U243="Yes",$G243&lt;&gt;"Vendor day rates"),$J243-0.4*$I243,0)</f>
        <v>0</v>
      </c>
      <c r="X243" s="24" t="n">
        <f aca="false">IF(OR($U243&lt;&gt;"Yes",$V243=""),0,$W243*MAX(0,7-MATCH($V243,MonthList,0))/12)</f>
        <v>0</v>
      </c>
      <c r="Y243" s="24" t="n">
        <f aca="false">IF(OR($U243&lt;&gt;"Yes",$V243=""),0,$W243*IF(MATCH($V243,MonthList,0)&lt;=7,12,19-MATCH($V243,MonthList,0))/12)</f>
        <v>0</v>
      </c>
    </row>
    <row r="244" customFormat="false" ht="15" hidden="false" customHeight="true" outlineLevel="0" collapsed="false">
      <c r="B244" s="18" t="s">
        <v>521</v>
      </c>
      <c r="C244" s="18" t="s">
        <v>522</v>
      </c>
      <c r="D244" s="18"/>
      <c r="E244" s="18" t="s">
        <v>278</v>
      </c>
      <c r="F244" s="19" t="s">
        <v>57</v>
      </c>
      <c r="G244" s="19" t="s">
        <v>145</v>
      </c>
      <c r="H244" s="19" t="n">
        <v>1</v>
      </c>
      <c r="I244" s="20" t="n">
        <v>0.2317</v>
      </c>
      <c r="J244" s="20" t="n">
        <v>0.2317</v>
      </c>
      <c r="K244" s="21" t="s">
        <v>59</v>
      </c>
      <c r="L244" s="21"/>
      <c r="M244" s="20" t="n">
        <f aca="false">IF(AND($K244="Yes",$G244&lt;&gt;"Vendor day rates"),$J244-0.4*$I244,0)</f>
        <v>0</v>
      </c>
      <c r="N244" s="20" t="n">
        <f aca="false">IF(OR($K244&lt;&gt;"Yes",$L244=""),0,$M244*MAX(0,7-MATCH($L244,MonthList,0))/12)</f>
        <v>0</v>
      </c>
      <c r="O244" s="20" t="n">
        <f aca="false">IF(OR($K244&lt;&gt;"Yes",$L244=""),0,$M244*IF(MATCH($L244,MonthList,0)&lt;=7,12,19-MATCH($L244,MonthList,0))/12)</f>
        <v>0</v>
      </c>
      <c r="P244" s="21" t="s">
        <v>59</v>
      </c>
      <c r="Q244" s="21"/>
      <c r="R244" s="20" t="n">
        <f aca="false">IF(AND($P244="Yes",$G244&lt;&gt;"Vendor day rates"),$J244-0.4*$I244,0)</f>
        <v>0</v>
      </c>
      <c r="S244" s="20" t="n">
        <f aca="false">IF(OR($P244&lt;&gt;"Yes",$Q244=""),0,$R244*MAX(0,7-MATCH($Q244,MonthList,0))/12)</f>
        <v>0</v>
      </c>
      <c r="T244" s="20" t="n">
        <f aca="false">IF(OR($P244&lt;&gt;"Yes",$Q244=""),0,$R244*IF(MATCH($Q244,MonthList,0)&lt;=7,12,19-MATCH($Q244,MonthList,0))/12)</f>
        <v>0</v>
      </c>
      <c r="U244" s="21" t="s">
        <v>59</v>
      </c>
      <c r="V244" s="21"/>
      <c r="W244" s="20" t="n">
        <f aca="false">IF(AND($U244="Yes",$G244&lt;&gt;"Vendor day rates"),$J244-0.4*$I244,0)</f>
        <v>0</v>
      </c>
      <c r="X244" s="20" t="n">
        <f aca="false">IF(OR($U244&lt;&gt;"Yes",$V244=""),0,$W244*MAX(0,7-MATCH($V244,MonthList,0))/12)</f>
        <v>0</v>
      </c>
      <c r="Y244" s="20" t="n">
        <f aca="false">IF(OR($U244&lt;&gt;"Yes",$V244=""),0,$W244*IF(MATCH($V244,MonthList,0)&lt;=7,12,19-MATCH($V244,MonthList,0))/12)</f>
        <v>0</v>
      </c>
    </row>
    <row r="245" customFormat="false" ht="15" hidden="false" customHeight="true" outlineLevel="0" collapsed="false">
      <c r="B245" s="22" t="s">
        <v>523</v>
      </c>
      <c r="C245" s="22" t="s">
        <v>524</v>
      </c>
      <c r="D245" s="22"/>
      <c r="E245" s="22" t="s">
        <v>295</v>
      </c>
      <c r="F245" s="23" t="s">
        <v>57</v>
      </c>
      <c r="G245" s="23" t="s">
        <v>58</v>
      </c>
      <c r="H245" s="23" t="n">
        <v>1</v>
      </c>
      <c r="I245" s="24" t="n">
        <v>0.2502</v>
      </c>
      <c r="J245" s="24" t="n">
        <v>0.2502</v>
      </c>
      <c r="K245" s="21" t="s">
        <v>59</v>
      </c>
      <c r="L245" s="21"/>
      <c r="M245" s="24" t="n">
        <f aca="false">IF(AND($K245="Yes",$G245&lt;&gt;"Vendor day rates"),$J245-0.4*$I245,0)</f>
        <v>0</v>
      </c>
      <c r="N245" s="24" t="n">
        <f aca="false">IF(OR($K245&lt;&gt;"Yes",$L245=""),0,$M245*MAX(0,7-MATCH($L245,MonthList,0))/12)</f>
        <v>0</v>
      </c>
      <c r="O245" s="24" t="n">
        <f aca="false">IF(OR($K245&lt;&gt;"Yes",$L245=""),0,$M245*IF(MATCH($L245,MonthList,0)&lt;=7,12,19-MATCH($L245,MonthList,0))/12)</f>
        <v>0</v>
      </c>
      <c r="P245" s="21" t="s">
        <v>59</v>
      </c>
      <c r="Q245" s="21"/>
      <c r="R245" s="24" t="n">
        <f aca="false">IF(AND($P245="Yes",$G245&lt;&gt;"Vendor day rates"),$J245-0.4*$I245,0)</f>
        <v>0</v>
      </c>
      <c r="S245" s="24" t="n">
        <f aca="false">IF(OR($P245&lt;&gt;"Yes",$Q245=""),0,$R245*MAX(0,7-MATCH($Q245,MonthList,0))/12)</f>
        <v>0</v>
      </c>
      <c r="T245" s="24" t="n">
        <f aca="false">IF(OR($P245&lt;&gt;"Yes",$Q245=""),0,$R245*IF(MATCH($Q245,MonthList,0)&lt;=7,12,19-MATCH($Q245,MonthList,0))/12)</f>
        <v>0</v>
      </c>
      <c r="U245" s="21" t="s">
        <v>59</v>
      </c>
      <c r="V245" s="21"/>
      <c r="W245" s="24" t="n">
        <f aca="false">IF(AND($U245="Yes",$G245&lt;&gt;"Vendor day rates"),$J245-0.4*$I245,0)</f>
        <v>0</v>
      </c>
      <c r="X245" s="24" t="n">
        <f aca="false">IF(OR($U245&lt;&gt;"Yes",$V245=""),0,$W245*MAX(0,7-MATCH($V245,MonthList,0))/12)</f>
        <v>0</v>
      </c>
      <c r="Y245" s="24" t="n">
        <f aca="false">IF(OR($U245&lt;&gt;"Yes",$V245=""),0,$W245*IF(MATCH($V245,MonthList,0)&lt;=7,12,19-MATCH($V245,MonthList,0))/12)</f>
        <v>0</v>
      </c>
    </row>
    <row r="246" customFormat="false" ht="15" hidden="false" customHeight="true" outlineLevel="0" collapsed="false">
      <c r="B246" s="18" t="s">
        <v>525</v>
      </c>
      <c r="C246" s="18" t="s">
        <v>526</v>
      </c>
      <c r="D246" s="18" t="s">
        <v>26</v>
      </c>
      <c r="E246" s="18" t="s">
        <v>191</v>
      </c>
      <c r="F246" s="19" t="s">
        <v>57</v>
      </c>
      <c r="G246" s="19" t="s">
        <v>58</v>
      </c>
      <c r="H246" s="19" t="n">
        <v>1</v>
      </c>
      <c r="I246" s="20" t="n">
        <v>0.2258</v>
      </c>
      <c r="J246" s="20" t="n">
        <v>0.2258</v>
      </c>
      <c r="K246" s="21" t="s">
        <v>59</v>
      </c>
      <c r="L246" s="21"/>
      <c r="M246" s="20" t="n">
        <f aca="false">IF(AND($K246="Yes",$G246&lt;&gt;"Vendor day rates"),$J246-0.4*$I246,0)</f>
        <v>0</v>
      </c>
      <c r="N246" s="20" t="n">
        <f aca="false">IF(OR($K246&lt;&gt;"Yes",$L246=""),0,$M246*MAX(0,7-MATCH($L246,MonthList,0))/12)</f>
        <v>0</v>
      </c>
      <c r="O246" s="20" t="n">
        <f aca="false">IF(OR($K246&lt;&gt;"Yes",$L246=""),0,$M246*IF(MATCH($L246,MonthList,0)&lt;=7,12,19-MATCH($L246,MonthList,0))/12)</f>
        <v>0</v>
      </c>
      <c r="P246" s="21" t="s">
        <v>59</v>
      </c>
      <c r="Q246" s="21"/>
      <c r="R246" s="20" t="n">
        <f aca="false">IF(AND($P246="Yes",$G246&lt;&gt;"Vendor day rates"),$J246-0.4*$I246,0)</f>
        <v>0</v>
      </c>
      <c r="S246" s="20" t="n">
        <f aca="false">IF(OR($P246&lt;&gt;"Yes",$Q246=""),0,$R246*MAX(0,7-MATCH($Q246,MonthList,0))/12)</f>
        <v>0</v>
      </c>
      <c r="T246" s="20" t="n">
        <f aca="false">IF(OR($P246&lt;&gt;"Yes",$Q246=""),0,$R246*IF(MATCH($Q246,MonthList,0)&lt;=7,12,19-MATCH($Q246,MonthList,0))/12)</f>
        <v>0</v>
      </c>
      <c r="U246" s="21" t="s">
        <v>59</v>
      </c>
      <c r="V246" s="21"/>
      <c r="W246" s="20" t="n">
        <f aca="false">IF(AND($U246="Yes",$G246&lt;&gt;"Vendor day rates"),$J246-0.4*$I246,0)</f>
        <v>0</v>
      </c>
      <c r="X246" s="20" t="n">
        <f aca="false">IF(OR($U246&lt;&gt;"Yes",$V246=""),0,$W246*MAX(0,7-MATCH($V246,MonthList,0))/12)</f>
        <v>0</v>
      </c>
      <c r="Y246" s="20" t="n">
        <f aca="false">IF(OR($U246&lt;&gt;"Yes",$V246=""),0,$W246*IF(MATCH($V246,MonthList,0)&lt;=7,12,19-MATCH($V246,MonthList,0))/12)</f>
        <v>0</v>
      </c>
    </row>
    <row r="247" customFormat="false" ht="15" hidden="false" customHeight="true" outlineLevel="0" collapsed="false">
      <c r="B247" s="22" t="s">
        <v>527</v>
      </c>
      <c r="C247" s="22" t="s">
        <v>528</v>
      </c>
      <c r="D247" s="22" t="s">
        <v>30</v>
      </c>
      <c r="E247" s="22" t="s">
        <v>477</v>
      </c>
      <c r="F247" s="23" t="s">
        <v>57</v>
      </c>
      <c r="G247" s="23" t="s">
        <v>58</v>
      </c>
      <c r="H247" s="23" t="n">
        <v>1</v>
      </c>
      <c r="I247" s="24" t="n">
        <v>0.2465</v>
      </c>
      <c r="J247" s="24" t="n">
        <v>0.2465</v>
      </c>
      <c r="K247" s="21" t="s">
        <v>59</v>
      </c>
      <c r="L247" s="21"/>
      <c r="M247" s="24" t="n">
        <f aca="false">IF(AND($K247="Yes",$G247&lt;&gt;"Vendor day rates"),$J247-0.4*$I247,0)</f>
        <v>0</v>
      </c>
      <c r="N247" s="24" t="n">
        <f aca="false">IF(OR($K247&lt;&gt;"Yes",$L247=""),0,$M247*MAX(0,7-MATCH($L247,MonthList,0))/12)</f>
        <v>0</v>
      </c>
      <c r="O247" s="24" t="n">
        <f aca="false">IF(OR($K247&lt;&gt;"Yes",$L247=""),0,$M247*IF(MATCH($L247,MonthList,0)&lt;=7,12,19-MATCH($L247,MonthList,0))/12)</f>
        <v>0</v>
      </c>
      <c r="P247" s="21" t="s">
        <v>59</v>
      </c>
      <c r="Q247" s="21"/>
      <c r="R247" s="24" t="n">
        <f aca="false">IF(AND($P247="Yes",$G247&lt;&gt;"Vendor day rates"),$J247-0.4*$I247,0)</f>
        <v>0</v>
      </c>
      <c r="S247" s="24" t="n">
        <f aca="false">IF(OR($P247&lt;&gt;"Yes",$Q247=""),0,$R247*MAX(0,7-MATCH($Q247,MonthList,0))/12)</f>
        <v>0</v>
      </c>
      <c r="T247" s="24" t="n">
        <f aca="false">IF(OR($P247&lt;&gt;"Yes",$Q247=""),0,$R247*IF(MATCH($Q247,MonthList,0)&lt;=7,12,19-MATCH($Q247,MonthList,0))/12)</f>
        <v>0</v>
      </c>
      <c r="U247" s="21" t="s">
        <v>59</v>
      </c>
      <c r="V247" s="21"/>
      <c r="W247" s="24" t="n">
        <f aca="false">IF(AND($U247="Yes",$G247&lt;&gt;"Vendor day rates"),$J247-0.4*$I247,0)</f>
        <v>0</v>
      </c>
      <c r="X247" s="24" t="n">
        <f aca="false">IF(OR($U247&lt;&gt;"Yes",$V247=""),0,$W247*MAX(0,7-MATCH($V247,MonthList,0))/12)</f>
        <v>0</v>
      </c>
      <c r="Y247" s="24" t="n">
        <f aca="false">IF(OR($U247&lt;&gt;"Yes",$V247=""),0,$W247*IF(MATCH($V247,MonthList,0)&lt;=7,12,19-MATCH($V247,MonthList,0))/12)</f>
        <v>0</v>
      </c>
    </row>
    <row r="248" customFormat="false" ht="15" hidden="false" customHeight="true" outlineLevel="0" collapsed="false">
      <c r="B248" s="18" t="s">
        <v>529</v>
      </c>
      <c r="C248" s="18" t="s">
        <v>530</v>
      </c>
      <c r="D248" s="18" t="s">
        <v>30</v>
      </c>
      <c r="E248" s="18" t="s">
        <v>477</v>
      </c>
      <c r="F248" s="19" t="s">
        <v>57</v>
      </c>
      <c r="G248" s="19" t="s">
        <v>58</v>
      </c>
      <c r="H248" s="19" t="n">
        <v>1</v>
      </c>
      <c r="I248" s="20" t="n">
        <v>0.2591</v>
      </c>
      <c r="J248" s="20" t="n">
        <v>0.2591</v>
      </c>
      <c r="K248" s="21" t="s">
        <v>59</v>
      </c>
      <c r="L248" s="21"/>
      <c r="M248" s="20" t="n">
        <f aca="false">IF(AND($K248="Yes",$G248&lt;&gt;"Vendor day rates"),$J248-0.4*$I248,0)</f>
        <v>0</v>
      </c>
      <c r="N248" s="20" t="n">
        <f aca="false">IF(OR($K248&lt;&gt;"Yes",$L248=""),0,$M248*MAX(0,7-MATCH($L248,MonthList,0))/12)</f>
        <v>0</v>
      </c>
      <c r="O248" s="20" t="n">
        <f aca="false">IF(OR($K248&lt;&gt;"Yes",$L248=""),0,$M248*IF(MATCH($L248,MonthList,0)&lt;=7,12,19-MATCH($L248,MonthList,0))/12)</f>
        <v>0</v>
      </c>
      <c r="P248" s="21" t="s">
        <v>59</v>
      </c>
      <c r="Q248" s="21"/>
      <c r="R248" s="20" t="n">
        <f aca="false">IF(AND($P248="Yes",$G248&lt;&gt;"Vendor day rates"),$J248-0.4*$I248,0)</f>
        <v>0</v>
      </c>
      <c r="S248" s="20" t="n">
        <f aca="false">IF(OR($P248&lt;&gt;"Yes",$Q248=""),0,$R248*MAX(0,7-MATCH($Q248,MonthList,0))/12)</f>
        <v>0</v>
      </c>
      <c r="T248" s="20" t="n">
        <f aca="false">IF(OR($P248&lt;&gt;"Yes",$Q248=""),0,$R248*IF(MATCH($Q248,MonthList,0)&lt;=7,12,19-MATCH($Q248,MonthList,0))/12)</f>
        <v>0</v>
      </c>
      <c r="U248" s="21" t="s">
        <v>59</v>
      </c>
      <c r="V248" s="21"/>
      <c r="W248" s="20" t="n">
        <f aca="false">IF(AND($U248="Yes",$G248&lt;&gt;"Vendor day rates"),$J248-0.4*$I248,0)</f>
        <v>0</v>
      </c>
      <c r="X248" s="20" t="n">
        <f aca="false">IF(OR($U248&lt;&gt;"Yes",$V248=""),0,$W248*MAX(0,7-MATCH($V248,MonthList,0))/12)</f>
        <v>0</v>
      </c>
      <c r="Y248" s="20" t="n">
        <f aca="false">IF(OR($U248&lt;&gt;"Yes",$V248=""),0,$W248*IF(MATCH($V248,MonthList,0)&lt;=7,12,19-MATCH($V248,MonthList,0))/12)</f>
        <v>0</v>
      </c>
    </row>
    <row r="249" customFormat="false" ht="15" hidden="false" customHeight="true" outlineLevel="0" collapsed="false">
      <c r="B249" s="22" t="s">
        <v>531</v>
      </c>
      <c r="C249" s="22" t="s">
        <v>530</v>
      </c>
      <c r="D249" s="22" t="s">
        <v>30</v>
      </c>
      <c r="E249" s="22" t="s">
        <v>477</v>
      </c>
      <c r="F249" s="23" t="s">
        <v>57</v>
      </c>
      <c r="G249" s="23" t="s">
        <v>58</v>
      </c>
      <c r="H249" s="23" t="n">
        <v>1</v>
      </c>
      <c r="I249" s="24" t="n">
        <v>0.2434</v>
      </c>
      <c r="J249" s="24" t="n">
        <v>0.2434</v>
      </c>
      <c r="K249" s="21" t="s">
        <v>59</v>
      </c>
      <c r="L249" s="21"/>
      <c r="M249" s="24" t="n">
        <f aca="false">IF(AND($K249="Yes",$G249&lt;&gt;"Vendor day rates"),$J249-0.4*$I249,0)</f>
        <v>0</v>
      </c>
      <c r="N249" s="24" t="n">
        <f aca="false">IF(OR($K249&lt;&gt;"Yes",$L249=""),0,$M249*MAX(0,7-MATCH($L249,MonthList,0))/12)</f>
        <v>0</v>
      </c>
      <c r="O249" s="24" t="n">
        <f aca="false">IF(OR($K249&lt;&gt;"Yes",$L249=""),0,$M249*IF(MATCH($L249,MonthList,0)&lt;=7,12,19-MATCH($L249,MonthList,0))/12)</f>
        <v>0</v>
      </c>
      <c r="P249" s="21" t="s">
        <v>59</v>
      </c>
      <c r="Q249" s="21"/>
      <c r="R249" s="24" t="n">
        <f aca="false">IF(AND($P249="Yes",$G249&lt;&gt;"Vendor day rates"),$J249-0.4*$I249,0)</f>
        <v>0</v>
      </c>
      <c r="S249" s="24" t="n">
        <f aca="false">IF(OR($P249&lt;&gt;"Yes",$Q249=""),0,$R249*MAX(0,7-MATCH($Q249,MonthList,0))/12)</f>
        <v>0</v>
      </c>
      <c r="T249" s="24" t="n">
        <f aca="false">IF(OR($P249&lt;&gt;"Yes",$Q249=""),0,$R249*IF(MATCH($Q249,MonthList,0)&lt;=7,12,19-MATCH($Q249,MonthList,0))/12)</f>
        <v>0</v>
      </c>
      <c r="U249" s="21" t="s">
        <v>59</v>
      </c>
      <c r="V249" s="21"/>
      <c r="W249" s="24" t="n">
        <f aca="false">IF(AND($U249="Yes",$G249&lt;&gt;"Vendor day rates"),$J249-0.4*$I249,0)</f>
        <v>0</v>
      </c>
      <c r="X249" s="24" t="n">
        <f aca="false">IF(OR($U249&lt;&gt;"Yes",$V249=""),0,$W249*MAX(0,7-MATCH($V249,MonthList,0))/12)</f>
        <v>0</v>
      </c>
      <c r="Y249" s="24" t="n">
        <f aca="false">IF(OR($U249&lt;&gt;"Yes",$V249=""),0,$W249*IF(MATCH($V249,MonthList,0)&lt;=7,12,19-MATCH($V249,MonthList,0))/12)</f>
        <v>0</v>
      </c>
    </row>
    <row r="250" customFormat="false" ht="15" hidden="false" customHeight="true" outlineLevel="0" collapsed="false">
      <c r="B250" s="18" t="s">
        <v>532</v>
      </c>
      <c r="C250" s="18" t="s">
        <v>55</v>
      </c>
      <c r="D250" s="18" t="s">
        <v>20</v>
      </c>
      <c r="E250" s="18" t="s">
        <v>533</v>
      </c>
      <c r="F250" s="19" t="s">
        <v>57</v>
      </c>
      <c r="G250" s="19" t="s">
        <v>58</v>
      </c>
      <c r="H250" s="19" t="n">
        <v>1</v>
      </c>
      <c r="I250" s="20" t="n">
        <v>0.2869</v>
      </c>
      <c r="J250" s="20" t="n">
        <v>0.2869</v>
      </c>
      <c r="K250" s="21" t="s">
        <v>59</v>
      </c>
      <c r="L250" s="21"/>
      <c r="M250" s="20" t="n">
        <f aca="false">IF(AND($K250="Yes",$G250&lt;&gt;"Vendor day rates"),$J250-0.4*$I250,0)</f>
        <v>0</v>
      </c>
      <c r="N250" s="20" t="n">
        <f aca="false">IF(OR($K250&lt;&gt;"Yes",$L250=""),0,$M250*MAX(0,7-MATCH($L250,MonthList,0))/12)</f>
        <v>0</v>
      </c>
      <c r="O250" s="20" t="n">
        <f aca="false">IF(OR($K250&lt;&gt;"Yes",$L250=""),0,$M250*IF(MATCH($L250,MonthList,0)&lt;=7,12,19-MATCH($L250,MonthList,0))/12)</f>
        <v>0</v>
      </c>
      <c r="P250" s="21" t="s">
        <v>59</v>
      </c>
      <c r="Q250" s="21"/>
      <c r="R250" s="20" t="n">
        <f aca="false">IF(AND($P250="Yes",$G250&lt;&gt;"Vendor day rates"),$J250-0.4*$I250,0)</f>
        <v>0</v>
      </c>
      <c r="S250" s="20" t="n">
        <f aca="false">IF(OR($P250&lt;&gt;"Yes",$Q250=""),0,$R250*MAX(0,7-MATCH($Q250,MonthList,0))/12)</f>
        <v>0</v>
      </c>
      <c r="T250" s="20" t="n">
        <f aca="false">IF(OR($P250&lt;&gt;"Yes",$Q250=""),0,$R250*IF(MATCH($Q250,MonthList,0)&lt;=7,12,19-MATCH($Q250,MonthList,0))/12)</f>
        <v>0</v>
      </c>
      <c r="U250" s="21" t="s">
        <v>59</v>
      </c>
      <c r="V250" s="21"/>
      <c r="W250" s="20" t="n">
        <f aca="false">IF(AND($U250="Yes",$G250&lt;&gt;"Vendor day rates"),$J250-0.4*$I250,0)</f>
        <v>0</v>
      </c>
      <c r="X250" s="20" t="n">
        <f aca="false">IF(OR($U250&lt;&gt;"Yes",$V250=""),0,$W250*MAX(0,7-MATCH($V250,MonthList,0))/12)</f>
        <v>0</v>
      </c>
      <c r="Y250" s="20" t="n">
        <f aca="false">IF(OR($U250&lt;&gt;"Yes",$V250=""),0,$W250*IF(MATCH($V250,MonthList,0)&lt;=7,12,19-MATCH($V250,MonthList,0))/12)</f>
        <v>0</v>
      </c>
    </row>
    <row r="251" customFormat="false" ht="15" hidden="false" customHeight="true" outlineLevel="0" collapsed="false">
      <c r="B251" s="22" t="s">
        <v>534</v>
      </c>
      <c r="C251" s="22" t="s">
        <v>411</v>
      </c>
      <c r="D251" s="22" t="s">
        <v>20</v>
      </c>
      <c r="E251" s="22" t="s">
        <v>533</v>
      </c>
      <c r="F251" s="23" t="s">
        <v>57</v>
      </c>
      <c r="G251" s="23" t="s">
        <v>118</v>
      </c>
      <c r="H251" s="23" t="n">
        <v>1</v>
      </c>
      <c r="I251" s="24" t="n">
        <v>0.3224</v>
      </c>
      <c r="J251" s="24" t="n">
        <v>0.129</v>
      </c>
      <c r="K251" s="21" t="s">
        <v>59</v>
      </c>
      <c r="L251" s="21"/>
      <c r="M251" s="24" t="n">
        <f aca="false">IF(AND($K251="Yes",$G251&lt;&gt;"Vendor day rates"),$J251-0.4*$I251,0)</f>
        <v>0</v>
      </c>
      <c r="N251" s="24" t="n">
        <f aca="false">IF(OR($K251&lt;&gt;"Yes",$L251=""),0,$M251*MAX(0,7-MATCH($L251,MonthList,0))/12)</f>
        <v>0</v>
      </c>
      <c r="O251" s="24" t="n">
        <f aca="false">IF(OR($K251&lt;&gt;"Yes",$L251=""),0,$M251*IF(MATCH($L251,MonthList,0)&lt;=7,12,19-MATCH($L251,MonthList,0))/12)</f>
        <v>0</v>
      </c>
      <c r="P251" s="21" t="s">
        <v>59</v>
      </c>
      <c r="Q251" s="21"/>
      <c r="R251" s="24" t="n">
        <f aca="false">IF(AND($P251="Yes",$G251&lt;&gt;"Vendor day rates"),$J251-0.4*$I251,0)</f>
        <v>0</v>
      </c>
      <c r="S251" s="24" t="n">
        <f aca="false">IF(OR($P251&lt;&gt;"Yes",$Q251=""),0,$R251*MAX(0,7-MATCH($Q251,MonthList,0))/12)</f>
        <v>0</v>
      </c>
      <c r="T251" s="24" t="n">
        <f aca="false">IF(OR($P251&lt;&gt;"Yes",$Q251=""),0,$R251*IF(MATCH($Q251,MonthList,0)&lt;=7,12,19-MATCH($Q251,MonthList,0))/12)</f>
        <v>0</v>
      </c>
      <c r="U251" s="21" t="s">
        <v>59</v>
      </c>
      <c r="V251" s="21"/>
      <c r="W251" s="24" t="n">
        <f aca="false">IF(AND($U251="Yes",$G251&lt;&gt;"Vendor day rates"),$J251-0.4*$I251,0)</f>
        <v>0</v>
      </c>
      <c r="X251" s="24" t="n">
        <f aca="false">IF(OR($U251&lt;&gt;"Yes",$V251=""),0,$W251*MAX(0,7-MATCH($V251,MonthList,0))/12)</f>
        <v>0</v>
      </c>
      <c r="Y251" s="24" t="n">
        <f aca="false">IF(OR($U251&lt;&gt;"Yes",$V251=""),0,$W251*IF(MATCH($V251,MonthList,0)&lt;=7,12,19-MATCH($V251,MonthList,0))/12)</f>
        <v>0</v>
      </c>
    </row>
    <row r="252" customFormat="false" ht="15" hidden="false" customHeight="true" outlineLevel="0" collapsed="false">
      <c r="B252" s="18" t="s">
        <v>535</v>
      </c>
      <c r="C252" s="18" t="s">
        <v>536</v>
      </c>
      <c r="D252" s="18" t="s">
        <v>20</v>
      </c>
      <c r="E252" s="18" t="s">
        <v>533</v>
      </c>
      <c r="F252" s="19" t="s">
        <v>57</v>
      </c>
      <c r="G252" s="19" t="s">
        <v>118</v>
      </c>
      <c r="H252" s="19" t="n">
        <v>1</v>
      </c>
      <c r="I252" s="20" t="n">
        <v>0.3756</v>
      </c>
      <c r="J252" s="20" t="n">
        <v>0.1502</v>
      </c>
      <c r="K252" s="21" t="s">
        <v>59</v>
      </c>
      <c r="L252" s="21"/>
      <c r="M252" s="20" t="n">
        <f aca="false">IF(AND($K252="Yes",$G252&lt;&gt;"Vendor day rates"),$J252-0.4*$I252,0)</f>
        <v>0</v>
      </c>
      <c r="N252" s="20" t="n">
        <f aca="false">IF(OR($K252&lt;&gt;"Yes",$L252=""),0,$M252*MAX(0,7-MATCH($L252,MonthList,0))/12)</f>
        <v>0</v>
      </c>
      <c r="O252" s="20" t="n">
        <f aca="false">IF(OR($K252&lt;&gt;"Yes",$L252=""),0,$M252*IF(MATCH($L252,MonthList,0)&lt;=7,12,19-MATCH($L252,MonthList,0))/12)</f>
        <v>0</v>
      </c>
      <c r="P252" s="21" t="s">
        <v>59</v>
      </c>
      <c r="Q252" s="21"/>
      <c r="R252" s="20" t="n">
        <f aca="false">IF(AND($P252="Yes",$G252&lt;&gt;"Vendor day rates"),$J252-0.4*$I252,0)</f>
        <v>0</v>
      </c>
      <c r="S252" s="20" t="n">
        <f aca="false">IF(OR($P252&lt;&gt;"Yes",$Q252=""),0,$R252*MAX(0,7-MATCH($Q252,MonthList,0))/12)</f>
        <v>0</v>
      </c>
      <c r="T252" s="20" t="n">
        <f aca="false">IF(OR($P252&lt;&gt;"Yes",$Q252=""),0,$R252*IF(MATCH($Q252,MonthList,0)&lt;=7,12,19-MATCH($Q252,MonthList,0))/12)</f>
        <v>0</v>
      </c>
      <c r="U252" s="21" t="s">
        <v>59</v>
      </c>
      <c r="V252" s="21"/>
      <c r="W252" s="20" t="n">
        <f aca="false">IF(AND($U252="Yes",$G252&lt;&gt;"Vendor day rates"),$J252-0.4*$I252,0)</f>
        <v>0</v>
      </c>
      <c r="X252" s="20" t="n">
        <f aca="false">IF(OR($U252&lt;&gt;"Yes",$V252=""),0,$W252*MAX(0,7-MATCH($V252,MonthList,0))/12)</f>
        <v>0</v>
      </c>
      <c r="Y252" s="20" t="n">
        <f aca="false">IF(OR($U252&lt;&gt;"Yes",$V252=""),0,$W252*IF(MATCH($V252,MonthList,0)&lt;=7,12,19-MATCH($V252,MonthList,0))/12)</f>
        <v>0</v>
      </c>
    </row>
    <row r="253" customFormat="false" ht="15" hidden="false" customHeight="true" outlineLevel="0" collapsed="false">
      <c r="B253" s="22" t="s">
        <v>537</v>
      </c>
      <c r="C253" s="22" t="s">
        <v>538</v>
      </c>
      <c r="D253" s="22" t="s">
        <v>20</v>
      </c>
      <c r="E253" s="22" t="s">
        <v>533</v>
      </c>
      <c r="F253" s="23" t="s">
        <v>57</v>
      </c>
      <c r="G253" s="23" t="s">
        <v>118</v>
      </c>
      <c r="H253" s="23" t="n">
        <v>1</v>
      </c>
      <c r="I253" s="24" t="n">
        <v>0.3257</v>
      </c>
      <c r="J253" s="24" t="n">
        <v>0.1303</v>
      </c>
      <c r="K253" s="21" t="s">
        <v>59</v>
      </c>
      <c r="L253" s="21"/>
      <c r="M253" s="24" t="n">
        <f aca="false">IF(AND($K253="Yes",$G253&lt;&gt;"Vendor day rates"),$J253-0.4*$I253,0)</f>
        <v>0</v>
      </c>
      <c r="N253" s="24" t="n">
        <f aca="false">IF(OR($K253&lt;&gt;"Yes",$L253=""),0,$M253*MAX(0,7-MATCH($L253,MonthList,0))/12)</f>
        <v>0</v>
      </c>
      <c r="O253" s="24" t="n">
        <f aca="false">IF(OR($K253&lt;&gt;"Yes",$L253=""),0,$M253*IF(MATCH($L253,MonthList,0)&lt;=7,12,19-MATCH($L253,MonthList,0))/12)</f>
        <v>0</v>
      </c>
      <c r="P253" s="21" t="s">
        <v>59</v>
      </c>
      <c r="Q253" s="21"/>
      <c r="R253" s="24" t="n">
        <f aca="false">IF(AND($P253="Yes",$G253&lt;&gt;"Vendor day rates"),$J253-0.4*$I253,0)</f>
        <v>0</v>
      </c>
      <c r="S253" s="24" t="n">
        <f aca="false">IF(OR($P253&lt;&gt;"Yes",$Q253=""),0,$R253*MAX(0,7-MATCH($Q253,MonthList,0))/12)</f>
        <v>0</v>
      </c>
      <c r="T253" s="24" t="n">
        <f aca="false">IF(OR($P253&lt;&gt;"Yes",$Q253=""),0,$R253*IF(MATCH($Q253,MonthList,0)&lt;=7,12,19-MATCH($Q253,MonthList,0))/12)</f>
        <v>0</v>
      </c>
      <c r="U253" s="21" t="s">
        <v>59</v>
      </c>
      <c r="V253" s="21"/>
      <c r="W253" s="24" t="n">
        <f aca="false">IF(AND($U253="Yes",$G253&lt;&gt;"Vendor day rates"),$J253-0.4*$I253,0)</f>
        <v>0</v>
      </c>
      <c r="X253" s="24" t="n">
        <f aca="false">IF(OR($U253&lt;&gt;"Yes",$V253=""),0,$W253*MAX(0,7-MATCH($V253,MonthList,0))/12)</f>
        <v>0</v>
      </c>
      <c r="Y253" s="24" t="n">
        <f aca="false">IF(OR($U253&lt;&gt;"Yes",$V253=""),0,$W253*IF(MATCH($V253,MonthList,0)&lt;=7,12,19-MATCH($V253,MonthList,0))/12)</f>
        <v>0</v>
      </c>
    </row>
    <row r="254" customFormat="false" ht="15" hidden="false" customHeight="true" outlineLevel="0" collapsed="false">
      <c r="B254" s="18" t="s">
        <v>539</v>
      </c>
      <c r="C254" s="18" t="s">
        <v>113</v>
      </c>
      <c r="D254" s="18" t="s">
        <v>20</v>
      </c>
      <c r="E254" s="18" t="s">
        <v>275</v>
      </c>
      <c r="F254" s="19" t="s">
        <v>57</v>
      </c>
      <c r="G254" s="19" t="s">
        <v>58</v>
      </c>
      <c r="H254" s="19" t="n">
        <v>1</v>
      </c>
      <c r="I254" s="20" t="n">
        <v>0.277</v>
      </c>
      <c r="J254" s="20" t="n">
        <v>0.277</v>
      </c>
      <c r="K254" s="21" t="s">
        <v>59</v>
      </c>
      <c r="L254" s="21"/>
      <c r="M254" s="20" t="n">
        <f aca="false">IF(AND($K254="Yes",$G254&lt;&gt;"Vendor day rates"),$J254-0.4*$I254,0)</f>
        <v>0</v>
      </c>
      <c r="N254" s="20" t="n">
        <f aca="false">IF(OR($K254&lt;&gt;"Yes",$L254=""),0,$M254*MAX(0,7-MATCH($L254,MonthList,0))/12)</f>
        <v>0</v>
      </c>
      <c r="O254" s="20" t="n">
        <f aca="false">IF(OR($K254&lt;&gt;"Yes",$L254=""),0,$M254*IF(MATCH($L254,MonthList,0)&lt;=7,12,19-MATCH($L254,MonthList,0))/12)</f>
        <v>0</v>
      </c>
      <c r="P254" s="21" t="s">
        <v>59</v>
      </c>
      <c r="Q254" s="21"/>
      <c r="R254" s="20" t="n">
        <f aca="false">IF(AND($P254="Yes",$G254&lt;&gt;"Vendor day rates"),$J254-0.4*$I254,0)</f>
        <v>0</v>
      </c>
      <c r="S254" s="20" t="n">
        <f aca="false">IF(OR($P254&lt;&gt;"Yes",$Q254=""),0,$R254*MAX(0,7-MATCH($Q254,MonthList,0))/12)</f>
        <v>0</v>
      </c>
      <c r="T254" s="20" t="n">
        <f aca="false">IF(OR($P254&lt;&gt;"Yes",$Q254=""),0,$R254*IF(MATCH($Q254,MonthList,0)&lt;=7,12,19-MATCH($Q254,MonthList,0))/12)</f>
        <v>0</v>
      </c>
      <c r="U254" s="21" t="s">
        <v>59</v>
      </c>
      <c r="V254" s="21"/>
      <c r="W254" s="20" t="n">
        <f aca="false">IF(AND($U254="Yes",$G254&lt;&gt;"Vendor day rates"),$J254-0.4*$I254,0)</f>
        <v>0</v>
      </c>
      <c r="X254" s="20" t="n">
        <f aca="false">IF(OR($U254&lt;&gt;"Yes",$V254=""),0,$W254*MAX(0,7-MATCH($V254,MonthList,0))/12)</f>
        <v>0</v>
      </c>
      <c r="Y254" s="20" t="n">
        <f aca="false">IF(OR($U254&lt;&gt;"Yes",$V254=""),0,$W254*IF(MATCH($V254,MonthList,0)&lt;=7,12,19-MATCH($V254,MonthList,0))/12)</f>
        <v>0</v>
      </c>
    </row>
    <row r="255" customFormat="false" ht="15" hidden="false" customHeight="true" outlineLevel="0" collapsed="false">
      <c r="B255" s="22" t="s">
        <v>540</v>
      </c>
      <c r="C255" s="22" t="s">
        <v>337</v>
      </c>
      <c r="D255" s="22" t="s">
        <v>20</v>
      </c>
      <c r="E255" s="22" t="s">
        <v>275</v>
      </c>
      <c r="F255" s="23" t="s">
        <v>109</v>
      </c>
      <c r="G255" s="23" t="s">
        <v>58</v>
      </c>
      <c r="H255" s="23" t="n">
        <v>1</v>
      </c>
      <c r="I255" s="24" t="n">
        <v>0.1806</v>
      </c>
      <c r="J255" s="24" t="n">
        <v>0.1806</v>
      </c>
      <c r="K255" s="21" t="s">
        <v>59</v>
      </c>
      <c r="L255" s="21"/>
      <c r="M255" s="24" t="n">
        <f aca="false">IF(AND($K255="Yes",$G255&lt;&gt;"Vendor day rates"),$J255-0.4*$I255,0)</f>
        <v>0</v>
      </c>
      <c r="N255" s="24" t="n">
        <f aca="false">IF(OR($K255&lt;&gt;"Yes",$L255=""),0,$M255*MAX(0,7-MATCH($L255,MonthList,0))/12)</f>
        <v>0</v>
      </c>
      <c r="O255" s="24" t="n">
        <f aca="false">IF(OR($K255&lt;&gt;"Yes",$L255=""),0,$M255*IF(MATCH($L255,MonthList,0)&lt;=7,12,19-MATCH($L255,MonthList,0))/12)</f>
        <v>0</v>
      </c>
      <c r="P255" s="21" t="s">
        <v>59</v>
      </c>
      <c r="Q255" s="21"/>
      <c r="R255" s="24" t="n">
        <f aca="false">IF(AND($P255="Yes",$G255&lt;&gt;"Vendor day rates"),$J255-0.4*$I255,0)</f>
        <v>0</v>
      </c>
      <c r="S255" s="24" t="n">
        <f aca="false">IF(OR($P255&lt;&gt;"Yes",$Q255=""),0,$R255*MAX(0,7-MATCH($Q255,MonthList,0))/12)</f>
        <v>0</v>
      </c>
      <c r="T255" s="24" t="n">
        <f aca="false">IF(OR($P255&lt;&gt;"Yes",$Q255=""),0,$R255*IF(MATCH($Q255,MonthList,0)&lt;=7,12,19-MATCH($Q255,MonthList,0))/12)</f>
        <v>0</v>
      </c>
      <c r="U255" s="21" t="s">
        <v>59</v>
      </c>
      <c r="V255" s="21"/>
      <c r="W255" s="24" t="n">
        <f aca="false">IF(AND($U255="Yes",$G255&lt;&gt;"Vendor day rates"),$J255-0.4*$I255,0)</f>
        <v>0</v>
      </c>
      <c r="X255" s="24" t="n">
        <f aca="false">IF(OR($U255&lt;&gt;"Yes",$V255=""),0,$W255*MAX(0,7-MATCH($V255,MonthList,0))/12)</f>
        <v>0</v>
      </c>
      <c r="Y255" s="24" t="n">
        <f aca="false">IF(OR($U255&lt;&gt;"Yes",$V255=""),0,$W255*IF(MATCH($V255,MonthList,0)&lt;=7,12,19-MATCH($V255,MonthList,0))/12)</f>
        <v>0</v>
      </c>
    </row>
    <row r="256" customFormat="false" ht="15" hidden="false" customHeight="true" outlineLevel="0" collapsed="false">
      <c r="B256" s="18" t="s">
        <v>541</v>
      </c>
      <c r="C256" s="18" t="s">
        <v>542</v>
      </c>
      <c r="D256" s="18" t="s">
        <v>20</v>
      </c>
      <c r="E256" s="18" t="s">
        <v>275</v>
      </c>
      <c r="F256" s="19" t="s">
        <v>57</v>
      </c>
      <c r="G256" s="19" t="s">
        <v>58</v>
      </c>
      <c r="H256" s="19" t="n">
        <v>1</v>
      </c>
      <c r="I256" s="20" t="n">
        <v>0.2803</v>
      </c>
      <c r="J256" s="20" t="n">
        <v>0.2803</v>
      </c>
      <c r="K256" s="21" t="s">
        <v>59</v>
      </c>
      <c r="L256" s="21"/>
      <c r="M256" s="20" t="n">
        <f aca="false">IF(AND($K256="Yes",$G256&lt;&gt;"Vendor day rates"),$J256-0.4*$I256,0)</f>
        <v>0</v>
      </c>
      <c r="N256" s="20" t="n">
        <f aca="false">IF(OR($K256&lt;&gt;"Yes",$L256=""),0,$M256*MAX(0,7-MATCH($L256,MonthList,0))/12)</f>
        <v>0</v>
      </c>
      <c r="O256" s="20" t="n">
        <f aca="false">IF(OR($K256&lt;&gt;"Yes",$L256=""),0,$M256*IF(MATCH($L256,MonthList,0)&lt;=7,12,19-MATCH($L256,MonthList,0))/12)</f>
        <v>0</v>
      </c>
      <c r="P256" s="21" t="s">
        <v>59</v>
      </c>
      <c r="Q256" s="21"/>
      <c r="R256" s="20" t="n">
        <f aca="false">IF(AND($P256="Yes",$G256&lt;&gt;"Vendor day rates"),$J256-0.4*$I256,0)</f>
        <v>0</v>
      </c>
      <c r="S256" s="20" t="n">
        <f aca="false">IF(OR($P256&lt;&gt;"Yes",$Q256=""),0,$R256*MAX(0,7-MATCH($Q256,MonthList,0))/12)</f>
        <v>0</v>
      </c>
      <c r="T256" s="20" t="n">
        <f aca="false">IF(OR($P256&lt;&gt;"Yes",$Q256=""),0,$R256*IF(MATCH($Q256,MonthList,0)&lt;=7,12,19-MATCH($Q256,MonthList,0))/12)</f>
        <v>0</v>
      </c>
      <c r="U256" s="21" t="s">
        <v>59</v>
      </c>
      <c r="V256" s="21"/>
      <c r="W256" s="20" t="n">
        <f aca="false">IF(AND($U256="Yes",$G256&lt;&gt;"Vendor day rates"),$J256-0.4*$I256,0)</f>
        <v>0</v>
      </c>
      <c r="X256" s="20" t="n">
        <f aca="false">IF(OR($U256&lt;&gt;"Yes",$V256=""),0,$W256*MAX(0,7-MATCH($V256,MonthList,0))/12)</f>
        <v>0</v>
      </c>
      <c r="Y256" s="20" t="n">
        <f aca="false">IF(OR($U256&lt;&gt;"Yes",$V256=""),0,$W256*IF(MATCH($V256,MonthList,0)&lt;=7,12,19-MATCH($V256,MonthList,0))/12)</f>
        <v>0</v>
      </c>
    </row>
    <row r="257" customFormat="false" ht="15" hidden="false" customHeight="true" outlineLevel="0" collapsed="false">
      <c r="B257" s="22" t="s">
        <v>543</v>
      </c>
      <c r="C257" s="22" t="s">
        <v>389</v>
      </c>
      <c r="D257" s="22" t="s">
        <v>20</v>
      </c>
      <c r="E257" s="22" t="s">
        <v>275</v>
      </c>
      <c r="F257" s="23" t="s">
        <v>109</v>
      </c>
      <c r="G257" s="23" t="s">
        <v>58</v>
      </c>
      <c r="H257" s="23" t="n">
        <v>1</v>
      </c>
      <c r="I257" s="24" t="n">
        <v>0.1973</v>
      </c>
      <c r="J257" s="24" t="n">
        <v>0.1973</v>
      </c>
      <c r="K257" s="21" t="s">
        <v>59</v>
      </c>
      <c r="L257" s="21"/>
      <c r="M257" s="24" t="n">
        <f aca="false">IF(AND($K257="Yes",$G257&lt;&gt;"Vendor day rates"),$J257-0.4*$I257,0)</f>
        <v>0</v>
      </c>
      <c r="N257" s="24" t="n">
        <f aca="false">IF(OR($K257&lt;&gt;"Yes",$L257=""),0,$M257*MAX(0,7-MATCH($L257,MonthList,0))/12)</f>
        <v>0</v>
      </c>
      <c r="O257" s="24" t="n">
        <f aca="false">IF(OR($K257&lt;&gt;"Yes",$L257=""),0,$M257*IF(MATCH($L257,MonthList,0)&lt;=7,12,19-MATCH($L257,MonthList,0))/12)</f>
        <v>0</v>
      </c>
      <c r="P257" s="21" t="s">
        <v>59</v>
      </c>
      <c r="Q257" s="21"/>
      <c r="R257" s="24" t="n">
        <f aca="false">IF(AND($P257="Yes",$G257&lt;&gt;"Vendor day rates"),$J257-0.4*$I257,0)</f>
        <v>0</v>
      </c>
      <c r="S257" s="24" t="n">
        <f aca="false">IF(OR($P257&lt;&gt;"Yes",$Q257=""),0,$R257*MAX(0,7-MATCH($Q257,MonthList,0))/12)</f>
        <v>0</v>
      </c>
      <c r="T257" s="24" t="n">
        <f aca="false">IF(OR($P257&lt;&gt;"Yes",$Q257=""),0,$R257*IF(MATCH($Q257,MonthList,0)&lt;=7,12,19-MATCH($Q257,MonthList,0))/12)</f>
        <v>0</v>
      </c>
      <c r="U257" s="21" t="s">
        <v>59</v>
      </c>
      <c r="V257" s="21"/>
      <c r="W257" s="24" t="n">
        <f aca="false">IF(AND($U257="Yes",$G257&lt;&gt;"Vendor day rates"),$J257-0.4*$I257,0)</f>
        <v>0</v>
      </c>
      <c r="X257" s="24" t="n">
        <f aca="false">IF(OR($U257&lt;&gt;"Yes",$V257=""),0,$W257*MAX(0,7-MATCH($V257,MonthList,0))/12)</f>
        <v>0</v>
      </c>
      <c r="Y257" s="24" t="n">
        <f aca="false">IF(OR($U257&lt;&gt;"Yes",$V257=""),0,$W257*IF(MATCH($V257,MonthList,0)&lt;=7,12,19-MATCH($V257,MonthList,0))/12)</f>
        <v>0</v>
      </c>
    </row>
    <row r="258" customFormat="false" ht="15" hidden="false" customHeight="true" outlineLevel="0" collapsed="false">
      <c r="B258" s="18" t="s">
        <v>544</v>
      </c>
      <c r="C258" s="18" t="s">
        <v>545</v>
      </c>
      <c r="D258" s="18" t="s">
        <v>25</v>
      </c>
      <c r="E258" s="18" t="s">
        <v>89</v>
      </c>
      <c r="F258" s="19" t="s">
        <v>57</v>
      </c>
      <c r="G258" s="19" t="s">
        <v>462</v>
      </c>
      <c r="H258" s="19" t="n">
        <v>1</v>
      </c>
      <c r="I258" s="20" t="n">
        <v>0.2317</v>
      </c>
      <c r="J258" s="20" t="n">
        <v>0.0695</v>
      </c>
      <c r="K258" s="21" t="s">
        <v>59</v>
      </c>
      <c r="L258" s="21"/>
      <c r="M258" s="20" t="n">
        <f aca="false">IF(AND($K258="Yes",$G258&lt;&gt;"Vendor day rates"),$J258-0.4*$I258,0)</f>
        <v>0</v>
      </c>
      <c r="N258" s="20" t="n">
        <f aca="false">IF(OR($K258&lt;&gt;"Yes",$L258=""),0,$M258*MAX(0,7-MATCH($L258,MonthList,0))/12)</f>
        <v>0</v>
      </c>
      <c r="O258" s="20" t="n">
        <f aca="false">IF(OR($K258&lt;&gt;"Yes",$L258=""),0,$M258*IF(MATCH($L258,MonthList,0)&lt;=7,12,19-MATCH($L258,MonthList,0))/12)</f>
        <v>0</v>
      </c>
      <c r="P258" s="21" t="s">
        <v>59</v>
      </c>
      <c r="Q258" s="21"/>
      <c r="R258" s="20" t="n">
        <f aca="false">IF(AND($P258="Yes",$G258&lt;&gt;"Vendor day rates"),$J258-0.4*$I258,0)</f>
        <v>0</v>
      </c>
      <c r="S258" s="20" t="n">
        <f aca="false">IF(OR($P258&lt;&gt;"Yes",$Q258=""),0,$R258*MAX(0,7-MATCH($Q258,MonthList,0))/12)</f>
        <v>0</v>
      </c>
      <c r="T258" s="20" t="n">
        <f aca="false">IF(OR($P258&lt;&gt;"Yes",$Q258=""),0,$R258*IF(MATCH($Q258,MonthList,0)&lt;=7,12,19-MATCH($Q258,MonthList,0))/12)</f>
        <v>0</v>
      </c>
      <c r="U258" s="21" t="s">
        <v>59</v>
      </c>
      <c r="V258" s="21"/>
      <c r="W258" s="20" t="n">
        <f aca="false">IF(AND($U258="Yes",$G258&lt;&gt;"Vendor day rates"),$J258-0.4*$I258,0)</f>
        <v>0</v>
      </c>
      <c r="X258" s="20" t="n">
        <f aca="false">IF(OR($U258&lt;&gt;"Yes",$V258=""),0,$W258*MAX(0,7-MATCH($V258,MonthList,0))/12)</f>
        <v>0</v>
      </c>
      <c r="Y258" s="20" t="n">
        <f aca="false">IF(OR($U258&lt;&gt;"Yes",$V258=""),0,$W258*IF(MATCH($V258,MonthList,0)&lt;=7,12,19-MATCH($V258,MonthList,0))/12)</f>
        <v>0</v>
      </c>
    </row>
    <row r="259" customFormat="false" ht="15" hidden="false" customHeight="true" outlineLevel="0" collapsed="false">
      <c r="B259" s="22" t="s">
        <v>546</v>
      </c>
      <c r="C259" s="22" t="s">
        <v>547</v>
      </c>
      <c r="D259" s="22" t="s">
        <v>26</v>
      </c>
      <c r="E259" s="22" t="s">
        <v>191</v>
      </c>
      <c r="F259" s="23" t="s">
        <v>57</v>
      </c>
      <c r="G259" s="23" t="s">
        <v>145</v>
      </c>
      <c r="H259" s="23" t="n">
        <v>1</v>
      </c>
      <c r="I259" s="24" t="n">
        <v>0.2317</v>
      </c>
      <c r="J259" s="24" t="n">
        <v>0.2317</v>
      </c>
      <c r="K259" s="21" t="s">
        <v>59</v>
      </c>
      <c r="L259" s="21"/>
      <c r="M259" s="24" t="n">
        <f aca="false">IF(AND($K259="Yes",$G259&lt;&gt;"Vendor day rates"),$J259-0.4*$I259,0)</f>
        <v>0</v>
      </c>
      <c r="N259" s="24" t="n">
        <f aca="false">IF(OR($K259&lt;&gt;"Yes",$L259=""),0,$M259*MAX(0,7-MATCH($L259,MonthList,0))/12)</f>
        <v>0</v>
      </c>
      <c r="O259" s="24" t="n">
        <f aca="false">IF(OR($K259&lt;&gt;"Yes",$L259=""),0,$M259*IF(MATCH($L259,MonthList,0)&lt;=7,12,19-MATCH($L259,MonthList,0))/12)</f>
        <v>0</v>
      </c>
      <c r="P259" s="21" t="s">
        <v>59</v>
      </c>
      <c r="Q259" s="21"/>
      <c r="R259" s="24" t="n">
        <f aca="false">IF(AND($P259="Yes",$G259&lt;&gt;"Vendor day rates"),$J259-0.4*$I259,0)</f>
        <v>0</v>
      </c>
      <c r="S259" s="24" t="n">
        <f aca="false">IF(OR($P259&lt;&gt;"Yes",$Q259=""),0,$R259*MAX(0,7-MATCH($Q259,MonthList,0))/12)</f>
        <v>0</v>
      </c>
      <c r="T259" s="24" t="n">
        <f aca="false">IF(OR($P259&lt;&gt;"Yes",$Q259=""),0,$R259*IF(MATCH($Q259,MonthList,0)&lt;=7,12,19-MATCH($Q259,MonthList,0))/12)</f>
        <v>0</v>
      </c>
      <c r="U259" s="21" t="s">
        <v>59</v>
      </c>
      <c r="V259" s="21"/>
      <c r="W259" s="24" t="n">
        <f aca="false">IF(AND($U259="Yes",$G259&lt;&gt;"Vendor day rates"),$J259-0.4*$I259,0)</f>
        <v>0</v>
      </c>
      <c r="X259" s="24" t="n">
        <f aca="false">IF(OR($U259&lt;&gt;"Yes",$V259=""),0,$W259*MAX(0,7-MATCH($V259,MonthList,0))/12)</f>
        <v>0</v>
      </c>
      <c r="Y259" s="24" t="n">
        <f aca="false">IF(OR($U259&lt;&gt;"Yes",$V259=""),0,$W259*IF(MATCH($V259,MonthList,0)&lt;=7,12,19-MATCH($V259,MonthList,0))/12)</f>
        <v>0</v>
      </c>
    </row>
    <row r="260" customFormat="false" ht="15" hidden="false" customHeight="true" outlineLevel="0" collapsed="false">
      <c r="B260" s="18" t="s">
        <v>548</v>
      </c>
      <c r="C260" s="18" t="s">
        <v>337</v>
      </c>
      <c r="D260" s="18" t="s">
        <v>29</v>
      </c>
      <c r="E260" s="18" t="s">
        <v>549</v>
      </c>
      <c r="F260" s="19" t="s">
        <v>57</v>
      </c>
      <c r="G260" s="19" t="s">
        <v>145</v>
      </c>
      <c r="H260" s="19" t="n">
        <v>1</v>
      </c>
      <c r="I260" s="20" t="n">
        <v>0.2245</v>
      </c>
      <c r="J260" s="20" t="n">
        <v>0.2245</v>
      </c>
      <c r="K260" s="21" t="s">
        <v>59</v>
      </c>
      <c r="L260" s="21"/>
      <c r="M260" s="20" t="n">
        <f aca="false">IF(AND($K260="Yes",$G260&lt;&gt;"Vendor day rates"),$J260-0.4*$I260,0)</f>
        <v>0</v>
      </c>
      <c r="N260" s="20" t="n">
        <f aca="false">IF(OR($K260&lt;&gt;"Yes",$L260=""),0,$M260*MAX(0,7-MATCH($L260,MonthList,0))/12)</f>
        <v>0</v>
      </c>
      <c r="O260" s="20" t="n">
        <f aca="false">IF(OR($K260&lt;&gt;"Yes",$L260=""),0,$M260*IF(MATCH($L260,MonthList,0)&lt;=7,12,19-MATCH($L260,MonthList,0))/12)</f>
        <v>0</v>
      </c>
      <c r="P260" s="21" t="s">
        <v>59</v>
      </c>
      <c r="Q260" s="21"/>
      <c r="R260" s="20" t="n">
        <f aca="false">IF(AND($P260="Yes",$G260&lt;&gt;"Vendor day rates"),$J260-0.4*$I260,0)</f>
        <v>0</v>
      </c>
      <c r="S260" s="20" t="n">
        <f aca="false">IF(OR($P260&lt;&gt;"Yes",$Q260=""),0,$R260*MAX(0,7-MATCH($Q260,MonthList,0))/12)</f>
        <v>0</v>
      </c>
      <c r="T260" s="20" t="n">
        <f aca="false">IF(OR($P260&lt;&gt;"Yes",$Q260=""),0,$R260*IF(MATCH($Q260,MonthList,0)&lt;=7,12,19-MATCH($Q260,MonthList,0))/12)</f>
        <v>0</v>
      </c>
      <c r="U260" s="21" t="s">
        <v>59</v>
      </c>
      <c r="V260" s="21"/>
      <c r="W260" s="20" t="n">
        <f aca="false">IF(AND($U260="Yes",$G260&lt;&gt;"Vendor day rates"),$J260-0.4*$I260,0)</f>
        <v>0</v>
      </c>
      <c r="X260" s="20" t="n">
        <f aca="false">IF(OR($U260&lt;&gt;"Yes",$V260=""),0,$W260*MAX(0,7-MATCH($V260,MonthList,0))/12)</f>
        <v>0</v>
      </c>
      <c r="Y260" s="20" t="n">
        <f aca="false">IF(OR($U260&lt;&gt;"Yes",$V260=""),0,$W260*IF(MATCH($V260,MonthList,0)&lt;=7,12,19-MATCH($V260,MonthList,0))/12)</f>
        <v>0</v>
      </c>
    </row>
    <row r="261" customFormat="false" ht="15" hidden="false" customHeight="true" outlineLevel="0" collapsed="false">
      <c r="B261" s="22" t="s">
        <v>550</v>
      </c>
      <c r="C261" s="22" t="s">
        <v>55</v>
      </c>
      <c r="D261" s="22" t="s">
        <v>29</v>
      </c>
      <c r="E261" s="22" t="s">
        <v>313</v>
      </c>
      <c r="F261" s="23" t="s">
        <v>57</v>
      </c>
      <c r="G261" s="23" t="s">
        <v>58</v>
      </c>
      <c r="H261" s="23" t="n">
        <v>1</v>
      </c>
      <c r="I261" s="24" t="n">
        <v>0.2377</v>
      </c>
      <c r="J261" s="24" t="n">
        <v>0.2377</v>
      </c>
      <c r="K261" s="21" t="s">
        <v>59</v>
      </c>
      <c r="L261" s="21"/>
      <c r="M261" s="24" t="n">
        <f aca="false">IF(AND($K261="Yes",$G261&lt;&gt;"Vendor day rates"),$J261-0.4*$I261,0)</f>
        <v>0</v>
      </c>
      <c r="N261" s="24" t="n">
        <f aca="false">IF(OR($K261&lt;&gt;"Yes",$L261=""),0,$M261*MAX(0,7-MATCH($L261,MonthList,0))/12)</f>
        <v>0</v>
      </c>
      <c r="O261" s="24" t="n">
        <f aca="false">IF(OR($K261&lt;&gt;"Yes",$L261=""),0,$M261*IF(MATCH($L261,MonthList,0)&lt;=7,12,19-MATCH($L261,MonthList,0))/12)</f>
        <v>0</v>
      </c>
      <c r="P261" s="21" t="s">
        <v>59</v>
      </c>
      <c r="Q261" s="21"/>
      <c r="R261" s="24" t="n">
        <f aca="false">IF(AND($P261="Yes",$G261&lt;&gt;"Vendor day rates"),$J261-0.4*$I261,0)</f>
        <v>0</v>
      </c>
      <c r="S261" s="24" t="n">
        <f aca="false">IF(OR($P261&lt;&gt;"Yes",$Q261=""),0,$R261*MAX(0,7-MATCH($Q261,MonthList,0))/12)</f>
        <v>0</v>
      </c>
      <c r="T261" s="24" t="n">
        <f aca="false">IF(OR($P261&lt;&gt;"Yes",$Q261=""),0,$R261*IF(MATCH($Q261,MonthList,0)&lt;=7,12,19-MATCH($Q261,MonthList,0))/12)</f>
        <v>0</v>
      </c>
      <c r="U261" s="21" t="s">
        <v>59</v>
      </c>
      <c r="V261" s="21"/>
      <c r="W261" s="24" t="n">
        <f aca="false">IF(AND($U261="Yes",$G261&lt;&gt;"Vendor day rates"),$J261-0.4*$I261,0)</f>
        <v>0</v>
      </c>
      <c r="X261" s="24" t="n">
        <f aca="false">IF(OR($U261&lt;&gt;"Yes",$V261=""),0,$W261*MAX(0,7-MATCH($V261,MonthList,0))/12)</f>
        <v>0</v>
      </c>
      <c r="Y261" s="24" t="n">
        <f aca="false">IF(OR($U261&lt;&gt;"Yes",$V261=""),0,$W261*IF(MATCH($V261,MonthList,0)&lt;=7,12,19-MATCH($V261,MonthList,0))/12)</f>
        <v>0</v>
      </c>
    </row>
    <row r="262" customFormat="false" ht="15" hidden="false" customHeight="true" outlineLevel="0" collapsed="false">
      <c r="B262" s="18" t="s">
        <v>551</v>
      </c>
      <c r="C262" s="18" t="s">
        <v>55</v>
      </c>
      <c r="D262" s="18" t="s">
        <v>29</v>
      </c>
      <c r="E262" s="18" t="s">
        <v>313</v>
      </c>
      <c r="F262" s="19" t="s">
        <v>57</v>
      </c>
      <c r="G262" s="19" t="s">
        <v>58</v>
      </c>
      <c r="H262" s="19" t="n">
        <v>1</v>
      </c>
      <c r="I262" s="20" t="n">
        <v>0.1613</v>
      </c>
      <c r="J262" s="20" t="n">
        <v>0.1613</v>
      </c>
      <c r="K262" s="21" t="s">
        <v>59</v>
      </c>
      <c r="L262" s="21"/>
      <c r="M262" s="20" t="n">
        <f aca="false">IF(AND($K262="Yes",$G262&lt;&gt;"Vendor day rates"),$J262-0.4*$I262,0)</f>
        <v>0</v>
      </c>
      <c r="N262" s="20" t="n">
        <f aca="false">IF(OR($K262&lt;&gt;"Yes",$L262=""),0,$M262*MAX(0,7-MATCH($L262,MonthList,0))/12)</f>
        <v>0</v>
      </c>
      <c r="O262" s="20" t="n">
        <f aca="false">IF(OR($K262&lt;&gt;"Yes",$L262=""),0,$M262*IF(MATCH($L262,MonthList,0)&lt;=7,12,19-MATCH($L262,MonthList,0))/12)</f>
        <v>0</v>
      </c>
      <c r="P262" s="21" t="s">
        <v>59</v>
      </c>
      <c r="Q262" s="21"/>
      <c r="R262" s="20" t="n">
        <f aca="false">IF(AND($P262="Yes",$G262&lt;&gt;"Vendor day rates"),$J262-0.4*$I262,0)</f>
        <v>0</v>
      </c>
      <c r="S262" s="20" t="n">
        <f aca="false">IF(OR($P262&lt;&gt;"Yes",$Q262=""),0,$R262*MAX(0,7-MATCH($Q262,MonthList,0))/12)</f>
        <v>0</v>
      </c>
      <c r="T262" s="20" t="n">
        <f aca="false">IF(OR($P262&lt;&gt;"Yes",$Q262=""),0,$R262*IF(MATCH($Q262,MonthList,0)&lt;=7,12,19-MATCH($Q262,MonthList,0))/12)</f>
        <v>0</v>
      </c>
      <c r="U262" s="21" t="s">
        <v>59</v>
      </c>
      <c r="V262" s="21"/>
      <c r="W262" s="20" t="n">
        <f aca="false">IF(AND($U262="Yes",$G262&lt;&gt;"Vendor day rates"),$J262-0.4*$I262,0)</f>
        <v>0</v>
      </c>
      <c r="X262" s="20" t="n">
        <f aca="false">IF(OR($U262&lt;&gt;"Yes",$V262=""),0,$W262*MAX(0,7-MATCH($V262,MonthList,0))/12)</f>
        <v>0</v>
      </c>
      <c r="Y262" s="20" t="n">
        <f aca="false">IF(OR($U262&lt;&gt;"Yes",$V262=""),0,$W262*IF(MATCH($V262,MonthList,0)&lt;=7,12,19-MATCH($V262,MonthList,0))/12)</f>
        <v>0</v>
      </c>
    </row>
    <row r="263" customFormat="false" ht="15" hidden="false" customHeight="true" outlineLevel="0" collapsed="false">
      <c r="B263" s="22" t="s">
        <v>552</v>
      </c>
      <c r="C263" s="22" t="s">
        <v>553</v>
      </c>
      <c r="D263" s="22" t="s">
        <v>29</v>
      </c>
      <c r="E263" s="22" t="s">
        <v>554</v>
      </c>
      <c r="F263" s="23" t="s">
        <v>57</v>
      </c>
      <c r="G263" s="23" t="s">
        <v>58</v>
      </c>
      <c r="H263" s="23" t="n">
        <v>1</v>
      </c>
      <c r="I263" s="24" t="n">
        <v>0.0777</v>
      </c>
      <c r="J263" s="24" t="n">
        <v>0.0777</v>
      </c>
      <c r="K263" s="21" t="s">
        <v>59</v>
      </c>
      <c r="L263" s="21"/>
      <c r="M263" s="24" t="n">
        <f aca="false">IF(AND($K263="Yes",$G263&lt;&gt;"Vendor day rates"),$J263-0.4*$I263,0)</f>
        <v>0</v>
      </c>
      <c r="N263" s="24" t="n">
        <f aca="false">IF(OR($K263&lt;&gt;"Yes",$L263=""),0,$M263*MAX(0,7-MATCH($L263,MonthList,0))/12)</f>
        <v>0</v>
      </c>
      <c r="O263" s="24" t="n">
        <f aca="false">IF(OR($K263&lt;&gt;"Yes",$L263=""),0,$M263*IF(MATCH($L263,MonthList,0)&lt;=7,12,19-MATCH($L263,MonthList,0))/12)</f>
        <v>0</v>
      </c>
      <c r="P263" s="21" t="s">
        <v>59</v>
      </c>
      <c r="Q263" s="21"/>
      <c r="R263" s="24" t="n">
        <f aca="false">IF(AND($P263="Yes",$G263&lt;&gt;"Vendor day rates"),$J263-0.4*$I263,0)</f>
        <v>0</v>
      </c>
      <c r="S263" s="24" t="n">
        <f aca="false">IF(OR($P263&lt;&gt;"Yes",$Q263=""),0,$R263*MAX(0,7-MATCH($Q263,MonthList,0))/12)</f>
        <v>0</v>
      </c>
      <c r="T263" s="24" t="n">
        <f aca="false">IF(OR($P263&lt;&gt;"Yes",$Q263=""),0,$R263*IF(MATCH($Q263,MonthList,0)&lt;=7,12,19-MATCH($Q263,MonthList,0))/12)</f>
        <v>0</v>
      </c>
      <c r="U263" s="21" t="s">
        <v>59</v>
      </c>
      <c r="V263" s="21"/>
      <c r="W263" s="24" t="n">
        <f aca="false">IF(AND($U263="Yes",$G263&lt;&gt;"Vendor day rates"),$J263-0.4*$I263,0)</f>
        <v>0</v>
      </c>
      <c r="X263" s="24" t="n">
        <f aca="false">IF(OR($U263&lt;&gt;"Yes",$V263=""),0,$W263*MAX(0,7-MATCH($V263,MonthList,0))/12)</f>
        <v>0</v>
      </c>
      <c r="Y263" s="24" t="n">
        <f aca="false">IF(OR($U263&lt;&gt;"Yes",$V263=""),0,$W263*IF(MATCH($V263,MonthList,0)&lt;=7,12,19-MATCH($V263,MonthList,0))/12)</f>
        <v>0</v>
      </c>
    </row>
    <row r="264" customFormat="false" ht="15" hidden="false" customHeight="true" outlineLevel="0" collapsed="false">
      <c r="B264" s="18" t="s">
        <v>555</v>
      </c>
      <c r="C264" s="18" t="s">
        <v>556</v>
      </c>
      <c r="D264" s="18" t="s">
        <v>29</v>
      </c>
      <c r="E264" s="18" t="s">
        <v>557</v>
      </c>
      <c r="F264" s="19" t="s">
        <v>57</v>
      </c>
      <c r="G264" s="19" t="s">
        <v>58</v>
      </c>
      <c r="H264" s="19" t="n">
        <v>1</v>
      </c>
      <c r="I264" s="20" t="n">
        <v>0.1365</v>
      </c>
      <c r="J264" s="20" t="n">
        <v>0.1365</v>
      </c>
      <c r="K264" s="21" t="s">
        <v>59</v>
      </c>
      <c r="L264" s="21"/>
      <c r="M264" s="20" t="n">
        <f aca="false">IF(AND($K264="Yes",$G264&lt;&gt;"Vendor day rates"),$J264-0.4*$I264,0)</f>
        <v>0</v>
      </c>
      <c r="N264" s="20" t="n">
        <f aca="false">IF(OR($K264&lt;&gt;"Yes",$L264=""),0,$M264*MAX(0,7-MATCH($L264,MonthList,0))/12)</f>
        <v>0</v>
      </c>
      <c r="O264" s="20" t="n">
        <f aca="false">IF(OR($K264&lt;&gt;"Yes",$L264=""),0,$M264*IF(MATCH($L264,MonthList,0)&lt;=7,12,19-MATCH($L264,MonthList,0))/12)</f>
        <v>0</v>
      </c>
      <c r="P264" s="21" t="s">
        <v>59</v>
      </c>
      <c r="Q264" s="21"/>
      <c r="R264" s="20" t="n">
        <f aca="false">IF(AND($P264="Yes",$G264&lt;&gt;"Vendor day rates"),$J264-0.4*$I264,0)</f>
        <v>0</v>
      </c>
      <c r="S264" s="20" t="n">
        <f aca="false">IF(OR($P264&lt;&gt;"Yes",$Q264=""),0,$R264*MAX(0,7-MATCH($Q264,MonthList,0))/12)</f>
        <v>0</v>
      </c>
      <c r="T264" s="20" t="n">
        <f aca="false">IF(OR($P264&lt;&gt;"Yes",$Q264=""),0,$R264*IF(MATCH($Q264,MonthList,0)&lt;=7,12,19-MATCH($Q264,MonthList,0))/12)</f>
        <v>0</v>
      </c>
      <c r="U264" s="21" t="s">
        <v>59</v>
      </c>
      <c r="V264" s="21"/>
      <c r="W264" s="20" t="n">
        <f aca="false">IF(AND($U264="Yes",$G264&lt;&gt;"Vendor day rates"),$J264-0.4*$I264,0)</f>
        <v>0</v>
      </c>
      <c r="X264" s="20" t="n">
        <f aca="false">IF(OR($U264&lt;&gt;"Yes",$V264=""),0,$W264*MAX(0,7-MATCH($V264,MonthList,0))/12)</f>
        <v>0</v>
      </c>
      <c r="Y264" s="20" t="n">
        <f aca="false">IF(OR($U264&lt;&gt;"Yes",$V264=""),0,$W264*IF(MATCH($V264,MonthList,0)&lt;=7,12,19-MATCH($V264,MonthList,0))/12)</f>
        <v>0</v>
      </c>
    </row>
    <row r="265" customFormat="false" ht="15" hidden="false" customHeight="true" outlineLevel="0" collapsed="false">
      <c r="B265" s="22" t="s">
        <v>558</v>
      </c>
      <c r="C265" s="22" t="s">
        <v>113</v>
      </c>
      <c r="D265" s="22" t="s">
        <v>22</v>
      </c>
      <c r="E265" s="22" t="s">
        <v>139</v>
      </c>
      <c r="F265" s="23" t="s">
        <v>57</v>
      </c>
      <c r="G265" s="23" t="s">
        <v>58</v>
      </c>
      <c r="H265" s="23" t="n">
        <v>1</v>
      </c>
      <c r="I265" s="24" t="n">
        <v>0.1335</v>
      </c>
      <c r="J265" s="24" t="n">
        <v>0.1335</v>
      </c>
      <c r="K265" s="21" t="s">
        <v>59</v>
      </c>
      <c r="L265" s="21"/>
      <c r="M265" s="24" t="n">
        <f aca="false">IF(AND($K265="Yes",$G265&lt;&gt;"Vendor day rates"),$J265-0.4*$I265,0)</f>
        <v>0</v>
      </c>
      <c r="N265" s="24" t="n">
        <f aca="false">IF(OR($K265&lt;&gt;"Yes",$L265=""),0,$M265*MAX(0,7-MATCH($L265,MonthList,0))/12)</f>
        <v>0</v>
      </c>
      <c r="O265" s="24" t="n">
        <f aca="false">IF(OR($K265&lt;&gt;"Yes",$L265=""),0,$M265*IF(MATCH($L265,MonthList,0)&lt;=7,12,19-MATCH($L265,MonthList,0))/12)</f>
        <v>0</v>
      </c>
      <c r="P265" s="21" t="s">
        <v>59</v>
      </c>
      <c r="Q265" s="21"/>
      <c r="R265" s="24" t="n">
        <f aca="false">IF(AND($P265="Yes",$G265&lt;&gt;"Vendor day rates"),$J265-0.4*$I265,0)</f>
        <v>0</v>
      </c>
      <c r="S265" s="24" t="n">
        <f aca="false">IF(OR($P265&lt;&gt;"Yes",$Q265=""),0,$R265*MAX(0,7-MATCH($Q265,MonthList,0))/12)</f>
        <v>0</v>
      </c>
      <c r="T265" s="24" t="n">
        <f aca="false">IF(OR($P265&lt;&gt;"Yes",$Q265=""),0,$R265*IF(MATCH($Q265,MonthList,0)&lt;=7,12,19-MATCH($Q265,MonthList,0))/12)</f>
        <v>0</v>
      </c>
      <c r="U265" s="21" t="s">
        <v>59</v>
      </c>
      <c r="V265" s="21"/>
      <c r="W265" s="24" t="n">
        <f aca="false">IF(AND($U265="Yes",$G265&lt;&gt;"Vendor day rates"),$J265-0.4*$I265,0)</f>
        <v>0</v>
      </c>
      <c r="X265" s="24" t="n">
        <f aca="false">IF(OR($U265&lt;&gt;"Yes",$V265=""),0,$W265*MAX(0,7-MATCH($V265,MonthList,0))/12)</f>
        <v>0</v>
      </c>
      <c r="Y265" s="24" t="n">
        <f aca="false">IF(OR($U265&lt;&gt;"Yes",$V265=""),0,$W265*IF(MATCH($V265,MonthList,0)&lt;=7,12,19-MATCH($V265,MonthList,0))/12)</f>
        <v>0</v>
      </c>
    </row>
    <row r="266" customFormat="false" ht="15" hidden="false" customHeight="true" outlineLevel="0" collapsed="false">
      <c r="B266" s="18" t="s">
        <v>559</v>
      </c>
      <c r="C266" s="18" t="s">
        <v>113</v>
      </c>
      <c r="D266" s="18" t="s">
        <v>22</v>
      </c>
      <c r="E266" s="18" t="s">
        <v>139</v>
      </c>
      <c r="F266" s="19" t="s">
        <v>57</v>
      </c>
      <c r="G266" s="19" t="s">
        <v>58</v>
      </c>
      <c r="H266" s="19" t="n">
        <v>1</v>
      </c>
      <c r="I266" s="20" t="n">
        <v>0.2675</v>
      </c>
      <c r="J266" s="20" t="n">
        <v>0.2675</v>
      </c>
      <c r="K266" s="21" t="s">
        <v>59</v>
      </c>
      <c r="L266" s="21"/>
      <c r="M266" s="20" t="n">
        <f aca="false">IF(AND($K266="Yes",$G266&lt;&gt;"Vendor day rates"),$J266-0.4*$I266,0)</f>
        <v>0</v>
      </c>
      <c r="N266" s="20" t="n">
        <f aca="false">IF(OR($K266&lt;&gt;"Yes",$L266=""),0,$M266*MAX(0,7-MATCH($L266,MonthList,0))/12)</f>
        <v>0</v>
      </c>
      <c r="O266" s="20" t="n">
        <f aca="false">IF(OR($K266&lt;&gt;"Yes",$L266=""),0,$M266*IF(MATCH($L266,MonthList,0)&lt;=7,12,19-MATCH($L266,MonthList,0))/12)</f>
        <v>0</v>
      </c>
      <c r="P266" s="21" t="s">
        <v>59</v>
      </c>
      <c r="Q266" s="21"/>
      <c r="R266" s="20" t="n">
        <f aca="false">IF(AND($P266="Yes",$G266&lt;&gt;"Vendor day rates"),$J266-0.4*$I266,0)</f>
        <v>0</v>
      </c>
      <c r="S266" s="20" t="n">
        <f aca="false">IF(OR($P266&lt;&gt;"Yes",$Q266=""),0,$R266*MAX(0,7-MATCH($Q266,MonthList,0))/12)</f>
        <v>0</v>
      </c>
      <c r="T266" s="20" t="n">
        <f aca="false">IF(OR($P266&lt;&gt;"Yes",$Q266=""),0,$R266*IF(MATCH($Q266,MonthList,0)&lt;=7,12,19-MATCH($Q266,MonthList,0))/12)</f>
        <v>0</v>
      </c>
      <c r="U266" s="21" t="s">
        <v>59</v>
      </c>
      <c r="V266" s="21"/>
      <c r="W266" s="20" t="n">
        <f aca="false">IF(AND($U266="Yes",$G266&lt;&gt;"Vendor day rates"),$J266-0.4*$I266,0)</f>
        <v>0</v>
      </c>
      <c r="X266" s="20" t="n">
        <f aca="false">IF(OR($U266&lt;&gt;"Yes",$V266=""),0,$W266*MAX(0,7-MATCH($V266,MonthList,0))/12)</f>
        <v>0</v>
      </c>
      <c r="Y266" s="20" t="n">
        <f aca="false">IF(OR($U266&lt;&gt;"Yes",$V266=""),0,$W266*IF(MATCH($V266,MonthList,0)&lt;=7,12,19-MATCH($V266,MonthList,0))/12)</f>
        <v>0</v>
      </c>
    </row>
    <row r="267" customFormat="false" ht="15" hidden="false" customHeight="true" outlineLevel="0" collapsed="false">
      <c r="B267" s="22" t="s">
        <v>560</v>
      </c>
      <c r="C267" s="22" t="s">
        <v>113</v>
      </c>
      <c r="D267" s="22" t="s">
        <v>29</v>
      </c>
      <c r="E267" s="22" t="s">
        <v>561</v>
      </c>
      <c r="F267" s="23" t="s">
        <v>57</v>
      </c>
      <c r="G267" s="23" t="s">
        <v>58</v>
      </c>
      <c r="H267" s="23" t="n">
        <v>1</v>
      </c>
      <c r="I267" s="24" t="n">
        <v>0.2436</v>
      </c>
      <c r="J267" s="24" t="n">
        <v>0.2436</v>
      </c>
      <c r="K267" s="21" t="s">
        <v>59</v>
      </c>
      <c r="L267" s="21"/>
      <c r="M267" s="24" t="n">
        <f aca="false">IF(AND($K267="Yes",$G267&lt;&gt;"Vendor day rates"),$J267-0.4*$I267,0)</f>
        <v>0</v>
      </c>
      <c r="N267" s="24" t="n">
        <f aca="false">IF(OR($K267&lt;&gt;"Yes",$L267=""),0,$M267*MAX(0,7-MATCH($L267,MonthList,0))/12)</f>
        <v>0</v>
      </c>
      <c r="O267" s="24" t="n">
        <f aca="false">IF(OR($K267&lt;&gt;"Yes",$L267=""),0,$M267*IF(MATCH($L267,MonthList,0)&lt;=7,12,19-MATCH($L267,MonthList,0))/12)</f>
        <v>0</v>
      </c>
      <c r="P267" s="21" t="s">
        <v>59</v>
      </c>
      <c r="Q267" s="21"/>
      <c r="R267" s="24" t="n">
        <f aca="false">IF(AND($P267="Yes",$G267&lt;&gt;"Vendor day rates"),$J267-0.4*$I267,0)</f>
        <v>0</v>
      </c>
      <c r="S267" s="24" t="n">
        <f aca="false">IF(OR($P267&lt;&gt;"Yes",$Q267=""),0,$R267*MAX(0,7-MATCH($Q267,MonthList,0))/12)</f>
        <v>0</v>
      </c>
      <c r="T267" s="24" t="n">
        <f aca="false">IF(OR($P267&lt;&gt;"Yes",$Q267=""),0,$R267*IF(MATCH($Q267,MonthList,0)&lt;=7,12,19-MATCH($Q267,MonthList,0))/12)</f>
        <v>0</v>
      </c>
      <c r="U267" s="21" t="s">
        <v>59</v>
      </c>
      <c r="V267" s="21"/>
      <c r="W267" s="24" t="n">
        <f aca="false">IF(AND($U267="Yes",$G267&lt;&gt;"Vendor day rates"),$J267-0.4*$I267,0)</f>
        <v>0</v>
      </c>
      <c r="X267" s="24" t="n">
        <f aca="false">IF(OR($U267&lt;&gt;"Yes",$V267=""),0,$W267*MAX(0,7-MATCH($V267,MonthList,0))/12)</f>
        <v>0</v>
      </c>
      <c r="Y267" s="24" t="n">
        <f aca="false">IF(OR($U267&lt;&gt;"Yes",$V267=""),0,$W267*IF(MATCH($V267,MonthList,0)&lt;=7,12,19-MATCH($V267,MonthList,0))/12)</f>
        <v>0</v>
      </c>
    </row>
    <row r="268" customFormat="false" ht="15" hidden="false" customHeight="true" outlineLevel="0" collapsed="false">
      <c r="B268" s="18" t="s">
        <v>562</v>
      </c>
      <c r="C268" s="18" t="s">
        <v>563</v>
      </c>
      <c r="D268" s="18" t="s">
        <v>26</v>
      </c>
      <c r="E268" s="18" t="s">
        <v>247</v>
      </c>
      <c r="F268" s="19" t="s">
        <v>57</v>
      </c>
      <c r="G268" s="19" t="s">
        <v>58</v>
      </c>
      <c r="H268" s="19" t="n">
        <v>1</v>
      </c>
      <c r="I268" s="20" t="n">
        <v>0.2586</v>
      </c>
      <c r="J268" s="20" t="n">
        <v>0.2586</v>
      </c>
      <c r="K268" s="21" t="s">
        <v>59</v>
      </c>
      <c r="L268" s="21"/>
      <c r="M268" s="20" t="n">
        <f aca="false">IF(AND($K268="Yes",$G268&lt;&gt;"Vendor day rates"),$J268-0.4*$I268,0)</f>
        <v>0</v>
      </c>
      <c r="N268" s="20" t="n">
        <f aca="false">IF(OR($K268&lt;&gt;"Yes",$L268=""),0,$M268*MAX(0,7-MATCH($L268,MonthList,0))/12)</f>
        <v>0</v>
      </c>
      <c r="O268" s="20" t="n">
        <f aca="false">IF(OR($K268&lt;&gt;"Yes",$L268=""),0,$M268*IF(MATCH($L268,MonthList,0)&lt;=7,12,19-MATCH($L268,MonthList,0))/12)</f>
        <v>0</v>
      </c>
      <c r="P268" s="21" t="s">
        <v>59</v>
      </c>
      <c r="Q268" s="21"/>
      <c r="R268" s="20" t="n">
        <f aca="false">IF(AND($P268="Yes",$G268&lt;&gt;"Vendor day rates"),$J268-0.4*$I268,0)</f>
        <v>0</v>
      </c>
      <c r="S268" s="20" t="n">
        <f aca="false">IF(OR($P268&lt;&gt;"Yes",$Q268=""),0,$R268*MAX(0,7-MATCH($Q268,MonthList,0))/12)</f>
        <v>0</v>
      </c>
      <c r="T268" s="20" t="n">
        <f aca="false">IF(OR($P268&lt;&gt;"Yes",$Q268=""),0,$R268*IF(MATCH($Q268,MonthList,0)&lt;=7,12,19-MATCH($Q268,MonthList,0))/12)</f>
        <v>0</v>
      </c>
      <c r="U268" s="21" t="s">
        <v>59</v>
      </c>
      <c r="V268" s="21"/>
      <c r="W268" s="20" t="n">
        <f aca="false">IF(AND($U268="Yes",$G268&lt;&gt;"Vendor day rates"),$J268-0.4*$I268,0)</f>
        <v>0</v>
      </c>
      <c r="X268" s="20" t="n">
        <f aca="false">IF(OR($U268&lt;&gt;"Yes",$V268=""),0,$W268*MAX(0,7-MATCH($V268,MonthList,0))/12)</f>
        <v>0</v>
      </c>
      <c r="Y268" s="20" t="n">
        <f aca="false">IF(OR($U268&lt;&gt;"Yes",$V268=""),0,$W268*IF(MATCH($V268,MonthList,0)&lt;=7,12,19-MATCH($V268,MonthList,0))/12)</f>
        <v>0</v>
      </c>
    </row>
    <row r="269" customFormat="false" ht="15" hidden="false" customHeight="true" outlineLevel="0" collapsed="false">
      <c r="B269" s="22" t="s">
        <v>564</v>
      </c>
      <c r="C269" s="22" t="s">
        <v>138</v>
      </c>
      <c r="D269" s="22" t="s">
        <v>22</v>
      </c>
      <c r="E269" s="22" t="s">
        <v>56</v>
      </c>
      <c r="F269" s="23" t="s">
        <v>57</v>
      </c>
      <c r="G269" s="23" t="s">
        <v>58</v>
      </c>
      <c r="H269" s="23" t="n">
        <v>1</v>
      </c>
      <c r="I269" s="24" t="n">
        <v>0.216</v>
      </c>
      <c r="J269" s="24" t="n">
        <v>0.216</v>
      </c>
      <c r="K269" s="21" t="s">
        <v>59</v>
      </c>
      <c r="L269" s="21"/>
      <c r="M269" s="24" t="n">
        <f aca="false">IF(AND($K269="Yes",$G269&lt;&gt;"Vendor day rates"),$J269-0.4*$I269,0)</f>
        <v>0</v>
      </c>
      <c r="N269" s="24" t="n">
        <f aca="false">IF(OR($K269&lt;&gt;"Yes",$L269=""),0,$M269*MAX(0,7-MATCH($L269,MonthList,0))/12)</f>
        <v>0</v>
      </c>
      <c r="O269" s="24" t="n">
        <f aca="false">IF(OR($K269&lt;&gt;"Yes",$L269=""),0,$M269*IF(MATCH($L269,MonthList,0)&lt;=7,12,19-MATCH($L269,MonthList,0))/12)</f>
        <v>0</v>
      </c>
      <c r="P269" s="21" t="s">
        <v>59</v>
      </c>
      <c r="Q269" s="21"/>
      <c r="R269" s="24" t="n">
        <f aca="false">IF(AND($P269="Yes",$G269&lt;&gt;"Vendor day rates"),$J269-0.4*$I269,0)</f>
        <v>0</v>
      </c>
      <c r="S269" s="24" t="n">
        <f aca="false">IF(OR($P269&lt;&gt;"Yes",$Q269=""),0,$R269*MAX(0,7-MATCH($Q269,MonthList,0))/12)</f>
        <v>0</v>
      </c>
      <c r="T269" s="24" t="n">
        <f aca="false">IF(OR($P269&lt;&gt;"Yes",$Q269=""),0,$R269*IF(MATCH($Q269,MonthList,0)&lt;=7,12,19-MATCH($Q269,MonthList,0))/12)</f>
        <v>0</v>
      </c>
      <c r="U269" s="21" t="s">
        <v>59</v>
      </c>
      <c r="V269" s="21"/>
      <c r="W269" s="24" t="n">
        <f aca="false">IF(AND($U269="Yes",$G269&lt;&gt;"Vendor day rates"),$J269-0.4*$I269,0)</f>
        <v>0</v>
      </c>
      <c r="X269" s="24" t="n">
        <f aca="false">IF(OR($U269&lt;&gt;"Yes",$V269=""),0,$W269*MAX(0,7-MATCH($V269,MonthList,0))/12)</f>
        <v>0</v>
      </c>
      <c r="Y269" s="24" t="n">
        <f aca="false">IF(OR($U269&lt;&gt;"Yes",$V269=""),0,$W269*IF(MATCH($V269,MonthList,0)&lt;=7,12,19-MATCH($V269,MonthList,0))/12)</f>
        <v>0</v>
      </c>
    </row>
    <row r="270" customFormat="false" ht="15" hidden="false" customHeight="true" outlineLevel="0" collapsed="false">
      <c r="B270" s="18" t="s">
        <v>565</v>
      </c>
      <c r="C270" s="18" t="s">
        <v>566</v>
      </c>
      <c r="D270" s="18" t="s">
        <v>22</v>
      </c>
      <c r="E270" s="18" t="s">
        <v>56</v>
      </c>
      <c r="F270" s="19" t="s">
        <v>57</v>
      </c>
      <c r="G270" s="19" t="s">
        <v>58</v>
      </c>
      <c r="H270" s="19" t="n">
        <v>1</v>
      </c>
      <c r="I270" s="20" t="n">
        <v>0.2189</v>
      </c>
      <c r="J270" s="20" t="n">
        <v>0.2189</v>
      </c>
      <c r="K270" s="21" t="s">
        <v>59</v>
      </c>
      <c r="L270" s="21"/>
      <c r="M270" s="20" t="n">
        <f aca="false">IF(AND($K270="Yes",$G270&lt;&gt;"Vendor day rates"),$J270-0.4*$I270,0)</f>
        <v>0</v>
      </c>
      <c r="N270" s="20" t="n">
        <f aca="false">IF(OR($K270&lt;&gt;"Yes",$L270=""),0,$M270*MAX(0,7-MATCH($L270,MonthList,0))/12)</f>
        <v>0</v>
      </c>
      <c r="O270" s="20" t="n">
        <f aca="false">IF(OR($K270&lt;&gt;"Yes",$L270=""),0,$M270*IF(MATCH($L270,MonthList,0)&lt;=7,12,19-MATCH($L270,MonthList,0))/12)</f>
        <v>0</v>
      </c>
      <c r="P270" s="21" t="s">
        <v>59</v>
      </c>
      <c r="Q270" s="21"/>
      <c r="R270" s="20" t="n">
        <f aca="false">IF(AND($P270="Yes",$G270&lt;&gt;"Vendor day rates"),$J270-0.4*$I270,0)</f>
        <v>0</v>
      </c>
      <c r="S270" s="20" t="n">
        <f aca="false">IF(OR($P270&lt;&gt;"Yes",$Q270=""),0,$R270*MAX(0,7-MATCH($Q270,MonthList,0))/12)</f>
        <v>0</v>
      </c>
      <c r="T270" s="20" t="n">
        <f aca="false">IF(OR($P270&lt;&gt;"Yes",$Q270=""),0,$R270*IF(MATCH($Q270,MonthList,0)&lt;=7,12,19-MATCH($Q270,MonthList,0))/12)</f>
        <v>0</v>
      </c>
      <c r="U270" s="21" t="s">
        <v>59</v>
      </c>
      <c r="V270" s="21"/>
      <c r="W270" s="20" t="n">
        <f aca="false">IF(AND($U270="Yes",$G270&lt;&gt;"Vendor day rates"),$J270-0.4*$I270,0)</f>
        <v>0</v>
      </c>
      <c r="X270" s="20" t="n">
        <f aca="false">IF(OR($U270&lt;&gt;"Yes",$V270=""),0,$W270*MAX(0,7-MATCH($V270,MonthList,0))/12)</f>
        <v>0</v>
      </c>
      <c r="Y270" s="20" t="n">
        <f aca="false">IF(OR($U270&lt;&gt;"Yes",$V270=""),0,$W270*IF(MATCH($V270,MonthList,0)&lt;=7,12,19-MATCH($V270,MonthList,0))/12)</f>
        <v>0</v>
      </c>
    </row>
    <row r="271" customFormat="false" ht="15" hidden="false" customHeight="true" outlineLevel="0" collapsed="false">
      <c r="B271" s="22" t="s">
        <v>567</v>
      </c>
      <c r="C271" s="22" t="s">
        <v>568</v>
      </c>
      <c r="D271" s="22" t="s">
        <v>18</v>
      </c>
      <c r="E271" s="22" t="s">
        <v>66</v>
      </c>
      <c r="F271" s="23" t="s">
        <v>57</v>
      </c>
      <c r="G271" s="23" t="s">
        <v>118</v>
      </c>
      <c r="H271" s="23" t="n">
        <v>1</v>
      </c>
      <c r="I271" s="24" t="n">
        <v>0.216</v>
      </c>
      <c r="J271" s="24" t="n">
        <v>0.0864</v>
      </c>
      <c r="K271" s="21" t="s">
        <v>59</v>
      </c>
      <c r="L271" s="21"/>
      <c r="M271" s="24" t="n">
        <f aca="false">IF(AND($K271="Yes",$G271&lt;&gt;"Vendor day rates"),$J271-0.4*$I271,0)</f>
        <v>0</v>
      </c>
      <c r="N271" s="24" t="n">
        <f aca="false">IF(OR($K271&lt;&gt;"Yes",$L271=""),0,$M271*MAX(0,7-MATCH($L271,MonthList,0))/12)</f>
        <v>0</v>
      </c>
      <c r="O271" s="24" t="n">
        <f aca="false">IF(OR($K271&lt;&gt;"Yes",$L271=""),0,$M271*IF(MATCH($L271,MonthList,0)&lt;=7,12,19-MATCH($L271,MonthList,0))/12)</f>
        <v>0</v>
      </c>
      <c r="P271" s="21" t="s">
        <v>59</v>
      </c>
      <c r="Q271" s="21"/>
      <c r="R271" s="24" t="n">
        <f aca="false">IF(AND($P271="Yes",$G271&lt;&gt;"Vendor day rates"),$J271-0.4*$I271,0)</f>
        <v>0</v>
      </c>
      <c r="S271" s="24" t="n">
        <f aca="false">IF(OR($P271&lt;&gt;"Yes",$Q271=""),0,$R271*MAX(0,7-MATCH($Q271,MonthList,0))/12)</f>
        <v>0</v>
      </c>
      <c r="T271" s="24" t="n">
        <f aca="false">IF(OR($P271&lt;&gt;"Yes",$Q271=""),0,$R271*IF(MATCH($Q271,MonthList,0)&lt;=7,12,19-MATCH($Q271,MonthList,0))/12)</f>
        <v>0</v>
      </c>
      <c r="U271" s="21" t="s">
        <v>59</v>
      </c>
      <c r="V271" s="21"/>
      <c r="W271" s="24" t="n">
        <f aca="false">IF(AND($U271="Yes",$G271&lt;&gt;"Vendor day rates"),$J271-0.4*$I271,0)</f>
        <v>0</v>
      </c>
      <c r="X271" s="24" t="n">
        <f aca="false">IF(OR($U271&lt;&gt;"Yes",$V271=""),0,$W271*MAX(0,7-MATCH($V271,MonthList,0))/12)</f>
        <v>0</v>
      </c>
      <c r="Y271" s="24" t="n">
        <f aca="false">IF(OR($U271&lt;&gt;"Yes",$V271=""),0,$W271*IF(MATCH($V271,MonthList,0)&lt;=7,12,19-MATCH($V271,MonthList,0))/12)</f>
        <v>0</v>
      </c>
    </row>
    <row r="272" customFormat="false" ht="15" hidden="false" customHeight="true" outlineLevel="0" collapsed="false">
      <c r="B272" s="18" t="s">
        <v>569</v>
      </c>
      <c r="C272" s="18" t="s">
        <v>570</v>
      </c>
      <c r="D272" s="18" t="s">
        <v>18</v>
      </c>
      <c r="E272" s="18" t="s">
        <v>66</v>
      </c>
      <c r="F272" s="19" t="s">
        <v>57</v>
      </c>
      <c r="G272" s="19" t="s">
        <v>118</v>
      </c>
      <c r="H272" s="19" t="n">
        <v>1</v>
      </c>
      <c r="I272" s="20" t="n">
        <v>0.218</v>
      </c>
      <c r="J272" s="20" t="n">
        <v>0.0872</v>
      </c>
      <c r="K272" s="21" t="s">
        <v>59</v>
      </c>
      <c r="L272" s="21"/>
      <c r="M272" s="20" t="n">
        <f aca="false">IF(AND($K272="Yes",$G272&lt;&gt;"Vendor day rates"),$J272-0.4*$I272,0)</f>
        <v>0</v>
      </c>
      <c r="N272" s="20" t="n">
        <f aca="false">IF(OR($K272&lt;&gt;"Yes",$L272=""),0,$M272*MAX(0,7-MATCH($L272,MonthList,0))/12)</f>
        <v>0</v>
      </c>
      <c r="O272" s="20" t="n">
        <f aca="false">IF(OR($K272&lt;&gt;"Yes",$L272=""),0,$M272*IF(MATCH($L272,MonthList,0)&lt;=7,12,19-MATCH($L272,MonthList,0))/12)</f>
        <v>0</v>
      </c>
      <c r="P272" s="21" t="s">
        <v>59</v>
      </c>
      <c r="Q272" s="21"/>
      <c r="R272" s="20" t="n">
        <f aca="false">IF(AND($P272="Yes",$G272&lt;&gt;"Vendor day rates"),$J272-0.4*$I272,0)</f>
        <v>0</v>
      </c>
      <c r="S272" s="20" t="n">
        <f aca="false">IF(OR($P272&lt;&gt;"Yes",$Q272=""),0,$R272*MAX(0,7-MATCH($Q272,MonthList,0))/12)</f>
        <v>0</v>
      </c>
      <c r="T272" s="20" t="n">
        <f aca="false">IF(OR($P272&lt;&gt;"Yes",$Q272=""),0,$R272*IF(MATCH($Q272,MonthList,0)&lt;=7,12,19-MATCH($Q272,MonthList,0))/12)</f>
        <v>0</v>
      </c>
      <c r="U272" s="21" t="s">
        <v>59</v>
      </c>
      <c r="V272" s="21"/>
      <c r="W272" s="20" t="n">
        <f aca="false">IF(AND($U272="Yes",$G272&lt;&gt;"Vendor day rates"),$J272-0.4*$I272,0)</f>
        <v>0</v>
      </c>
      <c r="X272" s="20" t="n">
        <f aca="false">IF(OR($U272&lt;&gt;"Yes",$V272=""),0,$W272*MAX(0,7-MATCH($V272,MonthList,0))/12)</f>
        <v>0</v>
      </c>
      <c r="Y272" s="20" t="n">
        <f aca="false">IF(OR($U272&lt;&gt;"Yes",$V272=""),0,$W272*IF(MATCH($V272,MonthList,0)&lt;=7,12,19-MATCH($V272,MonthList,0))/12)</f>
        <v>0</v>
      </c>
    </row>
    <row r="273" customFormat="false" ht="15" hidden="false" customHeight="true" outlineLevel="0" collapsed="false">
      <c r="B273" s="22" t="s">
        <v>571</v>
      </c>
      <c r="C273" s="22" t="s">
        <v>572</v>
      </c>
      <c r="D273" s="22" t="s">
        <v>18</v>
      </c>
      <c r="E273" s="22" t="s">
        <v>62</v>
      </c>
      <c r="F273" s="23" t="s">
        <v>57</v>
      </c>
      <c r="G273" s="23" t="s">
        <v>118</v>
      </c>
      <c r="H273" s="23" t="n">
        <v>1</v>
      </c>
      <c r="I273" s="24" t="n">
        <v>0.2074</v>
      </c>
      <c r="J273" s="24" t="n">
        <v>0.0829</v>
      </c>
      <c r="K273" s="21" t="s">
        <v>59</v>
      </c>
      <c r="L273" s="21"/>
      <c r="M273" s="24" t="n">
        <f aca="false">IF(AND($K273="Yes",$G273&lt;&gt;"Vendor day rates"),$J273-0.4*$I273,0)</f>
        <v>0</v>
      </c>
      <c r="N273" s="24" t="n">
        <f aca="false">IF(OR($K273&lt;&gt;"Yes",$L273=""),0,$M273*MAX(0,7-MATCH($L273,MonthList,0))/12)</f>
        <v>0</v>
      </c>
      <c r="O273" s="24" t="n">
        <f aca="false">IF(OR($K273&lt;&gt;"Yes",$L273=""),0,$M273*IF(MATCH($L273,MonthList,0)&lt;=7,12,19-MATCH($L273,MonthList,0))/12)</f>
        <v>0</v>
      </c>
      <c r="P273" s="21" t="s">
        <v>59</v>
      </c>
      <c r="Q273" s="21"/>
      <c r="R273" s="24" t="n">
        <f aca="false">IF(AND($P273="Yes",$G273&lt;&gt;"Vendor day rates"),$J273-0.4*$I273,0)</f>
        <v>0</v>
      </c>
      <c r="S273" s="24" t="n">
        <f aca="false">IF(OR($P273&lt;&gt;"Yes",$Q273=""),0,$R273*MAX(0,7-MATCH($Q273,MonthList,0))/12)</f>
        <v>0</v>
      </c>
      <c r="T273" s="24" t="n">
        <f aca="false">IF(OR($P273&lt;&gt;"Yes",$Q273=""),0,$R273*IF(MATCH($Q273,MonthList,0)&lt;=7,12,19-MATCH($Q273,MonthList,0))/12)</f>
        <v>0</v>
      </c>
      <c r="U273" s="21" t="s">
        <v>59</v>
      </c>
      <c r="V273" s="21"/>
      <c r="W273" s="24" t="n">
        <f aca="false">IF(AND($U273="Yes",$G273&lt;&gt;"Vendor day rates"),$J273-0.4*$I273,0)</f>
        <v>0</v>
      </c>
      <c r="X273" s="24" t="n">
        <f aca="false">IF(OR($U273&lt;&gt;"Yes",$V273=""),0,$W273*MAX(0,7-MATCH($V273,MonthList,0))/12)</f>
        <v>0</v>
      </c>
      <c r="Y273" s="24" t="n">
        <f aca="false">IF(OR($U273&lt;&gt;"Yes",$V273=""),0,$W273*IF(MATCH($V273,MonthList,0)&lt;=7,12,19-MATCH($V273,MonthList,0))/12)</f>
        <v>0</v>
      </c>
    </row>
    <row r="274" customFormat="false" ht="15" hidden="false" customHeight="true" outlineLevel="0" collapsed="false">
      <c r="B274" s="18" t="s">
        <v>573</v>
      </c>
      <c r="C274" s="18" t="s">
        <v>574</v>
      </c>
      <c r="D274" s="18" t="s">
        <v>18</v>
      </c>
      <c r="E274" s="18" t="s">
        <v>66</v>
      </c>
      <c r="F274" s="19" t="s">
        <v>57</v>
      </c>
      <c r="G274" s="19" t="s">
        <v>58</v>
      </c>
      <c r="H274" s="19" t="n">
        <v>1</v>
      </c>
      <c r="I274" s="20" t="n">
        <v>0.216</v>
      </c>
      <c r="J274" s="20" t="n">
        <v>0.216</v>
      </c>
      <c r="K274" s="21" t="s">
        <v>59</v>
      </c>
      <c r="L274" s="21"/>
      <c r="M274" s="20" t="n">
        <f aca="false">IF(AND($K274="Yes",$G274&lt;&gt;"Vendor day rates"),$J274-0.4*$I274,0)</f>
        <v>0</v>
      </c>
      <c r="N274" s="20" t="n">
        <f aca="false">IF(OR($K274&lt;&gt;"Yes",$L274=""),0,$M274*MAX(0,7-MATCH($L274,MonthList,0))/12)</f>
        <v>0</v>
      </c>
      <c r="O274" s="20" t="n">
        <f aca="false">IF(OR($K274&lt;&gt;"Yes",$L274=""),0,$M274*IF(MATCH($L274,MonthList,0)&lt;=7,12,19-MATCH($L274,MonthList,0))/12)</f>
        <v>0</v>
      </c>
      <c r="P274" s="21" t="s">
        <v>59</v>
      </c>
      <c r="Q274" s="21"/>
      <c r="R274" s="20" t="n">
        <f aca="false">IF(AND($P274="Yes",$G274&lt;&gt;"Vendor day rates"),$J274-0.4*$I274,0)</f>
        <v>0</v>
      </c>
      <c r="S274" s="20" t="n">
        <f aca="false">IF(OR($P274&lt;&gt;"Yes",$Q274=""),0,$R274*MAX(0,7-MATCH($Q274,MonthList,0))/12)</f>
        <v>0</v>
      </c>
      <c r="T274" s="20" t="n">
        <f aca="false">IF(OR($P274&lt;&gt;"Yes",$Q274=""),0,$R274*IF(MATCH($Q274,MonthList,0)&lt;=7,12,19-MATCH($Q274,MonthList,0))/12)</f>
        <v>0</v>
      </c>
      <c r="U274" s="21" t="s">
        <v>59</v>
      </c>
      <c r="V274" s="21"/>
      <c r="W274" s="20" t="n">
        <f aca="false">IF(AND($U274="Yes",$G274&lt;&gt;"Vendor day rates"),$J274-0.4*$I274,0)</f>
        <v>0</v>
      </c>
      <c r="X274" s="20" t="n">
        <f aca="false">IF(OR($U274&lt;&gt;"Yes",$V274=""),0,$W274*MAX(0,7-MATCH($V274,MonthList,0))/12)</f>
        <v>0</v>
      </c>
      <c r="Y274" s="20" t="n">
        <f aca="false">IF(OR($U274&lt;&gt;"Yes",$V274=""),0,$W274*IF(MATCH($V274,MonthList,0)&lt;=7,12,19-MATCH($V274,MonthList,0))/12)</f>
        <v>0</v>
      </c>
    </row>
    <row r="275" customFormat="false" ht="15" hidden="false" customHeight="true" outlineLevel="0" collapsed="false">
      <c r="B275" s="22" t="s">
        <v>575</v>
      </c>
      <c r="C275" s="22" t="s">
        <v>113</v>
      </c>
      <c r="D275" s="22" t="s">
        <v>22</v>
      </c>
      <c r="E275" s="22" t="s">
        <v>56</v>
      </c>
      <c r="F275" s="23" t="s">
        <v>57</v>
      </c>
      <c r="G275" s="23" t="s">
        <v>58</v>
      </c>
      <c r="H275" s="23" t="n">
        <v>1</v>
      </c>
      <c r="I275" s="24" t="n">
        <v>0.2239</v>
      </c>
      <c r="J275" s="24" t="n">
        <v>0.2239</v>
      </c>
      <c r="K275" s="21" t="s">
        <v>59</v>
      </c>
      <c r="L275" s="21"/>
      <c r="M275" s="24" t="n">
        <f aca="false">IF(AND($K275="Yes",$G275&lt;&gt;"Vendor day rates"),$J275-0.4*$I275,0)</f>
        <v>0</v>
      </c>
      <c r="N275" s="24" t="n">
        <f aca="false">IF(OR($K275&lt;&gt;"Yes",$L275=""),0,$M275*MAX(0,7-MATCH($L275,MonthList,0))/12)</f>
        <v>0</v>
      </c>
      <c r="O275" s="24" t="n">
        <f aca="false">IF(OR($K275&lt;&gt;"Yes",$L275=""),0,$M275*IF(MATCH($L275,MonthList,0)&lt;=7,12,19-MATCH($L275,MonthList,0))/12)</f>
        <v>0</v>
      </c>
      <c r="P275" s="21" t="s">
        <v>59</v>
      </c>
      <c r="Q275" s="21"/>
      <c r="R275" s="24" t="n">
        <f aca="false">IF(AND($P275="Yes",$G275&lt;&gt;"Vendor day rates"),$J275-0.4*$I275,0)</f>
        <v>0</v>
      </c>
      <c r="S275" s="24" t="n">
        <f aca="false">IF(OR($P275&lt;&gt;"Yes",$Q275=""),0,$R275*MAX(0,7-MATCH($Q275,MonthList,0))/12)</f>
        <v>0</v>
      </c>
      <c r="T275" s="24" t="n">
        <f aca="false">IF(OR($P275&lt;&gt;"Yes",$Q275=""),0,$R275*IF(MATCH($Q275,MonthList,0)&lt;=7,12,19-MATCH($Q275,MonthList,0))/12)</f>
        <v>0</v>
      </c>
      <c r="U275" s="21" t="s">
        <v>59</v>
      </c>
      <c r="V275" s="21"/>
      <c r="W275" s="24" t="n">
        <f aca="false">IF(AND($U275="Yes",$G275&lt;&gt;"Vendor day rates"),$J275-0.4*$I275,0)</f>
        <v>0</v>
      </c>
      <c r="X275" s="24" t="n">
        <f aca="false">IF(OR($U275&lt;&gt;"Yes",$V275=""),0,$W275*MAX(0,7-MATCH($V275,MonthList,0))/12)</f>
        <v>0</v>
      </c>
      <c r="Y275" s="24" t="n">
        <f aca="false">IF(OR($U275&lt;&gt;"Yes",$V275=""),0,$W275*IF(MATCH($V275,MonthList,0)&lt;=7,12,19-MATCH($V275,MonthList,0))/12)</f>
        <v>0</v>
      </c>
    </row>
    <row r="276" customFormat="false" ht="15" hidden="false" customHeight="true" outlineLevel="0" collapsed="false">
      <c r="B276" s="18" t="s">
        <v>576</v>
      </c>
      <c r="C276" s="18" t="s">
        <v>577</v>
      </c>
      <c r="D276" s="18" t="s">
        <v>22</v>
      </c>
      <c r="E276" s="18" t="s">
        <v>56</v>
      </c>
      <c r="F276" s="19" t="s">
        <v>57</v>
      </c>
      <c r="G276" s="19" t="s">
        <v>58</v>
      </c>
      <c r="H276" s="19" t="n">
        <v>1</v>
      </c>
      <c r="I276" s="20" t="n">
        <v>0.198</v>
      </c>
      <c r="J276" s="20" t="n">
        <v>0.198</v>
      </c>
      <c r="K276" s="21" t="s">
        <v>59</v>
      </c>
      <c r="L276" s="21"/>
      <c r="M276" s="20" t="n">
        <f aca="false">IF(AND($K276="Yes",$G276&lt;&gt;"Vendor day rates"),$J276-0.4*$I276,0)</f>
        <v>0</v>
      </c>
      <c r="N276" s="20" t="n">
        <f aca="false">IF(OR($K276&lt;&gt;"Yes",$L276=""),0,$M276*MAX(0,7-MATCH($L276,MonthList,0))/12)</f>
        <v>0</v>
      </c>
      <c r="O276" s="20" t="n">
        <f aca="false">IF(OR($K276&lt;&gt;"Yes",$L276=""),0,$M276*IF(MATCH($L276,MonthList,0)&lt;=7,12,19-MATCH($L276,MonthList,0))/12)</f>
        <v>0</v>
      </c>
      <c r="P276" s="21" t="s">
        <v>59</v>
      </c>
      <c r="Q276" s="21"/>
      <c r="R276" s="20" t="n">
        <f aca="false">IF(AND($P276="Yes",$G276&lt;&gt;"Vendor day rates"),$J276-0.4*$I276,0)</f>
        <v>0</v>
      </c>
      <c r="S276" s="20" t="n">
        <f aca="false">IF(OR($P276&lt;&gt;"Yes",$Q276=""),0,$R276*MAX(0,7-MATCH($Q276,MonthList,0))/12)</f>
        <v>0</v>
      </c>
      <c r="T276" s="20" t="n">
        <f aca="false">IF(OR($P276&lt;&gt;"Yes",$Q276=""),0,$R276*IF(MATCH($Q276,MonthList,0)&lt;=7,12,19-MATCH($Q276,MonthList,0))/12)</f>
        <v>0</v>
      </c>
      <c r="U276" s="21" t="s">
        <v>59</v>
      </c>
      <c r="V276" s="21"/>
      <c r="W276" s="20" t="n">
        <f aca="false">IF(AND($U276="Yes",$G276&lt;&gt;"Vendor day rates"),$J276-0.4*$I276,0)</f>
        <v>0</v>
      </c>
      <c r="X276" s="20" t="n">
        <f aca="false">IF(OR($U276&lt;&gt;"Yes",$V276=""),0,$W276*MAX(0,7-MATCH($V276,MonthList,0))/12)</f>
        <v>0</v>
      </c>
      <c r="Y276" s="20" t="n">
        <f aca="false">IF(OR($U276&lt;&gt;"Yes",$V276=""),0,$W276*IF(MATCH($V276,MonthList,0)&lt;=7,12,19-MATCH($V276,MonthList,0))/12)</f>
        <v>0</v>
      </c>
    </row>
    <row r="277" customFormat="false" ht="15" hidden="false" customHeight="true" outlineLevel="0" collapsed="false">
      <c r="B277" s="22" t="s">
        <v>578</v>
      </c>
      <c r="C277" s="22" t="s">
        <v>579</v>
      </c>
      <c r="D277" s="22" t="s">
        <v>18</v>
      </c>
      <c r="E277" s="22" t="s">
        <v>66</v>
      </c>
      <c r="F277" s="23" t="s">
        <v>57</v>
      </c>
      <c r="G277" s="23" t="s">
        <v>58</v>
      </c>
      <c r="H277" s="23" t="n">
        <v>1</v>
      </c>
      <c r="I277" s="24" t="n">
        <v>0.216</v>
      </c>
      <c r="J277" s="24" t="n">
        <v>0.216</v>
      </c>
      <c r="K277" s="21" t="s">
        <v>59</v>
      </c>
      <c r="L277" s="21"/>
      <c r="M277" s="24" t="n">
        <f aca="false">IF(AND($K277="Yes",$G277&lt;&gt;"Vendor day rates"),$J277-0.4*$I277,0)</f>
        <v>0</v>
      </c>
      <c r="N277" s="24" t="n">
        <f aca="false">IF(OR($K277&lt;&gt;"Yes",$L277=""),0,$M277*MAX(0,7-MATCH($L277,MonthList,0))/12)</f>
        <v>0</v>
      </c>
      <c r="O277" s="24" t="n">
        <f aca="false">IF(OR($K277&lt;&gt;"Yes",$L277=""),0,$M277*IF(MATCH($L277,MonthList,0)&lt;=7,12,19-MATCH($L277,MonthList,0))/12)</f>
        <v>0</v>
      </c>
      <c r="P277" s="21" t="s">
        <v>59</v>
      </c>
      <c r="Q277" s="21"/>
      <c r="R277" s="24" t="n">
        <f aca="false">IF(AND($P277="Yes",$G277&lt;&gt;"Vendor day rates"),$J277-0.4*$I277,0)</f>
        <v>0</v>
      </c>
      <c r="S277" s="24" t="n">
        <f aca="false">IF(OR($P277&lt;&gt;"Yes",$Q277=""),0,$R277*MAX(0,7-MATCH($Q277,MonthList,0))/12)</f>
        <v>0</v>
      </c>
      <c r="T277" s="24" t="n">
        <f aca="false">IF(OR($P277&lt;&gt;"Yes",$Q277=""),0,$R277*IF(MATCH($Q277,MonthList,0)&lt;=7,12,19-MATCH($Q277,MonthList,0))/12)</f>
        <v>0</v>
      </c>
      <c r="U277" s="21" t="s">
        <v>59</v>
      </c>
      <c r="V277" s="21"/>
      <c r="W277" s="24" t="n">
        <f aca="false">IF(AND($U277="Yes",$G277&lt;&gt;"Vendor day rates"),$J277-0.4*$I277,0)</f>
        <v>0</v>
      </c>
      <c r="X277" s="24" t="n">
        <f aca="false">IF(OR($U277&lt;&gt;"Yes",$V277=""),0,$W277*MAX(0,7-MATCH($V277,MonthList,0))/12)</f>
        <v>0</v>
      </c>
      <c r="Y277" s="24" t="n">
        <f aca="false">IF(OR($U277&lt;&gt;"Yes",$V277=""),0,$W277*IF(MATCH($V277,MonthList,0)&lt;=7,12,19-MATCH($V277,MonthList,0))/12)</f>
        <v>0</v>
      </c>
    </row>
    <row r="278" customFormat="false" ht="15" hidden="false" customHeight="true" outlineLevel="0" collapsed="false">
      <c r="B278" s="18" t="s">
        <v>580</v>
      </c>
      <c r="C278" s="18" t="s">
        <v>581</v>
      </c>
      <c r="D278" s="18" t="s">
        <v>18</v>
      </c>
      <c r="E278" s="18" t="s">
        <v>212</v>
      </c>
      <c r="F278" s="19" t="s">
        <v>57</v>
      </c>
      <c r="G278" s="19" t="s">
        <v>58</v>
      </c>
      <c r="H278" s="19" t="n">
        <v>1</v>
      </c>
      <c r="I278" s="20" t="n">
        <v>0.1948</v>
      </c>
      <c r="J278" s="20" t="n">
        <v>0.1948</v>
      </c>
      <c r="K278" s="21" t="s">
        <v>59</v>
      </c>
      <c r="L278" s="21"/>
      <c r="M278" s="20" t="n">
        <f aca="false">IF(AND($K278="Yes",$G278&lt;&gt;"Vendor day rates"),$J278-0.4*$I278,0)</f>
        <v>0</v>
      </c>
      <c r="N278" s="20" t="n">
        <f aca="false">IF(OR($K278&lt;&gt;"Yes",$L278=""),0,$M278*MAX(0,7-MATCH($L278,MonthList,0))/12)</f>
        <v>0</v>
      </c>
      <c r="O278" s="20" t="n">
        <f aca="false">IF(OR($K278&lt;&gt;"Yes",$L278=""),0,$M278*IF(MATCH($L278,MonthList,0)&lt;=7,12,19-MATCH($L278,MonthList,0))/12)</f>
        <v>0</v>
      </c>
      <c r="P278" s="21" t="s">
        <v>59</v>
      </c>
      <c r="Q278" s="21"/>
      <c r="R278" s="20" t="n">
        <f aca="false">IF(AND($P278="Yes",$G278&lt;&gt;"Vendor day rates"),$J278-0.4*$I278,0)</f>
        <v>0</v>
      </c>
      <c r="S278" s="20" t="n">
        <f aca="false">IF(OR($P278&lt;&gt;"Yes",$Q278=""),0,$R278*MAX(0,7-MATCH($Q278,MonthList,0))/12)</f>
        <v>0</v>
      </c>
      <c r="T278" s="20" t="n">
        <f aca="false">IF(OR($P278&lt;&gt;"Yes",$Q278=""),0,$R278*IF(MATCH($Q278,MonthList,0)&lt;=7,12,19-MATCH($Q278,MonthList,0))/12)</f>
        <v>0</v>
      </c>
      <c r="U278" s="21" t="s">
        <v>59</v>
      </c>
      <c r="V278" s="21"/>
      <c r="W278" s="20" t="n">
        <f aca="false">IF(AND($U278="Yes",$G278&lt;&gt;"Vendor day rates"),$J278-0.4*$I278,0)</f>
        <v>0</v>
      </c>
      <c r="X278" s="20" t="n">
        <f aca="false">IF(OR($U278&lt;&gt;"Yes",$V278=""),0,$W278*MAX(0,7-MATCH($V278,MonthList,0))/12)</f>
        <v>0</v>
      </c>
      <c r="Y278" s="20" t="n">
        <f aca="false">IF(OR($U278&lt;&gt;"Yes",$V278=""),0,$W278*IF(MATCH($V278,MonthList,0)&lt;=7,12,19-MATCH($V278,MonthList,0))/12)</f>
        <v>0</v>
      </c>
    </row>
    <row r="279" customFormat="false" ht="15" hidden="false" customHeight="true" outlineLevel="0" collapsed="false">
      <c r="B279" s="22" t="s">
        <v>582</v>
      </c>
      <c r="C279" s="22" t="s">
        <v>583</v>
      </c>
      <c r="D279" s="22" t="s">
        <v>18</v>
      </c>
      <c r="E279" s="22" t="s">
        <v>212</v>
      </c>
      <c r="F279" s="23" t="s">
        <v>57</v>
      </c>
      <c r="G279" s="23" t="s">
        <v>145</v>
      </c>
      <c r="H279" s="23" t="n">
        <v>1</v>
      </c>
      <c r="I279" s="24" t="n">
        <v>0.1948</v>
      </c>
      <c r="J279" s="24" t="n">
        <v>0.1948</v>
      </c>
      <c r="K279" s="21" t="s">
        <v>59</v>
      </c>
      <c r="L279" s="21"/>
      <c r="M279" s="24" t="n">
        <f aca="false">IF(AND($K279="Yes",$G279&lt;&gt;"Vendor day rates"),$J279-0.4*$I279,0)</f>
        <v>0</v>
      </c>
      <c r="N279" s="24" t="n">
        <f aca="false">IF(OR($K279&lt;&gt;"Yes",$L279=""),0,$M279*MAX(0,7-MATCH($L279,MonthList,0))/12)</f>
        <v>0</v>
      </c>
      <c r="O279" s="24" t="n">
        <f aca="false">IF(OR($K279&lt;&gt;"Yes",$L279=""),0,$M279*IF(MATCH($L279,MonthList,0)&lt;=7,12,19-MATCH($L279,MonthList,0))/12)</f>
        <v>0</v>
      </c>
      <c r="P279" s="21" t="s">
        <v>59</v>
      </c>
      <c r="Q279" s="21"/>
      <c r="R279" s="24" t="n">
        <f aca="false">IF(AND($P279="Yes",$G279&lt;&gt;"Vendor day rates"),$J279-0.4*$I279,0)</f>
        <v>0</v>
      </c>
      <c r="S279" s="24" t="n">
        <f aca="false">IF(OR($P279&lt;&gt;"Yes",$Q279=""),0,$R279*MAX(0,7-MATCH($Q279,MonthList,0))/12)</f>
        <v>0</v>
      </c>
      <c r="T279" s="24" t="n">
        <f aca="false">IF(OR($P279&lt;&gt;"Yes",$Q279=""),0,$R279*IF(MATCH($Q279,MonthList,0)&lt;=7,12,19-MATCH($Q279,MonthList,0))/12)</f>
        <v>0</v>
      </c>
      <c r="U279" s="21" t="s">
        <v>59</v>
      </c>
      <c r="V279" s="21"/>
      <c r="W279" s="24" t="n">
        <f aca="false">IF(AND($U279="Yes",$G279&lt;&gt;"Vendor day rates"),$J279-0.4*$I279,0)</f>
        <v>0</v>
      </c>
      <c r="X279" s="24" t="n">
        <f aca="false">IF(OR($U279&lt;&gt;"Yes",$V279=""),0,$W279*MAX(0,7-MATCH($V279,MonthList,0))/12)</f>
        <v>0</v>
      </c>
      <c r="Y279" s="24" t="n">
        <f aca="false">IF(OR($U279&lt;&gt;"Yes",$V279=""),0,$W279*IF(MATCH($V279,MonthList,0)&lt;=7,12,19-MATCH($V279,MonthList,0))/12)</f>
        <v>0</v>
      </c>
    </row>
    <row r="280" customFormat="false" ht="15" hidden="false" customHeight="true" outlineLevel="0" collapsed="false">
      <c r="B280" s="18" t="s">
        <v>584</v>
      </c>
      <c r="C280" s="18" t="s">
        <v>138</v>
      </c>
      <c r="D280" s="18" t="s">
        <v>18</v>
      </c>
      <c r="E280" s="18" t="s">
        <v>56</v>
      </c>
      <c r="F280" s="19" t="s">
        <v>57</v>
      </c>
      <c r="G280" s="19" t="s">
        <v>58</v>
      </c>
      <c r="H280" s="19" t="n">
        <v>1</v>
      </c>
      <c r="I280" s="20" t="n">
        <v>0.216</v>
      </c>
      <c r="J280" s="20" t="n">
        <v>0.216</v>
      </c>
      <c r="K280" s="21" t="s">
        <v>59</v>
      </c>
      <c r="L280" s="21"/>
      <c r="M280" s="20" t="n">
        <f aca="false">IF(AND($K280="Yes",$G280&lt;&gt;"Vendor day rates"),$J280-0.4*$I280,0)</f>
        <v>0</v>
      </c>
      <c r="N280" s="20" t="n">
        <f aca="false">IF(OR($K280&lt;&gt;"Yes",$L280=""),0,$M280*MAX(0,7-MATCH($L280,MonthList,0))/12)</f>
        <v>0</v>
      </c>
      <c r="O280" s="20" t="n">
        <f aca="false">IF(OR($K280&lt;&gt;"Yes",$L280=""),0,$M280*IF(MATCH($L280,MonthList,0)&lt;=7,12,19-MATCH($L280,MonthList,0))/12)</f>
        <v>0</v>
      </c>
      <c r="P280" s="21" t="s">
        <v>59</v>
      </c>
      <c r="Q280" s="21"/>
      <c r="R280" s="20" t="n">
        <f aca="false">IF(AND($P280="Yes",$G280&lt;&gt;"Vendor day rates"),$J280-0.4*$I280,0)</f>
        <v>0</v>
      </c>
      <c r="S280" s="20" t="n">
        <f aca="false">IF(OR($P280&lt;&gt;"Yes",$Q280=""),0,$R280*MAX(0,7-MATCH($Q280,MonthList,0))/12)</f>
        <v>0</v>
      </c>
      <c r="T280" s="20" t="n">
        <f aca="false">IF(OR($P280&lt;&gt;"Yes",$Q280=""),0,$R280*IF(MATCH($Q280,MonthList,0)&lt;=7,12,19-MATCH($Q280,MonthList,0))/12)</f>
        <v>0</v>
      </c>
      <c r="U280" s="21" t="s">
        <v>59</v>
      </c>
      <c r="V280" s="21"/>
      <c r="W280" s="20" t="n">
        <f aca="false">IF(AND($U280="Yes",$G280&lt;&gt;"Vendor day rates"),$J280-0.4*$I280,0)</f>
        <v>0</v>
      </c>
      <c r="X280" s="20" t="n">
        <f aca="false">IF(OR($U280&lt;&gt;"Yes",$V280=""),0,$W280*MAX(0,7-MATCH($V280,MonthList,0))/12)</f>
        <v>0</v>
      </c>
      <c r="Y280" s="20" t="n">
        <f aca="false">IF(OR($U280&lt;&gt;"Yes",$V280=""),0,$W280*IF(MATCH($V280,MonthList,0)&lt;=7,12,19-MATCH($V280,MonthList,0))/12)</f>
        <v>0</v>
      </c>
    </row>
    <row r="281" customFormat="false" ht="15" hidden="false" customHeight="true" outlineLevel="0" collapsed="false">
      <c r="B281" s="22" t="s">
        <v>585</v>
      </c>
      <c r="C281" s="22" t="s">
        <v>586</v>
      </c>
      <c r="D281" s="22" t="s">
        <v>18</v>
      </c>
      <c r="E281" s="22" t="s">
        <v>92</v>
      </c>
      <c r="F281" s="23" t="s">
        <v>57</v>
      </c>
      <c r="G281" s="23" t="s">
        <v>58</v>
      </c>
      <c r="H281" s="23" t="n">
        <v>1</v>
      </c>
      <c r="I281" s="24" t="n">
        <v>0.207</v>
      </c>
      <c r="J281" s="24" t="n">
        <v>0.207</v>
      </c>
      <c r="K281" s="21" t="s">
        <v>59</v>
      </c>
      <c r="L281" s="21"/>
      <c r="M281" s="24" t="n">
        <f aca="false">IF(AND($K281="Yes",$G281&lt;&gt;"Vendor day rates"),$J281-0.4*$I281,0)</f>
        <v>0</v>
      </c>
      <c r="N281" s="24" t="n">
        <f aca="false">IF(OR($K281&lt;&gt;"Yes",$L281=""),0,$M281*MAX(0,7-MATCH($L281,MonthList,0))/12)</f>
        <v>0</v>
      </c>
      <c r="O281" s="24" t="n">
        <f aca="false">IF(OR($K281&lt;&gt;"Yes",$L281=""),0,$M281*IF(MATCH($L281,MonthList,0)&lt;=7,12,19-MATCH($L281,MonthList,0))/12)</f>
        <v>0</v>
      </c>
      <c r="P281" s="21" t="s">
        <v>59</v>
      </c>
      <c r="Q281" s="21"/>
      <c r="R281" s="24" t="n">
        <f aca="false">IF(AND($P281="Yes",$G281&lt;&gt;"Vendor day rates"),$J281-0.4*$I281,0)</f>
        <v>0</v>
      </c>
      <c r="S281" s="24" t="n">
        <f aca="false">IF(OR($P281&lt;&gt;"Yes",$Q281=""),0,$R281*MAX(0,7-MATCH($Q281,MonthList,0))/12)</f>
        <v>0</v>
      </c>
      <c r="T281" s="24" t="n">
        <f aca="false">IF(OR($P281&lt;&gt;"Yes",$Q281=""),0,$R281*IF(MATCH($Q281,MonthList,0)&lt;=7,12,19-MATCH($Q281,MonthList,0))/12)</f>
        <v>0</v>
      </c>
      <c r="U281" s="21" t="s">
        <v>59</v>
      </c>
      <c r="V281" s="21"/>
      <c r="W281" s="24" t="n">
        <f aca="false">IF(AND($U281="Yes",$G281&lt;&gt;"Vendor day rates"),$J281-0.4*$I281,0)</f>
        <v>0</v>
      </c>
      <c r="X281" s="24" t="n">
        <f aca="false">IF(OR($U281&lt;&gt;"Yes",$V281=""),0,$W281*MAX(0,7-MATCH($V281,MonthList,0))/12)</f>
        <v>0</v>
      </c>
      <c r="Y281" s="24" t="n">
        <f aca="false">IF(OR($U281&lt;&gt;"Yes",$V281=""),0,$W281*IF(MATCH($V281,MonthList,0)&lt;=7,12,19-MATCH($V281,MonthList,0))/12)</f>
        <v>0</v>
      </c>
    </row>
    <row r="282" customFormat="false" ht="15" hidden="false" customHeight="true" outlineLevel="0" collapsed="false">
      <c r="B282" s="18" t="s">
        <v>587</v>
      </c>
      <c r="C282" s="18" t="s">
        <v>588</v>
      </c>
      <c r="D282" s="18" t="s">
        <v>18</v>
      </c>
      <c r="E282" s="18" t="s">
        <v>92</v>
      </c>
      <c r="F282" s="19" t="s">
        <v>57</v>
      </c>
      <c r="G282" s="19" t="s">
        <v>58</v>
      </c>
      <c r="H282" s="19" t="n">
        <v>1</v>
      </c>
      <c r="I282" s="20" t="n">
        <v>0.1948</v>
      </c>
      <c r="J282" s="20" t="n">
        <v>0.1948</v>
      </c>
      <c r="K282" s="21" t="s">
        <v>59</v>
      </c>
      <c r="L282" s="21"/>
      <c r="M282" s="20" t="n">
        <f aca="false">IF(AND($K282="Yes",$G282&lt;&gt;"Vendor day rates"),$J282-0.4*$I282,0)</f>
        <v>0</v>
      </c>
      <c r="N282" s="20" t="n">
        <f aca="false">IF(OR($K282&lt;&gt;"Yes",$L282=""),0,$M282*MAX(0,7-MATCH($L282,MonthList,0))/12)</f>
        <v>0</v>
      </c>
      <c r="O282" s="20" t="n">
        <f aca="false">IF(OR($K282&lt;&gt;"Yes",$L282=""),0,$M282*IF(MATCH($L282,MonthList,0)&lt;=7,12,19-MATCH($L282,MonthList,0))/12)</f>
        <v>0</v>
      </c>
      <c r="P282" s="21" t="s">
        <v>59</v>
      </c>
      <c r="Q282" s="21"/>
      <c r="R282" s="20" t="n">
        <f aca="false">IF(AND($P282="Yes",$G282&lt;&gt;"Vendor day rates"),$J282-0.4*$I282,0)</f>
        <v>0</v>
      </c>
      <c r="S282" s="20" t="n">
        <f aca="false">IF(OR($P282&lt;&gt;"Yes",$Q282=""),0,$R282*MAX(0,7-MATCH($Q282,MonthList,0))/12)</f>
        <v>0</v>
      </c>
      <c r="T282" s="20" t="n">
        <f aca="false">IF(OR($P282&lt;&gt;"Yes",$Q282=""),0,$R282*IF(MATCH($Q282,MonthList,0)&lt;=7,12,19-MATCH($Q282,MonthList,0))/12)</f>
        <v>0</v>
      </c>
      <c r="U282" s="21" t="s">
        <v>59</v>
      </c>
      <c r="V282" s="21"/>
      <c r="W282" s="20" t="n">
        <f aca="false">IF(AND($U282="Yes",$G282&lt;&gt;"Vendor day rates"),$J282-0.4*$I282,0)</f>
        <v>0</v>
      </c>
      <c r="X282" s="20" t="n">
        <f aca="false">IF(OR($U282&lt;&gt;"Yes",$V282=""),0,$W282*MAX(0,7-MATCH($V282,MonthList,0))/12)</f>
        <v>0</v>
      </c>
      <c r="Y282" s="20" t="n">
        <f aca="false">IF(OR($U282&lt;&gt;"Yes",$V282=""),0,$W282*IF(MATCH($V282,MonthList,0)&lt;=7,12,19-MATCH($V282,MonthList,0))/12)</f>
        <v>0</v>
      </c>
    </row>
    <row r="283" customFormat="false" ht="15" hidden="false" customHeight="true" outlineLevel="0" collapsed="false">
      <c r="B283" s="22" t="s">
        <v>589</v>
      </c>
      <c r="C283" s="22" t="s">
        <v>588</v>
      </c>
      <c r="D283" s="22" t="s">
        <v>18</v>
      </c>
      <c r="E283" s="22" t="s">
        <v>92</v>
      </c>
      <c r="F283" s="23" t="s">
        <v>57</v>
      </c>
      <c r="G283" s="23" t="s">
        <v>145</v>
      </c>
      <c r="H283" s="23" t="n">
        <v>1</v>
      </c>
      <c r="I283" s="24" t="n">
        <v>0.1948</v>
      </c>
      <c r="J283" s="24" t="n">
        <v>0.1461</v>
      </c>
      <c r="K283" s="21" t="s">
        <v>59</v>
      </c>
      <c r="L283" s="21"/>
      <c r="M283" s="24" t="n">
        <f aca="false">IF(AND($K283="Yes",$G283&lt;&gt;"Vendor day rates"),$J283-0.4*$I283,0)</f>
        <v>0</v>
      </c>
      <c r="N283" s="24" t="n">
        <f aca="false">IF(OR($K283&lt;&gt;"Yes",$L283=""),0,$M283*MAX(0,7-MATCH($L283,MonthList,0))/12)</f>
        <v>0</v>
      </c>
      <c r="O283" s="24" t="n">
        <f aca="false">IF(OR($K283&lt;&gt;"Yes",$L283=""),0,$M283*IF(MATCH($L283,MonthList,0)&lt;=7,12,19-MATCH($L283,MonthList,0))/12)</f>
        <v>0</v>
      </c>
      <c r="P283" s="21" t="s">
        <v>59</v>
      </c>
      <c r="Q283" s="21"/>
      <c r="R283" s="24" t="n">
        <f aca="false">IF(AND($P283="Yes",$G283&lt;&gt;"Vendor day rates"),$J283-0.4*$I283,0)</f>
        <v>0</v>
      </c>
      <c r="S283" s="24" t="n">
        <f aca="false">IF(OR($P283&lt;&gt;"Yes",$Q283=""),0,$R283*MAX(0,7-MATCH($Q283,MonthList,0))/12)</f>
        <v>0</v>
      </c>
      <c r="T283" s="24" t="n">
        <f aca="false">IF(OR($P283&lt;&gt;"Yes",$Q283=""),0,$R283*IF(MATCH($Q283,MonthList,0)&lt;=7,12,19-MATCH($Q283,MonthList,0))/12)</f>
        <v>0</v>
      </c>
      <c r="U283" s="21" t="s">
        <v>59</v>
      </c>
      <c r="V283" s="21"/>
      <c r="W283" s="24" t="n">
        <f aca="false">IF(AND($U283="Yes",$G283&lt;&gt;"Vendor day rates"),$J283-0.4*$I283,0)</f>
        <v>0</v>
      </c>
      <c r="X283" s="24" t="n">
        <f aca="false">IF(OR($U283&lt;&gt;"Yes",$V283=""),0,$W283*MAX(0,7-MATCH($V283,MonthList,0))/12)</f>
        <v>0</v>
      </c>
      <c r="Y283" s="24" t="n">
        <f aca="false">IF(OR($U283&lt;&gt;"Yes",$V283=""),0,$W283*IF(MATCH($V283,MonthList,0)&lt;=7,12,19-MATCH($V283,MonthList,0))/12)</f>
        <v>0</v>
      </c>
    </row>
    <row r="284" customFormat="false" ht="15" hidden="false" customHeight="true" outlineLevel="0" collapsed="false">
      <c r="B284" s="18" t="s">
        <v>590</v>
      </c>
      <c r="C284" s="18" t="s">
        <v>591</v>
      </c>
      <c r="D284" s="18" t="s">
        <v>18</v>
      </c>
      <c r="E284" s="18" t="s">
        <v>92</v>
      </c>
      <c r="F284" s="19" t="s">
        <v>57</v>
      </c>
      <c r="G284" s="19" t="s">
        <v>145</v>
      </c>
      <c r="H284" s="19" t="n">
        <v>1</v>
      </c>
      <c r="I284" s="20" t="n">
        <v>0.1948</v>
      </c>
      <c r="J284" s="20" t="n">
        <v>0.1461</v>
      </c>
      <c r="K284" s="21" t="s">
        <v>59</v>
      </c>
      <c r="L284" s="21"/>
      <c r="M284" s="20" t="n">
        <f aca="false">IF(AND($K284="Yes",$G284&lt;&gt;"Vendor day rates"),$J284-0.4*$I284,0)</f>
        <v>0</v>
      </c>
      <c r="N284" s="20" t="n">
        <f aca="false">IF(OR($K284&lt;&gt;"Yes",$L284=""),0,$M284*MAX(0,7-MATCH($L284,MonthList,0))/12)</f>
        <v>0</v>
      </c>
      <c r="O284" s="20" t="n">
        <f aca="false">IF(OR($K284&lt;&gt;"Yes",$L284=""),0,$M284*IF(MATCH($L284,MonthList,0)&lt;=7,12,19-MATCH($L284,MonthList,0))/12)</f>
        <v>0</v>
      </c>
      <c r="P284" s="21" t="s">
        <v>59</v>
      </c>
      <c r="Q284" s="21"/>
      <c r="R284" s="20" t="n">
        <f aca="false">IF(AND($P284="Yes",$G284&lt;&gt;"Vendor day rates"),$J284-0.4*$I284,0)</f>
        <v>0</v>
      </c>
      <c r="S284" s="20" t="n">
        <f aca="false">IF(OR($P284&lt;&gt;"Yes",$Q284=""),0,$R284*MAX(0,7-MATCH($Q284,MonthList,0))/12)</f>
        <v>0</v>
      </c>
      <c r="T284" s="20" t="n">
        <f aca="false">IF(OR($P284&lt;&gt;"Yes",$Q284=""),0,$R284*IF(MATCH($Q284,MonthList,0)&lt;=7,12,19-MATCH($Q284,MonthList,0))/12)</f>
        <v>0</v>
      </c>
      <c r="U284" s="21" t="s">
        <v>59</v>
      </c>
      <c r="V284" s="21"/>
      <c r="W284" s="20" t="n">
        <f aca="false">IF(AND($U284="Yes",$G284&lt;&gt;"Vendor day rates"),$J284-0.4*$I284,0)</f>
        <v>0</v>
      </c>
      <c r="X284" s="20" t="n">
        <f aca="false">IF(OR($U284&lt;&gt;"Yes",$V284=""),0,$W284*MAX(0,7-MATCH($V284,MonthList,0))/12)</f>
        <v>0</v>
      </c>
      <c r="Y284" s="20" t="n">
        <f aca="false">IF(OR($U284&lt;&gt;"Yes",$V284=""),0,$W284*IF(MATCH($V284,MonthList,0)&lt;=7,12,19-MATCH($V284,MonthList,0))/12)</f>
        <v>0</v>
      </c>
    </row>
    <row r="285" customFormat="false" ht="15" hidden="false" customHeight="true" outlineLevel="0" collapsed="false">
      <c r="B285" s="22" t="s">
        <v>592</v>
      </c>
      <c r="C285" s="22" t="s">
        <v>593</v>
      </c>
      <c r="D285" s="22" t="s">
        <v>18</v>
      </c>
      <c r="E285" s="22" t="s">
        <v>92</v>
      </c>
      <c r="F285" s="23" t="s">
        <v>57</v>
      </c>
      <c r="G285" s="23" t="s">
        <v>145</v>
      </c>
      <c r="H285" s="23" t="n">
        <v>1</v>
      </c>
      <c r="I285" s="24" t="n">
        <v>0.1948</v>
      </c>
      <c r="J285" s="24" t="n">
        <v>0.1948</v>
      </c>
      <c r="K285" s="21" t="s">
        <v>59</v>
      </c>
      <c r="L285" s="21"/>
      <c r="M285" s="24" t="n">
        <f aca="false">IF(AND($K285="Yes",$G285&lt;&gt;"Vendor day rates"),$J285-0.4*$I285,0)</f>
        <v>0</v>
      </c>
      <c r="N285" s="24" t="n">
        <f aca="false">IF(OR($K285&lt;&gt;"Yes",$L285=""),0,$M285*MAX(0,7-MATCH($L285,MonthList,0))/12)</f>
        <v>0</v>
      </c>
      <c r="O285" s="24" t="n">
        <f aca="false">IF(OR($K285&lt;&gt;"Yes",$L285=""),0,$M285*IF(MATCH($L285,MonthList,0)&lt;=7,12,19-MATCH($L285,MonthList,0))/12)</f>
        <v>0</v>
      </c>
      <c r="P285" s="21" t="s">
        <v>59</v>
      </c>
      <c r="Q285" s="21"/>
      <c r="R285" s="24" t="n">
        <f aca="false">IF(AND($P285="Yes",$G285&lt;&gt;"Vendor day rates"),$J285-0.4*$I285,0)</f>
        <v>0</v>
      </c>
      <c r="S285" s="24" t="n">
        <f aca="false">IF(OR($P285&lt;&gt;"Yes",$Q285=""),0,$R285*MAX(0,7-MATCH($Q285,MonthList,0))/12)</f>
        <v>0</v>
      </c>
      <c r="T285" s="24" t="n">
        <f aca="false">IF(OR($P285&lt;&gt;"Yes",$Q285=""),0,$R285*IF(MATCH($Q285,MonthList,0)&lt;=7,12,19-MATCH($Q285,MonthList,0))/12)</f>
        <v>0</v>
      </c>
      <c r="U285" s="21" t="s">
        <v>59</v>
      </c>
      <c r="V285" s="21"/>
      <c r="W285" s="24" t="n">
        <f aca="false">IF(AND($U285="Yes",$G285&lt;&gt;"Vendor day rates"),$J285-0.4*$I285,0)</f>
        <v>0</v>
      </c>
      <c r="X285" s="24" t="n">
        <f aca="false">IF(OR($U285&lt;&gt;"Yes",$V285=""),0,$W285*MAX(0,7-MATCH($V285,MonthList,0))/12)</f>
        <v>0</v>
      </c>
      <c r="Y285" s="24" t="n">
        <f aca="false">IF(OR($U285&lt;&gt;"Yes",$V285=""),0,$W285*IF(MATCH($V285,MonthList,0)&lt;=7,12,19-MATCH($V285,MonthList,0))/12)</f>
        <v>0</v>
      </c>
    </row>
    <row r="286" customFormat="false" ht="15" hidden="false" customHeight="true" outlineLevel="0" collapsed="false">
      <c r="B286" s="18" t="s">
        <v>594</v>
      </c>
      <c r="C286" s="18" t="s">
        <v>595</v>
      </c>
      <c r="D286" s="18" t="s">
        <v>23</v>
      </c>
      <c r="E286" s="18" t="s">
        <v>253</v>
      </c>
      <c r="F286" s="19" t="s">
        <v>57</v>
      </c>
      <c r="G286" s="19" t="s">
        <v>58</v>
      </c>
      <c r="H286" s="19" t="n">
        <v>1</v>
      </c>
      <c r="I286" s="20" t="n">
        <v>0.244</v>
      </c>
      <c r="J286" s="20" t="n">
        <v>0.244</v>
      </c>
      <c r="K286" s="21" t="s">
        <v>59</v>
      </c>
      <c r="L286" s="21"/>
      <c r="M286" s="20" t="n">
        <f aca="false">IF(AND($K286="Yes",$G286&lt;&gt;"Vendor day rates"),$J286-0.4*$I286,0)</f>
        <v>0</v>
      </c>
      <c r="N286" s="20" t="n">
        <f aca="false">IF(OR($K286&lt;&gt;"Yes",$L286=""),0,$M286*MAX(0,7-MATCH($L286,MonthList,0))/12)</f>
        <v>0</v>
      </c>
      <c r="O286" s="20" t="n">
        <f aca="false">IF(OR($K286&lt;&gt;"Yes",$L286=""),0,$M286*IF(MATCH($L286,MonthList,0)&lt;=7,12,19-MATCH($L286,MonthList,0))/12)</f>
        <v>0</v>
      </c>
      <c r="P286" s="21" t="s">
        <v>59</v>
      </c>
      <c r="Q286" s="21"/>
      <c r="R286" s="20" t="n">
        <f aca="false">IF(AND($P286="Yes",$G286&lt;&gt;"Vendor day rates"),$J286-0.4*$I286,0)</f>
        <v>0</v>
      </c>
      <c r="S286" s="20" t="n">
        <f aca="false">IF(OR($P286&lt;&gt;"Yes",$Q286=""),0,$R286*MAX(0,7-MATCH($Q286,MonthList,0))/12)</f>
        <v>0</v>
      </c>
      <c r="T286" s="20" t="n">
        <f aca="false">IF(OR($P286&lt;&gt;"Yes",$Q286=""),0,$R286*IF(MATCH($Q286,MonthList,0)&lt;=7,12,19-MATCH($Q286,MonthList,0))/12)</f>
        <v>0</v>
      </c>
      <c r="U286" s="21" t="s">
        <v>59</v>
      </c>
      <c r="V286" s="21"/>
      <c r="W286" s="20" t="n">
        <f aca="false">IF(AND($U286="Yes",$G286&lt;&gt;"Vendor day rates"),$J286-0.4*$I286,0)</f>
        <v>0</v>
      </c>
      <c r="X286" s="20" t="n">
        <f aca="false">IF(OR($U286&lt;&gt;"Yes",$V286=""),0,$W286*MAX(0,7-MATCH($V286,MonthList,0))/12)</f>
        <v>0</v>
      </c>
      <c r="Y286" s="20" t="n">
        <f aca="false">IF(OR($U286&lt;&gt;"Yes",$V286=""),0,$W286*IF(MATCH($V286,MonthList,0)&lt;=7,12,19-MATCH($V286,MonthList,0))/12)</f>
        <v>0</v>
      </c>
    </row>
    <row r="287" customFormat="false" ht="15" hidden="false" customHeight="true" outlineLevel="0" collapsed="false">
      <c r="B287" s="22" t="s">
        <v>596</v>
      </c>
      <c r="C287" s="22" t="s">
        <v>597</v>
      </c>
      <c r="D287" s="22" t="s">
        <v>20</v>
      </c>
      <c r="E287" s="22" t="s">
        <v>351</v>
      </c>
      <c r="F287" s="23" t="s">
        <v>57</v>
      </c>
      <c r="G287" s="23" t="s">
        <v>58</v>
      </c>
      <c r="H287" s="23" t="n">
        <v>1</v>
      </c>
      <c r="I287" s="24" t="n">
        <v>0.2936</v>
      </c>
      <c r="J287" s="24" t="n">
        <v>0.2936</v>
      </c>
      <c r="K287" s="21" t="s">
        <v>59</v>
      </c>
      <c r="L287" s="21"/>
      <c r="M287" s="24" t="n">
        <f aca="false">IF(AND($K287="Yes",$G287&lt;&gt;"Vendor day rates"),$J287-0.4*$I287,0)</f>
        <v>0</v>
      </c>
      <c r="N287" s="24" t="n">
        <f aca="false">IF(OR($K287&lt;&gt;"Yes",$L287=""),0,$M287*MAX(0,7-MATCH($L287,MonthList,0))/12)</f>
        <v>0</v>
      </c>
      <c r="O287" s="24" t="n">
        <f aca="false">IF(OR($K287&lt;&gt;"Yes",$L287=""),0,$M287*IF(MATCH($L287,MonthList,0)&lt;=7,12,19-MATCH($L287,MonthList,0))/12)</f>
        <v>0</v>
      </c>
      <c r="P287" s="21" t="s">
        <v>59</v>
      </c>
      <c r="Q287" s="21"/>
      <c r="R287" s="24" t="n">
        <f aca="false">IF(AND($P287="Yes",$G287&lt;&gt;"Vendor day rates"),$J287-0.4*$I287,0)</f>
        <v>0</v>
      </c>
      <c r="S287" s="24" t="n">
        <f aca="false">IF(OR($P287&lt;&gt;"Yes",$Q287=""),0,$R287*MAX(0,7-MATCH($Q287,MonthList,0))/12)</f>
        <v>0</v>
      </c>
      <c r="T287" s="24" t="n">
        <f aca="false">IF(OR($P287&lt;&gt;"Yes",$Q287=""),0,$R287*IF(MATCH($Q287,MonthList,0)&lt;=7,12,19-MATCH($Q287,MonthList,0))/12)</f>
        <v>0</v>
      </c>
      <c r="U287" s="21" t="s">
        <v>59</v>
      </c>
      <c r="V287" s="21"/>
      <c r="W287" s="24" t="n">
        <f aca="false">IF(AND($U287="Yes",$G287&lt;&gt;"Vendor day rates"),$J287-0.4*$I287,0)</f>
        <v>0</v>
      </c>
      <c r="X287" s="24" t="n">
        <f aca="false">IF(OR($U287&lt;&gt;"Yes",$V287=""),0,$W287*MAX(0,7-MATCH($V287,MonthList,0))/12)</f>
        <v>0</v>
      </c>
      <c r="Y287" s="24" t="n">
        <f aca="false">IF(OR($U287&lt;&gt;"Yes",$V287=""),0,$W287*IF(MATCH($V287,MonthList,0)&lt;=7,12,19-MATCH($V287,MonthList,0))/12)</f>
        <v>0</v>
      </c>
    </row>
    <row r="288" customFormat="false" ht="15" hidden="false" customHeight="true" outlineLevel="0" collapsed="false">
      <c r="B288" s="18" t="s">
        <v>598</v>
      </c>
      <c r="C288" s="18" t="s">
        <v>599</v>
      </c>
      <c r="D288" s="18" t="s">
        <v>20</v>
      </c>
      <c r="E288" s="18" t="s">
        <v>351</v>
      </c>
      <c r="F288" s="19" t="s">
        <v>57</v>
      </c>
      <c r="G288" s="19" t="s">
        <v>58</v>
      </c>
      <c r="H288" s="19" t="n">
        <v>1</v>
      </c>
      <c r="I288" s="20" t="n">
        <v>0.2126</v>
      </c>
      <c r="J288" s="20" t="n">
        <v>0.2126</v>
      </c>
      <c r="K288" s="21" t="s">
        <v>59</v>
      </c>
      <c r="L288" s="21"/>
      <c r="M288" s="20" t="n">
        <f aca="false">IF(AND($K288="Yes",$G288&lt;&gt;"Vendor day rates"),$J288-0.4*$I288,0)</f>
        <v>0</v>
      </c>
      <c r="N288" s="20" t="n">
        <f aca="false">IF(OR($K288&lt;&gt;"Yes",$L288=""),0,$M288*MAX(0,7-MATCH($L288,MonthList,0))/12)</f>
        <v>0</v>
      </c>
      <c r="O288" s="20" t="n">
        <f aca="false">IF(OR($K288&lt;&gt;"Yes",$L288=""),0,$M288*IF(MATCH($L288,MonthList,0)&lt;=7,12,19-MATCH($L288,MonthList,0))/12)</f>
        <v>0</v>
      </c>
      <c r="P288" s="21" t="s">
        <v>59</v>
      </c>
      <c r="Q288" s="21"/>
      <c r="R288" s="20" t="n">
        <f aca="false">IF(AND($P288="Yes",$G288&lt;&gt;"Vendor day rates"),$J288-0.4*$I288,0)</f>
        <v>0</v>
      </c>
      <c r="S288" s="20" t="n">
        <f aca="false">IF(OR($P288&lt;&gt;"Yes",$Q288=""),0,$R288*MAX(0,7-MATCH($Q288,MonthList,0))/12)</f>
        <v>0</v>
      </c>
      <c r="T288" s="20" t="n">
        <f aca="false">IF(OR($P288&lt;&gt;"Yes",$Q288=""),0,$R288*IF(MATCH($Q288,MonthList,0)&lt;=7,12,19-MATCH($Q288,MonthList,0))/12)</f>
        <v>0</v>
      </c>
      <c r="U288" s="21" t="s">
        <v>59</v>
      </c>
      <c r="V288" s="21"/>
      <c r="W288" s="20" t="n">
        <f aca="false">IF(AND($U288="Yes",$G288&lt;&gt;"Vendor day rates"),$J288-0.4*$I288,0)</f>
        <v>0</v>
      </c>
      <c r="X288" s="20" t="n">
        <f aca="false">IF(OR($U288&lt;&gt;"Yes",$V288=""),0,$W288*MAX(0,7-MATCH($V288,MonthList,0))/12)</f>
        <v>0</v>
      </c>
      <c r="Y288" s="20" t="n">
        <f aca="false">IF(OR($U288&lt;&gt;"Yes",$V288=""),0,$W288*IF(MATCH($V288,MonthList,0)&lt;=7,12,19-MATCH($V288,MonthList,0))/12)</f>
        <v>0</v>
      </c>
    </row>
    <row r="289" customFormat="false" ht="15" hidden="false" customHeight="true" outlineLevel="0" collapsed="false">
      <c r="B289" s="22" t="s">
        <v>600</v>
      </c>
      <c r="C289" s="22" t="s">
        <v>601</v>
      </c>
      <c r="D289" s="22" t="s">
        <v>20</v>
      </c>
      <c r="E289" s="22" t="s">
        <v>493</v>
      </c>
      <c r="F289" s="23" t="s">
        <v>57</v>
      </c>
      <c r="G289" s="23" t="s">
        <v>145</v>
      </c>
      <c r="H289" s="23" t="n">
        <v>1</v>
      </c>
      <c r="I289" s="24" t="n">
        <v>0.2029</v>
      </c>
      <c r="J289" s="24" t="n">
        <v>0.2029</v>
      </c>
      <c r="K289" s="21" t="s">
        <v>59</v>
      </c>
      <c r="L289" s="21"/>
      <c r="M289" s="24" t="n">
        <f aca="false">IF(AND($K289="Yes",$G289&lt;&gt;"Vendor day rates"),$J289-0.4*$I289,0)</f>
        <v>0</v>
      </c>
      <c r="N289" s="24" t="n">
        <f aca="false">IF(OR($K289&lt;&gt;"Yes",$L289=""),0,$M289*MAX(0,7-MATCH($L289,MonthList,0))/12)</f>
        <v>0</v>
      </c>
      <c r="O289" s="24" t="n">
        <f aca="false">IF(OR($K289&lt;&gt;"Yes",$L289=""),0,$M289*IF(MATCH($L289,MonthList,0)&lt;=7,12,19-MATCH($L289,MonthList,0))/12)</f>
        <v>0</v>
      </c>
      <c r="P289" s="21" t="s">
        <v>59</v>
      </c>
      <c r="Q289" s="21"/>
      <c r="R289" s="24" t="n">
        <f aca="false">IF(AND($P289="Yes",$G289&lt;&gt;"Vendor day rates"),$J289-0.4*$I289,0)</f>
        <v>0</v>
      </c>
      <c r="S289" s="24" t="n">
        <f aca="false">IF(OR($P289&lt;&gt;"Yes",$Q289=""),0,$R289*MAX(0,7-MATCH($Q289,MonthList,0))/12)</f>
        <v>0</v>
      </c>
      <c r="T289" s="24" t="n">
        <f aca="false">IF(OR($P289&lt;&gt;"Yes",$Q289=""),0,$R289*IF(MATCH($Q289,MonthList,0)&lt;=7,12,19-MATCH($Q289,MonthList,0))/12)</f>
        <v>0</v>
      </c>
      <c r="U289" s="21" t="s">
        <v>59</v>
      </c>
      <c r="V289" s="21"/>
      <c r="W289" s="24" t="n">
        <f aca="false">IF(AND($U289="Yes",$G289&lt;&gt;"Vendor day rates"),$J289-0.4*$I289,0)</f>
        <v>0</v>
      </c>
      <c r="X289" s="24" t="n">
        <f aca="false">IF(OR($U289&lt;&gt;"Yes",$V289=""),0,$W289*MAX(0,7-MATCH($V289,MonthList,0))/12)</f>
        <v>0</v>
      </c>
      <c r="Y289" s="24" t="n">
        <f aca="false">IF(OR($U289&lt;&gt;"Yes",$V289=""),0,$W289*IF(MATCH($V289,MonthList,0)&lt;=7,12,19-MATCH($V289,MonthList,0))/12)</f>
        <v>0</v>
      </c>
    </row>
    <row r="290" customFormat="false" ht="15" hidden="false" customHeight="true" outlineLevel="0" collapsed="false">
      <c r="B290" s="18" t="s">
        <v>602</v>
      </c>
      <c r="C290" s="18" t="s">
        <v>601</v>
      </c>
      <c r="D290" s="18" t="s">
        <v>20</v>
      </c>
      <c r="E290" s="18" t="s">
        <v>493</v>
      </c>
      <c r="F290" s="19" t="s">
        <v>57</v>
      </c>
      <c r="G290" s="19" t="s">
        <v>145</v>
      </c>
      <c r="H290" s="19" t="n">
        <v>1</v>
      </c>
      <c r="I290" s="20" t="n">
        <v>0.2029</v>
      </c>
      <c r="J290" s="20" t="n">
        <v>0.2029</v>
      </c>
      <c r="K290" s="21" t="s">
        <v>59</v>
      </c>
      <c r="L290" s="21"/>
      <c r="M290" s="20" t="n">
        <f aca="false">IF(AND($K290="Yes",$G290&lt;&gt;"Vendor day rates"),$J290-0.4*$I290,0)</f>
        <v>0</v>
      </c>
      <c r="N290" s="20" t="n">
        <f aca="false">IF(OR($K290&lt;&gt;"Yes",$L290=""),0,$M290*MAX(0,7-MATCH($L290,MonthList,0))/12)</f>
        <v>0</v>
      </c>
      <c r="O290" s="20" t="n">
        <f aca="false">IF(OR($K290&lt;&gt;"Yes",$L290=""),0,$M290*IF(MATCH($L290,MonthList,0)&lt;=7,12,19-MATCH($L290,MonthList,0))/12)</f>
        <v>0</v>
      </c>
      <c r="P290" s="21" t="s">
        <v>59</v>
      </c>
      <c r="Q290" s="21"/>
      <c r="R290" s="20" t="n">
        <f aca="false">IF(AND($P290="Yes",$G290&lt;&gt;"Vendor day rates"),$J290-0.4*$I290,0)</f>
        <v>0</v>
      </c>
      <c r="S290" s="20" t="n">
        <f aca="false">IF(OR($P290&lt;&gt;"Yes",$Q290=""),0,$R290*MAX(0,7-MATCH($Q290,MonthList,0))/12)</f>
        <v>0</v>
      </c>
      <c r="T290" s="20" t="n">
        <f aca="false">IF(OR($P290&lt;&gt;"Yes",$Q290=""),0,$R290*IF(MATCH($Q290,MonthList,0)&lt;=7,12,19-MATCH($Q290,MonthList,0))/12)</f>
        <v>0</v>
      </c>
      <c r="U290" s="21" t="s">
        <v>59</v>
      </c>
      <c r="V290" s="21"/>
      <c r="W290" s="20" t="n">
        <f aca="false">IF(AND($U290="Yes",$G290&lt;&gt;"Vendor day rates"),$J290-0.4*$I290,0)</f>
        <v>0</v>
      </c>
      <c r="X290" s="20" t="n">
        <f aca="false">IF(OR($U290&lt;&gt;"Yes",$V290=""),0,$W290*MAX(0,7-MATCH($V290,MonthList,0))/12)</f>
        <v>0</v>
      </c>
      <c r="Y290" s="20" t="n">
        <f aca="false">IF(OR($U290&lt;&gt;"Yes",$V290=""),0,$W290*IF(MATCH($V290,MonthList,0)&lt;=7,12,19-MATCH($V290,MonthList,0))/12)</f>
        <v>0</v>
      </c>
    </row>
    <row r="291" customFormat="false" ht="15" hidden="false" customHeight="true" outlineLevel="0" collapsed="false">
      <c r="B291" s="22" t="s">
        <v>603</v>
      </c>
      <c r="C291" s="22" t="s">
        <v>604</v>
      </c>
      <c r="D291" s="22" t="s">
        <v>26</v>
      </c>
      <c r="E291" s="22" t="s">
        <v>160</v>
      </c>
      <c r="F291" s="23" t="s">
        <v>57</v>
      </c>
      <c r="G291" s="23" t="s">
        <v>118</v>
      </c>
      <c r="H291" s="23" t="n">
        <v>1</v>
      </c>
      <c r="I291" s="24" t="n">
        <v>0.204</v>
      </c>
      <c r="J291" s="24" t="n">
        <v>0.0816</v>
      </c>
      <c r="K291" s="21" t="s">
        <v>59</v>
      </c>
      <c r="L291" s="21"/>
      <c r="M291" s="24" t="n">
        <f aca="false">IF(AND($K291="Yes",$G291&lt;&gt;"Vendor day rates"),$J291-0.4*$I291,0)</f>
        <v>0</v>
      </c>
      <c r="N291" s="24" t="n">
        <f aca="false">IF(OR($K291&lt;&gt;"Yes",$L291=""),0,$M291*MAX(0,7-MATCH($L291,MonthList,0))/12)</f>
        <v>0</v>
      </c>
      <c r="O291" s="24" t="n">
        <f aca="false">IF(OR($K291&lt;&gt;"Yes",$L291=""),0,$M291*IF(MATCH($L291,MonthList,0)&lt;=7,12,19-MATCH($L291,MonthList,0))/12)</f>
        <v>0</v>
      </c>
      <c r="P291" s="21" t="s">
        <v>59</v>
      </c>
      <c r="Q291" s="21"/>
      <c r="R291" s="24" t="n">
        <f aca="false">IF(AND($P291="Yes",$G291&lt;&gt;"Vendor day rates"),$J291-0.4*$I291,0)</f>
        <v>0</v>
      </c>
      <c r="S291" s="24" t="n">
        <f aca="false">IF(OR($P291&lt;&gt;"Yes",$Q291=""),0,$R291*MAX(0,7-MATCH($Q291,MonthList,0))/12)</f>
        <v>0</v>
      </c>
      <c r="T291" s="24" t="n">
        <f aca="false">IF(OR($P291&lt;&gt;"Yes",$Q291=""),0,$R291*IF(MATCH($Q291,MonthList,0)&lt;=7,12,19-MATCH($Q291,MonthList,0))/12)</f>
        <v>0</v>
      </c>
      <c r="U291" s="21" t="s">
        <v>59</v>
      </c>
      <c r="V291" s="21"/>
      <c r="W291" s="24" t="n">
        <f aca="false">IF(AND($U291="Yes",$G291&lt;&gt;"Vendor day rates"),$J291-0.4*$I291,0)</f>
        <v>0</v>
      </c>
      <c r="X291" s="24" t="n">
        <f aca="false">IF(OR($U291&lt;&gt;"Yes",$V291=""),0,$W291*MAX(0,7-MATCH($V291,MonthList,0))/12)</f>
        <v>0</v>
      </c>
      <c r="Y291" s="24" t="n">
        <f aca="false">IF(OR($U291&lt;&gt;"Yes",$V291=""),0,$W291*IF(MATCH($V291,MonthList,0)&lt;=7,12,19-MATCH($V291,MonthList,0))/12)</f>
        <v>0</v>
      </c>
    </row>
    <row r="292" customFormat="false" ht="15" hidden="false" customHeight="true" outlineLevel="0" collapsed="false">
      <c r="B292" s="18" t="s">
        <v>605</v>
      </c>
      <c r="C292" s="18" t="s">
        <v>606</v>
      </c>
      <c r="D292" s="18" t="s">
        <v>26</v>
      </c>
      <c r="E292" s="18" t="s">
        <v>160</v>
      </c>
      <c r="F292" s="19" t="s">
        <v>57</v>
      </c>
      <c r="G292" s="19" t="s">
        <v>58</v>
      </c>
      <c r="H292" s="19" t="n">
        <v>1</v>
      </c>
      <c r="I292" s="20" t="n">
        <v>0.2038</v>
      </c>
      <c r="J292" s="20" t="n">
        <v>0.2038</v>
      </c>
      <c r="K292" s="21" t="s">
        <v>59</v>
      </c>
      <c r="L292" s="21"/>
      <c r="M292" s="20" t="n">
        <f aca="false">IF(AND($K292="Yes",$G292&lt;&gt;"Vendor day rates"),$J292-0.4*$I292,0)</f>
        <v>0</v>
      </c>
      <c r="N292" s="20" t="n">
        <f aca="false">IF(OR($K292&lt;&gt;"Yes",$L292=""),0,$M292*MAX(0,7-MATCH($L292,MonthList,0))/12)</f>
        <v>0</v>
      </c>
      <c r="O292" s="20" t="n">
        <f aca="false">IF(OR($K292&lt;&gt;"Yes",$L292=""),0,$M292*IF(MATCH($L292,MonthList,0)&lt;=7,12,19-MATCH($L292,MonthList,0))/12)</f>
        <v>0</v>
      </c>
      <c r="P292" s="21" t="s">
        <v>59</v>
      </c>
      <c r="Q292" s="21"/>
      <c r="R292" s="20" t="n">
        <f aca="false">IF(AND($P292="Yes",$G292&lt;&gt;"Vendor day rates"),$J292-0.4*$I292,0)</f>
        <v>0</v>
      </c>
      <c r="S292" s="20" t="n">
        <f aca="false">IF(OR($P292&lt;&gt;"Yes",$Q292=""),0,$R292*MAX(0,7-MATCH($Q292,MonthList,0))/12)</f>
        <v>0</v>
      </c>
      <c r="T292" s="20" t="n">
        <f aca="false">IF(OR($P292&lt;&gt;"Yes",$Q292=""),0,$R292*IF(MATCH($Q292,MonthList,0)&lt;=7,12,19-MATCH($Q292,MonthList,0))/12)</f>
        <v>0</v>
      </c>
      <c r="U292" s="21" t="s">
        <v>59</v>
      </c>
      <c r="V292" s="21"/>
      <c r="W292" s="20" t="n">
        <f aca="false">IF(AND($U292="Yes",$G292&lt;&gt;"Vendor day rates"),$J292-0.4*$I292,0)</f>
        <v>0</v>
      </c>
      <c r="X292" s="20" t="n">
        <f aca="false">IF(OR($U292&lt;&gt;"Yes",$V292=""),0,$W292*MAX(0,7-MATCH($V292,MonthList,0))/12)</f>
        <v>0</v>
      </c>
      <c r="Y292" s="20" t="n">
        <f aca="false">IF(OR($U292&lt;&gt;"Yes",$V292=""),0,$W292*IF(MATCH($V292,MonthList,0)&lt;=7,12,19-MATCH($V292,MonthList,0))/12)</f>
        <v>0</v>
      </c>
    </row>
    <row r="293" customFormat="false" ht="15" hidden="false" customHeight="true" outlineLevel="0" collapsed="false">
      <c r="B293" s="22" t="s">
        <v>607</v>
      </c>
      <c r="C293" s="22" t="s">
        <v>608</v>
      </c>
      <c r="D293" s="22" t="s">
        <v>26</v>
      </c>
      <c r="E293" s="22" t="s">
        <v>160</v>
      </c>
      <c r="F293" s="23" t="s">
        <v>57</v>
      </c>
      <c r="G293" s="23" t="s">
        <v>58</v>
      </c>
      <c r="H293" s="23" t="n">
        <v>1</v>
      </c>
      <c r="I293" s="24" t="n">
        <v>0.2209</v>
      </c>
      <c r="J293" s="24" t="n">
        <v>0.2209</v>
      </c>
      <c r="K293" s="21" t="s">
        <v>59</v>
      </c>
      <c r="L293" s="21"/>
      <c r="M293" s="24" t="n">
        <f aca="false">IF(AND($K293="Yes",$G293&lt;&gt;"Vendor day rates"),$J293-0.4*$I293,0)</f>
        <v>0</v>
      </c>
      <c r="N293" s="24" t="n">
        <f aca="false">IF(OR($K293&lt;&gt;"Yes",$L293=""),0,$M293*MAX(0,7-MATCH($L293,MonthList,0))/12)</f>
        <v>0</v>
      </c>
      <c r="O293" s="24" t="n">
        <f aca="false">IF(OR($K293&lt;&gt;"Yes",$L293=""),0,$M293*IF(MATCH($L293,MonthList,0)&lt;=7,12,19-MATCH($L293,MonthList,0))/12)</f>
        <v>0</v>
      </c>
      <c r="P293" s="21" t="s">
        <v>59</v>
      </c>
      <c r="Q293" s="21"/>
      <c r="R293" s="24" t="n">
        <f aca="false">IF(AND($P293="Yes",$G293&lt;&gt;"Vendor day rates"),$J293-0.4*$I293,0)</f>
        <v>0</v>
      </c>
      <c r="S293" s="24" t="n">
        <f aca="false">IF(OR($P293&lt;&gt;"Yes",$Q293=""),0,$R293*MAX(0,7-MATCH($Q293,MonthList,0))/12)</f>
        <v>0</v>
      </c>
      <c r="T293" s="24" t="n">
        <f aca="false">IF(OR($P293&lt;&gt;"Yes",$Q293=""),0,$R293*IF(MATCH($Q293,MonthList,0)&lt;=7,12,19-MATCH($Q293,MonthList,0))/12)</f>
        <v>0</v>
      </c>
      <c r="U293" s="21" t="s">
        <v>59</v>
      </c>
      <c r="V293" s="21"/>
      <c r="W293" s="24" t="n">
        <f aca="false">IF(AND($U293="Yes",$G293&lt;&gt;"Vendor day rates"),$J293-0.4*$I293,0)</f>
        <v>0</v>
      </c>
      <c r="X293" s="24" t="n">
        <f aca="false">IF(OR($U293&lt;&gt;"Yes",$V293=""),0,$W293*MAX(0,7-MATCH($V293,MonthList,0))/12)</f>
        <v>0</v>
      </c>
      <c r="Y293" s="24" t="n">
        <f aca="false">IF(OR($U293&lt;&gt;"Yes",$V293=""),0,$W293*IF(MATCH($V293,MonthList,0)&lt;=7,12,19-MATCH($V293,MonthList,0))/12)</f>
        <v>0</v>
      </c>
    </row>
    <row r="294" customFormat="false" ht="15" hidden="false" customHeight="true" outlineLevel="0" collapsed="false">
      <c r="B294" s="18" t="s">
        <v>609</v>
      </c>
      <c r="C294" s="18" t="s">
        <v>610</v>
      </c>
      <c r="D294" s="18" t="s">
        <v>27</v>
      </c>
      <c r="E294" s="18" t="s">
        <v>27</v>
      </c>
      <c r="F294" s="19" t="s">
        <v>57</v>
      </c>
      <c r="G294" s="19" t="s">
        <v>145</v>
      </c>
      <c r="H294" s="19" t="n">
        <v>1</v>
      </c>
      <c r="I294" s="20" t="n">
        <v>0.2029</v>
      </c>
      <c r="J294" s="20" t="n">
        <v>0.2029</v>
      </c>
      <c r="K294" s="21" t="s">
        <v>59</v>
      </c>
      <c r="L294" s="21"/>
      <c r="M294" s="20" t="n">
        <f aca="false">IF(AND($K294="Yes",$G294&lt;&gt;"Vendor day rates"),$J294-0.4*$I294,0)</f>
        <v>0</v>
      </c>
      <c r="N294" s="20" t="n">
        <f aca="false">IF(OR($K294&lt;&gt;"Yes",$L294=""),0,$M294*MAX(0,7-MATCH($L294,MonthList,0))/12)</f>
        <v>0</v>
      </c>
      <c r="O294" s="20" t="n">
        <f aca="false">IF(OR($K294&lt;&gt;"Yes",$L294=""),0,$M294*IF(MATCH($L294,MonthList,0)&lt;=7,12,19-MATCH($L294,MonthList,0))/12)</f>
        <v>0</v>
      </c>
      <c r="P294" s="21" t="s">
        <v>59</v>
      </c>
      <c r="Q294" s="21"/>
      <c r="R294" s="20" t="n">
        <f aca="false">IF(AND($P294="Yes",$G294&lt;&gt;"Vendor day rates"),$J294-0.4*$I294,0)</f>
        <v>0</v>
      </c>
      <c r="S294" s="20" t="n">
        <f aca="false">IF(OR($P294&lt;&gt;"Yes",$Q294=""),0,$R294*MAX(0,7-MATCH($Q294,MonthList,0))/12)</f>
        <v>0</v>
      </c>
      <c r="T294" s="20" t="n">
        <f aca="false">IF(OR($P294&lt;&gt;"Yes",$Q294=""),0,$R294*IF(MATCH($Q294,MonthList,0)&lt;=7,12,19-MATCH($Q294,MonthList,0))/12)</f>
        <v>0</v>
      </c>
      <c r="U294" s="21" t="s">
        <v>59</v>
      </c>
      <c r="V294" s="21"/>
      <c r="W294" s="20" t="n">
        <f aca="false">IF(AND($U294="Yes",$G294&lt;&gt;"Vendor day rates"),$J294-0.4*$I294,0)</f>
        <v>0</v>
      </c>
      <c r="X294" s="20" t="n">
        <f aca="false">IF(OR($U294&lt;&gt;"Yes",$V294=""),0,$W294*MAX(0,7-MATCH($V294,MonthList,0))/12)</f>
        <v>0</v>
      </c>
      <c r="Y294" s="20" t="n">
        <f aca="false">IF(OR($U294&lt;&gt;"Yes",$V294=""),0,$W294*IF(MATCH($V294,MonthList,0)&lt;=7,12,19-MATCH($V294,MonthList,0))/12)</f>
        <v>0</v>
      </c>
    </row>
    <row r="295" customFormat="false" ht="15" hidden="false" customHeight="true" outlineLevel="0" collapsed="false">
      <c r="B295" s="22" t="s">
        <v>611</v>
      </c>
      <c r="C295" s="22" t="s">
        <v>610</v>
      </c>
      <c r="D295" s="22" t="s">
        <v>27</v>
      </c>
      <c r="E295" s="22" t="s">
        <v>27</v>
      </c>
      <c r="F295" s="23" t="s">
        <v>57</v>
      </c>
      <c r="G295" s="23" t="s">
        <v>145</v>
      </c>
      <c r="H295" s="23" t="n">
        <v>1</v>
      </c>
      <c r="I295" s="24" t="n">
        <v>0.2029</v>
      </c>
      <c r="J295" s="24" t="n">
        <v>0.2029</v>
      </c>
      <c r="K295" s="21" t="s">
        <v>59</v>
      </c>
      <c r="L295" s="21"/>
      <c r="M295" s="24" t="n">
        <f aca="false">IF(AND($K295="Yes",$G295&lt;&gt;"Vendor day rates"),$J295-0.4*$I295,0)</f>
        <v>0</v>
      </c>
      <c r="N295" s="24" t="n">
        <f aca="false">IF(OR($K295&lt;&gt;"Yes",$L295=""),0,$M295*MAX(0,7-MATCH($L295,MonthList,0))/12)</f>
        <v>0</v>
      </c>
      <c r="O295" s="24" t="n">
        <f aca="false">IF(OR($K295&lt;&gt;"Yes",$L295=""),0,$M295*IF(MATCH($L295,MonthList,0)&lt;=7,12,19-MATCH($L295,MonthList,0))/12)</f>
        <v>0</v>
      </c>
      <c r="P295" s="21" t="s">
        <v>59</v>
      </c>
      <c r="Q295" s="21"/>
      <c r="R295" s="24" t="n">
        <f aca="false">IF(AND($P295="Yes",$G295&lt;&gt;"Vendor day rates"),$J295-0.4*$I295,0)</f>
        <v>0</v>
      </c>
      <c r="S295" s="24" t="n">
        <f aca="false">IF(OR($P295&lt;&gt;"Yes",$Q295=""),0,$R295*MAX(0,7-MATCH($Q295,MonthList,0))/12)</f>
        <v>0</v>
      </c>
      <c r="T295" s="24" t="n">
        <f aca="false">IF(OR($P295&lt;&gt;"Yes",$Q295=""),0,$R295*IF(MATCH($Q295,MonthList,0)&lt;=7,12,19-MATCH($Q295,MonthList,0))/12)</f>
        <v>0</v>
      </c>
      <c r="U295" s="21" t="s">
        <v>59</v>
      </c>
      <c r="V295" s="21"/>
      <c r="W295" s="24" t="n">
        <f aca="false">IF(AND($U295="Yes",$G295&lt;&gt;"Vendor day rates"),$J295-0.4*$I295,0)</f>
        <v>0</v>
      </c>
      <c r="X295" s="24" t="n">
        <f aca="false">IF(OR($U295&lt;&gt;"Yes",$V295=""),0,$W295*MAX(0,7-MATCH($V295,MonthList,0))/12)</f>
        <v>0</v>
      </c>
      <c r="Y295" s="24" t="n">
        <f aca="false">IF(OR($U295&lt;&gt;"Yes",$V295=""),0,$W295*IF(MATCH($V295,MonthList,0)&lt;=7,12,19-MATCH($V295,MonthList,0))/12)</f>
        <v>0</v>
      </c>
    </row>
    <row r="296" customFormat="false" ht="15" hidden="false" customHeight="true" outlineLevel="0" collapsed="false">
      <c r="B296" s="18" t="s">
        <v>612</v>
      </c>
      <c r="C296" s="18" t="s">
        <v>610</v>
      </c>
      <c r="D296" s="18" t="s">
        <v>27</v>
      </c>
      <c r="E296" s="18" t="s">
        <v>503</v>
      </c>
      <c r="F296" s="19" t="s">
        <v>57</v>
      </c>
      <c r="G296" s="19" t="s">
        <v>292</v>
      </c>
      <c r="H296" s="19" t="n">
        <v>1</v>
      </c>
      <c r="I296" s="20" t="n">
        <v>0.2029</v>
      </c>
      <c r="J296" s="20" t="n">
        <v>0</v>
      </c>
      <c r="K296" s="21" t="s">
        <v>59</v>
      </c>
      <c r="L296" s="21"/>
      <c r="M296" s="20" t="n">
        <f aca="false">IF(AND($K296="Yes",$G296&lt;&gt;"Vendor day rates"),$J296-0.4*$I296,0)</f>
        <v>0</v>
      </c>
      <c r="N296" s="20" t="n">
        <f aca="false">IF(OR($K296&lt;&gt;"Yes",$L296=""),0,$M296*MAX(0,7-MATCH($L296,MonthList,0))/12)</f>
        <v>0</v>
      </c>
      <c r="O296" s="20" t="n">
        <f aca="false">IF(OR($K296&lt;&gt;"Yes",$L296=""),0,$M296*IF(MATCH($L296,MonthList,0)&lt;=7,12,19-MATCH($L296,MonthList,0))/12)</f>
        <v>0</v>
      </c>
      <c r="P296" s="21" t="s">
        <v>59</v>
      </c>
      <c r="Q296" s="21"/>
      <c r="R296" s="20" t="n">
        <f aca="false">IF(AND($P296="Yes",$G296&lt;&gt;"Vendor day rates"),$J296-0.4*$I296,0)</f>
        <v>0</v>
      </c>
      <c r="S296" s="20" t="n">
        <f aca="false">IF(OR($P296&lt;&gt;"Yes",$Q296=""),0,$R296*MAX(0,7-MATCH($Q296,MonthList,0))/12)</f>
        <v>0</v>
      </c>
      <c r="T296" s="20" t="n">
        <f aca="false">IF(OR($P296&lt;&gt;"Yes",$Q296=""),0,$R296*IF(MATCH($Q296,MonthList,0)&lt;=7,12,19-MATCH($Q296,MonthList,0))/12)</f>
        <v>0</v>
      </c>
      <c r="U296" s="21" t="s">
        <v>59</v>
      </c>
      <c r="V296" s="21"/>
      <c r="W296" s="20" t="n">
        <f aca="false">IF(AND($U296="Yes",$G296&lt;&gt;"Vendor day rates"),$J296-0.4*$I296,0)</f>
        <v>0</v>
      </c>
      <c r="X296" s="20" t="n">
        <f aca="false">IF(OR($U296&lt;&gt;"Yes",$V296=""),0,$W296*MAX(0,7-MATCH($V296,MonthList,0))/12)</f>
        <v>0</v>
      </c>
      <c r="Y296" s="20" t="n">
        <f aca="false">IF(OR($U296&lt;&gt;"Yes",$V296=""),0,$W296*IF(MATCH($V296,MonthList,0)&lt;=7,12,19-MATCH($V296,MonthList,0))/12)</f>
        <v>0</v>
      </c>
    </row>
    <row r="297" customFormat="false" ht="15" hidden="false" customHeight="true" outlineLevel="0" collapsed="false">
      <c r="B297" s="22" t="s">
        <v>613</v>
      </c>
      <c r="C297" s="22" t="s">
        <v>614</v>
      </c>
      <c r="D297" s="22" t="s">
        <v>23</v>
      </c>
      <c r="E297" s="22" t="s">
        <v>173</v>
      </c>
      <c r="F297" s="23" t="s">
        <v>57</v>
      </c>
      <c r="G297" s="23" t="s">
        <v>145</v>
      </c>
      <c r="H297" s="23" t="n">
        <v>1</v>
      </c>
      <c r="I297" s="24" t="n">
        <v>0.2029</v>
      </c>
      <c r="J297" s="24" t="n">
        <v>0.2029</v>
      </c>
      <c r="K297" s="21" t="s">
        <v>59</v>
      </c>
      <c r="L297" s="21"/>
      <c r="M297" s="24" t="n">
        <f aca="false">IF(AND($K297="Yes",$G297&lt;&gt;"Vendor day rates"),$J297-0.4*$I297,0)</f>
        <v>0</v>
      </c>
      <c r="N297" s="24" t="n">
        <f aca="false">IF(OR($K297&lt;&gt;"Yes",$L297=""),0,$M297*MAX(0,7-MATCH($L297,MonthList,0))/12)</f>
        <v>0</v>
      </c>
      <c r="O297" s="24" t="n">
        <f aca="false">IF(OR($K297&lt;&gt;"Yes",$L297=""),0,$M297*IF(MATCH($L297,MonthList,0)&lt;=7,12,19-MATCH($L297,MonthList,0))/12)</f>
        <v>0</v>
      </c>
      <c r="P297" s="21" t="s">
        <v>59</v>
      </c>
      <c r="Q297" s="21"/>
      <c r="R297" s="24" t="n">
        <f aca="false">IF(AND($P297="Yes",$G297&lt;&gt;"Vendor day rates"),$J297-0.4*$I297,0)</f>
        <v>0</v>
      </c>
      <c r="S297" s="24" t="n">
        <f aca="false">IF(OR($P297&lt;&gt;"Yes",$Q297=""),0,$R297*MAX(0,7-MATCH($Q297,MonthList,0))/12)</f>
        <v>0</v>
      </c>
      <c r="T297" s="24" t="n">
        <f aca="false">IF(OR($P297&lt;&gt;"Yes",$Q297=""),0,$R297*IF(MATCH($Q297,MonthList,0)&lt;=7,12,19-MATCH($Q297,MonthList,0))/12)</f>
        <v>0</v>
      </c>
      <c r="U297" s="21" t="s">
        <v>59</v>
      </c>
      <c r="V297" s="21"/>
      <c r="W297" s="24" t="n">
        <f aca="false">IF(AND($U297="Yes",$G297&lt;&gt;"Vendor day rates"),$J297-0.4*$I297,0)</f>
        <v>0</v>
      </c>
      <c r="X297" s="24" t="n">
        <f aca="false">IF(OR($U297&lt;&gt;"Yes",$V297=""),0,$W297*MAX(0,7-MATCH($V297,MonthList,0))/12)</f>
        <v>0</v>
      </c>
      <c r="Y297" s="24" t="n">
        <f aca="false">IF(OR($U297&lt;&gt;"Yes",$V297=""),0,$W297*IF(MATCH($V297,MonthList,0)&lt;=7,12,19-MATCH($V297,MonthList,0))/12)</f>
        <v>0</v>
      </c>
    </row>
    <row r="298" customFormat="false" ht="15" hidden="false" customHeight="true" outlineLevel="0" collapsed="false">
      <c r="B298" s="18" t="s">
        <v>615</v>
      </c>
      <c r="C298" s="18" t="s">
        <v>616</v>
      </c>
      <c r="D298" s="18" t="s">
        <v>23</v>
      </c>
      <c r="E298" s="18" t="s">
        <v>253</v>
      </c>
      <c r="F298" s="19" t="s">
        <v>57</v>
      </c>
      <c r="G298" s="19" t="s">
        <v>58</v>
      </c>
      <c r="H298" s="19" t="n">
        <v>1</v>
      </c>
      <c r="I298" s="20" t="n">
        <v>0.2134</v>
      </c>
      <c r="J298" s="20" t="n">
        <v>0.2134</v>
      </c>
      <c r="K298" s="21" t="s">
        <v>59</v>
      </c>
      <c r="L298" s="21"/>
      <c r="M298" s="20" t="n">
        <f aca="false">IF(AND($K298="Yes",$G298&lt;&gt;"Vendor day rates"),$J298-0.4*$I298,0)</f>
        <v>0</v>
      </c>
      <c r="N298" s="20" t="n">
        <f aca="false">IF(OR($K298&lt;&gt;"Yes",$L298=""),0,$M298*MAX(0,7-MATCH($L298,MonthList,0))/12)</f>
        <v>0</v>
      </c>
      <c r="O298" s="20" t="n">
        <f aca="false">IF(OR($K298&lt;&gt;"Yes",$L298=""),0,$M298*IF(MATCH($L298,MonthList,0)&lt;=7,12,19-MATCH($L298,MonthList,0))/12)</f>
        <v>0</v>
      </c>
      <c r="P298" s="21" t="s">
        <v>59</v>
      </c>
      <c r="Q298" s="21"/>
      <c r="R298" s="20" t="n">
        <f aca="false">IF(AND($P298="Yes",$G298&lt;&gt;"Vendor day rates"),$J298-0.4*$I298,0)</f>
        <v>0</v>
      </c>
      <c r="S298" s="20" t="n">
        <f aca="false">IF(OR($P298&lt;&gt;"Yes",$Q298=""),0,$R298*MAX(0,7-MATCH($Q298,MonthList,0))/12)</f>
        <v>0</v>
      </c>
      <c r="T298" s="20" t="n">
        <f aca="false">IF(OR($P298&lt;&gt;"Yes",$Q298=""),0,$R298*IF(MATCH($Q298,MonthList,0)&lt;=7,12,19-MATCH($Q298,MonthList,0))/12)</f>
        <v>0</v>
      </c>
      <c r="U298" s="21" t="s">
        <v>59</v>
      </c>
      <c r="V298" s="21"/>
      <c r="W298" s="20" t="n">
        <f aca="false">IF(AND($U298="Yes",$G298&lt;&gt;"Vendor day rates"),$J298-0.4*$I298,0)</f>
        <v>0</v>
      </c>
      <c r="X298" s="20" t="n">
        <f aca="false">IF(OR($U298&lt;&gt;"Yes",$V298=""),0,$W298*MAX(0,7-MATCH($V298,MonthList,0))/12)</f>
        <v>0</v>
      </c>
      <c r="Y298" s="20" t="n">
        <f aca="false">IF(OR($U298&lt;&gt;"Yes",$V298=""),0,$W298*IF(MATCH($V298,MonthList,0)&lt;=7,12,19-MATCH($V298,MonthList,0))/12)</f>
        <v>0</v>
      </c>
    </row>
    <row r="299" customFormat="false" ht="15" hidden="false" customHeight="true" outlineLevel="0" collapsed="false">
      <c r="B299" s="22" t="s">
        <v>617</v>
      </c>
      <c r="C299" s="22" t="s">
        <v>618</v>
      </c>
      <c r="D299" s="22" t="s">
        <v>26</v>
      </c>
      <c r="E299" s="22" t="s">
        <v>241</v>
      </c>
      <c r="F299" s="23" t="s">
        <v>57</v>
      </c>
      <c r="G299" s="23" t="s">
        <v>118</v>
      </c>
      <c r="H299" s="23" t="n">
        <v>1</v>
      </c>
      <c r="I299" s="24" t="n">
        <v>0.2034</v>
      </c>
      <c r="J299" s="24" t="n">
        <v>0.0814</v>
      </c>
      <c r="K299" s="21" t="s">
        <v>59</v>
      </c>
      <c r="L299" s="21"/>
      <c r="M299" s="24" t="n">
        <f aca="false">IF(AND($K299="Yes",$G299&lt;&gt;"Vendor day rates"),$J299-0.4*$I299,0)</f>
        <v>0</v>
      </c>
      <c r="N299" s="24" t="n">
        <f aca="false">IF(OR($K299&lt;&gt;"Yes",$L299=""),0,$M299*MAX(0,7-MATCH($L299,MonthList,0))/12)</f>
        <v>0</v>
      </c>
      <c r="O299" s="24" t="n">
        <f aca="false">IF(OR($K299&lt;&gt;"Yes",$L299=""),0,$M299*IF(MATCH($L299,MonthList,0)&lt;=7,12,19-MATCH($L299,MonthList,0))/12)</f>
        <v>0</v>
      </c>
      <c r="P299" s="21" t="s">
        <v>59</v>
      </c>
      <c r="Q299" s="21"/>
      <c r="R299" s="24" t="n">
        <f aca="false">IF(AND($P299="Yes",$G299&lt;&gt;"Vendor day rates"),$J299-0.4*$I299,0)</f>
        <v>0</v>
      </c>
      <c r="S299" s="24" t="n">
        <f aca="false">IF(OR($P299&lt;&gt;"Yes",$Q299=""),0,$R299*MAX(0,7-MATCH($Q299,MonthList,0))/12)</f>
        <v>0</v>
      </c>
      <c r="T299" s="24" t="n">
        <f aca="false">IF(OR($P299&lt;&gt;"Yes",$Q299=""),0,$R299*IF(MATCH($Q299,MonthList,0)&lt;=7,12,19-MATCH($Q299,MonthList,0))/12)</f>
        <v>0</v>
      </c>
      <c r="U299" s="21" t="s">
        <v>59</v>
      </c>
      <c r="V299" s="21"/>
      <c r="W299" s="24" t="n">
        <f aca="false">IF(AND($U299="Yes",$G299&lt;&gt;"Vendor day rates"),$J299-0.4*$I299,0)</f>
        <v>0</v>
      </c>
      <c r="X299" s="24" t="n">
        <f aca="false">IF(OR($U299&lt;&gt;"Yes",$V299=""),0,$W299*MAX(0,7-MATCH($V299,MonthList,0))/12)</f>
        <v>0</v>
      </c>
      <c r="Y299" s="24" t="n">
        <f aca="false">IF(OR($U299&lt;&gt;"Yes",$V299=""),0,$W299*IF(MATCH($V299,MonthList,0)&lt;=7,12,19-MATCH($V299,MonthList,0))/12)</f>
        <v>0</v>
      </c>
    </row>
    <row r="300" customFormat="false" ht="15" hidden="false" customHeight="true" outlineLevel="0" collapsed="false">
      <c r="B300" s="18" t="s">
        <v>619</v>
      </c>
      <c r="C300" s="18" t="s">
        <v>618</v>
      </c>
      <c r="D300" s="18" t="s">
        <v>26</v>
      </c>
      <c r="E300" s="18" t="s">
        <v>241</v>
      </c>
      <c r="F300" s="19" t="s">
        <v>57</v>
      </c>
      <c r="G300" s="19" t="s">
        <v>118</v>
      </c>
      <c r="H300" s="19" t="n">
        <v>1</v>
      </c>
      <c r="I300" s="20" t="n">
        <v>0.2289</v>
      </c>
      <c r="J300" s="20" t="n">
        <v>0.0916</v>
      </c>
      <c r="K300" s="21" t="s">
        <v>59</v>
      </c>
      <c r="L300" s="21"/>
      <c r="M300" s="20" t="n">
        <f aca="false">IF(AND($K300="Yes",$G300&lt;&gt;"Vendor day rates"),$J300-0.4*$I300,0)</f>
        <v>0</v>
      </c>
      <c r="N300" s="20" t="n">
        <f aca="false">IF(OR($K300&lt;&gt;"Yes",$L300=""),0,$M300*MAX(0,7-MATCH($L300,MonthList,0))/12)</f>
        <v>0</v>
      </c>
      <c r="O300" s="20" t="n">
        <f aca="false">IF(OR($K300&lt;&gt;"Yes",$L300=""),0,$M300*IF(MATCH($L300,MonthList,0)&lt;=7,12,19-MATCH($L300,MonthList,0))/12)</f>
        <v>0</v>
      </c>
      <c r="P300" s="21" t="s">
        <v>59</v>
      </c>
      <c r="Q300" s="21"/>
      <c r="R300" s="20" t="n">
        <f aca="false">IF(AND($P300="Yes",$G300&lt;&gt;"Vendor day rates"),$J300-0.4*$I300,0)</f>
        <v>0</v>
      </c>
      <c r="S300" s="20" t="n">
        <f aca="false">IF(OR($P300&lt;&gt;"Yes",$Q300=""),0,$R300*MAX(0,7-MATCH($Q300,MonthList,0))/12)</f>
        <v>0</v>
      </c>
      <c r="T300" s="20" t="n">
        <f aca="false">IF(OR($P300&lt;&gt;"Yes",$Q300=""),0,$R300*IF(MATCH($Q300,MonthList,0)&lt;=7,12,19-MATCH($Q300,MonthList,0))/12)</f>
        <v>0</v>
      </c>
      <c r="U300" s="21" t="s">
        <v>59</v>
      </c>
      <c r="V300" s="21"/>
      <c r="W300" s="20" t="n">
        <f aca="false">IF(AND($U300="Yes",$G300&lt;&gt;"Vendor day rates"),$J300-0.4*$I300,0)</f>
        <v>0</v>
      </c>
      <c r="X300" s="20" t="n">
        <f aca="false">IF(OR($U300&lt;&gt;"Yes",$V300=""),0,$W300*MAX(0,7-MATCH($V300,MonthList,0))/12)</f>
        <v>0</v>
      </c>
      <c r="Y300" s="20" t="n">
        <f aca="false">IF(OR($U300&lt;&gt;"Yes",$V300=""),0,$W300*IF(MATCH($V300,MonthList,0)&lt;=7,12,19-MATCH($V300,MonthList,0))/12)</f>
        <v>0</v>
      </c>
    </row>
    <row r="301" customFormat="false" ht="15" hidden="false" customHeight="true" outlineLevel="0" collapsed="false">
      <c r="B301" s="22" t="s">
        <v>620</v>
      </c>
      <c r="C301" s="22" t="s">
        <v>621</v>
      </c>
      <c r="D301" s="22" t="s">
        <v>19</v>
      </c>
      <c r="E301" s="22" t="s">
        <v>374</v>
      </c>
      <c r="F301" s="23" t="s">
        <v>57</v>
      </c>
      <c r="G301" s="23" t="s">
        <v>58</v>
      </c>
      <c r="H301" s="23" t="n">
        <v>1</v>
      </c>
      <c r="I301" s="24" t="n">
        <v>0.1869</v>
      </c>
      <c r="J301" s="24" t="n">
        <v>0.1869</v>
      </c>
      <c r="K301" s="21" t="s">
        <v>59</v>
      </c>
      <c r="L301" s="21"/>
      <c r="M301" s="24" t="n">
        <f aca="false">IF(AND($K301="Yes",$G301&lt;&gt;"Vendor day rates"),$J301-0.4*$I301,0)</f>
        <v>0</v>
      </c>
      <c r="N301" s="24" t="n">
        <f aca="false">IF(OR($K301&lt;&gt;"Yes",$L301=""),0,$M301*MAX(0,7-MATCH($L301,MonthList,0))/12)</f>
        <v>0</v>
      </c>
      <c r="O301" s="24" t="n">
        <f aca="false">IF(OR($K301&lt;&gt;"Yes",$L301=""),0,$M301*IF(MATCH($L301,MonthList,0)&lt;=7,12,19-MATCH($L301,MonthList,0))/12)</f>
        <v>0</v>
      </c>
      <c r="P301" s="21" t="s">
        <v>59</v>
      </c>
      <c r="Q301" s="21"/>
      <c r="R301" s="24" t="n">
        <f aca="false">IF(AND($P301="Yes",$G301&lt;&gt;"Vendor day rates"),$J301-0.4*$I301,0)</f>
        <v>0</v>
      </c>
      <c r="S301" s="24" t="n">
        <f aca="false">IF(OR($P301&lt;&gt;"Yes",$Q301=""),0,$R301*MAX(0,7-MATCH($Q301,MonthList,0))/12)</f>
        <v>0</v>
      </c>
      <c r="T301" s="24" t="n">
        <f aca="false">IF(OR($P301&lt;&gt;"Yes",$Q301=""),0,$R301*IF(MATCH($Q301,MonthList,0)&lt;=7,12,19-MATCH($Q301,MonthList,0))/12)</f>
        <v>0</v>
      </c>
      <c r="U301" s="21" t="s">
        <v>59</v>
      </c>
      <c r="V301" s="21"/>
      <c r="W301" s="24" t="n">
        <f aca="false">IF(AND($U301="Yes",$G301&lt;&gt;"Vendor day rates"),$J301-0.4*$I301,0)</f>
        <v>0</v>
      </c>
      <c r="X301" s="24" t="n">
        <f aca="false">IF(OR($U301&lt;&gt;"Yes",$V301=""),0,$W301*MAX(0,7-MATCH($V301,MonthList,0))/12)</f>
        <v>0</v>
      </c>
      <c r="Y301" s="24" t="n">
        <f aca="false">IF(OR($U301&lt;&gt;"Yes",$V301=""),0,$W301*IF(MATCH($V301,MonthList,0)&lt;=7,12,19-MATCH($V301,MonthList,0))/12)</f>
        <v>0</v>
      </c>
    </row>
    <row r="302" customFormat="false" ht="15" hidden="false" customHeight="true" outlineLevel="0" collapsed="false">
      <c r="B302" s="18" t="s">
        <v>622</v>
      </c>
      <c r="C302" s="18" t="s">
        <v>623</v>
      </c>
      <c r="D302" s="18" t="s">
        <v>19</v>
      </c>
      <c r="E302" s="18" t="s">
        <v>374</v>
      </c>
      <c r="F302" s="19" t="s">
        <v>57</v>
      </c>
      <c r="G302" s="19" t="s">
        <v>292</v>
      </c>
      <c r="H302" s="19" t="n">
        <v>1</v>
      </c>
      <c r="I302" s="20" t="n">
        <v>0.2029</v>
      </c>
      <c r="J302" s="20" t="n">
        <v>0</v>
      </c>
      <c r="K302" s="21" t="s">
        <v>59</v>
      </c>
      <c r="L302" s="21"/>
      <c r="M302" s="20" t="n">
        <f aca="false">IF(AND($K302="Yes",$G302&lt;&gt;"Vendor day rates"),$J302-0.4*$I302,0)</f>
        <v>0</v>
      </c>
      <c r="N302" s="20" t="n">
        <f aca="false">IF(OR($K302&lt;&gt;"Yes",$L302=""),0,$M302*MAX(0,7-MATCH($L302,MonthList,0))/12)</f>
        <v>0</v>
      </c>
      <c r="O302" s="20" t="n">
        <f aca="false">IF(OR($K302&lt;&gt;"Yes",$L302=""),0,$M302*IF(MATCH($L302,MonthList,0)&lt;=7,12,19-MATCH($L302,MonthList,0))/12)</f>
        <v>0</v>
      </c>
      <c r="P302" s="21" t="s">
        <v>59</v>
      </c>
      <c r="Q302" s="21"/>
      <c r="R302" s="20" t="n">
        <f aca="false">IF(AND($P302="Yes",$G302&lt;&gt;"Vendor day rates"),$J302-0.4*$I302,0)</f>
        <v>0</v>
      </c>
      <c r="S302" s="20" t="n">
        <f aca="false">IF(OR($P302&lt;&gt;"Yes",$Q302=""),0,$R302*MAX(0,7-MATCH($Q302,MonthList,0))/12)</f>
        <v>0</v>
      </c>
      <c r="T302" s="20" t="n">
        <f aca="false">IF(OR($P302&lt;&gt;"Yes",$Q302=""),0,$R302*IF(MATCH($Q302,MonthList,0)&lt;=7,12,19-MATCH($Q302,MonthList,0))/12)</f>
        <v>0</v>
      </c>
      <c r="U302" s="21" t="s">
        <v>59</v>
      </c>
      <c r="V302" s="21"/>
      <c r="W302" s="20" t="n">
        <f aca="false">IF(AND($U302="Yes",$G302&lt;&gt;"Vendor day rates"),$J302-0.4*$I302,0)</f>
        <v>0</v>
      </c>
      <c r="X302" s="20" t="n">
        <f aca="false">IF(OR($U302&lt;&gt;"Yes",$V302=""),0,$W302*MAX(0,7-MATCH($V302,MonthList,0))/12)</f>
        <v>0</v>
      </c>
      <c r="Y302" s="20" t="n">
        <f aca="false">IF(OR($U302&lt;&gt;"Yes",$V302=""),0,$W302*IF(MATCH($V302,MonthList,0)&lt;=7,12,19-MATCH($V302,MonthList,0))/12)</f>
        <v>0</v>
      </c>
    </row>
    <row r="303" customFormat="false" ht="15" hidden="false" customHeight="true" outlineLevel="0" collapsed="false">
      <c r="B303" s="22" t="s">
        <v>624</v>
      </c>
      <c r="C303" s="22" t="s">
        <v>625</v>
      </c>
      <c r="D303" s="22" t="s">
        <v>31</v>
      </c>
      <c r="E303" s="22" t="s">
        <v>380</v>
      </c>
      <c r="F303" s="23" t="s">
        <v>109</v>
      </c>
      <c r="G303" s="23" t="s">
        <v>58</v>
      </c>
      <c r="H303" s="23" t="n">
        <v>1</v>
      </c>
      <c r="I303" s="24" t="n">
        <v>0.2245</v>
      </c>
      <c r="J303" s="24" t="n">
        <v>0.2245</v>
      </c>
      <c r="K303" s="21" t="s">
        <v>59</v>
      </c>
      <c r="L303" s="21"/>
      <c r="M303" s="24" t="n">
        <f aca="false">IF(AND($K303="Yes",$G303&lt;&gt;"Vendor day rates"),$J303-0.4*$I303,0)</f>
        <v>0</v>
      </c>
      <c r="N303" s="24" t="n">
        <f aca="false">IF(OR($K303&lt;&gt;"Yes",$L303=""),0,$M303*MAX(0,7-MATCH($L303,MonthList,0))/12)</f>
        <v>0</v>
      </c>
      <c r="O303" s="24" t="n">
        <f aca="false">IF(OR($K303&lt;&gt;"Yes",$L303=""),0,$M303*IF(MATCH($L303,MonthList,0)&lt;=7,12,19-MATCH($L303,MonthList,0))/12)</f>
        <v>0</v>
      </c>
      <c r="P303" s="21" t="s">
        <v>59</v>
      </c>
      <c r="Q303" s="21"/>
      <c r="R303" s="24" t="n">
        <f aca="false">IF(AND($P303="Yes",$G303&lt;&gt;"Vendor day rates"),$J303-0.4*$I303,0)</f>
        <v>0</v>
      </c>
      <c r="S303" s="24" t="n">
        <f aca="false">IF(OR($P303&lt;&gt;"Yes",$Q303=""),0,$R303*MAX(0,7-MATCH($Q303,MonthList,0))/12)</f>
        <v>0</v>
      </c>
      <c r="T303" s="24" t="n">
        <f aca="false">IF(OR($P303&lt;&gt;"Yes",$Q303=""),0,$R303*IF(MATCH($Q303,MonthList,0)&lt;=7,12,19-MATCH($Q303,MonthList,0))/12)</f>
        <v>0</v>
      </c>
      <c r="U303" s="21" t="s">
        <v>59</v>
      </c>
      <c r="V303" s="21"/>
      <c r="W303" s="24" t="n">
        <f aca="false">IF(AND($U303="Yes",$G303&lt;&gt;"Vendor day rates"),$J303-0.4*$I303,0)</f>
        <v>0</v>
      </c>
      <c r="X303" s="24" t="n">
        <f aca="false">IF(OR($U303&lt;&gt;"Yes",$V303=""),0,$W303*MAX(0,7-MATCH($V303,MonthList,0))/12)</f>
        <v>0</v>
      </c>
      <c r="Y303" s="24" t="n">
        <f aca="false">IF(OR($U303&lt;&gt;"Yes",$V303=""),0,$W303*IF(MATCH($V303,MonthList,0)&lt;=7,12,19-MATCH($V303,MonthList,0))/12)</f>
        <v>0</v>
      </c>
    </row>
    <row r="304" customFormat="false" ht="15" hidden="false" customHeight="true" outlineLevel="0" collapsed="false">
      <c r="B304" s="18" t="s">
        <v>626</v>
      </c>
      <c r="C304" s="18" t="s">
        <v>627</v>
      </c>
      <c r="D304" s="18" t="s">
        <v>31</v>
      </c>
      <c r="E304" s="18" t="s">
        <v>361</v>
      </c>
      <c r="F304" s="19" t="s">
        <v>57</v>
      </c>
      <c r="G304" s="19" t="s">
        <v>145</v>
      </c>
      <c r="H304" s="19" t="n">
        <v>1</v>
      </c>
      <c r="I304" s="20" t="n">
        <v>0.2317</v>
      </c>
      <c r="J304" s="20" t="n">
        <v>0.2317</v>
      </c>
      <c r="K304" s="21" t="s">
        <v>59</v>
      </c>
      <c r="L304" s="21"/>
      <c r="M304" s="20" t="n">
        <f aca="false">IF(AND($K304="Yes",$G304&lt;&gt;"Vendor day rates"),$J304-0.4*$I304,0)</f>
        <v>0</v>
      </c>
      <c r="N304" s="20" t="n">
        <f aca="false">IF(OR($K304&lt;&gt;"Yes",$L304=""),0,$M304*MAX(0,7-MATCH($L304,MonthList,0))/12)</f>
        <v>0</v>
      </c>
      <c r="O304" s="20" t="n">
        <f aca="false">IF(OR($K304&lt;&gt;"Yes",$L304=""),0,$M304*IF(MATCH($L304,MonthList,0)&lt;=7,12,19-MATCH($L304,MonthList,0))/12)</f>
        <v>0</v>
      </c>
      <c r="P304" s="21" t="s">
        <v>59</v>
      </c>
      <c r="Q304" s="21"/>
      <c r="R304" s="20" t="n">
        <f aca="false">IF(AND($P304="Yes",$G304&lt;&gt;"Vendor day rates"),$J304-0.4*$I304,0)</f>
        <v>0</v>
      </c>
      <c r="S304" s="20" t="n">
        <f aca="false">IF(OR($P304&lt;&gt;"Yes",$Q304=""),0,$R304*MAX(0,7-MATCH($Q304,MonthList,0))/12)</f>
        <v>0</v>
      </c>
      <c r="T304" s="20" t="n">
        <f aca="false">IF(OR($P304&lt;&gt;"Yes",$Q304=""),0,$R304*IF(MATCH($Q304,MonthList,0)&lt;=7,12,19-MATCH($Q304,MonthList,0))/12)</f>
        <v>0</v>
      </c>
      <c r="U304" s="21" t="s">
        <v>59</v>
      </c>
      <c r="V304" s="21"/>
      <c r="W304" s="20" t="n">
        <f aca="false">IF(AND($U304="Yes",$G304&lt;&gt;"Vendor day rates"),$J304-0.4*$I304,0)</f>
        <v>0</v>
      </c>
      <c r="X304" s="20" t="n">
        <f aca="false">IF(OR($U304&lt;&gt;"Yes",$V304=""),0,$W304*MAX(0,7-MATCH($V304,MonthList,0))/12)</f>
        <v>0</v>
      </c>
      <c r="Y304" s="20" t="n">
        <f aca="false">IF(OR($U304&lt;&gt;"Yes",$V304=""),0,$W304*IF(MATCH($V304,MonthList,0)&lt;=7,12,19-MATCH($V304,MonthList,0))/12)</f>
        <v>0</v>
      </c>
    </row>
    <row r="305" customFormat="false" ht="15" hidden="false" customHeight="true" outlineLevel="0" collapsed="false">
      <c r="B305" s="22" t="s">
        <v>628</v>
      </c>
      <c r="C305" s="22" t="s">
        <v>629</v>
      </c>
      <c r="D305" s="22" t="s">
        <v>19</v>
      </c>
      <c r="E305" s="22" t="s">
        <v>390</v>
      </c>
      <c r="F305" s="23" t="s">
        <v>109</v>
      </c>
      <c r="G305" s="23" t="s">
        <v>58</v>
      </c>
      <c r="H305" s="23" t="n">
        <v>1</v>
      </c>
      <c r="I305" s="24" t="n">
        <v>0.1444</v>
      </c>
      <c r="J305" s="24" t="n">
        <v>0.1444</v>
      </c>
      <c r="K305" s="21" t="s">
        <v>59</v>
      </c>
      <c r="L305" s="21"/>
      <c r="M305" s="24" t="n">
        <f aca="false">IF(AND($K305="Yes",$G305&lt;&gt;"Vendor day rates"),$J305-0.4*$I305,0)</f>
        <v>0</v>
      </c>
      <c r="N305" s="24" t="n">
        <f aca="false">IF(OR($K305&lt;&gt;"Yes",$L305=""),0,$M305*MAX(0,7-MATCH($L305,MonthList,0))/12)</f>
        <v>0</v>
      </c>
      <c r="O305" s="24" t="n">
        <f aca="false">IF(OR($K305&lt;&gt;"Yes",$L305=""),0,$M305*IF(MATCH($L305,MonthList,0)&lt;=7,12,19-MATCH($L305,MonthList,0))/12)</f>
        <v>0</v>
      </c>
      <c r="P305" s="21" t="s">
        <v>59</v>
      </c>
      <c r="Q305" s="21"/>
      <c r="R305" s="24" t="n">
        <f aca="false">IF(AND($P305="Yes",$G305&lt;&gt;"Vendor day rates"),$J305-0.4*$I305,0)</f>
        <v>0</v>
      </c>
      <c r="S305" s="24" t="n">
        <f aca="false">IF(OR($P305&lt;&gt;"Yes",$Q305=""),0,$R305*MAX(0,7-MATCH($Q305,MonthList,0))/12)</f>
        <v>0</v>
      </c>
      <c r="T305" s="24" t="n">
        <f aca="false">IF(OR($P305&lt;&gt;"Yes",$Q305=""),0,$R305*IF(MATCH($Q305,MonthList,0)&lt;=7,12,19-MATCH($Q305,MonthList,0))/12)</f>
        <v>0</v>
      </c>
      <c r="U305" s="21" t="s">
        <v>59</v>
      </c>
      <c r="V305" s="21"/>
      <c r="W305" s="24" t="n">
        <f aca="false">IF(AND($U305="Yes",$G305&lt;&gt;"Vendor day rates"),$J305-0.4*$I305,0)</f>
        <v>0</v>
      </c>
      <c r="X305" s="24" t="n">
        <f aca="false">IF(OR($U305&lt;&gt;"Yes",$V305=""),0,$W305*MAX(0,7-MATCH($V305,MonthList,0))/12)</f>
        <v>0</v>
      </c>
      <c r="Y305" s="24" t="n">
        <f aca="false">IF(OR($U305&lt;&gt;"Yes",$V305=""),0,$W305*IF(MATCH($V305,MonthList,0)&lt;=7,12,19-MATCH($V305,MonthList,0))/12)</f>
        <v>0</v>
      </c>
    </row>
    <row r="306" customFormat="false" ht="15" hidden="false" customHeight="true" outlineLevel="0" collapsed="false">
      <c r="B306" s="18" t="s">
        <v>630</v>
      </c>
      <c r="C306" s="18" t="s">
        <v>337</v>
      </c>
      <c r="D306" s="18" t="s">
        <v>19</v>
      </c>
      <c r="E306" s="18" t="s">
        <v>387</v>
      </c>
      <c r="F306" s="19" t="s">
        <v>57</v>
      </c>
      <c r="G306" s="19" t="s">
        <v>58</v>
      </c>
      <c r="H306" s="19" t="n">
        <v>1</v>
      </c>
      <c r="I306" s="20" t="n">
        <v>0.2085</v>
      </c>
      <c r="J306" s="20" t="n">
        <v>0.2085</v>
      </c>
      <c r="K306" s="21" t="s">
        <v>59</v>
      </c>
      <c r="L306" s="21"/>
      <c r="M306" s="20" t="n">
        <f aca="false">IF(AND($K306="Yes",$G306&lt;&gt;"Vendor day rates"),$J306-0.4*$I306,0)</f>
        <v>0</v>
      </c>
      <c r="N306" s="20" t="n">
        <f aca="false">IF(OR($K306&lt;&gt;"Yes",$L306=""),0,$M306*MAX(0,7-MATCH($L306,MonthList,0))/12)</f>
        <v>0</v>
      </c>
      <c r="O306" s="20" t="n">
        <f aca="false">IF(OR($K306&lt;&gt;"Yes",$L306=""),0,$M306*IF(MATCH($L306,MonthList,0)&lt;=7,12,19-MATCH($L306,MonthList,0))/12)</f>
        <v>0</v>
      </c>
      <c r="P306" s="21" t="s">
        <v>59</v>
      </c>
      <c r="Q306" s="21"/>
      <c r="R306" s="20" t="n">
        <f aca="false">IF(AND($P306="Yes",$G306&lt;&gt;"Vendor day rates"),$J306-0.4*$I306,0)</f>
        <v>0</v>
      </c>
      <c r="S306" s="20" t="n">
        <f aca="false">IF(OR($P306&lt;&gt;"Yes",$Q306=""),0,$R306*MAX(0,7-MATCH($Q306,MonthList,0))/12)</f>
        <v>0</v>
      </c>
      <c r="T306" s="20" t="n">
        <f aca="false">IF(OR($P306&lt;&gt;"Yes",$Q306=""),0,$R306*IF(MATCH($Q306,MonthList,0)&lt;=7,12,19-MATCH($Q306,MonthList,0))/12)</f>
        <v>0</v>
      </c>
      <c r="U306" s="21" t="s">
        <v>59</v>
      </c>
      <c r="V306" s="21"/>
      <c r="W306" s="20" t="n">
        <f aca="false">IF(AND($U306="Yes",$G306&lt;&gt;"Vendor day rates"),$J306-0.4*$I306,0)</f>
        <v>0</v>
      </c>
      <c r="X306" s="20" t="n">
        <f aca="false">IF(OR($U306&lt;&gt;"Yes",$V306=""),0,$W306*MAX(0,7-MATCH($V306,MonthList,0))/12)</f>
        <v>0</v>
      </c>
      <c r="Y306" s="20" t="n">
        <f aca="false">IF(OR($U306&lt;&gt;"Yes",$V306=""),0,$W306*IF(MATCH($V306,MonthList,0)&lt;=7,12,19-MATCH($V306,MonthList,0))/12)</f>
        <v>0</v>
      </c>
    </row>
    <row r="307" customFormat="false" ht="15" hidden="false" customHeight="true" outlineLevel="0" collapsed="false">
      <c r="B307" s="22" t="s">
        <v>631</v>
      </c>
      <c r="C307" s="22" t="s">
        <v>601</v>
      </c>
      <c r="D307" s="22" t="s">
        <v>19</v>
      </c>
      <c r="E307" s="22" t="s">
        <v>387</v>
      </c>
      <c r="F307" s="23" t="s">
        <v>57</v>
      </c>
      <c r="G307" s="23" t="s">
        <v>58</v>
      </c>
      <c r="H307" s="23" t="n">
        <v>1</v>
      </c>
      <c r="I307" s="24" t="n">
        <v>0.2135</v>
      </c>
      <c r="J307" s="24" t="n">
        <v>0.2135</v>
      </c>
      <c r="K307" s="21" t="s">
        <v>59</v>
      </c>
      <c r="L307" s="21"/>
      <c r="M307" s="24" t="n">
        <f aca="false">IF(AND($K307="Yes",$G307&lt;&gt;"Vendor day rates"),$J307-0.4*$I307,0)</f>
        <v>0</v>
      </c>
      <c r="N307" s="24" t="n">
        <f aca="false">IF(OR($K307&lt;&gt;"Yes",$L307=""),0,$M307*MAX(0,7-MATCH($L307,MonthList,0))/12)</f>
        <v>0</v>
      </c>
      <c r="O307" s="24" t="n">
        <f aca="false">IF(OR($K307&lt;&gt;"Yes",$L307=""),0,$M307*IF(MATCH($L307,MonthList,0)&lt;=7,12,19-MATCH($L307,MonthList,0))/12)</f>
        <v>0</v>
      </c>
      <c r="P307" s="21" t="s">
        <v>59</v>
      </c>
      <c r="Q307" s="21"/>
      <c r="R307" s="24" t="n">
        <f aca="false">IF(AND($P307="Yes",$G307&lt;&gt;"Vendor day rates"),$J307-0.4*$I307,0)</f>
        <v>0</v>
      </c>
      <c r="S307" s="24" t="n">
        <f aca="false">IF(OR($P307&lt;&gt;"Yes",$Q307=""),0,$R307*MAX(0,7-MATCH($Q307,MonthList,0))/12)</f>
        <v>0</v>
      </c>
      <c r="T307" s="24" t="n">
        <f aca="false">IF(OR($P307&lt;&gt;"Yes",$Q307=""),0,$R307*IF(MATCH($Q307,MonthList,0)&lt;=7,12,19-MATCH($Q307,MonthList,0))/12)</f>
        <v>0</v>
      </c>
      <c r="U307" s="21" t="s">
        <v>59</v>
      </c>
      <c r="V307" s="21"/>
      <c r="W307" s="24" t="n">
        <f aca="false">IF(AND($U307="Yes",$G307&lt;&gt;"Vendor day rates"),$J307-0.4*$I307,0)</f>
        <v>0</v>
      </c>
      <c r="X307" s="24" t="n">
        <f aca="false">IF(OR($U307&lt;&gt;"Yes",$V307=""),0,$W307*MAX(0,7-MATCH($V307,MonthList,0))/12)</f>
        <v>0</v>
      </c>
      <c r="Y307" s="24" t="n">
        <f aca="false">IF(OR($U307&lt;&gt;"Yes",$V307=""),0,$W307*IF(MATCH($V307,MonthList,0)&lt;=7,12,19-MATCH($V307,MonthList,0))/12)</f>
        <v>0</v>
      </c>
    </row>
    <row r="308" customFormat="false" ht="15" hidden="false" customHeight="true" outlineLevel="0" collapsed="false">
      <c r="B308" s="18" t="s">
        <v>632</v>
      </c>
      <c r="C308" s="18" t="s">
        <v>633</v>
      </c>
      <c r="D308" s="18" t="s">
        <v>19</v>
      </c>
      <c r="E308" s="18" t="s">
        <v>387</v>
      </c>
      <c r="F308" s="19" t="s">
        <v>57</v>
      </c>
      <c r="G308" s="19" t="s">
        <v>145</v>
      </c>
      <c r="H308" s="19" t="n">
        <v>1</v>
      </c>
      <c r="I308" s="20" t="n">
        <v>0.2029</v>
      </c>
      <c r="J308" s="20" t="n">
        <v>0.1521</v>
      </c>
      <c r="K308" s="21" t="s">
        <v>59</v>
      </c>
      <c r="L308" s="21"/>
      <c r="M308" s="20" t="n">
        <f aca="false">IF(AND($K308="Yes",$G308&lt;&gt;"Vendor day rates"),$J308-0.4*$I308,0)</f>
        <v>0</v>
      </c>
      <c r="N308" s="20" t="n">
        <f aca="false">IF(OR($K308&lt;&gt;"Yes",$L308=""),0,$M308*MAX(0,7-MATCH($L308,MonthList,0))/12)</f>
        <v>0</v>
      </c>
      <c r="O308" s="20" t="n">
        <f aca="false">IF(OR($K308&lt;&gt;"Yes",$L308=""),0,$M308*IF(MATCH($L308,MonthList,0)&lt;=7,12,19-MATCH($L308,MonthList,0))/12)</f>
        <v>0</v>
      </c>
      <c r="P308" s="21" t="s">
        <v>59</v>
      </c>
      <c r="Q308" s="21"/>
      <c r="R308" s="20" t="n">
        <f aca="false">IF(AND($P308="Yes",$G308&lt;&gt;"Vendor day rates"),$J308-0.4*$I308,0)</f>
        <v>0</v>
      </c>
      <c r="S308" s="20" t="n">
        <f aca="false">IF(OR($P308&lt;&gt;"Yes",$Q308=""),0,$R308*MAX(0,7-MATCH($Q308,MonthList,0))/12)</f>
        <v>0</v>
      </c>
      <c r="T308" s="20" t="n">
        <f aca="false">IF(OR($P308&lt;&gt;"Yes",$Q308=""),0,$R308*IF(MATCH($Q308,MonthList,0)&lt;=7,12,19-MATCH($Q308,MonthList,0))/12)</f>
        <v>0</v>
      </c>
      <c r="U308" s="21" t="s">
        <v>59</v>
      </c>
      <c r="V308" s="21"/>
      <c r="W308" s="20" t="n">
        <f aca="false">IF(AND($U308="Yes",$G308&lt;&gt;"Vendor day rates"),$J308-0.4*$I308,0)</f>
        <v>0</v>
      </c>
      <c r="X308" s="20" t="n">
        <f aca="false">IF(OR($U308&lt;&gt;"Yes",$V308=""),0,$W308*MAX(0,7-MATCH($V308,MonthList,0))/12)</f>
        <v>0</v>
      </c>
      <c r="Y308" s="20" t="n">
        <f aca="false">IF(OR($U308&lt;&gt;"Yes",$V308=""),0,$W308*IF(MATCH($V308,MonthList,0)&lt;=7,12,19-MATCH($V308,MonthList,0))/12)</f>
        <v>0</v>
      </c>
    </row>
    <row r="309" customFormat="false" ht="15" hidden="false" customHeight="true" outlineLevel="0" collapsed="false">
      <c r="B309" s="22" t="s">
        <v>634</v>
      </c>
      <c r="C309" s="22" t="s">
        <v>629</v>
      </c>
      <c r="D309" s="22" t="s">
        <v>19</v>
      </c>
      <c r="E309" s="22" t="s">
        <v>387</v>
      </c>
      <c r="F309" s="23" t="s">
        <v>57</v>
      </c>
      <c r="G309" s="23" t="s">
        <v>145</v>
      </c>
      <c r="H309" s="23" t="n">
        <v>1</v>
      </c>
      <c r="I309" s="24" t="n">
        <v>0.2029</v>
      </c>
      <c r="J309" s="24" t="n">
        <v>0.2029</v>
      </c>
      <c r="K309" s="21" t="s">
        <v>59</v>
      </c>
      <c r="L309" s="21"/>
      <c r="M309" s="24" t="n">
        <f aca="false">IF(AND($K309="Yes",$G309&lt;&gt;"Vendor day rates"),$J309-0.4*$I309,0)</f>
        <v>0</v>
      </c>
      <c r="N309" s="24" t="n">
        <f aca="false">IF(OR($K309&lt;&gt;"Yes",$L309=""),0,$M309*MAX(0,7-MATCH($L309,MonthList,0))/12)</f>
        <v>0</v>
      </c>
      <c r="O309" s="24" t="n">
        <f aca="false">IF(OR($K309&lt;&gt;"Yes",$L309=""),0,$M309*IF(MATCH($L309,MonthList,0)&lt;=7,12,19-MATCH($L309,MonthList,0))/12)</f>
        <v>0</v>
      </c>
      <c r="P309" s="21" t="s">
        <v>59</v>
      </c>
      <c r="Q309" s="21"/>
      <c r="R309" s="24" t="n">
        <f aca="false">IF(AND($P309="Yes",$G309&lt;&gt;"Vendor day rates"),$J309-0.4*$I309,0)</f>
        <v>0</v>
      </c>
      <c r="S309" s="24" t="n">
        <f aca="false">IF(OR($P309&lt;&gt;"Yes",$Q309=""),0,$R309*MAX(0,7-MATCH($Q309,MonthList,0))/12)</f>
        <v>0</v>
      </c>
      <c r="T309" s="24" t="n">
        <f aca="false">IF(OR($P309&lt;&gt;"Yes",$Q309=""),0,$R309*IF(MATCH($Q309,MonthList,0)&lt;=7,12,19-MATCH($Q309,MonthList,0))/12)</f>
        <v>0</v>
      </c>
      <c r="U309" s="21" t="s">
        <v>59</v>
      </c>
      <c r="V309" s="21"/>
      <c r="W309" s="24" t="n">
        <f aca="false">IF(AND($U309="Yes",$G309&lt;&gt;"Vendor day rates"),$J309-0.4*$I309,0)</f>
        <v>0</v>
      </c>
      <c r="X309" s="24" t="n">
        <f aca="false">IF(OR($U309&lt;&gt;"Yes",$V309=""),0,$W309*MAX(0,7-MATCH($V309,MonthList,0))/12)</f>
        <v>0</v>
      </c>
      <c r="Y309" s="24" t="n">
        <f aca="false">IF(OR($U309&lt;&gt;"Yes",$V309=""),0,$W309*IF(MATCH($V309,MonthList,0)&lt;=7,12,19-MATCH($V309,MonthList,0))/12)</f>
        <v>0</v>
      </c>
    </row>
    <row r="310" customFormat="false" ht="15" hidden="false" customHeight="true" outlineLevel="0" collapsed="false">
      <c r="B310" s="18" t="s">
        <v>635</v>
      </c>
      <c r="C310" s="18" t="s">
        <v>636</v>
      </c>
      <c r="D310" s="18" t="s">
        <v>23</v>
      </c>
      <c r="E310" s="18" t="s">
        <v>253</v>
      </c>
      <c r="F310" s="19" t="s">
        <v>57</v>
      </c>
      <c r="G310" s="19" t="s">
        <v>292</v>
      </c>
      <c r="H310" s="19" t="n">
        <v>1</v>
      </c>
      <c r="I310" s="20" t="n">
        <v>0.2029</v>
      </c>
      <c r="J310" s="20" t="n">
        <v>0</v>
      </c>
      <c r="K310" s="21" t="s">
        <v>59</v>
      </c>
      <c r="L310" s="21"/>
      <c r="M310" s="20" t="n">
        <f aca="false">IF(AND($K310="Yes",$G310&lt;&gt;"Vendor day rates"),$J310-0.4*$I310,0)</f>
        <v>0</v>
      </c>
      <c r="N310" s="20" t="n">
        <f aca="false">IF(OR($K310&lt;&gt;"Yes",$L310=""),0,$M310*MAX(0,7-MATCH($L310,MonthList,0))/12)</f>
        <v>0</v>
      </c>
      <c r="O310" s="20" t="n">
        <f aca="false">IF(OR($K310&lt;&gt;"Yes",$L310=""),0,$M310*IF(MATCH($L310,MonthList,0)&lt;=7,12,19-MATCH($L310,MonthList,0))/12)</f>
        <v>0</v>
      </c>
      <c r="P310" s="21" t="s">
        <v>59</v>
      </c>
      <c r="Q310" s="21"/>
      <c r="R310" s="20" t="n">
        <f aca="false">IF(AND($P310="Yes",$G310&lt;&gt;"Vendor day rates"),$J310-0.4*$I310,0)</f>
        <v>0</v>
      </c>
      <c r="S310" s="20" t="n">
        <f aca="false">IF(OR($P310&lt;&gt;"Yes",$Q310=""),0,$R310*MAX(0,7-MATCH($Q310,MonthList,0))/12)</f>
        <v>0</v>
      </c>
      <c r="T310" s="20" t="n">
        <f aca="false">IF(OR($P310&lt;&gt;"Yes",$Q310=""),0,$R310*IF(MATCH($Q310,MonthList,0)&lt;=7,12,19-MATCH($Q310,MonthList,0))/12)</f>
        <v>0</v>
      </c>
      <c r="U310" s="21" t="s">
        <v>59</v>
      </c>
      <c r="V310" s="21"/>
      <c r="W310" s="20" t="n">
        <f aca="false">IF(AND($U310="Yes",$G310&lt;&gt;"Vendor day rates"),$J310-0.4*$I310,0)</f>
        <v>0</v>
      </c>
      <c r="X310" s="20" t="n">
        <f aca="false">IF(OR($U310&lt;&gt;"Yes",$V310=""),0,$W310*MAX(0,7-MATCH($V310,MonthList,0))/12)</f>
        <v>0</v>
      </c>
      <c r="Y310" s="20" t="n">
        <f aca="false">IF(OR($U310&lt;&gt;"Yes",$V310=""),0,$W310*IF(MATCH($V310,MonthList,0)&lt;=7,12,19-MATCH($V310,MonthList,0))/12)</f>
        <v>0</v>
      </c>
    </row>
    <row r="311" customFormat="false" ht="15" hidden="false" customHeight="true" outlineLevel="0" collapsed="false">
      <c r="B311" s="22" t="s">
        <v>637</v>
      </c>
      <c r="C311" s="22" t="s">
        <v>627</v>
      </c>
      <c r="D311" s="22" t="s">
        <v>25</v>
      </c>
      <c r="E311" s="22" t="s">
        <v>227</v>
      </c>
      <c r="F311" s="23" t="s">
        <v>57</v>
      </c>
      <c r="G311" s="23" t="s">
        <v>58</v>
      </c>
      <c r="H311" s="23" t="n">
        <v>1</v>
      </c>
      <c r="I311" s="24" t="n">
        <v>0.1936</v>
      </c>
      <c r="J311" s="24" t="n">
        <v>0.1936</v>
      </c>
      <c r="K311" s="21" t="s">
        <v>59</v>
      </c>
      <c r="L311" s="21"/>
      <c r="M311" s="24" t="n">
        <f aca="false">IF(AND($K311="Yes",$G311&lt;&gt;"Vendor day rates"),$J311-0.4*$I311,0)</f>
        <v>0</v>
      </c>
      <c r="N311" s="24" t="n">
        <f aca="false">IF(OR($K311&lt;&gt;"Yes",$L311=""),0,$M311*MAX(0,7-MATCH($L311,MonthList,0))/12)</f>
        <v>0</v>
      </c>
      <c r="O311" s="24" t="n">
        <f aca="false">IF(OR($K311&lt;&gt;"Yes",$L311=""),0,$M311*IF(MATCH($L311,MonthList,0)&lt;=7,12,19-MATCH($L311,MonthList,0))/12)</f>
        <v>0</v>
      </c>
      <c r="P311" s="21" t="s">
        <v>59</v>
      </c>
      <c r="Q311" s="21"/>
      <c r="R311" s="24" t="n">
        <f aca="false">IF(AND($P311="Yes",$G311&lt;&gt;"Vendor day rates"),$J311-0.4*$I311,0)</f>
        <v>0</v>
      </c>
      <c r="S311" s="24" t="n">
        <f aca="false">IF(OR($P311&lt;&gt;"Yes",$Q311=""),0,$R311*MAX(0,7-MATCH($Q311,MonthList,0))/12)</f>
        <v>0</v>
      </c>
      <c r="T311" s="24" t="n">
        <f aca="false">IF(OR($P311&lt;&gt;"Yes",$Q311=""),0,$R311*IF(MATCH($Q311,MonthList,0)&lt;=7,12,19-MATCH($Q311,MonthList,0))/12)</f>
        <v>0</v>
      </c>
      <c r="U311" s="21" t="s">
        <v>59</v>
      </c>
      <c r="V311" s="21"/>
      <c r="W311" s="24" t="n">
        <f aca="false">IF(AND($U311="Yes",$G311&lt;&gt;"Vendor day rates"),$J311-0.4*$I311,0)</f>
        <v>0</v>
      </c>
      <c r="X311" s="24" t="n">
        <f aca="false">IF(OR($U311&lt;&gt;"Yes",$V311=""),0,$W311*MAX(0,7-MATCH($V311,MonthList,0))/12)</f>
        <v>0</v>
      </c>
      <c r="Y311" s="24" t="n">
        <f aca="false">IF(OR($U311&lt;&gt;"Yes",$V311=""),0,$W311*IF(MATCH($V311,MonthList,0)&lt;=7,12,19-MATCH($V311,MonthList,0))/12)</f>
        <v>0</v>
      </c>
    </row>
    <row r="312" customFormat="false" ht="15" hidden="false" customHeight="true" outlineLevel="0" collapsed="false">
      <c r="B312" s="18" t="s">
        <v>638</v>
      </c>
      <c r="C312" s="18" t="s">
        <v>226</v>
      </c>
      <c r="D312" s="18" t="s">
        <v>25</v>
      </c>
      <c r="E312" s="18" t="s">
        <v>227</v>
      </c>
      <c r="F312" s="19" t="s">
        <v>57</v>
      </c>
      <c r="G312" s="19" t="s">
        <v>58</v>
      </c>
      <c r="H312" s="19" t="n">
        <v>1</v>
      </c>
      <c r="I312" s="20" t="n">
        <v>0.2134</v>
      </c>
      <c r="J312" s="20" t="n">
        <v>0.2134</v>
      </c>
      <c r="K312" s="21" t="s">
        <v>59</v>
      </c>
      <c r="L312" s="21"/>
      <c r="M312" s="20" t="n">
        <f aca="false">IF(AND($K312="Yes",$G312&lt;&gt;"Vendor day rates"),$J312-0.4*$I312,0)</f>
        <v>0</v>
      </c>
      <c r="N312" s="20" t="n">
        <f aca="false">IF(OR($K312&lt;&gt;"Yes",$L312=""),0,$M312*MAX(0,7-MATCH($L312,MonthList,0))/12)</f>
        <v>0</v>
      </c>
      <c r="O312" s="20" t="n">
        <f aca="false">IF(OR($K312&lt;&gt;"Yes",$L312=""),0,$M312*IF(MATCH($L312,MonthList,0)&lt;=7,12,19-MATCH($L312,MonthList,0))/12)</f>
        <v>0</v>
      </c>
      <c r="P312" s="21" t="s">
        <v>59</v>
      </c>
      <c r="Q312" s="21"/>
      <c r="R312" s="20" t="n">
        <f aca="false">IF(AND($P312="Yes",$G312&lt;&gt;"Vendor day rates"),$J312-0.4*$I312,0)</f>
        <v>0</v>
      </c>
      <c r="S312" s="20" t="n">
        <f aca="false">IF(OR($P312&lt;&gt;"Yes",$Q312=""),0,$R312*MAX(0,7-MATCH($Q312,MonthList,0))/12)</f>
        <v>0</v>
      </c>
      <c r="T312" s="20" t="n">
        <f aca="false">IF(OR($P312&lt;&gt;"Yes",$Q312=""),0,$R312*IF(MATCH($Q312,MonthList,0)&lt;=7,12,19-MATCH($Q312,MonthList,0))/12)</f>
        <v>0</v>
      </c>
      <c r="U312" s="21" t="s">
        <v>59</v>
      </c>
      <c r="V312" s="21"/>
      <c r="W312" s="20" t="n">
        <f aca="false">IF(AND($U312="Yes",$G312&lt;&gt;"Vendor day rates"),$J312-0.4*$I312,0)</f>
        <v>0</v>
      </c>
      <c r="X312" s="20" t="n">
        <f aca="false">IF(OR($U312&lt;&gt;"Yes",$V312=""),0,$W312*MAX(0,7-MATCH($V312,MonthList,0))/12)</f>
        <v>0</v>
      </c>
      <c r="Y312" s="20" t="n">
        <f aca="false">IF(OR($U312&lt;&gt;"Yes",$V312=""),0,$W312*IF(MATCH($V312,MonthList,0)&lt;=7,12,19-MATCH($V312,MonthList,0))/12)</f>
        <v>0</v>
      </c>
    </row>
    <row r="313" customFormat="false" ht="15" hidden="false" customHeight="true" outlineLevel="0" collapsed="false">
      <c r="B313" s="22" t="s">
        <v>639</v>
      </c>
      <c r="C313" s="22" t="s">
        <v>640</v>
      </c>
      <c r="D313" s="22" t="s">
        <v>26</v>
      </c>
      <c r="E313" s="22" t="s">
        <v>395</v>
      </c>
      <c r="F313" s="23" t="s">
        <v>57</v>
      </c>
      <c r="G313" s="23" t="s">
        <v>58</v>
      </c>
      <c r="H313" s="23" t="n">
        <v>1</v>
      </c>
      <c r="I313" s="24" t="n">
        <v>0.2157</v>
      </c>
      <c r="J313" s="24" t="n">
        <v>0.2157</v>
      </c>
      <c r="K313" s="21" t="s">
        <v>59</v>
      </c>
      <c r="L313" s="21"/>
      <c r="M313" s="24" t="n">
        <f aca="false">IF(AND($K313="Yes",$G313&lt;&gt;"Vendor day rates"),$J313-0.4*$I313,0)</f>
        <v>0</v>
      </c>
      <c r="N313" s="24" t="n">
        <f aca="false">IF(OR($K313&lt;&gt;"Yes",$L313=""),0,$M313*MAX(0,7-MATCH($L313,MonthList,0))/12)</f>
        <v>0</v>
      </c>
      <c r="O313" s="24" t="n">
        <f aca="false">IF(OR($K313&lt;&gt;"Yes",$L313=""),0,$M313*IF(MATCH($L313,MonthList,0)&lt;=7,12,19-MATCH($L313,MonthList,0))/12)</f>
        <v>0</v>
      </c>
      <c r="P313" s="21" t="s">
        <v>59</v>
      </c>
      <c r="Q313" s="21"/>
      <c r="R313" s="24" t="n">
        <f aca="false">IF(AND($P313="Yes",$G313&lt;&gt;"Vendor day rates"),$J313-0.4*$I313,0)</f>
        <v>0</v>
      </c>
      <c r="S313" s="24" t="n">
        <f aca="false">IF(OR($P313&lt;&gt;"Yes",$Q313=""),0,$R313*MAX(0,7-MATCH($Q313,MonthList,0))/12)</f>
        <v>0</v>
      </c>
      <c r="T313" s="24" t="n">
        <f aca="false">IF(OR($P313&lt;&gt;"Yes",$Q313=""),0,$R313*IF(MATCH($Q313,MonthList,0)&lt;=7,12,19-MATCH($Q313,MonthList,0))/12)</f>
        <v>0</v>
      </c>
      <c r="U313" s="21" t="s">
        <v>59</v>
      </c>
      <c r="V313" s="21"/>
      <c r="W313" s="24" t="n">
        <f aca="false">IF(AND($U313="Yes",$G313&lt;&gt;"Vendor day rates"),$J313-0.4*$I313,0)</f>
        <v>0</v>
      </c>
      <c r="X313" s="24" t="n">
        <f aca="false">IF(OR($U313&lt;&gt;"Yes",$V313=""),0,$W313*MAX(0,7-MATCH($V313,MonthList,0))/12)</f>
        <v>0</v>
      </c>
      <c r="Y313" s="24" t="n">
        <f aca="false">IF(OR($U313&lt;&gt;"Yes",$V313=""),0,$W313*IF(MATCH($V313,MonthList,0)&lt;=7,12,19-MATCH($V313,MonthList,0))/12)</f>
        <v>0</v>
      </c>
    </row>
    <row r="314" customFormat="false" ht="15" hidden="false" customHeight="true" outlineLevel="0" collapsed="false">
      <c r="B314" s="18" t="s">
        <v>641</v>
      </c>
      <c r="C314" s="18" t="s">
        <v>138</v>
      </c>
      <c r="D314" s="18" t="s">
        <v>23</v>
      </c>
      <c r="E314" s="18" t="s">
        <v>405</v>
      </c>
      <c r="F314" s="19" t="s">
        <v>57</v>
      </c>
      <c r="G314" s="19" t="s">
        <v>145</v>
      </c>
      <c r="H314" s="19" t="n">
        <v>1</v>
      </c>
      <c r="I314" s="20" t="n">
        <v>0.2029</v>
      </c>
      <c r="J314" s="20" t="n">
        <v>0.2029</v>
      </c>
      <c r="K314" s="21" t="s">
        <v>59</v>
      </c>
      <c r="L314" s="21"/>
      <c r="M314" s="20" t="n">
        <f aca="false">IF(AND($K314="Yes",$G314&lt;&gt;"Vendor day rates"),$J314-0.4*$I314,0)</f>
        <v>0</v>
      </c>
      <c r="N314" s="20" t="n">
        <f aca="false">IF(OR($K314&lt;&gt;"Yes",$L314=""),0,$M314*MAX(0,7-MATCH($L314,MonthList,0))/12)</f>
        <v>0</v>
      </c>
      <c r="O314" s="20" t="n">
        <f aca="false">IF(OR($K314&lt;&gt;"Yes",$L314=""),0,$M314*IF(MATCH($L314,MonthList,0)&lt;=7,12,19-MATCH($L314,MonthList,0))/12)</f>
        <v>0</v>
      </c>
      <c r="P314" s="21" t="s">
        <v>59</v>
      </c>
      <c r="Q314" s="21"/>
      <c r="R314" s="20" t="n">
        <f aca="false">IF(AND($P314="Yes",$G314&lt;&gt;"Vendor day rates"),$J314-0.4*$I314,0)</f>
        <v>0</v>
      </c>
      <c r="S314" s="20" t="n">
        <f aca="false">IF(OR($P314&lt;&gt;"Yes",$Q314=""),0,$R314*MAX(0,7-MATCH($Q314,MonthList,0))/12)</f>
        <v>0</v>
      </c>
      <c r="T314" s="20" t="n">
        <f aca="false">IF(OR($P314&lt;&gt;"Yes",$Q314=""),0,$R314*IF(MATCH($Q314,MonthList,0)&lt;=7,12,19-MATCH($Q314,MonthList,0))/12)</f>
        <v>0</v>
      </c>
      <c r="U314" s="21" t="s">
        <v>59</v>
      </c>
      <c r="V314" s="21"/>
      <c r="W314" s="20" t="n">
        <f aca="false">IF(AND($U314="Yes",$G314&lt;&gt;"Vendor day rates"),$J314-0.4*$I314,0)</f>
        <v>0</v>
      </c>
      <c r="X314" s="20" t="n">
        <f aca="false">IF(OR($U314&lt;&gt;"Yes",$V314=""),0,$W314*MAX(0,7-MATCH($V314,MonthList,0))/12)</f>
        <v>0</v>
      </c>
      <c r="Y314" s="20" t="n">
        <f aca="false">IF(OR($U314&lt;&gt;"Yes",$V314=""),0,$W314*IF(MATCH($V314,MonthList,0)&lt;=7,12,19-MATCH($V314,MonthList,0))/12)</f>
        <v>0</v>
      </c>
    </row>
    <row r="315" customFormat="false" ht="15" hidden="false" customHeight="true" outlineLevel="0" collapsed="false">
      <c r="B315" s="22" t="s">
        <v>642</v>
      </c>
      <c r="C315" s="22" t="s">
        <v>138</v>
      </c>
      <c r="D315" s="22" t="s">
        <v>23</v>
      </c>
      <c r="E315" s="22" t="s">
        <v>253</v>
      </c>
      <c r="F315" s="23" t="s">
        <v>57</v>
      </c>
      <c r="G315" s="23" t="s">
        <v>292</v>
      </c>
      <c r="H315" s="23" t="n">
        <v>1</v>
      </c>
      <c r="I315" s="24" t="n">
        <v>0.2029</v>
      </c>
      <c r="J315" s="24" t="n">
        <v>0</v>
      </c>
      <c r="K315" s="21" t="s">
        <v>59</v>
      </c>
      <c r="L315" s="21"/>
      <c r="M315" s="24" t="n">
        <f aca="false">IF(AND($K315="Yes",$G315&lt;&gt;"Vendor day rates"),$J315-0.4*$I315,0)</f>
        <v>0</v>
      </c>
      <c r="N315" s="24" t="n">
        <f aca="false">IF(OR($K315&lt;&gt;"Yes",$L315=""),0,$M315*MAX(0,7-MATCH($L315,MonthList,0))/12)</f>
        <v>0</v>
      </c>
      <c r="O315" s="24" t="n">
        <f aca="false">IF(OR($K315&lt;&gt;"Yes",$L315=""),0,$M315*IF(MATCH($L315,MonthList,0)&lt;=7,12,19-MATCH($L315,MonthList,0))/12)</f>
        <v>0</v>
      </c>
      <c r="P315" s="21" t="s">
        <v>59</v>
      </c>
      <c r="Q315" s="21"/>
      <c r="R315" s="24" t="n">
        <f aca="false">IF(AND($P315="Yes",$G315&lt;&gt;"Vendor day rates"),$J315-0.4*$I315,0)</f>
        <v>0</v>
      </c>
      <c r="S315" s="24" t="n">
        <f aca="false">IF(OR($P315&lt;&gt;"Yes",$Q315=""),0,$R315*MAX(0,7-MATCH($Q315,MonthList,0))/12)</f>
        <v>0</v>
      </c>
      <c r="T315" s="24" t="n">
        <f aca="false">IF(OR($P315&lt;&gt;"Yes",$Q315=""),0,$R315*IF(MATCH($Q315,MonthList,0)&lt;=7,12,19-MATCH($Q315,MonthList,0))/12)</f>
        <v>0</v>
      </c>
      <c r="U315" s="21" t="s">
        <v>59</v>
      </c>
      <c r="V315" s="21"/>
      <c r="W315" s="24" t="n">
        <f aca="false">IF(AND($U315="Yes",$G315&lt;&gt;"Vendor day rates"),$J315-0.4*$I315,0)</f>
        <v>0</v>
      </c>
      <c r="X315" s="24" t="n">
        <f aca="false">IF(OR($U315&lt;&gt;"Yes",$V315=""),0,$W315*MAX(0,7-MATCH($V315,MonthList,0))/12)</f>
        <v>0</v>
      </c>
      <c r="Y315" s="24" t="n">
        <f aca="false">IF(OR($U315&lt;&gt;"Yes",$V315=""),0,$W315*IF(MATCH($V315,MonthList,0)&lt;=7,12,19-MATCH($V315,MonthList,0))/12)</f>
        <v>0</v>
      </c>
    </row>
    <row r="316" customFormat="false" ht="15" hidden="false" customHeight="true" outlineLevel="0" collapsed="false">
      <c r="B316" s="18" t="s">
        <v>643</v>
      </c>
      <c r="C316" s="18" t="s">
        <v>644</v>
      </c>
      <c r="D316" s="18" t="s">
        <v>30</v>
      </c>
      <c r="E316" s="18" t="s">
        <v>477</v>
      </c>
      <c r="F316" s="19" t="s">
        <v>57</v>
      </c>
      <c r="G316" s="19" t="s">
        <v>118</v>
      </c>
      <c r="H316" s="19" t="n">
        <v>1</v>
      </c>
      <c r="I316" s="20" t="n">
        <v>0.2062</v>
      </c>
      <c r="J316" s="20" t="n">
        <v>0.0825</v>
      </c>
      <c r="K316" s="21" t="s">
        <v>59</v>
      </c>
      <c r="L316" s="21"/>
      <c r="M316" s="20" t="n">
        <f aca="false">IF(AND($K316="Yes",$G316&lt;&gt;"Vendor day rates"),$J316-0.4*$I316,0)</f>
        <v>0</v>
      </c>
      <c r="N316" s="20" t="n">
        <f aca="false">IF(OR($K316&lt;&gt;"Yes",$L316=""),0,$M316*MAX(0,7-MATCH($L316,MonthList,0))/12)</f>
        <v>0</v>
      </c>
      <c r="O316" s="20" t="n">
        <f aca="false">IF(OR($K316&lt;&gt;"Yes",$L316=""),0,$M316*IF(MATCH($L316,MonthList,0)&lt;=7,12,19-MATCH($L316,MonthList,0))/12)</f>
        <v>0</v>
      </c>
      <c r="P316" s="21" t="s">
        <v>59</v>
      </c>
      <c r="Q316" s="21"/>
      <c r="R316" s="20" t="n">
        <f aca="false">IF(AND($P316="Yes",$G316&lt;&gt;"Vendor day rates"),$J316-0.4*$I316,0)</f>
        <v>0</v>
      </c>
      <c r="S316" s="20" t="n">
        <f aca="false">IF(OR($P316&lt;&gt;"Yes",$Q316=""),0,$R316*MAX(0,7-MATCH($Q316,MonthList,0))/12)</f>
        <v>0</v>
      </c>
      <c r="T316" s="20" t="n">
        <f aca="false">IF(OR($P316&lt;&gt;"Yes",$Q316=""),0,$R316*IF(MATCH($Q316,MonthList,0)&lt;=7,12,19-MATCH($Q316,MonthList,0))/12)</f>
        <v>0</v>
      </c>
      <c r="U316" s="21" t="s">
        <v>59</v>
      </c>
      <c r="V316" s="21"/>
      <c r="W316" s="20" t="n">
        <f aca="false">IF(AND($U316="Yes",$G316&lt;&gt;"Vendor day rates"),$J316-0.4*$I316,0)</f>
        <v>0</v>
      </c>
      <c r="X316" s="20" t="n">
        <f aca="false">IF(OR($U316&lt;&gt;"Yes",$V316=""),0,$W316*MAX(0,7-MATCH($V316,MonthList,0))/12)</f>
        <v>0</v>
      </c>
      <c r="Y316" s="20" t="n">
        <f aca="false">IF(OR($U316&lt;&gt;"Yes",$V316=""),0,$W316*IF(MATCH($V316,MonthList,0)&lt;=7,12,19-MATCH($V316,MonthList,0))/12)</f>
        <v>0</v>
      </c>
    </row>
    <row r="317" customFormat="false" ht="15" hidden="false" customHeight="true" outlineLevel="0" collapsed="false">
      <c r="B317" s="22" t="s">
        <v>645</v>
      </c>
      <c r="C317" s="22" t="s">
        <v>646</v>
      </c>
      <c r="D317" s="22" t="s">
        <v>30</v>
      </c>
      <c r="E317" s="22" t="s">
        <v>477</v>
      </c>
      <c r="F317" s="23" t="s">
        <v>57</v>
      </c>
      <c r="G317" s="23" t="s">
        <v>118</v>
      </c>
      <c r="H317" s="23" t="n">
        <v>1</v>
      </c>
      <c r="I317" s="24" t="n">
        <v>0.2177</v>
      </c>
      <c r="J317" s="24" t="n">
        <v>0.0871</v>
      </c>
      <c r="K317" s="21" t="s">
        <v>59</v>
      </c>
      <c r="L317" s="21"/>
      <c r="M317" s="24" t="n">
        <f aca="false">IF(AND($K317="Yes",$G317&lt;&gt;"Vendor day rates"),$J317-0.4*$I317,0)</f>
        <v>0</v>
      </c>
      <c r="N317" s="24" t="n">
        <f aca="false">IF(OR($K317&lt;&gt;"Yes",$L317=""),0,$M317*MAX(0,7-MATCH($L317,MonthList,0))/12)</f>
        <v>0</v>
      </c>
      <c r="O317" s="24" t="n">
        <f aca="false">IF(OR($K317&lt;&gt;"Yes",$L317=""),0,$M317*IF(MATCH($L317,MonthList,0)&lt;=7,12,19-MATCH($L317,MonthList,0))/12)</f>
        <v>0</v>
      </c>
      <c r="P317" s="21" t="s">
        <v>59</v>
      </c>
      <c r="Q317" s="21"/>
      <c r="R317" s="24" t="n">
        <f aca="false">IF(AND($P317="Yes",$G317&lt;&gt;"Vendor day rates"),$J317-0.4*$I317,0)</f>
        <v>0</v>
      </c>
      <c r="S317" s="24" t="n">
        <f aca="false">IF(OR($P317&lt;&gt;"Yes",$Q317=""),0,$R317*MAX(0,7-MATCH($Q317,MonthList,0))/12)</f>
        <v>0</v>
      </c>
      <c r="T317" s="24" t="n">
        <f aca="false">IF(OR($P317&lt;&gt;"Yes",$Q317=""),0,$R317*IF(MATCH($Q317,MonthList,0)&lt;=7,12,19-MATCH($Q317,MonthList,0))/12)</f>
        <v>0</v>
      </c>
      <c r="U317" s="21" t="s">
        <v>59</v>
      </c>
      <c r="V317" s="21"/>
      <c r="W317" s="24" t="n">
        <f aca="false">IF(AND($U317="Yes",$G317&lt;&gt;"Vendor day rates"),$J317-0.4*$I317,0)</f>
        <v>0</v>
      </c>
      <c r="X317" s="24" t="n">
        <f aca="false">IF(OR($U317&lt;&gt;"Yes",$V317=""),0,$W317*MAX(0,7-MATCH($V317,MonthList,0))/12)</f>
        <v>0</v>
      </c>
      <c r="Y317" s="24" t="n">
        <f aca="false">IF(OR($U317&lt;&gt;"Yes",$V317=""),0,$W317*IF(MATCH($V317,MonthList,0)&lt;=7,12,19-MATCH($V317,MonthList,0))/12)</f>
        <v>0</v>
      </c>
    </row>
    <row r="318" customFormat="false" ht="15" hidden="false" customHeight="true" outlineLevel="0" collapsed="false">
      <c r="B318" s="18" t="s">
        <v>647</v>
      </c>
      <c r="C318" s="18" t="s">
        <v>648</v>
      </c>
      <c r="D318" s="18" t="s">
        <v>30</v>
      </c>
      <c r="E318" s="18" t="s">
        <v>477</v>
      </c>
      <c r="F318" s="19" t="s">
        <v>57</v>
      </c>
      <c r="G318" s="19" t="s">
        <v>145</v>
      </c>
      <c r="H318" s="19" t="n">
        <v>1</v>
      </c>
      <c r="I318" s="20" t="n">
        <v>0.2029</v>
      </c>
      <c r="J318" s="20" t="n">
        <v>0.2029</v>
      </c>
      <c r="K318" s="21" t="s">
        <v>59</v>
      </c>
      <c r="L318" s="21"/>
      <c r="M318" s="20" t="n">
        <f aca="false">IF(AND($K318="Yes",$G318&lt;&gt;"Vendor day rates"),$J318-0.4*$I318,0)</f>
        <v>0</v>
      </c>
      <c r="N318" s="20" t="n">
        <f aca="false">IF(OR($K318&lt;&gt;"Yes",$L318=""),0,$M318*MAX(0,7-MATCH($L318,MonthList,0))/12)</f>
        <v>0</v>
      </c>
      <c r="O318" s="20" t="n">
        <f aca="false">IF(OR($K318&lt;&gt;"Yes",$L318=""),0,$M318*IF(MATCH($L318,MonthList,0)&lt;=7,12,19-MATCH($L318,MonthList,0))/12)</f>
        <v>0</v>
      </c>
      <c r="P318" s="21" t="s">
        <v>59</v>
      </c>
      <c r="Q318" s="21"/>
      <c r="R318" s="20" t="n">
        <f aca="false">IF(AND($P318="Yes",$G318&lt;&gt;"Vendor day rates"),$J318-0.4*$I318,0)</f>
        <v>0</v>
      </c>
      <c r="S318" s="20" t="n">
        <f aca="false">IF(OR($P318&lt;&gt;"Yes",$Q318=""),0,$R318*MAX(0,7-MATCH($Q318,MonthList,0))/12)</f>
        <v>0</v>
      </c>
      <c r="T318" s="20" t="n">
        <f aca="false">IF(OR($P318&lt;&gt;"Yes",$Q318=""),0,$R318*IF(MATCH($Q318,MonthList,0)&lt;=7,12,19-MATCH($Q318,MonthList,0))/12)</f>
        <v>0</v>
      </c>
      <c r="U318" s="21" t="s">
        <v>59</v>
      </c>
      <c r="V318" s="21"/>
      <c r="W318" s="20" t="n">
        <f aca="false">IF(AND($U318="Yes",$G318&lt;&gt;"Vendor day rates"),$J318-0.4*$I318,0)</f>
        <v>0</v>
      </c>
      <c r="X318" s="20" t="n">
        <f aca="false">IF(OR($U318&lt;&gt;"Yes",$V318=""),0,$W318*MAX(0,7-MATCH($V318,MonthList,0))/12)</f>
        <v>0</v>
      </c>
      <c r="Y318" s="20" t="n">
        <f aca="false">IF(OR($U318&lt;&gt;"Yes",$V318=""),0,$W318*IF(MATCH($V318,MonthList,0)&lt;=7,12,19-MATCH($V318,MonthList,0))/12)</f>
        <v>0</v>
      </c>
    </row>
    <row r="319" customFormat="false" ht="15" hidden="false" customHeight="true" outlineLevel="0" collapsed="false">
      <c r="B319" s="22" t="s">
        <v>649</v>
      </c>
      <c r="C319" s="22" t="s">
        <v>650</v>
      </c>
      <c r="D319" s="22" t="s">
        <v>30</v>
      </c>
      <c r="E319" s="22" t="s">
        <v>477</v>
      </c>
      <c r="F319" s="23" t="s">
        <v>57</v>
      </c>
      <c r="G319" s="23" t="s">
        <v>292</v>
      </c>
      <c r="H319" s="23" t="n">
        <v>1</v>
      </c>
      <c r="I319" s="24" t="n">
        <v>0.2029</v>
      </c>
      <c r="J319" s="24" t="n">
        <v>0</v>
      </c>
      <c r="K319" s="21" t="s">
        <v>59</v>
      </c>
      <c r="L319" s="21"/>
      <c r="M319" s="24" t="n">
        <f aca="false">IF(AND($K319="Yes",$G319&lt;&gt;"Vendor day rates"),$J319-0.4*$I319,0)</f>
        <v>0</v>
      </c>
      <c r="N319" s="24" t="n">
        <f aca="false">IF(OR($K319&lt;&gt;"Yes",$L319=""),0,$M319*MAX(0,7-MATCH($L319,MonthList,0))/12)</f>
        <v>0</v>
      </c>
      <c r="O319" s="24" t="n">
        <f aca="false">IF(OR($K319&lt;&gt;"Yes",$L319=""),0,$M319*IF(MATCH($L319,MonthList,0)&lt;=7,12,19-MATCH($L319,MonthList,0))/12)</f>
        <v>0</v>
      </c>
      <c r="P319" s="21" t="s">
        <v>59</v>
      </c>
      <c r="Q319" s="21"/>
      <c r="R319" s="24" t="n">
        <f aca="false">IF(AND($P319="Yes",$G319&lt;&gt;"Vendor day rates"),$J319-0.4*$I319,0)</f>
        <v>0</v>
      </c>
      <c r="S319" s="24" t="n">
        <f aca="false">IF(OR($P319&lt;&gt;"Yes",$Q319=""),0,$R319*MAX(0,7-MATCH($Q319,MonthList,0))/12)</f>
        <v>0</v>
      </c>
      <c r="T319" s="24" t="n">
        <f aca="false">IF(OR($P319&lt;&gt;"Yes",$Q319=""),0,$R319*IF(MATCH($Q319,MonthList,0)&lt;=7,12,19-MATCH($Q319,MonthList,0))/12)</f>
        <v>0</v>
      </c>
      <c r="U319" s="21" t="s">
        <v>59</v>
      </c>
      <c r="V319" s="21"/>
      <c r="W319" s="24" t="n">
        <f aca="false">IF(AND($U319="Yes",$G319&lt;&gt;"Vendor day rates"),$J319-0.4*$I319,0)</f>
        <v>0</v>
      </c>
      <c r="X319" s="24" t="n">
        <f aca="false">IF(OR($U319&lt;&gt;"Yes",$V319=""),0,$W319*MAX(0,7-MATCH($V319,MonthList,0))/12)</f>
        <v>0</v>
      </c>
      <c r="Y319" s="24" t="n">
        <f aca="false">IF(OR($U319&lt;&gt;"Yes",$V319=""),0,$W319*IF(MATCH($V319,MonthList,0)&lt;=7,12,19-MATCH($V319,MonthList,0))/12)</f>
        <v>0</v>
      </c>
    </row>
    <row r="320" customFormat="false" ht="15" hidden="false" customHeight="true" outlineLevel="0" collapsed="false">
      <c r="B320" s="18" t="s">
        <v>651</v>
      </c>
      <c r="C320" s="18" t="s">
        <v>652</v>
      </c>
      <c r="D320" s="18" t="s">
        <v>23</v>
      </c>
      <c r="E320" s="18" t="s">
        <v>414</v>
      </c>
      <c r="F320" s="19" t="s">
        <v>57</v>
      </c>
      <c r="G320" s="19" t="s">
        <v>58</v>
      </c>
      <c r="H320" s="19" t="n">
        <v>1</v>
      </c>
      <c r="I320" s="20" t="n">
        <v>0.2085</v>
      </c>
      <c r="J320" s="20" t="n">
        <v>0.2085</v>
      </c>
      <c r="K320" s="21" t="s">
        <v>59</v>
      </c>
      <c r="L320" s="21"/>
      <c r="M320" s="20" t="n">
        <f aca="false">IF(AND($K320="Yes",$G320&lt;&gt;"Vendor day rates"),$J320-0.4*$I320,0)</f>
        <v>0</v>
      </c>
      <c r="N320" s="20" t="n">
        <f aca="false">IF(OR($K320&lt;&gt;"Yes",$L320=""),0,$M320*MAX(0,7-MATCH($L320,MonthList,0))/12)</f>
        <v>0</v>
      </c>
      <c r="O320" s="20" t="n">
        <f aca="false">IF(OR($K320&lt;&gt;"Yes",$L320=""),0,$M320*IF(MATCH($L320,MonthList,0)&lt;=7,12,19-MATCH($L320,MonthList,0))/12)</f>
        <v>0</v>
      </c>
      <c r="P320" s="21" t="s">
        <v>59</v>
      </c>
      <c r="Q320" s="21"/>
      <c r="R320" s="20" t="n">
        <f aca="false">IF(AND($P320="Yes",$G320&lt;&gt;"Vendor day rates"),$J320-0.4*$I320,0)</f>
        <v>0</v>
      </c>
      <c r="S320" s="20" t="n">
        <f aca="false">IF(OR($P320&lt;&gt;"Yes",$Q320=""),0,$R320*MAX(0,7-MATCH($Q320,MonthList,0))/12)</f>
        <v>0</v>
      </c>
      <c r="T320" s="20" t="n">
        <f aca="false">IF(OR($P320&lt;&gt;"Yes",$Q320=""),0,$R320*IF(MATCH($Q320,MonthList,0)&lt;=7,12,19-MATCH($Q320,MonthList,0))/12)</f>
        <v>0</v>
      </c>
      <c r="U320" s="21" t="s">
        <v>59</v>
      </c>
      <c r="V320" s="21"/>
      <c r="W320" s="20" t="n">
        <f aca="false">IF(AND($U320="Yes",$G320&lt;&gt;"Vendor day rates"),$J320-0.4*$I320,0)</f>
        <v>0</v>
      </c>
      <c r="X320" s="20" t="n">
        <f aca="false">IF(OR($U320&lt;&gt;"Yes",$V320=""),0,$W320*MAX(0,7-MATCH($V320,MonthList,0))/12)</f>
        <v>0</v>
      </c>
      <c r="Y320" s="20" t="n">
        <f aca="false">IF(OR($U320&lt;&gt;"Yes",$V320=""),0,$W320*IF(MATCH($V320,MonthList,0)&lt;=7,12,19-MATCH($V320,MonthList,0))/12)</f>
        <v>0</v>
      </c>
    </row>
    <row r="321" customFormat="false" ht="15" hidden="false" customHeight="true" outlineLevel="0" collapsed="false">
      <c r="B321" s="22" t="s">
        <v>653</v>
      </c>
      <c r="C321" s="22" t="s">
        <v>226</v>
      </c>
      <c r="D321" s="22" t="s">
        <v>25</v>
      </c>
      <c r="E321" s="22" t="s">
        <v>418</v>
      </c>
      <c r="F321" s="23" t="s">
        <v>57</v>
      </c>
      <c r="G321" s="23" t="s">
        <v>58</v>
      </c>
      <c r="H321" s="23" t="n">
        <v>1</v>
      </c>
      <c r="I321" s="24" t="n">
        <v>0.2154</v>
      </c>
      <c r="J321" s="24" t="n">
        <v>0.2154</v>
      </c>
      <c r="K321" s="21" t="s">
        <v>59</v>
      </c>
      <c r="L321" s="21"/>
      <c r="M321" s="24" t="n">
        <f aca="false">IF(AND($K321="Yes",$G321&lt;&gt;"Vendor day rates"),$J321-0.4*$I321,0)</f>
        <v>0</v>
      </c>
      <c r="N321" s="24" t="n">
        <f aca="false">IF(OR($K321&lt;&gt;"Yes",$L321=""),0,$M321*MAX(0,7-MATCH($L321,MonthList,0))/12)</f>
        <v>0</v>
      </c>
      <c r="O321" s="24" t="n">
        <f aca="false">IF(OR($K321&lt;&gt;"Yes",$L321=""),0,$M321*IF(MATCH($L321,MonthList,0)&lt;=7,12,19-MATCH($L321,MonthList,0))/12)</f>
        <v>0</v>
      </c>
      <c r="P321" s="21" t="s">
        <v>59</v>
      </c>
      <c r="Q321" s="21"/>
      <c r="R321" s="24" t="n">
        <f aca="false">IF(AND($P321="Yes",$G321&lt;&gt;"Vendor day rates"),$J321-0.4*$I321,0)</f>
        <v>0</v>
      </c>
      <c r="S321" s="24" t="n">
        <f aca="false">IF(OR($P321&lt;&gt;"Yes",$Q321=""),0,$R321*MAX(0,7-MATCH($Q321,MonthList,0))/12)</f>
        <v>0</v>
      </c>
      <c r="T321" s="24" t="n">
        <f aca="false">IF(OR($P321&lt;&gt;"Yes",$Q321=""),0,$R321*IF(MATCH($Q321,MonthList,0)&lt;=7,12,19-MATCH($Q321,MonthList,0))/12)</f>
        <v>0</v>
      </c>
      <c r="U321" s="21" t="s">
        <v>59</v>
      </c>
      <c r="V321" s="21"/>
      <c r="W321" s="24" t="n">
        <f aca="false">IF(AND($U321="Yes",$G321&lt;&gt;"Vendor day rates"),$J321-0.4*$I321,0)</f>
        <v>0</v>
      </c>
      <c r="X321" s="24" t="n">
        <f aca="false">IF(OR($U321&lt;&gt;"Yes",$V321=""),0,$W321*MAX(0,7-MATCH($V321,MonthList,0))/12)</f>
        <v>0</v>
      </c>
      <c r="Y321" s="24" t="n">
        <f aca="false">IF(OR($U321&lt;&gt;"Yes",$V321=""),0,$W321*IF(MATCH($V321,MonthList,0)&lt;=7,12,19-MATCH($V321,MonthList,0))/12)</f>
        <v>0</v>
      </c>
    </row>
    <row r="322" customFormat="false" ht="15" hidden="false" customHeight="true" outlineLevel="0" collapsed="false">
      <c r="B322" s="18" t="s">
        <v>654</v>
      </c>
      <c r="C322" s="18" t="s">
        <v>226</v>
      </c>
      <c r="D322" s="18" t="s">
        <v>25</v>
      </c>
      <c r="E322" s="18" t="s">
        <v>418</v>
      </c>
      <c r="F322" s="19" t="s">
        <v>57</v>
      </c>
      <c r="G322" s="19" t="s">
        <v>58</v>
      </c>
      <c r="H322" s="19" t="n">
        <v>1</v>
      </c>
      <c r="I322" s="20" t="n">
        <v>0.2094</v>
      </c>
      <c r="J322" s="20" t="n">
        <v>0.2094</v>
      </c>
      <c r="K322" s="21" t="s">
        <v>59</v>
      </c>
      <c r="L322" s="21"/>
      <c r="M322" s="20" t="n">
        <f aca="false">IF(AND($K322="Yes",$G322&lt;&gt;"Vendor day rates"),$J322-0.4*$I322,0)</f>
        <v>0</v>
      </c>
      <c r="N322" s="20" t="n">
        <f aca="false">IF(OR($K322&lt;&gt;"Yes",$L322=""),0,$M322*MAX(0,7-MATCH($L322,MonthList,0))/12)</f>
        <v>0</v>
      </c>
      <c r="O322" s="20" t="n">
        <f aca="false">IF(OR($K322&lt;&gt;"Yes",$L322=""),0,$M322*IF(MATCH($L322,MonthList,0)&lt;=7,12,19-MATCH($L322,MonthList,0))/12)</f>
        <v>0</v>
      </c>
      <c r="P322" s="21" t="s">
        <v>59</v>
      </c>
      <c r="Q322" s="21"/>
      <c r="R322" s="20" t="n">
        <f aca="false">IF(AND($P322="Yes",$G322&lt;&gt;"Vendor day rates"),$J322-0.4*$I322,0)</f>
        <v>0</v>
      </c>
      <c r="S322" s="20" t="n">
        <f aca="false">IF(OR($P322&lt;&gt;"Yes",$Q322=""),0,$R322*MAX(0,7-MATCH($Q322,MonthList,0))/12)</f>
        <v>0</v>
      </c>
      <c r="T322" s="20" t="n">
        <f aca="false">IF(OR($P322&lt;&gt;"Yes",$Q322=""),0,$R322*IF(MATCH($Q322,MonthList,0)&lt;=7,12,19-MATCH($Q322,MonthList,0))/12)</f>
        <v>0</v>
      </c>
      <c r="U322" s="21" t="s">
        <v>59</v>
      </c>
      <c r="V322" s="21"/>
      <c r="W322" s="20" t="n">
        <f aca="false">IF(AND($U322="Yes",$G322&lt;&gt;"Vendor day rates"),$J322-0.4*$I322,0)</f>
        <v>0</v>
      </c>
      <c r="X322" s="20" t="n">
        <f aca="false">IF(OR($U322&lt;&gt;"Yes",$V322=""),0,$W322*MAX(0,7-MATCH($V322,MonthList,0))/12)</f>
        <v>0</v>
      </c>
      <c r="Y322" s="20" t="n">
        <f aca="false">IF(OR($U322&lt;&gt;"Yes",$V322=""),0,$W322*IF(MATCH($V322,MonthList,0)&lt;=7,12,19-MATCH($V322,MonthList,0))/12)</f>
        <v>0</v>
      </c>
    </row>
    <row r="323" customFormat="false" ht="15" hidden="false" customHeight="true" outlineLevel="0" collapsed="false">
      <c r="B323" s="22" t="s">
        <v>655</v>
      </c>
      <c r="C323" s="22" t="s">
        <v>656</v>
      </c>
      <c r="D323" s="22" t="s">
        <v>25</v>
      </c>
      <c r="E323" s="22" t="s">
        <v>418</v>
      </c>
      <c r="F323" s="23" t="s">
        <v>57</v>
      </c>
      <c r="G323" s="23" t="s">
        <v>58</v>
      </c>
      <c r="H323" s="23" t="n">
        <v>1</v>
      </c>
      <c r="I323" s="24" t="n">
        <v>0.2136</v>
      </c>
      <c r="J323" s="24" t="n">
        <v>0.2136</v>
      </c>
      <c r="K323" s="21" t="s">
        <v>59</v>
      </c>
      <c r="L323" s="21"/>
      <c r="M323" s="24" t="n">
        <f aca="false">IF(AND($K323="Yes",$G323&lt;&gt;"Vendor day rates"),$J323-0.4*$I323,0)</f>
        <v>0</v>
      </c>
      <c r="N323" s="24" t="n">
        <f aca="false">IF(OR($K323&lt;&gt;"Yes",$L323=""),0,$M323*MAX(0,7-MATCH($L323,MonthList,0))/12)</f>
        <v>0</v>
      </c>
      <c r="O323" s="24" t="n">
        <f aca="false">IF(OR($K323&lt;&gt;"Yes",$L323=""),0,$M323*IF(MATCH($L323,MonthList,0)&lt;=7,12,19-MATCH($L323,MonthList,0))/12)</f>
        <v>0</v>
      </c>
      <c r="P323" s="21" t="s">
        <v>59</v>
      </c>
      <c r="Q323" s="21"/>
      <c r="R323" s="24" t="n">
        <f aca="false">IF(AND($P323="Yes",$G323&lt;&gt;"Vendor day rates"),$J323-0.4*$I323,0)</f>
        <v>0</v>
      </c>
      <c r="S323" s="24" t="n">
        <f aca="false">IF(OR($P323&lt;&gt;"Yes",$Q323=""),0,$R323*MAX(0,7-MATCH($Q323,MonthList,0))/12)</f>
        <v>0</v>
      </c>
      <c r="T323" s="24" t="n">
        <f aca="false">IF(OR($P323&lt;&gt;"Yes",$Q323=""),0,$R323*IF(MATCH($Q323,MonthList,0)&lt;=7,12,19-MATCH($Q323,MonthList,0))/12)</f>
        <v>0</v>
      </c>
      <c r="U323" s="21" t="s">
        <v>59</v>
      </c>
      <c r="V323" s="21"/>
      <c r="W323" s="24" t="n">
        <f aca="false">IF(AND($U323="Yes",$G323&lt;&gt;"Vendor day rates"),$J323-0.4*$I323,0)</f>
        <v>0</v>
      </c>
      <c r="X323" s="24" t="n">
        <f aca="false">IF(OR($U323&lt;&gt;"Yes",$V323=""),0,$W323*MAX(0,7-MATCH($V323,MonthList,0))/12)</f>
        <v>0</v>
      </c>
      <c r="Y323" s="24" t="n">
        <f aca="false">IF(OR($U323&lt;&gt;"Yes",$V323=""),0,$W323*IF(MATCH($V323,MonthList,0)&lt;=7,12,19-MATCH($V323,MonthList,0))/12)</f>
        <v>0</v>
      </c>
    </row>
    <row r="324" customFormat="false" ht="15" hidden="false" customHeight="true" outlineLevel="0" collapsed="false">
      <c r="B324" s="18" t="s">
        <v>657</v>
      </c>
      <c r="C324" s="18" t="s">
        <v>597</v>
      </c>
      <c r="D324" s="18" t="s">
        <v>25</v>
      </c>
      <c r="E324" s="18" t="s">
        <v>418</v>
      </c>
      <c r="F324" s="19" t="s">
        <v>57</v>
      </c>
      <c r="G324" s="19" t="s">
        <v>58</v>
      </c>
      <c r="H324" s="19" t="n">
        <v>1</v>
      </c>
      <c r="I324" s="20" t="n">
        <v>0.2221</v>
      </c>
      <c r="J324" s="20" t="n">
        <v>0.2221</v>
      </c>
      <c r="K324" s="21" t="s">
        <v>59</v>
      </c>
      <c r="L324" s="21"/>
      <c r="M324" s="20" t="n">
        <f aca="false">IF(AND($K324="Yes",$G324&lt;&gt;"Vendor day rates"),$J324-0.4*$I324,0)</f>
        <v>0</v>
      </c>
      <c r="N324" s="20" t="n">
        <f aca="false">IF(OR($K324&lt;&gt;"Yes",$L324=""),0,$M324*MAX(0,7-MATCH($L324,MonthList,0))/12)</f>
        <v>0</v>
      </c>
      <c r="O324" s="20" t="n">
        <f aca="false">IF(OR($K324&lt;&gt;"Yes",$L324=""),0,$M324*IF(MATCH($L324,MonthList,0)&lt;=7,12,19-MATCH($L324,MonthList,0))/12)</f>
        <v>0</v>
      </c>
      <c r="P324" s="21" t="s">
        <v>59</v>
      </c>
      <c r="Q324" s="21"/>
      <c r="R324" s="20" t="n">
        <f aca="false">IF(AND($P324="Yes",$G324&lt;&gt;"Vendor day rates"),$J324-0.4*$I324,0)</f>
        <v>0</v>
      </c>
      <c r="S324" s="20" t="n">
        <f aca="false">IF(OR($P324&lt;&gt;"Yes",$Q324=""),0,$R324*MAX(0,7-MATCH($Q324,MonthList,0))/12)</f>
        <v>0</v>
      </c>
      <c r="T324" s="20" t="n">
        <f aca="false">IF(OR($P324&lt;&gt;"Yes",$Q324=""),0,$R324*IF(MATCH($Q324,MonthList,0)&lt;=7,12,19-MATCH($Q324,MonthList,0))/12)</f>
        <v>0</v>
      </c>
      <c r="U324" s="21" t="s">
        <v>59</v>
      </c>
      <c r="V324" s="21"/>
      <c r="W324" s="20" t="n">
        <f aca="false">IF(AND($U324="Yes",$G324&lt;&gt;"Vendor day rates"),$J324-0.4*$I324,0)</f>
        <v>0</v>
      </c>
      <c r="X324" s="20" t="n">
        <f aca="false">IF(OR($U324&lt;&gt;"Yes",$V324=""),0,$W324*MAX(0,7-MATCH($V324,MonthList,0))/12)</f>
        <v>0</v>
      </c>
      <c r="Y324" s="20" t="n">
        <f aca="false">IF(OR($U324&lt;&gt;"Yes",$V324=""),0,$W324*IF(MATCH($V324,MonthList,0)&lt;=7,12,19-MATCH($V324,MonthList,0))/12)</f>
        <v>0</v>
      </c>
    </row>
    <row r="325" customFormat="false" ht="15" hidden="false" customHeight="true" outlineLevel="0" collapsed="false">
      <c r="B325" s="22" t="s">
        <v>658</v>
      </c>
      <c r="C325" s="22" t="s">
        <v>588</v>
      </c>
      <c r="D325" s="22" t="s">
        <v>29</v>
      </c>
      <c r="E325" s="22" t="s">
        <v>514</v>
      </c>
      <c r="F325" s="23" t="s">
        <v>57</v>
      </c>
      <c r="G325" s="23" t="s">
        <v>462</v>
      </c>
      <c r="H325" s="23" t="n">
        <v>1</v>
      </c>
      <c r="I325" s="24" t="n">
        <v>0.2016</v>
      </c>
      <c r="J325" s="24" t="n">
        <v>0.0806</v>
      </c>
      <c r="K325" s="21" t="s">
        <v>59</v>
      </c>
      <c r="L325" s="21"/>
      <c r="M325" s="24" t="n">
        <f aca="false">IF(AND($K325="Yes",$G325&lt;&gt;"Vendor day rates"),$J325-0.4*$I325,0)</f>
        <v>0</v>
      </c>
      <c r="N325" s="24" t="n">
        <f aca="false">IF(OR($K325&lt;&gt;"Yes",$L325=""),0,$M325*MAX(0,7-MATCH($L325,MonthList,0))/12)</f>
        <v>0</v>
      </c>
      <c r="O325" s="24" t="n">
        <f aca="false">IF(OR($K325&lt;&gt;"Yes",$L325=""),0,$M325*IF(MATCH($L325,MonthList,0)&lt;=7,12,19-MATCH($L325,MonthList,0))/12)</f>
        <v>0</v>
      </c>
      <c r="P325" s="21" t="s">
        <v>59</v>
      </c>
      <c r="Q325" s="21"/>
      <c r="R325" s="24" t="n">
        <f aca="false">IF(AND($P325="Yes",$G325&lt;&gt;"Vendor day rates"),$J325-0.4*$I325,0)</f>
        <v>0</v>
      </c>
      <c r="S325" s="24" t="n">
        <f aca="false">IF(OR($P325&lt;&gt;"Yes",$Q325=""),0,$R325*MAX(0,7-MATCH($Q325,MonthList,0))/12)</f>
        <v>0</v>
      </c>
      <c r="T325" s="24" t="n">
        <f aca="false">IF(OR($P325&lt;&gt;"Yes",$Q325=""),0,$R325*IF(MATCH($Q325,MonthList,0)&lt;=7,12,19-MATCH($Q325,MonthList,0))/12)</f>
        <v>0</v>
      </c>
      <c r="U325" s="21" t="s">
        <v>59</v>
      </c>
      <c r="V325" s="21"/>
      <c r="W325" s="24" t="n">
        <f aca="false">IF(AND($U325="Yes",$G325&lt;&gt;"Vendor day rates"),$J325-0.4*$I325,0)</f>
        <v>0</v>
      </c>
      <c r="X325" s="24" t="n">
        <f aca="false">IF(OR($U325&lt;&gt;"Yes",$V325=""),0,$W325*MAX(0,7-MATCH($V325,MonthList,0))/12)</f>
        <v>0</v>
      </c>
      <c r="Y325" s="24" t="n">
        <f aca="false">IF(OR($U325&lt;&gt;"Yes",$V325=""),0,$W325*IF(MATCH($V325,MonthList,0)&lt;=7,12,19-MATCH($V325,MonthList,0))/12)</f>
        <v>0</v>
      </c>
    </row>
    <row r="326" customFormat="false" ht="15" hidden="false" customHeight="true" outlineLevel="0" collapsed="false">
      <c r="B326" s="18" t="s">
        <v>659</v>
      </c>
      <c r="C326" s="18" t="s">
        <v>588</v>
      </c>
      <c r="D326" s="18" t="s">
        <v>29</v>
      </c>
      <c r="E326" s="18" t="s">
        <v>514</v>
      </c>
      <c r="F326" s="19" t="s">
        <v>57</v>
      </c>
      <c r="G326" s="19" t="s">
        <v>462</v>
      </c>
      <c r="H326" s="19" t="n">
        <v>1</v>
      </c>
      <c r="I326" s="20" t="n">
        <v>0.2317</v>
      </c>
      <c r="J326" s="20" t="n">
        <v>0.0927</v>
      </c>
      <c r="K326" s="21" t="s">
        <v>59</v>
      </c>
      <c r="L326" s="21"/>
      <c r="M326" s="20" t="n">
        <f aca="false">IF(AND($K326="Yes",$G326&lt;&gt;"Vendor day rates"),$J326-0.4*$I326,0)</f>
        <v>0</v>
      </c>
      <c r="N326" s="20" t="n">
        <f aca="false">IF(OR($K326&lt;&gt;"Yes",$L326=""),0,$M326*MAX(0,7-MATCH($L326,MonthList,0))/12)</f>
        <v>0</v>
      </c>
      <c r="O326" s="20" t="n">
        <f aca="false">IF(OR($K326&lt;&gt;"Yes",$L326=""),0,$M326*IF(MATCH($L326,MonthList,0)&lt;=7,12,19-MATCH($L326,MonthList,0))/12)</f>
        <v>0</v>
      </c>
      <c r="P326" s="21" t="s">
        <v>59</v>
      </c>
      <c r="Q326" s="21"/>
      <c r="R326" s="20" t="n">
        <f aca="false">IF(AND($P326="Yes",$G326&lt;&gt;"Vendor day rates"),$J326-0.4*$I326,0)</f>
        <v>0</v>
      </c>
      <c r="S326" s="20" t="n">
        <f aca="false">IF(OR($P326&lt;&gt;"Yes",$Q326=""),0,$R326*MAX(0,7-MATCH($Q326,MonthList,0))/12)</f>
        <v>0</v>
      </c>
      <c r="T326" s="20" t="n">
        <f aca="false">IF(OR($P326&lt;&gt;"Yes",$Q326=""),0,$R326*IF(MATCH($Q326,MonthList,0)&lt;=7,12,19-MATCH($Q326,MonthList,0))/12)</f>
        <v>0</v>
      </c>
      <c r="U326" s="21" t="s">
        <v>59</v>
      </c>
      <c r="V326" s="21"/>
      <c r="W326" s="20" t="n">
        <f aca="false">IF(AND($U326="Yes",$G326&lt;&gt;"Vendor day rates"),$J326-0.4*$I326,0)</f>
        <v>0</v>
      </c>
      <c r="X326" s="20" t="n">
        <f aca="false">IF(OR($U326&lt;&gt;"Yes",$V326=""),0,$W326*MAX(0,7-MATCH($V326,MonthList,0))/12)</f>
        <v>0</v>
      </c>
      <c r="Y326" s="20" t="n">
        <f aca="false">IF(OR($U326&lt;&gt;"Yes",$V326=""),0,$W326*IF(MATCH($V326,MonthList,0)&lt;=7,12,19-MATCH($V326,MonthList,0))/12)</f>
        <v>0</v>
      </c>
    </row>
    <row r="327" customFormat="false" ht="15" hidden="false" customHeight="true" outlineLevel="0" collapsed="false">
      <c r="B327" s="22" t="s">
        <v>660</v>
      </c>
      <c r="C327" s="22" t="s">
        <v>661</v>
      </c>
      <c r="D327" s="22" t="s">
        <v>29</v>
      </c>
      <c r="E327" s="22" t="s">
        <v>514</v>
      </c>
      <c r="F327" s="23" t="s">
        <v>57</v>
      </c>
      <c r="G327" s="23" t="s">
        <v>462</v>
      </c>
      <c r="H327" s="23" t="n">
        <v>1</v>
      </c>
      <c r="I327" s="24" t="n">
        <v>0.2029</v>
      </c>
      <c r="J327" s="24" t="n">
        <v>0.0811</v>
      </c>
      <c r="K327" s="21" t="s">
        <v>59</v>
      </c>
      <c r="L327" s="21"/>
      <c r="M327" s="24" t="n">
        <f aca="false">IF(AND($K327="Yes",$G327&lt;&gt;"Vendor day rates"),$J327-0.4*$I327,0)</f>
        <v>0</v>
      </c>
      <c r="N327" s="24" t="n">
        <f aca="false">IF(OR($K327&lt;&gt;"Yes",$L327=""),0,$M327*MAX(0,7-MATCH($L327,MonthList,0))/12)</f>
        <v>0</v>
      </c>
      <c r="O327" s="24" t="n">
        <f aca="false">IF(OR($K327&lt;&gt;"Yes",$L327=""),0,$M327*IF(MATCH($L327,MonthList,0)&lt;=7,12,19-MATCH($L327,MonthList,0))/12)</f>
        <v>0</v>
      </c>
      <c r="P327" s="21" t="s">
        <v>59</v>
      </c>
      <c r="Q327" s="21"/>
      <c r="R327" s="24" t="n">
        <f aca="false">IF(AND($P327="Yes",$G327&lt;&gt;"Vendor day rates"),$J327-0.4*$I327,0)</f>
        <v>0</v>
      </c>
      <c r="S327" s="24" t="n">
        <f aca="false">IF(OR($P327&lt;&gt;"Yes",$Q327=""),0,$R327*MAX(0,7-MATCH($Q327,MonthList,0))/12)</f>
        <v>0</v>
      </c>
      <c r="T327" s="24" t="n">
        <f aca="false">IF(OR($P327&lt;&gt;"Yes",$Q327=""),0,$R327*IF(MATCH($Q327,MonthList,0)&lt;=7,12,19-MATCH($Q327,MonthList,0))/12)</f>
        <v>0</v>
      </c>
      <c r="U327" s="21" t="s">
        <v>59</v>
      </c>
      <c r="V327" s="21"/>
      <c r="W327" s="24" t="n">
        <f aca="false">IF(AND($U327="Yes",$G327&lt;&gt;"Vendor day rates"),$J327-0.4*$I327,0)</f>
        <v>0</v>
      </c>
      <c r="X327" s="24" t="n">
        <f aca="false">IF(OR($U327&lt;&gt;"Yes",$V327=""),0,$W327*MAX(0,7-MATCH($V327,MonthList,0))/12)</f>
        <v>0</v>
      </c>
      <c r="Y327" s="24" t="n">
        <f aca="false">IF(OR($U327&lt;&gt;"Yes",$V327=""),0,$W327*IF(MATCH($V327,MonthList,0)&lt;=7,12,19-MATCH($V327,MonthList,0))/12)</f>
        <v>0</v>
      </c>
    </row>
    <row r="328" customFormat="false" ht="15" hidden="false" customHeight="true" outlineLevel="0" collapsed="false">
      <c r="B328" s="18" t="s">
        <v>662</v>
      </c>
      <c r="C328" s="18" t="s">
        <v>661</v>
      </c>
      <c r="D328" s="18" t="s">
        <v>29</v>
      </c>
      <c r="E328" s="18" t="s">
        <v>514</v>
      </c>
      <c r="F328" s="19" t="s">
        <v>57</v>
      </c>
      <c r="G328" s="19" t="s">
        <v>462</v>
      </c>
      <c r="H328" s="19" t="n">
        <v>1</v>
      </c>
      <c r="I328" s="20" t="n">
        <v>0.2029</v>
      </c>
      <c r="J328" s="20" t="n">
        <v>0.0811</v>
      </c>
      <c r="K328" s="21" t="s">
        <v>59</v>
      </c>
      <c r="L328" s="21"/>
      <c r="M328" s="20" t="n">
        <f aca="false">IF(AND($K328="Yes",$G328&lt;&gt;"Vendor day rates"),$J328-0.4*$I328,0)</f>
        <v>0</v>
      </c>
      <c r="N328" s="20" t="n">
        <f aca="false">IF(OR($K328&lt;&gt;"Yes",$L328=""),0,$M328*MAX(0,7-MATCH($L328,MonthList,0))/12)</f>
        <v>0</v>
      </c>
      <c r="O328" s="20" t="n">
        <f aca="false">IF(OR($K328&lt;&gt;"Yes",$L328=""),0,$M328*IF(MATCH($L328,MonthList,0)&lt;=7,12,19-MATCH($L328,MonthList,0))/12)</f>
        <v>0</v>
      </c>
      <c r="P328" s="21" t="s">
        <v>59</v>
      </c>
      <c r="Q328" s="21"/>
      <c r="R328" s="20" t="n">
        <f aca="false">IF(AND($P328="Yes",$G328&lt;&gt;"Vendor day rates"),$J328-0.4*$I328,0)</f>
        <v>0</v>
      </c>
      <c r="S328" s="20" t="n">
        <f aca="false">IF(OR($P328&lt;&gt;"Yes",$Q328=""),0,$R328*MAX(0,7-MATCH($Q328,MonthList,0))/12)</f>
        <v>0</v>
      </c>
      <c r="T328" s="20" t="n">
        <f aca="false">IF(OR($P328&lt;&gt;"Yes",$Q328=""),0,$R328*IF(MATCH($Q328,MonthList,0)&lt;=7,12,19-MATCH($Q328,MonthList,0))/12)</f>
        <v>0</v>
      </c>
      <c r="U328" s="21" t="s">
        <v>59</v>
      </c>
      <c r="V328" s="21"/>
      <c r="W328" s="20" t="n">
        <f aca="false">IF(AND($U328="Yes",$G328&lt;&gt;"Vendor day rates"),$J328-0.4*$I328,0)</f>
        <v>0</v>
      </c>
      <c r="X328" s="20" t="n">
        <f aca="false">IF(OR($U328&lt;&gt;"Yes",$V328=""),0,$W328*MAX(0,7-MATCH($V328,MonthList,0))/12)</f>
        <v>0</v>
      </c>
      <c r="Y328" s="20" t="n">
        <f aca="false">IF(OR($U328&lt;&gt;"Yes",$V328=""),0,$W328*IF(MATCH($V328,MonthList,0)&lt;=7,12,19-MATCH($V328,MonthList,0))/12)</f>
        <v>0</v>
      </c>
    </row>
    <row r="329" customFormat="false" ht="15" hidden="false" customHeight="true" outlineLevel="0" collapsed="false">
      <c r="B329" s="22" t="s">
        <v>663</v>
      </c>
      <c r="C329" s="22" t="s">
        <v>661</v>
      </c>
      <c r="D329" s="22" t="s">
        <v>29</v>
      </c>
      <c r="E329" s="22" t="s">
        <v>514</v>
      </c>
      <c r="F329" s="23" t="s">
        <v>57</v>
      </c>
      <c r="G329" s="23" t="s">
        <v>462</v>
      </c>
      <c r="H329" s="23" t="n">
        <v>1</v>
      </c>
      <c r="I329" s="24" t="n">
        <v>0.1705</v>
      </c>
      <c r="J329" s="24" t="n">
        <v>0.0682</v>
      </c>
      <c r="K329" s="21" t="s">
        <v>59</v>
      </c>
      <c r="L329" s="21"/>
      <c r="M329" s="24" t="n">
        <f aca="false">IF(AND($K329="Yes",$G329&lt;&gt;"Vendor day rates"),$J329-0.4*$I329,0)</f>
        <v>0</v>
      </c>
      <c r="N329" s="24" t="n">
        <f aca="false">IF(OR($K329&lt;&gt;"Yes",$L329=""),0,$M329*MAX(0,7-MATCH($L329,MonthList,0))/12)</f>
        <v>0</v>
      </c>
      <c r="O329" s="24" t="n">
        <f aca="false">IF(OR($K329&lt;&gt;"Yes",$L329=""),0,$M329*IF(MATCH($L329,MonthList,0)&lt;=7,12,19-MATCH($L329,MonthList,0))/12)</f>
        <v>0</v>
      </c>
      <c r="P329" s="21" t="s">
        <v>59</v>
      </c>
      <c r="Q329" s="21"/>
      <c r="R329" s="24" t="n">
        <f aca="false">IF(AND($P329="Yes",$G329&lt;&gt;"Vendor day rates"),$J329-0.4*$I329,0)</f>
        <v>0</v>
      </c>
      <c r="S329" s="24" t="n">
        <f aca="false">IF(OR($P329&lt;&gt;"Yes",$Q329=""),0,$R329*MAX(0,7-MATCH($Q329,MonthList,0))/12)</f>
        <v>0</v>
      </c>
      <c r="T329" s="24" t="n">
        <f aca="false">IF(OR($P329&lt;&gt;"Yes",$Q329=""),0,$R329*IF(MATCH($Q329,MonthList,0)&lt;=7,12,19-MATCH($Q329,MonthList,0))/12)</f>
        <v>0</v>
      </c>
      <c r="U329" s="21" t="s">
        <v>59</v>
      </c>
      <c r="V329" s="21"/>
      <c r="W329" s="24" t="n">
        <f aca="false">IF(AND($U329="Yes",$G329&lt;&gt;"Vendor day rates"),$J329-0.4*$I329,0)</f>
        <v>0</v>
      </c>
      <c r="X329" s="24" t="n">
        <f aca="false">IF(OR($U329&lt;&gt;"Yes",$V329=""),0,$W329*MAX(0,7-MATCH($V329,MonthList,0))/12)</f>
        <v>0</v>
      </c>
      <c r="Y329" s="24" t="n">
        <f aca="false">IF(OR($U329&lt;&gt;"Yes",$V329=""),0,$W329*IF(MATCH($V329,MonthList,0)&lt;=7,12,19-MATCH($V329,MonthList,0))/12)</f>
        <v>0</v>
      </c>
    </row>
    <row r="330" customFormat="false" ht="15" hidden="false" customHeight="true" outlineLevel="0" collapsed="false">
      <c r="B330" s="18" t="s">
        <v>664</v>
      </c>
      <c r="C330" s="18" t="s">
        <v>661</v>
      </c>
      <c r="D330" s="18" t="s">
        <v>31</v>
      </c>
      <c r="E330" s="18" t="s">
        <v>516</v>
      </c>
      <c r="F330" s="19" t="s">
        <v>57</v>
      </c>
      <c r="G330" s="19" t="s">
        <v>292</v>
      </c>
      <c r="H330" s="19" t="n">
        <v>1</v>
      </c>
      <c r="I330" s="20" t="n">
        <v>0.2029</v>
      </c>
      <c r="J330" s="20" t="n">
        <v>0</v>
      </c>
      <c r="K330" s="21" t="s">
        <v>59</v>
      </c>
      <c r="L330" s="21"/>
      <c r="M330" s="20" t="n">
        <f aca="false">IF(AND($K330="Yes",$G330&lt;&gt;"Vendor day rates"),$J330-0.4*$I330,0)</f>
        <v>0</v>
      </c>
      <c r="N330" s="20" t="n">
        <f aca="false">IF(OR($K330&lt;&gt;"Yes",$L330=""),0,$M330*MAX(0,7-MATCH($L330,MonthList,0))/12)</f>
        <v>0</v>
      </c>
      <c r="O330" s="20" t="n">
        <f aca="false">IF(OR($K330&lt;&gt;"Yes",$L330=""),0,$M330*IF(MATCH($L330,MonthList,0)&lt;=7,12,19-MATCH($L330,MonthList,0))/12)</f>
        <v>0</v>
      </c>
      <c r="P330" s="21" t="s">
        <v>59</v>
      </c>
      <c r="Q330" s="21"/>
      <c r="R330" s="20" t="n">
        <f aca="false">IF(AND($P330="Yes",$G330&lt;&gt;"Vendor day rates"),$J330-0.4*$I330,0)</f>
        <v>0</v>
      </c>
      <c r="S330" s="20" t="n">
        <f aca="false">IF(OR($P330&lt;&gt;"Yes",$Q330=""),0,$R330*MAX(0,7-MATCH($Q330,MonthList,0))/12)</f>
        <v>0</v>
      </c>
      <c r="T330" s="20" t="n">
        <f aca="false">IF(OR($P330&lt;&gt;"Yes",$Q330=""),0,$R330*IF(MATCH($Q330,MonthList,0)&lt;=7,12,19-MATCH($Q330,MonthList,0))/12)</f>
        <v>0</v>
      </c>
      <c r="U330" s="21" t="s">
        <v>59</v>
      </c>
      <c r="V330" s="21"/>
      <c r="W330" s="20" t="n">
        <f aca="false">IF(AND($U330="Yes",$G330&lt;&gt;"Vendor day rates"),$J330-0.4*$I330,0)</f>
        <v>0</v>
      </c>
      <c r="X330" s="20" t="n">
        <f aca="false">IF(OR($U330&lt;&gt;"Yes",$V330=""),0,$W330*MAX(0,7-MATCH($V330,MonthList,0))/12)</f>
        <v>0</v>
      </c>
      <c r="Y330" s="20" t="n">
        <f aca="false">IF(OR($U330&lt;&gt;"Yes",$V330=""),0,$W330*IF(MATCH($V330,MonthList,0)&lt;=7,12,19-MATCH($V330,MonthList,0))/12)</f>
        <v>0</v>
      </c>
    </row>
    <row r="331" customFormat="false" ht="15" hidden="false" customHeight="true" outlineLevel="0" collapsed="false">
      <c r="B331" s="22" t="s">
        <v>665</v>
      </c>
      <c r="C331" s="22" t="s">
        <v>666</v>
      </c>
      <c r="D331" s="22"/>
      <c r="E331" s="22" t="s">
        <v>173</v>
      </c>
      <c r="F331" s="23" t="s">
        <v>57</v>
      </c>
      <c r="G331" s="23" t="s">
        <v>145</v>
      </c>
      <c r="H331" s="23" t="n">
        <v>1</v>
      </c>
      <c r="I331" s="24" t="n">
        <v>0.1869</v>
      </c>
      <c r="J331" s="24" t="n">
        <v>0.1869</v>
      </c>
      <c r="K331" s="21" t="s">
        <v>59</v>
      </c>
      <c r="L331" s="21"/>
      <c r="M331" s="24" t="n">
        <f aca="false">IF(AND($K331="Yes",$G331&lt;&gt;"Vendor day rates"),$J331-0.4*$I331,0)</f>
        <v>0</v>
      </c>
      <c r="N331" s="24" t="n">
        <f aca="false">IF(OR($K331&lt;&gt;"Yes",$L331=""),0,$M331*MAX(0,7-MATCH($L331,MonthList,0))/12)</f>
        <v>0</v>
      </c>
      <c r="O331" s="24" t="n">
        <f aca="false">IF(OR($K331&lt;&gt;"Yes",$L331=""),0,$M331*IF(MATCH($L331,MonthList,0)&lt;=7,12,19-MATCH($L331,MonthList,0))/12)</f>
        <v>0</v>
      </c>
      <c r="P331" s="21" t="s">
        <v>59</v>
      </c>
      <c r="Q331" s="21"/>
      <c r="R331" s="24" t="n">
        <f aca="false">IF(AND($P331="Yes",$G331&lt;&gt;"Vendor day rates"),$J331-0.4*$I331,0)</f>
        <v>0</v>
      </c>
      <c r="S331" s="24" t="n">
        <f aca="false">IF(OR($P331&lt;&gt;"Yes",$Q331=""),0,$R331*MAX(0,7-MATCH($Q331,MonthList,0))/12)</f>
        <v>0</v>
      </c>
      <c r="T331" s="24" t="n">
        <f aca="false">IF(OR($P331&lt;&gt;"Yes",$Q331=""),0,$R331*IF(MATCH($Q331,MonthList,0)&lt;=7,12,19-MATCH($Q331,MonthList,0))/12)</f>
        <v>0</v>
      </c>
      <c r="U331" s="21" t="s">
        <v>59</v>
      </c>
      <c r="V331" s="21"/>
      <c r="W331" s="24" t="n">
        <f aca="false">IF(AND($U331="Yes",$G331&lt;&gt;"Vendor day rates"),$J331-0.4*$I331,0)</f>
        <v>0</v>
      </c>
      <c r="X331" s="24" t="n">
        <f aca="false">IF(OR($U331&lt;&gt;"Yes",$V331=""),0,$W331*MAX(0,7-MATCH($V331,MonthList,0))/12)</f>
        <v>0</v>
      </c>
      <c r="Y331" s="24" t="n">
        <f aca="false">IF(OR($U331&lt;&gt;"Yes",$V331=""),0,$W331*IF(MATCH($V331,MonthList,0)&lt;=7,12,19-MATCH($V331,MonthList,0))/12)</f>
        <v>0</v>
      </c>
    </row>
    <row r="332" customFormat="false" ht="15" hidden="false" customHeight="true" outlineLevel="0" collapsed="false">
      <c r="B332" s="18" t="s">
        <v>667</v>
      </c>
      <c r="C332" s="18" t="s">
        <v>668</v>
      </c>
      <c r="D332" s="18" t="s">
        <v>29</v>
      </c>
      <c r="E332" s="18" t="s">
        <v>557</v>
      </c>
      <c r="F332" s="19" t="s">
        <v>57</v>
      </c>
      <c r="G332" s="19" t="s">
        <v>58</v>
      </c>
      <c r="H332" s="19" t="n">
        <v>1</v>
      </c>
      <c r="I332" s="20" t="n">
        <v>0.2003</v>
      </c>
      <c r="J332" s="20" t="n">
        <v>0.2003</v>
      </c>
      <c r="K332" s="21" t="s">
        <v>59</v>
      </c>
      <c r="L332" s="21"/>
      <c r="M332" s="20" t="n">
        <f aca="false">IF(AND($K332="Yes",$G332&lt;&gt;"Vendor day rates"),$J332-0.4*$I332,0)</f>
        <v>0</v>
      </c>
      <c r="N332" s="20" t="n">
        <f aca="false">IF(OR($K332&lt;&gt;"Yes",$L332=""),0,$M332*MAX(0,7-MATCH($L332,MonthList,0))/12)</f>
        <v>0</v>
      </c>
      <c r="O332" s="20" t="n">
        <f aca="false">IF(OR($K332&lt;&gt;"Yes",$L332=""),0,$M332*IF(MATCH($L332,MonthList,0)&lt;=7,12,19-MATCH($L332,MonthList,0))/12)</f>
        <v>0</v>
      </c>
      <c r="P332" s="21" t="s">
        <v>59</v>
      </c>
      <c r="Q332" s="21"/>
      <c r="R332" s="20" t="n">
        <f aca="false">IF(AND($P332="Yes",$G332&lt;&gt;"Vendor day rates"),$J332-0.4*$I332,0)</f>
        <v>0</v>
      </c>
      <c r="S332" s="20" t="n">
        <f aca="false">IF(OR($P332&lt;&gt;"Yes",$Q332=""),0,$R332*MAX(0,7-MATCH($Q332,MonthList,0))/12)</f>
        <v>0</v>
      </c>
      <c r="T332" s="20" t="n">
        <f aca="false">IF(OR($P332&lt;&gt;"Yes",$Q332=""),0,$R332*IF(MATCH($Q332,MonthList,0)&lt;=7,12,19-MATCH($Q332,MonthList,0))/12)</f>
        <v>0</v>
      </c>
      <c r="U332" s="21" t="s">
        <v>59</v>
      </c>
      <c r="V332" s="21"/>
      <c r="W332" s="20" t="n">
        <f aca="false">IF(AND($U332="Yes",$G332&lt;&gt;"Vendor day rates"),$J332-0.4*$I332,0)</f>
        <v>0</v>
      </c>
      <c r="X332" s="20" t="n">
        <f aca="false">IF(OR($U332&lt;&gt;"Yes",$V332=""),0,$W332*MAX(0,7-MATCH($V332,MonthList,0))/12)</f>
        <v>0</v>
      </c>
      <c r="Y332" s="20" t="n">
        <f aca="false">IF(OR($U332&lt;&gt;"Yes",$V332=""),0,$W332*IF(MATCH($V332,MonthList,0)&lt;=7,12,19-MATCH($V332,MonthList,0))/12)</f>
        <v>0</v>
      </c>
    </row>
    <row r="333" customFormat="false" ht="15" hidden="false" customHeight="true" outlineLevel="0" collapsed="false">
      <c r="B333" s="22" t="s">
        <v>669</v>
      </c>
      <c r="C333" s="22" t="s">
        <v>670</v>
      </c>
      <c r="D333" s="22" t="s">
        <v>29</v>
      </c>
      <c r="E333" s="22" t="s">
        <v>557</v>
      </c>
      <c r="F333" s="23" t="s">
        <v>57</v>
      </c>
      <c r="G333" s="23" t="s">
        <v>58</v>
      </c>
      <c r="H333" s="23" t="n">
        <v>1</v>
      </c>
      <c r="I333" s="24" t="n">
        <v>0.2055</v>
      </c>
      <c r="J333" s="24" t="n">
        <v>0.2055</v>
      </c>
      <c r="K333" s="21" t="s">
        <v>59</v>
      </c>
      <c r="L333" s="21"/>
      <c r="M333" s="24" t="n">
        <f aca="false">IF(AND($K333="Yes",$G333&lt;&gt;"Vendor day rates"),$J333-0.4*$I333,0)</f>
        <v>0</v>
      </c>
      <c r="N333" s="24" t="n">
        <f aca="false">IF(OR($K333&lt;&gt;"Yes",$L333=""),0,$M333*MAX(0,7-MATCH($L333,MonthList,0))/12)</f>
        <v>0</v>
      </c>
      <c r="O333" s="24" t="n">
        <f aca="false">IF(OR($K333&lt;&gt;"Yes",$L333=""),0,$M333*IF(MATCH($L333,MonthList,0)&lt;=7,12,19-MATCH($L333,MonthList,0))/12)</f>
        <v>0</v>
      </c>
      <c r="P333" s="21" t="s">
        <v>59</v>
      </c>
      <c r="Q333" s="21"/>
      <c r="R333" s="24" t="n">
        <f aca="false">IF(AND($P333="Yes",$G333&lt;&gt;"Vendor day rates"),$J333-0.4*$I333,0)</f>
        <v>0</v>
      </c>
      <c r="S333" s="24" t="n">
        <f aca="false">IF(OR($P333&lt;&gt;"Yes",$Q333=""),0,$R333*MAX(0,7-MATCH($Q333,MonthList,0))/12)</f>
        <v>0</v>
      </c>
      <c r="T333" s="24" t="n">
        <f aca="false">IF(OR($P333&lt;&gt;"Yes",$Q333=""),0,$R333*IF(MATCH($Q333,MonthList,0)&lt;=7,12,19-MATCH($Q333,MonthList,0))/12)</f>
        <v>0</v>
      </c>
      <c r="U333" s="21" t="s">
        <v>59</v>
      </c>
      <c r="V333" s="21"/>
      <c r="W333" s="24" t="n">
        <f aca="false">IF(AND($U333="Yes",$G333&lt;&gt;"Vendor day rates"),$J333-0.4*$I333,0)</f>
        <v>0</v>
      </c>
      <c r="X333" s="24" t="n">
        <f aca="false">IF(OR($U333&lt;&gt;"Yes",$V333=""),0,$W333*MAX(0,7-MATCH($V333,MonthList,0))/12)</f>
        <v>0</v>
      </c>
      <c r="Y333" s="24" t="n">
        <f aca="false">IF(OR($U333&lt;&gt;"Yes",$V333=""),0,$W333*IF(MATCH($V333,MonthList,0)&lt;=7,12,19-MATCH($V333,MonthList,0))/12)</f>
        <v>0</v>
      </c>
    </row>
    <row r="334" customFormat="false" ht="15" hidden="false" customHeight="true" outlineLevel="0" collapsed="false">
      <c r="B334" s="18" t="s">
        <v>671</v>
      </c>
      <c r="C334" s="18" t="s">
        <v>672</v>
      </c>
      <c r="D334" s="18" t="s">
        <v>26</v>
      </c>
      <c r="E334" s="18" t="s">
        <v>160</v>
      </c>
      <c r="F334" s="19" t="s">
        <v>57</v>
      </c>
      <c r="G334" s="19" t="s">
        <v>292</v>
      </c>
      <c r="H334" s="19" t="n">
        <v>1</v>
      </c>
      <c r="I334" s="20" t="n">
        <v>0.2029</v>
      </c>
      <c r="J334" s="20" t="n">
        <v>0</v>
      </c>
      <c r="K334" s="21" t="s">
        <v>59</v>
      </c>
      <c r="L334" s="21"/>
      <c r="M334" s="20" t="n">
        <f aca="false">IF(AND($K334="Yes",$G334&lt;&gt;"Vendor day rates"),$J334-0.4*$I334,0)</f>
        <v>0</v>
      </c>
      <c r="N334" s="20" t="n">
        <f aca="false">IF(OR($K334&lt;&gt;"Yes",$L334=""),0,$M334*MAX(0,7-MATCH($L334,MonthList,0))/12)</f>
        <v>0</v>
      </c>
      <c r="O334" s="20" t="n">
        <f aca="false">IF(OR($K334&lt;&gt;"Yes",$L334=""),0,$M334*IF(MATCH($L334,MonthList,0)&lt;=7,12,19-MATCH($L334,MonthList,0))/12)</f>
        <v>0</v>
      </c>
      <c r="P334" s="21" t="s">
        <v>59</v>
      </c>
      <c r="Q334" s="21"/>
      <c r="R334" s="20" t="n">
        <f aca="false">IF(AND($P334="Yes",$G334&lt;&gt;"Vendor day rates"),$J334-0.4*$I334,0)</f>
        <v>0</v>
      </c>
      <c r="S334" s="20" t="n">
        <f aca="false">IF(OR($P334&lt;&gt;"Yes",$Q334=""),0,$R334*MAX(0,7-MATCH($Q334,MonthList,0))/12)</f>
        <v>0</v>
      </c>
      <c r="T334" s="20" t="n">
        <f aca="false">IF(OR($P334&lt;&gt;"Yes",$Q334=""),0,$R334*IF(MATCH($Q334,MonthList,0)&lt;=7,12,19-MATCH($Q334,MonthList,0))/12)</f>
        <v>0</v>
      </c>
      <c r="U334" s="21" t="s">
        <v>59</v>
      </c>
      <c r="V334" s="21"/>
      <c r="W334" s="20" t="n">
        <f aca="false">IF(AND($U334="Yes",$G334&lt;&gt;"Vendor day rates"),$J334-0.4*$I334,0)</f>
        <v>0</v>
      </c>
      <c r="X334" s="20" t="n">
        <f aca="false">IF(OR($U334&lt;&gt;"Yes",$V334=""),0,$W334*MAX(0,7-MATCH($V334,MonthList,0))/12)</f>
        <v>0</v>
      </c>
      <c r="Y334" s="20" t="n">
        <f aca="false">IF(OR($U334&lt;&gt;"Yes",$V334=""),0,$W334*IF(MATCH($V334,MonthList,0)&lt;=7,12,19-MATCH($V334,MonthList,0))/12)</f>
        <v>0</v>
      </c>
    </row>
    <row r="335" customFormat="false" ht="15" hidden="false" customHeight="true" outlineLevel="0" collapsed="false">
      <c r="B335" s="22" t="s">
        <v>673</v>
      </c>
      <c r="C335" s="22" t="s">
        <v>674</v>
      </c>
      <c r="D335" s="22" t="s">
        <v>26</v>
      </c>
      <c r="E335" s="22" t="s">
        <v>160</v>
      </c>
      <c r="F335" s="23" t="s">
        <v>57</v>
      </c>
      <c r="G335" s="23" t="s">
        <v>292</v>
      </c>
      <c r="H335" s="23" t="n">
        <v>1</v>
      </c>
      <c r="I335" s="24" t="n">
        <v>0.2029</v>
      </c>
      <c r="J335" s="24" t="n">
        <v>0</v>
      </c>
      <c r="K335" s="21" t="s">
        <v>59</v>
      </c>
      <c r="L335" s="21"/>
      <c r="M335" s="24" t="n">
        <f aca="false">IF(AND($K335="Yes",$G335&lt;&gt;"Vendor day rates"),$J335-0.4*$I335,0)</f>
        <v>0</v>
      </c>
      <c r="N335" s="24" t="n">
        <f aca="false">IF(OR($K335&lt;&gt;"Yes",$L335=""),0,$M335*MAX(0,7-MATCH($L335,MonthList,0))/12)</f>
        <v>0</v>
      </c>
      <c r="O335" s="24" t="n">
        <f aca="false">IF(OR($K335&lt;&gt;"Yes",$L335=""),0,$M335*IF(MATCH($L335,MonthList,0)&lt;=7,12,19-MATCH($L335,MonthList,0))/12)</f>
        <v>0</v>
      </c>
      <c r="P335" s="21" t="s">
        <v>59</v>
      </c>
      <c r="Q335" s="21"/>
      <c r="R335" s="24" t="n">
        <f aca="false">IF(AND($P335="Yes",$G335&lt;&gt;"Vendor day rates"),$J335-0.4*$I335,0)</f>
        <v>0</v>
      </c>
      <c r="S335" s="24" t="n">
        <f aca="false">IF(OR($P335&lt;&gt;"Yes",$Q335=""),0,$R335*MAX(0,7-MATCH($Q335,MonthList,0))/12)</f>
        <v>0</v>
      </c>
      <c r="T335" s="24" t="n">
        <f aca="false">IF(OR($P335&lt;&gt;"Yes",$Q335=""),0,$R335*IF(MATCH($Q335,MonthList,0)&lt;=7,12,19-MATCH($Q335,MonthList,0))/12)</f>
        <v>0</v>
      </c>
      <c r="U335" s="21" t="s">
        <v>59</v>
      </c>
      <c r="V335" s="21"/>
      <c r="W335" s="24" t="n">
        <f aca="false">IF(AND($U335="Yes",$G335&lt;&gt;"Vendor day rates"),$J335-0.4*$I335,0)</f>
        <v>0</v>
      </c>
      <c r="X335" s="24" t="n">
        <f aca="false">IF(OR($U335&lt;&gt;"Yes",$V335=""),0,$W335*MAX(0,7-MATCH($V335,MonthList,0))/12)</f>
        <v>0</v>
      </c>
      <c r="Y335" s="24" t="n">
        <f aca="false">IF(OR($U335&lt;&gt;"Yes",$V335=""),0,$W335*IF(MATCH($V335,MonthList,0)&lt;=7,12,19-MATCH($V335,MonthList,0))/12)</f>
        <v>0</v>
      </c>
    </row>
    <row r="336" customFormat="false" ht="15" hidden="false" customHeight="true" outlineLevel="0" collapsed="false">
      <c r="B336" s="18" t="s">
        <v>675</v>
      </c>
      <c r="C336" s="18" t="s">
        <v>676</v>
      </c>
      <c r="D336" s="18" t="s">
        <v>30</v>
      </c>
      <c r="E336" s="18" t="s">
        <v>433</v>
      </c>
      <c r="F336" s="19" t="s">
        <v>57</v>
      </c>
      <c r="G336" s="19" t="s">
        <v>58</v>
      </c>
      <c r="H336" s="19" t="n">
        <v>1</v>
      </c>
      <c r="I336" s="20" t="n">
        <v>0.1869</v>
      </c>
      <c r="J336" s="20" t="n">
        <v>0.1869</v>
      </c>
      <c r="K336" s="21" t="s">
        <v>59</v>
      </c>
      <c r="L336" s="21"/>
      <c r="M336" s="20" t="n">
        <f aca="false">IF(AND($K336="Yes",$G336&lt;&gt;"Vendor day rates"),$J336-0.4*$I336,0)</f>
        <v>0</v>
      </c>
      <c r="N336" s="20" t="n">
        <f aca="false">IF(OR($K336&lt;&gt;"Yes",$L336=""),0,$M336*MAX(0,7-MATCH($L336,MonthList,0))/12)</f>
        <v>0</v>
      </c>
      <c r="O336" s="20" t="n">
        <f aca="false">IF(OR($K336&lt;&gt;"Yes",$L336=""),0,$M336*IF(MATCH($L336,MonthList,0)&lt;=7,12,19-MATCH($L336,MonthList,0))/12)</f>
        <v>0</v>
      </c>
      <c r="P336" s="21" t="s">
        <v>59</v>
      </c>
      <c r="Q336" s="21"/>
      <c r="R336" s="20" t="n">
        <f aca="false">IF(AND($P336="Yes",$G336&lt;&gt;"Vendor day rates"),$J336-0.4*$I336,0)</f>
        <v>0</v>
      </c>
      <c r="S336" s="20" t="n">
        <f aca="false">IF(OR($P336&lt;&gt;"Yes",$Q336=""),0,$R336*MAX(0,7-MATCH($Q336,MonthList,0))/12)</f>
        <v>0</v>
      </c>
      <c r="T336" s="20" t="n">
        <f aca="false">IF(OR($P336&lt;&gt;"Yes",$Q336=""),0,$R336*IF(MATCH($Q336,MonthList,0)&lt;=7,12,19-MATCH($Q336,MonthList,0))/12)</f>
        <v>0</v>
      </c>
      <c r="U336" s="21" t="s">
        <v>59</v>
      </c>
      <c r="V336" s="21"/>
      <c r="W336" s="20" t="n">
        <f aca="false">IF(AND($U336="Yes",$G336&lt;&gt;"Vendor day rates"),$J336-0.4*$I336,0)</f>
        <v>0</v>
      </c>
      <c r="X336" s="20" t="n">
        <f aca="false">IF(OR($U336&lt;&gt;"Yes",$V336=""),0,$W336*MAX(0,7-MATCH($V336,MonthList,0))/12)</f>
        <v>0</v>
      </c>
      <c r="Y336" s="20" t="n">
        <f aca="false">IF(OR($U336&lt;&gt;"Yes",$V336=""),0,$W336*IF(MATCH($V336,MonthList,0)&lt;=7,12,19-MATCH($V336,MonthList,0))/12)</f>
        <v>0</v>
      </c>
    </row>
    <row r="337" customFormat="false" ht="15" hidden="false" customHeight="true" outlineLevel="0" collapsed="false">
      <c r="B337" s="22" t="s">
        <v>677</v>
      </c>
      <c r="C337" s="22" t="s">
        <v>678</v>
      </c>
      <c r="D337" s="22" t="s">
        <v>30</v>
      </c>
      <c r="E337" s="22" t="s">
        <v>440</v>
      </c>
      <c r="F337" s="23" t="s">
        <v>57</v>
      </c>
      <c r="G337" s="23" t="s">
        <v>58</v>
      </c>
      <c r="H337" s="23" t="n">
        <v>1</v>
      </c>
      <c r="I337" s="24" t="n">
        <v>0.2124</v>
      </c>
      <c r="J337" s="24" t="n">
        <v>0.2124</v>
      </c>
      <c r="K337" s="21" t="s">
        <v>59</v>
      </c>
      <c r="L337" s="21"/>
      <c r="M337" s="24" t="n">
        <f aca="false">IF(AND($K337="Yes",$G337&lt;&gt;"Vendor day rates"),$J337-0.4*$I337,0)</f>
        <v>0</v>
      </c>
      <c r="N337" s="24" t="n">
        <f aca="false">IF(OR($K337&lt;&gt;"Yes",$L337=""),0,$M337*MAX(0,7-MATCH($L337,MonthList,0))/12)</f>
        <v>0</v>
      </c>
      <c r="O337" s="24" t="n">
        <f aca="false">IF(OR($K337&lt;&gt;"Yes",$L337=""),0,$M337*IF(MATCH($L337,MonthList,0)&lt;=7,12,19-MATCH($L337,MonthList,0))/12)</f>
        <v>0</v>
      </c>
      <c r="P337" s="21" t="s">
        <v>59</v>
      </c>
      <c r="Q337" s="21"/>
      <c r="R337" s="24" t="n">
        <f aca="false">IF(AND($P337="Yes",$G337&lt;&gt;"Vendor day rates"),$J337-0.4*$I337,0)</f>
        <v>0</v>
      </c>
      <c r="S337" s="24" t="n">
        <f aca="false">IF(OR($P337&lt;&gt;"Yes",$Q337=""),0,$R337*MAX(0,7-MATCH($Q337,MonthList,0))/12)</f>
        <v>0</v>
      </c>
      <c r="T337" s="24" t="n">
        <f aca="false">IF(OR($P337&lt;&gt;"Yes",$Q337=""),0,$R337*IF(MATCH($Q337,MonthList,0)&lt;=7,12,19-MATCH($Q337,MonthList,0))/12)</f>
        <v>0</v>
      </c>
      <c r="U337" s="21" t="s">
        <v>59</v>
      </c>
      <c r="V337" s="21"/>
      <c r="W337" s="24" t="n">
        <f aca="false">IF(AND($U337="Yes",$G337&lt;&gt;"Vendor day rates"),$J337-0.4*$I337,0)</f>
        <v>0</v>
      </c>
      <c r="X337" s="24" t="n">
        <f aca="false">IF(OR($U337&lt;&gt;"Yes",$V337=""),0,$W337*MAX(0,7-MATCH($V337,MonthList,0))/12)</f>
        <v>0</v>
      </c>
      <c r="Y337" s="24" t="n">
        <f aca="false">IF(OR($U337&lt;&gt;"Yes",$V337=""),0,$W337*IF(MATCH($V337,MonthList,0)&lt;=7,12,19-MATCH($V337,MonthList,0))/12)</f>
        <v>0</v>
      </c>
    </row>
    <row r="338" customFormat="false" ht="15" hidden="false" customHeight="true" outlineLevel="0" collapsed="false">
      <c r="B338" s="18" t="s">
        <v>679</v>
      </c>
      <c r="C338" s="18" t="s">
        <v>680</v>
      </c>
      <c r="D338" s="18" t="s">
        <v>30</v>
      </c>
      <c r="E338" s="18" t="s">
        <v>440</v>
      </c>
      <c r="F338" s="19" t="s">
        <v>57</v>
      </c>
      <c r="G338" s="19" t="s">
        <v>292</v>
      </c>
      <c r="H338" s="19" t="n">
        <v>1</v>
      </c>
      <c r="I338" s="20" t="n">
        <v>0.2029</v>
      </c>
      <c r="J338" s="20" t="n">
        <v>0</v>
      </c>
      <c r="K338" s="21" t="s">
        <v>59</v>
      </c>
      <c r="L338" s="21"/>
      <c r="M338" s="20" t="n">
        <f aca="false">IF(AND($K338="Yes",$G338&lt;&gt;"Vendor day rates"),$J338-0.4*$I338,0)</f>
        <v>0</v>
      </c>
      <c r="N338" s="20" t="n">
        <f aca="false">IF(OR($K338&lt;&gt;"Yes",$L338=""),0,$M338*MAX(0,7-MATCH($L338,MonthList,0))/12)</f>
        <v>0</v>
      </c>
      <c r="O338" s="20" t="n">
        <f aca="false">IF(OR($K338&lt;&gt;"Yes",$L338=""),0,$M338*IF(MATCH($L338,MonthList,0)&lt;=7,12,19-MATCH($L338,MonthList,0))/12)</f>
        <v>0</v>
      </c>
      <c r="P338" s="21" t="s">
        <v>59</v>
      </c>
      <c r="Q338" s="21"/>
      <c r="R338" s="20" t="n">
        <f aca="false">IF(AND($P338="Yes",$G338&lt;&gt;"Vendor day rates"),$J338-0.4*$I338,0)</f>
        <v>0</v>
      </c>
      <c r="S338" s="20" t="n">
        <f aca="false">IF(OR($P338&lt;&gt;"Yes",$Q338=""),0,$R338*MAX(0,7-MATCH($Q338,MonthList,0))/12)</f>
        <v>0</v>
      </c>
      <c r="T338" s="20" t="n">
        <f aca="false">IF(OR($P338&lt;&gt;"Yes",$Q338=""),0,$R338*IF(MATCH($Q338,MonthList,0)&lt;=7,12,19-MATCH($Q338,MonthList,0))/12)</f>
        <v>0</v>
      </c>
      <c r="U338" s="21" t="s">
        <v>59</v>
      </c>
      <c r="V338" s="21"/>
      <c r="W338" s="20" t="n">
        <f aca="false">IF(AND($U338="Yes",$G338&lt;&gt;"Vendor day rates"),$J338-0.4*$I338,0)</f>
        <v>0</v>
      </c>
      <c r="X338" s="20" t="n">
        <f aca="false">IF(OR($U338&lt;&gt;"Yes",$V338=""),0,$W338*MAX(0,7-MATCH($V338,MonthList,0))/12)</f>
        <v>0</v>
      </c>
      <c r="Y338" s="20" t="n">
        <f aca="false">IF(OR($U338&lt;&gt;"Yes",$V338=""),0,$W338*IF(MATCH($V338,MonthList,0)&lt;=7,12,19-MATCH($V338,MonthList,0))/12)</f>
        <v>0</v>
      </c>
    </row>
    <row r="339" customFormat="false" ht="15" hidden="false" customHeight="true" outlineLevel="0" collapsed="false">
      <c r="B339" s="22" t="s">
        <v>681</v>
      </c>
      <c r="C339" s="22" t="s">
        <v>88</v>
      </c>
      <c r="D339" s="22" t="s">
        <v>23</v>
      </c>
      <c r="E339" s="22" t="s">
        <v>400</v>
      </c>
      <c r="F339" s="23" t="s">
        <v>57</v>
      </c>
      <c r="G339" s="23" t="s">
        <v>58</v>
      </c>
      <c r="H339" s="23" t="n">
        <v>1</v>
      </c>
      <c r="I339" s="24" t="n">
        <v>0.2224</v>
      </c>
      <c r="J339" s="24" t="n">
        <v>0.2224</v>
      </c>
      <c r="K339" s="21" t="s">
        <v>59</v>
      </c>
      <c r="L339" s="21"/>
      <c r="M339" s="24" t="n">
        <f aca="false">IF(AND($K339="Yes",$G339&lt;&gt;"Vendor day rates"),$J339-0.4*$I339,0)</f>
        <v>0</v>
      </c>
      <c r="N339" s="24" t="n">
        <f aca="false">IF(OR($K339&lt;&gt;"Yes",$L339=""),0,$M339*MAX(0,7-MATCH($L339,MonthList,0))/12)</f>
        <v>0</v>
      </c>
      <c r="O339" s="24" t="n">
        <f aca="false">IF(OR($K339&lt;&gt;"Yes",$L339=""),0,$M339*IF(MATCH($L339,MonthList,0)&lt;=7,12,19-MATCH($L339,MonthList,0))/12)</f>
        <v>0</v>
      </c>
      <c r="P339" s="21" t="s">
        <v>59</v>
      </c>
      <c r="Q339" s="21"/>
      <c r="R339" s="24" t="n">
        <f aca="false">IF(AND($P339="Yes",$G339&lt;&gt;"Vendor day rates"),$J339-0.4*$I339,0)</f>
        <v>0</v>
      </c>
      <c r="S339" s="24" t="n">
        <f aca="false">IF(OR($P339&lt;&gt;"Yes",$Q339=""),0,$R339*MAX(0,7-MATCH($Q339,MonthList,0))/12)</f>
        <v>0</v>
      </c>
      <c r="T339" s="24" t="n">
        <f aca="false">IF(OR($P339&lt;&gt;"Yes",$Q339=""),0,$R339*IF(MATCH($Q339,MonthList,0)&lt;=7,12,19-MATCH($Q339,MonthList,0))/12)</f>
        <v>0</v>
      </c>
      <c r="U339" s="21" t="s">
        <v>59</v>
      </c>
      <c r="V339" s="21"/>
      <c r="W339" s="24" t="n">
        <f aca="false">IF(AND($U339="Yes",$G339&lt;&gt;"Vendor day rates"),$J339-0.4*$I339,0)</f>
        <v>0</v>
      </c>
      <c r="X339" s="24" t="n">
        <f aca="false">IF(OR($U339&lt;&gt;"Yes",$V339=""),0,$W339*MAX(0,7-MATCH($V339,MonthList,0))/12)</f>
        <v>0</v>
      </c>
      <c r="Y339" s="24" t="n">
        <f aca="false">IF(OR($U339&lt;&gt;"Yes",$V339=""),0,$W339*IF(MATCH($V339,MonthList,0)&lt;=7,12,19-MATCH($V339,MonthList,0))/12)</f>
        <v>0</v>
      </c>
    </row>
    <row r="340" customFormat="false" ht="15" hidden="false" customHeight="true" outlineLevel="0" collapsed="false">
      <c r="B340" s="18" t="s">
        <v>682</v>
      </c>
      <c r="C340" s="18" t="s">
        <v>683</v>
      </c>
      <c r="D340" s="18" t="s">
        <v>23</v>
      </c>
      <c r="E340" s="18" t="s">
        <v>400</v>
      </c>
      <c r="F340" s="19" t="s">
        <v>57</v>
      </c>
      <c r="G340" s="19" t="s">
        <v>292</v>
      </c>
      <c r="H340" s="19" t="n">
        <v>1</v>
      </c>
      <c r="I340" s="20" t="n">
        <v>0.2029</v>
      </c>
      <c r="J340" s="20" t="n">
        <v>0</v>
      </c>
      <c r="K340" s="21" t="s">
        <v>59</v>
      </c>
      <c r="L340" s="21"/>
      <c r="M340" s="20" t="n">
        <f aca="false">IF(AND($K340="Yes",$G340&lt;&gt;"Vendor day rates"),$J340-0.4*$I340,0)</f>
        <v>0</v>
      </c>
      <c r="N340" s="20" t="n">
        <f aca="false">IF(OR($K340&lt;&gt;"Yes",$L340=""),0,$M340*MAX(0,7-MATCH($L340,MonthList,0))/12)</f>
        <v>0</v>
      </c>
      <c r="O340" s="20" t="n">
        <f aca="false">IF(OR($K340&lt;&gt;"Yes",$L340=""),0,$M340*IF(MATCH($L340,MonthList,0)&lt;=7,12,19-MATCH($L340,MonthList,0))/12)</f>
        <v>0</v>
      </c>
      <c r="P340" s="21" t="s">
        <v>59</v>
      </c>
      <c r="Q340" s="21"/>
      <c r="R340" s="20" t="n">
        <f aca="false">IF(AND($P340="Yes",$G340&lt;&gt;"Vendor day rates"),$J340-0.4*$I340,0)</f>
        <v>0</v>
      </c>
      <c r="S340" s="20" t="n">
        <f aca="false">IF(OR($P340&lt;&gt;"Yes",$Q340=""),0,$R340*MAX(0,7-MATCH($Q340,MonthList,0))/12)</f>
        <v>0</v>
      </c>
      <c r="T340" s="20" t="n">
        <f aca="false">IF(OR($P340&lt;&gt;"Yes",$Q340=""),0,$R340*IF(MATCH($Q340,MonthList,0)&lt;=7,12,19-MATCH($Q340,MonthList,0))/12)</f>
        <v>0</v>
      </c>
      <c r="U340" s="21" t="s">
        <v>59</v>
      </c>
      <c r="V340" s="21"/>
      <c r="W340" s="20" t="n">
        <f aca="false">IF(AND($U340="Yes",$G340&lt;&gt;"Vendor day rates"),$J340-0.4*$I340,0)</f>
        <v>0</v>
      </c>
      <c r="X340" s="20" t="n">
        <f aca="false">IF(OR($U340&lt;&gt;"Yes",$V340=""),0,$W340*MAX(0,7-MATCH($V340,MonthList,0))/12)</f>
        <v>0</v>
      </c>
      <c r="Y340" s="20" t="n">
        <f aca="false">IF(OR($U340&lt;&gt;"Yes",$V340=""),0,$W340*IF(MATCH($V340,MonthList,0)&lt;=7,12,19-MATCH($V340,MonthList,0))/12)</f>
        <v>0</v>
      </c>
    </row>
    <row r="341" customFormat="false" ht="15" hidden="false" customHeight="true" outlineLevel="0" collapsed="false">
      <c r="B341" s="22" t="s">
        <v>684</v>
      </c>
      <c r="C341" s="22" t="s">
        <v>88</v>
      </c>
      <c r="D341" s="22" t="s">
        <v>23</v>
      </c>
      <c r="E341" s="22" t="s">
        <v>400</v>
      </c>
      <c r="F341" s="23" t="s">
        <v>57</v>
      </c>
      <c r="G341" s="23" t="s">
        <v>58</v>
      </c>
      <c r="H341" s="23" t="n">
        <v>1</v>
      </c>
      <c r="I341" s="24" t="n">
        <v>0.1796</v>
      </c>
      <c r="J341" s="24" t="n">
        <v>0.1796</v>
      </c>
      <c r="K341" s="21" t="s">
        <v>59</v>
      </c>
      <c r="L341" s="21"/>
      <c r="M341" s="24" t="n">
        <f aca="false">IF(AND($K341="Yes",$G341&lt;&gt;"Vendor day rates"),$J341-0.4*$I341,0)</f>
        <v>0</v>
      </c>
      <c r="N341" s="24" t="n">
        <f aca="false">IF(OR($K341&lt;&gt;"Yes",$L341=""),0,$M341*MAX(0,7-MATCH($L341,MonthList,0))/12)</f>
        <v>0</v>
      </c>
      <c r="O341" s="24" t="n">
        <f aca="false">IF(OR($K341&lt;&gt;"Yes",$L341=""),0,$M341*IF(MATCH($L341,MonthList,0)&lt;=7,12,19-MATCH($L341,MonthList,0))/12)</f>
        <v>0</v>
      </c>
      <c r="P341" s="21" t="s">
        <v>59</v>
      </c>
      <c r="Q341" s="21"/>
      <c r="R341" s="24" t="n">
        <f aca="false">IF(AND($P341="Yes",$G341&lt;&gt;"Vendor day rates"),$J341-0.4*$I341,0)</f>
        <v>0</v>
      </c>
      <c r="S341" s="24" t="n">
        <f aca="false">IF(OR($P341&lt;&gt;"Yes",$Q341=""),0,$R341*MAX(0,7-MATCH($Q341,MonthList,0))/12)</f>
        <v>0</v>
      </c>
      <c r="T341" s="24" t="n">
        <f aca="false">IF(OR($P341&lt;&gt;"Yes",$Q341=""),0,$R341*IF(MATCH($Q341,MonthList,0)&lt;=7,12,19-MATCH($Q341,MonthList,0))/12)</f>
        <v>0</v>
      </c>
      <c r="U341" s="21" t="s">
        <v>59</v>
      </c>
      <c r="V341" s="21"/>
      <c r="W341" s="24" t="n">
        <f aca="false">IF(AND($U341="Yes",$G341&lt;&gt;"Vendor day rates"),$J341-0.4*$I341,0)</f>
        <v>0</v>
      </c>
      <c r="X341" s="24" t="n">
        <f aca="false">IF(OR($U341&lt;&gt;"Yes",$V341=""),0,$W341*MAX(0,7-MATCH($V341,MonthList,0))/12)</f>
        <v>0</v>
      </c>
      <c r="Y341" s="24" t="n">
        <f aca="false">IF(OR($U341&lt;&gt;"Yes",$V341=""),0,$W341*IF(MATCH($V341,MonthList,0)&lt;=7,12,19-MATCH($V341,MonthList,0))/12)</f>
        <v>0</v>
      </c>
    </row>
    <row r="342" customFormat="false" ht="15" hidden="false" customHeight="true" outlineLevel="0" collapsed="false">
      <c r="B342" s="18" t="s">
        <v>685</v>
      </c>
      <c r="C342" s="18" t="s">
        <v>61</v>
      </c>
      <c r="D342" s="18" t="s">
        <v>25</v>
      </c>
      <c r="E342" s="18" t="s">
        <v>227</v>
      </c>
      <c r="F342" s="19" t="s">
        <v>57</v>
      </c>
      <c r="G342" s="19" t="s">
        <v>58</v>
      </c>
      <c r="H342" s="19" t="n">
        <v>1</v>
      </c>
      <c r="I342" s="20" t="n">
        <v>0.2218</v>
      </c>
      <c r="J342" s="20" t="n">
        <v>0.2218</v>
      </c>
      <c r="K342" s="21" t="s">
        <v>59</v>
      </c>
      <c r="L342" s="21"/>
      <c r="M342" s="20" t="n">
        <f aca="false">IF(AND($K342="Yes",$G342&lt;&gt;"Vendor day rates"),$J342-0.4*$I342,0)</f>
        <v>0</v>
      </c>
      <c r="N342" s="20" t="n">
        <f aca="false">IF(OR($K342&lt;&gt;"Yes",$L342=""),0,$M342*MAX(0,7-MATCH($L342,MonthList,0))/12)</f>
        <v>0</v>
      </c>
      <c r="O342" s="20" t="n">
        <f aca="false">IF(OR($K342&lt;&gt;"Yes",$L342=""),0,$M342*IF(MATCH($L342,MonthList,0)&lt;=7,12,19-MATCH($L342,MonthList,0))/12)</f>
        <v>0</v>
      </c>
      <c r="P342" s="21" t="s">
        <v>59</v>
      </c>
      <c r="Q342" s="21"/>
      <c r="R342" s="20" t="n">
        <f aca="false">IF(AND($P342="Yes",$G342&lt;&gt;"Vendor day rates"),$J342-0.4*$I342,0)</f>
        <v>0</v>
      </c>
      <c r="S342" s="20" t="n">
        <f aca="false">IF(OR($P342&lt;&gt;"Yes",$Q342=""),0,$R342*MAX(0,7-MATCH($Q342,MonthList,0))/12)</f>
        <v>0</v>
      </c>
      <c r="T342" s="20" t="n">
        <f aca="false">IF(OR($P342&lt;&gt;"Yes",$Q342=""),0,$R342*IF(MATCH($Q342,MonthList,0)&lt;=7,12,19-MATCH($Q342,MonthList,0))/12)</f>
        <v>0</v>
      </c>
      <c r="U342" s="21" t="s">
        <v>59</v>
      </c>
      <c r="V342" s="21"/>
      <c r="W342" s="20" t="n">
        <f aca="false">IF(AND($U342="Yes",$G342&lt;&gt;"Vendor day rates"),$J342-0.4*$I342,0)</f>
        <v>0</v>
      </c>
      <c r="X342" s="20" t="n">
        <f aca="false">IF(OR($U342&lt;&gt;"Yes",$V342=""),0,$W342*MAX(0,7-MATCH($V342,MonthList,0))/12)</f>
        <v>0</v>
      </c>
      <c r="Y342" s="20" t="n">
        <f aca="false">IF(OR($U342&lt;&gt;"Yes",$V342=""),0,$W342*IF(MATCH($V342,MonthList,0)&lt;=7,12,19-MATCH($V342,MonthList,0))/12)</f>
        <v>0</v>
      </c>
    </row>
    <row r="343" customFormat="false" ht="15" hidden="false" customHeight="true" outlineLevel="0" collapsed="false">
      <c r="B343" s="22" t="s">
        <v>686</v>
      </c>
      <c r="C343" s="22" t="s">
        <v>61</v>
      </c>
      <c r="D343" s="22" t="s">
        <v>25</v>
      </c>
      <c r="E343" s="22" t="s">
        <v>418</v>
      </c>
      <c r="F343" s="23" t="s">
        <v>57</v>
      </c>
      <c r="G343" s="23" t="s">
        <v>58</v>
      </c>
      <c r="H343" s="23" t="n">
        <v>1</v>
      </c>
      <c r="I343" s="24" t="n">
        <v>0.2333</v>
      </c>
      <c r="J343" s="24" t="n">
        <v>0.2333</v>
      </c>
      <c r="K343" s="21" t="s">
        <v>59</v>
      </c>
      <c r="L343" s="21"/>
      <c r="M343" s="24" t="n">
        <f aca="false">IF(AND($K343="Yes",$G343&lt;&gt;"Vendor day rates"),$J343-0.4*$I343,0)</f>
        <v>0</v>
      </c>
      <c r="N343" s="24" t="n">
        <f aca="false">IF(OR($K343&lt;&gt;"Yes",$L343=""),0,$M343*MAX(0,7-MATCH($L343,MonthList,0))/12)</f>
        <v>0</v>
      </c>
      <c r="O343" s="24" t="n">
        <f aca="false">IF(OR($K343&lt;&gt;"Yes",$L343=""),0,$M343*IF(MATCH($L343,MonthList,0)&lt;=7,12,19-MATCH($L343,MonthList,0))/12)</f>
        <v>0</v>
      </c>
      <c r="P343" s="21" t="s">
        <v>59</v>
      </c>
      <c r="Q343" s="21"/>
      <c r="R343" s="24" t="n">
        <f aca="false">IF(AND($P343="Yes",$G343&lt;&gt;"Vendor day rates"),$J343-0.4*$I343,0)</f>
        <v>0</v>
      </c>
      <c r="S343" s="24" t="n">
        <f aca="false">IF(OR($P343&lt;&gt;"Yes",$Q343=""),0,$R343*MAX(0,7-MATCH($Q343,MonthList,0))/12)</f>
        <v>0</v>
      </c>
      <c r="T343" s="24" t="n">
        <f aca="false">IF(OR($P343&lt;&gt;"Yes",$Q343=""),0,$R343*IF(MATCH($Q343,MonthList,0)&lt;=7,12,19-MATCH($Q343,MonthList,0))/12)</f>
        <v>0</v>
      </c>
      <c r="U343" s="21" t="s">
        <v>59</v>
      </c>
      <c r="V343" s="21"/>
      <c r="W343" s="24" t="n">
        <f aca="false">IF(AND($U343="Yes",$G343&lt;&gt;"Vendor day rates"),$J343-0.4*$I343,0)</f>
        <v>0</v>
      </c>
      <c r="X343" s="24" t="n">
        <f aca="false">IF(OR($U343&lt;&gt;"Yes",$V343=""),0,$W343*MAX(0,7-MATCH($V343,MonthList,0))/12)</f>
        <v>0</v>
      </c>
      <c r="Y343" s="24" t="n">
        <f aca="false">IF(OR($U343&lt;&gt;"Yes",$V343=""),0,$W343*IF(MATCH($V343,MonthList,0)&lt;=7,12,19-MATCH($V343,MonthList,0))/12)</f>
        <v>0</v>
      </c>
    </row>
    <row r="344" customFormat="false" ht="15" hidden="false" customHeight="true" outlineLevel="0" collapsed="false">
      <c r="B344" s="18" t="s">
        <v>687</v>
      </c>
      <c r="C344" s="18" t="s">
        <v>138</v>
      </c>
      <c r="D344" s="18" t="s">
        <v>25</v>
      </c>
      <c r="E344" s="18" t="s">
        <v>418</v>
      </c>
      <c r="F344" s="19" t="s">
        <v>57</v>
      </c>
      <c r="G344" s="19" t="s">
        <v>292</v>
      </c>
      <c r="H344" s="19" t="n">
        <v>1</v>
      </c>
      <c r="I344" s="20" t="n">
        <v>0.2029</v>
      </c>
      <c r="J344" s="20" t="n">
        <v>0</v>
      </c>
      <c r="K344" s="21" t="s">
        <v>59</v>
      </c>
      <c r="L344" s="21"/>
      <c r="M344" s="20" t="n">
        <f aca="false">IF(AND($K344="Yes",$G344&lt;&gt;"Vendor day rates"),$J344-0.4*$I344,0)</f>
        <v>0</v>
      </c>
      <c r="N344" s="20" t="n">
        <f aca="false">IF(OR($K344&lt;&gt;"Yes",$L344=""),0,$M344*MAX(0,7-MATCH($L344,MonthList,0))/12)</f>
        <v>0</v>
      </c>
      <c r="O344" s="20" t="n">
        <f aca="false">IF(OR($K344&lt;&gt;"Yes",$L344=""),0,$M344*IF(MATCH($L344,MonthList,0)&lt;=7,12,19-MATCH($L344,MonthList,0))/12)</f>
        <v>0</v>
      </c>
      <c r="P344" s="21" t="s">
        <v>59</v>
      </c>
      <c r="Q344" s="21"/>
      <c r="R344" s="20" t="n">
        <f aca="false">IF(AND($P344="Yes",$G344&lt;&gt;"Vendor day rates"),$J344-0.4*$I344,0)</f>
        <v>0</v>
      </c>
      <c r="S344" s="20" t="n">
        <f aca="false">IF(OR($P344&lt;&gt;"Yes",$Q344=""),0,$R344*MAX(0,7-MATCH($Q344,MonthList,0))/12)</f>
        <v>0</v>
      </c>
      <c r="T344" s="20" t="n">
        <f aca="false">IF(OR($P344&lt;&gt;"Yes",$Q344=""),0,$R344*IF(MATCH($Q344,MonthList,0)&lt;=7,12,19-MATCH($Q344,MonthList,0))/12)</f>
        <v>0</v>
      </c>
      <c r="U344" s="21" t="s">
        <v>59</v>
      </c>
      <c r="V344" s="21"/>
      <c r="W344" s="20" t="n">
        <f aca="false">IF(AND($U344="Yes",$G344&lt;&gt;"Vendor day rates"),$J344-0.4*$I344,0)</f>
        <v>0</v>
      </c>
      <c r="X344" s="20" t="n">
        <f aca="false">IF(OR($U344&lt;&gt;"Yes",$V344=""),0,$W344*MAX(0,7-MATCH($V344,MonthList,0))/12)</f>
        <v>0</v>
      </c>
      <c r="Y344" s="20" t="n">
        <f aca="false">IF(OR($U344&lt;&gt;"Yes",$V344=""),0,$W344*IF(MATCH($V344,MonthList,0)&lt;=7,12,19-MATCH($V344,MonthList,0))/12)</f>
        <v>0</v>
      </c>
    </row>
    <row r="345" customFormat="false" ht="15" hidden="false" customHeight="true" outlineLevel="0" collapsed="false">
      <c r="B345" s="22" t="s">
        <v>688</v>
      </c>
      <c r="C345" s="22" t="s">
        <v>661</v>
      </c>
      <c r="D345" s="22" t="s">
        <v>23</v>
      </c>
      <c r="E345" s="22" t="s">
        <v>253</v>
      </c>
      <c r="F345" s="23" t="s">
        <v>57</v>
      </c>
      <c r="G345" s="23" t="s">
        <v>292</v>
      </c>
      <c r="H345" s="23" t="n">
        <v>1</v>
      </c>
      <c r="I345" s="24" t="n">
        <v>0.2029</v>
      </c>
      <c r="J345" s="24" t="n">
        <v>0</v>
      </c>
      <c r="K345" s="21" t="s">
        <v>59</v>
      </c>
      <c r="L345" s="21"/>
      <c r="M345" s="24" t="n">
        <f aca="false">IF(AND($K345="Yes",$G345&lt;&gt;"Vendor day rates"),$J345-0.4*$I345,0)</f>
        <v>0</v>
      </c>
      <c r="N345" s="24" t="n">
        <f aca="false">IF(OR($K345&lt;&gt;"Yes",$L345=""),0,$M345*MAX(0,7-MATCH($L345,MonthList,0))/12)</f>
        <v>0</v>
      </c>
      <c r="O345" s="24" t="n">
        <f aca="false">IF(OR($K345&lt;&gt;"Yes",$L345=""),0,$M345*IF(MATCH($L345,MonthList,0)&lt;=7,12,19-MATCH($L345,MonthList,0))/12)</f>
        <v>0</v>
      </c>
      <c r="P345" s="21" t="s">
        <v>59</v>
      </c>
      <c r="Q345" s="21"/>
      <c r="R345" s="24" t="n">
        <f aca="false">IF(AND($P345="Yes",$G345&lt;&gt;"Vendor day rates"),$J345-0.4*$I345,0)</f>
        <v>0</v>
      </c>
      <c r="S345" s="24" t="n">
        <f aca="false">IF(OR($P345&lt;&gt;"Yes",$Q345=""),0,$R345*MAX(0,7-MATCH($Q345,MonthList,0))/12)</f>
        <v>0</v>
      </c>
      <c r="T345" s="24" t="n">
        <f aca="false">IF(OR($P345&lt;&gt;"Yes",$Q345=""),0,$R345*IF(MATCH($Q345,MonthList,0)&lt;=7,12,19-MATCH($Q345,MonthList,0))/12)</f>
        <v>0</v>
      </c>
      <c r="U345" s="21" t="s">
        <v>59</v>
      </c>
      <c r="V345" s="21"/>
      <c r="W345" s="24" t="n">
        <f aca="false">IF(AND($U345="Yes",$G345&lt;&gt;"Vendor day rates"),$J345-0.4*$I345,0)</f>
        <v>0</v>
      </c>
      <c r="X345" s="24" t="n">
        <f aca="false">IF(OR($U345&lt;&gt;"Yes",$V345=""),0,$W345*MAX(0,7-MATCH($V345,MonthList,0))/12)</f>
        <v>0</v>
      </c>
      <c r="Y345" s="24" t="n">
        <f aca="false">IF(OR($U345&lt;&gt;"Yes",$V345=""),0,$W345*IF(MATCH($V345,MonthList,0)&lt;=7,12,19-MATCH($V345,MonthList,0))/12)</f>
        <v>0</v>
      </c>
    </row>
    <row r="346" customFormat="false" ht="15" hidden="false" customHeight="true" outlineLevel="0" collapsed="false">
      <c r="B346" s="18" t="s">
        <v>689</v>
      </c>
      <c r="C346" s="18" t="s">
        <v>690</v>
      </c>
      <c r="D346" s="18" t="s">
        <v>26</v>
      </c>
      <c r="E346" s="18" t="s">
        <v>191</v>
      </c>
      <c r="F346" s="19" t="s">
        <v>57</v>
      </c>
      <c r="G346" s="19" t="s">
        <v>462</v>
      </c>
      <c r="H346" s="19" t="n">
        <v>1</v>
      </c>
      <c r="I346" s="20" t="n">
        <v>0.2029</v>
      </c>
      <c r="J346" s="20" t="n">
        <v>0.0811</v>
      </c>
      <c r="K346" s="21" t="s">
        <v>59</v>
      </c>
      <c r="L346" s="21"/>
      <c r="M346" s="20" t="n">
        <f aca="false">IF(AND($K346="Yes",$G346&lt;&gt;"Vendor day rates"),$J346-0.4*$I346,0)</f>
        <v>0</v>
      </c>
      <c r="N346" s="20" t="n">
        <f aca="false">IF(OR($K346&lt;&gt;"Yes",$L346=""),0,$M346*MAX(0,7-MATCH($L346,MonthList,0))/12)</f>
        <v>0</v>
      </c>
      <c r="O346" s="20" t="n">
        <f aca="false">IF(OR($K346&lt;&gt;"Yes",$L346=""),0,$M346*IF(MATCH($L346,MonthList,0)&lt;=7,12,19-MATCH($L346,MonthList,0))/12)</f>
        <v>0</v>
      </c>
      <c r="P346" s="21" t="s">
        <v>59</v>
      </c>
      <c r="Q346" s="21"/>
      <c r="R346" s="20" t="n">
        <f aca="false">IF(AND($P346="Yes",$G346&lt;&gt;"Vendor day rates"),$J346-0.4*$I346,0)</f>
        <v>0</v>
      </c>
      <c r="S346" s="20" t="n">
        <f aca="false">IF(OR($P346&lt;&gt;"Yes",$Q346=""),0,$R346*MAX(0,7-MATCH($Q346,MonthList,0))/12)</f>
        <v>0</v>
      </c>
      <c r="T346" s="20" t="n">
        <f aca="false">IF(OR($P346&lt;&gt;"Yes",$Q346=""),0,$R346*IF(MATCH($Q346,MonthList,0)&lt;=7,12,19-MATCH($Q346,MonthList,0))/12)</f>
        <v>0</v>
      </c>
      <c r="U346" s="21" t="s">
        <v>59</v>
      </c>
      <c r="V346" s="21"/>
      <c r="W346" s="20" t="n">
        <f aca="false">IF(AND($U346="Yes",$G346&lt;&gt;"Vendor day rates"),$J346-0.4*$I346,0)</f>
        <v>0</v>
      </c>
      <c r="X346" s="20" t="n">
        <f aca="false">IF(OR($U346&lt;&gt;"Yes",$V346=""),0,$W346*MAX(0,7-MATCH($V346,MonthList,0))/12)</f>
        <v>0</v>
      </c>
      <c r="Y346" s="20" t="n">
        <f aca="false">IF(OR($U346&lt;&gt;"Yes",$V346=""),0,$W346*IF(MATCH($V346,MonthList,0)&lt;=7,12,19-MATCH($V346,MonthList,0))/12)</f>
        <v>0</v>
      </c>
    </row>
    <row r="347" customFormat="false" ht="15" hidden="false" customHeight="true" outlineLevel="0" collapsed="false">
      <c r="B347" s="22" t="s">
        <v>691</v>
      </c>
      <c r="C347" s="22" t="s">
        <v>692</v>
      </c>
      <c r="D347" s="22" t="s">
        <v>23</v>
      </c>
      <c r="E347" s="22" t="s">
        <v>405</v>
      </c>
      <c r="F347" s="23" t="s">
        <v>57</v>
      </c>
      <c r="G347" s="23" t="s">
        <v>58</v>
      </c>
      <c r="H347" s="23" t="n">
        <v>1</v>
      </c>
      <c r="I347" s="24" t="n">
        <v>0.2403</v>
      </c>
      <c r="J347" s="24" t="n">
        <v>0.2403</v>
      </c>
      <c r="K347" s="21" t="s">
        <v>59</v>
      </c>
      <c r="L347" s="21"/>
      <c r="M347" s="24" t="n">
        <f aca="false">IF(AND($K347="Yes",$G347&lt;&gt;"Vendor day rates"),$J347-0.4*$I347,0)</f>
        <v>0</v>
      </c>
      <c r="N347" s="24" t="n">
        <f aca="false">IF(OR($K347&lt;&gt;"Yes",$L347=""),0,$M347*MAX(0,7-MATCH($L347,MonthList,0))/12)</f>
        <v>0</v>
      </c>
      <c r="O347" s="24" t="n">
        <f aca="false">IF(OR($K347&lt;&gt;"Yes",$L347=""),0,$M347*IF(MATCH($L347,MonthList,0)&lt;=7,12,19-MATCH($L347,MonthList,0))/12)</f>
        <v>0</v>
      </c>
      <c r="P347" s="21" t="s">
        <v>59</v>
      </c>
      <c r="Q347" s="21"/>
      <c r="R347" s="24" t="n">
        <f aca="false">IF(AND($P347="Yes",$G347&lt;&gt;"Vendor day rates"),$J347-0.4*$I347,0)</f>
        <v>0</v>
      </c>
      <c r="S347" s="24" t="n">
        <f aca="false">IF(OR($P347&lt;&gt;"Yes",$Q347=""),0,$R347*MAX(0,7-MATCH($Q347,MonthList,0))/12)</f>
        <v>0</v>
      </c>
      <c r="T347" s="24" t="n">
        <f aca="false">IF(OR($P347&lt;&gt;"Yes",$Q347=""),0,$R347*IF(MATCH($Q347,MonthList,0)&lt;=7,12,19-MATCH($Q347,MonthList,0))/12)</f>
        <v>0</v>
      </c>
      <c r="U347" s="21" t="s">
        <v>59</v>
      </c>
      <c r="V347" s="21"/>
      <c r="W347" s="24" t="n">
        <f aca="false">IF(AND($U347="Yes",$G347&lt;&gt;"Vendor day rates"),$J347-0.4*$I347,0)</f>
        <v>0</v>
      </c>
      <c r="X347" s="24" t="n">
        <f aca="false">IF(OR($U347&lt;&gt;"Yes",$V347=""),0,$W347*MAX(0,7-MATCH($V347,MonthList,0))/12)</f>
        <v>0</v>
      </c>
      <c r="Y347" s="24" t="n">
        <f aca="false">IF(OR($U347&lt;&gt;"Yes",$V347=""),0,$W347*IF(MATCH($V347,MonthList,0)&lt;=7,12,19-MATCH($V347,MonthList,0))/12)</f>
        <v>0</v>
      </c>
    </row>
    <row r="348" customFormat="false" ht="15" hidden="false" customHeight="true" outlineLevel="0" collapsed="false">
      <c r="B348" s="18" t="s">
        <v>693</v>
      </c>
      <c r="C348" s="18" t="s">
        <v>694</v>
      </c>
      <c r="D348" s="18" t="s">
        <v>23</v>
      </c>
      <c r="E348" s="18" t="s">
        <v>405</v>
      </c>
      <c r="F348" s="19" t="s">
        <v>57</v>
      </c>
      <c r="G348" s="19" t="s">
        <v>58</v>
      </c>
      <c r="H348" s="19" t="n">
        <v>1</v>
      </c>
      <c r="I348" s="20" t="n">
        <v>0.2378</v>
      </c>
      <c r="J348" s="20" t="n">
        <v>0.2378</v>
      </c>
      <c r="K348" s="21" t="s">
        <v>59</v>
      </c>
      <c r="L348" s="21"/>
      <c r="M348" s="20" t="n">
        <f aca="false">IF(AND($K348="Yes",$G348&lt;&gt;"Vendor day rates"),$J348-0.4*$I348,0)</f>
        <v>0</v>
      </c>
      <c r="N348" s="20" t="n">
        <f aca="false">IF(OR($K348&lt;&gt;"Yes",$L348=""),0,$M348*MAX(0,7-MATCH($L348,MonthList,0))/12)</f>
        <v>0</v>
      </c>
      <c r="O348" s="20" t="n">
        <f aca="false">IF(OR($K348&lt;&gt;"Yes",$L348=""),0,$M348*IF(MATCH($L348,MonthList,0)&lt;=7,12,19-MATCH($L348,MonthList,0))/12)</f>
        <v>0</v>
      </c>
      <c r="P348" s="21" t="s">
        <v>59</v>
      </c>
      <c r="Q348" s="21"/>
      <c r="R348" s="20" t="n">
        <f aca="false">IF(AND($P348="Yes",$G348&lt;&gt;"Vendor day rates"),$J348-0.4*$I348,0)</f>
        <v>0</v>
      </c>
      <c r="S348" s="20" t="n">
        <f aca="false">IF(OR($P348&lt;&gt;"Yes",$Q348=""),0,$R348*MAX(0,7-MATCH($Q348,MonthList,0))/12)</f>
        <v>0</v>
      </c>
      <c r="T348" s="20" t="n">
        <f aca="false">IF(OR($P348&lt;&gt;"Yes",$Q348=""),0,$R348*IF(MATCH($Q348,MonthList,0)&lt;=7,12,19-MATCH($Q348,MonthList,0))/12)</f>
        <v>0</v>
      </c>
      <c r="U348" s="21" t="s">
        <v>59</v>
      </c>
      <c r="V348" s="21"/>
      <c r="W348" s="20" t="n">
        <f aca="false">IF(AND($U348="Yes",$G348&lt;&gt;"Vendor day rates"),$J348-0.4*$I348,0)</f>
        <v>0</v>
      </c>
      <c r="X348" s="20" t="n">
        <f aca="false">IF(OR($U348&lt;&gt;"Yes",$V348=""),0,$W348*MAX(0,7-MATCH($V348,MonthList,0))/12)</f>
        <v>0</v>
      </c>
      <c r="Y348" s="20" t="n">
        <f aca="false">IF(OR($U348&lt;&gt;"Yes",$V348=""),0,$W348*IF(MATCH($V348,MonthList,0)&lt;=7,12,19-MATCH($V348,MonthList,0))/12)</f>
        <v>0</v>
      </c>
    </row>
    <row r="349" customFormat="false" ht="15" hidden="false" customHeight="true" outlineLevel="0" collapsed="false">
      <c r="B349" s="22" t="s">
        <v>695</v>
      </c>
      <c r="C349" s="22" t="s">
        <v>694</v>
      </c>
      <c r="D349" s="22" t="s">
        <v>23</v>
      </c>
      <c r="E349" s="22" t="s">
        <v>405</v>
      </c>
      <c r="F349" s="23" t="s">
        <v>57</v>
      </c>
      <c r="G349" s="23" t="s">
        <v>58</v>
      </c>
      <c r="H349" s="23" t="n">
        <v>1</v>
      </c>
      <c r="I349" s="24" t="n">
        <v>0.243</v>
      </c>
      <c r="J349" s="24" t="n">
        <v>0.243</v>
      </c>
      <c r="K349" s="21" t="s">
        <v>59</v>
      </c>
      <c r="L349" s="21"/>
      <c r="M349" s="24" t="n">
        <f aca="false">IF(AND($K349="Yes",$G349&lt;&gt;"Vendor day rates"),$J349-0.4*$I349,0)</f>
        <v>0</v>
      </c>
      <c r="N349" s="24" t="n">
        <f aca="false">IF(OR($K349&lt;&gt;"Yes",$L349=""),0,$M349*MAX(0,7-MATCH($L349,MonthList,0))/12)</f>
        <v>0</v>
      </c>
      <c r="O349" s="24" t="n">
        <f aca="false">IF(OR($K349&lt;&gt;"Yes",$L349=""),0,$M349*IF(MATCH($L349,MonthList,0)&lt;=7,12,19-MATCH($L349,MonthList,0))/12)</f>
        <v>0</v>
      </c>
      <c r="P349" s="21" t="s">
        <v>59</v>
      </c>
      <c r="Q349" s="21"/>
      <c r="R349" s="24" t="n">
        <f aca="false">IF(AND($P349="Yes",$G349&lt;&gt;"Vendor day rates"),$J349-0.4*$I349,0)</f>
        <v>0</v>
      </c>
      <c r="S349" s="24" t="n">
        <f aca="false">IF(OR($P349&lt;&gt;"Yes",$Q349=""),0,$R349*MAX(0,7-MATCH($Q349,MonthList,0))/12)</f>
        <v>0</v>
      </c>
      <c r="T349" s="24" t="n">
        <f aca="false">IF(OR($P349&lt;&gt;"Yes",$Q349=""),0,$R349*IF(MATCH($Q349,MonthList,0)&lt;=7,12,19-MATCH($Q349,MonthList,0))/12)</f>
        <v>0</v>
      </c>
      <c r="U349" s="21" t="s">
        <v>59</v>
      </c>
      <c r="V349" s="21"/>
      <c r="W349" s="24" t="n">
        <f aca="false">IF(AND($U349="Yes",$G349&lt;&gt;"Vendor day rates"),$J349-0.4*$I349,0)</f>
        <v>0</v>
      </c>
      <c r="X349" s="24" t="n">
        <f aca="false">IF(OR($U349&lt;&gt;"Yes",$V349=""),0,$W349*MAX(0,7-MATCH($V349,MonthList,0))/12)</f>
        <v>0</v>
      </c>
      <c r="Y349" s="24" t="n">
        <f aca="false">IF(OR($U349&lt;&gt;"Yes",$V349=""),0,$W349*IF(MATCH($V349,MonthList,0)&lt;=7,12,19-MATCH($V349,MonthList,0))/12)</f>
        <v>0</v>
      </c>
    </row>
    <row r="350" customFormat="false" ht="15" hidden="false" customHeight="true" outlineLevel="0" collapsed="false">
      <c r="B350" s="18" t="s">
        <v>696</v>
      </c>
      <c r="C350" s="18" t="s">
        <v>697</v>
      </c>
      <c r="D350" s="18" t="s">
        <v>23</v>
      </c>
      <c r="E350" s="18" t="s">
        <v>405</v>
      </c>
      <c r="F350" s="19" t="s">
        <v>57</v>
      </c>
      <c r="G350" s="19" t="s">
        <v>58</v>
      </c>
      <c r="H350" s="19" t="n">
        <v>1</v>
      </c>
      <c r="I350" s="20" t="n">
        <v>0.227</v>
      </c>
      <c r="J350" s="20" t="n">
        <v>0.227</v>
      </c>
      <c r="K350" s="21" t="s">
        <v>59</v>
      </c>
      <c r="L350" s="21"/>
      <c r="M350" s="20" t="n">
        <f aca="false">IF(AND($K350="Yes",$G350&lt;&gt;"Vendor day rates"),$J350-0.4*$I350,0)</f>
        <v>0</v>
      </c>
      <c r="N350" s="20" t="n">
        <f aca="false">IF(OR($K350&lt;&gt;"Yes",$L350=""),0,$M350*MAX(0,7-MATCH($L350,MonthList,0))/12)</f>
        <v>0</v>
      </c>
      <c r="O350" s="20" t="n">
        <f aca="false">IF(OR($K350&lt;&gt;"Yes",$L350=""),0,$M350*IF(MATCH($L350,MonthList,0)&lt;=7,12,19-MATCH($L350,MonthList,0))/12)</f>
        <v>0</v>
      </c>
      <c r="P350" s="21" t="s">
        <v>59</v>
      </c>
      <c r="Q350" s="21"/>
      <c r="R350" s="20" t="n">
        <f aca="false">IF(AND($P350="Yes",$G350&lt;&gt;"Vendor day rates"),$J350-0.4*$I350,0)</f>
        <v>0</v>
      </c>
      <c r="S350" s="20" t="n">
        <f aca="false">IF(OR($P350&lt;&gt;"Yes",$Q350=""),0,$R350*MAX(0,7-MATCH($Q350,MonthList,0))/12)</f>
        <v>0</v>
      </c>
      <c r="T350" s="20" t="n">
        <f aca="false">IF(OR($P350&lt;&gt;"Yes",$Q350=""),0,$R350*IF(MATCH($Q350,MonthList,0)&lt;=7,12,19-MATCH($Q350,MonthList,0))/12)</f>
        <v>0</v>
      </c>
      <c r="U350" s="21" t="s">
        <v>59</v>
      </c>
      <c r="V350" s="21"/>
      <c r="W350" s="20" t="n">
        <f aca="false">IF(AND($U350="Yes",$G350&lt;&gt;"Vendor day rates"),$J350-0.4*$I350,0)</f>
        <v>0</v>
      </c>
      <c r="X350" s="20" t="n">
        <f aca="false">IF(OR($U350&lt;&gt;"Yes",$V350=""),0,$W350*MAX(0,7-MATCH($V350,MonthList,0))/12)</f>
        <v>0</v>
      </c>
      <c r="Y350" s="20" t="n">
        <f aca="false">IF(OR($U350&lt;&gt;"Yes",$V350=""),0,$W350*IF(MATCH($V350,MonthList,0)&lt;=7,12,19-MATCH($V350,MonthList,0))/12)</f>
        <v>0</v>
      </c>
    </row>
    <row r="351" customFormat="false" ht="15" hidden="false" customHeight="true" outlineLevel="0" collapsed="false">
      <c r="B351" s="22" t="s">
        <v>698</v>
      </c>
      <c r="C351" s="22" t="s">
        <v>699</v>
      </c>
      <c r="D351" s="22" t="s">
        <v>26</v>
      </c>
      <c r="E351" s="22" t="s">
        <v>191</v>
      </c>
      <c r="F351" s="23" t="s">
        <v>57</v>
      </c>
      <c r="G351" s="23" t="s">
        <v>58</v>
      </c>
      <c r="H351" s="23" t="n">
        <v>1</v>
      </c>
      <c r="I351" s="24" t="n">
        <v>0.2061</v>
      </c>
      <c r="J351" s="24" t="n">
        <v>0.2061</v>
      </c>
      <c r="K351" s="21" t="s">
        <v>59</v>
      </c>
      <c r="L351" s="21"/>
      <c r="M351" s="24" t="n">
        <f aca="false">IF(AND($K351="Yes",$G351&lt;&gt;"Vendor day rates"),$J351-0.4*$I351,0)</f>
        <v>0</v>
      </c>
      <c r="N351" s="24" t="n">
        <f aca="false">IF(OR($K351&lt;&gt;"Yes",$L351=""),0,$M351*MAX(0,7-MATCH($L351,MonthList,0))/12)</f>
        <v>0</v>
      </c>
      <c r="O351" s="24" t="n">
        <f aca="false">IF(OR($K351&lt;&gt;"Yes",$L351=""),0,$M351*IF(MATCH($L351,MonthList,0)&lt;=7,12,19-MATCH($L351,MonthList,0))/12)</f>
        <v>0</v>
      </c>
      <c r="P351" s="21" t="s">
        <v>59</v>
      </c>
      <c r="Q351" s="21"/>
      <c r="R351" s="24" t="n">
        <f aca="false">IF(AND($P351="Yes",$G351&lt;&gt;"Vendor day rates"),$J351-0.4*$I351,0)</f>
        <v>0</v>
      </c>
      <c r="S351" s="24" t="n">
        <f aca="false">IF(OR($P351&lt;&gt;"Yes",$Q351=""),0,$R351*MAX(0,7-MATCH($Q351,MonthList,0))/12)</f>
        <v>0</v>
      </c>
      <c r="T351" s="24" t="n">
        <f aca="false">IF(OR($P351&lt;&gt;"Yes",$Q351=""),0,$R351*IF(MATCH($Q351,MonthList,0)&lt;=7,12,19-MATCH($Q351,MonthList,0))/12)</f>
        <v>0</v>
      </c>
      <c r="U351" s="21" t="s">
        <v>59</v>
      </c>
      <c r="V351" s="21"/>
      <c r="W351" s="24" t="n">
        <f aca="false">IF(AND($U351="Yes",$G351&lt;&gt;"Vendor day rates"),$J351-0.4*$I351,0)</f>
        <v>0</v>
      </c>
      <c r="X351" s="24" t="n">
        <f aca="false">IF(OR($U351&lt;&gt;"Yes",$V351=""),0,$W351*MAX(0,7-MATCH($V351,MonthList,0))/12)</f>
        <v>0</v>
      </c>
      <c r="Y351" s="24" t="n">
        <f aca="false">IF(OR($U351&lt;&gt;"Yes",$V351=""),0,$W351*IF(MATCH($V351,MonthList,0)&lt;=7,12,19-MATCH($V351,MonthList,0))/12)</f>
        <v>0</v>
      </c>
    </row>
    <row r="352" customFormat="false" ht="15" hidden="false" customHeight="true" outlineLevel="0" collapsed="false">
      <c r="B352" s="18" t="s">
        <v>700</v>
      </c>
      <c r="C352" s="18" t="s">
        <v>701</v>
      </c>
      <c r="D352" s="18"/>
      <c r="E352" s="18" t="s">
        <v>168</v>
      </c>
      <c r="F352" s="19" t="s">
        <v>109</v>
      </c>
      <c r="G352" s="19" t="s">
        <v>58</v>
      </c>
      <c r="H352" s="19" t="n">
        <v>1</v>
      </c>
      <c r="I352" s="20" t="n">
        <v>0.1497</v>
      </c>
      <c r="J352" s="20" t="n">
        <v>0.1497</v>
      </c>
      <c r="K352" s="21" t="s">
        <v>59</v>
      </c>
      <c r="L352" s="21"/>
      <c r="M352" s="20" t="n">
        <f aca="false">IF(AND($K352="Yes",$G352&lt;&gt;"Vendor day rates"),$J352-0.4*$I352,0)</f>
        <v>0</v>
      </c>
      <c r="N352" s="20" t="n">
        <f aca="false">IF(OR($K352&lt;&gt;"Yes",$L352=""),0,$M352*MAX(0,7-MATCH($L352,MonthList,0))/12)</f>
        <v>0</v>
      </c>
      <c r="O352" s="20" t="n">
        <f aca="false">IF(OR($K352&lt;&gt;"Yes",$L352=""),0,$M352*IF(MATCH($L352,MonthList,0)&lt;=7,12,19-MATCH($L352,MonthList,0))/12)</f>
        <v>0</v>
      </c>
      <c r="P352" s="21" t="s">
        <v>59</v>
      </c>
      <c r="Q352" s="21"/>
      <c r="R352" s="20" t="n">
        <f aca="false">IF(AND($P352="Yes",$G352&lt;&gt;"Vendor day rates"),$J352-0.4*$I352,0)</f>
        <v>0</v>
      </c>
      <c r="S352" s="20" t="n">
        <f aca="false">IF(OR($P352&lt;&gt;"Yes",$Q352=""),0,$R352*MAX(0,7-MATCH($Q352,MonthList,0))/12)</f>
        <v>0</v>
      </c>
      <c r="T352" s="20" t="n">
        <f aca="false">IF(OR($P352&lt;&gt;"Yes",$Q352=""),0,$R352*IF(MATCH($Q352,MonthList,0)&lt;=7,12,19-MATCH($Q352,MonthList,0))/12)</f>
        <v>0</v>
      </c>
      <c r="U352" s="21" t="s">
        <v>59</v>
      </c>
      <c r="V352" s="21"/>
      <c r="W352" s="20" t="n">
        <f aca="false">IF(AND($U352="Yes",$G352&lt;&gt;"Vendor day rates"),$J352-0.4*$I352,0)</f>
        <v>0</v>
      </c>
      <c r="X352" s="20" t="n">
        <f aca="false">IF(OR($U352&lt;&gt;"Yes",$V352=""),0,$W352*MAX(0,7-MATCH($V352,MonthList,0))/12)</f>
        <v>0</v>
      </c>
      <c r="Y352" s="20" t="n">
        <f aca="false">IF(OR($U352&lt;&gt;"Yes",$V352=""),0,$W352*IF(MATCH($V352,MonthList,0)&lt;=7,12,19-MATCH($V352,MonthList,0))/12)</f>
        <v>0</v>
      </c>
    </row>
    <row r="353" customFormat="false" ht="15" hidden="false" customHeight="true" outlineLevel="0" collapsed="false">
      <c r="B353" s="22" t="s">
        <v>702</v>
      </c>
      <c r="C353" s="22" t="s">
        <v>703</v>
      </c>
      <c r="D353" s="22"/>
      <c r="E353" s="22" t="s">
        <v>168</v>
      </c>
      <c r="F353" s="23" t="s">
        <v>57</v>
      </c>
      <c r="G353" s="23" t="s">
        <v>58</v>
      </c>
      <c r="H353" s="23" t="n">
        <v>1</v>
      </c>
      <c r="I353" s="24" t="n">
        <v>0.2271</v>
      </c>
      <c r="J353" s="24" t="n">
        <v>0.2271</v>
      </c>
      <c r="K353" s="21" t="s">
        <v>59</v>
      </c>
      <c r="L353" s="21"/>
      <c r="M353" s="24" t="n">
        <f aca="false">IF(AND($K353="Yes",$G353&lt;&gt;"Vendor day rates"),$J353-0.4*$I353,0)</f>
        <v>0</v>
      </c>
      <c r="N353" s="24" t="n">
        <f aca="false">IF(OR($K353&lt;&gt;"Yes",$L353=""),0,$M353*MAX(0,7-MATCH($L353,MonthList,0))/12)</f>
        <v>0</v>
      </c>
      <c r="O353" s="24" t="n">
        <f aca="false">IF(OR($K353&lt;&gt;"Yes",$L353=""),0,$M353*IF(MATCH($L353,MonthList,0)&lt;=7,12,19-MATCH($L353,MonthList,0))/12)</f>
        <v>0</v>
      </c>
      <c r="P353" s="21" t="s">
        <v>59</v>
      </c>
      <c r="Q353" s="21"/>
      <c r="R353" s="24" t="n">
        <f aca="false">IF(AND($P353="Yes",$G353&lt;&gt;"Vendor day rates"),$J353-0.4*$I353,0)</f>
        <v>0</v>
      </c>
      <c r="S353" s="24" t="n">
        <f aca="false">IF(OR($P353&lt;&gt;"Yes",$Q353=""),0,$R353*MAX(0,7-MATCH($Q353,MonthList,0))/12)</f>
        <v>0</v>
      </c>
      <c r="T353" s="24" t="n">
        <f aca="false">IF(OR($P353&lt;&gt;"Yes",$Q353=""),0,$R353*IF(MATCH($Q353,MonthList,0)&lt;=7,12,19-MATCH($Q353,MonthList,0))/12)</f>
        <v>0</v>
      </c>
      <c r="U353" s="21" t="s">
        <v>59</v>
      </c>
      <c r="V353" s="21"/>
      <c r="W353" s="24" t="n">
        <f aca="false">IF(AND($U353="Yes",$G353&lt;&gt;"Vendor day rates"),$J353-0.4*$I353,0)</f>
        <v>0</v>
      </c>
      <c r="X353" s="24" t="n">
        <f aca="false">IF(OR($U353&lt;&gt;"Yes",$V353=""),0,$W353*MAX(0,7-MATCH($V353,MonthList,0))/12)</f>
        <v>0</v>
      </c>
      <c r="Y353" s="24" t="n">
        <f aca="false">IF(OR($U353&lt;&gt;"Yes",$V353=""),0,$W353*IF(MATCH($V353,MonthList,0)&lt;=7,12,19-MATCH($V353,MonthList,0))/12)</f>
        <v>0</v>
      </c>
    </row>
    <row r="354" customFormat="false" ht="15" hidden="false" customHeight="true" outlineLevel="0" collapsed="false">
      <c r="B354" s="18" t="s">
        <v>704</v>
      </c>
      <c r="C354" s="18" t="s">
        <v>705</v>
      </c>
      <c r="D354" s="18"/>
      <c r="E354" s="18" t="s">
        <v>168</v>
      </c>
      <c r="F354" s="19" t="s">
        <v>57</v>
      </c>
      <c r="G354" s="19" t="s">
        <v>58</v>
      </c>
      <c r="H354" s="19" t="n">
        <v>1</v>
      </c>
      <c r="I354" s="20" t="n">
        <v>0.1759</v>
      </c>
      <c r="J354" s="20" t="n">
        <v>0.1759</v>
      </c>
      <c r="K354" s="21" t="s">
        <v>59</v>
      </c>
      <c r="L354" s="21"/>
      <c r="M354" s="20" t="n">
        <f aca="false">IF(AND($K354="Yes",$G354&lt;&gt;"Vendor day rates"),$J354-0.4*$I354,0)</f>
        <v>0</v>
      </c>
      <c r="N354" s="20" t="n">
        <f aca="false">IF(OR($K354&lt;&gt;"Yes",$L354=""),0,$M354*MAX(0,7-MATCH($L354,MonthList,0))/12)</f>
        <v>0</v>
      </c>
      <c r="O354" s="20" t="n">
        <f aca="false">IF(OR($K354&lt;&gt;"Yes",$L354=""),0,$M354*IF(MATCH($L354,MonthList,0)&lt;=7,12,19-MATCH($L354,MonthList,0))/12)</f>
        <v>0</v>
      </c>
      <c r="P354" s="21" t="s">
        <v>59</v>
      </c>
      <c r="Q354" s="21"/>
      <c r="R354" s="20" t="n">
        <f aca="false">IF(AND($P354="Yes",$G354&lt;&gt;"Vendor day rates"),$J354-0.4*$I354,0)</f>
        <v>0</v>
      </c>
      <c r="S354" s="20" t="n">
        <f aca="false">IF(OR($P354&lt;&gt;"Yes",$Q354=""),0,$R354*MAX(0,7-MATCH($Q354,MonthList,0))/12)</f>
        <v>0</v>
      </c>
      <c r="T354" s="20" t="n">
        <f aca="false">IF(OR($P354&lt;&gt;"Yes",$Q354=""),0,$R354*IF(MATCH($Q354,MonthList,0)&lt;=7,12,19-MATCH($Q354,MonthList,0))/12)</f>
        <v>0</v>
      </c>
      <c r="U354" s="21" t="s">
        <v>59</v>
      </c>
      <c r="V354" s="21"/>
      <c r="W354" s="20" t="n">
        <f aca="false">IF(AND($U354="Yes",$G354&lt;&gt;"Vendor day rates"),$J354-0.4*$I354,0)</f>
        <v>0</v>
      </c>
      <c r="X354" s="20" t="n">
        <f aca="false">IF(OR($U354&lt;&gt;"Yes",$V354=""),0,$W354*MAX(0,7-MATCH($V354,MonthList,0))/12)</f>
        <v>0</v>
      </c>
      <c r="Y354" s="20" t="n">
        <f aca="false">IF(OR($U354&lt;&gt;"Yes",$V354=""),0,$W354*IF(MATCH($V354,MonthList,0)&lt;=7,12,19-MATCH($V354,MonthList,0))/12)</f>
        <v>0</v>
      </c>
    </row>
    <row r="355" customFormat="false" ht="15" hidden="false" customHeight="true" outlineLevel="0" collapsed="false">
      <c r="B355" s="22" t="s">
        <v>706</v>
      </c>
      <c r="C355" s="22" t="s">
        <v>707</v>
      </c>
      <c r="D355" s="22" t="s">
        <v>30</v>
      </c>
      <c r="E355" s="22" t="s">
        <v>455</v>
      </c>
      <c r="F355" s="23" t="s">
        <v>57</v>
      </c>
      <c r="G355" s="23" t="s">
        <v>462</v>
      </c>
      <c r="H355" s="23" t="n">
        <v>1</v>
      </c>
      <c r="I355" s="24" t="n">
        <v>0.2029</v>
      </c>
      <c r="J355" s="24" t="n">
        <v>0.0811</v>
      </c>
      <c r="K355" s="21" t="s">
        <v>59</v>
      </c>
      <c r="L355" s="21"/>
      <c r="M355" s="24" t="n">
        <f aca="false">IF(AND($K355="Yes",$G355&lt;&gt;"Vendor day rates"),$J355-0.4*$I355,0)</f>
        <v>0</v>
      </c>
      <c r="N355" s="24" t="n">
        <f aca="false">IF(OR($K355&lt;&gt;"Yes",$L355=""),0,$M355*MAX(0,7-MATCH($L355,MonthList,0))/12)</f>
        <v>0</v>
      </c>
      <c r="O355" s="24" t="n">
        <f aca="false">IF(OR($K355&lt;&gt;"Yes",$L355=""),0,$M355*IF(MATCH($L355,MonthList,0)&lt;=7,12,19-MATCH($L355,MonthList,0))/12)</f>
        <v>0</v>
      </c>
      <c r="P355" s="21" t="s">
        <v>59</v>
      </c>
      <c r="Q355" s="21"/>
      <c r="R355" s="24" t="n">
        <f aca="false">IF(AND($P355="Yes",$G355&lt;&gt;"Vendor day rates"),$J355-0.4*$I355,0)</f>
        <v>0</v>
      </c>
      <c r="S355" s="24" t="n">
        <f aca="false">IF(OR($P355&lt;&gt;"Yes",$Q355=""),0,$R355*MAX(0,7-MATCH($Q355,MonthList,0))/12)</f>
        <v>0</v>
      </c>
      <c r="T355" s="24" t="n">
        <f aca="false">IF(OR($P355&lt;&gt;"Yes",$Q355=""),0,$R355*IF(MATCH($Q355,MonthList,0)&lt;=7,12,19-MATCH($Q355,MonthList,0))/12)</f>
        <v>0</v>
      </c>
      <c r="U355" s="21" t="s">
        <v>59</v>
      </c>
      <c r="V355" s="21"/>
      <c r="W355" s="24" t="n">
        <f aca="false">IF(AND($U355="Yes",$G355&lt;&gt;"Vendor day rates"),$J355-0.4*$I355,0)</f>
        <v>0</v>
      </c>
      <c r="X355" s="24" t="n">
        <f aca="false">IF(OR($U355&lt;&gt;"Yes",$V355=""),0,$W355*MAX(0,7-MATCH($V355,MonthList,0))/12)</f>
        <v>0</v>
      </c>
      <c r="Y355" s="24" t="n">
        <f aca="false">IF(OR($U355&lt;&gt;"Yes",$V355=""),0,$W355*IF(MATCH($V355,MonthList,0)&lt;=7,12,19-MATCH($V355,MonthList,0))/12)</f>
        <v>0</v>
      </c>
    </row>
    <row r="356" customFormat="false" ht="15" hidden="false" customHeight="true" outlineLevel="0" collapsed="false">
      <c r="B356" s="18" t="s">
        <v>708</v>
      </c>
      <c r="C356" s="18" t="s">
        <v>709</v>
      </c>
      <c r="D356" s="18" t="s">
        <v>24</v>
      </c>
      <c r="E356" s="18" t="s">
        <v>127</v>
      </c>
      <c r="F356" s="19" t="s">
        <v>109</v>
      </c>
      <c r="G356" s="19" t="s">
        <v>145</v>
      </c>
      <c r="H356" s="19" t="n">
        <v>1</v>
      </c>
      <c r="I356" s="20" t="n">
        <v>0.1749</v>
      </c>
      <c r="J356" s="20" t="n">
        <v>0.1749</v>
      </c>
      <c r="K356" s="21" t="s">
        <v>63</v>
      </c>
      <c r="L356" s="21" t="s">
        <v>710</v>
      </c>
      <c r="M356" s="20" t="n">
        <f aca="false">IF(AND($K356="Yes",$G356&lt;&gt;"Vendor day rates"),$J356-0.4*$I356,0)</f>
        <v>0.10494</v>
      </c>
      <c r="N356" s="20" t="n">
        <f aca="false">IF(OR($K356&lt;&gt;"Yes",$L356=""),0,$M356*MAX(0,7-MATCH($L356,MonthList,0))/12)</f>
        <v>0</v>
      </c>
      <c r="O356" s="20" t="n">
        <f aca="false">IF(OR($K356&lt;&gt;"Yes",$L356=""),0,$M356*IF(MATCH($L356,MonthList,0)&lt;=7,12,19-MATCH($L356,MonthList,0))/12)</f>
        <v>0.10494</v>
      </c>
      <c r="P356" s="21" t="s">
        <v>59</v>
      </c>
      <c r="Q356" s="21"/>
      <c r="R356" s="20" t="n">
        <f aca="false">IF(AND($P356="Yes",$G356&lt;&gt;"Vendor day rates"),$J356-0.4*$I356,0)</f>
        <v>0</v>
      </c>
      <c r="S356" s="20" t="n">
        <f aca="false">IF(OR($P356&lt;&gt;"Yes",$Q356=""),0,$R356*MAX(0,7-MATCH($Q356,MonthList,0))/12)</f>
        <v>0</v>
      </c>
      <c r="T356" s="20" t="n">
        <f aca="false">IF(OR($P356&lt;&gt;"Yes",$Q356=""),0,$R356*IF(MATCH($Q356,MonthList,0)&lt;=7,12,19-MATCH($Q356,MonthList,0))/12)</f>
        <v>0</v>
      </c>
      <c r="U356" s="21" t="s">
        <v>59</v>
      </c>
      <c r="V356" s="21"/>
      <c r="W356" s="20" t="n">
        <f aca="false">IF(AND($U356="Yes",$G356&lt;&gt;"Vendor day rates"),$J356-0.4*$I356,0)</f>
        <v>0</v>
      </c>
      <c r="X356" s="20" t="n">
        <f aca="false">IF(OR($U356&lt;&gt;"Yes",$V356=""),0,$W356*MAX(0,7-MATCH($V356,MonthList,0))/12)</f>
        <v>0</v>
      </c>
      <c r="Y356" s="20" t="n">
        <f aca="false">IF(OR($U356&lt;&gt;"Yes",$V356=""),0,$W356*IF(MATCH($V356,MonthList,0)&lt;=7,12,19-MATCH($V356,MonthList,0))/12)</f>
        <v>0</v>
      </c>
    </row>
    <row r="357" customFormat="false" ht="15" hidden="false" customHeight="true" outlineLevel="0" collapsed="false">
      <c r="B357" s="22" t="s">
        <v>711</v>
      </c>
      <c r="C357" s="22" t="s">
        <v>712</v>
      </c>
      <c r="D357" s="22" t="s">
        <v>30</v>
      </c>
      <c r="E357" s="22" t="s">
        <v>455</v>
      </c>
      <c r="F357" s="23" t="s">
        <v>57</v>
      </c>
      <c r="G357" s="23" t="s">
        <v>118</v>
      </c>
      <c r="H357" s="23" t="n">
        <v>1</v>
      </c>
      <c r="I357" s="24" t="n">
        <v>0.1945</v>
      </c>
      <c r="J357" s="24" t="n">
        <v>0.0778</v>
      </c>
      <c r="K357" s="21" t="s">
        <v>59</v>
      </c>
      <c r="L357" s="21"/>
      <c r="M357" s="24" t="n">
        <f aca="false">IF(AND($K357="Yes",$G357&lt;&gt;"Vendor day rates"),$J357-0.4*$I357,0)</f>
        <v>0</v>
      </c>
      <c r="N357" s="24" t="n">
        <f aca="false">IF(OR($K357&lt;&gt;"Yes",$L357=""),0,$M357*MAX(0,7-MATCH($L357,MonthList,0))/12)</f>
        <v>0</v>
      </c>
      <c r="O357" s="24" t="n">
        <f aca="false">IF(OR($K357&lt;&gt;"Yes",$L357=""),0,$M357*IF(MATCH($L357,MonthList,0)&lt;=7,12,19-MATCH($L357,MonthList,0))/12)</f>
        <v>0</v>
      </c>
      <c r="P357" s="21" t="s">
        <v>59</v>
      </c>
      <c r="Q357" s="21"/>
      <c r="R357" s="24" t="n">
        <f aca="false">IF(AND($P357="Yes",$G357&lt;&gt;"Vendor day rates"),$J357-0.4*$I357,0)</f>
        <v>0</v>
      </c>
      <c r="S357" s="24" t="n">
        <f aca="false">IF(OR($P357&lt;&gt;"Yes",$Q357=""),0,$R357*MAX(0,7-MATCH($Q357,MonthList,0))/12)</f>
        <v>0</v>
      </c>
      <c r="T357" s="24" t="n">
        <f aca="false">IF(OR($P357&lt;&gt;"Yes",$Q357=""),0,$R357*IF(MATCH($Q357,MonthList,0)&lt;=7,12,19-MATCH($Q357,MonthList,0))/12)</f>
        <v>0</v>
      </c>
      <c r="U357" s="21" t="s">
        <v>59</v>
      </c>
      <c r="V357" s="21"/>
      <c r="W357" s="24" t="n">
        <f aca="false">IF(AND($U357="Yes",$G357&lt;&gt;"Vendor day rates"),$J357-0.4*$I357,0)</f>
        <v>0</v>
      </c>
      <c r="X357" s="24" t="n">
        <f aca="false">IF(OR($U357&lt;&gt;"Yes",$V357=""),0,$W357*MAX(0,7-MATCH($V357,MonthList,0))/12)</f>
        <v>0</v>
      </c>
      <c r="Y357" s="24" t="n">
        <f aca="false">IF(OR($U357&lt;&gt;"Yes",$V357=""),0,$W357*IF(MATCH($V357,MonthList,0)&lt;=7,12,19-MATCH($V357,MonthList,0))/12)</f>
        <v>0</v>
      </c>
    </row>
    <row r="358" customFormat="false" ht="15" hidden="false" customHeight="true" outlineLevel="0" collapsed="false">
      <c r="B358" s="18" t="s">
        <v>713</v>
      </c>
      <c r="C358" s="18" t="s">
        <v>712</v>
      </c>
      <c r="D358" s="18" t="s">
        <v>30</v>
      </c>
      <c r="E358" s="18" t="s">
        <v>455</v>
      </c>
      <c r="F358" s="19" t="s">
        <v>57</v>
      </c>
      <c r="G358" s="19" t="s">
        <v>462</v>
      </c>
      <c r="H358" s="19" t="n">
        <v>1</v>
      </c>
      <c r="I358" s="20" t="n">
        <v>0.2029</v>
      </c>
      <c r="J358" s="20" t="n">
        <v>0.0811</v>
      </c>
      <c r="K358" s="21" t="s">
        <v>59</v>
      </c>
      <c r="L358" s="21"/>
      <c r="M358" s="20" t="n">
        <f aca="false">IF(AND($K358="Yes",$G358&lt;&gt;"Vendor day rates"),$J358-0.4*$I358,0)</f>
        <v>0</v>
      </c>
      <c r="N358" s="20" t="n">
        <f aca="false">IF(OR($K358&lt;&gt;"Yes",$L358=""),0,$M358*MAX(0,7-MATCH($L358,MonthList,0))/12)</f>
        <v>0</v>
      </c>
      <c r="O358" s="20" t="n">
        <f aca="false">IF(OR($K358&lt;&gt;"Yes",$L358=""),0,$M358*IF(MATCH($L358,MonthList,0)&lt;=7,12,19-MATCH($L358,MonthList,0))/12)</f>
        <v>0</v>
      </c>
      <c r="P358" s="21" t="s">
        <v>59</v>
      </c>
      <c r="Q358" s="21"/>
      <c r="R358" s="20" t="n">
        <f aca="false">IF(AND($P358="Yes",$G358&lt;&gt;"Vendor day rates"),$J358-0.4*$I358,0)</f>
        <v>0</v>
      </c>
      <c r="S358" s="20" t="n">
        <f aca="false">IF(OR($P358&lt;&gt;"Yes",$Q358=""),0,$R358*MAX(0,7-MATCH($Q358,MonthList,0))/12)</f>
        <v>0</v>
      </c>
      <c r="T358" s="20" t="n">
        <f aca="false">IF(OR($P358&lt;&gt;"Yes",$Q358=""),0,$R358*IF(MATCH($Q358,MonthList,0)&lt;=7,12,19-MATCH($Q358,MonthList,0))/12)</f>
        <v>0</v>
      </c>
      <c r="U358" s="21" t="s">
        <v>59</v>
      </c>
      <c r="V358" s="21"/>
      <c r="W358" s="20" t="n">
        <f aca="false">IF(AND($U358="Yes",$G358&lt;&gt;"Vendor day rates"),$J358-0.4*$I358,0)</f>
        <v>0</v>
      </c>
      <c r="X358" s="20" t="n">
        <f aca="false">IF(OR($U358&lt;&gt;"Yes",$V358=""),0,$W358*MAX(0,7-MATCH($V358,MonthList,0))/12)</f>
        <v>0</v>
      </c>
      <c r="Y358" s="20" t="n">
        <f aca="false">IF(OR($U358&lt;&gt;"Yes",$V358=""),0,$W358*IF(MATCH($V358,MonthList,0)&lt;=7,12,19-MATCH($V358,MonthList,0))/12)</f>
        <v>0</v>
      </c>
    </row>
    <row r="359" customFormat="false" ht="15" hidden="false" customHeight="true" outlineLevel="0" collapsed="false">
      <c r="B359" s="22" t="s">
        <v>714</v>
      </c>
      <c r="C359" s="22" t="s">
        <v>715</v>
      </c>
      <c r="D359" s="22" t="s">
        <v>26</v>
      </c>
      <c r="E359" s="22" t="s">
        <v>244</v>
      </c>
      <c r="F359" s="23" t="s">
        <v>57</v>
      </c>
      <c r="G359" s="23" t="s">
        <v>118</v>
      </c>
      <c r="H359" s="23" t="n">
        <v>1</v>
      </c>
      <c r="I359" s="24" t="n">
        <v>0.2156</v>
      </c>
      <c r="J359" s="24" t="n">
        <v>0.0863</v>
      </c>
      <c r="K359" s="21" t="s">
        <v>59</v>
      </c>
      <c r="L359" s="21"/>
      <c r="M359" s="24" t="n">
        <f aca="false">IF(AND($K359="Yes",$G359&lt;&gt;"Vendor day rates"),$J359-0.4*$I359,0)</f>
        <v>0</v>
      </c>
      <c r="N359" s="24" t="n">
        <f aca="false">IF(OR($K359&lt;&gt;"Yes",$L359=""),0,$M359*MAX(0,7-MATCH($L359,MonthList,0))/12)</f>
        <v>0</v>
      </c>
      <c r="O359" s="24" t="n">
        <f aca="false">IF(OR($K359&lt;&gt;"Yes",$L359=""),0,$M359*IF(MATCH($L359,MonthList,0)&lt;=7,12,19-MATCH($L359,MonthList,0))/12)</f>
        <v>0</v>
      </c>
      <c r="P359" s="21" t="s">
        <v>59</v>
      </c>
      <c r="Q359" s="21"/>
      <c r="R359" s="24" t="n">
        <f aca="false">IF(AND($P359="Yes",$G359&lt;&gt;"Vendor day rates"),$J359-0.4*$I359,0)</f>
        <v>0</v>
      </c>
      <c r="S359" s="24" t="n">
        <f aca="false">IF(OR($P359&lt;&gt;"Yes",$Q359=""),0,$R359*MAX(0,7-MATCH($Q359,MonthList,0))/12)</f>
        <v>0</v>
      </c>
      <c r="T359" s="24" t="n">
        <f aca="false">IF(OR($P359&lt;&gt;"Yes",$Q359=""),0,$R359*IF(MATCH($Q359,MonthList,0)&lt;=7,12,19-MATCH($Q359,MonthList,0))/12)</f>
        <v>0</v>
      </c>
      <c r="U359" s="21" t="s">
        <v>59</v>
      </c>
      <c r="V359" s="21"/>
      <c r="W359" s="24" t="n">
        <f aca="false">IF(AND($U359="Yes",$G359&lt;&gt;"Vendor day rates"),$J359-0.4*$I359,0)</f>
        <v>0</v>
      </c>
      <c r="X359" s="24" t="n">
        <f aca="false">IF(OR($U359&lt;&gt;"Yes",$V359=""),0,$W359*MAX(0,7-MATCH($V359,MonthList,0))/12)</f>
        <v>0</v>
      </c>
      <c r="Y359" s="24" t="n">
        <f aca="false">IF(OR($U359&lt;&gt;"Yes",$V359=""),0,$W359*IF(MATCH($V359,MonthList,0)&lt;=7,12,19-MATCH($V359,MonthList,0))/12)</f>
        <v>0</v>
      </c>
    </row>
    <row r="360" customFormat="false" ht="15" hidden="false" customHeight="true" outlineLevel="0" collapsed="false">
      <c r="B360" s="18" t="s">
        <v>716</v>
      </c>
      <c r="C360" s="18" t="s">
        <v>715</v>
      </c>
      <c r="D360" s="18" t="s">
        <v>26</v>
      </c>
      <c r="E360" s="18" t="s">
        <v>244</v>
      </c>
      <c r="F360" s="19" t="s">
        <v>57</v>
      </c>
      <c r="G360" s="19" t="s">
        <v>118</v>
      </c>
      <c r="H360" s="19" t="n">
        <v>1</v>
      </c>
      <c r="I360" s="20" t="n">
        <v>0.2187</v>
      </c>
      <c r="J360" s="20" t="n">
        <v>0.0875</v>
      </c>
      <c r="K360" s="21" t="s">
        <v>59</v>
      </c>
      <c r="L360" s="21"/>
      <c r="M360" s="20" t="n">
        <f aca="false">IF(AND($K360="Yes",$G360&lt;&gt;"Vendor day rates"),$J360-0.4*$I360,0)</f>
        <v>0</v>
      </c>
      <c r="N360" s="20" t="n">
        <f aca="false">IF(OR($K360&lt;&gt;"Yes",$L360=""),0,$M360*MAX(0,7-MATCH($L360,MonthList,0))/12)</f>
        <v>0</v>
      </c>
      <c r="O360" s="20" t="n">
        <f aca="false">IF(OR($K360&lt;&gt;"Yes",$L360=""),0,$M360*IF(MATCH($L360,MonthList,0)&lt;=7,12,19-MATCH($L360,MonthList,0))/12)</f>
        <v>0</v>
      </c>
      <c r="P360" s="21" t="s">
        <v>59</v>
      </c>
      <c r="Q360" s="21"/>
      <c r="R360" s="20" t="n">
        <f aca="false">IF(AND($P360="Yes",$G360&lt;&gt;"Vendor day rates"),$J360-0.4*$I360,0)</f>
        <v>0</v>
      </c>
      <c r="S360" s="20" t="n">
        <f aca="false">IF(OR($P360&lt;&gt;"Yes",$Q360=""),0,$R360*MAX(0,7-MATCH($Q360,MonthList,0))/12)</f>
        <v>0</v>
      </c>
      <c r="T360" s="20" t="n">
        <f aca="false">IF(OR($P360&lt;&gt;"Yes",$Q360=""),0,$R360*IF(MATCH($Q360,MonthList,0)&lt;=7,12,19-MATCH($Q360,MonthList,0))/12)</f>
        <v>0</v>
      </c>
      <c r="U360" s="21" t="s">
        <v>59</v>
      </c>
      <c r="V360" s="21"/>
      <c r="W360" s="20" t="n">
        <f aca="false">IF(AND($U360="Yes",$G360&lt;&gt;"Vendor day rates"),$J360-0.4*$I360,0)</f>
        <v>0</v>
      </c>
      <c r="X360" s="20" t="n">
        <f aca="false">IF(OR($U360&lt;&gt;"Yes",$V360=""),0,$W360*MAX(0,7-MATCH($V360,MonthList,0))/12)</f>
        <v>0</v>
      </c>
      <c r="Y360" s="20" t="n">
        <f aca="false">IF(OR($U360&lt;&gt;"Yes",$V360=""),0,$W360*IF(MATCH($V360,MonthList,0)&lt;=7,12,19-MATCH($V360,MonthList,0))/12)</f>
        <v>0</v>
      </c>
    </row>
    <row r="361" customFormat="false" ht="15" hidden="false" customHeight="true" outlineLevel="0" collapsed="false">
      <c r="B361" s="22" t="s">
        <v>717</v>
      </c>
      <c r="C361" s="22" t="s">
        <v>597</v>
      </c>
      <c r="D361" s="22" t="s">
        <v>29</v>
      </c>
      <c r="E361" s="22" t="s">
        <v>561</v>
      </c>
      <c r="F361" s="23" t="s">
        <v>57</v>
      </c>
      <c r="G361" s="23" t="s">
        <v>58</v>
      </c>
      <c r="H361" s="23" t="n">
        <v>1</v>
      </c>
      <c r="I361" s="24" t="n">
        <v>0.1766</v>
      </c>
      <c r="J361" s="24" t="n">
        <v>0.1766</v>
      </c>
      <c r="K361" s="21" t="s">
        <v>59</v>
      </c>
      <c r="L361" s="21"/>
      <c r="M361" s="24" t="n">
        <f aca="false">IF(AND($K361="Yes",$G361&lt;&gt;"Vendor day rates"),$J361-0.4*$I361,0)</f>
        <v>0</v>
      </c>
      <c r="N361" s="24" t="n">
        <f aca="false">IF(OR($K361&lt;&gt;"Yes",$L361=""),0,$M361*MAX(0,7-MATCH($L361,MonthList,0))/12)</f>
        <v>0</v>
      </c>
      <c r="O361" s="24" t="n">
        <f aca="false">IF(OR($K361&lt;&gt;"Yes",$L361=""),0,$M361*IF(MATCH($L361,MonthList,0)&lt;=7,12,19-MATCH($L361,MonthList,0))/12)</f>
        <v>0</v>
      </c>
      <c r="P361" s="21" t="s">
        <v>59</v>
      </c>
      <c r="Q361" s="21"/>
      <c r="R361" s="24" t="n">
        <f aca="false">IF(AND($P361="Yes",$G361&lt;&gt;"Vendor day rates"),$J361-0.4*$I361,0)</f>
        <v>0</v>
      </c>
      <c r="S361" s="24" t="n">
        <f aca="false">IF(OR($P361&lt;&gt;"Yes",$Q361=""),0,$R361*MAX(0,7-MATCH($Q361,MonthList,0))/12)</f>
        <v>0</v>
      </c>
      <c r="T361" s="24" t="n">
        <f aca="false">IF(OR($P361&lt;&gt;"Yes",$Q361=""),0,$R361*IF(MATCH($Q361,MonthList,0)&lt;=7,12,19-MATCH($Q361,MonthList,0))/12)</f>
        <v>0</v>
      </c>
      <c r="U361" s="21" t="s">
        <v>59</v>
      </c>
      <c r="V361" s="21"/>
      <c r="W361" s="24" t="n">
        <f aca="false">IF(AND($U361="Yes",$G361&lt;&gt;"Vendor day rates"),$J361-0.4*$I361,0)</f>
        <v>0</v>
      </c>
      <c r="X361" s="24" t="n">
        <f aca="false">IF(OR($U361&lt;&gt;"Yes",$V361=""),0,$W361*MAX(0,7-MATCH($V361,MonthList,0))/12)</f>
        <v>0</v>
      </c>
      <c r="Y361" s="24" t="n">
        <f aca="false">IF(OR($U361&lt;&gt;"Yes",$V361=""),0,$W361*IF(MATCH($V361,MonthList,0)&lt;=7,12,19-MATCH($V361,MonthList,0))/12)</f>
        <v>0</v>
      </c>
    </row>
    <row r="362" customFormat="false" ht="15" hidden="false" customHeight="true" outlineLevel="0" collapsed="false">
      <c r="B362" s="18" t="s">
        <v>718</v>
      </c>
      <c r="C362" s="18" t="s">
        <v>597</v>
      </c>
      <c r="D362" s="18" t="s">
        <v>29</v>
      </c>
      <c r="E362" s="18" t="s">
        <v>561</v>
      </c>
      <c r="F362" s="19" t="s">
        <v>57</v>
      </c>
      <c r="G362" s="19" t="s">
        <v>58</v>
      </c>
      <c r="H362" s="19" t="n">
        <v>1</v>
      </c>
      <c r="I362" s="20" t="n">
        <v>0.1344</v>
      </c>
      <c r="J362" s="20" t="n">
        <v>0.1344</v>
      </c>
      <c r="K362" s="21" t="s">
        <v>59</v>
      </c>
      <c r="L362" s="21"/>
      <c r="M362" s="20" t="n">
        <f aca="false">IF(AND($K362="Yes",$G362&lt;&gt;"Vendor day rates"),$J362-0.4*$I362,0)</f>
        <v>0</v>
      </c>
      <c r="N362" s="20" t="n">
        <f aca="false">IF(OR($K362&lt;&gt;"Yes",$L362=""),0,$M362*MAX(0,7-MATCH($L362,MonthList,0))/12)</f>
        <v>0</v>
      </c>
      <c r="O362" s="20" t="n">
        <f aca="false">IF(OR($K362&lt;&gt;"Yes",$L362=""),0,$M362*IF(MATCH($L362,MonthList,0)&lt;=7,12,19-MATCH($L362,MonthList,0))/12)</f>
        <v>0</v>
      </c>
      <c r="P362" s="21" t="s">
        <v>59</v>
      </c>
      <c r="Q362" s="21"/>
      <c r="R362" s="20" t="n">
        <f aca="false">IF(AND($P362="Yes",$G362&lt;&gt;"Vendor day rates"),$J362-0.4*$I362,0)</f>
        <v>0</v>
      </c>
      <c r="S362" s="20" t="n">
        <f aca="false">IF(OR($P362&lt;&gt;"Yes",$Q362=""),0,$R362*MAX(0,7-MATCH($Q362,MonthList,0))/12)</f>
        <v>0</v>
      </c>
      <c r="T362" s="20" t="n">
        <f aca="false">IF(OR($P362&lt;&gt;"Yes",$Q362=""),0,$R362*IF(MATCH($Q362,MonthList,0)&lt;=7,12,19-MATCH($Q362,MonthList,0))/12)</f>
        <v>0</v>
      </c>
      <c r="U362" s="21" t="s">
        <v>59</v>
      </c>
      <c r="V362" s="21"/>
      <c r="W362" s="20" t="n">
        <f aca="false">IF(AND($U362="Yes",$G362&lt;&gt;"Vendor day rates"),$J362-0.4*$I362,0)</f>
        <v>0</v>
      </c>
      <c r="X362" s="20" t="n">
        <f aca="false">IF(OR($U362&lt;&gt;"Yes",$V362=""),0,$W362*MAX(0,7-MATCH($V362,MonthList,0))/12)</f>
        <v>0</v>
      </c>
      <c r="Y362" s="20" t="n">
        <f aca="false">IF(OR($U362&lt;&gt;"Yes",$V362=""),0,$W362*IF(MATCH($V362,MonthList,0)&lt;=7,12,19-MATCH($V362,MonthList,0))/12)</f>
        <v>0</v>
      </c>
    </row>
    <row r="363" customFormat="false" ht="15" hidden="false" customHeight="true" outlineLevel="0" collapsed="false">
      <c r="B363" s="22" t="s">
        <v>719</v>
      </c>
      <c r="C363" s="22" t="s">
        <v>597</v>
      </c>
      <c r="D363" s="22" t="s">
        <v>29</v>
      </c>
      <c r="E363" s="22" t="s">
        <v>561</v>
      </c>
      <c r="F363" s="23" t="s">
        <v>57</v>
      </c>
      <c r="G363" s="23" t="s">
        <v>58</v>
      </c>
      <c r="H363" s="23" t="n">
        <v>1</v>
      </c>
      <c r="I363" s="24" t="n">
        <v>0.1621</v>
      </c>
      <c r="J363" s="24" t="n">
        <v>0.1621</v>
      </c>
      <c r="K363" s="21" t="s">
        <v>59</v>
      </c>
      <c r="L363" s="21"/>
      <c r="M363" s="24" t="n">
        <f aca="false">IF(AND($K363="Yes",$G363&lt;&gt;"Vendor day rates"),$J363-0.4*$I363,0)</f>
        <v>0</v>
      </c>
      <c r="N363" s="24" t="n">
        <f aca="false">IF(OR($K363&lt;&gt;"Yes",$L363=""),0,$M363*MAX(0,7-MATCH($L363,MonthList,0))/12)</f>
        <v>0</v>
      </c>
      <c r="O363" s="24" t="n">
        <f aca="false">IF(OR($K363&lt;&gt;"Yes",$L363=""),0,$M363*IF(MATCH($L363,MonthList,0)&lt;=7,12,19-MATCH($L363,MonthList,0))/12)</f>
        <v>0</v>
      </c>
      <c r="P363" s="21" t="s">
        <v>59</v>
      </c>
      <c r="Q363" s="21"/>
      <c r="R363" s="24" t="n">
        <f aca="false">IF(AND($P363="Yes",$G363&lt;&gt;"Vendor day rates"),$J363-0.4*$I363,0)</f>
        <v>0</v>
      </c>
      <c r="S363" s="24" t="n">
        <f aca="false">IF(OR($P363&lt;&gt;"Yes",$Q363=""),0,$R363*MAX(0,7-MATCH($Q363,MonthList,0))/12)</f>
        <v>0</v>
      </c>
      <c r="T363" s="24" t="n">
        <f aca="false">IF(OR($P363&lt;&gt;"Yes",$Q363=""),0,$R363*IF(MATCH($Q363,MonthList,0)&lt;=7,12,19-MATCH($Q363,MonthList,0))/12)</f>
        <v>0</v>
      </c>
      <c r="U363" s="21" t="s">
        <v>59</v>
      </c>
      <c r="V363" s="21"/>
      <c r="W363" s="24" t="n">
        <f aca="false">IF(AND($U363="Yes",$G363&lt;&gt;"Vendor day rates"),$J363-0.4*$I363,0)</f>
        <v>0</v>
      </c>
      <c r="X363" s="24" t="n">
        <f aca="false">IF(OR($U363&lt;&gt;"Yes",$V363=""),0,$W363*MAX(0,7-MATCH($V363,MonthList,0))/12)</f>
        <v>0</v>
      </c>
      <c r="Y363" s="24" t="n">
        <f aca="false">IF(OR($U363&lt;&gt;"Yes",$V363=""),0,$W363*IF(MATCH($V363,MonthList,0)&lt;=7,12,19-MATCH($V363,MonthList,0))/12)</f>
        <v>0</v>
      </c>
    </row>
    <row r="364" customFormat="false" ht="15" hidden="false" customHeight="true" outlineLevel="0" collapsed="false">
      <c r="B364" s="18" t="s">
        <v>720</v>
      </c>
      <c r="C364" s="18" t="s">
        <v>597</v>
      </c>
      <c r="D364" s="18" t="s">
        <v>29</v>
      </c>
      <c r="E364" s="18" t="s">
        <v>561</v>
      </c>
      <c r="F364" s="19" t="s">
        <v>57</v>
      </c>
      <c r="G364" s="19" t="s">
        <v>58</v>
      </c>
      <c r="H364" s="19" t="n">
        <v>1</v>
      </c>
      <c r="I364" s="20" t="n">
        <v>0.2032</v>
      </c>
      <c r="J364" s="20" t="n">
        <v>0.2032</v>
      </c>
      <c r="K364" s="21" t="s">
        <v>59</v>
      </c>
      <c r="L364" s="21"/>
      <c r="M364" s="20" t="n">
        <f aca="false">IF(AND($K364="Yes",$G364&lt;&gt;"Vendor day rates"),$J364-0.4*$I364,0)</f>
        <v>0</v>
      </c>
      <c r="N364" s="20" t="n">
        <f aca="false">IF(OR($K364&lt;&gt;"Yes",$L364=""),0,$M364*MAX(0,7-MATCH($L364,MonthList,0))/12)</f>
        <v>0</v>
      </c>
      <c r="O364" s="20" t="n">
        <f aca="false">IF(OR($K364&lt;&gt;"Yes",$L364=""),0,$M364*IF(MATCH($L364,MonthList,0)&lt;=7,12,19-MATCH($L364,MonthList,0))/12)</f>
        <v>0</v>
      </c>
      <c r="P364" s="21" t="s">
        <v>59</v>
      </c>
      <c r="Q364" s="21"/>
      <c r="R364" s="20" t="n">
        <f aca="false">IF(AND($P364="Yes",$G364&lt;&gt;"Vendor day rates"),$J364-0.4*$I364,0)</f>
        <v>0</v>
      </c>
      <c r="S364" s="20" t="n">
        <f aca="false">IF(OR($P364&lt;&gt;"Yes",$Q364=""),0,$R364*MAX(0,7-MATCH($Q364,MonthList,0))/12)</f>
        <v>0</v>
      </c>
      <c r="T364" s="20" t="n">
        <f aca="false">IF(OR($P364&lt;&gt;"Yes",$Q364=""),0,$R364*IF(MATCH($Q364,MonthList,0)&lt;=7,12,19-MATCH($Q364,MonthList,0))/12)</f>
        <v>0</v>
      </c>
      <c r="U364" s="21" t="s">
        <v>59</v>
      </c>
      <c r="V364" s="21"/>
      <c r="W364" s="20" t="n">
        <f aca="false">IF(AND($U364="Yes",$G364&lt;&gt;"Vendor day rates"),$J364-0.4*$I364,0)</f>
        <v>0</v>
      </c>
      <c r="X364" s="20" t="n">
        <f aca="false">IF(OR($U364&lt;&gt;"Yes",$V364=""),0,$W364*MAX(0,7-MATCH($V364,MonthList,0))/12)</f>
        <v>0</v>
      </c>
      <c r="Y364" s="20" t="n">
        <f aca="false">IF(OR($U364&lt;&gt;"Yes",$V364=""),0,$W364*IF(MATCH($V364,MonthList,0)&lt;=7,12,19-MATCH($V364,MonthList,0))/12)</f>
        <v>0</v>
      </c>
    </row>
    <row r="365" customFormat="false" ht="15" hidden="false" customHeight="true" outlineLevel="0" collapsed="false">
      <c r="B365" s="22" t="s">
        <v>721</v>
      </c>
      <c r="C365" s="22" t="s">
        <v>722</v>
      </c>
      <c r="D365" s="22" t="s">
        <v>29</v>
      </c>
      <c r="E365" s="22" t="s">
        <v>561</v>
      </c>
      <c r="F365" s="23" t="s">
        <v>57</v>
      </c>
      <c r="G365" s="23" t="s">
        <v>462</v>
      </c>
      <c r="H365" s="23" t="n">
        <v>1</v>
      </c>
      <c r="I365" s="24" t="n">
        <v>0.1705</v>
      </c>
      <c r="J365" s="24" t="n">
        <v>0.0682</v>
      </c>
      <c r="K365" s="21" t="s">
        <v>59</v>
      </c>
      <c r="L365" s="21"/>
      <c r="M365" s="24" t="n">
        <f aca="false">IF(AND($K365="Yes",$G365&lt;&gt;"Vendor day rates"),$J365-0.4*$I365,0)</f>
        <v>0</v>
      </c>
      <c r="N365" s="24" t="n">
        <f aca="false">IF(OR($K365&lt;&gt;"Yes",$L365=""),0,$M365*MAX(0,7-MATCH($L365,MonthList,0))/12)</f>
        <v>0</v>
      </c>
      <c r="O365" s="24" t="n">
        <f aca="false">IF(OR($K365&lt;&gt;"Yes",$L365=""),0,$M365*IF(MATCH($L365,MonthList,0)&lt;=7,12,19-MATCH($L365,MonthList,0))/12)</f>
        <v>0</v>
      </c>
      <c r="P365" s="21" t="s">
        <v>59</v>
      </c>
      <c r="Q365" s="21"/>
      <c r="R365" s="24" t="n">
        <f aca="false">IF(AND($P365="Yes",$G365&lt;&gt;"Vendor day rates"),$J365-0.4*$I365,0)</f>
        <v>0</v>
      </c>
      <c r="S365" s="24" t="n">
        <f aca="false">IF(OR($P365&lt;&gt;"Yes",$Q365=""),0,$R365*MAX(0,7-MATCH($Q365,MonthList,0))/12)</f>
        <v>0</v>
      </c>
      <c r="T365" s="24" t="n">
        <f aca="false">IF(OR($P365&lt;&gt;"Yes",$Q365=""),0,$R365*IF(MATCH($Q365,MonthList,0)&lt;=7,12,19-MATCH($Q365,MonthList,0))/12)</f>
        <v>0</v>
      </c>
      <c r="U365" s="21" t="s">
        <v>59</v>
      </c>
      <c r="V365" s="21"/>
      <c r="W365" s="24" t="n">
        <f aca="false">IF(AND($U365="Yes",$G365&lt;&gt;"Vendor day rates"),$J365-0.4*$I365,0)</f>
        <v>0</v>
      </c>
      <c r="X365" s="24" t="n">
        <f aca="false">IF(OR($U365&lt;&gt;"Yes",$V365=""),0,$W365*MAX(0,7-MATCH($V365,MonthList,0))/12)</f>
        <v>0</v>
      </c>
      <c r="Y365" s="24" t="n">
        <f aca="false">IF(OR($U365&lt;&gt;"Yes",$V365=""),0,$W365*IF(MATCH($V365,MonthList,0)&lt;=7,12,19-MATCH($V365,MonthList,0))/12)</f>
        <v>0</v>
      </c>
    </row>
    <row r="366" customFormat="false" ht="15" hidden="false" customHeight="true" outlineLevel="0" collapsed="false">
      <c r="B366" s="18" t="s">
        <v>723</v>
      </c>
      <c r="C366" s="18" t="s">
        <v>597</v>
      </c>
      <c r="D366" s="18" t="s">
        <v>29</v>
      </c>
      <c r="E366" s="18" t="s">
        <v>561</v>
      </c>
      <c r="F366" s="19" t="s">
        <v>57</v>
      </c>
      <c r="G366" s="19" t="s">
        <v>58</v>
      </c>
      <c r="H366" s="19" t="n">
        <v>1</v>
      </c>
      <c r="I366" s="20" t="n">
        <v>0.1936</v>
      </c>
      <c r="J366" s="20" t="n">
        <v>0.1936</v>
      </c>
      <c r="K366" s="21" t="s">
        <v>59</v>
      </c>
      <c r="L366" s="21"/>
      <c r="M366" s="20" t="n">
        <f aca="false">IF(AND($K366="Yes",$G366&lt;&gt;"Vendor day rates"),$J366-0.4*$I366,0)</f>
        <v>0</v>
      </c>
      <c r="N366" s="20" t="n">
        <f aca="false">IF(OR($K366&lt;&gt;"Yes",$L366=""),0,$M366*MAX(0,7-MATCH($L366,MonthList,0))/12)</f>
        <v>0</v>
      </c>
      <c r="O366" s="20" t="n">
        <f aca="false">IF(OR($K366&lt;&gt;"Yes",$L366=""),0,$M366*IF(MATCH($L366,MonthList,0)&lt;=7,12,19-MATCH($L366,MonthList,0))/12)</f>
        <v>0</v>
      </c>
      <c r="P366" s="21" t="s">
        <v>59</v>
      </c>
      <c r="Q366" s="21"/>
      <c r="R366" s="20" t="n">
        <f aca="false">IF(AND($P366="Yes",$G366&lt;&gt;"Vendor day rates"),$J366-0.4*$I366,0)</f>
        <v>0</v>
      </c>
      <c r="S366" s="20" t="n">
        <f aca="false">IF(OR($P366&lt;&gt;"Yes",$Q366=""),0,$R366*MAX(0,7-MATCH($Q366,MonthList,0))/12)</f>
        <v>0</v>
      </c>
      <c r="T366" s="20" t="n">
        <f aca="false">IF(OR($P366&lt;&gt;"Yes",$Q366=""),0,$R366*IF(MATCH($Q366,MonthList,0)&lt;=7,12,19-MATCH($Q366,MonthList,0))/12)</f>
        <v>0</v>
      </c>
      <c r="U366" s="21" t="s">
        <v>59</v>
      </c>
      <c r="V366" s="21"/>
      <c r="W366" s="20" t="n">
        <f aca="false">IF(AND($U366="Yes",$G366&lt;&gt;"Vendor day rates"),$J366-0.4*$I366,0)</f>
        <v>0</v>
      </c>
      <c r="X366" s="20" t="n">
        <f aca="false">IF(OR($U366&lt;&gt;"Yes",$V366=""),0,$W366*MAX(0,7-MATCH($V366,MonthList,0))/12)</f>
        <v>0</v>
      </c>
      <c r="Y366" s="20" t="n">
        <f aca="false">IF(OR($U366&lt;&gt;"Yes",$V366=""),0,$W366*IF(MATCH($V366,MonthList,0)&lt;=7,12,19-MATCH($V366,MonthList,0))/12)</f>
        <v>0</v>
      </c>
    </row>
    <row r="367" customFormat="false" ht="15" hidden="false" customHeight="true" outlineLevel="0" collapsed="false">
      <c r="B367" s="22" t="s">
        <v>724</v>
      </c>
      <c r="C367" s="22" t="s">
        <v>597</v>
      </c>
      <c r="D367" s="22" t="s">
        <v>29</v>
      </c>
      <c r="E367" s="22" t="s">
        <v>561</v>
      </c>
      <c r="F367" s="23" t="s">
        <v>57</v>
      </c>
      <c r="G367" s="23" t="s">
        <v>58</v>
      </c>
      <c r="H367" s="23" t="n">
        <v>1</v>
      </c>
      <c r="I367" s="24" t="n">
        <v>0.2391</v>
      </c>
      <c r="J367" s="24" t="n">
        <v>0.2391</v>
      </c>
      <c r="K367" s="21" t="s">
        <v>59</v>
      </c>
      <c r="L367" s="21"/>
      <c r="M367" s="24" t="n">
        <f aca="false">IF(AND($K367="Yes",$G367&lt;&gt;"Vendor day rates"),$J367-0.4*$I367,0)</f>
        <v>0</v>
      </c>
      <c r="N367" s="24" t="n">
        <f aca="false">IF(OR($K367&lt;&gt;"Yes",$L367=""),0,$M367*MAX(0,7-MATCH($L367,MonthList,0))/12)</f>
        <v>0</v>
      </c>
      <c r="O367" s="24" t="n">
        <f aca="false">IF(OR($K367&lt;&gt;"Yes",$L367=""),0,$M367*IF(MATCH($L367,MonthList,0)&lt;=7,12,19-MATCH($L367,MonthList,0))/12)</f>
        <v>0</v>
      </c>
      <c r="P367" s="21" t="s">
        <v>59</v>
      </c>
      <c r="Q367" s="21"/>
      <c r="R367" s="24" t="n">
        <f aca="false">IF(AND($P367="Yes",$G367&lt;&gt;"Vendor day rates"),$J367-0.4*$I367,0)</f>
        <v>0</v>
      </c>
      <c r="S367" s="24" t="n">
        <f aca="false">IF(OR($P367&lt;&gt;"Yes",$Q367=""),0,$R367*MAX(0,7-MATCH($Q367,MonthList,0))/12)</f>
        <v>0</v>
      </c>
      <c r="T367" s="24" t="n">
        <f aca="false">IF(OR($P367&lt;&gt;"Yes",$Q367=""),0,$R367*IF(MATCH($Q367,MonthList,0)&lt;=7,12,19-MATCH($Q367,MonthList,0))/12)</f>
        <v>0</v>
      </c>
      <c r="U367" s="21" t="s">
        <v>59</v>
      </c>
      <c r="V367" s="21"/>
      <c r="W367" s="24" t="n">
        <f aca="false">IF(AND($U367="Yes",$G367&lt;&gt;"Vendor day rates"),$J367-0.4*$I367,0)</f>
        <v>0</v>
      </c>
      <c r="X367" s="24" t="n">
        <f aca="false">IF(OR($U367&lt;&gt;"Yes",$V367=""),0,$W367*MAX(0,7-MATCH($V367,MonthList,0))/12)</f>
        <v>0</v>
      </c>
      <c r="Y367" s="24" t="n">
        <f aca="false">IF(OR($U367&lt;&gt;"Yes",$V367=""),0,$W367*IF(MATCH($V367,MonthList,0)&lt;=7,12,19-MATCH($V367,MonthList,0))/12)</f>
        <v>0</v>
      </c>
    </row>
    <row r="368" customFormat="false" ht="15" hidden="false" customHeight="true" outlineLevel="0" collapsed="false">
      <c r="B368" s="18" t="s">
        <v>725</v>
      </c>
      <c r="C368" s="18" t="s">
        <v>476</v>
      </c>
      <c r="D368" s="18" t="s">
        <v>30</v>
      </c>
      <c r="E368" s="18" t="s">
        <v>477</v>
      </c>
      <c r="F368" s="19" t="s">
        <v>57</v>
      </c>
      <c r="G368" s="19" t="s">
        <v>58</v>
      </c>
      <c r="H368" s="19" t="n">
        <v>1</v>
      </c>
      <c r="I368" s="20" t="n">
        <v>0.2033</v>
      </c>
      <c r="J368" s="20" t="n">
        <v>0.2033</v>
      </c>
      <c r="K368" s="21" t="s">
        <v>59</v>
      </c>
      <c r="L368" s="21"/>
      <c r="M368" s="20" t="n">
        <f aca="false">IF(AND($K368="Yes",$G368&lt;&gt;"Vendor day rates"),$J368-0.4*$I368,0)</f>
        <v>0</v>
      </c>
      <c r="N368" s="20" t="n">
        <f aca="false">IF(OR($K368&lt;&gt;"Yes",$L368=""),0,$M368*MAX(0,7-MATCH($L368,MonthList,0))/12)</f>
        <v>0</v>
      </c>
      <c r="O368" s="20" t="n">
        <f aca="false">IF(OR($K368&lt;&gt;"Yes",$L368=""),0,$M368*IF(MATCH($L368,MonthList,0)&lt;=7,12,19-MATCH($L368,MonthList,0))/12)</f>
        <v>0</v>
      </c>
      <c r="P368" s="21" t="s">
        <v>59</v>
      </c>
      <c r="Q368" s="21"/>
      <c r="R368" s="20" t="n">
        <f aca="false">IF(AND($P368="Yes",$G368&lt;&gt;"Vendor day rates"),$J368-0.4*$I368,0)</f>
        <v>0</v>
      </c>
      <c r="S368" s="20" t="n">
        <f aca="false">IF(OR($P368&lt;&gt;"Yes",$Q368=""),0,$R368*MAX(0,7-MATCH($Q368,MonthList,0))/12)</f>
        <v>0</v>
      </c>
      <c r="T368" s="20" t="n">
        <f aca="false">IF(OR($P368&lt;&gt;"Yes",$Q368=""),0,$R368*IF(MATCH($Q368,MonthList,0)&lt;=7,12,19-MATCH($Q368,MonthList,0))/12)</f>
        <v>0</v>
      </c>
      <c r="U368" s="21" t="s">
        <v>59</v>
      </c>
      <c r="V368" s="21"/>
      <c r="W368" s="20" t="n">
        <f aca="false">IF(AND($U368="Yes",$G368&lt;&gt;"Vendor day rates"),$J368-0.4*$I368,0)</f>
        <v>0</v>
      </c>
      <c r="X368" s="20" t="n">
        <f aca="false">IF(OR($U368&lt;&gt;"Yes",$V368=""),0,$W368*MAX(0,7-MATCH($V368,MonthList,0))/12)</f>
        <v>0</v>
      </c>
      <c r="Y368" s="20" t="n">
        <f aca="false">IF(OR($U368&lt;&gt;"Yes",$V368=""),0,$W368*IF(MATCH($V368,MonthList,0)&lt;=7,12,19-MATCH($V368,MonthList,0))/12)</f>
        <v>0</v>
      </c>
    </row>
    <row r="369" customFormat="false" ht="15" hidden="false" customHeight="true" outlineLevel="0" collapsed="false">
      <c r="B369" s="22" t="s">
        <v>726</v>
      </c>
      <c r="C369" s="22" t="s">
        <v>588</v>
      </c>
      <c r="D369" s="22" t="s">
        <v>25</v>
      </c>
      <c r="E369" s="22" t="s">
        <v>89</v>
      </c>
      <c r="F369" s="23" t="s">
        <v>57</v>
      </c>
      <c r="G369" s="23" t="s">
        <v>118</v>
      </c>
      <c r="H369" s="23" t="n">
        <v>1</v>
      </c>
      <c r="I369" s="24" t="n">
        <v>0.1895</v>
      </c>
      <c r="J369" s="24" t="n">
        <v>0.0758</v>
      </c>
      <c r="K369" s="21" t="s">
        <v>59</v>
      </c>
      <c r="L369" s="21"/>
      <c r="M369" s="24" t="n">
        <f aca="false">IF(AND($K369="Yes",$G369&lt;&gt;"Vendor day rates"),$J369-0.4*$I369,0)</f>
        <v>0</v>
      </c>
      <c r="N369" s="24" t="n">
        <f aca="false">IF(OR($K369&lt;&gt;"Yes",$L369=""),0,$M369*MAX(0,7-MATCH($L369,MonthList,0))/12)</f>
        <v>0</v>
      </c>
      <c r="O369" s="24" t="n">
        <f aca="false">IF(OR($K369&lt;&gt;"Yes",$L369=""),0,$M369*IF(MATCH($L369,MonthList,0)&lt;=7,12,19-MATCH($L369,MonthList,0))/12)</f>
        <v>0</v>
      </c>
      <c r="P369" s="21" t="s">
        <v>59</v>
      </c>
      <c r="Q369" s="21"/>
      <c r="R369" s="24" t="n">
        <f aca="false">IF(AND($P369="Yes",$G369&lt;&gt;"Vendor day rates"),$J369-0.4*$I369,0)</f>
        <v>0</v>
      </c>
      <c r="S369" s="24" t="n">
        <f aca="false">IF(OR($P369&lt;&gt;"Yes",$Q369=""),0,$R369*MAX(0,7-MATCH($Q369,MonthList,0))/12)</f>
        <v>0</v>
      </c>
      <c r="T369" s="24" t="n">
        <f aca="false">IF(OR($P369&lt;&gt;"Yes",$Q369=""),0,$R369*IF(MATCH($Q369,MonthList,0)&lt;=7,12,19-MATCH($Q369,MonthList,0))/12)</f>
        <v>0</v>
      </c>
      <c r="U369" s="21" t="s">
        <v>59</v>
      </c>
      <c r="V369" s="21"/>
      <c r="W369" s="24" t="n">
        <f aca="false">IF(AND($U369="Yes",$G369&lt;&gt;"Vendor day rates"),$J369-0.4*$I369,0)</f>
        <v>0</v>
      </c>
      <c r="X369" s="24" t="n">
        <f aca="false">IF(OR($U369&lt;&gt;"Yes",$V369=""),0,$W369*MAX(0,7-MATCH($V369,MonthList,0))/12)</f>
        <v>0</v>
      </c>
      <c r="Y369" s="24" t="n">
        <f aca="false">IF(OR($U369&lt;&gt;"Yes",$V369=""),0,$W369*IF(MATCH($V369,MonthList,0)&lt;=7,12,19-MATCH($V369,MonthList,0))/12)</f>
        <v>0</v>
      </c>
    </row>
    <row r="370" customFormat="false" ht="15" hidden="false" customHeight="true" outlineLevel="0" collapsed="false">
      <c r="B370" s="18" t="s">
        <v>727</v>
      </c>
      <c r="C370" s="18" t="s">
        <v>728</v>
      </c>
      <c r="D370" s="18" t="s">
        <v>25</v>
      </c>
      <c r="E370" s="18" t="s">
        <v>89</v>
      </c>
      <c r="F370" s="19" t="s">
        <v>57</v>
      </c>
      <c r="G370" s="19" t="s">
        <v>118</v>
      </c>
      <c r="H370" s="19" t="n">
        <v>1</v>
      </c>
      <c r="I370" s="20" t="n">
        <v>0.2303</v>
      </c>
      <c r="J370" s="20" t="n">
        <v>0.0921</v>
      </c>
      <c r="K370" s="21" t="s">
        <v>59</v>
      </c>
      <c r="L370" s="21"/>
      <c r="M370" s="20" t="n">
        <f aca="false">IF(AND($K370="Yes",$G370&lt;&gt;"Vendor day rates"),$J370-0.4*$I370,0)</f>
        <v>0</v>
      </c>
      <c r="N370" s="20" t="n">
        <f aca="false">IF(OR($K370&lt;&gt;"Yes",$L370=""),0,$M370*MAX(0,7-MATCH($L370,MonthList,0))/12)</f>
        <v>0</v>
      </c>
      <c r="O370" s="20" t="n">
        <f aca="false">IF(OR($K370&lt;&gt;"Yes",$L370=""),0,$M370*IF(MATCH($L370,MonthList,0)&lt;=7,12,19-MATCH($L370,MonthList,0))/12)</f>
        <v>0</v>
      </c>
      <c r="P370" s="21" t="s">
        <v>59</v>
      </c>
      <c r="Q370" s="21"/>
      <c r="R370" s="20" t="n">
        <f aca="false">IF(AND($P370="Yes",$G370&lt;&gt;"Vendor day rates"),$J370-0.4*$I370,0)</f>
        <v>0</v>
      </c>
      <c r="S370" s="20" t="n">
        <f aca="false">IF(OR($P370&lt;&gt;"Yes",$Q370=""),0,$R370*MAX(0,7-MATCH($Q370,MonthList,0))/12)</f>
        <v>0</v>
      </c>
      <c r="T370" s="20" t="n">
        <f aca="false">IF(OR($P370&lt;&gt;"Yes",$Q370=""),0,$R370*IF(MATCH($Q370,MonthList,0)&lt;=7,12,19-MATCH($Q370,MonthList,0))/12)</f>
        <v>0</v>
      </c>
      <c r="U370" s="21" t="s">
        <v>59</v>
      </c>
      <c r="V370" s="21"/>
      <c r="W370" s="20" t="n">
        <f aca="false">IF(AND($U370="Yes",$G370&lt;&gt;"Vendor day rates"),$J370-0.4*$I370,0)</f>
        <v>0</v>
      </c>
      <c r="X370" s="20" t="n">
        <f aca="false">IF(OR($U370&lt;&gt;"Yes",$V370=""),0,$W370*MAX(0,7-MATCH($V370,MonthList,0))/12)</f>
        <v>0</v>
      </c>
      <c r="Y370" s="20" t="n">
        <f aca="false">IF(OR($U370&lt;&gt;"Yes",$V370=""),0,$W370*IF(MATCH($V370,MonthList,0)&lt;=7,12,19-MATCH($V370,MonthList,0))/12)</f>
        <v>0</v>
      </c>
    </row>
    <row r="371" customFormat="false" ht="15" hidden="false" customHeight="true" outlineLevel="0" collapsed="false">
      <c r="B371" s="22" t="s">
        <v>729</v>
      </c>
      <c r="C371" s="22" t="s">
        <v>730</v>
      </c>
      <c r="D371" s="22" t="s">
        <v>25</v>
      </c>
      <c r="E371" s="22" t="s">
        <v>89</v>
      </c>
      <c r="F371" s="23" t="s">
        <v>57</v>
      </c>
      <c r="G371" s="23" t="s">
        <v>118</v>
      </c>
      <c r="H371" s="23" t="n">
        <v>1</v>
      </c>
      <c r="I371" s="24" t="n">
        <v>0.2062</v>
      </c>
      <c r="J371" s="24" t="n">
        <v>0.0825</v>
      </c>
      <c r="K371" s="21" t="s">
        <v>59</v>
      </c>
      <c r="L371" s="21"/>
      <c r="M371" s="24" t="n">
        <f aca="false">IF(AND($K371="Yes",$G371&lt;&gt;"Vendor day rates"),$J371-0.4*$I371,0)</f>
        <v>0</v>
      </c>
      <c r="N371" s="24" t="n">
        <f aca="false">IF(OR($K371&lt;&gt;"Yes",$L371=""),0,$M371*MAX(0,7-MATCH($L371,MonthList,0))/12)</f>
        <v>0</v>
      </c>
      <c r="O371" s="24" t="n">
        <f aca="false">IF(OR($K371&lt;&gt;"Yes",$L371=""),0,$M371*IF(MATCH($L371,MonthList,0)&lt;=7,12,19-MATCH($L371,MonthList,0))/12)</f>
        <v>0</v>
      </c>
      <c r="P371" s="21" t="s">
        <v>59</v>
      </c>
      <c r="Q371" s="21"/>
      <c r="R371" s="24" t="n">
        <f aca="false">IF(AND($P371="Yes",$G371&lt;&gt;"Vendor day rates"),$J371-0.4*$I371,0)</f>
        <v>0</v>
      </c>
      <c r="S371" s="24" t="n">
        <f aca="false">IF(OR($P371&lt;&gt;"Yes",$Q371=""),0,$R371*MAX(0,7-MATCH($Q371,MonthList,0))/12)</f>
        <v>0</v>
      </c>
      <c r="T371" s="24" t="n">
        <f aca="false">IF(OR($P371&lt;&gt;"Yes",$Q371=""),0,$R371*IF(MATCH($Q371,MonthList,0)&lt;=7,12,19-MATCH($Q371,MonthList,0))/12)</f>
        <v>0</v>
      </c>
      <c r="U371" s="21" t="s">
        <v>59</v>
      </c>
      <c r="V371" s="21"/>
      <c r="W371" s="24" t="n">
        <f aca="false">IF(AND($U371="Yes",$G371&lt;&gt;"Vendor day rates"),$J371-0.4*$I371,0)</f>
        <v>0</v>
      </c>
      <c r="X371" s="24" t="n">
        <f aca="false">IF(OR($U371&lt;&gt;"Yes",$V371=""),0,$W371*MAX(0,7-MATCH($V371,MonthList,0))/12)</f>
        <v>0</v>
      </c>
      <c r="Y371" s="24" t="n">
        <f aca="false">IF(OR($U371&lt;&gt;"Yes",$V371=""),0,$W371*IF(MATCH($V371,MonthList,0)&lt;=7,12,19-MATCH($V371,MonthList,0))/12)</f>
        <v>0</v>
      </c>
    </row>
    <row r="372" customFormat="false" ht="15" hidden="false" customHeight="true" outlineLevel="0" collapsed="false">
      <c r="B372" s="18" t="s">
        <v>731</v>
      </c>
      <c r="C372" s="18" t="s">
        <v>732</v>
      </c>
      <c r="D372" s="18" t="s">
        <v>26</v>
      </c>
      <c r="E372" s="18" t="s">
        <v>144</v>
      </c>
      <c r="F372" s="19" t="s">
        <v>57</v>
      </c>
      <c r="G372" s="19" t="s">
        <v>58</v>
      </c>
      <c r="H372" s="19" t="n">
        <v>1</v>
      </c>
      <c r="I372" s="20" t="n">
        <v>0.2051</v>
      </c>
      <c r="J372" s="20" t="n">
        <v>0.2051</v>
      </c>
      <c r="K372" s="21" t="s">
        <v>59</v>
      </c>
      <c r="L372" s="21"/>
      <c r="M372" s="20" t="n">
        <f aca="false">IF(AND($K372="Yes",$G372&lt;&gt;"Vendor day rates"),$J372-0.4*$I372,0)</f>
        <v>0</v>
      </c>
      <c r="N372" s="20" t="n">
        <f aca="false">IF(OR($K372&lt;&gt;"Yes",$L372=""),0,$M372*MAX(0,7-MATCH($L372,MonthList,0))/12)</f>
        <v>0</v>
      </c>
      <c r="O372" s="20" t="n">
        <f aca="false">IF(OR($K372&lt;&gt;"Yes",$L372=""),0,$M372*IF(MATCH($L372,MonthList,0)&lt;=7,12,19-MATCH($L372,MonthList,0))/12)</f>
        <v>0</v>
      </c>
      <c r="P372" s="21" t="s">
        <v>59</v>
      </c>
      <c r="Q372" s="21"/>
      <c r="R372" s="20" t="n">
        <f aca="false">IF(AND($P372="Yes",$G372&lt;&gt;"Vendor day rates"),$J372-0.4*$I372,0)</f>
        <v>0</v>
      </c>
      <c r="S372" s="20" t="n">
        <f aca="false">IF(OR($P372&lt;&gt;"Yes",$Q372=""),0,$R372*MAX(0,7-MATCH($Q372,MonthList,0))/12)</f>
        <v>0</v>
      </c>
      <c r="T372" s="20" t="n">
        <f aca="false">IF(OR($P372&lt;&gt;"Yes",$Q372=""),0,$R372*IF(MATCH($Q372,MonthList,0)&lt;=7,12,19-MATCH($Q372,MonthList,0))/12)</f>
        <v>0</v>
      </c>
      <c r="U372" s="21" t="s">
        <v>59</v>
      </c>
      <c r="V372" s="21"/>
      <c r="W372" s="20" t="n">
        <f aca="false">IF(AND($U372="Yes",$G372&lt;&gt;"Vendor day rates"),$J372-0.4*$I372,0)</f>
        <v>0</v>
      </c>
      <c r="X372" s="20" t="n">
        <f aca="false">IF(OR($U372&lt;&gt;"Yes",$V372=""),0,$W372*MAX(0,7-MATCH($V372,MonthList,0))/12)</f>
        <v>0</v>
      </c>
      <c r="Y372" s="20" t="n">
        <f aca="false">IF(OR($U372&lt;&gt;"Yes",$V372=""),0,$W372*IF(MATCH($V372,MonthList,0)&lt;=7,12,19-MATCH($V372,MonthList,0))/12)</f>
        <v>0</v>
      </c>
    </row>
    <row r="373" customFormat="false" ht="15" hidden="false" customHeight="true" outlineLevel="0" collapsed="false">
      <c r="B373" s="22" t="s">
        <v>733</v>
      </c>
      <c r="C373" s="22" t="s">
        <v>734</v>
      </c>
      <c r="D373" s="22" t="s">
        <v>26</v>
      </c>
      <c r="E373" s="22" t="s">
        <v>144</v>
      </c>
      <c r="F373" s="23" t="s">
        <v>57</v>
      </c>
      <c r="G373" s="23" t="s">
        <v>58</v>
      </c>
      <c r="H373" s="23" t="n">
        <v>1</v>
      </c>
      <c r="I373" s="24" t="n">
        <v>0.1835</v>
      </c>
      <c r="J373" s="24" t="n">
        <v>0.1835</v>
      </c>
      <c r="K373" s="21" t="s">
        <v>59</v>
      </c>
      <c r="L373" s="21"/>
      <c r="M373" s="24" t="n">
        <f aca="false">IF(AND($K373="Yes",$G373&lt;&gt;"Vendor day rates"),$J373-0.4*$I373,0)</f>
        <v>0</v>
      </c>
      <c r="N373" s="24" t="n">
        <f aca="false">IF(OR($K373&lt;&gt;"Yes",$L373=""),0,$M373*MAX(0,7-MATCH($L373,MonthList,0))/12)</f>
        <v>0</v>
      </c>
      <c r="O373" s="24" t="n">
        <f aca="false">IF(OR($K373&lt;&gt;"Yes",$L373=""),0,$M373*IF(MATCH($L373,MonthList,0)&lt;=7,12,19-MATCH($L373,MonthList,0))/12)</f>
        <v>0</v>
      </c>
      <c r="P373" s="21" t="s">
        <v>59</v>
      </c>
      <c r="Q373" s="21"/>
      <c r="R373" s="24" t="n">
        <f aca="false">IF(AND($P373="Yes",$G373&lt;&gt;"Vendor day rates"),$J373-0.4*$I373,0)</f>
        <v>0</v>
      </c>
      <c r="S373" s="24" t="n">
        <f aca="false">IF(OR($P373&lt;&gt;"Yes",$Q373=""),0,$R373*MAX(0,7-MATCH($Q373,MonthList,0))/12)</f>
        <v>0</v>
      </c>
      <c r="T373" s="24" t="n">
        <f aca="false">IF(OR($P373&lt;&gt;"Yes",$Q373=""),0,$R373*IF(MATCH($Q373,MonthList,0)&lt;=7,12,19-MATCH($Q373,MonthList,0))/12)</f>
        <v>0</v>
      </c>
      <c r="U373" s="21" t="s">
        <v>59</v>
      </c>
      <c r="V373" s="21"/>
      <c r="W373" s="24" t="n">
        <f aca="false">IF(AND($U373="Yes",$G373&lt;&gt;"Vendor day rates"),$J373-0.4*$I373,0)</f>
        <v>0</v>
      </c>
      <c r="X373" s="24" t="n">
        <f aca="false">IF(OR($U373&lt;&gt;"Yes",$V373=""),0,$W373*MAX(0,7-MATCH($V373,MonthList,0))/12)</f>
        <v>0</v>
      </c>
      <c r="Y373" s="24" t="n">
        <f aca="false">IF(OR($U373&lt;&gt;"Yes",$V373=""),0,$W373*IF(MATCH($V373,MonthList,0)&lt;=7,12,19-MATCH($V373,MonthList,0))/12)</f>
        <v>0</v>
      </c>
    </row>
    <row r="374" customFormat="false" ht="15" hidden="false" customHeight="true" outlineLevel="0" collapsed="false">
      <c r="B374" s="18" t="s">
        <v>735</v>
      </c>
      <c r="C374" s="18" t="s">
        <v>411</v>
      </c>
      <c r="D374" s="18" t="s">
        <v>20</v>
      </c>
      <c r="E374" s="18" t="s">
        <v>493</v>
      </c>
      <c r="F374" s="19" t="s">
        <v>57</v>
      </c>
      <c r="G374" s="19" t="s">
        <v>58</v>
      </c>
      <c r="H374" s="19" t="n">
        <v>1</v>
      </c>
      <c r="I374" s="20" t="n">
        <v>0.219</v>
      </c>
      <c r="J374" s="20" t="n">
        <v>0.219</v>
      </c>
      <c r="K374" s="21" t="s">
        <v>59</v>
      </c>
      <c r="L374" s="21"/>
      <c r="M374" s="20" t="n">
        <f aca="false">IF(AND($K374="Yes",$G374&lt;&gt;"Vendor day rates"),$J374-0.4*$I374,0)</f>
        <v>0</v>
      </c>
      <c r="N374" s="20" t="n">
        <f aca="false">IF(OR($K374&lt;&gt;"Yes",$L374=""),0,$M374*MAX(0,7-MATCH($L374,MonthList,0))/12)</f>
        <v>0</v>
      </c>
      <c r="O374" s="20" t="n">
        <f aca="false">IF(OR($K374&lt;&gt;"Yes",$L374=""),0,$M374*IF(MATCH($L374,MonthList,0)&lt;=7,12,19-MATCH($L374,MonthList,0))/12)</f>
        <v>0</v>
      </c>
      <c r="P374" s="21" t="s">
        <v>59</v>
      </c>
      <c r="Q374" s="21"/>
      <c r="R374" s="20" t="n">
        <f aca="false">IF(AND($P374="Yes",$G374&lt;&gt;"Vendor day rates"),$J374-0.4*$I374,0)</f>
        <v>0</v>
      </c>
      <c r="S374" s="20" t="n">
        <f aca="false">IF(OR($P374&lt;&gt;"Yes",$Q374=""),0,$R374*MAX(0,7-MATCH($Q374,MonthList,0))/12)</f>
        <v>0</v>
      </c>
      <c r="T374" s="20" t="n">
        <f aca="false">IF(OR($P374&lt;&gt;"Yes",$Q374=""),0,$R374*IF(MATCH($Q374,MonthList,0)&lt;=7,12,19-MATCH($Q374,MonthList,0))/12)</f>
        <v>0</v>
      </c>
      <c r="U374" s="21" t="s">
        <v>59</v>
      </c>
      <c r="V374" s="21"/>
      <c r="W374" s="20" t="n">
        <f aca="false">IF(AND($U374="Yes",$G374&lt;&gt;"Vendor day rates"),$J374-0.4*$I374,0)</f>
        <v>0</v>
      </c>
      <c r="X374" s="20" t="n">
        <f aca="false">IF(OR($U374&lt;&gt;"Yes",$V374=""),0,$W374*MAX(0,7-MATCH($V374,MonthList,0))/12)</f>
        <v>0</v>
      </c>
      <c r="Y374" s="20" t="n">
        <f aca="false">IF(OR($U374&lt;&gt;"Yes",$V374=""),0,$W374*IF(MATCH($V374,MonthList,0)&lt;=7,12,19-MATCH($V374,MonthList,0))/12)</f>
        <v>0</v>
      </c>
    </row>
    <row r="375" customFormat="false" ht="15" hidden="false" customHeight="true" outlineLevel="0" collapsed="false">
      <c r="B375" s="22" t="s">
        <v>736</v>
      </c>
      <c r="C375" s="22" t="s">
        <v>411</v>
      </c>
      <c r="D375" s="22" t="s">
        <v>20</v>
      </c>
      <c r="E375" s="22" t="s">
        <v>351</v>
      </c>
      <c r="F375" s="23" t="s">
        <v>57</v>
      </c>
      <c r="G375" s="23" t="s">
        <v>58</v>
      </c>
      <c r="H375" s="23" t="n">
        <v>1</v>
      </c>
      <c r="I375" s="24" t="n">
        <v>0.2264</v>
      </c>
      <c r="J375" s="24" t="n">
        <v>0.2264</v>
      </c>
      <c r="K375" s="21" t="s">
        <v>59</v>
      </c>
      <c r="L375" s="21"/>
      <c r="M375" s="24" t="n">
        <f aca="false">IF(AND($K375="Yes",$G375&lt;&gt;"Vendor day rates"),$J375-0.4*$I375,0)</f>
        <v>0</v>
      </c>
      <c r="N375" s="24" t="n">
        <f aca="false">IF(OR($K375&lt;&gt;"Yes",$L375=""),0,$M375*MAX(0,7-MATCH($L375,MonthList,0))/12)</f>
        <v>0</v>
      </c>
      <c r="O375" s="24" t="n">
        <f aca="false">IF(OR($K375&lt;&gt;"Yes",$L375=""),0,$M375*IF(MATCH($L375,MonthList,0)&lt;=7,12,19-MATCH($L375,MonthList,0))/12)</f>
        <v>0</v>
      </c>
      <c r="P375" s="21" t="s">
        <v>59</v>
      </c>
      <c r="Q375" s="21"/>
      <c r="R375" s="24" t="n">
        <f aca="false">IF(AND($P375="Yes",$G375&lt;&gt;"Vendor day rates"),$J375-0.4*$I375,0)</f>
        <v>0</v>
      </c>
      <c r="S375" s="24" t="n">
        <f aca="false">IF(OR($P375&lt;&gt;"Yes",$Q375=""),0,$R375*MAX(0,7-MATCH($Q375,MonthList,0))/12)</f>
        <v>0</v>
      </c>
      <c r="T375" s="24" t="n">
        <f aca="false">IF(OR($P375&lt;&gt;"Yes",$Q375=""),0,$R375*IF(MATCH($Q375,MonthList,0)&lt;=7,12,19-MATCH($Q375,MonthList,0))/12)</f>
        <v>0</v>
      </c>
      <c r="U375" s="21" t="s">
        <v>59</v>
      </c>
      <c r="V375" s="21"/>
      <c r="W375" s="24" t="n">
        <f aca="false">IF(AND($U375="Yes",$G375&lt;&gt;"Vendor day rates"),$J375-0.4*$I375,0)</f>
        <v>0</v>
      </c>
      <c r="X375" s="24" t="n">
        <f aca="false">IF(OR($U375&lt;&gt;"Yes",$V375=""),0,$W375*MAX(0,7-MATCH($V375,MonthList,0))/12)</f>
        <v>0</v>
      </c>
      <c r="Y375" s="24" t="n">
        <f aca="false">IF(OR($U375&lt;&gt;"Yes",$V375=""),0,$W375*IF(MATCH($V375,MonthList,0)&lt;=7,12,19-MATCH($V375,MonthList,0))/12)</f>
        <v>0</v>
      </c>
    </row>
    <row r="376" customFormat="false" ht="15" hidden="false" customHeight="true" outlineLevel="0" collapsed="false">
      <c r="B376" s="18" t="s">
        <v>737</v>
      </c>
      <c r="C376" s="18" t="s">
        <v>411</v>
      </c>
      <c r="D376" s="18" t="s">
        <v>19</v>
      </c>
      <c r="E376" s="18" t="s">
        <v>374</v>
      </c>
      <c r="F376" s="19" t="s">
        <v>57</v>
      </c>
      <c r="G376" s="19" t="s">
        <v>58</v>
      </c>
      <c r="H376" s="19" t="n">
        <v>1</v>
      </c>
      <c r="I376" s="20" t="n">
        <v>0.2194</v>
      </c>
      <c r="J376" s="20" t="n">
        <v>0.2194</v>
      </c>
      <c r="K376" s="21" t="s">
        <v>59</v>
      </c>
      <c r="L376" s="21"/>
      <c r="M376" s="20" t="n">
        <f aca="false">IF(AND($K376="Yes",$G376&lt;&gt;"Vendor day rates"),$J376-0.4*$I376,0)</f>
        <v>0</v>
      </c>
      <c r="N376" s="20" t="n">
        <f aca="false">IF(OR($K376&lt;&gt;"Yes",$L376=""),0,$M376*MAX(0,7-MATCH($L376,MonthList,0))/12)</f>
        <v>0</v>
      </c>
      <c r="O376" s="20" t="n">
        <f aca="false">IF(OR($K376&lt;&gt;"Yes",$L376=""),0,$M376*IF(MATCH($L376,MonthList,0)&lt;=7,12,19-MATCH($L376,MonthList,0))/12)</f>
        <v>0</v>
      </c>
      <c r="P376" s="21" t="s">
        <v>59</v>
      </c>
      <c r="Q376" s="21"/>
      <c r="R376" s="20" t="n">
        <f aca="false">IF(AND($P376="Yes",$G376&lt;&gt;"Vendor day rates"),$J376-0.4*$I376,0)</f>
        <v>0</v>
      </c>
      <c r="S376" s="20" t="n">
        <f aca="false">IF(OR($P376&lt;&gt;"Yes",$Q376=""),0,$R376*MAX(0,7-MATCH($Q376,MonthList,0))/12)</f>
        <v>0</v>
      </c>
      <c r="T376" s="20" t="n">
        <f aca="false">IF(OR($P376&lt;&gt;"Yes",$Q376=""),0,$R376*IF(MATCH($Q376,MonthList,0)&lt;=7,12,19-MATCH($Q376,MonthList,0))/12)</f>
        <v>0</v>
      </c>
      <c r="U376" s="21" t="s">
        <v>59</v>
      </c>
      <c r="V376" s="21"/>
      <c r="W376" s="20" t="n">
        <f aca="false">IF(AND($U376="Yes",$G376&lt;&gt;"Vendor day rates"),$J376-0.4*$I376,0)</f>
        <v>0</v>
      </c>
      <c r="X376" s="20" t="n">
        <f aca="false">IF(OR($U376&lt;&gt;"Yes",$V376=""),0,$W376*MAX(0,7-MATCH($V376,MonthList,0))/12)</f>
        <v>0</v>
      </c>
      <c r="Y376" s="20" t="n">
        <f aca="false">IF(OR($U376&lt;&gt;"Yes",$V376=""),0,$W376*IF(MATCH($V376,MonthList,0)&lt;=7,12,19-MATCH($V376,MonthList,0))/12)</f>
        <v>0</v>
      </c>
    </row>
    <row r="377" customFormat="false" ht="15" hidden="false" customHeight="true" outlineLevel="0" collapsed="false">
      <c r="B377" s="22" t="s">
        <v>738</v>
      </c>
      <c r="C377" s="22" t="s">
        <v>138</v>
      </c>
      <c r="D377" s="22" t="s">
        <v>20</v>
      </c>
      <c r="E377" s="22" t="s">
        <v>275</v>
      </c>
      <c r="F377" s="23" t="s">
        <v>57</v>
      </c>
      <c r="G377" s="23" t="s">
        <v>58</v>
      </c>
      <c r="H377" s="23" t="n">
        <v>1</v>
      </c>
      <c r="I377" s="24" t="n">
        <v>0.2792</v>
      </c>
      <c r="J377" s="24" t="n">
        <v>0.2792</v>
      </c>
      <c r="K377" s="21" t="s">
        <v>59</v>
      </c>
      <c r="L377" s="21"/>
      <c r="M377" s="24" t="n">
        <f aca="false">IF(AND($K377="Yes",$G377&lt;&gt;"Vendor day rates"),$J377-0.4*$I377,0)</f>
        <v>0</v>
      </c>
      <c r="N377" s="24" t="n">
        <f aca="false">IF(OR($K377&lt;&gt;"Yes",$L377=""),0,$M377*MAX(0,7-MATCH($L377,MonthList,0))/12)</f>
        <v>0</v>
      </c>
      <c r="O377" s="24" t="n">
        <f aca="false">IF(OR($K377&lt;&gt;"Yes",$L377=""),0,$M377*IF(MATCH($L377,MonthList,0)&lt;=7,12,19-MATCH($L377,MonthList,0))/12)</f>
        <v>0</v>
      </c>
      <c r="P377" s="21" t="s">
        <v>59</v>
      </c>
      <c r="Q377" s="21"/>
      <c r="R377" s="24" t="n">
        <f aca="false">IF(AND($P377="Yes",$G377&lt;&gt;"Vendor day rates"),$J377-0.4*$I377,0)</f>
        <v>0</v>
      </c>
      <c r="S377" s="24" t="n">
        <f aca="false">IF(OR($P377&lt;&gt;"Yes",$Q377=""),0,$R377*MAX(0,7-MATCH($Q377,MonthList,0))/12)</f>
        <v>0</v>
      </c>
      <c r="T377" s="24" t="n">
        <f aca="false">IF(OR($P377&lt;&gt;"Yes",$Q377=""),0,$R377*IF(MATCH($Q377,MonthList,0)&lt;=7,12,19-MATCH($Q377,MonthList,0))/12)</f>
        <v>0</v>
      </c>
      <c r="U377" s="21" t="s">
        <v>59</v>
      </c>
      <c r="V377" s="21"/>
      <c r="W377" s="24" t="n">
        <f aca="false">IF(AND($U377="Yes",$G377&lt;&gt;"Vendor day rates"),$J377-0.4*$I377,0)</f>
        <v>0</v>
      </c>
      <c r="X377" s="24" t="n">
        <f aca="false">IF(OR($U377&lt;&gt;"Yes",$V377=""),0,$W377*MAX(0,7-MATCH($V377,MonthList,0))/12)</f>
        <v>0</v>
      </c>
      <c r="Y377" s="24" t="n">
        <f aca="false">IF(OR($U377&lt;&gt;"Yes",$V377=""),0,$W377*IF(MATCH($V377,MonthList,0)&lt;=7,12,19-MATCH($V377,MonthList,0))/12)</f>
        <v>0</v>
      </c>
    </row>
    <row r="378" customFormat="false" ht="15" hidden="false" customHeight="true" outlineLevel="0" collapsed="false">
      <c r="B378" s="18" t="s">
        <v>739</v>
      </c>
      <c r="C378" s="18" t="s">
        <v>740</v>
      </c>
      <c r="D378" s="18" t="s">
        <v>30</v>
      </c>
      <c r="E378" s="18" t="s">
        <v>433</v>
      </c>
      <c r="F378" s="19" t="s">
        <v>57</v>
      </c>
      <c r="G378" s="19" t="s">
        <v>292</v>
      </c>
      <c r="H378" s="19" t="n">
        <v>1</v>
      </c>
      <c r="I378" s="20" t="n">
        <v>0.2016</v>
      </c>
      <c r="J378" s="20" t="n">
        <v>0</v>
      </c>
      <c r="K378" s="21" t="s">
        <v>59</v>
      </c>
      <c r="L378" s="21"/>
      <c r="M378" s="20" t="n">
        <f aca="false">IF(AND($K378="Yes",$G378&lt;&gt;"Vendor day rates"),$J378-0.4*$I378,0)</f>
        <v>0</v>
      </c>
      <c r="N378" s="20" t="n">
        <f aca="false">IF(OR($K378&lt;&gt;"Yes",$L378=""),0,$M378*MAX(0,7-MATCH($L378,MonthList,0))/12)</f>
        <v>0</v>
      </c>
      <c r="O378" s="20" t="n">
        <f aca="false">IF(OR($K378&lt;&gt;"Yes",$L378=""),0,$M378*IF(MATCH($L378,MonthList,0)&lt;=7,12,19-MATCH($L378,MonthList,0))/12)</f>
        <v>0</v>
      </c>
      <c r="P378" s="21" t="s">
        <v>59</v>
      </c>
      <c r="Q378" s="21"/>
      <c r="R378" s="20" t="n">
        <f aca="false">IF(AND($P378="Yes",$G378&lt;&gt;"Vendor day rates"),$J378-0.4*$I378,0)</f>
        <v>0</v>
      </c>
      <c r="S378" s="20" t="n">
        <f aca="false">IF(OR($P378&lt;&gt;"Yes",$Q378=""),0,$R378*MAX(0,7-MATCH($Q378,MonthList,0))/12)</f>
        <v>0</v>
      </c>
      <c r="T378" s="20" t="n">
        <f aca="false">IF(OR($P378&lt;&gt;"Yes",$Q378=""),0,$R378*IF(MATCH($Q378,MonthList,0)&lt;=7,12,19-MATCH($Q378,MonthList,0))/12)</f>
        <v>0</v>
      </c>
      <c r="U378" s="21" t="s">
        <v>59</v>
      </c>
      <c r="V378" s="21"/>
      <c r="W378" s="20" t="n">
        <f aca="false">IF(AND($U378="Yes",$G378&lt;&gt;"Vendor day rates"),$J378-0.4*$I378,0)</f>
        <v>0</v>
      </c>
      <c r="X378" s="20" t="n">
        <f aca="false">IF(OR($U378&lt;&gt;"Yes",$V378=""),0,$W378*MAX(0,7-MATCH($V378,MonthList,0))/12)</f>
        <v>0</v>
      </c>
      <c r="Y378" s="20" t="n">
        <f aca="false">IF(OR($U378&lt;&gt;"Yes",$V378=""),0,$W378*IF(MATCH($V378,MonthList,0)&lt;=7,12,19-MATCH($V378,MonthList,0))/12)</f>
        <v>0</v>
      </c>
    </row>
    <row r="379" customFormat="false" ht="15" hidden="false" customHeight="true" outlineLevel="0" collapsed="false">
      <c r="B379" s="22" t="s">
        <v>741</v>
      </c>
      <c r="C379" s="22" t="s">
        <v>138</v>
      </c>
      <c r="D379" s="22" t="s">
        <v>19</v>
      </c>
      <c r="E379" s="22" t="s">
        <v>374</v>
      </c>
      <c r="F379" s="23" t="s">
        <v>57</v>
      </c>
      <c r="G379" s="23" t="s">
        <v>292</v>
      </c>
      <c r="H379" s="23" t="n">
        <v>1</v>
      </c>
      <c r="I379" s="24" t="n">
        <v>0.2029</v>
      </c>
      <c r="J379" s="24" t="n">
        <v>0</v>
      </c>
      <c r="K379" s="21" t="s">
        <v>59</v>
      </c>
      <c r="L379" s="21"/>
      <c r="M379" s="24" t="n">
        <f aca="false">IF(AND($K379="Yes",$G379&lt;&gt;"Vendor day rates"),$J379-0.4*$I379,0)</f>
        <v>0</v>
      </c>
      <c r="N379" s="24" t="n">
        <f aca="false">IF(OR($K379&lt;&gt;"Yes",$L379=""),0,$M379*MAX(0,7-MATCH($L379,MonthList,0))/12)</f>
        <v>0</v>
      </c>
      <c r="O379" s="24" t="n">
        <f aca="false">IF(OR($K379&lt;&gt;"Yes",$L379=""),0,$M379*IF(MATCH($L379,MonthList,0)&lt;=7,12,19-MATCH($L379,MonthList,0))/12)</f>
        <v>0</v>
      </c>
      <c r="P379" s="21" t="s">
        <v>59</v>
      </c>
      <c r="Q379" s="21"/>
      <c r="R379" s="24" t="n">
        <f aca="false">IF(AND($P379="Yes",$G379&lt;&gt;"Vendor day rates"),$J379-0.4*$I379,0)</f>
        <v>0</v>
      </c>
      <c r="S379" s="24" t="n">
        <f aca="false">IF(OR($P379&lt;&gt;"Yes",$Q379=""),0,$R379*MAX(0,7-MATCH($Q379,MonthList,0))/12)</f>
        <v>0</v>
      </c>
      <c r="T379" s="24" t="n">
        <f aca="false">IF(OR($P379&lt;&gt;"Yes",$Q379=""),0,$R379*IF(MATCH($Q379,MonthList,0)&lt;=7,12,19-MATCH($Q379,MonthList,0))/12)</f>
        <v>0</v>
      </c>
      <c r="U379" s="21" t="s">
        <v>59</v>
      </c>
      <c r="V379" s="21"/>
      <c r="W379" s="24" t="n">
        <f aca="false">IF(AND($U379="Yes",$G379&lt;&gt;"Vendor day rates"),$J379-0.4*$I379,0)</f>
        <v>0</v>
      </c>
      <c r="X379" s="24" t="n">
        <f aca="false">IF(OR($U379&lt;&gt;"Yes",$V379=""),0,$W379*MAX(0,7-MATCH($V379,MonthList,0))/12)</f>
        <v>0</v>
      </c>
      <c r="Y379" s="24" t="n">
        <f aca="false">IF(OR($U379&lt;&gt;"Yes",$V379=""),0,$W379*IF(MATCH($V379,MonthList,0)&lt;=7,12,19-MATCH($V379,MonthList,0))/12)</f>
        <v>0</v>
      </c>
    </row>
    <row r="380" customFormat="false" ht="15" hidden="false" customHeight="true" outlineLevel="0" collapsed="false">
      <c r="B380" s="18" t="s">
        <v>742</v>
      </c>
      <c r="C380" s="18" t="s">
        <v>138</v>
      </c>
      <c r="D380" s="18" t="s">
        <v>19</v>
      </c>
      <c r="E380" s="18" t="s">
        <v>387</v>
      </c>
      <c r="F380" s="19" t="s">
        <v>57</v>
      </c>
      <c r="G380" s="19" t="s">
        <v>145</v>
      </c>
      <c r="H380" s="19" t="n">
        <v>1</v>
      </c>
      <c r="I380" s="20" t="n">
        <v>0.2029</v>
      </c>
      <c r="J380" s="20" t="n">
        <v>0.2029</v>
      </c>
      <c r="K380" s="21" t="s">
        <v>59</v>
      </c>
      <c r="L380" s="21"/>
      <c r="M380" s="20" t="n">
        <f aca="false">IF(AND($K380="Yes",$G380&lt;&gt;"Vendor day rates"),$J380-0.4*$I380,0)</f>
        <v>0</v>
      </c>
      <c r="N380" s="20" t="n">
        <f aca="false">IF(OR($K380&lt;&gt;"Yes",$L380=""),0,$M380*MAX(0,7-MATCH($L380,MonthList,0))/12)</f>
        <v>0</v>
      </c>
      <c r="O380" s="20" t="n">
        <f aca="false">IF(OR($K380&lt;&gt;"Yes",$L380=""),0,$M380*IF(MATCH($L380,MonthList,0)&lt;=7,12,19-MATCH($L380,MonthList,0))/12)</f>
        <v>0</v>
      </c>
      <c r="P380" s="21" t="s">
        <v>59</v>
      </c>
      <c r="Q380" s="21"/>
      <c r="R380" s="20" t="n">
        <f aca="false">IF(AND($P380="Yes",$G380&lt;&gt;"Vendor day rates"),$J380-0.4*$I380,0)</f>
        <v>0</v>
      </c>
      <c r="S380" s="20" t="n">
        <f aca="false">IF(OR($P380&lt;&gt;"Yes",$Q380=""),0,$R380*MAX(0,7-MATCH($Q380,MonthList,0))/12)</f>
        <v>0</v>
      </c>
      <c r="T380" s="20" t="n">
        <f aca="false">IF(OR($P380&lt;&gt;"Yes",$Q380=""),0,$R380*IF(MATCH($Q380,MonthList,0)&lt;=7,12,19-MATCH($Q380,MonthList,0))/12)</f>
        <v>0</v>
      </c>
      <c r="U380" s="21" t="s">
        <v>59</v>
      </c>
      <c r="V380" s="21"/>
      <c r="W380" s="20" t="n">
        <f aca="false">IF(AND($U380="Yes",$G380&lt;&gt;"Vendor day rates"),$J380-0.4*$I380,0)</f>
        <v>0</v>
      </c>
      <c r="X380" s="20" t="n">
        <f aca="false">IF(OR($U380&lt;&gt;"Yes",$V380=""),0,$W380*MAX(0,7-MATCH($V380,MonthList,0))/12)</f>
        <v>0</v>
      </c>
      <c r="Y380" s="20" t="n">
        <f aca="false">IF(OR($U380&lt;&gt;"Yes",$V380=""),0,$W380*IF(MATCH($V380,MonthList,0)&lt;=7,12,19-MATCH($V380,MonthList,0))/12)</f>
        <v>0</v>
      </c>
    </row>
    <row r="381" customFormat="false" ht="15" hidden="false" customHeight="true" outlineLevel="0" collapsed="false">
      <c r="B381" s="22" t="s">
        <v>743</v>
      </c>
      <c r="C381" s="22" t="s">
        <v>744</v>
      </c>
      <c r="D381" s="22" t="s">
        <v>21</v>
      </c>
      <c r="E381" s="22" t="s">
        <v>98</v>
      </c>
      <c r="F381" s="23" t="s">
        <v>57</v>
      </c>
      <c r="G381" s="23" t="s">
        <v>58</v>
      </c>
      <c r="H381" s="23" t="n">
        <v>1</v>
      </c>
      <c r="I381" s="24" t="n">
        <v>0.211</v>
      </c>
      <c r="J381" s="24" t="n">
        <v>0.211</v>
      </c>
      <c r="K381" s="21" t="s">
        <v>59</v>
      </c>
      <c r="L381" s="21"/>
      <c r="M381" s="24" t="n">
        <f aca="false">IF(AND($K381="Yes",$G381&lt;&gt;"Vendor day rates"),$J381-0.4*$I381,0)</f>
        <v>0</v>
      </c>
      <c r="N381" s="24" t="n">
        <f aca="false">IF(OR($K381&lt;&gt;"Yes",$L381=""),0,$M381*MAX(0,7-MATCH($L381,MonthList,0))/12)</f>
        <v>0</v>
      </c>
      <c r="O381" s="24" t="n">
        <f aca="false">IF(OR($K381&lt;&gt;"Yes",$L381=""),0,$M381*IF(MATCH($L381,MonthList,0)&lt;=7,12,19-MATCH($L381,MonthList,0))/12)</f>
        <v>0</v>
      </c>
      <c r="P381" s="21" t="s">
        <v>59</v>
      </c>
      <c r="Q381" s="21"/>
      <c r="R381" s="24" t="n">
        <f aca="false">IF(AND($P381="Yes",$G381&lt;&gt;"Vendor day rates"),$J381-0.4*$I381,0)</f>
        <v>0</v>
      </c>
      <c r="S381" s="24" t="n">
        <f aca="false">IF(OR($P381&lt;&gt;"Yes",$Q381=""),0,$R381*MAX(0,7-MATCH($Q381,MonthList,0))/12)</f>
        <v>0</v>
      </c>
      <c r="T381" s="24" t="n">
        <f aca="false">IF(OR($P381&lt;&gt;"Yes",$Q381=""),0,$R381*IF(MATCH($Q381,MonthList,0)&lt;=7,12,19-MATCH($Q381,MonthList,0))/12)</f>
        <v>0</v>
      </c>
      <c r="U381" s="21" t="s">
        <v>59</v>
      </c>
      <c r="V381" s="21"/>
      <c r="W381" s="24" t="n">
        <f aca="false">IF(AND($U381="Yes",$G381&lt;&gt;"Vendor day rates"),$J381-0.4*$I381,0)</f>
        <v>0</v>
      </c>
      <c r="X381" s="24" t="n">
        <f aca="false">IF(OR($U381&lt;&gt;"Yes",$V381=""),0,$W381*MAX(0,7-MATCH($V381,MonthList,0))/12)</f>
        <v>0</v>
      </c>
      <c r="Y381" s="24" t="n">
        <f aca="false">IF(OR($U381&lt;&gt;"Yes",$V381=""),0,$W381*IF(MATCH($V381,MonthList,0)&lt;=7,12,19-MATCH($V381,MonthList,0))/12)</f>
        <v>0</v>
      </c>
    </row>
    <row r="382" customFormat="false" ht="15" hidden="false" customHeight="true" outlineLevel="0" collapsed="false">
      <c r="B382" s="18" t="s">
        <v>745</v>
      </c>
      <c r="C382" s="18" t="s">
        <v>61</v>
      </c>
      <c r="D382" s="18" t="s">
        <v>29</v>
      </c>
      <c r="E382" s="18" t="s">
        <v>313</v>
      </c>
      <c r="F382" s="19" t="s">
        <v>57</v>
      </c>
      <c r="G382" s="19" t="s">
        <v>58</v>
      </c>
      <c r="H382" s="19" t="n">
        <v>1</v>
      </c>
      <c r="I382" s="20" t="n">
        <v>0.2103</v>
      </c>
      <c r="J382" s="20" t="n">
        <v>0.2103</v>
      </c>
      <c r="K382" s="21" t="s">
        <v>59</v>
      </c>
      <c r="L382" s="21"/>
      <c r="M382" s="20" t="n">
        <f aca="false">IF(AND($K382="Yes",$G382&lt;&gt;"Vendor day rates"),$J382-0.4*$I382,0)</f>
        <v>0</v>
      </c>
      <c r="N382" s="20" t="n">
        <f aca="false">IF(OR($K382&lt;&gt;"Yes",$L382=""),0,$M382*MAX(0,7-MATCH($L382,MonthList,0))/12)</f>
        <v>0</v>
      </c>
      <c r="O382" s="20" t="n">
        <f aca="false">IF(OR($K382&lt;&gt;"Yes",$L382=""),0,$M382*IF(MATCH($L382,MonthList,0)&lt;=7,12,19-MATCH($L382,MonthList,0))/12)</f>
        <v>0</v>
      </c>
      <c r="P382" s="21" t="s">
        <v>59</v>
      </c>
      <c r="Q382" s="21"/>
      <c r="R382" s="20" t="n">
        <f aca="false">IF(AND($P382="Yes",$G382&lt;&gt;"Vendor day rates"),$J382-0.4*$I382,0)</f>
        <v>0</v>
      </c>
      <c r="S382" s="20" t="n">
        <f aca="false">IF(OR($P382&lt;&gt;"Yes",$Q382=""),0,$R382*MAX(0,7-MATCH($Q382,MonthList,0))/12)</f>
        <v>0</v>
      </c>
      <c r="T382" s="20" t="n">
        <f aca="false">IF(OR($P382&lt;&gt;"Yes",$Q382=""),0,$R382*IF(MATCH($Q382,MonthList,0)&lt;=7,12,19-MATCH($Q382,MonthList,0))/12)</f>
        <v>0</v>
      </c>
      <c r="U382" s="21" t="s">
        <v>59</v>
      </c>
      <c r="V382" s="21"/>
      <c r="W382" s="20" t="n">
        <f aca="false">IF(AND($U382="Yes",$G382&lt;&gt;"Vendor day rates"),$J382-0.4*$I382,0)</f>
        <v>0</v>
      </c>
      <c r="X382" s="20" t="n">
        <f aca="false">IF(OR($U382&lt;&gt;"Yes",$V382=""),0,$W382*MAX(0,7-MATCH($V382,MonthList,0))/12)</f>
        <v>0</v>
      </c>
      <c r="Y382" s="20" t="n">
        <f aca="false">IF(OR($U382&lt;&gt;"Yes",$V382=""),0,$W382*IF(MATCH($V382,MonthList,0)&lt;=7,12,19-MATCH($V382,MonthList,0))/12)</f>
        <v>0</v>
      </c>
    </row>
    <row r="383" customFormat="false" ht="15" hidden="false" customHeight="true" outlineLevel="0" collapsed="false">
      <c r="B383" s="22" t="s">
        <v>746</v>
      </c>
      <c r="C383" s="22" t="s">
        <v>747</v>
      </c>
      <c r="D383" s="22" t="s">
        <v>30</v>
      </c>
      <c r="E383" s="22" t="s">
        <v>440</v>
      </c>
      <c r="F383" s="23" t="s">
        <v>57</v>
      </c>
      <c r="G383" s="23" t="s">
        <v>145</v>
      </c>
      <c r="H383" s="23" t="n">
        <v>1</v>
      </c>
      <c r="I383" s="24" t="n">
        <v>0.2016</v>
      </c>
      <c r="J383" s="24" t="n">
        <v>0.2016</v>
      </c>
      <c r="K383" s="21" t="s">
        <v>59</v>
      </c>
      <c r="L383" s="21"/>
      <c r="M383" s="24" t="n">
        <f aca="false">IF(AND($K383="Yes",$G383&lt;&gt;"Vendor day rates"),$J383-0.4*$I383,0)</f>
        <v>0</v>
      </c>
      <c r="N383" s="24" t="n">
        <f aca="false">IF(OR($K383&lt;&gt;"Yes",$L383=""),0,$M383*MAX(0,7-MATCH($L383,MonthList,0))/12)</f>
        <v>0</v>
      </c>
      <c r="O383" s="24" t="n">
        <f aca="false">IF(OR($K383&lt;&gt;"Yes",$L383=""),0,$M383*IF(MATCH($L383,MonthList,0)&lt;=7,12,19-MATCH($L383,MonthList,0))/12)</f>
        <v>0</v>
      </c>
      <c r="P383" s="21" t="s">
        <v>59</v>
      </c>
      <c r="Q383" s="21"/>
      <c r="R383" s="24" t="n">
        <f aca="false">IF(AND($P383="Yes",$G383&lt;&gt;"Vendor day rates"),$J383-0.4*$I383,0)</f>
        <v>0</v>
      </c>
      <c r="S383" s="24" t="n">
        <f aca="false">IF(OR($P383&lt;&gt;"Yes",$Q383=""),0,$R383*MAX(0,7-MATCH($Q383,MonthList,0))/12)</f>
        <v>0</v>
      </c>
      <c r="T383" s="24" t="n">
        <f aca="false">IF(OR($P383&lt;&gt;"Yes",$Q383=""),0,$R383*IF(MATCH($Q383,MonthList,0)&lt;=7,12,19-MATCH($Q383,MonthList,0))/12)</f>
        <v>0</v>
      </c>
      <c r="U383" s="21" t="s">
        <v>59</v>
      </c>
      <c r="V383" s="21"/>
      <c r="W383" s="24" t="n">
        <f aca="false">IF(AND($U383="Yes",$G383&lt;&gt;"Vendor day rates"),$J383-0.4*$I383,0)</f>
        <v>0</v>
      </c>
      <c r="X383" s="24" t="n">
        <f aca="false">IF(OR($U383&lt;&gt;"Yes",$V383=""),0,$W383*MAX(0,7-MATCH($V383,MonthList,0))/12)</f>
        <v>0</v>
      </c>
      <c r="Y383" s="24" t="n">
        <f aca="false">IF(OR($U383&lt;&gt;"Yes",$V383=""),0,$W383*IF(MATCH($V383,MonthList,0)&lt;=7,12,19-MATCH($V383,MonthList,0))/12)</f>
        <v>0</v>
      </c>
    </row>
    <row r="384" customFormat="false" ht="15" hidden="false" customHeight="true" outlineLevel="0" collapsed="false">
      <c r="B384" s="18" t="s">
        <v>748</v>
      </c>
      <c r="C384" s="18" t="s">
        <v>749</v>
      </c>
      <c r="D384" s="18" t="s">
        <v>27</v>
      </c>
      <c r="E384" s="18" t="s">
        <v>503</v>
      </c>
      <c r="F384" s="19" t="s">
        <v>57</v>
      </c>
      <c r="G384" s="19" t="s">
        <v>145</v>
      </c>
      <c r="H384" s="19" t="n">
        <v>1</v>
      </c>
      <c r="I384" s="20" t="n">
        <v>0.2016</v>
      </c>
      <c r="J384" s="20" t="n">
        <v>0.2016</v>
      </c>
      <c r="K384" s="21" t="s">
        <v>59</v>
      </c>
      <c r="L384" s="21"/>
      <c r="M384" s="20" t="n">
        <f aca="false">IF(AND($K384="Yes",$G384&lt;&gt;"Vendor day rates"),$J384-0.4*$I384,0)</f>
        <v>0</v>
      </c>
      <c r="N384" s="20" t="n">
        <f aca="false">IF(OR($K384&lt;&gt;"Yes",$L384=""),0,$M384*MAX(0,7-MATCH($L384,MonthList,0))/12)</f>
        <v>0</v>
      </c>
      <c r="O384" s="20" t="n">
        <f aca="false">IF(OR($K384&lt;&gt;"Yes",$L384=""),0,$M384*IF(MATCH($L384,MonthList,0)&lt;=7,12,19-MATCH($L384,MonthList,0))/12)</f>
        <v>0</v>
      </c>
      <c r="P384" s="21" t="s">
        <v>59</v>
      </c>
      <c r="Q384" s="21"/>
      <c r="R384" s="20" t="n">
        <f aca="false">IF(AND($P384="Yes",$G384&lt;&gt;"Vendor day rates"),$J384-0.4*$I384,0)</f>
        <v>0</v>
      </c>
      <c r="S384" s="20" t="n">
        <f aca="false">IF(OR($P384&lt;&gt;"Yes",$Q384=""),0,$R384*MAX(0,7-MATCH($Q384,MonthList,0))/12)</f>
        <v>0</v>
      </c>
      <c r="T384" s="20" t="n">
        <f aca="false">IF(OR($P384&lt;&gt;"Yes",$Q384=""),0,$R384*IF(MATCH($Q384,MonthList,0)&lt;=7,12,19-MATCH($Q384,MonthList,0))/12)</f>
        <v>0</v>
      </c>
      <c r="U384" s="21" t="s">
        <v>59</v>
      </c>
      <c r="V384" s="21"/>
      <c r="W384" s="20" t="n">
        <f aca="false">IF(AND($U384="Yes",$G384&lt;&gt;"Vendor day rates"),$J384-0.4*$I384,0)</f>
        <v>0</v>
      </c>
      <c r="X384" s="20" t="n">
        <f aca="false">IF(OR($U384&lt;&gt;"Yes",$V384=""),0,$W384*MAX(0,7-MATCH($V384,MonthList,0))/12)</f>
        <v>0</v>
      </c>
      <c r="Y384" s="20" t="n">
        <f aca="false">IF(OR($U384&lt;&gt;"Yes",$V384=""),0,$W384*IF(MATCH($V384,MonthList,0)&lt;=7,12,19-MATCH($V384,MonthList,0))/12)</f>
        <v>0</v>
      </c>
    </row>
    <row r="385" customFormat="false" ht="15" hidden="false" customHeight="true" outlineLevel="0" collapsed="false">
      <c r="B385" s="22" t="s">
        <v>750</v>
      </c>
      <c r="C385" s="22" t="s">
        <v>751</v>
      </c>
      <c r="D385" s="22"/>
      <c r="E385" s="22" t="s">
        <v>295</v>
      </c>
      <c r="F385" s="23" t="s">
        <v>57</v>
      </c>
      <c r="G385" s="23" t="s">
        <v>145</v>
      </c>
      <c r="H385" s="23" t="n">
        <v>1</v>
      </c>
      <c r="I385" s="24" t="n">
        <v>0.2029</v>
      </c>
      <c r="J385" s="24" t="n">
        <v>0.2029</v>
      </c>
      <c r="K385" s="21" t="s">
        <v>59</v>
      </c>
      <c r="L385" s="21"/>
      <c r="M385" s="24" t="n">
        <f aca="false">IF(AND($K385="Yes",$G385&lt;&gt;"Vendor day rates"),$J385-0.4*$I385,0)</f>
        <v>0</v>
      </c>
      <c r="N385" s="24" t="n">
        <f aca="false">IF(OR($K385&lt;&gt;"Yes",$L385=""),0,$M385*MAX(0,7-MATCH($L385,MonthList,0))/12)</f>
        <v>0</v>
      </c>
      <c r="O385" s="24" t="n">
        <f aca="false">IF(OR($K385&lt;&gt;"Yes",$L385=""),0,$M385*IF(MATCH($L385,MonthList,0)&lt;=7,12,19-MATCH($L385,MonthList,0))/12)</f>
        <v>0</v>
      </c>
      <c r="P385" s="21" t="s">
        <v>59</v>
      </c>
      <c r="Q385" s="21"/>
      <c r="R385" s="24" t="n">
        <f aca="false">IF(AND($P385="Yes",$G385&lt;&gt;"Vendor day rates"),$J385-0.4*$I385,0)</f>
        <v>0</v>
      </c>
      <c r="S385" s="24" t="n">
        <f aca="false">IF(OR($P385&lt;&gt;"Yes",$Q385=""),0,$R385*MAX(0,7-MATCH($Q385,MonthList,0))/12)</f>
        <v>0</v>
      </c>
      <c r="T385" s="24" t="n">
        <f aca="false">IF(OR($P385&lt;&gt;"Yes",$Q385=""),0,$R385*IF(MATCH($Q385,MonthList,0)&lt;=7,12,19-MATCH($Q385,MonthList,0))/12)</f>
        <v>0</v>
      </c>
      <c r="U385" s="21" t="s">
        <v>59</v>
      </c>
      <c r="V385" s="21"/>
      <c r="W385" s="24" t="n">
        <f aca="false">IF(AND($U385="Yes",$G385&lt;&gt;"Vendor day rates"),$J385-0.4*$I385,0)</f>
        <v>0</v>
      </c>
      <c r="X385" s="24" t="n">
        <f aca="false">IF(OR($U385&lt;&gt;"Yes",$V385=""),0,$W385*MAX(0,7-MATCH($V385,MonthList,0))/12)</f>
        <v>0</v>
      </c>
      <c r="Y385" s="24" t="n">
        <f aca="false">IF(OR($U385&lt;&gt;"Yes",$V385=""),0,$W385*IF(MATCH($V385,MonthList,0)&lt;=7,12,19-MATCH($V385,MonthList,0))/12)</f>
        <v>0</v>
      </c>
    </row>
    <row r="386" customFormat="false" ht="15" hidden="false" customHeight="true" outlineLevel="0" collapsed="false">
      <c r="B386" s="18" t="s">
        <v>752</v>
      </c>
      <c r="C386" s="18" t="s">
        <v>753</v>
      </c>
      <c r="D386" s="18" t="s">
        <v>29</v>
      </c>
      <c r="E386" s="18" t="s">
        <v>549</v>
      </c>
      <c r="F386" s="19" t="s">
        <v>57</v>
      </c>
      <c r="G386" s="19" t="s">
        <v>462</v>
      </c>
      <c r="H386" s="19" t="n">
        <v>1</v>
      </c>
      <c r="I386" s="20" t="n">
        <v>0.2029</v>
      </c>
      <c r="J386" s="20" t="n">
        <v>0.0609</v>
      </c>
      <c r="K386" s="21" t="s">
        <v>59</v>
      </c>
      <c r="L386" s="21"/>
      <c r="M386" s="20" t="n">
        <f aca="false">IF(AND($K386="Yes",$G386&lt;&gt;"Vendor day rates"),$J386-0.4*$I386,0)</f>
        <v>0</v>
      </c>
      <c r="N386" s="20" t="n">
        <f aca="false">IF(OR($K386&lt;&gt;"Yes",$L386=""),0,$M386*MAX(0,7-MATCH($L386,MonthList,0))/12)</f>
        <v>0</v>
      </c>
      <c r="O386" s="20" t="n">
        <f aca="false">IF(OR($K386&lt;&gt;"Yes",$L386=""),0,$M386*IF(MATCH($L386,MonthList,0)&lt;=7,12,19-MATCH($L386,MonthList,0))/12)</f>
        <v>0</v>
      </c>
      <c r="P386" s="21" t="s">
        <v>59</v>
      </c>
      <c r="Q386" s="21"/>
      <c r="R386" s="20" t="n">
        <f aca="false">IF(AND($P386="Yes",$G386&lt;&gt;"Vendor day rates"),$J386-0.4*$I386,0)</f>
        <v>0</v>
      </c>
      <c r="S386" s="20" t="n">
        <f aca="false">IF(OR($P386&lt;&gt;"Yes",$Q386=""),0,$R386*MAX(0,7-MATCH($Q386,MonthList,0))/12)</f>
        <v>0</v>
      </c>
      <c r="T386" s="20" t="n">
        <f aca="false">IF(OR($P386&lt;&gt;"Yes",$Q386=""),0,$R386*IF(MATCH($Q386,MonthList,0)&lt;=7,12,19-MATCH($Q386,MonthList,0))/12)</f>
        <v>0</v>
      </c>
      <c r="U386" s="21" t="s">
        <v>59</v>
      </c>
      <c r="V386" s="21"/>
      <c r="W386" s="20" t="n">
        <f aca="false">IF(AND($U386="Yes",$G386&lt;&gt;"Vendor day rates"),$J386-0.4*$I386,0)</f>
        <v>0</v>
      </c>
      <c r="X386" s="20" t="n">
        <f aca="false">IF(OR($U386&lt;&gt;"Yes",$V386=""),0,$W386*MAX(0,7-MATCH($V386,MonthList,0))/12)</f>
        <v>0</v>
      </c>
      <c r="Y386" s="20" t="n">
        <f aca="false">IF(OR($U386&lt;&gt;"Yes",$V386=""),0,$W386*IF(MATCH($V386,MonthList,0)&lt;=7,12,19-MATCH($V386,MonthList,0))/12)</f>
        <v>0</v>
      </c>
    </row>
    <row r="387" customFormat="false" ht="15" hidden="false" customHeight="true" outlineLevel="0" collapsed="false">
      <c r="B387" s="22" t="s">
        <v>754</v>
      </c>
      <c r="C387" s="22" t="s">
        <v>755</v>
      </c>
      <c r="D387" s="22" t="s">
        <v>30</v>
      </c>
      <c r="E387" s="22" t="s">
        <v>433</v>
      </c>
      <c r="F387" s="23" t="s">
        <v>57</v>
      </c>
      <c r="G387" s="23" t="s">
        <v>118</v>
      </c>
      <c r="H387" s="23" t="n">
        <v>1</v>
      </c>
      <c r="I387" s="24" t="n">
        <v>0.1869</v>
      </c>
      <c r="J387" s="24" t="n">
        <v>0.0748</v>
      </c>
      <c r="K387" s="21" t="s">
        <v>59</v>
      </c>
      <c r="L387" s="21"/>
      <c r="M387" s="24" t="n">
        <f aca="false">IF(AND($K387="Yes",$G387&lt;&gt;"Vendor day rates"),$J387-0.4*$I387,0)</f>
        <v>0</v>
      </c>
      <c r="N387" s="24" t="n">
        <f aca="false">IF(OR($K387&lt;&gt;"Yes",$L387=""),0,$M387*MAX(0,7-MATCH($L387,MonthList,0))/12)</f>
        <v>0</v>
      </c>
      <c r="O387" s="24" t="n">
        <f aca="false">IF(OR($K387&lt;&gt;"Yes",$L387=""),0,$M387*IF(MATCH($L387,MonthList,0)&lt;=7,12,19-MATCH($L387,MonthList,0))/12)</f>
        <v>0</v>
      </c>
      <c r="P387" s="21" t="s">
        <v>59</v>
      </c>
      <c r="Q387" s="21"/>
      <c r="R387" s="24" t="n">
        <f aca="false">IF(AND($P387="Yes",$G387&lt;&gt;"Vendor day rates"),$J387-0.4*$I387,0)</f>
        <v>0</v>
      </c>
      <c r="S387" s="24" t="n">
        <f aca="false">IF(OR($P387&lt;&gt;"Yes",$Q387=""),0,$R387*MAX(0,7-MATCH($Q387,MonthList,0))/12)</f>
        <v>0</v>
      </c>
      <c r="T387" s="24" t="n">
        <f aca="false">IF(OR($P387&lt;&gt;"Yes",$Q387=""),0,$R387*IF(MATCH($Q387,MonthList,0)&lt;=7,12,19-MATCH($Q387,MonthList,0))/12)</f>
        <v>0</v>
      </c>
      <c r="U387" s="21" t="s">
        <v>59</v>
      </c>
      <c r="V387" s="21"/>
      <c r="W387" s="24" t="n">
        <f aca="false">IF(AND($U387="Yes",$G387&lt;&gt;"Vendor day rates"),$J387-0.4*$I387,0)</f>
        <v>0</v>
      </c>
      <c r="X387" s="24" t="n">
        <f aca="false">IF(OR($U387&lt;&gt;"Yes",$V387=""),0,$W387*MAX(0,7-MATCH($V387,MonthList,0))/12)</f>
        <v>0</v>
      </c>
      <c r="Y387" s="24" t="n">
        <f aca="false">IF(OR($U387&lt;&gt;"Yes",$V387=""),0,$W387*IF(MATCH($V387,MonthList,0)&lt;=7,12,19-MATCH($V387,MonthList,0))/12)</f>
        <v>0</v>
      </c>
    </row>
    <row r="388" customFormat="false" ht="15" hidden="false" customHeight="true" outlineLevel="0" collapsed="false">
      <c r="B388" s="18" t="s">
        <v>756</v>
      </c>
      <c r="C388" s="18" t="s">
        <v>757</v>
      </c>
      <c r="D388" s="18" t="s">
        <v>20</v>
      </c>
      <c r="E388" s="18" t="s">
        <v>533</v>
      </c>
      <c r="F388" s="19" t="s">
        <v>57</v>
      </c>
      <c r="G388" s="19" t="s">
        <v>118</v>
      </c>
      <c r="H388" s="19" t="n">
        <v>1</v>
      </c>
      <c r="I388" s="20" t="n">
        <v>0.2683</v>
      </c>
      <c r="J388" s="20" t="n">
        <v>0.1073</v>
      </c>
      <c r="K388" s="21" t="s">
        <v>59</v>
      </c>
      <c r="L388" s="21"/>
      <c r="M388" s="20" t="n">
        <f aca="false">IF(AND($K388="Yes",$G388&lt;&gt;"Vendor day rates"),$J388-0.4*$I388,0)</f>
        <v>0</v>
      </c>
      <c r="N388" s="20" t="n">
        <f aca="false">IF(OR($K388&lt;&gt;"Yes",$L388=""),0,$M388*MAX(0,7-MATCH($L388,MonthList,0))/12)</f>
        <v>0</v>
      </c>
      <c r="O388" s="20" t="n">
        <f aca="false">IF(OR($K388&lt;&gt;"Yes",$L388=""),0,$M388*IF(MATCH($L388,MonthList,0)&lt;=7,12,19-MATCH($L388,MonthList,0))/12)</f>
        <v>0</v>
      </c>
      <c r="P388" s="21" t="s">
        <v>59</v>
      </c>
      <c r="Q388" s="21"/>
      <c r="R388" s="20" t="n">
        <f aca="false">IF(AND($P388="Yes",$G388&lt;&gt;"Vendor day rates"),$J388-0.4*$I388,0)</f>
        <v>0</v>
      </c>
      <c r="S388" s="20" t="n">
        <f aca="false">IF(OR($P388&lt;&gt;"Yes",$Q388=""),0,$R388*MAX(0,7-MATCH($Q388,MonthList,0))/12)</f>
        <v>0</v>
      </c>
      <c r="T388" s="20" t="n">
        <f aca="false">IF(OR($P388&lt;&gt;"Yes",$Q388=""),0,$R388*IF(MATCH($Q388,MonthList,0)&lt;=7,12,19-MATCH($Q388,MonthList,0))/12)</f>
        <v>0</v>
      </c>
      <c r="U388" s="21" t="s">
        <v>59</v>
      </c>
      <c r="V388" s="21"/>
      <c r="W388" s="20" t="n">
        <f aca="false">IF(AND($U388="Yes",$G388&lt;&gt;"Vendor day rates"),$J388-0.4*$I388,0)</f>
        <v>0</v>
      </c>
      <c r="X388" s="20" t="n">
        <f aca="false">IF(OR($U388&lt;&gt;"Yes",$V388=""),0,$W388*MAX(0,7-MATCH($V388,MonthList,0))/12)</f>
        <v>0</v>
      </c>
      <c r="Y388" s="20" t="n">
        <f aca="false">IF(OR($U388&lt;&gt;"Yes",$V388=""),0,$W388*IF(MATCH($V388,MonthList,0)&lt;=7,12,19-MATCH($V388,MonthList,0))/12)</f>
        <v>0</v>
      </c>
    </row>
    <row r="389" customFormat="false" ht="15" hidden="false" customHeight="true" outlineLevel="0" collapsed="false">
      <c r="B389" s="22" t="s">
        <v>758</v>
      </c>
      <c r="C389" s="22" t="s">
        <v>730</v>
      </c>
      <c r="D389" s="22" t="s">
        <v>20</v>
      </c>
      <c r="E389" s="22" t="s">
        <v>533</v>
      </c>
      <c r="F389" s="23" t="s">
        <v>57</v>
      </c>
      <c r="G389" s="23" t="s">
        <v>118</v>
      </c>
      <c r="H389" s="23" t="n">
        <v>1</v>
      </c>
      <c r="I389" s="24" t="n">
        <v>0.2609</v>
      </c>
      <c r="J389" s="24" t="n">
        <v>0.1044</v>
      </c>
      <c r="K389" s="21" t="s">
        <v>59</v>
      </c>
      <c r="L389" s="21"/>
      <c r="M389" s="24" t="n">
        <f aca="false">IF(AND($K389="Yes",$G389&lt;&gt;"Vendor day rates"),$J389-0.4*$I389,0)</f>
        <v>0</v>
      </c>
      <c r="N389" s="24" t="n">
        <f aca="false">IF(OR($K389&lt;&gt;"Yes",$L389=""),0,$M389*MAX(0,7-MATCH($L389,MonthList,0))/12)</f>
        <v>0</v>
      </c>
      <c r="O389" s="24" t="n">
        <f aca="false">IF(OR($K389&lt;&gt;"Yes",$L389=""),0,$M389*IF(MATCH($L389,MonthList,0)&lt;=7,12,19-MATCH($L389,MonthList,0))/12)</f>
        <v>0</v>
      </c>
      <c r="P389" s="21" t="s">
        <v>59</v>
      </c>
      <c r="Q389" s="21"/>
      <c r="R389" s="24" t="n">
        <f aca="false">IF(AND($P389="Yes",$G389&lt;&gt;"Vendor day rates"),$J389-0.4*$I389,0)</f>
        <v>0</v>
      </c>
      <c r="S389" s="24" t="n">
        <f aca="false">IF(OR($P389&lt;&gt;"Yes",$Q389=""),0,$R389*MAX(0,7-MATCH($Q389,MonthList,0))/12)</f>
        <v>0</v>
      </c>
      <c r="T389" s="24" t="n">
        <f aca="false">IF(OR($P389&lt;&gt;"Yes",$Q389=""),0,$R389*IF(MATCH($Q389,MonthList,0)&lt;=7,12,19-MATCH($Q389,MonthList,0))/12)</f>
        <v>0</v>
      </c>
      <c r="U389" s="21" t="s">
        <v>59</v>
      </c>
      <c r="V389" s="21"/>
      <c r="W389" s="24" t="n">
        <f aca="false">IF(AND($U389="Yes",$G389&lt;&gt;"Vendor day rates"),$J389-0.4*$I389,0)</f>
        <v>0</v>
      </c>
      <c r="X389" s="24" t="n">
        <f aca="false">IF(OR($U389&lt;&gt;"Yes",$V389=""),0,$W389*MAX(0,7-MATCH($V389,MonthList,0))/12)</f>
        <v>0</v>
      </c>
      <c r="Y389" s="24" t="n">
        <f aca="false">IF(OR($U389&lt;&gt;"Yes",$V389=""),0,$W389*IF(MATCH($V389,MonthList,0)&lt;=7,12,19-MATCH($V389,MonthList,0))/12)</f>
        <v>0</v>
      </c>
    </row>
    <row r="390" customFormat="false" ht="15" hidden="false" customHeight="true" outlineLevel="0" collapsed="false">
      <c r="B390" s="18" t="s">
        <v>759</v>
      </c>
      <c r="C390" s="18" t="s">
        <v>601</v>
      </c>
      <c r="D390" s="18" t="s">
        <v>19</v>
      </c>
      <c r="E390" s="18" t="s">
        <v>387</v>
      </c>
      <c r="F390" s="19" t="s">
        <v>57</v>
      </c>
      <c r="G390" s="19" t="s">
        <v>58</v>
      </c>
      <c r="H390" s="19" t="n">
        <v>1</v>
      </c>
      <c r="I390" s="20" t="n">
        <v>0.2033</v>
      </c>
      <c r="J390" s="20" t="n">
        <v>0.2033</v>
      </c>
      <c r="K390" s="21" t="s">
        <v>59</v>
      </c>
      <c r="L390" s="21"/>
      <c r="M390" s="20" t="n">
        <f aca="false">IF(AND($K390="Yes",$G390&lt;&gt;"Vendor day rates"),$J390-0.4*$I390,0)</f>
        <v>0</v>
      </c>
      <c r="N390" s="20" t="n">
        <f aca="false">IF(OR($K390&lt;&gt;"Yes",$L390=""),0,$M390*MAX(0,7-MATCH($L390,MonthList,0))/12)</f>
        <v>0</v>
      </c>
      <c r="O390" s="20" t="n">
        <f aca="false">IF(OR($K390&lt;&gt;"Yes",$L390=""),0,$M390*IF(MATCH($L390,MonthList,0)&lt;=7,12,19-MATCH($L390,MonthList,0))/12)</f>
        <v>0</v>
      </c>
      <c r="P390" s="21" t="s">
        <v>59</v>
      </c>
      <c r="Q390" s="21"/>
      <c r="R390" s="20" t="n">
        <f aca="false">IF(AND($P390="Yes",$G390&lt;&gt;"Vendor day rates"),$J390-0.4*$I390,0)</f>
        <v>0</v>
      </c>
      <c r="S390" s="20" t="n">
        <f aca="false">IF(OR($P390&lt;&gt;"Yes",$Q390=""),0,$R390*MAX(0,7-MATCH($Q390,MonthList,0))/12)</f>
        <v>0</v>
      </c>
      <c r="T390" s="20" t="n">
        <f aca="false">IF(OR($P390&lt;&gt;"Yes",$Q390=""),0,$R390*IF(MATCH($Q390,MonthList,0)&lt;=7,12,19-MATCH($Q390,MonthList,0))/12)</f>
        <v>0</v>
      </c>
      <c r="U390" s="21" t="s">
        <v>59</v>
      </c>
      <c r="V390" s="21"/>
      <c r="W390" s="20" t="n">
        <f aca="false">IF(AND($U390="Yes",$G390&lt;&gt;"Vendor day rates"),$J390-0.4*$I390,0)</f>
        <v>0</v>
      </c>
      <c r="X390" s="20" t="n">
        <f aca="false">IF(OR($U390&lt;&gt;"Yes",$V390=""),0,$W390*MAX(0,7-MATCH($V390,MonthList,0))/12)</f>
        <v>0</v>
      </c>
      <c r="Y390" s="20" t="n">
        <f aca="false">IF(OR($U390&lt;&gt;"Yes",$V390=""),0,$W390*IF(MATCH($V390,MonthList,0)&lt;=7,12,19-MATCH($V390,MonthList,0))/12)</f>
        <v>0</v>
      </c>
    </row>
    <row r="391" customFormat="false" ht="15" hidden="false" customHeight="true" outlineLevel="0" collapsed="false">
      <c r="B391" s="22" t="s">
        <v>760</v>
      </c>
      <c r="C391" s="22" t="s">
        <v>761</v>
      </c>
      <c r="D391" s="22" t="s">
        <v>20</v>
      </c>
      <c r="E391" s="22" t="s">
        <v>275</v>
      </c>
      <c r="F391" s="23" t="s">
        <v>57</v>
      </c>
      <c r="G391" s="23" t="s">
        <v>58</v>
      </c>
      <c r="H391" s="23" t="n">
        <v>1</v>
      </c>
      <c r="I391" s="24" t="n">
        <v>0.1945</v>
      </c>
      <c r="J391" s="24" t="n">
        <v>0.1945</v>
      </c>
      <c r="K391" s="21" t="s">
        <v>59</v>
      </c>
      <c r="L391" s="21"/>
      <c r="M391" s="24" t="n">
        <f aca="false">IF(AND($K391="Yes",$G391&lt;&gt;"Vendor day rates"),$J391-0.4*$I391,0)</f>
        <v>0</v>
      </c>
      <c r="N391" s="24" t="n">
        <f aca="false">IF(OR($K391&lt;&gt;"Yes",$L391=""),0,$M391*MAX(0,7-MATCH($L391,MonthList,0))/12)</f>
        <v>0</v>
      </c>
      <c r="O391" s="24" t="n">
        <f aca="false">IF(OR($K391&lt;&gt;"Yes",$L391=""),0,$M391*IF(MATCH($L391,MonthList,0)&lt;=7,12,19-MATCH($L391,MonthList,0))/12)</f>
        <v>0</v>
      </c>
      <c r="P391" s="21" t="s">
        <v>59</v>
      </c>
      <c r="Q391" s="21"/>
      <c r="R391" s="24" t="n">
        <f aca="false">IF(AND($P391="Yes",$G391&lt;&gt;"Vendor day rates"),$J391-0.4*$I391,0)</f>
        <v>0</v>
      </c>
      <c r="S391" s="24" t="n">
        <f aca="false">IF(OR($P391&lt;&gt;"Yes",$Q391=""),0,$R391*MAX(0,7-MATCH($Q391,MonthList,0))/12)</f>
        <v>0</v>
      </c>
      <c r="T391" s="24" t="n">
        <f aca="false">IF(OR($P391&lt;&gt;"Yes",$Q391=""),0,$R391*IF(MATCH($Q391,MonthList,0)&lt;=7,12,19-MATCH($Q391,MonthList,0))/12)</f>
        <v>0</v>
      </c>
      <c r="U391" s="21" t="s">
        <v>59</v>
      </c>
      <c r="V391" s="21"/>
      <c r="W391" s="24" t="n">
        <f aca="false">IF(AND($U391="Yes",$G391&lt;&gt;"Vendor day rates"),$J391-0.4*$I391,0)</f>
        <v>0</v>
      </c>
      <c r="X391" s="24" t="n">
        <f aca="false">IF(OR($U391&lt;&gt;"Yes",$V391=""),0,$W391*MAX(0,7-MATCH($V391,MonthList,0))/12)</f>
        <v>0</v>
      </c>
      <c r="Y391" s="24" t="n">
        <f aca="false">IF(OR($U391&lt;&gt;"Yes",$V391=""),0,$W391*IF(MATCH($V391,MonthList,0)&lt;=7,12,19-MATCH($V391,MonthList,0))/12)</f>
        <v>0</v>
      </c>
    </row>
    <row r="392" customFormat="false" ht="15" hidden="false" customHeight="true" outlineLevel="0" collapsed="false">
      <c r="B392" s="18" t="s">
        <v>762</v>
      </c>
      <c r="C392" s="18" t="s">
        <v>623</v>
      </c>
      <c r="D392" s="18" t="s">
        <v>20</v>
      </c>
      <c r="E392" s="18" t="s">
        <v>493</v>
      </c>
      <c r="F392" s="19" t="s">
        <v>57</v>
      </c>
      <c r="G392" s="19" t="s">
        <v>145</v>
      </c>
      <c r="H392" s="19" t="n">
        <v>1</v>
      </c>
      <c r="I392" s="20" t="n">
        <v>0.2029</v>
      </c>
      <c r="J392" s="20" t="n">
        <v>0.2029</v>
      </c>
      <c r="K392" s="21" t="s">
        <v>59</v>
      </c>
      <c r="L392" s="21"/>
      <c r="M392" s="20" t="n">
        <f aca="false">IF(AND($K392="Yes",$G392&lt;&gt;"Vendor day rates"),$J392-0.4*$I392,0)</f>
        <v>0</v>
      </c>
      <c r="N392" s="20" t="n">
        <f aca="false">IF(OR($K392&lt;&gt;"Yes",$L392=""),0,$M392*MAX(0,7-MATCH($L392,MonthList,0))/12)</f>
        <v>0</v>
      </c>
      <c r="O392" s="20" t="n">
        <f aca="false">IF(OR($K392&lt;&gt;"Yes",$L392=""),0,$M392*IF(MATCH($L392,MonthList,0)&lt;=7,12,19-MATCH($L392,MonthList,0))/12)</f>
        <v>0</v>
      </c>
      <c r="P392" s="21" t="s">
        <v>59</v>
      </c>
      <c r="Q392" s="21"/>
      <c r="R392" s="20" t="n">
        <f aca="false">IF(AND($P392="Yes",$G392&lt;&gt;"Vendor day rates"),$J392-0.4*$I392,0)</f>
        <v>0</v>
      </c>
      <c r="S392" s="20" t="n">
        <f aca="false">IF(OR($P392&lt;&gt;"Yes",$Q392=""),0,$R392*MAX(0,7-MATCH($Q392,MonthList,0))/12)</f>
        <v>0</v>
      </c>
      <c r="T392" s="20" t="n">
        <f aca="false">IF(OR($P392&lt;&gt;"Yes",$Q392=""),0,$R392*IF(MATCH($Q392,MonthList,0)&lt;=7,12,19-MATCH($Q392,MonthList,0))/12)</f>
        <v>0</v>
      </c>
      <c r="U392" s="21" t="s">
        <v>59</v>
      </c>
      <c r="V392" s="21"/>
      <c r="W392" s="20" t="n">
        <f aca="false">IF(AND($U392="Yes",$G392&lt;&gt;"Vendor day rates"),$J392-0.4*$I392,0)</f>
        <v>0</v>
      </c>
      <c r="X392" s="20" t="n">
        <f aca="false">IF(OR($U392&lt;&gt;"Yes",$V392=""),0,$W392*MAX(0,7-MATCH($V392,MonthList,0))/12)</f>
        <v>0</v>
      </c>
      <c r="Y392" s="20" t="n">
        <f aca="false">IF(OR($U392&lt;&gt;"Yes",$V392=""),0,$W392*IF(MATCH($V392,MonthList,0)&lt;=7,12,19-MATCH($V392,MonthList,0))/12)</f>
        <v>0</v>
      </c>
    </row>
    <row r="393" customFormat="false" ht="15" hidden="false" customHeight="true" outlineLevel="0" collapsed="false">
      <c r="B393" s="22" t="s">
        <v>763</v>
      </c>
      <c r="C393" s="22" t="s">
        <v>88</v>
      </c>
      <c r="D393" s="22" t="s">
        <v>25</v>
      </c>
      <c r="E393" s="22" t="s">
        <v>89</v>
      </c>
      <c r="F393" s="23" t="s">
        <v>57</v>
      </c>
      <c r="G393" s="23" t="s">
        <v>462</v>
      </c>
      <c r="H393" s="23" t="n">
        <v>1</v>
      </c>
      <c r="I393" s="24" t="n">
        <v>0.2029</v>
      </c>
      <c r="J393" s="24" t="n">
        <v>0.0811</v>
      </c>
      <c r="K393" s="21" t="s">
        <v>59</v>
      </c>
      <c r="L393" s="21"/>
      <c r="M393" s="24" t="n">
        <f aca="false">IF(AND($K393="Yes",$G393&lt;&gt;"Vendor day rates"),$J393-0.4*$I393,0)</f>
        <v>0</v>
      </c>
      <c r="N393" s="24" t="n">
        <f aca="false">IF(OR($K393&lt;&gt;"Yes",$L393=""),0,$M393*MAX(0,7-MATCH($L393,MonthList,0))/12)</f>
        <v>0</v>
      </c>
      <c r="O393" s="24" t="n">
        <f aca="false">IF(OR($K393&lt;&gt;"Yes",$L393=""),0,$M393*IF(MATCH($L393,MonthList,0)&lt;=7,12,19-MATCH($L393,MonthList,0))/12)</f>
        <v>0</v>
      </c>
      <c r="P393" s="21" t="s">
        <v>59</v>
      </c>
      <c r="Q393" s="21"/>
      <c r="R393" s="24" t="n">
        <f aca="false">IF(AND($P393="Yes",$G393&lt;&gt;"Vendor day rates"),$J393-0.4*$I393,0)</f>
        <v>0</v>
      </c>
      <c r="S393" s="24" t="n">
        <f aca="false">IF(OR($P393&lt;&gt;"Yes",$Q393=""),0,$R393*MAX(0,7-MATCH($Q393,MonthList,0))/12)</f>
        <v>0</v>
      </c>
      <c r="T393" s="24" t="n">
        <f aca="false">IF(OR($P393&lt;&gt;"Yes",$Q393=""),0,$R393*IF(MATCH($Q393,MonthList,0)&lt;=7,12,19-MATCH($Q393,MonthList,0))/12)</f>
        <v>0</v>
      </c>
      <c r="U393" s="21" t="s">
        <v>59</v>
      </c>
      <c r="V393" s="21"/>
      <c r="W393" s="24" t="n">
        <f aca="false">IF(AND($U393="Yes",$G393&lt;&gt;"Vendor day rates"),$J393-0.4*$I393,0)</f>
        <v>0</v>
      </c>
      <c r="X393" s="24" t="n">
        <f aca="false">IF(OR($U393&lt;&gt;"Yes",$V393=""),0,$W393*MAX(0,7-MATCH($V393,MonthList,0))/12)</f>
        <v>0</v>
      </c>
      <c r="Y393" s="24" t="n">
        <f aca="false">IF(OR($U393&lt;&gt;"Yes",$V393=""),0,$W393*IF(MATCH($V393,MonthList,0)&lt;=7,12,19-MATCH($V393,MonthList,0))/12)</f>
        <v>0</v>
      </c>
    </row>
    <row r="394" customFormat="false" ht="15" hidden="false" customHeight="true" outlineLevel="0" collapsed="false">
      <c r="B394" s="18" t="s">
        <v>764</v>
      </c>
      <c r="C394" s="18" t="s">
        <v>765</v>
      </c>
      <c r="D394" s="18" t="s">
        <v>29</v>
      </c>
      <c r="E394" s="18" t="s">
        <v>554</v>
      </c>
      <c r="F394" s="19" t="s">
        <v>57</v>
      </c>
      <c r="G394" s="19" t="s">
        <v>58</v>
      </c>
      <c r="H394" s="19" t="n">
        <v>1</v>
      </c>
      <c r="I394" s="20" t="n">
        <v>0.2429</v>
      </c>
      <c r="J394" s="20" t="n">
        <v>0.2429</v>
      </c>
      <c r="K394" s="21" t="s">
        <v>59</v>
      </c>
      <c r="L394" s="21"/>
      <c r="M394" s="20" t="n">
        <f aca="false">IF(AND($K394="Yes",$G394&lt;&gt;"Vendor day rates"),$J394-0.4*$I394,0)</f>
        <v>0</v>
      </c>
      <c r="N394" s="20" t="n">
        <f aca="false">IF(OR($K394&lt;&gt;"Yes",$L394=""),0,$M394*MAX(0,7-MATCH($L394,MonthList,0))/12)</f>
        <v>0</v>
      </c>
      <c r="O394" s="20" t="n">
        <f aca="false">IF(OR($K394&lt;&gt;"Yes",$L394=""),0,$M394*IF(MATCH($L394,MonthList,0)&lt;=7,12,19-MATCH($L394,MonthList,0))/12)</f>
        <v>0</v>
      </c>
      <c r="P394" s="21" t="s">
        <v>59</v>
      </c>
      <c r="Q394" s="21"/>
      <c r="R394" s="20" t="n">
        <f aca="false">IF(AND($P394="Yes",$G394&lt;&gt;"Vendor day rates"),$J394-0.4*$I394,0)</f>
        <v>0</v>
      </c>
      <c r="S394" s="20" t="n">
        <f aca="false">IF(OR($P394&lt;&gt;"Yes",$Q394=""),0,$R394*MAX(0,7-MATCH($Q394,MonthList,0))/12)</f>
        <v>0</v>
      </c>
      <c r="T394" s="20" t="n">
        <f aca="false">IF(OR($P394&lt;&gt;"Yes",$Q394=""),0,$R394*IF(MATCH($Q394,MonthList,0)&lt;=7,12,19-MATCH($Q394,MonthList,0))/12)</f>
        <v>0</v>
      </c>
      <c r="U394" s="21" t="s">
        <v>59</v>
      </c>
      <c r="V394" s="21"/>
      <c r="W394" s="20" t="n">
        <f aca="false">IF(AND($U394="Yes",$G394&lt;&gt;"Vendor day rates"),$J394-0.4*$I394,0)</f>
        <v>0</v>
      </c>
      <c r="X394" s="20" t="n">
        <f aca="false">IF(OR($U394&lt;&gt;"Yes",$V394=""),0,$W394*MAX(0,7-MATCH($V394,MonthList,0))/12)</f>
        <v>0</v>
      </c>
      <c r="Y394" s="20" t="n">
        <f aca="false">IF(OR($U394&lt;&gt;"Yes",$V394=""),0,$W394*IF(MATCH($V394,MonthList,0)&lt;=7,12,19-MATCH($V394,MonthList,0))/12)</f>
        <v>0</v>
      </c>
    </row>
    <row r="395" customFormat="false" ht="15" hidden="false" customHeight="true" outlineLevel="0" collapsed="false">
      <c r="B395" s="22" t="s">
        <v>766</v>
      </c>
      <c r="C395" s="22" t="s">
        <v>597</v>
      </c>
      <c r="D395" s="22" t="s">
        <v>29</v>
      </c>
      <c r="E395" s="22" t="s">
        <v>313</v>
      </c>
      <c r="F395" s="23" t="s">
        <v>57</v>
      </c>
      <c r="G395" s="23" t="s">
        <v>58</v>
      </c>
      <c r="H395" s="23" t="n">
        <v>1</v>
      </c>
      <c r="I395" s="24" t="n">
        <v>0.2626</v>
      </c>
      <c r="J395" s="24" t="n">
        <v>0.2626</v>
      </c>
      <c r="K395" s="21" t="s">
        <v>59</v>
      </c>
      <c r="L395" s="21"/>
      <c r="M395" s="24" t="n">
        <f aca="false">IF(AND($K395="Yes",$G395&lt;&gt;"Vendor day rates"),$J395-0.4*$I395,0)</f>
        <v>0</v>
      </c>
      <c r="N395" s="24" t="n">
        <f aca="false">IF(OR($K395&lt;&gt;"Yes",$L395=""),0,$M395*MAX(0,7-MATCH($L395,MonthList,0))/12)</f>
        <v>0</v>
      </c>
      <c r="O395" s="24" t="n">
        <f aca="false">IF(OR($K395&lt;&gt;"Yes",$L395=""),0,$M395*IF(MATCH($L395,MonthList,0)&lt;=7,12,19-MATCH($L395,MonthList,0))/12)</f>
        <v>0</v>
      </c>
      <c r="P395" s="21" t="s">
        <v>59</v>
      </c>
      <c r="Q395" s="21"/>
      <c r="R395" s="24" t="n">
        <f aca="false">IF(AND($P395="Yes",$G395&lt;&gt;"Vendor day rates"),$J395-0.4*$I395,0)</f>
        <v>0</v>
      </c>
      <c r="S395" s="24" t="n">
        <f aca="false">IF(OR($P395&lt;&gt;"Yes",$Q395=""),0,$R395*MAX(0,7-MATCH($Q395,MonthList,0))/12)</f>
        <v>0</v>
      </c>
      <c r="T395" s="24" t="n">
        <f aca="false">IF(OR($P395&lt;&gt;"Yes",$Q395=""),0,$R395*IF(MATCH($Q395,MonthList,0)&lt;=7,12,19-MATCH($Q395,MonthList,0))/12)</f>
        <v>0</v>
      </c>
      <c r="U395" s="21" t="s">
        <v>59</v>
      </c>
      <c r="V395" s="21"/>
      <c r="W395" s="24" t="n">
        <f aca="false">IF(AND($U395="Yes",$G395&lt;&gt;"Vendor day rates"),$J395-0.4*$I395,0)</f>
        <v>0</v>
      </c>
      <c r="X395" s="24" t="n">
        <f aca="false">IF(OR($U395&lt;&gt;"Yes",$V395=""),0,$W395*MAX(0,7-MATCH($V395,MonthList,0))/12)</f>
        <v>0</v>
      </c>
      <c r="Y395" s="24" t="n">
        <f aca="false">IF(OR($U395&lt;&gt;"Yes",$V395=""),0,$W395*IF(MATCH($V395,MonthList,0)&lt;=7,12,19-MATCH($V395,MonthList,0))/12)</f>
        <v>0</v>
      </c>
    </row>
    <row r="396" customFormat="false" ht="15" hidden="false" customHeight="true" outlineLevel="0" collapsed="false">
      <c r="B396" s="18" t="s">
        <v>767</v>
      </c>
      <c r="C396" s="18" t="s">
        <v>597</v>
      </c>
      <c r="D396" s="18" t="s">
        <v>29</v>
      </c>
      <c r="E396" s="18" t="s">
        <v>313</v>
      </c>
      <c r="F396" s="19" t="s">
        <v>57</v>
      </c>
      <c r="G396" s="19" t="s">
        <v>58</v>
      </c>
      <c r="H396" s="19" t="n">
        <v>1</v>
      </c>
      <c r="I396" s="20" t="n">
        <v>0.1475</v>
      </c>
      <c r="J396" s="20" t="n">
        <v>0.1475</v>
      </c>
      <c r="K396" s="21" t="s">
        <v>59</v>
      </c>
      <c r="L396" s="21"/>
      <c r="M396" s="20" t="n">
        <f aca="false">IF(AND($K396="Yes",$G396&lt;&gt;"Vendor day rates"),$J396-0.4*$I396,0)</f>
        <v>0</v>
      </c>
      <c r="N396" s="20" t="n">
        <f aca="false">IF(OR($K396&lt;&gt;"Yes",$L396=""),0,$M396*MAX(0,7-MATCH($L396,MonthList,0))/12)</f>
        <v>0</v>
      </c>
      <c r="O396" s="20" t="n">
        <f aca="false">IF(OR($K396&lt;&gt;"Yes",$L396=""),0,$M396*IF(MATCH($L396,MonthList,0)&lt;=7,12,19-MATCH($L396,MonthList,0))/12)</f>
        <v>0</v>
      </c>
      <c r="P396" s="21" t="s">
        <v>59</v>
      </c>
      <c r="Q396" s="21"/>
      <c r="R396" s="20" t="n">
        <f aca="false">IF(AND($P396="Yes",$G396&lt;&gt;"Vendor day rates"),$J396-0.4*$I396,0)</f>
        <v>0</v>
      </c>
      <c r="S396" s="20" t="n">
        <f aca="false">IF(OR($P396&lt;&gt;"Yes",$Q396=""),0,$R396*MAX(0,7-MATCH($Q396,MonthList,0))/12)</f>
        <v>0</v>
      </c>
      <c r="T396" s="20" t="n">
        <f aca="false">IF(OR($P396&lt;&gt;"Yes",$Q396=""),0,$R396*IF(MATCH($Q396,MonthList,0)&lt;=7,12,19-MATCH($Q396,MonthList,0))/12)</f>
        <v>0</v>
      </c>
      <c r="U396" s="21" t="s">
        <v>59</v>
      </c>
      <c r="V396" s="21"/>
      <c r="W396" s="20" t="n">
        <f aca="false">IF(AND($U396="Yes",$G396&lt;&gt;"Vendor day rates"),$J396-0.4*$I396,0)</f>
        <v>0</v>
      </c>
      <c r="X396" s="20" t="n">
        <f aca="false">IF(OR($U396&lt;&gt;"Yes",$V396=""),0,$W396*MAX(0,7-MATCH($V396,MonthList,0))/12)</f>
        <v>0</v>
      </c>
      <c r="Y396" s="20" t="n">
        <f aca="false">IF(OR($U396&lt;&gt;"Yes",$V396=""),0,$W396*IF(MATCH($V396,MonthList,0)&lt;=7,12,19-MATCH($V396,MonthList,0))/12)</f>
        <v>0</v>
      </c>
    </row>
    <row r="397" customFormat="false" ht="15" hidden="false" customHeight="true" outlineLevel="0" collapsed="false">
      <c r="B397" s="22" t="s">
        <v>768</v>
      </c>
      <c r="C397" s="22" t="s">
        <v>597</v>
      </c>
      <c r="D397" s="22" t="s">
        <v>29</v>
      </c>
      <c r="E397" s="22" t="s">
        <v>769</v>
      </c>
      <c r="F397" s="23" t="s">
        <v>57</v>
      </c>
      <c r="G397" s="23" t="s">
        <v>58</v>
      </c>
      <c r="H397" s="23" t="n">
        <v>1</v>
      </c>
      <c r="I397" s="24" t="n">
        <v>0.2592</v>
      </c>
      <c r="J397" s="24" t="n">
        <v>0.2592</v>
      </c>
      <c r="K397" s="21" t="s">
        <v>59</v>
      </c>
      <c r="L397" s="21"/>
      <c r="M397" s="24" t="n">
        <f aca="false">IF(AND($K397="Yes",$G397&lt;&gt;"Vendor day rates"),$J397-0.4*$I397,0)</f>
        <v>0</v>
      </c>
      <c r="N397" s="24" t="n">
        <f aca="false">IF(OR($K397&lt;&gt;"Yes",$L397=""),0,$M397*MAX(0,7-MATCH($L397,MonthList,0))/12)</f>
        <v>0</v>
      </c>
      <c r="O397" s="24" t="n">
        <f aca="false">IF(OR($K397&lt;&gt;"Yes",$L397=""),0,$M397*IF(MATCH($L397,MonthList,0)&lt;=7,12,19-MATCH($L397,MonthList,0))/12)</f>
        <v>0</v>
      </c>
      <c r="P397" s="21" t="s">
        <v>59</v>
      </c>
      <c r="Q397" s="21"/>
      <c r="R397" s="24" t="n">
        <f aca="false">IF(AND($P397="Yes",$G397&lt;&gt;"Vendor day rates"),$J397-0.4*$I397,0)</f>
        <v>0</v>
      </c>
      <c r="S397" s="24" t="n">
        <f aca="false">IF(OR($P397&lt;&gt;"Yes",$Q397=""),0,$R397*MAX(0,7-MATCH($Q397,MonthList,0))/12)</f>
        <v>0</v>
      </c>
      <c r="T397" s="24" t="n">
        <f aca="false">IF(OR($P397&lt;&gt;"Yes",$Q397=""),0,$R397*IF(MATCH($Q397,MonthList,0)&lt;=7,12,19-MATCH($Q397,MonthList,0))/12)</f>
        <v>0</v>
      </c>
      <c r="U397" s="21" t="s">
        <v>59</v>
      </c>
      <c r="V397" s="21"/>
      <c r="W397" s="24" t="n">
        <f aca="false">IF(AND($U397="Yes",$G397&lt;&gt;"Vendor day rates"),$J397-0.4*$I397,0)</f>
        <v>0</v>
      </c>
      <c r="X397" s="24" t="n">
        <f aca="false">IF(OR($U397&lt;&gt;"Yes",$V397=""),0,$W397*MAX(0,7-MATCH($V397,MonthList,0))/12)</f>
        <v>0</v>
      </c>
      <c r="Y397" s="24" t="n">
        <f aca="false">IF(OR($U397&lt;&gt;"Yes",$V397=""),0,$W397*IF(MATCH($V397,MonthList,0)&lt;=7,12,19-MATCH($V397,MonthList,0))/12)</f>
        <v>0</v>
      </c>
    </row>
    <row r="398" customFormat="false" ht="15" hidden="false" customHeight="true" outlineLevel="0" collapsed="false">
      <c r="B398" s="18" t="s">
        <v>770</v>
      </c>
      <c r="C398" s="18" t="s">
        <v>771</v>
      </c>
      <c r="D398" s="18" t="s">
        <v>29</v>
      </c>
      <c r="E398" s="18" t="s">
        <v>549</v>
      </c>
      <c r="F398" s="19" t="s">
        <v>57</v>
      </c>
      <c r="G398" s="19" t="s">
        <v>462</v>
      </c>
      <c r="H398" s="19" t="n">
        <v>1</v>
      </c>
      <c r="I398" s="20" t="n">
        <v>0.2317</v>
      </c>
      <c r="J398" s="20" t="n">
        <v>0.0927</v>
      </c>
      <c r="K398" s="21" t="s">
        <v>59</v>
      </c>
      <c r="L398" s="21"/>
      <c r="M398" s="20" t="n">
        <f aca="false">IF(AND($K398="Yes",$G398&lt;&gt;"Vendor day rates"),$J398-0.4*$I398,0)</f>
        <v>0</v>
      </c>
      <c r="N398" s="20" t="n">
        <f aca="false">IF(OR($K398&lt;&gt;"Yes",$L398=""),0,$M398*MAX(0,7-MATCH($L398,MonthList,0))/12)</f>
        <v>0</v>
      </c>
      <c r="O398" s="20" t="n">
        <f aca="false">IF(OR($K398&lt;&gt;"Yes",$L398=""),0,$M398*IF(MATCH($L398,MonthList,0)&lt;=7,12,19-MATCH($L398,MonthList,0))/12)</f>
        <v>0</v>
      </c>
      <c r="P398" s="21" t="s">
        <v>59</v>
      </c>
      <c r="Q398" s="21"/>
      <c r="R398" s="20" t="n">
        <f aca="false">IF(AND($P398="Yes",$G398&lt;&gt;"Vendor day rates"),$J398-0.4*$I398,0)</f>
        <v>0</v>
      </c>
      <c r="S398" s="20" t="n">
        <f aca="false">IF(OR($P398&lt;&gt;"Yes",$Q398=""),0,$R398*MAX(0,7-MATCH($Q398,MonthList,0))/12)</f>
        <v>0</v>
      </c>
      <c r="T398" s="20" t="n">
        <f aca="false">IF(OR($P398&lt;&gt;"Yes",$Q398=""),0,$R398*IF(MATCH($Q398,MonthList,0)&lt;=7,12,19-MATCH($Q398,MonthList,0))/12)</f>
        <v>0</v>
      </c>
      <c r="U398" s="21" t="s">
        <v>59</v>
      </c>
      <c r="V398" s="21"/>
      <c r="W398" s="20" t="n">
        <f aca="false">IF(AND($U398="Yes",$G398&lt;&gt;"Vendor day rates"),$J398-0.4*$I398,0)</f>
        <v>0</v>
      </c>
      <c r="X398" s="20" t="n">
        <f aca="false">IF(OR($U398&lt;&gt;"Yes",$V398=""),0,$W398*MAX(0,7-MATCH($V398,MonthList,0))/12)</f>
        <v>0</v>
      </c>
      <c r="Y398" s="20" t="n">
        <f aca="false">IF(OR($U398&lt;&gt;"Yes",$V398=""),0,$W398*IF(MATCH($V398,MonthList,0)&lt;=7,12,19-MATCH($V398,MonthList,0))/12)</f>
        <v>0</v>
      </c>
    </row>
    <row r="399" customFormat="false" ht="15" hidden="false" customHeight="true" outlineLevel="0" collapsed="false">
      <c r="B399" s="22" t="s">
        <v>772</v>
      </c>
      <c r="C399" s="22" t="s">
        <v>773</v>
      </c>
      <c r="D399" s="22" t="s">
        <v>29</v>
      </c>
      <c r="E399" s="22" t="s">
        <v>554</v>
      </c>
      <c r="F399" s="23" t="s">
        <v>57</v>
      </c>
      <c r="G399" s="23" t="s">
        <v>145</v>
      </c>
      <c r="H399" s="23" t="n">
        <v>1</v>
      </c>
      <c r="I399" s="24" t="n">
        <v>0.1705</v>
      </c>
      <c r="J399" s="24" t="n">
        <v>0.1705</v>
      </c>
      <c r="K399" s="21" t="s">
        <v>59</v>
      </c>
      <c r="L399" s="21"/>
      <c r="M399" s="24" t="n">
        <f aca="false">IF(AND($K399="Yes",$G399&lt;&gt;"Vendor day rates"),$J399-0.4*$I399,0)</f>
        <v>0</v>
      </c>
      <c r="N399" s="24" t="n">
        <f aca="false">IF(OR($K399&lt;&gt;"Yes",$L399=""),0,$M399*MAX(0,7-MATCH($L399,MonthList,0))/12)</f>
        <v>0</v>
      </c>
      <c r="O399" s="24" t="n">
        <f aca="false">IF(OR($K399&lt;&gt;"Yes",$L399=""),0,$M399*IF(MATCH($L399,MonthList,0)&lt;=7,12,19-MATCH($L399,MonthList,0))/12)</f>
        <v>0</v>
      </c>
      <c r="P399" s="21" t="s">
        <v>59</v>
      </c>
      <c r="Q399" s="21"/>
      <c r="R399" s="24" t="n">
        <f aca="false">IF(AND($P399="Yes",$G399&lt;&gt;"Vendor day rates"),$J399-0.4*$I399,0)</f>
        <v>0</v>
      </c>
      <c r="S399" s="24" t="n">
        <f aca="false">IF(OR($P399&lt;&gt;"Yes",$Q399=""),0,$R399*MAX(0,7-MATCH($Q399,MonthList,0))/12)</f>
        <v>0</v>
      </c>
      <c r="T399" s="24" t="n">
        <f aca="false">IF(OR($P399&lt;&gt;"Yes",$Q399=""),0,$R399*IF(MATCH($Q399,MonthList,0)&lt;=7,12,19-MATCH($Q399,MonthList,0))/12)</f>
        <v>0</v>
      </c>
      <c r="U399" s="21" t="s">
        <v>59</v>
      </c>
      <c r="V399" s="21"/>
      <c r="W399" s="24" t="n">
        <f aca="false">IF(AND($U399="Yes",$G399&lt;&gt;"Vendor day rates"),$J399-0.4*$I399,0)</f>
        <v>0</v>
      </c>
      <c r="X399" s="24" t="n">
        <f aca="false">IF(OR($U399&lt;&gt;"Yes",$V399=""),0,$W399*MAX(0,7-MATCH($V399,MonthList,0))/12)</f>
        <v>0</v>
      </c>
      <c r="Y399" s="24" t="n">
        <f aca="false">IF(OR($U399&lt;&gt;"Yes",$V399=""),0,$W399*IF(MATCH($V399,MonthList,0)&lt;=7,12,19-MATCH($V399,MonthList,0))/12)</f>
        <v>0</v>
      </c>
    </row>
    <row r="400" customFormat="false" ht="15" hidden="false" customHeight="true" outlineLevel="0" collapsed="false">
      <c r="B400" s="18" t="s">
        <v>774</v>
      </c>
      <c r="C400" s="18" t="s">
        <v>138</v>
      </c>
      <c r="D400" s="18" t="s">
        <v>29</v>
      </c>
      <c r="E400" s="18" t="s">
        <v>561</v>
      </c>
      <c r="F400" s="19" t="s">
        <v>57</v>
      </c>
      <c r="G400" s="19" t="s">
        <v>292</v>
      </c>
      <c r="H400" s="19" t="n">
        <v>1</v>
      </c>
      <c r="I400" s="20" t="n">
        <v>0.2029</v>
      </c>
      <c r="J400" s="20" t="n">
        <v>0</v>
      </c>
      <c r="K400" s="21" t="s">
        <v>59</v>
      </c>
      <c r="L400" s="21"/>
      <c r="M400" s="20" t="n">
        <f aca="false">IF(AND($K400="Yes",$G400&lt;&gt;"Vendor day rates"),$J400-0.4*$I400,0)</f>
        <v>0</v>
      </c>
      <c r="N400" s="20" t="n">
        <f aca="false">IF(OR($K400&lt;&gt;"Yes",$L400=""),0,$M400*MAX(0,7-MATCH($L400,MonthList,0))/12)</f>
        <v>0</v>
      </c>
      <c r="O400" s="20" t="n">
        <f aca="false">IF(OR($K400&lt;&gt;"Yes",$L400=""),0,$M400*IF(MATCH($L400,MonthList,0)&lt;=7,12,19-MATCH($L400,MonthList,0))/12)</f>
        <v>0</v>
      </c>
      <c r="P400" s="21" t="s">
        <v>59</v>
      </c>
      <c r="Q400" s="21"/>
      <c r="R400" s="20" t="n">
        <f aca="false">IF(AND($P400="Yes",$G400&lt;&gt;"Vendor day rates"),$J400-0.4*$I400,0)</f>
        <v>0</v>
      </c>
      <c r="S400" s="20" t="n">
        <f aca="false">IF(OR($P400&lt;&gt;"Yes",$Q400=""),0,$R400*MAX(0,7-MATCH($Q400,MonthList,0))/12)</f>
        <v>0</v>
      </c>
      <c r="T400" s="20" t="n">
        <f aca="false">IF(OR($P400&lt;&gt;"Yes",$Q400=""),0,$R400*IF(MATCH($Q400,MonthList,0)&lt;=7,12,19-MATCH($Q400,MonthList,0))/12)</f>
        <v>0</v>
      </c>
      <c r="U400" s="21" t="s">
        <v>59</v>
      </c>
      <c r="V400" s="21"/>
      <c r="W400" s="20" t="n">
        <f aca="false">IF(AND($U400="Yes",$G400&lt;&gt;"Vendor day rates"),$J400-0.4*$I400,0)</f>
        <v>0</v>
      </c>
      <c r="X400" s="20" t="n">
        <f aca="false">IF(OR($U400&lt;&gt;"Yes",$V400=""),0,$W400*MAX(0,7-MATCH($V400,MonthList,0))/12)</f>
        <v>0</v>
      </c>
      <c r="Y400" s="20" t="n">
        <f aca="false">IF(OR($U400&lt;&gt;"Yes",$V400=""),0,$W400*IF(MATCH($V400,MonthList,0)&lt;=7,12,19-MATCH($V400,MonthList,0))/12)</f>
        <v>0</v>
      </c>
    </row>
    <row r="401" customFormat="false" ht="15" hidden="false" customHeight="true" outlineLevel="0" collapsed="false">
      <c r="B401" s="22" t="s">
        <v>775</v>
      </c>
      <c r="C401" s="22" t="s">
        <v>138</v>
      </c>
      <c r="D401" s="22" t="s">
        <v>29</v>
      </c>
      <c r="E401" s="22" t="s">
        <v>776</v>
      </c>
      <c r="F401" s="23" t="s">
        <v>57</v>
      </c>
      <c r="G401" s="23" t="s">
        <v>145</v>
      </c>
      <c r="H401" s="23" t="n">
        <v>1</v>
      </c>
      <c r="I401" s="24" t="n">
        <v>0.2029</v>
      </c>
      <c r="J401" s="24" t="n">
        <v>0.2029</v>
      </c>
      <c r="K401" s="21" t="s">
        <v>59</v>
      </c>
      <c r="L401" s="21"/>
      <c r="M401" s="24" t="n">
        <f aca="false">IF(AND($K401="Yes",$G401&lt;&gt;"Vendor day rates"),$J401-0.4*$I401,0)</f>
        <v>0</v>
      </c>
      <c r="N401" s="24" t="n">
        <f aca="false">IF(OR($K401&lt;&gt;"Yes",$L401=""),0,$M401*MAX(0,7-MATCH($L401,MonthList,0))/12)</f>
        <v>0</v>
      </c>
      <c r="O401" s="24" t="n">
        <f aca="false">IF(OR($K401&lt;&gt;"Yes",$L401=""),0,$M401*IF(MATCH($L401,MonthList,0)&lt;=7,12,19-MATCH($L401,MonthList,0))/12)</f>
        <v>0</v>
      </c>
      <c r="P401" s="21" t="s">
        <v>59</v>
      </c>
      <c r="Q401" s="21"/>
      <c r="R401" s="24" t="n">
        <f aca="false">IF(AND($P401="Yes",$G401&lt;&gt;"Vendor day rates"),$J401-0.4*$I401,0)</f>
        <v>0</v>
      </c>
      <c r="S401" s="24" t="n">
        <f aca="false">IF(OR($P401&lt;&gt;"Yes",$Q401=""),0,$R401*MAX(0,7-MATCH($Q401,MonthList,0))/12)</f>
        <v>0</v>
      </c>
      <c r="T401" s="24" t="n">
        <f aca="false">IF(OR($P401&lt;&gt;"Yes",$Q401=""),0,$R401*IF(MATCH($Q401,MonthList,0)&lt;=7,12,19-MATCH($Q401,MonthList,0))/12)</f>
        <v>0</v>
      </c>
      <c r="U401" s="21" t="s">
        <v>59</v>
      </c>
      <c r="V401" s="21"/>
      <c r="W401" s="24" t="n">
        <f aca="false">IF(AND($U401="Yes",$G401&lt;&gt;"Vendor day rates"),$J401-0.4*$I401,0)</f>
        <v>0</v>
      </c>
      <c r="X401" s="24" t="n">
        <f aca="false">IF(OR($U401&lt;&gt;"Yes",$V401=""),0,$W401*MAX(0,7-MATCH($V401,MonthList,0))/12)</f>
        <v>0</v>
      </c>
      <c r="Y401" s="24" t="n">
        <f aca="false">IF(OR($U401&lt;&gt;"Yes",$V401=""),0,$W401*IF(MATCH($V401,MonthList,0)&lt;=7,12,19-MATCH($V401,MonthList,0))/12)</f>
        <v>0</v>
      </c>
    </row>
    <row r="402" customFormat="false" ht="15" hidden="false" customHeight="true" outlineLevel="0" collapsed="false">
      <c r="B402" s="18" t="s">
        <v>777</v>
      </c>
      <c r="C402" s="18" t="s">
        <v>138</v>
      </c>
      <c r="D402" s="18" t="s">
        <v>29</v>
      </c>
      <c r="E402" s="18" t="s">
        <v>549</v>
      </c>
      <c r="F402" s="19" t="s">
        <v>57</v>
      </c>
      <c r="G402" s="19" t="s">
        <v>145</v>
      </c>
      <c r="H402" s="19" t="n">
        <v>1</v>
      </c>
      <c r="I402" s="20" t="n">
        <v>0.1705</v>
      </c>
      <c r="J402" s="20" t="n">
        <v>0.1279</v>
      </c>
      <c r="K402" s="21" t="s">
        <v>59</v>
      </c>
      <c r="L402" s="21"/>
      <c r="M402" s="20" t="n">
        <f aca="false">IF(AND($K402="Yes",$G402&lt;&gt;"Vendor day rates"),$J402-0.4*$I402,0)</f>
        <v>0</v>
      </c>
      <c r="N402" s="20" t="n">
        <f aca="false">IF(OR($K402&lt;&gt;"Yes",$L402=""),0,$M402*MAX(0,7-MATCH($L402,MonthList,0))/12)</f>
        <v>0</v>
      </c>
      <c r="O402" s="20" t="n">
        <f aca="false">IF(OR($K402&lt;&gt;"Yes",$L402=""),0,$M402*IF(MATCH($L402,MonthList,0)&lt;=7,12,19-MATCH($L402,MonthList,0))/12)</f>
        <v>0</v>
      </c>
      <c r="P402" s="21" t="s">
        <v>59</v>
      </c>
      <c r="Q402" s="21"/>
      <c r="R402" s="20" t="n">
        <f aca="false">IF(AND($P402="Yes",$G402&lt;&gt;"Vendor day rates"),$J402-0.4*$I402,0)</f>
        <v>0</v>
      </c>
      <c r="S402" s="20" t="n">
        <f aca="false">IF(OR($P402&lt;&gt;"Yes",$Q402=""),0,$R402*MAX(0,7-MATCH($Q402,MonthList,0))/12)</f>
        <v>0</v>
      </c>
      <c r="T402" s="20" t="n">
        <f aca="false">IF(OR($P402&lt;&gt;"Yes",$Q402=""),0,$R402*IF(MATCH($Q402,MonthList,0)&lt;=7,12,19-MATCH($Q402,MonthList,0))/12)</f>
        <v>0</v>
      </c>
      <c r="U402" s="21" t="s">
        <v>59</v>
      </c>
      <c r="V402" s="21"/>
      <c r="W402" s="20" t="n">
        <f aca="false">IF(AND($U402="Yes",$G402&lt;&gt;"Vendor day rates"),$J402-0.4*$I402,0)</f>
        <v>0</v>
      </c>
      <c r="X402" s="20" t="n">
        <f aca="false">IF(OR($U402&lt;&gt;"Yes",$V402=""),0,$W402*MAX(0,7-MATCH($V402,MonthList,0))/12)</f>
        <v>0</v>
      </c>
      <c r="Y402" s="20" t="n">
        <f aca="false">IF(OR($U402&lt;&gt;"Yes",$V402=""),0,$W402*IF(MATCH($V402,MonthList,0)&lt;=7,12,19-MATCH($V402,MonthList,0))/12)</f>
        <v>0</v>
      </c>
    </row>
    <row r="403" customFormat="false" ht="15" hidden="false" customHeight="true" outlineLevel="0" collapsed="false">
      <c r="B403" s="22" t="s">
        <v>778</v>
      </c>
      <c r="C403" s="22" t="s">
        <v>55</v>
      </c>
      <c r="D403" s="22" t="s">
        <v>29</v>
      </c>
      <c r="E403" s="22" t="s">
        <v>776</v>
      </c>
      <c r="F403" s="23" t="s">
        <v>57</v>
      </c>
      <c r="G403" s="23" t="s">
        <v>58</v>
      </c>
      <c r="H403" s="23" t="n">
        <v>1</v>
      </c>
      <c r="I403" s="24" t="n">
        <v>0.1825</v>
      </c>
      <c r="J403" s="24" t="n">
        <v>0.1825</v>
      </c>
      <c r="K403" s="21" t="s">
        <v>59</v>
      </c>
      <c r="L403" s="21"/>
      <c r="M403" s="24" t="n">
        <f aca="false">IF(AND($K403="Yes",$G403&lt;&gt;"Vendor day rates"),$J403-0.4*$I403,0)</f>
        <v>0</v>
      </c>
      <c r="N403" s="24" t="n">
        <f aca="false">IF(OR($K403&lt;&gt;"Yes",$L403=""),0,$M403*MAX(0,7-MATCH($L403,MonthList,0))/12)</f>
        <v>0</v>
      </c>
      <c r="O403" s="24" t="n">
        <f aca="false">IF(OR($K403&lt;&gt;"Yes",$L403=""),0,$M403*IF(MATCH($L403,MonthList,0)&lt;=7,12,19-MATCH($L403,MonthList,0))/12)</f>
        <v>0</v>
      </c>
      <c r="P403" s="21" t="s">
        <v>59</v>
      </c>
      <c r="Q403" s="21"/>
      <c r="R403" s="24" t="n">
        <f aca="false">IF(AND($P403="Yes",$G403&lt;&gt;"Vendor day rates"),$J403-0.4*$I403,0)</f>
        <v>0</v>
      </c>
      <c r="S403" s="24" t="n">
        <f aca="false">IF(OR($P403&lt;&gt;"Yes",$Q403=""),0,$R403*MAX(0,7-MATCH($Q403,MonthList,0))/12)</f>
        <v>0</v>
      </c>
      <c r="T403" s="24" t="n">
        <f aca="false">IF(OR($P403&lt;&gt;"Yes",$Q403=""),0,$R403*IF(MATCH($Q403,MonthList,0)&lt;=7,12,19-MATCH($Q403,MonthList,0))/12)</f>
        <v>0</v>
      </c>
      <c r="U403" s="21" t="s">
        <v>59</v>
      </c>
      <c r="V403" s="21"/>
      <c r="W403" s="24" t="n">
        <f aca="false">IF(AND($U403="Yes",$G403&lt;&gt;"Vendor day rates"),$J403-0.4*$I403,0)</f>
        <v>0</v>
      </c>
      <c r="X403" s="24" t="n">
        <f aca="false">IF(OR($U403&lt;&gt;"Yes",$V403=""),0,$W403*MAX(0,7-MATCH($V403,MonthList,0))/12)</f>
        <v>0</v>
      </c>
      <c r="Y403" s="24" t="n">
        <f aca="false">IF(OR($U403&lt;&gt;"Yes",$V403=""),0,$W403*IF(MATCH($V403,MonthList,0)&lt;=7,12,19-MATCH($V403,MonthList,0))/12)</f>
        <v>0</v>
      </c>
    </row>
    <row r="404" customFormat="false" ht="15" hidden="false" customHeight="true" outlineLevel="0" collapsed="false">
      <c r="B404" s="18" t="s">
        <v>779</v>
      </c>
      <c r="C404" s="18" t="s">
        <v>411</v>
      </c>
      <c r="D404" s="18" t="s">
        <v>29</v>
      </c>
      <c r="E404" s="18" t="s">
        <v>769</v>
      </c>
      <c r="F404" s="19" t="s">
        <v>57</v>
      </c>
      <c r="G404" s="19" t="s">
        <v>58</v>
      </c>
      <c r="H404" s="19" t="n">
        <v>1</v>
      </c>
      <c r="I404" s="20" t="n">
        <v>0.2136</v>
      </c>
      <c r="J404" s="20" t="n">
        <v>0.2136</v>
      </c>
      <c r="K404" s="21" t="s">
        <v>59</v>
      </c>
      <c r="L404" s="21"/>
      <c r="M404" s="20" t="n">
        <f aca="false">IF(AND($K404="Yes",$G404&lt;&gt;"Vendor day rates"),$J404-0.4*$I404,0)</f>
        <v>0</v>
      </c>
      <c r="N404" s="20" t="n">
        <f aca="false">IF(OR($K404&lt;&gt;"Yes",$L404=""),0,$M404*MAX(0,7-MATCH($L404,MonthList,0))/12)</f>
        <v>0</v>
      </c>
      <c r="O404" s="20" t="n">
        <f aca="false">IF(OR($K404&lt;&gt;"Yes",$L404=""),0,$M404*IF(MATCH($L404,MonthList,0)&lt;=7,12,19-MATCH($L404,MonthList,0))/12)</f>
        <v>0</v>
      </c>
      <c r="P404" s="21" t="s">
        <v>59</v>
      </c>
      <c r="Q404" s="21"/>
      <c r="R404" s="20" t="n">
        <f aca="false">IF(AND($P404="Yes",$G404&lt;&gt;"Vendor day rates"),$J404-0.4*$I404,0)</f>
        <v>0</v>
      </c>
      <c r="S404" s="20" t="n">
        <f aca="false">IF(OR($P404&lt;&gt;"Yes",$Q404=""),0,$R404*MAX(0,7-MATCH($Q404,MonthList,0))/12)</f>
        <v>0</v>
      </c>
      <c r="T404" s="20" t="n">
        <f aca="false">IF(OR($P404&lt;&gt;"Yes",$Q404=""),0,$R404*IF(MATCH($Q404,MonthList,0)&lt;=7,12,19-MATCH($Q404,MonthList,0))/12)</f>
        <v>0</v>
      </c>
      <c r="U404" s="21" t="s">
        <v>59</v>
      </c>
      <c r="V404" s="21"/>
      <c r="W404" s="20" t="n">
        <f aca="false">IF(AND($U404="Yes",$G404&lt;&gt;"Vendor day rates"),$J404-0.4*$I404,0)</f>
        <v>0</v>
      </c>
      <c r="X404" s="20" t="n">
        <f aca="false">IF(OR($U404&lt;&gt;"Yes",$V404=""),0,$W404*MAX(0,7-MATCH($V404,MonthList,0))/12)</f>
        <v>0</v>
      </c>
      <c r="Y404" s="20" t="n">
        <f aca="false">IF(OR($U404&lt;&gt;"Yes",$V404=""),0,$W404*IF(MATCH($V404,MonthList,0)&lt;=7,12,19-MATCH($V404,MonthList,0))/12)</f>
        <v>0</v>
      </c>
    </row>
    <row r="405" customFormat="false" ht="15" hidden="false" customHeight="true" outlineLevel="0" collapsed="false">
      <c r="B405" s="22" t="s">
        <v>780</v>
      </c>
      <c r="C405" s="22" t="s">
        <v>781</v>
      </c>
      <c r="D405" s="22" t="s">
        <v>29</v>
      </c>
      <c r="E405" s="22" t="s">
        <v>557</v>
      </c>
      <c r="F405" s="23" t="s">
        <v>57</v>
      </c>
      <c r="G405" s="23" t="s">
        <v>58</v>
      </c>
      <c r="H405" s="23" t="n">
        <v>1</v>
      </c>
      <c r="I405" s="24" t="n">
        <v>0.2061</v>
      </c>
      <c r="J405" s="24" t="n">
        <v>0.2061</v>
      </c>
      <c r="K405" s="21" t="s">
        <v>59</v>
      </c>
      <c r="L405" s="21"/>
      <c r="M405" s="24" t="n">
        <f aca="false">IF(AND($K405="Yes",$G405&lt;&gt;"Vendor day rates"),$J405-0.4*$I405,0)</f>
        <v>0</v>
      </c>
      <c r="N405" s="24" t="n">
        <f aca="false">IF(OR($K405&lt;&gt;"Yes",$L405=""),0,$M405*MAX(0,7-MATCH($L405,MonthList,0))/12)</f>
        <v>0</v>
      </c>
      <c r="O405" s="24" t="n">
        <f aca="false">IF(OR($K405&lt;&gt;"Yes",$L405=""),0,$M405*IF(MATCH($L405,MonthList,0)&lt;=7,12,19-MATCH($L405,MonthList,0))/12)</f>
        <v>0</v>
      </c>
      <c r="P405" s="21" t="s">
        <v>59</v>
      </c>
      <c r="Q405" s="21"/>
      <c r="R405" s="24" t="n">
        <f aca="false">IF(AND($P405="Yes",$G405&lt;&gt;"Vendor day rates"),$J405-0.4*$I405,0)</f>
        <v>0</v>
      </c>
      <c r="S405" s="24" t="n">
        <f aca="false">IF(OR($P405&lt;&gt;"Yes",$Q405=""),0,$R405*MAX(0,7-MATCH($Q405,MonthList,0))/12)</f>
        <v>0</v>
      </c>
      <c r="T405" s="24" t="n">
        <f aca="false">IF(OR($P405&lt;&gt;"Yes",$Q405=""),0,$R405*IF(MATCH($Q405,MonthList,0)&lt;=7,12,19-MATCH($Q405,MonthList,0))/12)</f>
        <v>0</v>
      </c>
      <c r="U405" s="21" t="s">
        <v>59</v>
      </c>
      <c r="V405" s="21"/>
      <c r="W405" s="24" t="n">
        <f aca="false">IF(AND($U405="Yes",$G405&lt;&gt;"Vendor day rates"),$J405-0.4*$I405,0)</f>
        <v>0</v>
      </c>
      <c r="X405" s="24" t="n">
        <f aca="false">IF(OR($U405&lt;&gt;"Yes",$V405=""),0,$W405*MAX(0,7-MATCH($V405,MonthList,0))/12)</f>
        <v>0</v>
      </c>
      <c r="Y405" s="24" t="n">
        <f aca="false">IF(OR($U405&lt;&gt;"Yes",$V405=""),0,$W405*IF(MATCH($V405,MonthList,0)&lt;=7,12,19-MATCH($V405,MonthList,0))/12)</f>
        <v>0</v>
      </c>
    </row>
    <row r="406" customFormat="false" ht="15" hidden="false" customHeight="true" outlineLevel="0" collapsed="false">
      <c r="B406" s="18" t="s">
        <v>782</v>
      </c>
      <c r="C406" s="18" t="s">
        <v>113</v>
      </c>
      <c r="D406" s="18" t="s">
        <v>29</v>
      </c>
      <c r="E406" s="18" t="s">
        <v>776</v>
      </c>
      <c r="F406" s="19" t="s">
        <v>57</v>
      </c>
      <c r="G406" s="19" t="s">
        <v>58</v>
      </c>
      <c r="H406" s="19" t="n">
        <v>1</v>
      </c>
      <c r="I406" s="20" t="n">
        <v>0.133</v>
      </c>
      <c r="J406" s="20" t="n">
        <v>0.133</v>
      </c>
      <c r="K406" s="21" t="s">
        <v>59</v>
      </c>
      <c r="L406" s="21"/>
      <c r="M406" s="20" t="n">
        <f aca="false">IF(AND($K406="Yes",$G406&lt;&gt;"Vendor day rates"),$J406-0.4*$I406,0)</f>
        <v>0</v>
      </c>
      <c r="N406" s="20" t="n">
        <f aca="false">IF(OR($K406&lt;&gt;"Yes",$L406=""),0,$M406*MAX(0,7-MATCH($L406,MonthList,0))/12)</f>
        <v>0</v>
      </c>
      <c r="O406" s="20" t="n">
        <f aca="false">IF(OR($K406&lt;&gt;"Yes",$L406=""),0,$M406*IF(MATCH($L406,MonthList,0)&lt;=7,12,19-MATCH($L406,MonthList,0))/12)</f>
        <v>0</v>
      </c>
      <c r="P406" s="21" t="s">
        <v>59</v>
      </c>
      <c r="Q406" s="21"/>
      <c r="R406" s="20" t="n">
        <f aca="false">IF(AND($P406="Yes",$G406&lt;&gt;"Vendor day rates"),$J406-0.4*$I406,0)</f>
        <v>0</v>
      </c>
      <c r="S406" s="20" t="n">
        <f aca="false">IF(OR($P406&lt;&gt;"Yes",$Q406=""),0,$R406*MAX(0,7-MATCH($Q406,MonthList,0))/12)</f>
        <v>0</v>
      </c>
      <c r="T406" s="20" t="n">
        <f aca="false">IF(OR($P406&lt;&gt;"Yes",$Q406=""),0,$R406*IF(MATCH($Q406,MonthList,0)&lt;=7,12,19-MATCH($Q406,MonthList,0))/12)</f>
        <v>0</v>
      </c>
      <c r="U406" s="21" t="s">
        <v>59</v>
      </c>
      <c r="V406" s="21"/>
      <c r="W406" s="20" t="n">
        <f aca="false">IF(AND($U406="Yes",$G406&lt;&gt;"Vendor day rates"),$J406-0.4*$I406,0)</f>
        <v>0</v>
      </c>
      <c r="X406" s="20" t="n">
        <f aca="false">IF(OR($U406&lt;&gt;"Yes",$V406=""),0,$W406*MAX(0,7-MATCH($V406,MonthList,0))/12)</f>
        <v>0</v>
      </c>
      <c r="Y406" s="20" t="n">
        <f aca="false">IF(OR($U406&lt;&gt;"Yes",$V406=""),0,$W406*IF(MATCH($V406,MonthList,0)&lt;=7,12,19-MATCH($V406,MonthList,0))/12)</f>
        <v>0</v>
      </c>
    </row>
    <row r="407" customFormat="false" ht="15" hidden="false" customHeight="true" outlineLevel="0" collapsed="false">
      <c r="B407" s="22" t="s">
        <v>783</v>
      </c>
      <c r="C407" s="22" t="s">
        <v>597</v>
      </c>
      <c r="D407" s="22" t="s">
        <v>22</v>
      </c>
      <c r="E407" s="22" t="s">
        <v>139</v>
      </c>
      <c r="F407" s="23" t="s">
        <v>57</v>
      </c>
      <c r="G407" s="23" t="s">
        <v>58</v>
      </c>
      <c r="H407" s="23" t="n">
        <v>1</v>
      </c>
      <c r="I407" s="24" t="n">
        <v>0.2472</v>
      </c>
      <c r="J407" s="24" t="n">
        <v>0.2472</v>
      </c>
      <c r="K407" s="21" t="s">
        <v>59</v>
      </c>
      <c r="L407" s="21"/>
      <c r="M407" s="24" t="n">
        <f aca="false">IF(AND($K407="Yes",$G407&lt;&gt;"Vendor day rates"),$J407-0.4*$I407,0)</f>
        <v>0</v>
      </c>
      <c r="N407" s="24" t="n">
        <f aca="false">IF(OR($K407&lt;&gt;"Yes",$L407=""),0,$M407*MAX(0,7-MATCH($L407,MonthList,0))/12)</f>
        <v>0</v>
      </c>
      <c r="O407" s="24" t="n">
        <f aca="false">IF(OR($K407&lt;&gt;"Yes",$L407=""),0,$M407*IF(MATCH($L407,MonthList,0)&lt;=7,12,19-MATCH($L407,MonthList,0))/12)</f>
        <v>0</v>
      </c>
      <c r="P407" s="21" t="s">
        <v>59</v>
      </c>
      <c r="Q407" s="21"/>
      <c r="R407" s="24" t="n">
        <f aca="false">IF(AND($P407="Yes",$G407&lt;&gt;"Vendor day rates"),$J407-0.4*$I407,0)</f>
        <v>0</v>
      </c>
      <c r="S407" s="24" t="n">
        <f aca="false">IF(OR($P407&lt;&gt;"Yes",$Q407=""),0,$R407*MAX(0,7-MATCH($Q407,MonthList,0))/12)</f>
        <v>0</v>
      </c>
      <c r="T407" s="24" t="n">
        <f aca="false">IF(OR($P407&lt;&gt;"Yes",$Q407=""),0,$R407*IF(MATCH($Q407,MonthList,0)&lt;=7,12,19-MATCH($Q407,MonthList,0))/12)</f>
        <v>0</v>
      </c>
      <c r="U407" s="21" t="s">
        <v>59</v>
      </c>
      <c r="V407" s="21"/>
      <c r="W407" s="24" t="n">
        <f aca="false">IF(AND($U407="Yes",$G407&lt;&gt;"Vendor day rates"),$J407-0.4*$I407,0)</f>
        <v>0</v>
      </c>
      <c r="X407" s="24" t="n">
        <f aca="false">IF(OR($U407&lt;&gt;"Yes",$V407=""),0,$W407*MAX(0,7-MATCH($V407,MonthList,0))/12)</f>
        <v>0</v>
      </c>
      <c r="Y407" s="24" t="n">
        <f aca="false">IF(OR($U407&lt;&gt;"Yes",$V407=""),0,$W407*IF(MATCH($V407,MonthList,0)&lt;=7,12,19-MATCH($V407,MonthList,0))/12)</f>
        <v>0</v>
      </c>
    </row>
    <row r="408" customFormat="false" ht="15" hidden="false" customHeight="true" outlineLevel="0" collapsed="false">
      <c r="B408" s="18" t="s">
        <v>784</v>
      </c>
      <c r="C408" s="18" t="s">
        <v>785</v>
      </c>
      <c r="D408" s="18" t="s">
        <v>26</v>
      </c>
      <c r="E408" s="18" t="s">
        <v>247</v>
      </c>
      <c r="F408" s="19" t="s">
        <v>57</v>
      </c>
      <c r="G408" s="19" t="s">
        <v>58</v>
      </c>
      <c r="H408" s="19" t="n">
        <v>1</v>
      </c>
      <c r="I408" s="20" t="n">
        <v>0.2272</v>
      </c>
      <c r="J408" s="20" t="n">
        <v>0.2272</v>
      </c>
      <c r="K408" s="21" t="s">
        <v>59</v>
      </c>
      <c r="L408" s="21"/>
      <c r="M408" s="20" t="n">
        <f aca="false">IF(AND($K408="Yes",$G408&lt;&gt;"Vendor day rates"),$J408-0.4*$I408,0)</f>
        <v>0</v>
      </c>
      <c r="N408" s="20" t="n">
        <f aca="false">IF(OR($K408&lt;&gt;"Yes",$L408=""),0,$M408*MAX(0,7-MATCH($L408,MonthList,0))/12)</f>
        <v>0</v>
      </c>
      <c r="O408" s="20" t="n">
        <f aca="false">IF(OR($K408&lt;&gt;"Yes",$L408=""),0,$M408*IF(MATCH($L408,MonthList,0)&lt;=7,12,19-MATCH($L408,MonthList,0))/12)</f>
        <v>0</v>
      </c>
      <c r="P408" s="21" t="s">
        <v>59</v>
      </c>
      <c r="Q408" s="21"/>
      <c r="R408" s="20" t="n">
        <f aca="false">IF(AND($P408="Yes",$G408&lt;&gt;"Vendor day rates"),$J408-0.4*$I408,0)</f>
        <v>0</v>
      </c>
      <c r="S408" s="20" t="n">
        <f aca="false">IF(OR($P408&lt;&gt;"Yes",$Q408=""),0,$R408*MAX(0,7-MATCH($Q408,MonthList,0))/12)</f>
        <v>0</v>
      </c>
      <c r="T408" s="20" t="n">
        <f aca="false">IF(OR($P408&lt;&gt;"Yes",$Q408=""),0,$R408*IF(MATCH($Q408,MonthList,0)&lt;=7,12,19-MATCH($Q408,MonthList,0))/12)</f>
        <v>0</v>
      </c>
      <c r="U408" s="21" t="s">
        <v>59</v>
      </c>
      <c r="V408" s="21"/>
      <c r="W408" s="20" t="n">
        <f aca="false">IF(AND($U408="Yes",$G408&lt;&gt;"Vendor day rates"),$J408-0.4*$I408,0)</f>
        <v>0</v>
      </c>
      <c r="X408" s="20" t="n">
        <f aca="false">IF(OR($U408&lt;&gt;"Yes",$V408=""),0,$W408*MAX(0,7-MATCH($V408,MonthList,0))/12)</f>
        <v>0</v>
      </c>
      <c r="Y408" s="20" t="n">
        <f aca="false">IF(OR($U408&lt;&gt;"Yes",$V408=""),0,$W408*IF(MATCH($V408,MonthList,0)&lt;=7,12,19-MATCH($V408,MonthList,0))/12)</f>
        <v>0</v>
      </c>
    </row>
    <row r="409" customFormat="false" ht="15" hidden="false" customHeight="true" outlineLevel="0" collapsed="false">
      <c r="B409" s="22" t="s">
        <v>786</v>
      </c>
      <c r="C409" s="22" t="s">
        <v>787</v>
      </c>
      <c r="D409" s="22" t="s">
        <v>26</v>
      </c>
      <c r="E409" s="22" t="s">
        <v>247</v>
      </c>
      <c r="F409" s="23" t="s">
        <v>57</v>
      </c>
      <c r="G409" s="23" t="s">
        <v>58</v>
      </c>
      <c r="H409" s="23" t="n">
        <v>1</v>
      </c>
      <c r="I409" s="24" t="n">
        <v>0.2136</v>
      </c>
      <c r="J409" s="24" t="n">
        <v>0.2136</v>
      </c>
      <c r="K409" s="21" t="s">
        <v>59</v>
      </c>
      <c r="L409" s="21"/>
      <c r="M409" s="24" t="n">
        <f aca="false">IF(AND($K409="Yes",$G409&lt;&gt;"Vendor day rates"),$J409-0.4*$I409,0)</f>
        <v>0</v>
      </c>
      <c r="N409" s="24" t="n">
        <f aca="false">IF(OR($K409&lt;&gt;"Yes",$L409=""),0,$M409*MAX(0,7-MATCH($L409,MonthList,0))/12)</f>
        <v>0</v>
      </c>
      <c r="O409" s="24" t="n">
        <f aca="false">IF(OR($K409&lt;&gt;"Yes",$L409=""),0,$M409*IF(MATCH($L409,MonthList,0)&lt;=7,12,19-MATCH($L409,MonthList,0))/12)</f>
        <v>0</v>
      </c>
      <c r="P409" s="21" t="s">
        <v>59</v>
      </c>
      <c r="Q409" s="21"/>
      <c r="R409" s="24" t="n">
        <f aca="false">IF(AND($P409="Yes",$G409&lt;&gt;"Vendor day rates"),$J409-0.4*$I409,0)</f>
        <v>0</v>
      </c>
      <c r="S409" s="24" t="n">
        <f aca="false">IF(OR($P409&lt;&gt;"Yes",$Q409=""),0,$R409*MAX(0,7-MATCH($Q409,MonthList,0))/12)</f>
        <v>0</v>
      </c>
      <c r="T409" s="24" t="n">
        <f aca="false">IF(OR($P409&lt;&gt;"Yes",$Q409=""),0,$R409*IF(MATCH($Q409,MonthList,0)&lt;=7,12,19-MATCH($Q409,MonthList,0))/12)</f>
        <v>0</v>
      </c>
      <c r="U409" s="21" t="s">
        <v>59</v>
      </c>
      <c r="V409" s="21"/>
      <c r="W409" s="24" t="n">
        <f aca="false">IF(AND($U409="Yes",$G409&lt;&gt;"Vendor day rates"),$J409-0.4*$I409,0)</f>
        <v>0</v>
      </c>
      <c r="X409" s="24" t="n">
        <f aca="false">IF(OR($U409&lt;&gt;"Yes",$V409=""),0,$W409*MAX(0,7-MATCH($V409,MonthList,0))/12)</f>
        <v>0</v>
      </c>
      <c r="Y409" s="24" t="n">
        <f aca="false">IF(OR($U409&lt;&gt;"Yes",$V409=""),0,$W409*IF(MATCH($V409,MonthList,0)&lt;=7,12,19-MATCH($V409,MonthList,0))/12)</f>
        <v>0</v>
      </c>
    </row>
    <row r="410" customFormat="false" ht="15" hidden="false" customHeight="true" outlineLevel="0" collapsed="false">
      <c r="B410" s="18" t="s">
        <v>788</v>
      </c>
      <c r="C410" s="18" t="s">
        <v>789</v>
      </c>
      <c r="D410" s="18" t="s">
        <v>32</v>
      </c>
      <c r="E410" s="18" t="s">
        <v>218</v>
      </c>
      <c r="F410" s="19" t="s">
        <v>109</v>
      </c>
      <c r="G410" s="19" t="s">
        <v>58</v>
      </c>
      <c r="H410" s="19" t="n">
        <v>1</v>
      </c>
      <c r="I410" s="20" t="n">
        <v>0.1143</v>
      </c>
      <c r="J410" s="20" t="n">
        <v>0.1143</v>
      </c>
      <c r="K410" s="21" t="s">
        <v>59</v>
      </c>
      <c r="L410" s="21"/>
      <c r="M410" s="20" t="n">
        <f aca="false">IF(AND($K410="Yes",$G410&lt;&gt;"Vendor day rates"),$J410-0.4*$I410,0)</f>
        <v>0</v>
      </c>
      <c r="N410" s="20" t="n">
        <f aca="false">IF(OR($K410&lt;&gt;"Yes",$L410=""),0,$M410*MAX(0,7-MATCH($L410,MonthList,0))/12)</f>
        <v>0</v>
      </c>
      <c r="O410" s="20" t="n">
        <f aca="false">IF(OR($K410&lt;&gt;"Yes",$L410=""),0,$M410*IF(MATCH($L410,MonthList,0)&lt;=7,12,19-MATCH($L410,MonthList,0))/12)</f>
        <v>0</v>
      </c>
      <c r="P410" s="21" t="s">
        <v>59</v>
      </c>
      <c r="Q410" s="21"/>
      <c r="R410" s="20" t="n">
        <f aca="false">IF(AND($P410="Yes",$G410&lt;&gt;"Vendor day rates"),$J410-0.4*$I410,0)</f>
        <v>0</v>
      </c>
      <c r="S410" s="20" t="n">
        <f aca="false">IF(OR($P410&lt;&gt;"Yes",$Q410=""),0,$R410*MAX(0,7-MATCH($Q410,MonthList,0))/12)</f>
        <v>0</v>
      </c>
      <c r="T410" s="20" t="n">
        <f aca="false">IF(OR($P410&lt;&gt;"Yes",$Q410=""),0,$R410*IF(MATCH($Q410,MonthList,0)&lt;=7,12,19-MATCH($Q410,MonthList,0))/12)</f>
        <v>0</v>
      </c>
      <c r="U410" s="21" t="s">
        <v>59</v>
      </c>
      <c r="V410" s="21"/>
      <c r="W410" s="20" t="n">
        <f aca="false">IF(AND($U410="Yes",$G410&lt;&gt;"Vendor day rates"),$J410-0.4*$I410,0)</f>
        <v>0</v>
      </c>
      <c r="X410" s="20" t="n">
        <f aca="false">IF(OR($U410&lt;&gt;"Yes",$V410=""),0,$W410*MAX(0,7-MATCH($V410,MonthList,0))/12)</f>
        <v>0</v>
      </c>
      <c r="Y410" s="20" t="n">
        <f aca="false">IF(OR($U410&lt;&gt;"Yes",$V410=""),0,$W410*IF(MATCH($V410,MonthList,0)&lt;=7,12,19-MATCH($V410,MonthList,0))/12)</f>
        <v>0</v>
      </c>
    </row>
    <row r="411" customFormat="false" ht="15" hidden="false" customHeight="true" outlineLevel="0" collapsed="false">
      <c r="B411" s="22" t="s">
        <v>790</v>
      </c>
      <c r="C411" s="22" t="s">
        <v>138</v>
      </c>
      <c r="D411" s="22" t="s">
        <v>32</v>
      </c>
      <c r="E411" s="22" t="s">
        <v>333</v>
      </c>
      <c r="F411" s="23" t="s">
        <v>109</v>
      </c>
      <c r="G411" s="23" t="s">
        <v>58</v>
      </c>
      <c r="H411" s="23" t="n">
        <v>0.8</v>
      </c>
      <c r="I411" s="24" t="n">
        <v>0.1187</v>
      </c>
      <c r="J411" s="24" t="n">
        <v>0.1187</v>
      </c>
      <c r="K411" s="21" t="s">
        <v>59</v>
      </c>
      <c r="L411" s="21"/>
      <c r="M411" s="24" t="n">
        <f aca="false">IF(AND($K411="Yes",$G411&lt;&gt;"Vendor day rates"),$J411-0.4*$I411,0)</f>
        <v>0</v>
      </c>
      <c r="N411" s="24" t="n">
        <f aca="false">IF(OR($K411&lt;&gt;"Yes",$L411=""),0,$M411*MAX(0,7-MATCH($L411,MonthList,0))/12)</f>
        <v>0</v>
      </c>
      <c r="O411" s="24" t="n">
        <f aca="false">IF(OR($K411&lt;&gt;"Yes",$L411=""),0,$M411*IF(MATCH($L411,MonthList,0)&lt;=7,12,19-MATCH($L411,MonthList,0))/12)</f>
        <v>0</v>
      </c>
      <c r="P411" s="21" t="s">
        <v>59</v>
      </c>
      <c r="Q411" s="21"/>
      <c r="R411" s="24" t="n">
        <f aca="false">IF(AND($P411="Yes",$G411&lt;&gt;"Vendor day rates"),$J411-0.4*$I411,0)</f>
        <v>0</v>
      </c>
      <c r="S411" s="24" t="n">
        <f aca="false">IF(OR($P411&lt;&gt;"Yes",$Q411=""),0,$R411*MAX(0,7-MATCH($Q411,MonthList,0))/12)</f>
        <v>0</v>
      </c>
      <c r="T411" s="24" t="n">
        <f aca="false">IF(OR($P411&lt;&gt;"Yes",$Q411=""),0,$R411*IF(MATCH($Q411,MonthList,0)&lt;=7,12,19-MATCH($Q411,MonthList,0))/12)</f>
        <v>0</v>
      </c>
      <c r="U411" s="21" t="s">
        <v>59</v>
      </c>
      <c r="V411" s="21"/>
      <c r="W411" s="24" t="n">
        <f aca="false">IF(AND($U411="Yes",$G411&lt;&gt;"Vendor day rates"),$J411-0.4*$I411,0)</f>
        <v>0</v>
      </c>
      <c r="X411" s="24" t="n">
        <f aca="false">IF(OR($U411&lt;&gt;"Yes",$V411=""),0,$W411*MAX(0,7-MATCH($V411,MonthList,0))/12)</f>
        <v>0</v>
      </c>
      <c r="Y411" s="24" t="n">
        <f aca="false">IF(OR($U411&lt;&gt;"Yes",$V411=""),0,$W411*IF(MATCH($V411,MonthList,0)&lt;=7,12,19-MATCH($V411,MonthList,0))/12)</f>
        <v>0</v>
      </c>
    </row>
    <row r="412" customFormat="false" ht="15" hidden="false" customHeight="true" outlineLevel="0" collapsed="false">
      <c r="B412" s="18" t="s">
        <v>791</v>
      </c>
      <c r="C412" s="18" t="s">
        <v>138</v>
      </c>
      <c r="D412" s="18" t="s">
        <v>32</v>
      </c>
      <c r="E412" s="18" t="s">
        <v>333</v>
      </c>
      <c r="F412" s="19" t="s">
        <v>109</v>
      </c>
      <c r="G412" s="19" t="s">
        <v>58</v>
      </c>
      <c r="H412" s="19" t="n">
        <v>1</v>
      </c>
      <c r="I412" s="20" t="n">
        <v>0.1545</v>
      </c>
      <c r="J412" s="20" t="n">
        <v>0.1545</v>
      </c>
      <c r="K412" s="21" t="s">
        <v>59</v>
      </c>
      <c r="L412" s="21"/>
      <c r="M412" s="20" t="n">
        <f aca="false">IF(AND($K412="Yes",$G412&lt;&gt;"Vendor day rates"),$J412-0.4*$I412,0)</f>
        <v>0</v>
      </c>
      <c r="N412" s="20" t="n">
        <f aca="false">IF(OR($K412&lt;&gt;"Yes",$L412=""),0,$M412*MAX(0,7-MATCH($L412,MonthList,0))/12)</f>
        <v>0</v>
      </c>
      <c r="O412" s="20" t="n">
        <f aca="false">IF(OR($K412&lt;&gt;"Yes",$L412=""),0,$M412*IF(MATCH($L412,MonthList,0)&lt;=7,12,19-MATCH($L412,MonthList,0))/12)</f>
        <v>0</v>
      </c>
      <c r="P412" s="21" t="s">
        <v>59</v>
      </c>
      <c r="Q412" s="21"/>
      <c r="R412" s="20" t="n">
        <f aca="false">IF(AND($P412="Yes",$G412&lt;&gt;"Vendor day rates"),$J412-0.4*$I412,0)</f>
        <v>0</v>
      </c>
      <c r="S412" s="20" t="n">
        <f aca="false">IF(OR($P412&lt;&gt;"Yes",$Q412=""),0,$R412*MAX(0,7-MATCH($Q412,MonthList,0))/12)</f>
        <v>0</v>
      </c>
      <c r="T412" s="20" t="n">
        <f aca="false">IF(OR($P412&lt;&gt;"Yes",$Q412=""),0,$R412*IF(MATCH($Q412,MonthList,0)&lt;=7,12,19-MATCH($Q412,MonthList,0))/12)</f>
        <v>0</v>
      </c>
      <c r="U412" s="21" t="s">
        <v>59</v>
      </c>
      <c r="V412" s="21"/>
      <c r="W412" s="20" t="n">
        <f aca="false">IF(AND($U412="Yes",$G412&lt;&gt;"Vendor day rates"),$J412-0.4*$I412,0)</f>
        <v>0</v>
      </c>
      <c r="X412" s="20" t="n">
        <f aca="false">IF(OR($U412&lt;&gt;"Yes",$V412=""),0,$W412*MAX(0,7-MATCH($V412,MonthList,0))/12)</f>
        <v>0</v>
      </c>
      <c r="Y412" s="20" t="n">
        <f aca="false">IF(OR($U412&lt;&gt;"Yes",$V412=""),0,$W412*IF(MATCH($V412,MonthList,0)&lt;=7,12,19-MATCH($V412,MonthList,0))/12)</f>
        <v>0</v>
      </c>
    </row>
    <row r="413" customFormat="false" ht="15" hidden="false" customHeight="true" outlineLevel="0" collapsed="false">
      <c r="B413" s="22" t="s">
        <v>792</v>
      </c>
      <c r="C413" s="22" t="s">
        <v>793</v>
      </c>
      <c r="D413" s="22" t="s">
        <v>18</v>
      </c>
      <c r="E413" s="22" t="s">
        <v>387</v>
      </c>
      <c r="F413" s="23" t="s">
        <v>57</v>
      </c>
      <c r="G413" s="23" t="s">
        <v>118</v>
      </c>
      <c r="H413" s="23" t="n">
        <v>1</v>
      </c>
      <c r="I413" s="24" t="n">
        <v>0.1368</v>
      </c>
      <c r="J413" s="24" t="n">
        <v>0.0547</v>
      </c>
      <c r="K413" s="21" t="s">
        <v>59</v>
      </c>
      <c r="L413" s="21"/>
      <c r="M413" s="24" t="n">
        <f aca="false">IF(AND($K413="Yes",$G413&lt;&gt;"Vendor day rates"),$J413-0.4*$I413,0)</f>
        <v>0</v>
      </c>
      <c r="N413" s="24" t="n">
        <f aca="false">IF(OR($K413&lt;&gt;"Yes",$L413=""),0,$M413*MAX(0,7-MATCH($L413,MonthList,0))/12)</f>
        <v>0</v>
      </c>
      <c r="O413" s="24" t="n">
        <f aca="false">IF(OR($K413&lt;&gt;"Yes",$L413=""),0,$M413*IF(MATCH($L413,MonthList,0)&lt;=7,12,19-MATCH($L413,MonthList,0))/12)</f>
        <v>0</v>
      </c>
      <c r="P413" s="21" t="s">
        <v>59</v>
      </c>
      <c r="Q413" s="21"/>
      <c r="R413" s="24" t="n">
        <f aca="false">IF(AND($P413="Yes",$G413&lt;&gt;"Vendor day rates"),$J413-0.4*$I413,0)</f>
        <v>0</v>
      </c>
      <c r="S413" s="24" t="n">
        <f aca="false">IF(OR($P413&lt;&gt;"Yes",$Q413=""),0,$R413*MAX(0,7-MATCH($Q413,MonthList,0))/12)</f>
        <v>0</v>
      </c>
      <c r="T413" s="24" t="n">
        <f aca="false">IF(OR($P413&lt;&gt;"Yes",$Q413=""),0,$R413*IF(MATCH($Q413,MonthList,0)&lt;=7,12,19-MATCH($Q413,MonthList,0))/12)</f>
        <v>0</v>
      </c>
      <c r="U413" s="21" t="s">
        <v>59</v>
      </c>
      <c r="V413" s="21"/>
      <c r="W413" s="24" t="n">
        <f aca="false">IF(AND($U413="Yes",$G413&lt;&gt;"Vendor day rates"),$J413-0.4*$I413,0)</f>
        <v>0</v>
      </c>
      <c r="X413" s="24" t="n">
        <f aca="false">IF(OR($U413&lt;&gt;"Yes",$V413=""),0,$W413*MAX(0,7-MATCH($V413,MonthList,0))/12)</f>
        <v>0</v>
      </c>
      <c r="Y413" s="24" t="n">
        <f aca="false">IF(OR($U413&lt;&gt;"Yes",$V413=""),0,$W413*IF(MATCH($V413,MonthList,0)&lt;=7,12,19-MATCH($V413,MonthList,0))/12)</f>
        <v>0</v>
      </c>
    </row>
    <row r="414" customFormat="false" ht="15" hidden="false" customHeight="true" outlineLevel="0" collapsed="false">
      <c r="B414" s="18" t="s">
        <v>794</v>
      </c>
      <c r="C414" s="18" t="s">
        <v>133</v>
      </c>
      <c r="D414" s="18" t="s">
        <v>18</v>
      </c>
      <c r="E414" s="18" t="s">
        <v>62</v>
      </c>
      <c r="F414" s="19" t="s">
        <v>57</v>
      </c>
      <c r="G414" s="19" t="s">
        <v>118</v>
      </c>
      <c r="H414" s="19" t="n">
        <v>1</v>
      </c>
      <c r="I414" s="20" t="n">
        <v>0.1775</v>
      </c>
      <c r="J414" s="20" t="n">
        <v>0.071</v>
      </c>
      <c r="K414" s="21" t="s">
        <v>59</v>
      </c>
      <c r="L414" s="21"/>
      <c r="M414" s="20" t="n">
        <f aca="false">IF(AND($K414="Yes",$G414&lt;&gt;"Vendor day rates"),$J414-0.4*$I414,0)</f>
        <v>0</v>
      </c>
      <c r="N414" s="20" t="n">
        <f aca="false">IF(OR($K414&lt;&gt;"Yes",$L414=""),0,$M414*MAX(0,7-MATCH($L414,MonthList,0))/12)</f>
        <v>0</v>
      </c>
      <c r="O414" s="20" t="n">
        <f aca="false">IF(OR($K414&lt;&gt;"Yes",$L414=""),0,$M414*IF(MATCH($L414,MonthList,0)&lt;=7,12,19-MATCH($L414,MonthList,0))/12)</f>
        <v>0</v>
      </c>
      <c r="P414" s="21" t="s">
        <v>59</v>
      </c>
      <c r="Q414" s="21"/>
      <c r="R414" s="20" t="n">
        <f aca="false">IF(AND($P414="Yes",$G414&lt;&gt;"Vendor day rates"),$J414-0.4*$I414,0)</f>
        <v>0</v>
      </c>
      <c r="S414" s="20" t="n">
        <f aca="false">IF(OR($P414&lt;&gt;"Yes",$Q414=""),0,$R414*MAX(0,7-MATCH($Q414,MonthList,0))/12)</f>
        <v>0</v>
      </c>
      <c r="T414" s="20" t="n">
        <f aca="false">IF(OR($P414&lt;&gt;"Yes",$Q414=""),0,$R414*IF(MATCH($Q414,MonthList,0)&lt;=7,12,19-MATCH($Q414,MonthList,0))/12)</f>
        <v>0</v>
      </c>
      <c r="U414" s="21" t="s">
        <v>59</v>
      </c>
      <c r="V414" s="21"/>
      <c r="W414" s="20" t="n">
        <f aca="false">IF(AND($U414="Yes",$G414&lt;&gt;"Vendor day rates"),$J414-0.4*$I414,0)</f>
        <v>0</v>
      </c>
      <c r="X414" s="20" t="n">
        <f aca="false">IF(OR($U414&lt;&gt;"Yes",$V414=""),0,$W414*MAX(0,7-MATCH($V414,MonthList,0))/12)</f>
        <v>0</v>
      </c>
      <c r="Y414" s="20" t="n">
        <f aca="false">IF(OR($U414&lt;&gt;"Yes",$V414=""),0,$W414*IF(MATCH($V414,MonthList,0)&lt;=7,12,19-MATCH($V414,MonthList,0))/12)</f>
        <v>0</v>
      </c>
    </row>
    <row r="415" customFormat="false" ht="15" hidden="false" customHeight="true" outlineLevel="0" collapsed="false">
      <c r="B415" s="22" t="s">
        <v>795</v>
      </c>
      <c r="C415" s="22" t="s">
        <v>796</v>
      </c>
      <c r="D415" s="22" t="s">
        <v>32</v>
      </c>
      <c r="E415" s="22" t="s">
        <v>333</v>
      </c>
      <c r="F415" s="23" t="s">
        <v>109</v>
      </c>
      <c r="G415" s="23" t="s">
        <v>58</v>
      </c>
      <c r="H415" s="23" t="n">
        <v>1</v>
      </c>
      <c r="I415" s="24" t="n">
        <v>0.158</v>
      </c>
      <c r="J415" s="24" t="n">
        <v>0.158</v>
      </c>
      <c r="K415" s="21" t="s">
        <v>59</v>
      </c>
      <c r="L415" s="21"/>
      <c r="M415" s="24" t="n">
        <f aca="false">IF(AND($K415="Yes",$G415&lt;&gt;"Vendor day rates"),$J415-0.4*$I415,0)</f>
        <v>0</v>
      </c>
      <c r="N415" s="24" t="n">
        <f aca="false">IF(OR($K415&lt;&gt;"Yes",$L415=""),0,$M415*MAX(0,7-MATCH($L415,MonthList,0))/12)</f>
        <v>0</v>
      </c>
      <c r="O415" s="24" t="n">
        <f aca="false">IF(OR($K415&lt;&gt;"Yes",$L415=""),0,$M415*IF(MATCH($L415,MonthList,0)&lt;=7,12,19-MATCH($L415,MonthList,0))/12)</f>
        <v>0</v>
      </c>
      <c r="P415" s="21" t="s">
        <v>59</v>
      </c>
      <c r="Q415" s="21"/>
      <c r="R415" s="24" t="n">
        <f aca="false">IF(AND($P415="Yes",$G415&lt;&gt;"Vendor day rates"),$J415-0.4*$I415,0)</f>
        <v>0</v>
      </c>
      <c r="S415" s="24" t="n">
        <f aca="false">IF(OR($P415&lt;&gt;"Yes",$Q415=""),0,$R415*MAX(0,7-MATCH($Q415,MonthList,0))/12)</f>
        <v>0</v>
      </c>
      <c r="T415" s="24" t="n">
        <f aca="false">IF(OR($P415&lt;&gt;"Yes",$Q415=""),0,$R415*IF(MATCH($Q415,MonthList,0)&lt;=7,12,19-MATCH($Q415,MonthList,0))/12)</f>
        <v>0</v>
      </c>
      <c r="U415" s="21" t="s">
        <v>59</v>
      </c>
      <c r="V415" s="21"/>
      <c r="W415" s="24" t="n">
        <f aca="false">IF(AND($U415="Yes",$G415&lt;&gt;"Vendor day rates"),$J415-0.4*$I415,0)</f>
        <v>0</v>
      </c>
      <c r="X415" s="24" t="n">
        <f aca="false">IF(OR($U415&lt;&gt;"Yes",$V415=""),0,$W415*MAX(0,7-MATCH($V415,MonthList,0))/12)</f>
        <v>0</v>
      </c>
      <c r="Y415" s="24" t="n">
        <f aca="false">IF(OR($U415&lt;&gt;"Yes",$V415=""),0,$W415*IF(MATCH($V415,MonthList,0)&lt;=7,12,19-MATCH($V415,MonthList,0))/12)</f>
        <v>0</v>
      </c>
    </row>
    <row r="416" customFormat="false" ht="15" hidden="false" customHeight="true" outlineLevel="0" collapsed="false">
      <c r="B416" s="18" t="s">
        <v>797</v>
      </c>
      <c r="C416" s="18" t="s">
        <v>796</v>
      </c>
      <c r="D416" s="18" t="s">
        <v>32</v>
      </c>
      <c r="E416" s="18" t="s">
        <v>333</v>
      </c>
      <c r="F416" s="19" t="s">
        <v>109</v>
      </c>
      <c r="G416" s="19" t="s">
        <v>58</v>
      </c>
      <c r="H416" s="19" t="n">
        <v>1</v>
      </c>
      <c r="I416" s="20" t="n">
        <v>0.1383</v>
      </c>
      <c r="J416" s="20" t="n">
        <v>0.1383</v>
      </c>
      <c r="K416" s="21" t="s">
        <v>59</v>
      </c>
      <c r="L416" s="21"/>
      <c r="M416" s="20" t="n">
        <f aca="false">IF(AND($K416="Yes",$G416&lt;&gt;"Vendor day rates"),$J416-0.4*$I416,0)</f>
        <v>0</v>
      </c>
      <c r="N416" s="20" t="n">
        <f aca="false">IF(OR($K416&lt;&gt;"Yes",$L416=""),0,$M416*MAX(0,7-MATCH($L416,MonthList,0))/12)</f>
        <v>0</v>
      </c>
      <c r="O416" s="20" t="n">
        <f aca="false">IF(OR($K416&lt;&gt;"Yes",$L416=""),0,$M416*IF(MATCH($L416,MonthList,0)&lt;=7,12,19-MATCH($L416,MonthList,0))/12)</f>
        <v>0</v>
      </c>
      <c r="P416" s="21" t="s">
        <v>59</v>
      </c>
      <c r="Q416" s="21"/>
      <c r="R416" s="20" t="n">
        <f aca="false">IF(AND($P416="Yes",$G416&lt;&gt;"Vendor day rates"),$J416-0.4*$I416,0)</f>
        <v>0</v>
      </c>
      <c r="S416" s="20" t="n">
        <f aca="false">IF(OR($P416&lt;&gt;"Yes",$Q416=""),0,$R416*MAX(0,7-MATCH($Q416,MonthList,0))/12)</f>
        <v>0</v>
      </c>
      <c r="T416" s="20" t="n">
        <f aca="false">IF(OR($P416&lt;&gt;"Yes",$Q416=""),0,$R416*IF(MATCH($Q416,MonthList,0)&lt;=7,12,19-MATCH($Q416,MonthList,0))/12)</f>
        <v>0</v>
      </c>
      <c r="U416" s="21" t="s">
        <v>59</v>
      </c>
      <c r="V416" s="21"/>
      <c r="W416" s="20" t="n">
        <f aca="false">IF(AND($U416="Yes",$G416&lt;&gt;"Vendor day rates"),$J416-0.4*$I416,0)</f>
        <v>0</v>
      </c>
      <c r="X416" s="20" t="n">
        <f aca="false">IF(OR($U416&lt;&gt;"Yes",$V416=""),0,$W416*MAX(0,7-MATCH($V416,MonthList,0))/12)</f>
        <v>0</v>
      </c>
      <c r="Y416" s="20" t="n">
        <f aca="false">IF(OR($U416&lt;&gt;"Yes",$V416=""),0,$W416*IF(MATCH($V416,MonthList,0)&lt;=7,12,19-MATCH($V416,MonthList,0))/12)</f>
        <v>0</v>
      </c>
    </row>
    <row r="417" customFormat="false" ht="15" hidden="false" customHeight="true" outlineLevel="0" collapsed="false">
      <c r="B417" s="22" t="s">
        <v>798</v>
      </c>
      <c r="C417" s="22" t="s">
        <v>796</v>
      </c>
      <c r="D417" s="22" t="s">
        <v>32</v>
      </c>
      <c r="E417" s="22" t="s">
        <v>333</v>
      </c>
      <c r="F417" s="23" t="s">
        <v>109</v>
      </c>
      <c r="G417" s="23" t="s">
        <v>58</v>
      </c>
      <c r="H417" s="23" t="n">
        <v>1</v>
      </c>
      <c r="I417" s="24" t="n">
        <v>0.15</v>
      </c>
      <c r="J417" s="24" t="n">
        <v>0.15</v>
      </c>
      <c r="K417" s="21" t="s">
        <v>59</v>
      </c>
      <c r="L417" s="21"/>
      <c r="M417" s="24" t="n">
        <f aca="false">IF(AND($K417="Yes",$G417&lt;&gt;"Vendor day rates"),$J417-0.4*$I417,0)</f>
        <v>0</v>
      </c>
      <c r="N417" s="24" t="n">
        <f aca="false">IF(OR($K417&lt;&gt;"Yes",$L417=""),0,$M417*MAX(0,7-MATCH($L417,MonthList,0))/12)</f>
        <v>0</v>
      </c>
      <c r="O417" s="24" t="n">
        <f aca="false">IF(OR($K417&lt;&gt;"Yes",$L417=""),0,$M417*IF(MATCH($L417,MonthList,0)&lt;=7,12,19-MATCH($L417,MonthList,0))/12)</f>
        <v>0</v>
      </c>
      <c r="P417" s="21" t="s">
        <v>59</v>
      </c>
      <c r="Q417" s="21"/>
      <c r="R417" s="24" t="n">
        <f aca="false">IF(AND($P417="Yes",$G417&lt;&gt;"Vendor day rates"),$J417-0.4*$I417,0)</f>
        <v>0</v>
      </c>
      <c r="S417" s="24" t="n">
        <f aca="false">IF(OR($P417&lt;&gt;"Yes",$Q417=""),0,$R417*MAX(0,7-MATCH($Q417,MonthList,0))/12)</f>
        <v>0</v>
      </c>
      <c r="T417" s="24" t="n">
        <f aca="false">IF(OR($P417&lt;&gt;"Yes",$Q417=""),0,$R417*IF(MATCH($Q417,MonthList,0)&lt;=7,12,19-MATCH($Q417,MonthList,0))/12)</f>
        <v>0</v>
      </c>
      <c r="U417" s="21" t="s">
        <v>59</v>
      </c>
      <c r="V417" s="21"/>
      <c r="W417" s="24" t="n">
        <f aca="false">IF(AND($U417="Yes",$G417&lt;&gt;"Vendor day rates"),$J417-0.4*$I417,0)</f>
        <v>0</v>
      </c>
      <c r="X417" s="24" t="n">
        <f aca="false">IF(OR($U417&lt;&gt;"Yes",$V417=""),0,$W417*MAX(0,7-MATCH($V417,MonthList,0))/12)</f>
        <v>0</v>
      </c>
      <c r="Y417" s="24" t="n">
        <f aca="false">IF(OR($U417&lt;&gt;"Yes",$V417=""),0,$W417*IF(MATCH($V417,MonthList,0)&lt;=7,12,19-MATCH($V417,MonthList,0))/12)</f>
        <v>0</v>
      </c>
    </row>
    <row r="418" customFormat="false" ht="15" hidden="false" customHeight="true" outlineLevel="0" collapsed="false">
      <c r="B418" s="18" t="s">
        <v>799</v>
      </c>
      <c r="C418" s="18" t="s">
        <v>800</v>
      </c>
      <c r="D418" s="18" t="s">
        <v>18</v>
      </c>
      <c r="E418" s="18" t="s">
        <v>101</v>
      </c>
      <c r="F418" s="19" t="s">
        <v>57</v>
      </c>
      <c r="G418" s="19" t="s">
        <v>58</v>
      </c>
      <c r="H418" s="19" t="n">
        <v>1</v>
      </c>
      <c r="I418" s="20" t="n">
        <v>0.1659</v>
      </c>
      <c r="J418" s="20" t="n">
        <v>0.1659</v>
      </c>
      <c r="K418" s="21" t="s">
        <v>59</v>
      </c>
      <c r="L418" s="21"/>
      <c r="M418" s="20" t="n">
        <f aca="false">IF(AND($K418="Yes",$G418&lt;&gt;"Vendor day rates"),$J418-0.4*$I418,0)</f>
        <v>0</v>
      </c>
      <c r="N418" s="20" t="n">
        <f aca="false">IF(OR($K418&lt;&gt;"Yes",$L418=""),0,$M418*MAX(0,7-MATCH($L418,MonthList,0))/12)</f>
        <v>0</v>
      </c>
      <c r="O418" s="20" t="n">
        <f aca="false">IF(OR($K418&lt;&gt;"Yes",$L418=""),0,$M418*IF(MATCH($L418,MonthList,0)&lt;=7,12,19-MATCH($L418,MonthList,0))/12)</f>
        <v>0</v>
      </c>
      <c r="P418" s="21" t="s">
        <v>59</v>
      </c>
      <c r="Q418" s="21"/>
      <c r="R418" s="20" t="n">
        <f aca="false">IF(AND($P418="Yes",$G418&lt;&gt;"Vendor day rates"),$J418-0.4*$I418,0)</f>
        <v>0</v>
      </c>
      <c r="S418" s="20" t="n">
        <f aca="false">IF(OR($P418&lt;&gt;"Yes",$Q418=""),0,$R418*MAX(0,7-MATCH($Q418,MonthList,0))/12)</f>
        <v>0</v>
      </c>
      <c r="T418" s="20" t="n">
        <f aca="false">IF(OR($P418&lt;&gt;"Yes",$Q418=""),0,$R418*IF(MATCH($Q418,MonthList,0)&lt;=7,12,19-MATCH($Q418,MonthList,0))/12)</f>
        <v>0</v>
      </c>
      <c r="U418" s="21" t="s">
        <v>59</v>
      </c>
      <c r="V418" s="21"/>
      <c r="W418" s="20" t="n">
        <f aca="false">IF(AND($U418="Yes",$G418&lt;&gt;"Vendor day rates"),$J418-0.4*$I418,0)</f>
        <v>0</v>
      </c>
      <c r="X418" s="20" t="n">
        <f aca="false">IF(OR($U418&lt;&gt;"Yes",$V418=""),0,$W418*MAX(0,7-MATCH($V418,MonthList,0))/12)</f>
        <v>0</v>
      </c>
      <c r="Y418" s="20" t="n">
        <f aca="false">IF(OR($U418&lt;&gt;"Yes",$V418=""),0,$W418*IF(MATCH($V418,MonthList,0)&lt;=7,12,19-MATCH($V418,MonthList,0))/12)</f>
        <v>0</v>
      </c>
    </row>
    <row r="419" customFormat="false" ht="15" hidden="false" customHeight="true" outlineLevel="0" collapsed="false">
      <c r="B419" s="22" t="s">
        <v>801</v>
      </c>
      <c r="C419" s="22" t="s">
        <v>588</v>
      </c>
      <c r="D419" s="22" t="s">
        <v>32</v>
      </c>
      <c r="E419" s="22" t="s">
        <v>333</v>
      </c>
      <c r="F419" s="23" t="s">
        <v>109</v>
      </c>
      <c r="G419" s="23" t="s">
        <v>58</v>
      </c>
      <c r="H419" s="23" t="n">
        <v>1</v>
      </c>
      <c r="I419" s="24" t="n">
        <v>0.1557</v>
      </c>
      <c r="J419" s="24" t="n">
        <v>0.1557</v>
      </c>
      <c r="K419" s="21" t="s">
        <v>59</v>
      </c>
      <c r="L419" s="21"/>
      <c r="M419" s="24" t="n">
        <f aca="false">IF(AND($K419="Yes",$G419&lt;&gt;"Vendor day rates"),$J419-0.4*$I419,0)</f>
        <v>0</v>
      </c>
      <c r="N419" s="24" t="n">
        <f aca="false">IF(OR($K419&lt;&gt;"Yes",$L419=""),0,$M419*MAX(0,7-MATCH($L419,MonthList,0))/12)</f>
        <v>0</v>
      </c>
      <c r="O419" s="24" t="n">
        <f aca="false">IF(OR($K419&lt;&gt;"Yes",$L419=""),0,$M419*IF(MATCH($L419,MonthList,0)&lt;=7,12,19-MATCH($L419,MonthList,0))/12)</f>
        <v>0</v>
      </c>
      <c r="P419" s="21" t="s">
        <v>59</v>
      </c>
      <c r="Q419" s="21"/>
      <c r="R419" s="24" t="n">
        <f aca="false">IF(AND($P419="Yes",$G419&lt;&gt;"Vendor day rates"),$J419-0.4*$I419,0)</f>
        <v>0</v>
      </c>
      <c r="S419" s="24" t="n">
        <f aca="false">IF(OR($P419&lt;&gt;"Yes",$Q419=""),0,$R419*MAX(0,7-MATCH($Q419,MonthList,0))/12)</f>
        <v>0</v>
      </c>
      <c r="T419" s="24" t="n">
        <f aca="false">IF(OR($P419&lt;&gt;"Yes",$Q419=""),0,$R419*IF(MATCH($Q419,MonthList,0)&lt;=7,12,19-MATCH($Q419,MonthList,0))/12)</f>
        <v>0</v>
      </c>
      <c r="U419" s="21" t="s">
        <v>59</v>
      </c>
      <c r="V419" s="21"/>
      <c r="W419" s="24" t="n">
        <f aca="false">IF(AND($U419="Yes",$G419&lt;&gt;"Vendor day rates"),$J419-0.4*$I419,0)</f>
        <v>0</v>
      </c>
      <c r="X419" s="24" t="n">
        <f aca="false">IF(OR($U419&lt;&gt;"Yes",$V419=""),0,$W419*MAX(0,7-MATCH($V419,MonthList,0))/12)</f>
        <v>0</v>
      </c>
      <c r="Y419" s="24" t="n">
        <f aca="false">IF(OR($U419&lt;&gt;"Yes",$V419=""),0,$W419*IF(MATCH($V419,MonthList,0)&lt;=7,12,19-MATCH($V419,MonthList,0))/12)</f>
        <v>0</v>
      </c>
    </row>
    <row r="420" customFormat="false" ht="15" hidden="false" customHeight="true" outlineLevel="0" collapsed="false">
      <c r="B420" s="18" t="s">
        <v>802</v>
      </c>
      <c r="C420" s="18" t="s">
        <v>588</v>
      </c>
      <c r="D420" s="18" t="s">
        <v>22</v>
      </c>
      <c r="E420" s="18" t="s">
        <v>56</v>
      </c>
      <c r="F420" s="19" t="s">
        <v>109</v>
      </c>
      <c r="G420" s="19" t="s">
        <v>58</v>
      </c>
      <c r="H420" s="19" t="n">
        <v>1</v>
      </c>
      <c r="I420" s="20" t="n">
        <v>0.1387</v>
      </c>
      <c r="J420" s="20" t="n">
        <v>0.1387</v>
      </c>
      <c r="K420" s="21" t="s">
        <v>59</v>
      </c>
      <c r="L420" s="21"/>
      <c r="M420" s="20" t="n">
        <f aca="false">IF(AND($K420="Yes",$G420&lt;&gt;"Vendor day rates"),$J420-0.4*$I420,0)</f>
        <v>0</v>
      </c>
      <c r="N420" s="20" t="n">
        <f aca="false">IF(OR($K420&lt;&gt;"Yes",$L420=""),0,$M420*MAX(0,7-MATCH($L420,MonthList,0))/12)</f>
        <v>0</v>
      </c>
      <c r="O420" s="20" t="n">
        <f aca="false">IF(OR($K420&lt;&gt;"Yes",$L420=""),0,$M420*IF(MATCH($L420,MonthList,0)&lt;=7,12,19-MATCH($L420,MonthList,0))/12)</f>
        <v>0</v>
      </c>
      <c r="P420" s="21" t="s">
        <v>59</v>
      </c>
      <c r="Q420" s="21"/>
      <c r="R420" s="20" t="n">
        <f aca="false">IF(AND($P420="Yes",$G420&lt;&gt;"Vendor day rates"),$J420-0.4*$I420,0)</f>
        <v>0</v>
      </c>
      <c r="S420" s="20" t="n">
        <f aca="false">IF(OR($P420&lt;&gt;"Yes",$Q420=""),0,$R420*MAX(0,7-MATCH($Q420,MonthList,0))/12)</f>
        <v>0</v>
      </c>
      <c r="T420" s="20" t="n">
        <f aca="false">IF(OR($P420&lt;&gt;"Yes",$Q420=""),0,$R420*IF(MATCH($Q420,MonthList,0)&lt;=7,12,19-MATCH($Q420,MonthList,0))/12)</f>
        <v>0</v>
      </c>
      <c r="U420" s="21" t="s">
        <v>59</v>
      </c>
      <c r="V420" s="21"/>
      <c r="W420" s="20" t="n">
        <f aca="false">IF(AND($U420="Yes",$G420&lt;&gt;"Vendor day rates"),$J420-0.4*$I420,0)</f>
        <v>0</v>
      </c>
      <c r="X420" s="20" t="n">
        <f aca="false">IF(OR($U420&lt;&gt;"Yes",$V420=""),0,$W420*MAX(0,7-MATCH($V420,MonthList,0))/12)</f>
        <v>0</v>
      </c>
      <c r="Y420" s="20" t="n">
        <f aca="false">IF(OR($U420&lt;&gt;"Yes",$V420=""),0,$W420*IF(MATCH($V420,MonthList,0)&lt;=7,12,19-MATCH($V420,MonthList,0))/12)</f>
        <v>0</v>
      </c>
    </row>
    <row r="421" customFormat="false" ht="15" hidden="false" customHeight="true" outlineLevel="0" collapsed="false">
      <c r="B421" s="22" t="s">
        <v>803</v>
      </c>
      <c r="C421" s="22" t="s">
        <v>601</v>
      </c>
      <c r="D421" s="22" t="s">
        <v>20</v>
      </c>
      <c r="E421" s="22" t="s">
        <v>351</v>
      </c>
      <c r="F421" s="23" t="s">
        <v>57</v>
      </c>
      <c r="G421" s="23" t="s">
        <v>58</v>
      </c>
      <c r="H421" s="23" t="n">
        <v>1</v>
      </c>
      <c r="I421" s="24" t="n">
        <v>0.18</v>
      </c>
      <c r="J421" s="24" t="n">
        <v>0.18</v>
      </c>
      <c r="K421" s="21" t="s">
        <v>59</v>
      </c>
      <c r="L421" s="21"/>
      <c r="M421" s="24" t="n">
        <f aca="false">IF(AND($K421="Yes",$G421&lt;&gt;"Vendor day rates"),$J421-0.4*$I421,0)</f>
        <v>0</v>
      </c>
      <c r="N421" s="24" t="n">
        <f aca="false">IF(OR($K421&lt;&gt;"Yes",$L421=""),0,$M421*MAX(0,7-MATCH($L421,MonthList,0))/12)</f>
        <v>0</v>
      </c>
      <c r="O421" s="24" t="n">
        <f aca="false">IF(OR($K421&lt;&gt;"Yes",$L421=""),0,$M421*IF(MATCH($L421,MonthList,0)&lt;=7,12,19-MATCH($L421,MonthList,0))/12)</f>
        <v>0</v>
      </c>
      <c r="P421" s="21" t="s">
        <v>59</v>
      </c>
      <c r="Q421" s="21"/>
      <c r="R421" s="24" t="n">
        <f aca="false">IF(AND($P421="Yes",$G421&lt;&gt;"Vendor day rates"),$J421-0.4*$I421,0)</f>
        <v>0</v>
      </c>
      <c r="S421" s="24" t="n">
        <f aca="false">IF(OR($P421&lt;&gt;"Yes",$Q421=""),0,$R421*MAX(0,7-MATCH($Q421,MonthList,0))/12)</f>
        <v>0</v>
      </c>
      <c r="T421" s="24" t="n">
        <f aca="false">IF(OR($P421&lt;&gt;"Yes",$Q421=""),0,$R421*IF(MATCH($Q421,MonthList,0)&lt;=7,12,19-MATCH($Q421,MonthList,0))/12)</f>
        <v>0</v>
      </c>
      <c r="U421" s="21" t="s">
        <v>59</v>
      </c>
      <c r="V421" s="21"/>
      <c r="W421" s="24" t="n">
        <f aca="false">IF(AND($U421="Yes",$G421&lt;&gt;"Vendor day rates"),$J421-0.4*$I421,0)</f>
        <v>0</v>
      </c>
      <c r="X421" s="24" t="n">
        <f aca="false">IF(OR($U421&lt;&gt;"Yes",$V421=""),0,$W421*MAX(0,7-MATCH($V421,MonthList,0))/12)</f>
        <v>0</v>
      </c>
      <c r="Y421" s="24" t="n">
        <f aca="false">IF(OR($U421&lt;&gt;"Yes",$V421=""),0,$W421*IF(MATCH($V421,MonthList,0)&lt;=7,12,19-MATCH($V421,MonthList,0))/12)</f>
        <v>0</v>
      </c>
    </row>
    <row r="422" customFormat="false" ht="15" hidden="false" customHeight="true" outlineLevel="0" collapsed="false">
      <c r="B422" s="18" t="s">
        <v>804</v>
      </c>
      <c r="C422" s="18" t="s">
        <v>805</v>
      </c>
      <c r="D422" s="18" t="s">
        <v>20</v>
      </c>
      <c r="E422" s="18" t="s">
        <v>351</v>
      </c>
      <c r="F422" s="19" t="s">
        <v>57</v>
      </c>
      <c r="G422" s="19" t="s">
        <v>58</v>
      </c>
      <c r="H422" s="19" t="n">
        <v>1</v>
      </c>
      <c r="I422" s="20" t="n">
        <v>0.1464</v>
      </c>
      <c r="J422" s="20" t="n">
        <v>0.1464</v>
      </c>
      <c r="K422" s="21" t="s">
        <v>59</v>
      </c>
      <c r="L422" s="21"/>
      <c r="M422" s="20" t="n">
        <f aca="false">IF(AND($K422="Yes",$G422&lt;&gt;"Vendor day rates"),$J422-0.4*$I422,0)</f>
        <v>0</v>
      </c>
      <c r="N422" s="20" t="n">
        <f aca="false">IF(OR($K422&lt;&gt;"Yes",$L422=""),0,$M422*MAX(0,7-MATCH($L422,MonthList,0))/12)</f>
        <v>0</v>
      </c>
      <c r="O422" s="20" t="n">
        <f aca="false">IF(OR($K422&lt;&gt;"Yes",$L422=""),0,$M422*IF(MATCH($L422,MonthList,0)&lt;=7,12,19-MATCH($L422,MonthList,0))/12)</f>
        <v>0</v>
      </c>
      <c r="P422" s="21" t="s">
        <v>59</v>
      </c>
      <c r="Q422" s="21"/>
      <c r="R422" s="20" t="n">
        <f aca="false">IF(AND($P422="Yes",$G422&lt;&gt;"Vendor day rates"),$J422-0.4*$I422,0)</f>
        <v>0</v>
      </c>
      <c r="S422" s="20" t="n">
        <f aca="false">IF(OR($P422&lt;&gt;"Yes",$Q422=""),0,$R422*MAX(0,7-MATCH($Q422,MonthList,0))/12)</f>
        <v>0</v>
      </c>
      <c r="T422" s="20" t="n">
        <f aca="false">IF(OR($P422&lt;&gt;"Yes",$Q422=""),0,$R422*IF(MATCH($Q422,MonthList,0)&lt;=7,12,19-MATCH($Q422,MonthList,0))/12)</f>
        <v>0</v>
      </c>
      <c r="U422" s="21" t="s">
        <v>59</v>
      </c>
      <c r="V422" s="21"/>
      <c r="W422" s="20" t="n">
        <f aca="false">IF(AND($U422="Yes",$G422&lt;&gt;"Vendor day rates"),$J422-0.4*$I422,0)</f>
        <v>0</v>
      </c>
      <c r="X422" s="20" t="n">
        <f aca="false">IF(OR($U422&lt;&gt;"Yes",$V422=""),0,$W422*MAX(0,7-MATCH($V422,MonthList,0))/12)</f>
        <v>0</v>
      </c>
      <c r="Y422" s="20" t="n">
        <f aca="false">IF(OR($U422&lt;&gt;"Yes",$V422=""),0,$W422*IF(MATCH($V422,MonthList,0)&lt;=7,12,19-MATCH($V422,MonthList,0))/12)</f>
        <v>0</v>
      </c>
    </row>
    <row r="423" customFormat="false" ht="15" hidden="false" customHeight="true" outlineLevel="0" collapsed="false">
      <c r="B423" s="22" t="s">
        <v>806</v>
      </c>
      <c r="C423" s="22" t="s">
        <v>601</v>
      </c>
      <c r="D423" s="22" t="s">
        <v>20</v>
      </c>
      <c r="E423" s="22" t="s">
        <v>351</v>
      </c>
      <c r="F423" s="23" t="s">
        <v>57</v>
      </c>
      <c r="G423" s="23" t="s">
        <v>58</v>
      </c>
      <c r="H423" s="23" t="n">
        <v>1</v>
      </c>
      <c r="I423" s="24" t="n">
        <v>0.18</v>
      </c>
      <c r="J423" s="24" t="n">
        <v>0.18</v>
      </c>
      <c r="K423" s="21" t="s">
        <v>59</v>
      </c>
      <c r="L423" s="21"/>
      <c r="M423" s="24" t="n">
        <f aca="false">IF(AND($K423="Yes",$G423&lt;&gt;"Vendor day rates"),$J423-0.4*$I423,0)</f>
        <v>0</v>
      </c>
      <c r="N423" s="24" t="n">
        <f aca="false">IF(OR($K423&lt;&gt;"Yes",$L423=""),0,$M423*MAX(0,7-MATCH($L423,MonthList,0))/12)</f>
        <v>0</v>
      </c>
      <c r="O423" s="24" t="n">
        <f aca="false">IF(OR($K423&lt;&gt;"Yes",$L423=""),0,$M423*IF(MATCH($L423,MonthList,0)&lt;=7,12,19-MATCH($L423,MonthList,0))/12)</f>
        <v>0</v>
      </c>
      <c r="P423" s="21" t="s">
        <v>59</v>
      </c>
      <c r="Q423" s="21"/>
      <c r="R423" s="24" t="n">
        <f aca="false">IF(AND($P423="Yes",$G423&lt;&gt;"Vendor day rates"),$J423-0.4*$I423,0)</f>
        <v>0</v>
      </c>
      <c r="S423" s="24" t="n">
        <f aca="false">IF(OR($P423&lt;&gt;"Yes",$Q423=""),0,$R423*MAX(0,7-MATCH($Q423,MonthList,0))/12)</f>
        <v>0</v>
      </c>
      <c r="T423" s="24" t="n">
        <f aca="false">IF(OR($P423&lt;&gt;"Yes",$Q423=""),0,$R423*IF(MATCH($Q423,MonthList,0)&lt;=7,12,19-MATCH($Q423,MonthList,0))/12)</f>
        <v>0</v>
      </c>
      <c r="U423" s="21" t="s">
        <v>59</v>
      </c>
      <c r="V423" s="21"/>
      <c r="W423" s="24" t="n">
        <f aca="false">IF(AND($U423="Yes",$G423&lt;&gt;"Vendor day rates"),$J423-0.4*$I423,0)</f>
        <v>0</v>
      </c>
      <c r="X423" s="24" t="n">
        <f aca="false">IF(OR($U423&lt;&gt;"Yes",$V423=""),0,$W423*MAX(0,7-MATCH($V423,MonthList,0))/12)</f>
        <v>0</v>
      </c>
      <c r="Y423" s="24" t="n">
        <f aca="false">IF(OR($U423&lt;&gt;"Yes",$V423=""),0,$W423*IF(MATCH($V423,MonthList,0)&lt;=7,12,19-MATCH($V423,MonthList,0))/12)</f>
        <v>0</v>
      </c>
    </row>
    <row r="424" customFormat="false" ht="15" hidden="false" customHeight="true" outlineLevel="0" collapsed="false">
      <c r="B424" s="18" t="s">
        <v>807</v>
      </c>
      <c r="C424" s="18" t="s">
        <v>808</v>
      </c>
      <c r="D424" s="18" t="s">
        <v>20</v>
      </c>
      <c r="E424" s="18" t="s">
        <v>351</v>
      </c>
      <c r="F424" s="19" t="s">
        <v>57</v>
      </c>
      <c r="G424" s="19" t="s">
        <v>58</v>
      </c>
      <c r="H424" s="19" t="n">
        <v>1</v>
      </c>
      <c r="I424" s="20" t="n">
        <v>0.2166</v>
      </c>
      <c r="J424" s="20" t="n">
        <v>0.2166</v>
      </c>
      <c r="K424" s="21" t="s">
        <v>59</v>
      </c>
      <c r="L424" s="21"/>
      <c r="M424" s="20" t="n">
        <f aca="false">IF(AND($K424="Yes",$G424&lt;&gt;"Vendor day rates"),$J424-0.4*$I424,0)</f>
        <v>0</v>
      </c>
      <c r="N424" s="20" t="n">
        <f aca="false">IF(OR($K424&lt;&gt;"Yes",$L424=""),0,$M424*MAX(0,7-MATCH($L424,MonthList,0))/12)</f>
        <v>0</v>
      </c>
      <c r="O424" s="20" t="n">
        <f aca="false">IF(OR($K424&lt;&gt;"Yes",$L424=""),0,$M424*IF(MATCH($L424,MonthList,0)&lt;=7,12,19-MATCH($L424,MonthList,0))/12)</f>
        <v>0</v>
      </c>
      <c r="P424" s="21" t="s">
        <v>59</v>
      </c>
      <c r="Q424" s="21"/>
      <c r="R424" s="20" t="n">
        <f aca="false">IF(AND($P424="Yes",$G424&lt;&gt;"Vendor day rates"),$J424-0.4*$I424,0)</f>
        <v>0</v>
      </c>
      <c r="S424" s="20" t="n">
        <f aca="false">IF(OR($P424&lt;&gt;"Yes",$Q424=""),0,$R424*MAX(0,7-MATCH($Q424,MonthList,0))/12)</f>
        <v>0</v>
      </c>
      <c r="T424" s="20" t="n">
        <f aca="false">IF(OR($P424&lt;&gt;"Yes",$Q424=""),0,$R424*IF(MATCH($Q424,MonthList,0)&lt;=7,12,19-MATCH($Q424,MonthList,0))/12)</f>
        <v>0</v>
      </c>
      <c r="U424" s="21" t="s">
        <v>59</v>
      </c>
      <c r="V424" s="21"/>
      <c r="W424" s="20" t="n">
        <f aca="false">IF(AND($U424="Yes",$G424&lt;&gt;"Vendor day rates"),$J424-0.4*$I424,0)</f>
        <v>0</v>
      </c>
      <c r="X424" s="20" t="n">
        <f aca="false">IF(OR($U424&lt;&gt;"Yes",$V424=""),0,$W424*MAX(0,7-MATCH($V424,MonthList,0))/12)</f>
        <v>0</v>
      </c>
      <c r="Y424" s="20" t="n">
        <f aca="false">IF(OR($U424&lt;&gt;"Yes",$V424=""),0,$W424*IF(MATCH($V424,MonthList,0)&lt;=7,12,19-MATCH($V424,MonthList,0))/12)</f>
        <v>0</v>
      </c>
    </row>
    <row r="425" customFormat="false" ht="15" hidden="false" customHeight="true" outlineLevel="0" collapsed="false">
      <c r="B425" s="22" t="s">
        <v>809</v>
      </c>
      <c r="C425" s="22" t="s">
        <v>668</v>
      </c>
      <c r="D425" s="22" t="s">
        <v>31</v>
      </c>
      <c r="E425" s="22" t="s">
        <v>359</v>
      </c>
      <c r="F425" s="23" t="s">
        <v>109</v>
      </c>
      <c r="G425" s="23" t="s">
        <v>58</v>
      </c>
      <c r="H425" s="23" t="n">
        <v>1</v>
      </c>
      <c r="I425" s="24" t="n">
        <v>0.1364</v>
      </c>
      <c r="J425" s="24" t="n">
        <v>0.1364</v>
      </c>
      <c r="K425" s="21" t="s">
        <v>59</v>
      </c>
      <c r="L425" s="21"/>
      <c r="M425" s="24" t="n">
        <f aca="false">IF(AND($K425="Yes",$G425&lt;&gt;"Vendor day rates"),$J425-0.4*$I425,0)</f>
        <v>0</v>
      </c>
      <c r="N425" s="24" t="n">
        <f aca="false">IF(OR($K425&lt;&gt;"Yes",$L425=""),0,$M425*MAX(0,7-MATCH($L425,MonthList,0))/12)</f>
        <v>0</v>
      </c>
      <c r="O425" s="24" t="n">
        <f aca="false">IF(OR($K425&lt;&gt;"Yes",$L425=""),0,$M425*IF(MATCH($L425,MonthList,0)&lt;=7,12,19-MATCH($L425,MonthList,0))/12)</f>
        <v>0</v>
      </c>
      <c r="P425" s="21" t="s">
        <v>59</v>
      </c>
      <c r="Q425" s="21"/>
      <c r="R425" s="24" t="n">
        <f aca="false">IF(AND($P425="Yes",$G425&lt;&gt;"Vendor day rates"),$J425-0.4*$I425,0)</f>
        <v>0</v>
      </c>
      <c r="S425" s="24" t="n">
        <f aca="false">IF(OR($P425&lt;&gt;"Yes",$Q425=""),0,$R425*MAX(0,7-MATCH($Q425,MonthList,0))/12)</f>
        <v>0</v>
      </c>
      <c r="T425" s="24" t="n">
        <f aca="false">IF(OR($P425&lt;&gt;"Yes",$Q425=""),0,$R425*IF(MATCH($Q425,MonthList,0)&lt;=7,12,19-MATCH($Q425,MonthList,0))/12)</f>
        <v>0</v>
      </c>
      <c r="U425" s="21" t="s">
        <v>59</v>
      </c>
      <c r="V425" s="21"/>
      <c r="W425" s="24" t="n">
        <f aca="false">IF(AND($U425="Yes",$G425&lt;&gt;"Vendor day rates"),$J425-0.4*$I425,0)</f>
        <v>0</v>
      </c>
      <c r="X425" s="24" t="n">
        <f aca="false">IF(OR($U425&lt;&gt;"Yes",$V425=""),0,$W425*MAX(0,7-MATCH($V425,MonthList,0))/12)</f>
        <v>0</v>
      </c>
      <c r="Y425" s="24" t="n">
        <f aca="false">IF(OR($U425&lt;&gt;"Yes",$V425=""),0,$W425*IF(MATCH($V425,MonthList,0)&lt;=7,12,19-MATCH($V425,MonthList,0))/12)</f>
        <v>0</v>
      </c>
    </row>
    <row r="426" customFormat="false" ht="15" hidden="false" customHeight="true" outlineLevel="0" collapsed="false">
      <c r="B426" s="18" t="s">
        <v>810</v>
      </c>
      <c r="C426" s="18" t="s">
        <v>811</v>
      </c>
      <c r="D426" s="18" t="s">
        <v>31</v>
      </c>
      <c r="E426" s="18" t="s">
        <v>359</v>
      </c>
      <c r="F426" s="19" t="s">
        <v>109</v>
      </c>
      <c r="G426" s="19" t="s">
        <v>58</v>
      </c>
      <c r="H426" s="19" t="n">
        <v>1</v>
      </c>
      <c r="I426" s="20" t="n">
        <v>0.175</v>
      </c>
      <c r="J426" s="20" t="n">
        <v>0.175</v>
      </c>
      <c r="K426" s="21" t="s">
        <v>59</v>
      </c>
      <c r="L426" s="21"/>
      <c r="M426" s="20" t="n">
        <f aca="false">IF(AND($K426="Yes",$G426&lt;&gt;"Vendor day rates"),$J426-0.4*$I426,0)</f>
        <v>0</v>
      </c>
      <c r="N426" s="20" t="n">
        <f aca="false">IF(OR($K426&lt;&gt;"Yes",$L426=""),0,$M426*MAX(0,7-MATCH($L426,MonthList,0))/12)</f>
        <v>0</v>
      </c>
      <c r="O426" s="20" t="n">
        <f aca="false">IF(OR($K426&lt;&gt;"Yes",$L426=""),0,$M426*IF(MATCH($L426,MonthList,0)&lt;=7,12,19-MATCH($L426,MonthList,0))/12)</f>
        <v>0</v>
      </c>
      <c r="P426" s="21" t="s">
        <v>59</v>
      </c>
      <c r="Q426" s="21"/>
      <c r="R426" s="20" t="n">
        <f aca="false">IF(AND($P426="Yes",$G426&lt;&gt;"Vendor day rates"),$J426-0.4*$I426,0)</f>
        <v>0</v>
      </c>
      <c r="S426" s="20" t="n">
        <f aca="false">IF(OR($P426&lt;&gt;"Yes",$Q426=""),0,$R426*MAX(0,7-MATCH($Q426,MonthList,0))/12)</f>
        <v>0</v>
      </c>
      <c r="T426" s="20" t="n">
        <f aca="false">IF(OR($P426&lt;&gt;"Yes",$Q426=""),0,$R426*IF(MATCH($Q426,MonthList,0)&lt;=7,12,19-MATCH($Q426,MonthList,0))/12)</f>
        <v>0</v>
      </c>
      <c r="U426" s="21" t="s">
        <v>59</v>
      </c>
      <c r="V426" s="21"/>
      <c r="W426" s="20" t="n">
        <f aca="false">IF(AND($U426="Yes",$G426&lt;&gt;"Vendor day rates"),$J426-0.4*$I426,0)</f>
        <v>0</v>
      </c>
      <c r="X426" s="20" t="n">
        <f aca="false">IF(OR($U426&lt;&gt;"Yes",$V426=""),0,$W426*MAX(0,7-MATCH($V426,MonthList,0))/12)</f>
        <v>0</v>
      </c>
      <c r="Y426" s="20" t="n">
        <f aca="false">IF(OR($U426&lt;&gt;"Yes",$V426=""),0,$W426*IF(MATCH($V426,MonthList,0)&lt;=7,12,19-MATCH($V426,MonthList,0))/12)</f>
        <v>0</v>
      </c>
    </row>
    <row r="427" customFormat="false" ht="15" hidden="false" customHeight="true" outlineLevel="0" collapsed="false">
      <c r="B427" s="22" t="s">
        <v>812</v>
      </c>
      <c r="C427" s="22" t="s">
        <v>813</v>
      </c>
      <c r="D427" s="22" t="s">
        <v>31</v>
      </c>
      <c r="E427" s="22" t="s">
        <v>359</v>
      </c>
      <c r="F427" s="23" t="s">
        <v>109</v>
      </c>
      <c r="G427" s="23" t="s">
        <v>58</v>
      </c>
      <c r="H427" s="23" t="n">
        <v>1</v>
      </c>
      <c r="I427" s="24" t="n">
        <v>0.135</v>
      </c>
      <c r="J427" s="24" t="n">
        <v>0.135</v>
      </c>
      <c r="K427" s="21" t="s">
        <v>59</v>
      </c>
      <c r="L427" s="21"/>
      <c r="M427" s="24" t="n">
        <f aca="false">IF(AND($K427="Yes",$G427&lt;&gt;"Vendor day rates"),$J427-0.4*$I427,0)</f>
        <v>0</v>
      </c>
      <c r="N427" s="24" t="n">
        <f aca="false">IF(OR($K427&lt;&gt;"Yes",$L427=""),0,$M427*MAX(0,7-MATCH($L427,MonthList,0))/12)</f>
        <v>0</v>
      </c>
      <c r="O427" s="24" t="n">
        <f aca="false">IF(OR($K427&lt;&gt;"Yes",$L427=""),0,$M427*IF(MATCH($L427,MonthList,0)&lt;=7,12,19-MATCH($L427,MonthList,0))/12)</f>
        <v>0</v>
      </c>
      <c r="P427" s="21" t="s">
        <v>59</v>
      </c>
      <c r="Q427" s="21"/>
      <c r="R427" s="24" t="n">
        <f aca="false">IF(AND($P427="Yes",$G427&lt;&gt;"Vendor day rates"),$J427-0.4*$I427,0)</f>
        <v>0</v>
      </c>
      <c r="S427" s="24" t="n">
        <f aca="false">IF(OR($P427&lt;&gt;"Yes",$Q427=""),0,$R427*MAX(0,7-MATCH($Q427,MonthList,0))/12)</f>
        <v>0</v>
      </c>
      <c r="T427" s="24" t="n">
        <f aca="false">IF(OR($P427&lt;&gt;"Yes",$Q427=""),0,$R427*IF(MATCH($Q427,MonthList,0)&lt;=7,12,19-MATCH($Q427,MonthList,0))/12)</f>
        <v>0</v>
      </c>
      <c r="U427" s="21" t="s">
        <v>59</v>
      </c>
      <c r="V427" s="21"/>
      <c r="W427" s="24" t="n">
        <f aca="false">IF(AND($U427="Yes",$G427&lt;&gt;"Vendor day rates"),$J427-0.4*$I427,0)</f>
        <v>0</v>
      </c>
      <c r="X427" s="24" t="n">
        <f aca="false">IF(OR($U427&lt;&gt;"Yes",$V427=""),0,$W427*MAX(0,7-MATCH($V427,MonthList,0))/12)</f>
        <v>0</v>
      </c>
      <c r="Y427" s="24" t="n">
        <f aca="false">IF(OR($U427&lt;&gt;"Yes",$V427=""),0,$W427*IF(MATCH($V427,MonthList,0)&lt;=7,12,19-MATCH($V427,MonthList,0))/12)</f>
        <v>0</v>
      </c>
    </row>
    <row r="428" customFormat="false" ht="15" hidden="false" customHeight="true" outlineLevel="0" collapsed="false">
      <c r="B428" s="18" t="s">
        <v>814</v>
      </c>
      <c r="C428" s="18" t="s">
        <v>815</v>
      </c>
      <c r="D428" s="18" t="s">
        <v>26</v>
      </c>
      <c r="E428" s="18" t="s">
        <v>160</v>
      </c>
      <c r="F428" s="19" t="s">
        <v>57</v>
      </c>
      <c r="G428" s="19" t="s">
        <v>145</v>
      </c>
      <c r="H428" s="19" t="n">
        <v>1</v>
      </c>
      <c r="I428" s="20" t="n">
        <v>0.1705</v>
      </c>
      <c r="J428" s="20" t="n">
        <v>0.1705</v>
      </c>
      <c r="K428" s="21" t="s">
        <v>59</v>
      </c>
      <c r="L428" s="21"/>
      <c r="M428" s="20" t="n">
        <f aca="false">IF(AND($K428="Yes",$G428&lt;&gt;"Vendor day rates"),$J428-0.4*$I428,0)</f>
        <v>0</v>
      </c>
      <c r="N428" s="20" t="n">
        <f aca="false">IF(OR($K428&lt;&gt;"Yes",$L428=""),0,$M428*MAX(0,7-MATCH($L428,MonthList,0))/12)</f>
        <v>0</v>
      </c>
      <c r="O428" s="20" t="n">
        <f aca="false">IF(OR($K428&lt;&gt;"Yes",$L428=""),0,$M428*IF(MATCH($L428,MonthList,0)&lt;=7,12,19-MATCH($L428,MonthList,0))/12)</f>
        <v>0</v>
      </c>
      <c r="P428" s="21" t="s">
        <v>59</v>
      </c>
      <c r="Q428" s="21"/>
      <c r="R428" s="20" t="n">
        <f aca="false">IF(AND($P428="Yes",$G428&lt;&gt;"Vendor day rates"),$J428-0.4*$I428,0)</f>
        <v>0</v>
      </c>
      <c r="S428" s="20" t="n">
        <f aca="false">IF(OR($P428&lt;&gt;"Yes",$Q428=""),0,$R428*MAX(0,7-MATCH($Q428,MonthList,0))/12)</f>
        <v>0</v>
      </c>
      <c r="T428" s="20" t="n">
        <f aca="false">IF(OR($P428&lt;&gt;"Yes",$Q428=""),0,$R428*IF(MATCH($Q428,MonthList,0)&lt;=7,12,19-MATCH($Q428,MonthList,0))/12)</f>
        <v>0</v>
      </c>
      <c r="U428" s="21" t="s">
        <v>59</v>
      </c>
      <c r="V428" s="21"/>
      <c r="W428" s="20" t="n">
        <f aca="false">IF(AND($U428="Yes",$G428&lt;&gt;"Vendor day rates"),$J428-0.4*$I428,0)</f>
        <v>0</v>
      </c>
      <c r="X428" s="20" t="n">
        <f aca="false">IF(OR($U428&lt;&gt;"Yes",$V428=""),0,$W428*MAX(0,7-MATCH($V428,MonthList,0))/12)</f>
        <v>0</v>
      </c>
      <c r="Y428" s="20" t="n">
        <f aca="false">IF(OR($U428&lt;&gt;"Yes",$V428=""),0,$W428*IF(MATCH($V428,MonthList,0)&lt;=7,12,19-MATCH($V428,MonthList,0))/12)</f>
        <v>0</v>
      </c>
    </row>
    <row r="429" customFormat="false" ht="15" hidden="false" customHeight="true" outlineLevel="0" collapsed="false">
      <c r="B429" s="22" t="s">
        <v>816</v>
      </c>
      <c r="C429" s="22" t="s">
        <v>117</v>
      </c>
      <c r="D429" s="22" t="s">
        <v>27</v>
      </c>
      <c r="E429" s="22" t="s">
        <v>27</v>
      </c>
      <c r="F429" s="23" t="s">
        <v>57</v>
      </c>
      <c r="G429" s="23" t="s">
        <v>462</v>
      </c>
      <c r="H429" s="23" t="n">
        <v>1</v>
      </c>
      <c r="I429" s="24" t="n">
        <v>0.1705</v>
      </c>
      <c r="J429" s="24" t="n">
        <v>0.0682</v>
      </c>
      <c r="K429" s="21" t="s">
        <v>59</v>
      </c>
      <c r="L429" s="21"/>
      <c r="M429" s="24" t="n">
        <f aca="false">IF(AND($K429="Yes",$G429&lt;&gt;"Vendor day rates"),$J429-0.4*$I429,0)</f>
        <v>0</v>
      </c>
      <c r="N429" s="24" t="n">
        <f aca="false">IF(OR($K429&lt;&gt;"Yes",$L429=""),0,$M429*MAX(0,7-MATCH($L429,MonthList,0))/12)</f>
        <v>0</v>
      </c>
      <c r="O429" s="24" t="n">
        <f aca="false">IF(OR($K429&lt;&gt;"Yes",$L429=""),0,$M429*IF(MATCH($L429,MonthList,0)&lt;=7,12,19-MATCH($L429,MonthList,0))/12)</f>
        <v>0</v>
      </c>
      <c r="P429" s="21" t="s">
        <v>59</v>
      </c>
      <c r="Q429" s="21"/>
      <c r="R429" s="24" t="n">
        <f aca="false">IF(AND($P429="Yes",$G429&lt;&gt;"Vendor day rates"),$J429-0.4*$I429,0)</f>
        <v>0</v>
      </c>
      <c r="S429" s="24" t="n">
        <f aca="false">IF(OR($P429&lt;&gt;"Yes",$Q429=""),0,$R429*MAX(0,7-MATCH($Q429,MonthList,0))/12)</f>
        <v>0</v>
      </c>
      <c r="T429" s="24" t="n">
        <f aca="false">IF(OR($P429&lt;&gt;"Yes",$Q429=""),0,$R429*IF(MATCH($Q429,MonthList,0)&lt;=7,12,19-MATCH($Q429,MonthList,0))/12)</f>
        <v>0</v>
      </c>
      <c r="U429" s="21" t="s">
        <v>59</v>
      </c>
      <c r="V429" s="21"/>
      <c r="W429" s="24" t="n">
        <f aca="false">IF(AND($U429="Yes",$G429&lt;&gt;"Vendor day rates"),$J429-0.4*$I429,0)</f>
        <v>0</v>
      </c>
      <c r="X429" s="24" t="n">
        <f aca="false">IF(OR($U429&lt;&gt;"Yes",$V429=""),0,$W429*MAX(0,7-MATCH($V429,MonthList,0))/12)</f>
        <v>0</v>
      </c>
      <c r="Y429" s="24" t="n">
        <f aca="false">IF(OR($U429&lt;&gt;"Yes",$V429=""),0,$W429*IF(MATCH($V429,MonthList,0)&lt;=7,12,19-MATCH($V429,MonthList,0))/12)</f>
        <v>0</v>
      </c>
    </row>
    <row r="430" customFormat="false" ht="15" hidden="false" customHeight="true" outlineLevel="0" collapsed="false">
      <c r="B430" s="18" t="s">
        <v>817</v>
      </c>
      <c r="C430" s="18" t="s">
        <v>117</v>
      </c>
      <c r="D430" s="18" t="s">
        <v>27</v>
      </c>
      <c r="E430" s="18" t="s">
        <v>503</v>
      </c>
      <c r="F430" s="19" t="s">
        <v>57</v>
      </c>
      <c r="G430" s="19" t="s">
        <v>462</v>
      </c>
      <c r="H430" s="19" t="n">
        <v>1</v>
      </c>
      <c r="I430" s="20" t="n">
        <v>0.1705</v>
      </c>
      <c r="J430" s="20" t="n">
        <v>0.0682</v>
      </c>
      <c r="K430" s="21" t="s">
        <v>59</v>
      </c>
      <c r="L430" s="21"/>
      <c r="M430" s="20" t="n">
        <f aca="false">IF(AND($K430="Yes",$G430&lt;&gt;"Vendor day rates"),$J430-0.4*$I430,0)</f>
        <v>0</v>
      </c>
      <c r="N430" s="20" t="n">
        <f aca="false">IF(OR($K430&lt;&gt;"Yes",$L430=""),0,$M430*MAX(0,7-MATCH($L430,MonthList,0))/12)</f>
        <v>0</v>
      </c>
      <c r="O430" s="20" t="n">
        <f aca="false">IF(OR($K430&lt;&gt;"Yes",$L430=""),0,$M430*IF(MATCH($L430,MonthList,0)&lt;=7,12,19-MATCH($L430,MonthList,0))/12)</f>
        <v>0</v>
      </c>
      <c r="P430" s="21" t="s">
        <v>59</v>
      </c>
      <c r="Q430" s="21"/>
      <c r="R430" s="20" t="n">
        <f aca="false">IF(AND($P430="Yes",$G430&lt;&gt;"Vendor day rates"),$J430-0.4*$I430,0)</f>
        <v>0</v>
      </c>
      <c r="S430" s="20" t="n">
        <f aca="false">IF(OR($P430&lt;&gt;"Yes",$Q430=""),0,$R430*MAX(0,7-MATCH($Q430,MonthList,0))/12)</f>
        <v>0</v>
      </c>
      <c r="T430" s="20" t="n">
        <f aca="false">IF(OR($P430&lt;&gt;"Yes",$Q430=""),0,$R430*IF(MATCH($Q430,MonthList,0)&lt;=7,12,19-MATCH($Q430,MonthList,0))/12)</f>
        <v>0</v>
      </c>
      <c r="U430" s="21" t="s">
        <v>59</v>
      </c>
      <c r="V430" s="21"/>
      <c r="W430" s="20" t="n">
        <f aca="false">IF(AND($U430="Yes",$G430&lt;&gt;"Vendor day rates"),$J430-0.4*$I430,0)</f>
        <v>0</v>
      </c>
      <c r="X430" s="20" t="n">
        <f aca="false">IF(OR($U430&lt;&gt;"Yes",$V430=""),0,$W430*MAX(0,7-MATCH($V430,MonthList,0))/12)</f>
        <v>0</v>
      </c>
      <c r="Y430" s="20" t="n">
        <f aca="false">IF(OR($U430&lt;&gt;"Yes",$V430=""),0,$W430*IF(MATCH($V430,MonthList,0)&lt;=7,12,19-MATCH($V430,MonthList,0))/12)</f>
        <v>0</v>
      </c>
    </row>
    <row r="431" customFormat="false" ht="15" hidden="false" customHeight="true" outlineLevel="0" collapsed="false">
      <c r="B431" s="22" t="s">
        <v>818</v>
      </c>
      <c r="C431" s="22" t="s">
        <v>819</v>
      </c>
      <c r="D431" s="22" t="s">
        <v>27</v>
      </c>
      <c r="E431" s="22" t="s">
        <v>503</v>
      </c>
      <c r="F431" s="23" t="s">
        <v>57</v>
      </c>
      <c r="G431" s="23" t="s">
        <v>145</v>
      </c>
      <c r="H431" s="23" t="n">
        <v>1</v>
      </c>
      <c r="I431" s="24" t="n">
        <v>0.18</v>
      </c>
      <c r="J431" s="24" t="n">
        <v>0.18</v>
      </c>
      <c r="K431" s="21" t="s">
        <v>59</v>
      </c>
      <c r="L431" s="21"/>
      <c r="M431" s="24" t="n">
        <f aca="false">IF(AND($K431="Yes",$G431&lt;&gt;"Vendor day rates"),$J431-0.4*$I431,0)</f>
        <v>0</v>
      </c>
      <c r="N431" s="24" t="n">
        <f aca="false">IF(OR($K431&lt;&gt;"Yes",$L431=""),0,$M431*MAX(0,7-MATCH($L431,MonthList,0))/12)</f>
        <v>0</v>
      </c>
      <c r="O431" s="24" t="n">
        <f aca="false">IF(OR($K431&lt;&gt;"Yes",$L431=""),0,$M431*IF(MATCH($L431,MonthList,0)&lt;=7,12,19-MATCH($L431,MonthList,0))/12)</f>
        <v>0</v>
      </c>
      <c r="P431" s="21" t="s">
        <v>59</v>
      </c>
      <c r="Q431" s="21"/>
      <c r="R431" s="24" t="n">
        <f aca="false">IF(AND($P431="Yes",$G431&lt;&gt;"Vendor day rates"),$J431-0.4*$I431,0)</f>
        <v>0</v>
      </c>
      <c r="S431" s="24" t="n">
        <f aca="false">IF(OR($P431&lt;&gt;"Yes",$Q431=""),0,$R431*MAX(0,7-MATCH($Q431,MonthList,0))/12)</f>
        <v>0</v>
      </c>
      <c r="T431" s="24" t="n">
        <f aca="false">IF(OR($P431&lt;&gt;"Yes",$Q431=""),0,$R431*IF(MATCH($Q431,MonthList,0)&lt;=7,12,19-MATCH($Q431,MonthList,0))/12)</f>
        <v>0</v>
      </c>
      <c r="U431" s="21" t="s">
        <v>59</v>
      </c>
      <c r="V431" s="21"/>
      <c r="W431" s="24" t="n">
        <f aca="false">IF(AND($U431="Yes",$G431&lt;&gt;"Vendor day rates"),$J431-0.4*$I431,0)</f>
        <v>0</v>
      </c>
      <c r="X431" s="24" t="n">
        <f aca="false">IF(OR($U431&lt;&gt;"Yes",$V431=""),0,$W431*MAX(0,7-MATCH($V431,MonthList,0))/12)</f>
        <v>0</v>
      </c>
      <c r="Y431" s="24" t="n">
        <f aca="false">IF(OR($U431&lt;&gt;"Yes",$V431=""),0,$W431*IF(MATCH($V431,MonthList,0)&lt;=7,12,19-MATCH($V431,MonthList,0))/12)</f>
        <v>0</v>
      </c>
    </row>
    <row r="432" customFormat="false" ht="15" hidden="false" customHeight="true" outlineLevel="0" collapsed="false">
      <c r="B432" s="18" t="s">
        <v>820</v>
      </c>
      <c r="C432" s="18" t="s">
        <v>117</v>
      </c>
      <c r="D432" s="18" t="s">
        <v>23</v>
      </c>
      <c r="E432" s="18" t="s">
        <v>253</v>
      </c>
      <c r="F432" s="19" t="s">
        <v>57</v>
      </c>
      <c r="G432" s="19" t="s">
        <v>292</v>
      </c>
      <c r="H432" s="19" t="n">
        <v>1</v>
      </c>
      <c r="I432" s="20" t="n">
        <v>0.1705</v>
      </c>
      <c r="J432" s="20" t="n">
        <v>0</v>
      </c>
      <c r="K432" s="21" t="s">
        <v>59</v>
      </c>
      <c r="L432" s="21"/>
      <c r="M432" s="20" t="n">
        <f aca="false">IF(AND($K432="Yes",$G432&lt;&gt;"Vendor day rates"),$J432-0.4*$I432,0)</f>
        <v>0</v>
      </c>
      <c r="N432" s="20" t="n">
        <f aca="false">IF(OR($K432&lt;&gt;"Yes",$L432=""),0,$M432*MAX(0,7-MATCH($L432,MonthList,0))/12)</f>
        <v>0</v>
      </c>
      <c r="O432" s="20" t="n">
        <f aca="false">IF(OR($K432&lt;&gt;"Yes",$L432=""),0,$M432*IF(MATCH($L432,MonthList,0)&lt;=7,12,19-MATCH($L432,MonthList,0))/12)</f>
        <v>0</v>
      </c>
      <c r="P432" s="21" t="s">
        <v>59</v>
      </c>
      <c r="Q432" s="21"/>
      <c r="R432" s="20" t="n">
        <f aca="false">IF(AND($P432="Yes",$G432&lt;&gt;"Vendor day rates"),$J432-0.4*$I432,0)</f>
        <v>0</v>
      </c>
      <c r="S432" s="20" t="n">
        <f aca="false">IF(OR($P432&lt;&gt;"Yes",$Q432=""),0,$R432*MAX(0,7-MATCH($Q432,MonthList,0))/12)</f>
        <v>0</v>
      </c>
      <c r="T432" s="20" t="n">
        <f aca="false">IF(OR($P432&lt;&gt;"Yes",$Q432=""),0,$R432*IF(MATCH($Q432,MonthList,0)&lt;=7,12,19-MATCH($Q432,MonthList,0))/12)</f>
        <v>0</v>
      </c>
      <c r="U432" s="21" t="s">
        <v>59</v>
      </c>
      <c r="V432" s="21"/>
      <c r="W432" s="20" t="n">
        <f aca="false">IF(AND($U432="Yes",$G432&lt;&gt;"Vendor day rates"),$J432-0.4*$I432,0)</f>
        <v>0</v>
      </c>
      <c r="X432" s="20" t="n">
        <f aca="false">IF(OR($U432&lt;&gt;"Yes",$V432=""),0,$W432*MAX(0,7-MATCH($V432,MonthList,0))/12)</f>
        <v>0</v>
      </c>
      <c r="Y432" s="20" t="n">
        <f aca="false">IF(OR($U432&lt;&gt;"Yes",$V432=""),0,$W432*IF(MATCH($V432,MonthList,0)&lt;=7,12,19-MATCH($V432,MonthList,0))/12)</f>
        <v>0</v>
      </c>
    </row>
    <row r="433" customFormat="false" ht="15" hidden="false" customHeight="true" outlineLevel="0" collapsed="false">
      <c r="B433" s="22" t="s">
        <v>821</v>
      </c>
      <c r="C433" s="22" t="s">
        <v>618</v>
      </c>
      <c r="D433" s="22" t="s">
        <v>26</v>
      </c>
      <c r="E433" s="22" t="s">
        <v>241</v>
      </c>
      <c r="F433" s="23" t="s">
        <v>109</v>
      </c>
      <c r="G433" s="23" t="s">
        <v>118</v>
      </c>
      <c r="H433" s="23" t="n">
        <v>1</v>
      </c>
      <c r="I433" s="24" t="n">
        <v>0.1318</v>
      </c>
      <c r="J433" s="24" t="n">
        <v>0.0527</v>
      </c>
      <c r="K433" s="21" t="s">
        <v>59</v>
      </c>
      <c r="L433" s="21"/>
      <c r="M433" s="24" t="n">
        <f aca="false">IF(AND($K433="Yes",$G433&lt;&gt;"Vendor day rates"),$J433-0.4*$I433,0)</f>
        <v>0</v>
      </c>
      <c r="N433" s="24" t="n">
        <f aca="false">IF(OR($K433&lt;&gt;"Yes",$L433=""),0,$M433*MAX(0,7-MATCH($L433,MonthList,0))/12)</f>
        <v>0</v>
      </c>
      <c r="O433" s="24" t="n">
        <f aca="false">IF(OR($K433&lt;&gt;"Yes",$L433=""),0,$M433*IF(MATCH($L433,MonthList,0)&lt;=7,12,19-MATCH($L433,MonthList,0))/12)</f>
        <v>0</v>
      </c>
      <c r="P433" s="21" t="s">
        <v>59</v>
      </c>
      <c r="Q433" s="21"/>
      <c r="R433" s="24" t="n">
        <f aca="false">IF(AND($P433="Yes",$G433&lt;&gt;"Vendor day rates"),$J433-0.4*$I433,0)</f>
        <v>0</v>
      </c>
      <c r="S433" s="24" t="n">
        <f aca="false">IF(OR($P433&lt;&gt;"Yes",$Q433=""),0,$R433*MAX(0,7-MATCH($Q433,MonthList,0))/12)</f>
        <v>0</v>
      </c>
      <c r="T433" s="24" t="n">
        <f aca="false">IF(OR($P433&lt;&gt;"Yes",$Q433=""),0,$R433*IF(MATCH($Q433,MonthList,0)&lt;=7,12,19-MATCH($Q433,MonthList,0))/12)</f>
        <v>0</v>
      </c>
      <c r="U433" s="21" t="s">
        <v>59</v>
      </c>
      <c r="V433" s="21"/>
      <c r="W433" s="24" t="n">
        <f aca="false">IF(AND($U433="Yes",$G433&lt;&gt;"Vendor day rates"),$J433-0.4*$I433,0)</f>
        <v>0</v>
      </c>
      <c r="X433" s="24" t="n">
        <f aca="false">IF(OR($U433&lt;&gt;"Yes",$V433=""),0,$W433*MAX(0,7-MATCH($V433,MonthList,0))/12)</f>
        <v>0</v>
      </c>
      <c r="Y433" s="24" t="n">
        <f aca="false">IF(OR($U433&lt;&gt;"Yes",$V433=""),0,$W433*IF(MATCH($V433,MonthList,0)&lt;=7,12,19-MATCH($V433,MonthList,0))/12)</f>
        <v>0</v>
      </c>
    </row>
    <row r="434" customFormat="false" ht="15" hidden="false" customHeight="true" outlineLevel="0" collapsed="false">
      <c r="B434" s="18" t="s">
        <v>822</v>
      </c>
      <c r="C434" s="18" t="s">
        <v>823</v>
      </c>
      <c r="D434" s="18" t="s">
        <v>19</v>
      </c>
      <c r="E434" s="18" t="s">
        <v>374</v>
      </c>
      <c r="F434" s="19" t="s">
        <v>57</v>
      </c>
      <c r="G434" s="19" t="s">
        <v>58</v>
      </c>
      <c r="H434" s="19" t="n">
        <v>1</v>
      </c>
      <c r="I434" s="20" t="n">
        <v>0.1903</v>
      </c>
      <c r="J434" s="20" t="n">
        <v>0.1903</v>
      </c>
      <c r="K434" s="21" t="s">
        <v>59</v>
      </c>
      <c r="L434" s="21"/>
      <c r="M434" s="20" t="n">
        <f aca="false">IF(AND($K434="Yes",$G434&lt;&gt;"Vendor day rates"),$J434-0.4*$I434,0)</f>
        <v>0</v>
      </c>
      <c r="N434" s="20" t="n">
        <f aca="false">IF(OR($K434&lt;&gt;"Yes",$L434=""),0,$M434*MAX(0,7-MATCH($L434,MonthList,0))/12)</f>
        <v>0</v>
      </c>
      <c r="O434" s="20" t="n">
        <f aca="false">IF(OR($K434&lt;&gt;"Yes",$L434=""),0,$M434*IF(MATCH($L434,MonthList,0)&lt;=7,12,19-MATCH($L434,MonthList,0))/12)</f>
        <v>0</v>
      </c>
      <c r="P434" s="21" t="s">
        <v>59</v>
      </c>
      <c r="Q434" s="21"/>
      <c r="R434" s="20" t="n">
        <f aca="false">IF(AND($P434="Yes",$G434&lt;&gt;"Vendor day rates"),$J434-0.4*$I434,0)</f>
        <v>0</v>
      </c>
      <c r="S434" s="20" t="n">
        <f aca="false">IF(OR($P434&lt;&gt;"Yes",$Q434=""),0,$R434*MAX(0,7-MATCH($Q434,MonthList,0))/12)</f>
        <v>0</v>
      </c>
      <c r="T434" s="20" t="n">
        <f aca="false">IF(OR($P434&lt;&gt;"Yes",$Q434=""),0,$R434*IF(MATCH($Q434,MonthList,0)&lt;=7,12,19-MATCH($Q434,MonthList,0))/12)</f>
        <v>0</v>
      </c>
      <c r="U434" s="21" t="s">
        <v>59</v>
      </c>
      <c r="V434" s="21"/>
      <c r="W434" s="20" t="n">
        <f aca="false">IF(AND($U434="Yes",$G434&lt;&gt;"Vendor day rates"),$J434-0.4*$I434,0)</f>
        <v>0</v>
      </c>
      <c r="X434" s="20" t="n">
        <f aca="false">IF(OR($U434&lt;&gt;"Yes",$V434=""),0,$W434*MAX(0,7-MATCH($V434,MonthList,0))/12)</f>
        <v>0</v>
      </c>
      <c r="Y434" s="20" t="n">
        <f aca="false">IF(OR($U434&lt;&gt;"Yes",$V434=""),0,$W434*IF(MATCH($V434,MonthList,0)&lt;=7,12,19-MATCH($V434,MonthList,0))/12)</f>
        <v>0</v>
      </c>
    </row>
    <row r="435" customFormat="false" ht="15" hidden="false" customHeight="true" outlineLevel="0" collapsed="false">
      <c r="B435" s="22" t="s">
        <v>824</v>
      </c>
      <c r="C435" s="22" t="s">
        <v>629</v>
      </c>
      <c r="D435" s="22" t="s">
        <v>19</v>
      </c>
      <c r="E435" s="22" t="s">
        <v>374</v>
      </c>
      <c r="F435" s="23" t="s">
        <v>109</v>
      </c>
      <c r="G435" s="23" t="s">
        <v>58</v>
      </c>
      <c r="H435" s="23" t="n">
        <v>1</v>
      </c>
      <c r="I435" s="24" t="n">
        <v>0.1638</v>
      </c>
      <c r="J435" s="24" t="n">
        <v>0.1638</v>
      </c>
      <c r="K435" s="21" t="s">
        <v>59</v>
      </c>
      <c r="L435" s="21"/>
      <c r="M435" s="24" t="n">
        <f aca="false">IF(AND($K435="Yes",$G435&lt;&gt;"Vendor day rates"),$J435-0.4*$I435,0)</f>
        <v>0</v>
      </c>
      <c r="N435" s="24" t="n">
        <f aca="false">IF(OR($K435&lt;&gt;"Yes",$L435=""),0,$M435*MAX(0,7-MATCH($L435,MonthList,0))/12)</f>
        <v>0</v>
      </c>
      <c r="O435" s="24" t="n">
        <f aca="false">IF(OR($K435&lt;&gt;"Yes",$L435=""),0,$M435*IF(MATCH($L435,MonthList,0)&lt;=7,12,19-MATCH($L435,MonthList,0))/12)</f>
        <v>0</v>
      </c>
      <c r="P435" s="21" t="s">
        <v>59</v>
      </c>
      <c r="Q435" s="21"/>
      <c r="R435" s="24" t="n">
        <f aca="false">IF(AND($P435="Yes",$G435&lt;&gt;"Vendor day rates"),$J435-0.4*$I435,0)</f>
        <v>0</v>
      </c>
      <c r="S435" s="24" t="n">
        <f aca="false">IF(OR($P435&lt;&gt;"Yes",$Q435=""),0,$R435*MAX(0,7-MATCH($Q435,MonthList,0))/12)</f>
        <v>0</v>
      </c>
      <c r="T435" s="24" t="n">
        <f aca="false">IF(OR($P435&lt;&gt;"Yes",$Q435=""),0,$R435*IF(MATCH($Q435,MonthList,0)&lt;=7,12,19-MATCH($Q435,MonthList,0))/12)</f>
        <v>0</v>
      </c>
      <c r="U435" s="21" t="s">
        <v>59</v>
      </c>
      <c r="V435" s="21"/>
      <c r="W435" s="24" t="n">
        <f aca="false">IF(AND($U435="Yes",$G435&lt;&gt;"Vendor day rates"),$J435-0.4*$I435,0)</f>
        <v>0</v>
      </c>
      <c r="X435" s="24" t="n">
        <f aca="false">IF(OR($U435&lt;&gt;"Yes",$V435=""),0,$W435*MAX(0,7-MATCH($V435,MonthList,0))/12)</f>
        <v>0</v>
      </c>
      <c r="Y435" s="24" t="n">
        <f aca="false">IF(OR($U435&lt;&gt;"Yes",$V435=""),0,$W435*IF(MATCH($V435,MonthList,0)&lt;=7,12,19-MATCH($V435,MonthList,0))/12)</f>
        <v>0</v>
      </c>
    </row>
    <row r="436" customFormat="false" ht="15" hidden="false" customHeight="true" outlineLevel="0" collapsed="false">
      <c r="B436" s="18" t="s">
        <v>825</v>
      </c>
      <c r="C436" s="18" t="s">
        <v>826</v>
      </c>
      <c r="D436" s="18" t="s">
        <v>31</v>
      </c>
      <c r="E436" s="18" t="s">
        <v>361</v>
      </c>
      <c r="F436" s="19" t="s">
        <v>109</v>
      </c>
      <c r="G436" s="19" t="s">
        <v>58</v>
      </c>
      <c r="H436" s="19" t="n">
        <v>1</v>
      </c>
      <c r="I436" s="20" t="n">
        <v>0.1429</v>
      </c>
      <c r="J436" s="20" t="n">
        <v>0.1429</v>
      </c>
      <c r="K436" s="21" t="s">
        <v>59</v>
      </c>
      <c r="L436" s="21"/>
      <c r="M436" s="20" t="n">
        <f aca="false">IF(AND($K436="Yes",$G436&lt;&gt;"Vendor day rates"),$J436-0.4*$I436,0)</f>
        <v>0</v>
      </c>
      <c r="N436" s="20" t="n">
        <f aca="false">IF(OR($K436&lt;&gt;"Yes",$L436=""),0,$M436*MAX(0,7-MATCH($L436,MonthList,0))/12)</f>
        <v>0</v>
      </c>
      <c r="O436" s="20" t="n">
        <f aca="false">IF(OR($K436&lt;&gt;"Yes",$L436=""),0,$M436*IF(MATCH($L436,MonthList,0)&lt;=7,12,19-MATCH($L436,MonthList,0))/12)</f>
        <v>0</v>
      </c>
      <c r="P436" s="21" t="s">
        <v>59</v>
      </c>
      <c r="Q436" s="21"/>
      <c r="R436" s="20" t="n">
        <f aca="false">IF(AND($P436="Yes",$G436&lt;&gt;"Vendor day rates"),$J436-0.4*$I436,0)</f>
        <v>0</v>
      </c>
      <c r="S436" s="20" t="n">
        <f aca="false">IF(OR($P436&lt;&gt;"Yes",$Q436=""),0,$R436*MAX(0,7-MATCH($Q436,MonthList,0))/12)</f>
        <v>0</v>
      </c>
      <c r="T436" s="20" t="n">
        <f aca="false">IF(OR($P436&lt;&gt;"Yes",$Q436=""),0,$R436*IF(MATCH($Q436,MonthList,0)&lt;=7,12,19-MATCH($Q436,MonthList,0))/12)</f>
        <v>0</v>
      </c>
      <c r="U436" s="21" t="s">
        <v>59</v>
      </c>
      <c r="V436" s="21"/>
      <c r="W436" s="20" t="n">
        <f aca="false">IF(AND($U436="Yes",$G436&lt;&gt;"Vendor day rates"),$J436-0.4*$I436,0)</f>
        <v>0</v>
      </c>
      <c r="X436" s="20" t="n">
        <f aca="false">IF(OR($U436&lt;&gt;"Yes",$V436=""),0,$W436*MAX(0,7-MATCH($V436,MonthList,0))/12)</f>
        <v>0</v>
      </c>
      <c r="Y436" s="20" t="n">
        <f aca="false">IF(OR($U436&lt;&gt;"Yes",$V436=""),0,$W436*IF(MATCH($V436,MonthList,0)&lt;=7,12,19-MATCH($V436,MonthList,0))/12)</f>
        <v>0</v>
      </c>
    </row>
    <row r="437" customFormat="false" ht="15" hidden="false" customHeight="true" outlineLevel="0" collapsed="false">
      <c r="B437" s="22" t="s">
        <v>827</v>
      </c>
      <c r="C437" s="22" t="s">
        <v>570</v>
      </c>
      <c r="D437" s="22" t="s">
        <v>31</v>
      </c>
      <c r="E437" s="22" t="s">
        <v>380</v>
      </c>
      <c r="F437" s="23" t="s">
        <v>109</v>
      </c>
      <c r="G437" s="23" t="s">
        <v>58</v>
      </c>
      <c r="H437" s="23" t="n">
        <v>1</v>
      </c>
      <c r="I437" s="24" t="n">
        <v>0.1046</v>
      </c>
      <c r="J437" s="24" t="n">
        <v>0.1046</v>
      </c>
      <c r="K437" s="21" t="s">
        <v>59</v>
      </c>
      <c r="L437" s="21"/>
      <c r="M437" s="24" t="n">
        <f aca="false">IF(AND($K437="Yes",$G437&lt;&gt;"Vendor day rates"),$J437-0.4*$I437,0)</f>
        <v>0</v>
      </c>
      <c r="N437" s="24" t="n">
        <f aca="false">IF(OR($K437&lt;&gt;"Yes",$L437=""),0,$M437*MAX(0,7-MATCH($L437,MonthList,0))/12)</f>
        <v>0</v>
      </c>
      <c r="O437" s="24" t="n">
        <f aca="false">IF(OR($K437&lt;&gt;"Yes",$L437=""),0,$M437*IF(MATCH($L437,MonthList,0)&lt;=7,12,19-MATCH($L437,MonthList,0))/12)</f>
        <v>0</v>
      </c>
      <c r="P437" s="21" t="s">
        <v>59</v>
      </c>
      <c r="Q437" s="21"/>
      <c r="R437" s="24" t="n">
        <f aca="false">IF(AND($P437="Yes",$G437&lt;&gt;"Vendor day rates"),$J437-0.4*$I437,0)</f>
        <v>0</v>
      </c>
      <c r="S437" s="24" t="n">
        <f aca="false">IF(OR($P437&lt;&gt;"Yes",$Q437=""),0,$R437*MAX(0,7-MATCH($Q437,MonthList,0))/12)</f>
        <v>0</v>
      </c>
      <c r="T437" s="24" t="n">
        <f aca="false">IF(OR($P437&lt;&gt;"Yes",$Q437=""),0,$R437*IF(MATCH($Q437,MonthList,0)&lt;=7,12,19-MATCH($Q437,MonthList,0))/12)</f>
        <v>0</v>
      </c>
      <c r="U437" s="21" t="s">
        <v>59</v>
      </c>
      <c r="V437" s="21"/>
      <c r="W437" s="24" t="n">
        <f aca="false">IF(AND($U437="Yes",$G437&lt;&gt;"Vendor day rates"),$J437-0.4*$I437,0)</f>
        <v>0</v>
      </c>
      <c r="X437" s="24" t="n">
        <f aca="false">IF(OR($U437&lt;&gt;"Yes",$V437=""),0,$W437*MAX(0,7-MATCH($V437,MonthList,0))/12)</f>
        <v>0</v>
      </c>
      <c r="Y437" s="24" t="n">
        <f aca="false">IF(OR($U437&lt;&gt;"Yes",$V437=""),0,$W437*IF(MATCH($V437,MonthList,0)&lt;=7,12,19-MATCH($V437,MonthList,0))/12)</f>
        <v>0</v>
      </c>
    </row>
    <row r="438" customFormat="false" ht="15" hidden="false" customHeight="true" outlineLevel="0" collapsed="false">
      <c r="B438" s="18" t="s">
        <v>828</v>
      </c>
      <c r="C438" s="18" t="s">
        <v>570</v>
      </c>
      <c r="D438" s="18" t="s">
        <v>31</v>
      </c>
      <c r="E438" s="18" t="s">
        <v>361</v>
      </c>
      <c r="F438" s="19" t="s">
        <v>109</v>
      </c>
      <c r="G438" s="19" t="s">
        <v>58</v>
      </c>
      <c r="H438" s="19" t="n">
        <v>1</v>
      </c>
      <c r="I438" s="20" t="n">
        <v>0.1994</v>
      </c>
      <c r="J438" s="20" t="n">
        <v>0.1994</v>
      </c>
      <c r="K438" s="21" t="s">
        <v>59</v>
      </c>
      <c r="L438" s="21"/>
      <c r="M438" s="20" t="n">
        <f aca="false">IF(AND($K438="Yes",$G438&lt;&gt;"Vendor day rates"),$J438-0.4*$I438,0)</f>
        <v>0</v>
      </c>
      <c r="N438" s="20" t="n">
        <f aca="false">IF(OR($K438&lt;&gt;"Yes",$L438=""),0,$M438*MAX(0,7-MATCH($L438,MonthList,0))/12)</f>
        <v>0</v>
      </c>
      <c r="O438" s="20" t="n">
        <f aca="false">IF(OR($K438&lt;&gt;"Yes",$L438=""),0,$M438*IF(MATCH($L438,MonthList,0)&lt;=7,12,19-MATCH($L438,MonthList,0))/12)</f>
        <v>0</v>
      </c>
      <c r="P438" s="21" t="s">
        <v>59</v>
      </c>
      <c r="Q438" s="21"/>
      <c r="R438" s="20" t="n">
        <f aca="false">IF(AND($P438="Yes",$G438&lt;&gt;"Vendor day rates"),$J438-0.4*$I438,0)</f>
        <v>0</v>
      </c>
      <c r="S438" s="20" t="n">
        <f aca="false">IF(OR($P438&lt;&gt;"Yes",$Q438=""),0,$R438*MAX(0,7-MATCH($Q438,MonthList,0))/12)</f>
        <v>0</v>
      </c>
      <c r="T438" s="20" t="n">
        <f aca="false">IF(OR($P438&lt;&gt;"Yes",$Q438=""),0,$R438*IF(MATCH($Q438,MonthList,0)&lt;=7,12,19-MATCH($Q438,MonthList,0))/12)</f>
        <v>0</v>
      </c>
      <c r="U438" s="21" t="s">
        <v>59</v>
      </c>
      <c r="V438" s="21"/>
      <c r="W438" s="20" t="n">
        <f aca="false">IF(AND($U438="Yes",$G438&lt;&gt;"Vendor day rates"),$J438-0.4*$I438,0)</f>
        <v>0</v>
      </c>
      <c r="X438" s="20" t="n">
        <f aca="false">IF(OR($U438&lt;&gt;"Yes",$V438=""),0,$W438*MAX(0,7-MATCH($V438,MonthList,0))/12)</f>
        <v>0</v>
      </c>
      <c r="Y438" s="20" t="n">
        <f aca="false">IF(OR($U438&lt;&gt;"Yes",$V438=""),0,$W438*IF(MATCH($V438,MonthList,0)&lt;=7,12,19-MATCH($V438,MonthList,0))/12)</f>
        <v>0</v>
      </c>
    </row>
    <row r="439" customFormat="false" ht="15" hidden="false" customHeight="true" outlineLevel="0" collapsed="false">
      <c r="B439" s="22" t="s">
        <v>829</v>
      </c>
      <c r="C439" s="22" t="s">
        <v>117</v>
      </c>
      <c r="D439" s="22" t="s">
        <v>31</v>
      </c>
      <c r="E439" s="22" t="s">
        <v>380</v>
      </c>
      <c r="F439" s="23" t="s">
        <v>57</v>
      </c>
      <c r="G439" s="23" t="s">
        <v>145</v>
      </c>
      <c r="H439" s="23" t="n">
        <v>1</v>
      </c>
      <c r="I439" s="24" t="n">
        <v>0.2758</v>
      </c>
      <c r="J439" s="24" t="n">
        <v>0.2758</v>
      </c>
      <c r="K439" s="21" t="s">
        <v>59</v>
      </c>
      <c r="L439" s="21"/>
      <c r="M439" s="24" t="n">
        <f aca="false">IF(AND($K439="Yes",$G439&lt;&gt;"Vendor day rates"),$J439-0.4*$I439,0)</f>
        <v>0</v>
      </c>
      <c r="N439" s="24" t="n">
        <f aca="false">IF(OR($K439&lt;&gt;"Yes",$L439=""),0,$M439*MAX(0,7-MATCH($L439,MonthList,0))/12)</f>
        <v>0</v>
      </c>
      <c r="O439" s="24" t="n">
        <f aca="false">IF(OR($K439&lt;&gt;"Yes",$L439=""),0,$M439*IF(MATCH($L439,MonthList,0)&lt;=7,12,19-MATCH($L439,MonthList,0))/12)</f>
        <v>0</v>
      </c>
      <c r="P439" s="21" t="s">
        <v>59</v>
      </c>
      <c r="Q439" s="21"/>
      <c r="R439" s="24" t="n">
        <f aca="false">IF(AND($P439="Yes",$G439&lt;&gt;"Vendor day rates"),$J439-0.4*$I439,0)</f>
        <v>0</v>
      </c>
      <c r="S439" s="24" t="n">
        <f aca="false">IF(OR($P439&lt;&gt;"Yes",$Q439=""),0,$R439*MAX(0,7-MATCH($Q439,MonthList,0))/12)</f>
        <v>0</v>
      </c>
      <c r="T439" s="24" t="n">
        <f aca="false">IF(OR($P439&lt;&gt;"Yes",$Q439=""),0,$R439*IF(MATCH($Q439,MonthList,0)&lt;=7,12,19-MATCH($Q439,MonthList,0))/12)</f>
        <v>0</v>
      </c>
      <c r="U439" s="21" t="s">
        <v>59</v>
      </c>
      <c r="V439" s="21"/>
      <c r="W439" s="24" t="n">
        <f aca="false">IF(AND($U439="Yes",$G439&lt;&gt;"Vendor day rates"),$J439-0.4*$I439,0)</f>
        <v>0</v>
      </c>
      <c r="X439" s="24" t="n">
        <f aca="false">IF(OR($U439&lt;&gt;"Yes",$V439=""),0,$W439*MAX(0,7-MATCH($V439,MonthList,0))/12)</f>
        <v>0</v>
      </c>
      <c r="Y439" s="24" t="n">
        <f aca="false">IF(OR($U439&lt;&gt;"Yes",$V439=""),0,$W439*IF(MATCH($V439,MonthList,0)&lt;=7,12,19-MATCH($V439,MonthList,0))/12)</f>
        <v>0</v>
      </c>
    </row>
    <row r="440" customFormat="false" ht="15" hidden="false" customHeight="true" outlineLevel="0" collapsed="false">
      <c r="B440" s="18" t="s">
        <v>830</v>
      </c>
      <c r="C440" s="18" t="s">
        <v>831</v>
      </c>
      <c r="D440" s="18" t="s">
        <v>29</v>
      </c>
      <c r="E440" s="18" t="s">
        <v>554</v>
      </c>
      <c r="F440" s="19" t="s">
        <v>57</v>
      </c>
      <c r="G440" s="19" t="s">
        <v>58</v>
      </c>
      <c r="H440" s="19" t="n">
        <v>1</v>
      </c>
      <c r="I440" s="20" t="n">
        <v>0.1674</v>
      </c>
      <c r="J440" s="20" t="n">
        <v>0.1674</v>
      </c>
      <c r="K440" s="21" t="s">
        <v>59</v>
      </c>
      <c r="L440" s="21"/>
      <c r="M440" s="20" t="n">
        <f aca="false">IF(AND($K440="Yes",$G440&lt;&gt;"Vendor day rates"),$J440-0.4*$I440,0)</f>
        <v>0</v>
      </c>
      <c r="N440" s="20" t="n">
        <f aca="false">IF(OR($K440&lt;&gt;"Yes",$L440=""),0,$M440*MAX(0,7-MATCH($L440,MonthList,0))/12)</f>
        <v>0</v>
      </c>
      <c r="O440" s="20" t="n">
        <f aca="false">IF(OR($K440&lt;&gt;"Yes",$L440=""),0,$M440*IF(MATCH($L440,MonthList,0)&lt;=7,12,19-MATCH($L440,MonthList,0))/12)</f>
        <v>0</v>
      </c>
      <c r="P440" s="21" t="s">
        <v>59</v>
      </c>
      <c r="Q440" s="21"/>
      <c r="R440" s="20" t="n">
        <f aca="false">IF(AND($P440="Yes",$G440&lt;&gt;"Vendor day rates"),$J440-0.4*$I440,0)</f>
        <v>0</v>
      </c>
      <c r="S440" s="20" t="n">
        <f aca="false">IF(OR($P440&lt;&gt;"Yes",$Q440=""),0,$R440*MAX(0,7-MATCH($Q440,MonthList,0))/12)</f>
        <v>0</v>
      </c>
      <c r="T440" s="20" t="n">
        <f aca="false">IF(OR($P440&lt;&gt;"Yes",$Q440=""),0,$R440*IF(MATCH($Q440,MonthList,0)&lt;=7,12,19-MATCH($Q440,MonthList,0))/12)</f>
        <v>0</v>
      </c>
      <c r="U440" s="21" t="s">
        <v>59</v>
      </c>
      <c r="V440" s="21"/>
      <c r="W440" s="20" t="n">
        <f aca="false">IF(AND($U440="Yes",$G440&lt;&gt;"Vendor day rates"),$J440-0.4*$I440,0)</f>
        <v>0</v>
      </c>
      <c r="X440" s="20" t="n">
        <f aca="false">IF(OR($U440&lt;&gt;"Yes",$V440=""),0,$W440*MAX(0,7-MATCH($V440,MonthList,0))/12)</f>
        <v>0</v>
      </c>
      <c r="Y440" s="20" t="n">
        <f aca="false">IF(OR($U440&lt;&gt;"Yes",$V440=""),0,$W440*IF(MATCH($V440,MonthList,0)&lt;=7,12,19-MATCH($V440,MonthList,0))/12)</f>
        <v>0</v>
      </c>
    </row>
    <row r="441" customFormat="false" ht="15" hidden="false" customHeight="true" outlineLevel="0" collapsed="false">
      <c r="B441" s="22" t="s">
        <v>832</v>
      </c>
      <c r="C441" s="22" t="s">
        <v>833</v>
      </c>
      <c r="D441" s="22" t="s">
        <v>29</v>
      </c>
      <c r="E441" s="22" t="s">
        <v>554</v>
      </c>
      <c r="F441" s="23" t="s">
        <v>57</v>
      </c>
      <c r="G441" s="23" t="s">
        <v>58</v>
      </c>
      <c r="H441" s="23" t="n">
        <v>1</v>
      </c>
      <c r="I441" s="24" t="n">
        <v>0.1902</v>
      </c>
      <c r="J441" s="24" t="n">
        <v>0.1902</v>
      </c>
      <c r="K441" s="21" t="s">
        <v>59</v>
      </c>
      <c r="L441" s="21"/>
      <c r="M441" s="24" t="n">
        <f aca="false">IF(AND($K441="Yes",$G441&lt;&gt;"Vendor day rates"),$J441-0.4*$I441,0)</f>
        <v>0</v>
      </c>
      <c r="N441" s="24" t="n">
        <f aca="false">IF(OR($K441&lt;&gt;"Yes",$L441=""),0,$M441*MAX(0,7-MATCH($L441,MonthList,0))/12)</f>
        <v>0</v>
      </c>
      <c r="O441" s="24" t="n">
        <f aca="false">IF(OR($K441&lt;&gt;"Yes",$L441=""),0,$M441*IF(MATCH($L441,MonthList,0)&lt;=7,12,19-MATCH($L441,MonthList,0))/12)</f>
        <v>0</v>
      </c>
      <c r="P441" s="21" t="s">
        <v>59</v>
      </c>
      <c r="Q441" s="21"/>
      <c r="R441" s="24" t="n">
        <f aca="false">IF(AND($P441="Yes",$G441&lt;&gt;"Vendor day rates"),$J441-0.4*$I441,0)</f>
        <v>0</v>
      </c>
      <c r="S441" s="24" t="n">
        <f aca="false">IF(OR($P441&lt;&gt;"Yes",$Q441=""),0,$R441*MAX(0,7-MATCH($Q441,MonthList,0))/12)</f>
        <v>0</v>
      </c>
      <c r="T441" s="24" t="n">
        <f aca="false">IF(OR($P441&lt;&gt;"Yes",$Q441=""),0,$R441*IF(MATCH($Q441,MonthList,0)&lt;=7,12,19-MATCH($Q441,MonthList,0))/12)</f>
        <v>0</v>
      </c>
      <c r="U441" s="21" t="s">
        <v>59</v>
      </c>
      <c r="V441" s="21"/>
      <c r="W441" s="24" t="n">
        <f aca="false">IF(AND($U441="Yes",$G441&lt;&gt;"Vendor day rates"),$J441-0.4*$I441,0)</f>
        <v>0</v>
      </c>
      <c r="X441" s="24" t="n">
        <f aca="false">IF(OR($U441&lt;&gt;"Yes",$V441=""),0,$W441*MAX(0,7-MATCH($V441,MonthList,0))/12)</f>
        <v>0</v>
      </c>
      <c r="Y441" s="24" t="n">
        <f aca="false">IF(OR($U441&lt;&gt;"Yes",$V441=""),0,$W441*IF(MATCH($V441,MonthList,0)&lt;=7,12,19-MATCH($V441,MonthList,0))/12)</f>
        <v>0</v>
      </c>
    </row>
    <row r="442" customFormat="false" ht="15" hidden="false" customHeight="true" outlineLevel="0" collapsed="false">
      <c r="B442" s="18" t="s">
        <v>834</v>
      </c>
      <c r="C442" s="18" t="s">
        <v>835</v>
      </c>
      <c r="D442" s="18" t="s">
        <v>29</v>
      </c>
      <c r="E442" s="18" t="s">
        <v>554</v>
      </c>
      <c r="F442" s="19" t="s">
        <v>57</v>
      </c>
      <c r="G442" s="19" t="s">
        <v>58</v>
      </c>
      <c r="H442" s="19" t="n">
        <v>1</v>
      </c>
      <c r="I442" s="20" t="n">
        <v>0.2029</v>
      </c>
      <c r="J442" s="20" t="n">
        <v>0.2029</v>
      </c>
      <c r="K442" s="21" t="s">
        <v>59</v>
      </c>
      <c r="L442" s="21"/>
      <c r="M442" s="20" t="n">
        <f aca="false">IF(AND($K442="Yes",$G442&lt;&gt;"Vendor day rates"),$J442-0.4*$I442,0)</f>
        <v>0</v>
      </c>
      <c r="N442" s="20" t="n">
        <f aca="false">IF(OR($K442&lt;&gt;"Yes",$L442=""),0,$M442*MAX(0,7-MATCH($L442,MonthList,0))/12)</f>
        <v>0</v>
      </c>
      <c r="O442" s="20" t="n">
        <f aca="false">IF(OR($K442&lt;&gt;"Yes",$L442=""),0,$M442*IF(MATCH($L442,MonthList,0)&lt;=7,12,19-MATCH($L442,MonthList,0))/12)</f>
        <v>0</v>
      </c>
      <c r="P442" s="21" t="s">
        <v>59</v>
      </c>
      <c r="Q442" s="21"/>
      <c r="R442" s="20" t="n">
        <f aca="false">IF(AND($P442="Yes",$G442&lt;&gt;"Vendor day rates"),$J442-0.4*$I442,0)</f>
        <v>0</v>
      </c>
      <c r="S442" s="20" t="n">
        <f aca="false">IF(OR($P442&lt;&gt;"Yes",$Q442=""),0,$R442*MAX(0,7-MATCH($Q442,MonthList,0))/12)</f>
        <v>0</v>
      </c>
      <c r="T442" s="20" t="n">
        <f aca="false">IF(OR($P442&lt;&gt;"Yes",$Q442=""),0,$R442*IF(MATCH($Q442,MonthList,0)&lt;=7,12,19-MATCH($Q442,MonthList,0))/12)</f>
        <v>0</v>
      </c>
      <c r="U442" s="21" t="s">
        <v>59</v>
      </c>
      <c r="V442" s="21"/>
      <c r="W442" s="20" t="n">
        <f aca="false">IF(AND($U442="Yes",$G442&lt;&gt;"Vendor day rates"),$J442-0.4*$I442,0)</f>
        <v>0</v>
      </c>
      <c r="X442" s="20" t="n">
        <f aca="false">IF(OR($U442&lt;&gt;"Yes",$V442=""),0,$W442*MAX(0,7-MATCH($V442,MonthList,0))/12)</f>
        <v>0</v>
      </c>
      <c r="Y442" s="20" t="n">
        <f aca="false">IF(OR($U442&lt;&gt;"Yes",$V442=""),0,$W442*IF(MATCH($V442,MonthList,0)&lt;=7,12,19-MATCH($V442,MonthList,0))/12)</f>
        <v>0</v>
      </c>
    </row>
    <row r="443" customFormat="false" ht="15" hidden="false" customHeight="true" outlineLevel="0" collapsed="false">
      <c r="B443" s="22" t="s">
        <v>836</v>
      </c>
      <c r="C443" s="22" t="s">
        <v>837</v>
      </c>
      <c r="D443" s="22" t="s">
        <v>29</v>
      </c>
      <c r="E443" s="22" t="s">
        <v>554</v>
      </c>
      <c r="F443" s="23" t="s">
        <v>57</v>
      </c>
      <c r="G443" s="23" t="s">
        <v>58</v>
      </c>
      <c r="H443" s="23" t="n">
        <v>1</v>
      </c>
      <c r="I443" s="24" t="n">
        <v>0.164</v>
      </c>
      <c r="J443" s="24" t="n">
        <v>0.164</v>
      </c>
      <c r="K443" s="21" t="s">
        <v>59</v>
      </c>
      <c r="L443" s="21"/>
      <c r="M443" s="24" t="n">
        <f aca="false">IF(AND($K443="Yes",$G443&lt;&gt;"Vendor day rates"),$J443-0.4*$I443,0)</f>
        <v>0</v>
      </c>
      <c r="N443" s="24" t="n">
        <f aca="false">IF(OR($K443&lt;&gt;"Yes",$L443=""),0,$M443*MAX(0,7-MATCH($L443,MonthList,0))/12)</f>
        <v>0</v>
      </c>
      <c r="O443" s="24" t="n">
        <f aca="false">IF(OR($K443&lt;&gt;"Yes",$L443=""),0,$M443*IF(MATCH($L443,MonthList,0)&lt;=7,12,19-MATCH($L443,MonthList,0))/12)</f>
        <v>0</v>
      </c>
      <c r="P443" s="21" t="s">
        <v>59</v>
      </c>
      <c r="Q443" s="21"/>
      <c r="R443" s="24" t="n">
        <f aca="false">IF(AND($P443="Yes",$G443&lt;&gt;"Vendor day rates"),$J443-0.4*$I443,0)</f>
        <v>0</v>
      </c>
      <c r="S443" s="24" t="n">
        <f aca="false">IF(OR($P443&lt;&gt;"Yes",$Q443=""),0,$R443*MAX(0,7-MATCH($Q443,MonthList,0))/12)</f>
        <v>0</v>
      </c>
      <c r="T443" s="24" t="n">
        <f aca="false">IF(OR($P443&lt;&gt;"Yes",$Q443=""),0,$R443*IF(MATCH($Q443,MonthList,0)&lt;=7,12,19-MATCH($Q443,MonthList,0))/12)</f>
        <v>0</v>
      </c>
      <c r="U443" s="21" t="s">
        <v>59</v>
      </c>
      <c r="V443" s="21"/>
      <c r="W443" s="24" t="n">
        <f aca="false">IF(AND($U443="Yes",$G443&lt;&gt;"Vendor day rates"),$J443-0.4*$I443,0)</f>
        <v>0</v>
      </c>
      <c r="X443" s="24" t="n">
        <f aca="false">IF(OR($U443&lt;&gt;"Yes",$V443=""),0,$W443*MAX(0,7-MATCH($V443,MonthList,0))/12)</f>
        <v>0</v>
      </c>
      <c r="Y443" s="24" t="n">
        <f aca="false">IF(OR($U443&lt;&gt;"Yes",$V443=""),0,$W443*IF(MATCH($V443,MonthList,0)&lt;=7,12,19-MATCH($V443,MonthList,0))/12)</f>
        <v>0</v>
      </c>
    </row>
    <row r="444" customFormat="false" ht="15" hidden="false" customHeight="true" outlineLevel="0" collapsed="false">
      <c r="B444" s="18" t="s">
        <v>838</v>
      </c>
      <c r="C444" s="18" t="s">
        <v>839</v>
      </c>
      <c r="D444" s="18" t="s">
        <v>29</v>
      </c>
      <c r="E444" s="18" t="s">
        <v>554</v>
      </c>
      <c r="F444" s="19" t="s">
        <v>57</v>
      </c>
      <c r="G444" s="19" t="s">
        <v>58</v>
      </c>
      <c r="H444" s="19" t="n">
        <v>1</v>
      </c>
      <c r="I444" s="20" t="n">
        <v>0.2142</v>
      </c>
      <c r="J444" s="20" t="n">
        <v>0.2142</v>
      </c>
      <c r="K444" s="21" t="s">
        <v>59</v>
      </c>
      <c r="L444" s="21"/>
      <c r="M444" s="20" t="n">
        <f aca="false">IF(AND($K444="Yes",$G444&lt;&gt;"Vendor day rates"),$J444-0.4*$I444,0)</f>
        <v>0</v>
      </c>
      <c r="N444" s="20" t="n">
        <f aca="false">IF(OR($K444&lt;&gt;"Yes",$L444=""),0,$M444*MAX(0,7-MATCH($L444,MonthList,0))/12)</f>
        <v>0</v>
      </c>
      <c r="O444" s="20" t="n">
        <f aca="false">IF(OR($K444&lt;&gt;"Yes",$L444=""),0,$M444*IF(MATCH($L444,MonthList,0)&lt;=7,12,19-MATCH($L444,MonthList,0))/12)</f>
        <v>0</v>
      </c>
      <c r="P444" s="21" t="s">
        <v>59</v>
      </c>
      <c r="Q444" s="21"/>
      <c r="R444" s="20" t="n">
        <f aca="false">IF(AND($P444="Yes",$G444&lt;&gt;"Vendor day rates"),$J444-0.4*$I444,0)</f>
        <v>0</v>
      </c>
      <c r="S444" s="20" t="n">
        <f aca="false">IF(OR($P444&lt;&gt;"Yes",$Q444=""),0,$R444*MAX(0,7-MATCH($Q444,MonthList,0))/12)</f>
        <v>0</v>
      </c>
      <c r="T444" s="20" t="n">
        <f aca="false">IF(OR($P444&lt;&gt;"Yes",$Q444=""),0,$R444*IF(MATCH($Q444,MonthList,0)&lt;=7,12,19-MATCH($Q444,MonthList,0))/12)</f>
        <v>0</v>
      </c>
      <c r="U444" s="21" t="s">
        <v>59</v>
      </c>
      <c r="V444" s="21"/>
      <c r="W444" s="20" t="n">
        <f aca="false">IF(AND($U444="Yes",$G444&lt;&gt;"Vendor day rates"),$J444-0.4*$I444,0)</f>
        <v>0</v>
      </c>
      <c r="X444" s="20" t="n">
        <f aca="false">IF(OR($U444&lt;&gt;"Yes",$V444=""),0,$W444*MAX(0,7-MATCH($V444,MonthList,0))/12)</f>
        <v>0</v>
      </c>
      <c r="Y444" s="20" t="n">
        <f aca="false">IF(OR($U444&lt;&gt;"Yes",$V444=""),0,$W444*IF(MATCH($V444,MonthList,0)&lt;=7,12,19-MATCH($V444,MonthList,0))/12)</f>
        <v>0</v>
      </c>
    </row>
    <row r="445" customFormat="false" ht="15" hidden="false" customHeight="true" outlineLevel="0" collapsed="false">
      <c r="B445" s="22" t="s">
        <v>840</v>
      </c>
      <c r="C445" s="22" t="s">
        <v>841</v>
      </c>
      <c r="D445" s="22" t="s">
        <v>25</v>
      </c>
      <c r="E445" s="22" t="s">
        <v>842</v>
      </c>
      <c r="F445" s="23" t="s">
        <v>57</v>
      </c>
      <c r="G445" s="23" t="s">
        <v>58</v>
      </c>
      <c r="H445" s="23" t="n">
        <v>1</v>
      </c>
      <c r="I445" s="24" t="n">
        <v>0.1629</v>
      </c>
      <c r="J445" s="24" t="n">
        <v>0.1629</v>
      </c>
      <c r="K445" s="21" t="s">
        <v>59</v>
      </c>
      <c r="L445" s="21"/>
      <c r="M445" s="24" t="n">
        <f aca="false">IF(AND($K445="Yes",$G445&lt;&gt;"Vendor day rates"),$J445-0.4*$I445,0)</f>
        <v>0</v>
      </c>
      <c r="N445" s="24" t="n">
        <f aca="false">IF(OR($K445&lt;&gt;"Yes",$L445=""),0,$M445*MAX(0,7-MATCH($L445,MonthList,0))/12)</f>
        <v>0</v>
      </c>
      <c r="O445" s="24" t="n">
        <f aca="false">IF(OR($K445&lt;&gt;"Yes",$L445=""),0,$M445*IF(MATCH($L445,MonthList,0)&lt;=7,12,19-MATCH($L445,MonthList,0))/12)</f>
        <v>0</v>
      </c>
      <c r="P445" s="21" t="s">
        <v>59</v>
      </c>
      <c r="Q445" s="21"/>
      <c r="R445" s="24" t="n">
        <f aca="false">IF(AND($P445="Yes",$G445&lt;&gt;"Vendor day rates"),$J445-0.4*$I445,0)</f>
        <v>0</v>
      </c>
      <c r="S445" s="24" t="n">
        <f aca="false">IF(OR($P445&lt;&gt;"Yes",$Q445=""),0,$R445*MAX(0,7-MATCH($Q445,MonthList,0))/12)</f>
        <v>0</v>
      </c>
      <c r="T445" s="24" t="n">
        <f aca="false">IF(OR($P445&lt;&gt;"Yes",$Q445=""),0,$R445*IF(MATCH($Q445,MonthList,0)&lt;=7,12,19-MATCH($Q445,MonthList,0))/12)</f>
        <v>0</v>
      </c>
      <c r="U445" s="21" t="s">
        <v>59</v>
      </c>
      <c r="V445" s="21"/>
      <c r="W445" s="24" t="n">
        <f aca="false">IF(AND($U445="Yes",$G445&lt;&gt;"Vendor day rates"),$J445-0.4*$I445,0)</f>
        <v>0</v>
      </c>
      <c r="X445" s="24" t="n">
        <f aca="false">IF(OR($U445&lt;&gt;"Yes",$V445=""),0,$W445*MAX(0,7-MATCH($V445,MonthList,0))/12)</f>
        <v>0</v>
      </c>
      <c r="Y445" s="24" t="n">
        <f aca="false">IF(OR($U445&lt;&gt;"Yes",$V445=""),0,$W445*IF(MATCH($V445,MonthList,0)&lt;=7,12,19-MATCH($V445,MonthList,0))/12)</f>
        <v>0</v>
      </c>
    </row>
    <row r="446" customFormat="false" ht="15" hidden="false" customHeight="true" outlineLevel="0" collapsed="false">
      <c r="B446" s="18" t="s">
        <v>843</v>
      </c>
      <c r="C446" s="18" t="s">
        <v>841</v>
      </c>
      <c r="D446" s="18" t="s">
        <v>25</v>
      </c>
      <c r="E446" s="18" t="s">
        <v>842</v>
      </c>
      <c r="F446" s="19" t="s">
        <v>57</v>
      </c>
      <c r="G446" s="19" t="s">
        <v>58</v>
      </c>
      <c r="H446" s="19" t="n">
        <v>1</v>
      </c>
      <c r="I446" s="20" t="n">
        <v>0.1537</v>
      </c>
      <c r="J446" s="20" t="n">
        <v>0.1537</v>
      </c>
      <c r="K446" s="21" t="s">
        <v>59</v>
      </c>
      <c r="L446" s="21"/>
      <c r="M446" s="20" t="n">
        <f aca="false">IF(AND($K446="Yes",$G446&lt;&gt;"Vendor day rates"),$J446-0.4*$I446,0)</f>
        <v>0</v>
      </c>
      <c r="N446" s="20" t="n">
        <f aca="false">IF(OR($K446&lt;&gt;"Yes",$L446=""),0,$M446*MAX(0,7-MATCH($L446,MonthList,0))/12)</f>
        <v>0</v>
      </c>
      <c r="O446" s="20" t="n">
        <f aca="false">IF(OR($K446&lt;&gt;"Yes",$L446=""),0,$M446*IF(MATCH($L446,MonthList,0)&lt;=7,12,19-MATCH($L446,MonthList,0))/12)</f>
        <v>0</v>
      </c>
      <c r="P446" s="21" t="s">
        <v>59</v>
      </c>
      <c r="Q446" s="21"/>
      <c r="R446" s="20" t="n">
        <f aca="false">IF(AND($P446="Yes",$G446&lt;&gt;"Vendor day rates"),$J446-0.4*$I446,0)</f>
        <v>0</v>
      </c>
      <c r="S446" s="20" t="n">
        <f aca="false">IF(OR($P446&lt;&gt;"Yes",$Q446=""),0,$R446*MAX(0,7-MATCH($Q446,MonthList,0))/12)</f>
        <v>0</v>
      </c>
      <c r="T446" s="20" t="n">
        <f aca="false">IF(OR($P446&lt;&gt;"Yes",$Q446=""),0,$R446*IF(MATCH($Q446,MonthList,0)&lt;=7,12,19-MATCH($Q446,MonthList,0))/12)</f>
        <v>0</v>
      </c>
      <c r="U446" s="21" t="s">
        <v>59</v>
      </c>
      <c r="V446" s="21"/>
      <c r="W446" s="20" t="n">
        <f aca="false">IF(AND($U446="Yes",$G446&lt;&gt;"Vendor day rates"),$J446-0.4*$I446,0)</f>
        <v>0</v>
      </c>
      <c r="X446" s="20" t="n">
        <f aca="false">IF(OR($U446&lt;&gt;"Yes",$V446=""),0,$W446*MAX(0,7-MATCH($V446,MonthList,0))/12)</f>
        <v>0</v>
      </c>
      <c r="Y446" s="20" t="n">
        <f aca="false">IF(OR($U446&lt;&gt;"Yes",$V446=""),0,$W446*IF(MATCH($V446,MonthList,0)&lt;=7,12,19-MATCH($V446,MonthList,0))/12)</f>
        <v>0</v>
      </c>
    </row>
    <row r="447" customFormat="false" ht="15" hidden="false" customHeight="true" outlineLevel="0" collapsed="false">
      <c r="B447" s="22" t="s">
        <v>844</v>
      </c>
      <c r="C447" s="22" t="s">
        <v>841</v>
      </c>
      <c r="D447" s="22" t="s">
        <v>25</v>
      </c>
      <c r="E447" s="22" t="s">
        <v>842</v>
      </c>
      <c r="F447" s="23" t="s">
        <v>57</v>
      </c>
      <c r="G447" s="23" t="s">
        <v>58</v>
      </c>
      <c r="H447" s="23" t="n">
        <v>1</v>
      </c>
      <c r="I447" s="24" t="n">
        <v>0.1467</v>
      </c>
      <c r="J447" s="24" t="n">
        <v>0.1467</v>
      </c>
      <c r="K447" s="21" t="s">
        <v>59</v>
      </c>
      <c r="L447" s="21"/>
      <c r="M447" s="24" t="n">
        <f aca="false">IF(AND($K447="Yes",$G447&lt;&gt;"Vendor day rates"),$J447-0.4*$I447,0)</f>
        <v>0</v>
      </c>
      <c r="N447" s="24" t="n">
        <f aca="false">IF(OR($K447&lt;&gt;"Yes",$L447=""),0,$M447*MAX(0,7-MATCH($L447,MonthList,0))/12)</f>
        <v>0</v>
      </c>
      <c r="O447" s="24" t="n">
        <f aca="false">IF(OR($K447&lt;&gt;"Yes",$L447=""),0,$M447*IF(MATCH($L447,MonthList,0)&lt;=7,12,19-MATCH($L447,MonthList,0))/12)</f>
        <v>0</v>
      </c>
      <c r="P447" s="21" t="s">
        <v>59</v>
      </c>
      <c r="Q447" s="21"/>
      <c r="R447" s="24" t="n">
        <f aca="false">IF(AND($P447="Yes",$G447&lt;&gt;"Vendor day rates"),$J447-0.4*$I447,0)</f>
        <v>0</v>
      </c>
      <c r="S447" s="24" t="n">
        <f aca="false">IF(OR($P447&lt;&gt;"Yes",$Q447=""),0,$R447*MAX(0,7-MATCH($Q447,MonthList,0))/12)</f>
        <v>0</v>
      </c>
      <c r="T447" s="24" t="n">
        <f aca="false">IF(OR($P447&lt;&gt;"Yes",$Q447=""),0,$R447*IF(MATCH($Q447,MonthList,0)&lt;=7,12,19-MATCH($Q447,MonthList,0))/12)</f>
        <v>0</v>
      </c>
      <c r="U447" s="21" t="s">
        <v>59</v>
      </c>
      <c r="V447" s="21"/>
      <c r="W447" s="24" t="n">
        <f aca="false">IF(AND($U447="Yes",$G447&lt;&gt;"Vendor day rates"),$J447-0.4*$I447,0)</f>
        <v>0</v>
      </c>
      <c r="X447" s="24" t="n">
        <f aca="false">IF(OR($U447&lt;&gt;"Yes",$V447=""),0,$W447*MAX(0,7-MATCH($V447,MonthList,0))/12)</f>
        <v>0</v>
      </c>
      <c r="Y447" s="24" t="n">
        <f aca="false">IF(OR($U447&lt;&gt;"Yes",$V447=""),0,$W447*IF(MATCH($V447,MonthList,0)&lt;=7,12,19-MATCH($V447,MonthList,0))/12)</f>
        <v>0</v>
      </c>
    </row>
    <row r="448" customFormat="false" ht="15" hidden="false" customHeight="true" outlineLevel="0" collapsed="false">
      <c r="B448" s="18" t="s">
        <v>845</v>
      </c>
      <c r="C448" s="18" t="s">
        <v>846</v>
      </c>
      <c r="D448" s="18" t="s">
        <v>19</v>
      </c>
      <c r="E448" s="18" t="s">
        <v>390</v>
      </c>
      <c r="F448" s="19" t="s">
        <v>109</v>
      </c>
      <c r="G448" s="19" t="s">
        <v>58</v>
      </c>
      <c r="H448" s="19" t="n">
        <v>1</v>
      </c>
      <c r="I448" s="20" t="n">
        <v>0.1535</v>
      </c>
      <c r="J448" s="20" t="n">
        <v>0.1535</v>
      </c>
      <c r="K448" s="21" t="s">
        <v>59</v>
      </c>
      <c r="L448" s="21"/>
      <c r="M448" s="20" t="n">
        <f aca="false">IF(AND($K448="Yes",$G448&lt;&gt;"Vendor day rates"),$J448-0.4*$I448,0)</f>
        <v>0</v>
      </c>
      <c r="N448" s="20" t="n">
        <f aca="false">IF(OR($K448&lt;&gt;"Yes",$L448=""),0,$M448*MAX(0,7-MATCH($L448,MonthList,0))/12)</f>
        <v>0</v>
      </c>
      <c r="O448" s="20" t="n">
        <f aca="false">IF(OR($K448&lt;&gt;"Yes",$L448=""),0,$M448*IF(MATCH($L448,MonthList,0)&lt;=7,12,19-MATCH($L448,MonthList,0))/12)</f>
        <v>0</v>
      </c>
      <c r="P448" s="21" t="s">
        <v>59</v>
      </c>
      <c r="Q448" s="21"/>
      <c r="R448" s="20" t="n">
        <f aca="false">IF(AND($P448="Yes",$G448&lt;&gt;"Vendor day rates"),$J448-0.4*$I448,0)</f>
        <v>0</v>
      </c>
      <c r="S448" s="20" t="n">
        <f aca="false">IF(OR($P448&lt;&gt;"Yes",$Q448=""),0,$R448*MAX(0,7-MATCH($Q448,MonthList,0))/12)</f>
        <v>0</v>
      </c>
      <c r="T448" s="20" t="n">
        <f aca="false">IF(OR($P448&lt;&gt;"Yes",$Q448=""),0,$R448*IF(MATCH($Q448,MonthList,0)&lt;=7,12,19-MATCH($Q448,MonthList,0))/12)</f>
        <v>0</v>
      </c>
      <c r="U448" s="21" t="s">
        <v>59</v>
      </c>
      <c r="V448" s="21"/>
      <c r="W448" s="20" t="n">
        <f aca="false">IF(AND($U448="Yes",$G448&lt;&gt;"Vendor day rates"),$J448-0.4*$I448,0)</f>
        <v>0</v>
      </c>
      <c r="X448" s="20" t="n">
        <f aca="false">IF(OR($U448&lt;&gt;"Yes",$V448=""),0,$W448*MAX(0,7-MATCH($V448,MonthList,0))/12)</f>
        <v>0</v>
      </c>
      <c r="Y448" s="20" t="n">
        <f aca="false">IF(OR($U448&lt;&gt;"Yes",$V448=""),0,$W448*IF(MATCH($V448,MonthList,0)&lt;=7,12,19-MATCH($V448,MonthList,0))/12)</f>
        <v>0</v>
      </c>
    </row>
    <row r="449" customFormat="false" ht="15" hidden="false" customHeight="true" outlineLevel="0" collapsed="false">
      <c r="B449" s="22" t="s">
        <v>847</v>
      </c>
      <c r="C449" s="22" t="s">
        <v>848</v>
      </c>
      <c r="D449" s="22" t="s">
        <v>25</v>
      </c>
      <c r="E449" s="22" t="s">
        <v>842</v>
      </c>
      <c r="F449" s="23" t="s">
        <v>57</v>
      </c>
      <c r="G449" s="23" t="s">
        <v>58</v>
      </c>
      <c r="H449" s="23" t="n">
        <v>1</v>
      </c>
      <c r="I449" s="24" t="n">
        <v>0.1713</v>
      </c>
      <c r="J449" s="24" t="n">
        <v>0.1713</v>
      </c>
      <c r="K449" s="21" t="s">
        <v>59</v>
      </c>
      <c r="L449" s="21"/>
      <c r="M449" s="24" t="n">
        <f aca="false">IF(AND($K449="Yes",$G449&lt;&gt;"Vendor day rates"),$J449-0.4*$I449,0)</f>
        <v>0</v>
      </c>
      <c r="N449" s="24" t="n">
        <f aca="false">IF(OR($K449&lt;&gt;"Yes",$L449=""),0,$M449*MAX(0,7-MATCH($L449,MonthList,0))/12)</f>
        <v>0</v>
      </c>
      <c r="O449" s="24" t="n">
        <f aca="false">IF(OR($K449&lt;&gt;"Yes",$L449=""),0,$M449*IF(MATCH($L449,MonthList,0)&lt;=7,12,19-MATCH($L449,MonthList,0))/12)</f>
        <v>0</v>
      </c>
      <c r="P449" s="21" t="s">
        <v>59</v>
      </c>
      <c r="Q449" s="21"/>
      <c r="R449" s="24" t="n">
        <f aca="false">IF(AND($P449="Yes",$G449&lt;&gt;"Vendor day rates"),$J449-0.4*$I449,0)</f>
        <v>0</v>
      </c>
      <c r="S449" s="24" t="n">
        <f aca="false">IF(OR($P449&lt;&gt;"Yes",$Q449=""),0,$R449*MAX(0,7-MATCH($Q449,MonthList,0))/12)</f>
        <v>0</v>
      </c>
      <c r="T449" s="24" t="n">
        <f aca="false">IF(OR($P449&lt;&gt;"Yes",$Q449=""),0,$R449*IF(MATCH($Q449,MonthList,0)&lt;=7,12,19-MATCH($Q449,MonthList,0))/12)</f>
        <v>0</v>
      </c>
      <c r="U449" s="21" t="s">
        <v>59</v>
      </c>
      <c r="V449" s="21"/>
      <c r="W449" s="24" t="n">
        <f aca="false">IF(AND($U449="Yes",$G449&lt;&gt;"Vendor day rates"),$J449-0.4*$I449,0)</f>
        <v>0</v>
      </c>
      <c r="X449" s="24" t="n">
        <f aca="false">IF(OR($U449&lt;&gt;"Yes",$V449=""),0,$W449*MAX(0,7-MATCH($V449,MonthList,0))/12)</f>
        <v>0</v>
      </c>
      <c r="Y449" s="24" t="n">
        <f aca="false">IF(OR($U449&lt;&gt;"Yes",$V449=""),0,$W449*IF(MATCH($V449,MonthList,0)&lt;=7,12,19-MATCH($V449,MonthList,0))/12)</f>
        <v>0</v>
      </c>
    </row>
    <row r="450" customFormat="false" ht="15" hidden="false" customHeight="true" outlineLevel="0" collapsed="false">
      <c r="B450" s="18" t="s">
        <v>849</v>
      </c>
      <c r="C450" s="18" t="s">
        <v>350</v>
      </c>
      <c r="D450" s="18" t="s">
        <v>25</v>
      </c>
      <c r="E450" s="18" t="s">
        <v>227</v>
      </c>
      <c r="F450" s="19" t="s">
        <v>57</v>
      </c>
      <c r="G450" s="19" t="s">
        <v>58</v>
      </c>
      <c r="H450" s="19" t="n">
        <v>1</v>
      </c>
      <c r="I450" s="20" t="n">
        <v>0.1447</v>
      </c>
      <c r="J450" s="20" t="n">
        <v>0.1447</v>
      </c>
      <c r="K450" s="21" t="s">
        <v>59</v>
      </c>
      <c r="L450" s="21"/>
      <c r="M450" s="20" t="n">
        <f aca="false">IF(AND($K450="Yes",$G450&lt;&gt;"Vendor day rates"),$J450-0.4*$I450,0)</f>
        <v>0</v>
      </c>
      <c r="N450" s="20" t="n">
        <f aca="false">IF(OR($K450&lt;&gt;"Yes",$L450=""),0,$M450*MAX(0,7-MATCH($L450,MonthList,0))/12)</f>
        <v>0</v>
      </c>
      <c r="O450" s="20" t="n">
        <f aca="false">IF(OR($K450&lt;&gt;"Yes",$L450=""),0,$M450*IF(MATCH($L450,MonthList,0)&lt;=7,12,19-MATCH($L450,MonthList,0))/12)</f>
        <v>0</v>
      </c>
      <c r="P450" s="21" t="s">
        <v>59</v>
      </c>
      <c r="Q450" s="21"/>
      <c r="R450" s="20" t="n">
        <f aca="false">IF(AND($P450="Yes",$G450&lt;&gt;"Vendor day rates"),$J450-0.4*$I450,0)</f>
        <v>0</v>
      </c>
      <c r="S450" s="20" t="n">
        <f aca="false">IF(OR($P450&lt;&gt;"Yes",$Q450=""),0,$R450*MAX(0,7-MATCH($Q450,MonthList,0))/12)</f>
        <v>0</v>
      </c>
      <c r="T450" s="20" t="n">
        <f aca="false">IF(OR($P450&lt;&gt;"Yes",$Q450=""),0,$R450*IF(MATCH($Q450,MonthList,0)&lt;=7,12,19-MATCH($Q450,MonthList,0))/12)</f>
        <v>0</v>
      </c>
      <c r="U450" s="21" t="s">
        <v>59</v>
      </c>
      <c r="V450" s="21"/>
      <c r="W450" s="20" t="n">
        <f aca="false">IF(AND($U450="Yes",$G450&lt;&gt;"Vendor day rates"),$J450-0.4*$I450,0)</f>
        <v>0</v>
      </c>
      <c r="X450" s="20" t="n">
        <f aca="false">IF(OR($U450&lt;&gt;"Yes",$V450=""),0,$W450*MAX(0,7-MATCH($V450,MonthList,0))/12)</f>
        <v>0</v>
      </c>
      <c r="Y450" s="20" t="n">
        <f aca="false">IF(OR($U450&lt;&gt;"Yes",$V450=""),0,$W450*IF(MATCH($V450,MonthList,0)&lt;=7,12,19-MATCH($V450,MonthList,0))/12)</f>
        <v>0</v>
      </c>
    </row>
    <row r="451" customFormat="false" ht="15" hidden="false" customHeight="true" outlineLevel="0" collapsed="false">
      <c r="B451" s="22" t="s">
        <v>850</v>
      </c>
      <c r="C451" s="22" t="s">
        <v>117</v>
      </c>
      <c r="D451" s="22" t="s">
        <v>25</v>
      </c>
      <c r="E451" s="22" t="s">
        <v>227</v>
      </c>
      <c r="F451" s="23" t="s">
        <v>57</v>
      </c>
      <c r="G451" s="23" t="s">
        <v>292</v>
      </c>
      <c r="H451" s="23" t="n">
        <v>1</v>
      </c>
      <c r="I451" s="24" t="n">
        <v>0.1705</v>
      </c>
      <c r="J451" s="24" t="n">
        <v>0</v>
      </c>
      <c r="K451" s="21" t="s">
        <v>59</v>
      </c>
      <c r="L451" s="21"/>
      <c r="M451" s="24" t="n">
        <f aca="false">IF(AND($K451="Yes",$G451&lt;&gt;"Vendor day rates"),$J451-0.4*$I451,0)</f>
        <v>0</v>
      </c>
      <c r="N451" s="24" t="n">
        <f aca="false">IF(OR($K451&lt;&gt;"Yes",$L451=""),0,$M451*MAX(0,7-MATCH($L451,MonthList,0))/12)</f>
        <v>0</v>
      </c>
      <c r="O451" s="24" t="n">
        <f aca="false">IF(OR($K451&lt;&gt;"Yes",$L451=""),0,$M451*IF(MATCH($L451,MonthList,0)&lt;=7,12,19-MATCH($L451,MonthList,0))/12)</f>
        <v>0</v>
      </c>
      <c r="P451" s="21" t="s">
        <v>59</v>
      </c>
      <c r="Q451" s="21"/>
      <c r="R451" s="24" t="n">
        <f aca="false">IF(AND($P451="Yes",$G451&lt;&gt;"Vendor day rates"),$J451-0.4*$I451,0)</f>
        <v>0</v>
      </c>
      <c r="S451" s="24" t="n">
        <f aca="false">IF(OR($P451&lt;&gt;"Yes",$Q451=""),0,$R451*MAX(0,7-MATCH($Q451,MonthList,0))/12)</f>
        <v>0</v>
      </c>
      <c r="T451" s="24" t="n">
        <f aca="false">IF(OR($P451&lt;&gt;"Yes",$Q451=""),0,$R451*IF(MATCH($Q451,MonthList,0)&lt;=7,12,19-MATCH($Q451,MonthList,0))/12)</f>
        <v>0</v>
      </c>
      <c r="U451" s="21" t="s">
        <v>59</v>
      </c>
      <c r="V451" s="21"/>
      <c r="W451" s="24" t="n">
        <f aca="false">IF(AND($U451="Yes",$G451&lt;&gt;"Vendor day rates"),$J451-0.4*$I451,0)</f>
        <v>0</v>
      </c>
      <c r="X451" s="24" t="n">
        <f aca="false">IF(OR($U451&lt;&gt;"Yes",$V451=""),0,$W451*MAX(0,7-MATCH($V451,MonthList,0))/12)</f>
        <v>0</v>
      </c>
      <c r="Y451" s="24" t="n">
        <f aca="false">IF(OR($U451&lt;&gt;"Yes",$V451=""),0,$W451*IF(MATCH($V451,MonthList,0)&lt;=7,12,19-MATCH($V451,MonthList,0))/12)</f>
        <v>0</v>
      </c>
    </row>
    <row r="452" customFormat="false" ht="15" hidden="false" customHeight="true" outlineLevel="0" collapsed="false">
      <c r="B452" s="18" t="s">
        <v>851</v>
      </c>
      <c r="C452" s="18" t="s">
        <v>640</v>
      </c>
      <c r="D452" s="18" t="s">
        <v>26</v>
      </c>
      <c r="E452" s="18" t="s">
        <v>395</v>
      </c>
      <c r="F452" s="19" t="s">
        <v>57</v>
      </c>
      <c r="G452" s="19" t="s">
        <v>58</v>
      </c>
      <c r="H452" s="19" t="n">
        <v>1</v>
      </c>
      <c r="I452" s="20" t="n">
        <v>0.1907</v>
      </c>
      <c r="J452" s="20" t="n">
        <v>0.1907</v>
      </c>
      <c r="K452" s="21" t="s">
        <v>59</v>
      </c>
      <c r="L452" s="21"/>
      <c r="M452" s="20" t="n">
        <f aca="false">IF(AND($K452="Yes",$G452&lt;&gt;"Vendor day rates"),$J452-0.4*$I452,0)</f>
        <v>0</v>
      </c>
      <c r="N452" s="20" t="n">
        <f aca="false">IF(OR($K452&lt;&gt;"Yes",$L452=""),0,$M452*MAX(0,7-MATCH($L452,MonthList,0))/12)</f>
        <v>0</v>
      </c>
      <c r="O452" s="20" t="n">
        <f aca="false">IF(OR($K452&lt;&gt;"Yes",$L452=""),0,$M452*IF(MATCH($L452,MonthList,0)&lt;=7,12,19-MATCH($L452,MonthList,0))/12)</f>
        <v>0</v>
      </c>
      <c r="P452" s="21" t="s">
        <v>59</v>
      </c>
      <c r="Q452" s="21"/>
      <c r="R452" s="20" t="n">
        <f aca="false">IF(AND($P452="Yes",$G452&lt;&gt;"Vendor day rates"),$J452-0.4*$I452,0)</f>
        <v>0</v>
      </c>
      <c r="S452" s="20" t="n">
        <f aca="false">IF(OR($P452&lt;&gt;"Yes",$Q452=""),0,$R452*MAX(0,7-MATCH($Q452,MonthList,0))/12)</f>
        <v>0</v>
      </c>
      <c r="T452" s="20" t="n">
        <f aca="false">IF(OR($P452&lt;&gt;"Yes",$Q452=""),0,$R452*IF(MATCH($Q452,MonthList,0)&lt;=7,12,19-MATCH($Q452,MonthList,0))/12)</f>
        <v>0</v>
      </c>
      <c r="U452" s="21" t="s">
        <v>59</v>
      </c>
      <c r="V452" s="21"/>
      <c r="W452" s="20" t="n">
        <f aca="false">IF(AND($U452="Yes",$G452&lt;&gt;"Vendor day rates"),$J452-0.4*$I452,0)</f>
        <v>0</v>
      </c>
      <c r="X452" s="20" t="n">
        <f aca="false">IF(OR($U452&lt;&gt;"Yes",$V452=""),0,$W452*MAX(0,7-MATCH($V452,MonthList,0))/12)</f>
        <v>0</v>
      </c>
      <c r="Y452" s="20" t="n">
        <f aca="false">IF(OR($U452&lt;&gt;"Yes",$V452=""),0,$W452*IF(MATCH($V452,MonthList,0)&lt;=7,12,19-MATCH($V452,MonthList,0))/12)</f>
        <v>0</v>
      </c>
    </row>
    <row r="453" customFormat="false" ht="15" hidden="false" customHeight="true" outlineLevel="0" collapsed="false">
      <c r="B453" s="22" t="s">
        <v>852</v>
      </c>
      <c r="C453" s="22" t="s">
        <v>640</v>
      </c>
      <c r="D453" s="22" t="s">
        <v>26</v>
      </c>
      <c r="E453" s="22" t="s">
        <v>395</v>
      </c>
      <c r="F453" s="23" t="s">
        <v>57</v>
      </c>
      <c r="G453" s="23" t="s">
        <v>58</v>
      </c>
      <c r="H453" s="23" t="n">
        <v>1</v>
      </c>
      <c r="I453" s="24" t="n">
        <v>0.1731</v>
      </c>
      <c r="J453" s="24" t="n">
        <v>0.1731</v>
      </c>
      <c r="K453" s="21" t="s">
        <v>59</v>
      </c>
      <c r="L453" s="21"/>
      <c r="M453" s="24" t="n">
        <f aca="false">IF(AND($K453="Yes",$G453&lt;&gt;"Vendor day rates"),$J453-0.4*$I453,0)</f>
        <v>0</v>
      </c>
      <c r="N453" s="24" t="n">
        <f aca="false">IF(OR($K453&lt;&gt;"Yes",$L453=""),0,$M453*MAX(0,7-MATCH($L453,MonthList,0))/12)</f>
        <v>0</v>
      </c>
      <c r="O453" s="24" t="n">
        <f aca="false">IF(OR($K453&lt;&gt;"Yes",$L453=""),0,$M453*IF(MATCH($L453,MonthList,0)&lt;=7,12,19-MATCH($L453,MonthList,0))/12)</f>
        <v>0</v>
      </c>
      <c r="P453" s="21" t="s">
        <v>59</v>
      </c>
      <c r="Q453" s="21"/>
      <c r="R453" s="24" t="n">
        <f aca="false">IF(AND($P453="Yes",$G453&lt;&gt;"Vendor day rates"),$J453-0.4*$I453,0)</f>
        <v>0</v>
      </c>
      <c r="S453" s="24" t="n">
        <f aca="false">IF(OR($P453&lt;&gt;"Yes",$Q453=""),0,$R453*MAX(0,7-MATCH($Q453,MonthList,0))/12)</f>
        <v>0</v>
      </c>
      <c r="T453" s="24" t="n">
        <f aca="false">IF(OR($P453&lt;&gt;"Yes",$Q453=""),0,$R453*IF(MATCH($Q453,MonthList,0)&lt;=7,12,19-MATCH($Q453,MonthList,0))/12)</f>
        <v>0</v>
      </c>
      <c r="U453" s="21" t="s">
        <v>59</v>
      </c>
      <c r="V453" s="21"/>
      <c r="W453" s="24" t="n">
        <f aca="false">IF(AND($U453="Yes",$G453&lt;&gt;"Vendor day rates"),$J453-0.4*$I453,0)</f>
        <v>0</v>
      </c>
      <c r="X453" s="24" t="n">
        <f aca="false">IF(OR($U453&lt;&gt;"Yes",$V453=""),0,$W453*MAX(0,7-MATCH($V453,MonthList,0))/12)</f>
        <v>0</v>
      </c>
      <c r="Y453" s="24" t="n">
        <f aca="false">IF(OR($U453&lt;&gt;"Yes",$V453=""),0,$W453*IF(MATCH($V453,MonthList,0)&lt;=7,12,19-MATCH($V453,MonthList,0))/12)</f>
        <v>0</v>
      </c>
    </row>
    <row r="454" customFormat="false" ht="15" hidden="false" customHeight="true" outlineLevel="0" collapsed="false">
      <c r="B454" s="18" t="s">
        <v>853</v>
      </c>
      <c r="C454" s="18" t="s">
        <v>854</v>
      </c>
      <c r="D454" s="18" t="s">
        <v>30</v>
      </c>
      <c r="E454" s="18" t="s">
        <v>477</v>
      </c>
      <c r="F454" s="19" t="s">
        <v>109</v>
      </c>
      <c r="G454" s="19" t="s">
        <v>58</v>
      </c>
      <c r="H454" s="19" t="n">
        <v>1</v>
      </c>
      <c r="I454" s="20" t="n">
        <v>0.1338</v>
      </c>
      <c r="J454" s="20" t="n">
        <v>0.1338</v>
      </c>
      <c r="K454" s="21" t="s">
        <v>59</v>
      </c>
      <c r="L454" s="21"/>
      <c r="M454" s="20" t="n">
        <f aca="false">IF(AND($K454="Yes",$G454&lt;&gt;"Vendor day rates"),$J454-0.4*$I454,0)</f>
        <v>0</v>
      </c>
      <c r="N454" s="20" t="n">
        <f aca="false">IF(OR($K454&lt;&gt;"Yes",$L454=""),0,$M454*MAX(0,7-MATCH($L454,MonthList,0))/12)</f>
        <v>0</v>
      </c>
      <c r="O454" s="20" t="n">
        <f aca="false">IF(OR($K454&lt;&gt;"Yes",$L454=""),0,$M454*IF(MATCH($L454,MonthList,0)&lt;=7,12,19-MATCH($L454,MonthList,0))/12)</f>
        <v>0</v>
      </c>
      <c r="P454" s="21" t="s">
        <v>59</v>
      </c>
      <c r="Q454" s="21"/>
      <c r="R454" s="20" t="n">
        <f aca="false">IF(AND($P454="Yes",$G454&lt;&gt;"Vendor day rates"),$J454-0.4*$I454,0)</f>
        <v>0</v>
      </c>
      <c r="S454" s="20" t="n">
        <f aca="false">IF(OR($P454&lt;&gt;"Yes",$Q454=""),0,$R454*MAX(0,7-MATCH($Q454,MonthList,0))/12)</f>
        <v>0</v>
      </c>
      <c r="T454" s="20" t="n">
        <f aca="false">IF(OR($P454&lt;&gt;"Yes",$Q454=""),0,$R454*IF(MATCH($Q454,MonthList,0)&lt;=7,12,19-MATCH($Q454,MonthList,0))/12)</f>
        <v>0</v>
      </c>
      <c r="U454" s="21" t="s">
        <v>59</v>
      </c>
      <c r="V454" s="21"/>
      <c r="W454" s="20" t="n">
        <f aca="false">IF(AND($U454="Yes",$G454&lt;&gt;"Vendor day rates"),$J454-0.4*$I454,0)</f>
        <v>0</v>
      </c>
      <c r="X454" s="20" t="n">
        <f aca="false">IF(OR($U454&lt;&gt;"Yes",$V454=""),0,$W454*MAX(0,7-MATCH($V454,MonthList,0))/12)</f>
        <v>0</v>
      </c>
      <c r="Y454" s="20" t="n">
        <f aca="false">IF(OR($U454&lt;&gt;"Yes",$V454=""),0,$W454*IF(MATCH($V454,MonthList,0)&lt;=7,12,19-MATCH($V454,MonthList,0))/12)</f>
        <v>0</v>
      </c>
    </row>
    <row r="455" customFormat="false" ht="15" hidden="false" customHeight="true" outlineLevel="0" collapsed="false">
      <c r="B455" s="22" t="s">
        <v>855</v>
      </c>
      <c r="C455" s="22" t="s">
        <v>652</v>
      </c>
      <c r="D455" s="22" t="s">
        <v>23</v>
      </c>
      <c r="E455" s="22" t="s">
        <v>414</v>
      </c>
      <c r="F455" s="23" t="s">
        <v>57</v>
      </c>
      <c r="G455" s="23" t="s">
        <v>58</v>
      </c>
      <c r="H455" s="23" t="n">
        <v>1</v>
      </c>
      <c r="I455" s="24" t="n">
        <v>0.1815</v>
      </c>
      <c r="J455" s="24" t="n">
        <v>0.1815</v>
      </c>
      <c r="K455" s="21" t="s">
        <v>59</v>
      </c>
      <c r="L455" s="21"/>
      <c r="M455" s="24" t="n">
        <f aca="false">IF(AND($K455="Yes",$G455&lt;&gt;"Vendor day rates"),$J455-0.4*$I455,0)</f>
        <v>0</v>
      </c>
      <c r="N455" s="24" t="n">
        <f aca="false">IF(OR($K455&lt;&gt;"Yes",$L455=""),0,$M455*MAX(0,7-MATCH($L455,MonthList,0))/12)</f>
        <v>0</v>
      </c>
      <c r="O455" s="24" t="n">
        <f aca="false">IF(OR($K455&lt;&gt;"Yes",$L455=""),0,$M455*IF(MATCH($L455,MonthList,0)&lt;=7,12,19-MATCH($L455,MonthList,0))/12)</f>
        <v>0</v>
      </c>
      <c r="P455" s="21" t="s">
        <v>59</v>
      </c>
      <c r="Q455" s="21"/>
      <c r="R455" s="24" t="n">
        <f aca="false">IF(AND($P455="Yes",$G455&lt;&gt;"Vendor day rates"),$J455-0.4*$I455,0)</f>
        <v>0</v>
      </c>
      <c r="S455" s="24" t="n">
        <f aca="false">IF(OR($P455&lt;&gt;"Yes",$Q455=""),0,$R455*MAX(0,7-MATCH($Q455,MonthList,0))/12)</f>
        <v>0</v>
      </c>
      <c r="T455" s="24" t="n">
        <f aca="false">IF(OR($P455&lt;&gt;"Yes",$Q455=""),0,$R455*IF(MATCH($Q455,MonthList,0)&lt;=7,12,19-MATCH($Q455,MonthList,0))/12)</f>
        <v>0</v>
      </c>
      <c r="U455" s="21" t="s">
        <v>59</v>
      </c>
      <c r="V455" s="21"/>
      <c r="W455" s="24" t="n">
        <f aca="false">IF(AND($U455="Yes",$G455&lt;&gt;"Vendor day rates"),$J455-0.4*$I455,0)</f>
        <v>0</v>
      </c>
      <c r="X455" s="24" t="n">
        <f aca="false">IF(OR($U455&lt;&gt;"Yes",$V455=""),0,$W455*MAX(0,7-MATCH($V455,MonthList,0))/12)</f>
        <v>0</v>
      </c>
      <c r="Y455" s="24" t="n">
        <f aca="false">IF(OR($U455&lt;&gt;"Yes",$V455=""),0,$W455*IF(MATCH($V455,MonthList,0)&lt;=7,12,19-MATCH($V455,MonthList,0))/12)</f>
        <v>0</v>
      </c>
    </row>
    <row r="456" customFormat="false" ht="15" hidden="false" customHeight="true" outlineLevel="0" collapsed="false">
      <c r="B456" s="18" t="s">
        <v>856</v>
      </c>
      <c r="C456" s="18" t="s">
        <v>597</v>
      </c>
      <c r="D456" s="18" t="s">
        <v>25</v>
      </c>
      <c r="E456" s="18" t="s">
        <v>418</v>
      </c>
      <c r="F456" s="19" t="s">
        <v>57</v>
      </c>
      <c r="G456" s="19" t="s">
        <v>58</v>
      </c>
      <c r="H456" s="19" t="n">
        <v>1</v>
      </c>
      <c r="I456" s="20" t="n">
        <v>0.1671</v>
      </c>
      <c r="J456" s="20" t="n">
        <v>0.1671</v>
      </c>
      <c r="K456" s="21" t="s">
        <v>59</v>
      </c>
      <c r="L456" s="21"/>
      <c r="M456" s="20" t="n">
        <f aca="false">IF(AND($K456="Yes",$G456&lt;&gt;"Vendor day rates"),$J456-0.4*$I456,0)</f>
        <v>0</v>
      </c>
      <c r="N456" s="20" t="n">
        <f aca="false">IF(OR($K456&lt;&gt;"Yes",$L456=""),0,$M456*MAX(0,7-MATCH($L456,MonthList,0))/12)</f>
        <v>0</v>
      </c>
      <c r="O456" s="20" t="n">
        <f aca="false">IF(OR($K456&lt;&gt;"Yes",$L456=""),0,$M456*IF(MATCH($L456,MonthList,0)&lt;=7,12,19-MATCH($L456,MonthList,0))/12)</f>
        <v>0</v>
      </c>
      <c r="P456" s="21" t="s">
        <v>59</v>
      </c>
      <c r="Q456" s="21"/>
      <c r="R456" s="20" t="n">
        <f aca="false">IF(AND($P456="Yes",$G456&lt;&gt;"Vendor day rates"),$J456-0.4*$I456,0)</f>
        <v>0</v>
      </c>
      <c r="S456" s="20" t="n">
        <f aca="false">IF(OR($P456&lt;&gt;"Yes",$Q456=""),0,$R456*MAX(0,7-MATCH($Q456,MonthList,0))/12)</f>
        <v>0</v>
      </c>
      <c r="T456" s="20" t="n">
        <f aca="false">IF(OR($P456&lt;&gt;"Yes",$Q456=""),0,$R456*IF(MATCH($Q456,MonthList,0)&lt;=7,12,19-MATCH($Q456,MonthList,0))/12)</f>
        <v>0</v>
      </c>
      <c r="U456" s="21" t="s">
        <v>59</v>
      </c>
      <c r="V456" s="21"/>
      <c r="W456" s="20" t="n">
        <f aca="false">IF(AND($U456="Yes",$G456&lt;&gt;"Vendor day rates"),$J456-0.4*$I456,0)</f>
        <v>0</v>
      </c>
      <c r="X456" s="20" t="n">
        <f aca="false">IF(OR($U456&lt;&gt;"Yes",$V456=""),0,$W456*MAX(0,7-MATCH($V456,MonthList,0))/12)</f>
        <v>0</v>
      </c>
      <c r="Y456" s="20" t="n">
        <f aca="false">IF(OR($U456&lt;&gt;"Yes",$V456=""),0,$W456*IF(MATCH($V456,MonthList,0)&lt;=7,12,19-MATCH($V456,MonthList,0))/12)</f>
        <v>0</v>
      </c>
    </row>
    <row r="457" customFormat="false" ht="15" hidden="false" customHeight="true" outlineLevel="0" collapsed="false">
      <c r="B457" s="22" t="s">
        <v>857</v>
      </c>
      <c r="C457" s="22" t="s">
        <v>117</v>
      </c>
      <c r="D457" s="22" t="s">
        <v>25</v>
      </c>
      <c r="E457" s="22" t="s">
        <v>418</v>
      </c>
      <c r="F457" s="23" t="s">
        <v>57</v>
      </c>
      <c r="G457" s="23" t="s">
        <v>292</v>
      </c>
      <c r="H457" s="23" t="n">
        <v>1</v>
      </c>
      <c r="I457" s="24" t="n">
        <v>0.1705</v>
      </c>
      <c r="J457" s="24" t="n">
        <v>0</v>
      </c>
      <c r="K457" s="21" t="s">
        <v>59</v>
      </c>
      <c r="L457" s="21"/>
      <c r="M457" s="24" t="n">
        <f aca="false">IF(AND($K457="Yes",$G457&lt;&gt;"Vendor day rates"),$J457-0.4*$I457,0)</f>
        <v>0</v>
      </c>
      <c r="N457" s="24" t="n">
        <f aca="false">IF(OR($K457&lt;&gt;"Yes",$L457=""),0,$M457*MAX(0,7-MATCH($L457,MonthList,0))/12)</f>
        <v>0</v>
      </c>
      <c r="O457" s="24" t="n">
        <f aca="false">IF(OR($K457&lt;&gt;"Yes",$L457=""),0,$M457*IF(MATCH($L457,MonthList,0)&lt;=7,12,19-MATCH($L457,MonthList,0))/12)</f>
        <v>0</v>
      </c>
      <c r="P457" s="21" t="s">
        <v>59</v>
      </c>
      <c r="Q457" s="21"/>
      <c r="R457" s="24" t="n">
        <f aca="false">IF(AND($P457="Yes",$G457&lt;&gt;"Vendor day rates"),$J457-0.4*$I457,0)</f>
        <v>0</v>
      </c>
      <c r="S457" s="24" t="n">
        <f aca="false">IF(OR($P457&lt;&gt;"Yes",$Q457=""),0,$R457*MAX(0,7-MATCH($Q457,MonthList,0))/12)</f>
        <v>0</v>
      </c>
      <c r="T457" s="24" t="n">
        <f aca="false">IF(OR($P457&lt;&gt;"Yes",$Q457=""),0,$R457*IF(MATCH($Q457,MonthList,0)&lt;=7,12,19-MATCH($Q457,MonthList,0))/12)</f>
        <v>0</v>
      </c>
      <c r="U457" s="21" t="s">
        <v>59</v>
      </c>
      <c r="V457" s="21"/>
      <c r="W457" s="24" t="n">
        <f aca="false">IF(AND($U457="Yes",$G457&lt;&gt;"Vendor day rates"),$J457-0.4*$I457,0)</f>
        <v>0</v>
      </c>
      <c r="X457" s="24" t="n">
        <f aca="false">IF(OR($U457&lt;&gt;"Yes",$V457=""),0,$W457*MAX(0,7-MATCH($V457,MonthList,0))/12)</f>
        <v>0</v>
      </c>
      <c r="Y457" s="24" t="n">
        <f aca="false">IF(OR($U457&lt;&gt;"Yes",$V457=""),0,$W457*IF(MATCH($V457,MonthList,0)&lt;=7,12,19-MATCH($V457,MonthList,0))/12)</f>
        <v>0</v>
      </c>
    </row>
    <row r="458" customFormat="false" ht="15" hidden="false" customHeight="true" outlineLevel="0" collapsed="false">
      <c r="B458" s="18" t="s">
        <v>858</v>
      </c>
      <c r="C458" s="18" t="s">
        <v>859</v>
      </c>
      <c r="D458" s="18" t="s">
        <v>26</v>
      </c>
      <c r="E458" s="18" t="s">
        <v>160</v>
      </c>
      <c r="F458" s="19" t="s">
        <v>57</v>
      </c>
      <c r="G458" s="19" t="s">
        <v>118</v>
      </c>
      <c r="H458" s="19" t="n">
        <v>1</v>
      </c>
      <c r="I458" s="20" t="n">
        <v>0.1731</v>
      </c>
      <c r="J458" s="20" t="n">
        <v>0.0692</v>
      </c>
      <c r="K458" s="21" t="s">
        <v>59</v>
      </c>
      <c r="L458" s="21"/>
      <c r="M458" s="20" t="n">
        <f aca="false">IF(AND($K458="Yes",$G458&lt;&gt;"Vendor day rates"),$J458-0.4*$I458,0)</f>
        <v>0</v>
      </c>
      <c r="N458" s="20" t="n">
        <f aca="false">IF(OR($K458&lt;&gt;"Yes",$L458=""),0,$M458*MAX(0,7-MATCH($L458,MonthList,0))/12)</f>
        <v>0</v>
      </c>
      <c r="O458" s="20" t="n">
        <f aca="false">IF(OR($K458&lt;&gt;"Yes",$L458=""),0,$M458*IF(MATCH($L458,MonthList,0)&lt;=7,12,19-MATCH($L458,MonthList,0))/12)</f>
        <v>0</v>
      </c>
      <c r="P458" s="21" t="s">
        <v>59</v>
      </c>
      <c r="Q458" s="21"/>
      <c r="R458" s="20" t="n">
        <f aca="false">IF(AND($P458="Yes",$G458&lt;&gt;"Vendor day rates"),$J458-0.4*$I458,0)</f>
        <v>0</v>
      </c>
      <c r="S458" s="20" t="n">
        <f aca="false">IF(OR($P458&lt;&gt;"Yes",$Q458=""),0,$R458*MAX(0,7-MATCH($Q458,MonthList,0))/12)</f>
        <v>0</v>
      </c>
      <c r="T458" s="20" t="n">
        <f aca="false">IF(OR($P458&lt;&gt;"Yes",$Q458=""),0,$R458*IF(MATCH($Q458,MonthList,0)&lt;=7,12,19-MATCH($Q458,MonthList,0))/12)</f>
        <v>0</v>
      </c>
      <c r="U458" s="21" t="s">
        <v>59</v>
      </c>
      <c r="V458" s="21"/>
      <c r="W458" s="20" t="n">
        <f aca="false">IF(AND($U458="Yes",$G458&lt;&gt;"Vendor day rates"),$J458-0.4*$I458,0)</f>
        <v>0</v>
      </c>
      <c r="X458" s="20" t="n">
        <f aca="false">IF(OR($U458&lt;&gt;"Yes",$V458=""),0,$W458*MAX(0,7-MATCH($V458,MonthList,0))/12)</f>
        <v>0</v>
      </c>
      <c r="Y458" s="20" t="n">
        <f aca="false">IF(OR($U458&lt;&gt;"Yes",$V458=""),0,$W458*IF(MATCH($V458,MonthList,0)&lt;=7,12,19-MATCH($V458,MonthList,0))/12)</f>
        <v>0</v>
      </c>
    </row>
    <row r="459" customFormat="false" ht="15" hidden="false" customHeight="true" outlineLevel="0" collapsed="false">
      <c r="B459" s="22" t="s">
        <v>860</v>
      </c>
      <c r="C459" s="22" t="s">
        <v>861</v>
      </c>
      <c r="D459" s="22" t="s">
        <v>31</v>
      </c>
      <c r="E459" s="22" t="s">
        <v>516</v>
      </c>
      <c r="F459" s="23" t="s">
        <v>109</v>
      </c>
      <c r="G459" s="23" t="s">
        <v>58</v>
      </c>
      <c r="H459" s="23" t="n">
        <v>1</v>
      </c>
      <c r="I459" s="24" t="n">
        <v>0.1408</v>
      </c>
      <c r="J459" s="24" t="n">
        <v>0.1408</v>
      </c>
      <c r="K459" s="21" t="s">
        <v>59</v>
      </c>
      <c r="L459" s="21"/>
      <c r="M459" s="24" t="n">
        <f aca="false">IF(AND($K459="Yes",$G459&lt;&gt;"Vendor day rates"),$J459-0.4*$I459,0)</f>
        <v>0</v>
      </c>
      <c r="N459" s="24" t="n">
        <f aca="false">IF(OR($K459&lt;&gt;"Yes",$L459=""),0,$M459*MAX(0,7-MATCH($L459,MonthList,0))/12)</f>
        <v>0</v>
      </c>
      <c r="O459" s="24" t="n">
        <f aca="false">IF(OR($K459&lt;&gt;"Yes",$L459=""),0,$M459*IF(MATCH($L459,MonthList,0)&lt;=7,12,19-MATCH($L459,MonthList,0))/12)</f>
        <v>0</v>
      </c>
      <c r="P459" s="21" t="s">
        <v>59</v>
      </c>
      <c r="Q459" s="21"/>
      <c r="R459" s="24" t="n">
        <f aca="false">IF(AND($P459="Yes",$G459&lt;&gt;"Vendor day rates"),$J459-0.4*$I459,0)</f>
        <v>0</v>
      </c>
      <c r="S459" s="24" t="n">
        <f aca="false">IF(OR($P459&lt;&gt;"Yes",$Q459=""),0,$R459*MAX(0,7-MATCH($Q459,MonthList,0))/12)</f>
        <v>0</v>
      </c>
      <c r="T459" s="24" t="n">
        <f aca="false">IF(OR($P459&lt;&gt;"Yes",$Q459=""),0,$R459*IF(MATCH($Q459,MonthList,0)&lt;=7,12,19-MATCH($Q459,MonthList,0))/12)</f>
        <v>0</v>
      </c>
      <c r="U459" s="21" t="s">
        <v>59</v>
      </c>
      <c r="V459" s="21"/>
      <c r="W459" s="24" t="n">
        <f aca="false">IF(AND($U459="Yes",$G459&lt;&gt;"Vendor day rates"),$J459-0.4*$I459,0)</f>
        <v>0</v>
      </c>
      <c r="X459" s="24" t="n">
        <f aca="false">IF(OR($U459&lt;&gt;"Yes",$V459=""),0,$W459*MAX(0,7-MATCH($V459,MonthList,0))/12)</f>
        <v>0</v>
      </c>
      <c r="Y459" s="24" t="n">
        <f aca="false">IF(OR($U459&lt;&gt;"Yes",$V459=""),0,$W459*IF(MATCH($V459,MonthList,0)&lt;=7,12,19-MATCH($V459,MonthList,0))/12)</f>
        <v>0</v>
      </c>
    </row>
    <row r="460" customFormat="false" ht="15" hidden="false" customHeight="true" outlineLevel="0" collapsed="false">
      <c r="B460" s="18" t="s">
        <v>862</v>
      </c>
      <c r="C460" s="18" t="s">
        <v>661</v>
      </c>
      <c r="D460" s="18" t="s">
        <v>31</v>
      </c>
      <c r="E460" s="18" t="s">
        <v>516</v>
      </c>
      <c r="F460" s="19" t="s">
        <v>109</v>
      </c>
      <c r="G460" s="19" t="s">
        <v>58</v>
      </c>
      <c r="H460" s="19" t="n">
        <v>1</v>
      </c>
      <c r="I460" s="20" t="n">
        <v>0.1557</v>
      </c>
      <c r="J460" s="20" t="n">
        <v>0.1557</v>
      </c>
      <c r="K460" s="21" t="s">
        <v>59</v>
      </c>
      <c r="L460" s="21"/>
      <c r="M460" s="20" t="n">
        <f aca="false">IF(AND($K460="Yes",$G460&lt;&gt;"Vendor day rates"),$J460-0.4*$I460,0)</f>
        <v>0</v>
      </c>
      <c r="N460" s="20" t="n">
        <f aca="false">IF(OR($K460&lt;&gt;"Yes",$L460=""),0,$M460*MAX(0,7-MATCH($L460,MonthList,0))/12)</f>
        <v>0</v>
      </c>
      <c r="O460" s="20" t="n">
        <f aca="false">IF(OR($K460&lt;&gt;"Yes",$L460=""),0,$M460*IF(MATCH($L460,MonthList,0)&lt;=7,12,19-MATCH($L460,MonthList,0))/12)</f>
        <v>0</v>
      </c>
      <c r="P460" s="21" t="s">
        <v>59</v>
      </c>
      <c r="Q460" s="21"/>
      <c r="R460" s="20" t="n">
        <f aca="false">IF(AND($P460="Yes",$G460&lt;&gt;"Vendor day rates"),$J460-0.4*$I460,0)</f>
        <v>0</v>
      </c>
      <c r="S460" s="20" t="n">
        <f aca="false">IF(OR($P460&lt;&gt;"Yes",$Q460=""),0,$R460*MAX(0,7-MATCH($Q460,MonthList,0))/12)</f>
        <v>0</v>
      </c>
      <c r="T460" s="20" t="n">
        <f aca="false">IF(OR($P460&lt;&gt;"Yes",$Q460=""),0,$R460*IF(MATCH($Q460,MonthList,0)&lt;=7,12,19-MATCH($Q460,MonthList,0))/12)</f>
        <v>0</v>
      </c>
      <c r="U460" s="21" t="s">
        <v>59</v>
      </c>
      <c r="V460" s="21"/>
      <c r="W460" s="20" t="n">
        <f aca="false">IF(AND($U460="Yes",$G460&lt;&gt;"Vendor day rates"),$J460-0.4*$I460,0)</f>
        <v>0</v>
      </c>
      <c r="X460" s="20" t="n">
        <f aca="false">IF(OR($U460&lt;&gt;"Yes",$V460=""),0,$W460*MAX(0,7-MATCH($V460,MonthList,0))/12)</f>
        <v>0</v>
      </c>
      <c r="Y460" s="20" t="n">
        <f aca="false">IF(OR($U460&lt;&gt;"Yes",$V460=""),0,$W460*IF(MATCH($V460,MonthList,0)&lt;=7,12,19-MATCH($V460,MonthList,0))/12)</f>
        <v>0</v>
      </c>
    </row>
    <row r="461" customFormat="false" ht="15" hidden="false" customHeight="true" outlineLevel="0" collapsed="false">
      <c r="B461" s="22" t="s">
        <v>863</v>
      </c>
      <c r="C461" s="22" t="s">
        <v>588</v>
      </c>
      <c r="D461" s="22" t="s">
        <v>31</v>
      </c>
      <c r="E461" s="22" t="s">
        <v>516</v>
      </c>
      <c r="F461" s="23" t="s">
        <v>109</v>
      </c>
      <c r="G461" s="23" t="s">
        <v>58</v>
      </c>
      <c r="H461" s="23" t="n">
        <v>1</v>
      </c>
      <c r="I461" s="24" t="n">
        <v>0.1446</v>
      </c>
      <c r="J461" s="24" t="n">
        <v>0.1446</v>
      </c>
      <c r="K461" s="21" t="s">
        <v>59</v>
      </c>
      <c r="L461" s="21"/>
      <c r="M461" s="24" t="n">
        <f aca="false">IF(AND($K461="Yes",$G461&lt;&gt;"Vendor day rates"),$J461-0.4*$I461,0)</f>
        <v>0</v>
      </c>
      <c r="N461" s="24" t="n">
        <f aca="false">IF(OR($K461&lt;&gt;"Yes",$L461=""),0,$M461*MAX(0,7-MATCH($L461,MonthList,0))/12)</f>
        <v>0</v>
      </c>
      <c r="O461" s="24" t="n">
        <f aca="false">IF(OR($K461&lt;&gt;"Yes",$L461=""),0,$M461*IF(MATCH($L461,MonthList,0)&lt;=7,12,19-MATCH($L461,MonthList,0))/12)</f>
        <v>0</v>
      </c>
      <c r="P461" s="21" t="s">
        <v>59</v>
      </c>
      <c r="Q461" s="21"/>
      <c r="R461" s="24" t="n">
        <f aca="false">IF(AND($P461="Yes",$G461&lt;&gt;"Vendor day rates"),$J461-0.4*$I461,0)</f>
        <v>0</v>
      </c>
      <c r="S461" s="24" t="n">
        <f aca="false">IF(OR($P461&lt;&gt;"Yes",$Q461=""),0,$R461*MAX(0,7-MATCH($Q461,MonthList,0))/12)</f>
        <v>0</v>
      </c>
      <c r="T461" s="24" t="n">
        <f aca="false">IF(OR($P461&lt;&gt;"Yes",$Q461=""),0,$R461*IF(MATCH($Q461,MonthList,0)&lt;=7,12,19-MATCH($Q461,MonthList,0))/12)</f>
        <v>0</v>
      </c>
      <c r="U461" s="21" t="s">
        <v>59</v>
      </c>
      <c r="V461" s="21"/>
      <c r="W461" s="24" t="n">
        <f aca="false">IF(AND($U461="Yes",$G461&lt;&gt;"Vendor day rates"),$J461-0.4*$I461,0)</f>
        <v>0</v>
      </c>
      <c r="X461" s="24" t="n">
        <f aca="false">IF(OR($U461&lt;&gt;"Yes",$V461=""),0,$W461*MAX(0,7-MATCH($V461,MonthList,0))/12)</f>
        <v>0</v>
      </c>
      <c r="Y461" s="24" t="n">
        <f aca="false">IF(OR($U461&lt;&gt;"Yes",$V461=""),0,$W461*IF(MATCH($V461,MonthList,0)&lt;=7,12,19-MATCH($V461,MonthList,0))/12)</f>
        <v>0</v>
      </c>
    </row>
    <row r="462" customFormat="false" ht="15" hidden="false" customHeight="true" outlineLevel="0" collapsed="false">
      <c r="B462" s="18" t="s">
        <v>864</v>
      </c>
      <c r="C462" s="18" t="s">
        <v>588</v>
      </c>
      <c r="D462" s="18" t="s">
        <v>31</v>
      </c>
      <c r="E462" s="18" t="s">
        <v>516</v>
      </c>
      <c r="F462" s="19" t="s">
        <v>109</v>
      </c>
      <c r="G462" s="19" t="s">
        <v>58</v>
      </c>
      <c r="H462" s="19" t="n">
        <v>1</v>
      </c>
      <c r="I462" s="20" t="n">
        <v>0.0918</v>
      </c>
      <c r="J462" s="20" t="n">
        <v>0.0918</v>
      </c>
      <c r="K462" s="21" t="s">
        <v>59</v>
      </c>
      <c r="L462" s="21"/>
      <c r="M462" s="20" t="n">
        <f aca="false">IF(AND($K462="Yes",$G462&lt;&gt;"Vendor day rates"),$J462-0.4*$I462,0)</f>
        <v>0</v>
      </c>
      <c r="N462" s="20" t="n">
        <f aca="false">IF(OR($K462&lt;&gt;"Yes",$L462=""),0,$M462*MAX(0,7-MATCH($L462,MonthList,0))/12)</f>
        <v>0</v>
      </c>
      <c r="O462" s="20" t="n">
        <f aca="false">IF(OR($K462&lt;&gt;"Yes",$L462=""),0,$M462*IF(MATCH($L462,MonthList,0)&lt;=7,12,19-MATCH($L462,MonthList,0))/12)</f>
        <v>0</v>
      </c>
      <c r="P462" s="21" t="s">
        <v>59</v>
      </c>
      <c r="Q462" s="21"/>
      <c r="R462" s="20" t="n">
        <f aca="false">IF(AND($P462="Yes",$G462&lt;&gt;"Vendor day rates"),$J462-0.4*$I462,0)</f>
        <v>0</v>
      </c>
      <c r="S462" s="20" t="n">
        <f aca="false">IF(OR($P462&lt;&gt;"Yes",$Q462=""),0,$R462*MAX(0,7-MATCH($Q462,MonthList,0))/12)</f>
        <v>0</v>
      </c>
      <c r="T462" s="20" t="n">
        <f aca="false">IF(OR($P462&lt;&gt;"Yes",$Q462=""),0,$R462*IF(MATCH($Q462,MonthList,0)&lt;=7,12,19-MATCH($Q462,MonthList,0))/12)</f>
        <v>0</v>
      </c>
      <c r="U462" s="21" t="s">
        <v>59</v>
      </c>
      <c r="V462" s="21"/>
      <c r="W462" s="20" t="n">
        <f aca="false">IF(AND($U462="Yes",$G462&lt;&gt;"Vendor day rates"),$J462-0.4*$I462,0)</f>
        <v>0</v>
      </c>
      <c r="X462" s="20" t="n">
        <f aca="false">IF(OR($U462&lt;&gt;"Yes",$V462=""),0,$W462*MAX(0,7-MATCH($V462,MonthList,0))/12)</f>
        <v>0</v>
      </c>
      <c r="Y462" s="20" t="n">
        <f aca="false">IF(OR($U462&lt;&gt;"Yes",$V462=""),0,$W462*IF(MATCH($V462,MonthList,0)&lt;=7,12,19-MATCH($V462,MonthList,0))/12)</f>
        <v>0</v>
      </c>
    </row>
    <row r="463" customFormat="false" ht="15" hidden="false" customHeight="true" outlineLevel="0" collapsed="false">
      <c r="B463" s="22" t="s">
        <v>865</v>
      </c>
      <c r="C463" s="22" t="s">
        <v>805</v>
      </c>
      <c r="D463" s="22" t="s">
        <v>26</v>
      </c>
      <c r="E463" s="22" t="s">
        <v>160</v>
      </c>
      <c r="F463" s="23" t="s">
        <v>57</v>
      </c>
      <c r="G463" s="23" t="s">
        <v>58</v>
      </c>
      <c r="H463" s="23" t="n">
        <v>1</v>
      </c>
      <c r="I463" s="24" t="n">
        <v>0.1621</v>
      </c>
      <c r="J463" s="24" t="n">
        <v>0.1621</v>
      </c>
      <c r="K463" s="21" t="s">
        <v>59</v>
      </c>
      <c r="L463" s="21"/>
      <c r="M463" s="24" t="n">
        <f aca="false">IF(AND($K463="Yes",$G463&lt;&gt;"Vendor day rates"),$J463-0.4*$I463,0)</f>
        <v>0</v>
      </c>
      <c r="N463" s="24" t="n">
        <f aca="false">IF(OR($K463&lt;&gt;"Yes",$L463=""),0,$M463*MAX(0,7-MATCH($L463,MonthList,0))/12)</f>
        <v>0</v>
      </c>
      <c r="O463" s="24" t="n">
        <f aca="false">IF(OR($K463&lt;&gt;"Yes",$L463=""),0,$M463*IF(MATCH($L463,MonthList,0)&lt;=7,12,19-MATCH($L463,MonthList,0))/12)</f>
        <v>0</v>
      </c>
      <c r="P463" s="21" t="s">
        <v>59</v>
      </c>
      <c r="Q463" s="21"/>
      <c r="R463" s="24" t="n">
        <f aca="false">IF(AND($P463="Yes",$G463&lt;&gt;"Vendor day rates"),$J463-0.4*$I463,0)</f>
        <v>0</v>
      </c>
      <c r="S463" s="24" t="n">
        <f aca="false">IF(OR($P463&lt;&gt;"Yes",$Q463=""),0,$R463*MAX(0,7-MATCH($Q463,MonthList,0))/12)</f>
        <v>0</v>
      </c>
      <c r="T463" s="24" t="n">
        <f aca="false">IF(OR($P463&lt;&gt;"Yes",$Q463=""),0,$R463*IF(MATCH($Q463,MonthList,0)&lt;=7,12,19-MATCH($Q463,MonthList,0))/12)</f>
        <v>0</v>
      </c>
      <c r="U463" s="21" t="s">
        <v>59</v>
      </c>
      <c r="V463" s="21"/>
      <c r="W463" s="24" t="n">
        <f aca="false">IF(AND($U463="Yes",$G463&lt;&gt;"Vendor day rates"),$J463-0.4*$I463,0)</f>
        <v>0</v>
      </c>
      <c r="X463" s="24" t="n">
        <f aca="false">IF(OR($U463&lt;&gt;"Yes",$V463=""),0,$W463*MAX(0,7-MATCH($V463,MonthList,0))/12)</f>
        <v>0</v>
      </c>
      <c r="Y463" s="24" t="n">
        <f aca="false">IF(OR($U463&lt;&gt;"Yes",$V463=""),0,$W463*IF(MATCH($V463,MonthList,0)&lt;=7,12,19-MATCH($V463,MonthList,0))/12)</f>
        <v>0</v>
      </c>
    </row>
    <row r="464" customFormat="false" ht="15" hidden="false" customHeight="true" outlineLevel="0" collapsed="false">
      <c r="B464" s="18" t="s">
        <v>866</v>
      </c>
      <c r="C464" s="18" t="s">
        <v>805</v>
      </c>
      <c r="D464" s="18" t="s">
        <v>26</v>
      </c>
      <c r="E464" s="18" t="s">
        <v>160</v>
      </c>
      <c r="F464" s="19" t="s">
        <v>57</v>
      </c>
      <c r="G464" s="19" t="s">
        <v>118</v>
      </c>
      <c r="H464" s="19" t="n">
        <v>1</v>
      </c>
      <c r="I464" s="20" t="n">
        <v>0.1469</v>
      </c>
      <c r="J464" s="20" t="n">
        <v>0.0588</v>
      </c>
      <c r="K464" s="21" t="s">
        <v>59</v>
      </c>
      <c r="L464" s="21"/>
      <c r="M464" s="20" t="n">
        <f aca="false">IF(AND($K464="Yes",$G464&lt;&gt;"Vendor day rates"),$J464-0.4*$I464,0)</f>
        <v>0</v>
      </c>
      <c r="N464" s="20" t="n">
        <f aca="false">IF(OR($K464&lt;&gt;"Yes",$L464=""),0,$M464*MAX(0,7-MATCH($L464,MonthList,0))/12)</f>
        <v>0</v>
      </c>
      <c r="O464" s="20" t="n">
        <f aca="false">IF(OR($K464&lt;&gt;"Yes",$L464=""),0,$M464*IF(MATCH($L464,MonthList,0)&lt;=7,12,19-MATCH($L464,MonthList,0))/12)</f>
        <v>0</v>
      </c>
      <c r="P464" s="21" t="s">
        <v>59</v>
      </c>
      <c r="Q464" s="21"/>
      <c r="R464" s="20" t="n">
        <f aca="false">IF(AND($P464="Yes",$G464&lt;&gt;"Vendor day rates"),$J464-0.4*$I464,0)</f>
        <v>0</v>
      </c>
      <c r="S464" s="20" t="n">
        <f aca="false">IF(OR($P464&lt;&gt;"Yes",$Q464=""),0,$R464*MAX(0,7-MATCH($Q464,MonthList,0))/12)</f>
        <v>0</v>
      </c>
      <c r="T464" s="20" t="n">
        <f aca="false">IF(OR($P464&lt;&gt;"Yes",$Q464=""),0,$R464*IF(MATCH($Q464,MonthList,0)&lt;=7,12,19-MATCH($Q464,MonthList,0))/12)</f>
        <v>0</v>
      </c>
      <c r="U464" s="21" t="s">
        <v>59</v>
      </c>
      <c r="V464" s="21"/>
      <c r="W464" s="20" t="n">
        <f aca="false">IF(AND($U464="Yes",$G464&lt;&gt;"Vendor day rates"),$J464-0.4*$I464,0)</f>
        <v>0</v>
      </c>
      <c r="X464" s="20" t="n">
        <f aca="false">IF(OR($U464&lt;&gt;"Yes",$V464=""),0,$W464*MAX(0,7-MATCH($V464,MonthList,0))/12)</f>
        <v>0</v>
      </c>
      <c r="Y464" s="20" t="n">
        <f aca="false">IF(OR($U464&lt;&gt;"Yes",$V464=""),0,$W464*IF(MATCH($V464,MonthList,0)&lt;=7,12,19-MATCH($V464,MonthList,0))/12)</f>
        <v>0</v>
      </c>
    </row>
    <row r="465" customFormat="false" ht="15" hidden="false" customHeight="true" outlineLevel="0" collapsed="false">
      <c r="B465" s="22" t="s">
        <v>867</v>
      </c>
      <c r="C465" s="22" t="s">
        <v>868</v>
      </c>
      <c r="D465" s="22" t="s">
        <v>30</v>
      </c>
      <c r="E465" s="22" t="s">
        <v>440</v>
      </c>
      <c r="F465" s="23" t="s">
        <v>109</v>
      </c>
      <c r="G465" s="23" t="s">
        <v>58</v>
      </c>
      <c r="H465" s="23" t="n">
        <v>1</v>
      </c>
      <c r="I465" s="24" t="n">
        <v>0.1359</v>
      </c>
      <c r="J465" s="24" t="n">
        <v>0.1359</v>
      </c>
      <c r="K465" s="21" t="s">
        <v>59</v>
      </c>
      <c r="L465" s="21"/>
      <c r="M465" s="24" t="n">
        <f aca="false">IF(AND($K465="Yes",$G465&lt;&gt;"Vendor day rates"),$J465-0.4*$I465,0)</f>
        <v>0</v>
      </c>
      <c r="N465" s="24" t="n">
        <f aca="false">IF(OR($K465&lt;&gt;"Yes",$L465=""),0,$M465*MAX(0,7-MATCH($L465,MonthList,0))/12)</f>
        <v>0</v>
      </c>
      <c r="O465" s="24" t="n">
        <f aca="false">IF(OR($K465&lt;&gt;"Yes",$L465=""),0,$M465*IF(MATCH($L465,MonthList,0)&lt;=7,12,19-MATCH($L465,MonthList,0))/12)</f>
        <v>0</v>
      </c>
      <c r="P465" s="21" t="s">
        <v>59</v>
      </c>
      <c r="Q465" s="21"/>
      <c r="R465" s="24" t="n">
        <f aca="false">IF(AND($P465="Yes",$G465&lt;&gt;"Vendor day rates"),$J465-0.4*$I465,0)</f>
        <v>0</v>
      </c>
      <c r="S465" s="24" t="n">
        <f aca="false">IF(OR($P465&lt;&gt;"Yes",$Q465=""),0,$R465*MAX(0,7-MATCH($Q465,MonthList,0))/12)</f>
        <v>0</v>
      </c>
      <c r="T465" s="24" t="n">
        <f aca="false">IF(OR($P465&lt;&gt;"Yes",$Q465=""),0,$R465*IF(MATCH($Q465,MonthList,0)&lt;=7,12,19-MATCH($Q465,MonthList,0))/12)</f>
        <v>0</v>
      </c>
      <c r="U465" s="21" t="s">
        <v>59</v>
      </c>
      <c r="V465" s="21"/>
      <c r="W465" s="24" t="n">
        <f aca="false">IF(AND($U465="Yes",$G465&lt;&gt;"Vendor day rates"),$J465-0.4*$I465,0)</f>
        <v>0</v>
      </c>
      <c r="X465" s="24" t="n">
        <f aca="false">IF(OR($U465&lt;&gt;"Yes",$V465=""),0,$W465*MAX(0,7-MATCH($V465,MonthList,0))/12)</f>
        <v>0</v>
      </c>
      <c r="Y465" s="24" t="n">
        <f aca="false">IF(OR($U465&lt;&gt;"Yes",$V465=""),0,$W465*IF(MATCH($V465,MonthList,0)&lt;=7,12,19-MATCH($V465,MonthList,0))/12)</f>
        <v>0</v>
      </c>
    </row>
    <row r="466" customFormat="false" ht="15" hidden="false" customHeight="true" outlineLevel="0" collapsed="false">
      <c r="B466" s="18" t="s">
        <v>869</v>
      </c>
      <c r="C466" s="18" t="s">
        <v>868</v>
      </c>
      <c r="D466" s="18" t="s">
        <v>30</v>
      </c>
      <c r="E466" s="18" t="s">
        <v>440</v>
      </c>
      <c r="F466" s="19" t="s">
        <v>109</v>
      </c>
      <c r="G466" s="19" t="s">
        <v>58</v>
      </c>
      <c r="H466" s="19" t="n">
        <v>1</v>
      </c>
      <c r="I466" s="20" t="n">
        <v>0.1437</v>
      </c>
      <c r="J466" s="20" t="n">
        <v>0.1437</v>
      </c>
      <c r="K466" s="21" t="s">
        <v>59</v>
      </c>
      <c r="L466" s="21"/>
      <c r="M466" s="20" t="n">
        <f aca="false">IF(AND($K466="Yes",$G466&lt;&gt;"Vendor day rates"),$J466-0.4*$I466,0)</f>
        <v>0</v>
      </c>
      <c r="N466" s="20" t="n">
        <f aca="false">IF(OR($K466&lt;&gt;"Yes",$L466=""),0,$M466*MAX(0,7-MATCH($L466,MonthList,0))/12)</f>
        <v>0</v>
      </c>
      <c r="O466" s="20" t="n">
        <f aca="false">IF(OR($K466&lt;&gt;"Yes",$L466=""),0,$M466*IF(MATCH($L466,MonthList,0)&lt;=7,12,19-MATCH($L466,MonthList,0))/12)</f>
        <v>0</v>
      </c>
      <c r="P466" s="21" t="s">
        <v>59</v>
      </c>
      <c r="Q466" s="21"/>
      <c r="R466" s="20" t="n">
        <f aca="false">IF(AND($P466="Yes",$G466&lt;&gt;"Vendor day rates"),$J466-0.4*$I466,0)</f>
        <v>0</v>
      </c>
      <c r="S466" s="20" t="n">
        <f aca="false">IF(OR($P466&lt;&gt;"Yes",$Q466=""),0,$R466*MAX(0,7-MATCH($Q466,MonthList,0))/12)</f>
        <v>0</v>
      </c>
      <c r="T466" s="20" t="n">
        <f aca="false">IF(OR($P466&lt;&gt;"Yes",$Q466=""),0,$R466*IF(MATCH($Q466,MonthList,0)&lt;=7,12,19-MATCH($Q466,MonthList,0))/12)</f>
        <v>0</v>
      </c>
      <c r="U466" s="21" t="s">
        <v>59</v>
      </c>
      <c r="V466" s="21"/>
      <c r="W466" s="20" t="n">
        <f aca="false">IF(AND($U466="Yes",$G466&lt;&gt;"Vendor day rates"),$J466-0.4*$I466,0)</f>
        <v>0</v>
      </c>
      <c r="X466" s="20" t="n">
        <f aca="false">IF(OR($U466&lt;&gt;"Yes",$V466=""),0,$W466*MAX(0,7-MATCH($V466,MonthList,0))/12)</f>
        <v>0</v>
      </c>
      <c r="Y466" s="20" t="n">
        <f aca="false">IF(OR($U466&lt;&gt;"Yes",$V466=""),0,$W466*IF(MATCH($V466,MonthList,0)&lt;=7,12,19-MATCH($V466,MonthList,0))/12)</f>
        <v>0</v>
      </c>
    </row>
    <row r="467" customFormat="false" ht="15" hidden="false" customHeight="true" outlineLevel="0" collapsed="false">
      <c r="B467" s="22" t="s">
        <v>870</v>
      </c>
      <c r="C467" s="22" t="s">
        <v>117</v>
      </c>
      <c r="D467" s="22" t="s">
        <v>23</v>
      </c>
      <c r="E467" s="22" t="s">
        <v>405</v>
      </c>
      <c r="F467" s="23" t="s">
        <v>57</v>
      </c>
      <c r="G467" s="23" t="s">
        <v>145</v>
      </c>
      <c r="H467" s="23" t="n">
        <v>1</v>
      </c>
      <c r="I467" s="24" t="n">
        <v>0.1705</v>
      </c>
      <c r="J467" s="24" t="n">
        <v>0.1705</v>
      </c>
      <c r="K467" s="21" t="s">
        <v>59</v>
      </c>
      <c r="L467" s="21"/>
      <c r="M467" s="24" t="n">
        <f aca="false">IF(AND($K467="Yes",$G467&lt;&gt;"Vendor day rates"),$J467-0.4*$I467,0)</f>
        <v>0</v>
      </c>
      <c r="N467" s="24" t="n">
        <f aca="false">IF(OR($K467&lt;&gt;"Yes",$L467=""),0,$M467*MAX(0,7-MATCH($L467,MonthList,0))/12)</f>
        <v>0</v>
      </c>
      <c r="O467" s="24" t="n">
        <f aca="false">IF(OR($K467&lt;&gt;"Yes",$L467=""),0,$M467*IF(MATCH($L467,MonthList,0)&lt;=7,12,19-MATCH($L467,MonthList,0))/12)</f>
        <v>0</v>
      </c>
      <c r="P467" s="21" t="s">
        <v>59</v>
      </c>
      <c r="Q467" s="21"/>
      <c r="R467" s="24" t="n">
        <f aca="false">IF(AND($P467="Yes",$G467&lt;&gt;"Vendor day rates"),$J467-0.4*$I467,0)</f>
        <v>0</v>
      </c>
      <c r="S467" s="24" t="n">
        <f aca="false">IF(OR($P467&lt;&gt;"Yes",$Q467=""),0,$R467*MAX(0,7-MATCH($Q467,MonthList,0))/12)</f>
        <v>0</v>
      </c>
      <c r="T467" s="24" t="n">
        <f aca="false">IF(OR($P467&lt;&gt;"Yes",$Q467=""),0,$R467*IF(MATCH($Q467,MonthList,0)&lt;=7,12,19-MATCH($Q467,MonthList,0))/12)</f>
        <v>0</v>
      </c>
      <c r="U467" s="21" t="s">
        <v>59</v>
      </c>
      <c r="V467" s="21"/>
      <c r="W467" s="24" t="n">
        <f aca="false">IF(AND($U467="Yes",$G467&lt;&gt;"Vendor day rates"),$J467-0.4*$I467,0)</f>
        <v>0</v>
      </c>
      <c r="X467" s="24" t="n">
        <f aca="false">IF(OR($U467&lt;&gt;"Yes",$V467=""),0,$W467*MAX(0,7-MATCH($V467,MonthList,0))/12)</f>
        <v>0</v>
      </c>
      <c r="Y467" s="24" t="n">
        <f aca="false">IF(OR($U467&lt;&gt;"Yes",$V467=""),0,$W467*IF(MATCH($V467,MonthList,0)&lt;=7,12,19-MATCH($V467,MonthList,0))/12)</f>
        <v>0</v>
      </c>
    </row>
    <row r="468" customFormat="false" ht="15" hidden="false" customHeight="true" outlineLevel="0" collapsed="false">
      <c r="B468" s="18" t="s">
        <v>871</v>
      </c>
      <c r="C468" s="18" t="s">
        <v>872</v>
      </c>
      <c r="D468" s="18" t="s">
        <v>26</v>
      </c>
      <c r="E468" s="18" t="s">
        <v>191</v>
      </c>
      <c r="F468" s="19" t="s">
        <v>57</v>
      </c>
      <c r="G468" s="19" t="s">
        <v>462</v>
      </c>
      <c r="H468" s="19" t="n">
        <v>1</v>
      </c>
      <c r="I468" s="20" t="n">
        <v>0.1705</v>
      </c>
      <c r="J468" s="20" t="n">
        <v>0.0682</v>
      </c>
      <c r="K468" s="21" t="s">
        <v>59</v>
      </c>
      <c r="L468" s="21"/>
      <c r="M468" s="20" t="n">
        <f aca="false">IF(AND($K468="Yes",$G468&lt;&gt;"Vendor day rates"),$J468-0.4*$I468,0)</f>
        <v>0</v>
      </c>
      <c r="N468" s="20" t="n">
        <f aca="false">IF(OR($K468&lt;&gt;"Yes",$L468=""),0,$M468*MAX(0,7-MATCH($L468,MonthList,0))/12)</f>
        <v>0</v>
      </c>
      <c r="O468" s="20" t="n">
        <f aca="false">IF(OR($K468&lt;&gt;"Yes",$L468=""),0,$M468*IF(MATCH($L468,MonthList,0)&lt;=7,12,19-MATCH($L468,MonthList,0))/12)</f>
        <v>0</v>
      </c>
      <c r="P468" s="21" t="s">
        <v>59</v>
      </c>
      <c r="Q468" s="21"/>
      <c r="R468" s="20" t="n">
        <f aca="false">IF(AND($P468="Yes",$G468&lt;&gt;"Vendor day rates"),$J468-0.4*$I468,0)</f>
        <v>0</v>
      </c>
      <c r="S468" s="20" t="n">
        <f aca="false">IF(OR($P468&lt;&gt;"Yes",$Q468=""),0,$R468*MAX(0,7-MATCH($Q468,MonthList,0))/12)</f>
        <v>0</v>
      </c>
      <c r="T468" s="20" t="n">
        <f aca="false">IF(OR($P468&lt;&gt;"Yes",$Q468=""),0,$R468*IF(MATCH($Q468,MonthList,0)&lt;=7,12,19-MATCH($Q468,MonthList,0))/12)</f>
        <v>0</v>
      </c>
      <c r="U468" s="21" t="s">
        <v>59</v>
      </c>
      <c r="V468" s="21"/>
      <c r="W468" s="20" t="n">
        <f aca="false">IF(AND($U468="Yes",$G468&lt;&gt;"Vendor day rates"),$J468-0.4*$I468,0)</f>
        <v>0</v>
      </c>
      <c r="X468" s="20" t="n">
        <f aca="false">IF(OR($U468&lt;&gt;"Yes",$V468=""),0,$W468*MAX(0,7-MATCH($V468,MonthList,0))/12)</f>
        <v>0</v>
      </c>
      <c r="Y468" s="20" t="n">
        <f aca="false">IF(OR($U468&lt;&gt;"Yes",$V468=""),0,$W468*IF(MATCH($V468,MonthList,0)&lt;=7,12,19-MATCH($V468,MonthList,0))/12)</f>
        <v>0</v>
      </c>
    </row>
    <row r="469" customFormat="false" ht="15" hidden="false" customHeight="true" outlineLevel="0" collapsed="false">
      <c r="B469" s="22" t="s">
        <v>873</v>
      </c>
      <c r="C469" s="22" t="s">
        <v>874</v>
      </c>
      <c r="D469" s="22" t="s">
        <v>26</v>
      </c>
      <c r="E469" s="22" t="s">
        <v>191</v>
      </c>
      <c r="F469" s="23" t="s">
        <v>57</v>
      </c>
      <c r="G469" s="23" t="s">
        <v>58</v>
      </c>
      <c r="H469" s="23" t="n">
        <v>1</v>
      </c>
      <c r="I469" s="24" t="n">
        <v>0.1793</v>
      </c>
      <c r="J469" s="24" t="n">
        <v>0.1793</v>
      </c>
      <c r="K469" s="21" t="s">
        <v>59</v>
      </c>
      <c r="L469" s="21"/>
      <c r="M469" s="24" t="n">
        <f aca="false">IF(AND($K469="Yes",$G469&lt;&gt;"Vendor day rates"),$J469-0.4*$I469,0)</f>
        <v>0</v>
      </c>
      <c r="N469" s="24" t="n">
        <f aca="false">IF(OR($K469&lt;&gt;"Yes",$L469=""),0,$M469*MAX(0,7-MATCH($L469,MonthList,0))/12)</f>
        <v>0</v>
      </c>
      <c r="O469" s="24" t="n">
        <f aca="false">IF(OR($K469&lt;&gt;"Yes",$L469=""),0,$M469*IF(MATCH($L469,MonthList,0)&lt;=7,12,19-MATCH($L469,MonthList,0))/12)</f>
        <v>0</v>
      </c>
      <c r="P469" s="21" t="s">
        <v>59</v>
      </c>
      <c r="Q469" s="21"/>
      <c r="R469" s="24" t="n">
        <f aca="false">IF(AND($P469="Yes",$G469&lt;&gt;"Vendor day rates"),$J469-0.4*$I469,0)</f>
        <v>0</v>
      </c>
      <c r="S469" s="24" t="n">
        <f aca="false">IF(OR($P469&lt;&gt;"Yes",$Q469=""),0,$R469*MAX(0,7-MATCH($Q469,MonthList,0))/12)</f>
        <v>0</v>
      </c>
      <c r="T469" s="24" t="n">
        <f aca="false">IF(OR($P469&lt;&gt;"Yes",$Q469=""),0,$R469*IF(MATCH($Q469,MonthList,0)&lt;=7,12,19-MATCH($Q469,MonthList,0))/12)</f>
        <v>0</v>
      </c>
      <c r="U469" s="21" t="s">
        <v>59</v>
      </c>
      <c r="V469" s="21"/>
      <c r="W469" s="24" t="n">
        <f aca="false">IF(AND($U469="Yes",$G469&lt;&gt;"Vendor day rates"),$J469-0.4*$I469,0)</f>
        <v>0</v>
      </c>
      <c r="X469" s="24" t="n">
        <f aca="false">IF(OR($U469&lt;&gt;"Yes",$V469=""),0,$W469*MAX(0,7-MATCH($V469,MonthList,0))/12)</f>
        <v>0</v>
      </c>
      <c r="Y469" s="24" t="n">
        <f aca="false">IF(OR($U469&lt;&gt;"Yes",$V469=""),0,$W469*IF(MATCH($V469,MonthList,0)&lt;=7,12,19-MATCH($V469,MonthList,0))/12)</f>
        <v>0</v>
      </c>
    </row>
    <row r="470" customFormat="false" ht="15" hidden="false" customHeight="true" outlineLevel="0" collapsed="false">
      <c r="B470" s="18" t="s">
        <v>875</v>
      </c>
      <c r="C470" s="18" t="s">
        <v>117</v>
      </c>
      <c r="D470" s="18" t="s">
        <v>30</v>
      </c>
      <c r="E470" s="18" t="s">
        <v>455</v>
      </c>
      <c r="F470" s="19" t="s">
        <v>109</v>
      </c>
      <c r="G470" s="19" t="s">
        <v>118</v>
      </c>
      <c r="H470" s="19" t="n">
        <v>1</v>
      </c>
      <c r="I470" s="20" t="n">
        <v>0.134</v>
      </c>
      <c r="J470" s="20" t="n">
        <v>0.0536</v>
      </c>
      <c r="K470" s="21" t="s">
        <v>59</v>
      </c>
      <c r="L470" s="21"/>
      <c r="M470" s="20" t="n">
        <f aca="false">IF(AND($K470="Yes",$G470&lt;&gt;"Vendor day rates"),$J470-0.4*$I470,0)</f>
        <v>0</v>
      </c>
      <c r="N470" s="20" t="n">
        <f aca="false">IF(OR($K470&lt;&gt;"Yes",$L470=""),0,$M470*MAX(0,7-MATCH($L470,MonthList,0))/12)</f>
        <v>0</v>
      </c>
      <c r="O470" s="20" t="n">
        <f aca="false">IF(OR($K470&lt;&gt;"Yes",$L470=""),0,$M470*IF(MATCH($L470,MonthList,0)&lt;=7,12,19-MATCH($L470,MonthList,0))/12)</f>
        <v>0</v>
      </c>
      <c r="P470" s="21" t="s">
        <v>59</v>
      </c>
      <c r="Q470" s="21"/>
      <c r="R470" s="20" t="n">
        <f aca="false">IF(AND($P470="Yes",$G470&lt;&gt;"Vendor day rates"),$J470-0.4*$I470,0)</f>
        <v>0</v>
      </c>
      <c r="S470" s="20" t="n">
        <f aca="false">IF(OR($P470&lt;&gt;"Yes",$Q470=""),0,$R470*MAX(0,7-MATCH($Q470,MonthList,0))/12)</f>
        <v>0</v>
      </c>
      <c r="T470" s="20" t="n">
        <f aca="false">IF(OR($P470&lt;&gt;"Yes",$Q470=""),0,$R470*IF(MATCH($Q470,MonthList,0)&lt;=7,12,19-MATCH($Q470,MonthList,0))/12)</f>
        <v>0</v>
      </c>
      <c r="U470" s="21" t="s">
        <v>59</v>
      </c>
      <c r="V470" s="21"/>
      <c r="W470" s="20" t="n">
        <f aca="false">IF(AND($U470="Yes",$G470&lt;&gt;"Vendor day rates"),$J470-0.4*$I470,0)</f>
        <v>0</v>
      </c>
      <c r="X470" s="20" t="n">
        <f aca="false">IF(OR($U470&lt;&gt;"Yes",$V470=""),0,$W470*MAX(0,7-MATCH($V470,MonthList,0))/12)</f>
        <v>0</v>
      </c>
      <c r="Y470" s="20" t="n">
        <f aca="false">IF(OR($U470&lt;&gt;"Yes",$V470=""),0,$W470*IF(MATCH($V470,MonthList,0)&lt;=7,12,19-MATCH($V470,MonthList,0))/12)</f>
        <v>0</v>
      </c>
    </row>
    <row r="471" customFormat="false" ht="15" hidden="false" customHeight="true" outlineLevel="0" collapsed="false">
      <c r="B471" s="22" t="s">
        <v>876</v>
      </c>
      <c r="C471" s="22" t="s">
        <v>715</v>
      </c>
      <c r="D471" s="22" t="s">
        <v>26</v>
      </c>
      <c r="E471" s="22" t="s">
        <v>244</v>
      </c>
      <c r="F471" s="23" t="s">
        <v>109</v>
      </c>
      <c r="G471" s="23" t="s">
        <v>118</v>
      </c>
      <c r="H471" s="23" t="n">
        <v>0.8</v>
      </c>
      <c r="I471" s="24" t="n">
        <v>0.1182</v>
      </c>
      <c r="J471" s="24" t="n">
        <v>0.0473</v>
      </c>
      <c r="K471" s="21" t="s">
        <v>59</v>
      </c>
      <c r="L471" s="21"/>
      <c r="M471" s="24" t="n">
        <f aca="false">IF(AND($K471="Yes",$G471&lt;&gt;"Vendor day rates"),$J471-0.4*$I471,0)</f>
        <v>0</v>
      </c>
      <c r="N471" s="24" t="n">
        <f aca="false">IF(OR($K471&lt;&gt;"Yes",$L471=""),0,$M471*MAX(0,7-MATCH($L471,MonthList,0))/12)</f>
        <v>0</v>
      </c>
      <c r="O471" s="24" t="n">
        <f aca="false">IF(OR($K471&lt;&gt;"Yes",$L471=""),0,$M471*IF(MATCH($L471,MonthList,0)&lt;=7,12,19-MATCH($L471,MonthList,0))/12)</f>
        <v>0</v>
      </c>
      <c r="P471" s="21" t="s">
        <v>59</v>
      </c>
      <c r="Q471" s="21"/>
      <c r="R471" s="24" t="n">
        <f aca="false">IF(AND($P471="Yes",$G471&lt;&gt;"Vendor day rates"),$J471-0.4*$I471,0)</f>
        <v>0</v>
      </c>
      <c r="S471" s="24" t="n">
        <f aca="false">IF(OR($P471&lt;&gt;"Yes",$Q471=""),0,$R471*MAX(0,7-MATCH($Q471,MonthList,0))/12)</f>
        <v>0</v>
      </c>
      <c r="T471" s="24" t="n">
        <f aca="false">IF(OR($P471&lt;&gt;"Yes",$Q471=""),0,$R471*IF(MATCH($Q471,MonthList,0)&lt;=7,12,19-MATCH($Q471,MonthList,0))/12)</f>
        <v>0</v>
      </c>
      <c r="U471" s="21" t="s">
        <v>59</v>
      </c>
      <c r="V471" s="21"/>
      <c r="W471" s="24" t="n">
        <f aca="false">IF(AND($U471="Yes",$G471&lt;&gt;"Vendor day rates"),$J471-0.4*$I471,0)</f>
        <v>0</v>
      </c>
      <c r="X471" s="24" t="n">
        <f aca="false">IF(OR($U471&lt;&gt;"Yes",$V471=""),0,$W471*MAX(0,7-MATCH($V471,MonthList,0))/12)</f>
        <v>0</v>
      </c>
      <c r="Y471" s="24" t="n">
        <f aca="false">IF(OR($U471&lt;&gt;"Yes",$V471=""),0,$W471*IF(MATCH($V471,MonthList,0)&lt;=7,12,19-MATCH($V471,MonthList,0))/12)</f>
        <v>0</v>
      </c>
    </row>
    <row r="472" customFormat="false" ht="15" hidden="false" customHeight="true" outlineLevel="0" collapsed="false">
      <c r="B472" s="18" t="s">
        <v>877</v>
      </c>
      <c r="C472" s="18" t="s">
        <v>117</v>
      </c>
      <c r="D472" s="18" t="s">
        <v>29</v>
      </c>
      <c r="E472" s="18" t="s">
        <v>561</v>
      </c>
      <c r="F472" s="19" t="s">
        <v>57</v>
      </c>
      <c r="G472" s="19" t="s">
        <v>462</v>
      </c>
      <c r="H472" s="19" t="n">
        <v>1</v>
      </c>
      <c r="I472" s="20" t="n">
        <v>0.1705</v>
      </c>
      <c r="J472" s="20" t="n">
        <v>0.0682</v>
      </c>
      <c r="K472" s="21" t="s">
        <v>59</v>
      </c>
      <c r="L472" s="21"/>
      <c r="M472" s="20" t="n">
        <f aca="false">IF(AND($K472="Yes",$G472&lt;&gt;"Vendor day rates"),$J472-0.4*$I472,0)</f>
        <v>0</v>
      </c>
      <c r="N472" s="20" t="n">
        <f aca="false">IF(OR($K472&lt;&gt;"Yes",$L472=""),0,$M472*MAX(0,7-MATCH($L472,MonthList,0))/12)</f>
        <v>0</v>
      </c>
      <c r="O472" s="20" t="n">
        <f aca="false">IF(OR($K472&lt;&gt;"Yes",$L472=""),0,$M472*IF(MATCH($L472,MonthList,0)&lt;=7,12,19-MATCH($L472,MonthList,0))/12)</f>
        <v>0</v>
      </c>
      <c r="P472" s="21" t="s">
        <v>59</v>
      </c>
      <c r="Q472" s="21"/>
      <c r="R472" s="20" t="n">
        <f aca="false">IF(AND($P472="Yes",$G472&lt;&gt;"Vendor day rates"),$J472-0.4*$I472,0)</f>
        <v>0</v>
      </c>
      <c r="S472" s="20" t="n">
        <f aca="false">IF(OR($P472&lt;&gt;"Yes",$Q472=""),0,$R472*MAX(0,7-MATCH($Q472,MonthList,0))/12)</f>
        <v>0</v>
      </c>
      <c r="T472" s="20" t="n">
        <f aca="false">IF(OR($P472&lt;&gt;"Yes",$Q472=""),0,$R472*IF(MATCH($Q472,MonthList,0)&lt;=7,12,19-MATCH($Q472,MonthList,0))/12)</f>
        <v>0</v>
      </c>
      <c r="U472" s="21" t="s">
        <v>59</v>
      </c>
      <c r="V472" s="21"/>
      <c r="W472" s="20" t="n">
        <f aca="false">IF(AND($U472="Yes",$G472&lt;&gt;"Vendor day rates"),$J472-0.4*$I472,0)</f>
        <v>0</v>
      </c>
      <c r="X472" s="20" t="n">
        <f aca="false">IF(OR($U472&lt;&gt;"Yes",$V472=""),0,$W472*MAX(0,7-MATCH($V472,MonthList,0))/12)</f>
        <v>0</v>
      </c>
      <c r="Y472" s="20" t="n">
        <f aca="false">IF(OR($U472&lt;&gt;"Yes",$V472=""),0,$W472*IF(MATCH($V472,MonthList,0)&lt;=7,12,19-MATCH($V472,MonthList,0))/12)</f>
        <v>0</v>
      </c>
    </row>
    <row r="473" customFormat="false" ht="15" hidden="false" customHeight="true" outlineLevel="0" collapsed="false">
      <c r="B473" s="22" t="s">
        <v>878</v>
      </c>
      <c r="C473" s="22" t="s">
        <v>597</v>
      </c>
      <c r="D473" s="22" t="s">
        <v>29</v>
      </c>
      <c r="E473" s="22" t="s">
        <v>561</v>
      </c>
      <c r="F473" s="23" t="s">
        <v>57</v>
      </c>
      <c r="G473" s="23" t="s">
        <v>145</v>
      </c>
      <c r="H473" s="23" t="n">
        <v>1</v>
      </c>
      <c r="I473" s="24" t="n">
        <v>0.2016</v>
      </c>
      <c r="J473" s="24" t="n">
        <v>0.2016</v>
      </c>
      <c r="K473" s="21" t="s">
        <v>63</v>
      </c>
      <c r="L473" s="21" t="s">
        <v>64</v>
      </c>
      <c r="M473" s="24" t="n">
        <f aca="false">IF(AND($K473="Yes",$G473&lt;&gt;"Vendor day rates"),$J473-0.4*$I473,0)</f>
        <v>0.12096</v>
      </c>
      <c r="N473" s="24" t="n">
        <f aca="false">IF(OR($K473&lt;&gt;"Yes",$L473=""),0,$M473*MAX(0,7-MATCH($L473,MonthList,0))/12)</f>
        <v>0.03024</v>
      </c>
      <c r="O473" s="24" t="n">
        <f aca="false">IF(OR($K473&lt;&gt;"Yes",$L473=""),0,$M473*IF(MATCH($L473,MonthList,0)&lt;=7,12,19-MATCH($L473,MonthList,0))/12)</f>
        <v>0.12096</v>
      </c>
      <c r="P473" s="21" t="s">
        <v>59</v>
      </c>
      <c r="Q473" s="21"/>
      <c r="R473" s="24" t="n">
        <f aca="false">IF(AND($P473="Yes",$G473&lt;&gt;"Vendor day rates"),$J473-0.4*$I473,0)</f>
        <v>0</v>
      </c>
      <c r="S473" s="24" t="n">
        <f aca="false">IF(OR($P473&lt;&gt;"Yes",$Q473=""),0,$R473*MAX(0,7-MATCH($Q473,MonthList,0))/12)</f>
        <v>0</v>
      </c>
      <c r="T473" s="24" t="n">
        <f aca="false">IF(OR($P473&lt;&gt;"Yes",$Q473=""),0,$R473*IF(MATCH($Q473,MonthList,0)&lt;=7,12,19-MATCH($Q473,MonthList,0))/12)</f>
        <v>0</v>
      </c>
      <c r="U473" s="21" t="s">
        <v>59</v>
      </c>
      <c r="V473" s="21"/>
      <c r="W473" s="24" t="n">
        <f aca="false">IF(AND($U473="Yes",$G473&lt;&gt;"Vendor day rates"),$J473-0.4*$I473,0)</f>
        <v>0</v>
      </c>
      <c r="X473" s="24" t="n">
        <f aca="false">IF(OR($U473&lt;&gt;"Yes",$V473=""),0,$W473*MAX(0,7-MATCH($V473,MonthList,0))/12)</f>
        <v>0</v>
      </c>
      <c r="Y473" s="24" t="n">
        <f aca="false">IF(OR($U473&lt;&gt;"Yes",$V473=""),0,$W473*IF(MATCH($V473,MonthList,0)&lt;=7,12,19-MATCH($V473,MonthList,0))/12)</f>
        <v>0</v>
      </c>
    </row>
    <row r="474" customFormat="false" ht="15" hidden="false" customHeight="true" outlineLevel="0" collapsed="false">
      <c r="B474" s="18" t="s">
        <v>879</v>
      </c>
      <c r="C474" s="18" t="s">
        <v>880</v>
      </c>
      <c r="D474" s="18" t="s">
        <v>26</v>
      </c>
      <c r="E474" s="18" t="s">
        <v>144</v>
      </c>
      <c r="F474" s="19" t="s">
        <v>109</v>
      </c>
      <c r="G474" s="19" t="s">
        <v>58</v>
      </c>
      <c r="H474" s="19" t="n">
        <v>1</v>
      </c>
      <c r="I474" s="20" t="n">
        <v>0.151</v>
      </c>
      <c r="J474" s="20" t="n">
        <v>0.151</v>
      </c>
      <c r="K474" s="21" t="s">
        <v>59</v>
      </c>
      <c r="L474" s="21"/>
      <c r="M474" s="20" t="n">
        <f aca="false">IF(AND($K474="Yes",$G474&lt;&gt;"Vendor day rates"),$J474-0.4*$I474,0)</f>
        <v>0</v>
      </c>
      <c r="N474" s="20" t="n">
        <f aca="false">IF(OR($K474&lt;&gt;"Yes",$L474=""),0,$M474*MAX(0,7-MATCH($L474,MonthList,0))/12)</f>
        <v>0</v>
      </c>
      <c r="O474" s="20" t="n">
        <f aca="false">IF(OR($K474&lt;&gt;"Yes",$L474=""),0,$M474*IF(MATCH($L474,MonthList,0)&lt;=7,12,19-MATCH($L474,MonthList,0))/12)</f>
        <v>0</v>
      </c>
      <c r="P474" s="21" t="s">
        <v>59</v>
      </c>
      <c r="Q474" s="21"/>
      <c r="R474" s="20" t="n">
        <f aca="false">IF(AND($P474="Yes",$G474&lt;&gt;"Vendor day rates"),$J474-0.4*$I474,0)</f>
        <v>0</v>
      </c>
      <c r="S474" s="20" t="n">
        <f aca="false">IF(OR($P474&lt;&gt;"Yes",$Q474=""),0,$R474*MAX(0,7-MATCH($Q474,MonthList,0))/12)</f>
        <v>0</v>
      </c>
      <c r="T474" s="20" t="n">
        <f aca="false">IF(OR($P474&lt;&gt;"Yes",$Q474=""),0,$R474*IF(MATCH($Q474,MonthList,0)&lt;=7,12,19-MATCH($Q474,MonthList,0))/12)</f>
        <v>0</v>
      </c>
      <c r="U474" s="21" t="s">
        <v>59</v>
      </c>
      <c r="V474" s="21"/>
      <c r="W474" s="20" t="n">
        <f aca="false">IF(AND($U474="Yes",$G474&lt;&gt;"Vendor day rates"),$J474-0.4*$I474,0)</f>
        <v>0</v>
      </c>
      <c r="X474" s="20" t="n">
        <f aca="false">IF(OR($U474&lt;&gt;"Yes",$V474=""),0,$W474*MAX(0,7-MATCH($V474,MonthList,0))/12)</f>
        <v>0</v>
      </c>
      <c r="Y474" s="20" t="n">
        <f aca="false">IF(OR($U474&lt;&gt;"Yes",$V474=""),0,$W474*IF(MATCH($V474,MonthList,0)&lt;=7,12,19-MATCH($V474,MonthList,0))/12)</f>
        <v>0</v>
      </c>
    </row>
    <row r="475" customFormat="false" ht="15" hidden="false" customHeight="true" outlineLevel="0" collapsed="false">
      <c r="B475" s="22" t="s">
        <v>881</v>
      </c>
      <c r="C475" s="22" t="s">
        <v>882</v>
      </c>
      <c r="D475" s="22" t="s">
        <v>26</v>
      </c>
      <c r="E475" s="22" t="s">
        <v>160</v>
      </c>
      <c r="F475" s="23" t="s">
        <v>57</v>
      </c>
      <c r="G475" s="23" t="s">
        <v>58</v>
      </c>
      <c r="H475" s="23" t="n">
        <v>1</v>
      </c>
      <c r="I475" s="24" t="n">
        <v>0.181</v>
      </c>
      <c r="J475" s="24" t="n">
        <v>0.181</v>
      </c>
      <c r="K475" s="21" t="s">
        <v>59</v>
      </c>
      <c r="L475" s="21"/>
      <c r="M475" s="24" t="n">
        <f aca="false">IF(AND($K475="Yes",$G475&lt;&gt;"Vendor day rates"),$J475-0.4*$I475,0)</f>
        <v>0</v>
      </c>
      <c r="N475" s="24" t="n">
        <f aca="false">IF(OR($K475&lt;&gt;"Yes",$L475=""),0,$M475*MAX(0,7-MATCH($L475,MonthList,0))/12)</f>
        <v>0</v>
      </c>
      <c r="O475" s="24" t="n">
        <f aca="false">IF(OR($K475&lt;&gt;"Yes",$L475=""),0,$M475*IF(MATCH($L475,MonthList,0)&lt;=7,12,19-MATCH($L475,MonthList,0))/12)</f>
        <v>0</v>
      </c>
      <c r="P475" s="21" t="s">
        <v>59</v>
      </c>
      <c r="Q475" s="21"/>
      <c r="R475" s="24" t="n">
        <f aca="false">IF(AND($P475="Yes",$G475&lt;&gt;"Vendor day rates"),$J475-0.4*$I475,0)</f>
        <v>0</v>
      </c>
      <c r="S475" s="24" t="n">
        <f aca="false">IF(OR($P475&lt;&gt;"Yes",$Q475=""),0,$R475*MAX(0,7-MATCH($Q475,MonthList,0))/12)</f>
        <v>0</v>
      </c>
      <c r="T475" s="24" t="n">
        <f aca="false">IF(OR($P475&lt;&gt;"Yes",$Q475=""),0,$R475*IF(MATCH($Q475,MonthList,0)&lt;=7,12,19-MATCH($Q475,MonthList,0))/12)</f>
        <v>0</v>
      </c>
      <c r="U475" s="21" t="s">
        <v>59</v>
      </c>
      <c r="V475" s="21"/>
      <c r="W475" s="24" t="n">
        <f aca="false">IF(AND($U475="Yes",$G475&lt;&gt;"Vendor day rates"),$J475-0.4*$I475,0)</f>
        <v>0</v>
      </c>
      <c r="X475" s="24" t="n">
        <f aca="false">IF(OR($U475&lt;&gt;"Yes",$V475=""),0,$W475*MAX(0,7-MATCH($V475,MonthList,0))/12)</f>
        <v>0</v>
      </c>
      <c r="Y475" s="24" t="n">
        <f aca="false">IF(OR($U475&lt;&gt;"Yes",$V475=""),0,$W475*IF(MATCH($V475,MonthList,0)&lt;=7,12,19-MATCH($V475,MonthList,0))/12)</f>
        <v>0</v>
      </c>
    </row>
    <row r="476" customFormat="false" ht="15" hidden="false" customHeight="true" outlineLevel="0" collapsed="false">
      <c r="B476" s="18" t="s">
        <v>883</v>
      </c>
      <c r="C476" s="18" t="s">
        <v>411</v>
      </c>
      <c r="D476" s="18" t="s">
        <v>19</v>
      </c>
      <c r="E476" s="18" t="s">
        <v>390</v>
      </c>
      <c r="F476" s="19" t="s">
        <v>109</v>
      </c>
      <c r="G476" s="19" t="s">
        <v>58</v>
      </c>
      <c r="H476" s="19" t="n">
        <v>1</v>
      </c>
      <c r="I476" s="20" t="n">
        <v>0.1588</v>
      </c>
      <c r="J476" s="20" t="n">
        <v>0.1588</v>
      </c>
      <c r="K476" s="21" t="s">
        <v>59</v>
      </c>
      <c r="L476" s="21"/>
      <c r="M476" s="20" t="n">
        <f aca="false">IF(AND($K476="Yes",$G476&lt;&gt;"Vendor day rates"),$J476-0.4*$I476,0)</f>
        <v>0</v>
      </c>
      <c r="N476" s="20" t="n">
        <f aca="false">IF(OR($K476&lt;&gt;"Yes",$L476=""),0,$M476*MAX(0,7-MATCH($L476,MonthList,0))/12)</f>
        <v>0</v>
      </c>
      <c r="O476" s="20" t="n">
        <f aca="false">IF(OR($K476&lt;&gt;"Yes",$L476=""),0,$M476*IF(MATCH($L476,MonthList,0)&lt;=7,12,19-MATCH($L476,MonthList,0))/12)</f>
        <v>0</v>
      </c>
      <c r="P476" s="21" t="s">
        <v>59</v>
      </c>
      <c r="Q476" s="21"/>
      <c r="R476" s="20" t="n">
        <f aca="false">IF(AND($P476="Yes",$G476&lt;&gt;"Vendor day rates"),$J476-0.4*$I476,0)</f>
        <v>0</v>
      </c>
      <c r="S476" s="20" t="n">
        <f aca="false">IF(OR($P476&lt;&gt;"Yes",$Q476=""),0,$R476*MAX(0,7-MATCH($Q476,MonthList,0))/12)</f>
        <v>0</v>
      </c>
      <c r="T476" s="20" t="n">
        <f aca="false">IF(OR($P476&lt;&gt;"Yes",$Q476=""),0,$R476*IF(MATCH($Q476,MonthList,0)&lt;=7,12,19-MATCH($Q476,MonthList,0))/12)</f>
        <v>0</v>
      </c>
      <c r="U476" s="21" t="s">
        <v>59</v>
      </c>
      <c r="V476" s="21"/>
      <c r="W476" s="20" t="n">
        <f aca="false">IF(AND($U476="Yes",$G476&lt;&gt;"Vendor day rates"),$J476-0.4*$I476,0)</f>
        <v>0</v>
      </c>
      <c r="X476" s="20" t="n">
        <f aca="false">IF(OR($U476&lt;&gt;"Yes",$V476=""),0,$W476*MAX(0,7-MATCH($V476,MonthList,0))/12)</f>
        <v>0</v>
      </c>
      <c r="Y476" s="20" t="n">
        <f aca="false">IF(OR($U476&lt;&gt;"Yes",$V476=""),0,$W476*IF(MATCH($V476,MonthList,0)&lt;=7,12,19-MATCH($V476,MonthList,0))/12)</f>
        <v>0</v>
      </c>
    </row>
    <row r="477" customFormat="false" ht="15" hidden="false" customHeight="true" outlineLevel="0" collapsed="false">
      <c r="B477" s="22" t="s">
        <v>884</v>
      </c>
      <c r="C477" s="22" t="s">
        <v>411</v>
      </c>
      <c r="D477" s="22" t="s">
        <v>31</v>
      </c>
      <c r="E477" s="22" t="s">
        <v>380</v>
      </c>
      <c r="F477" s="23" t="s">
        <v>109</v>
      </c>
      <c r="G477" s="23" t="s">
        <v>58</v>
      </c>
      <c r="H477" s="23" t="n">
        <v>1</v>
      </c>
      <c r="I477" s="24" t="n">
        <v>0.1538</v>
      </c>
      <c r="J477" s="24" t="n">
        <v>0.1538</v>
      </c>
      <c r="K477" s="21" t="s">
        <v>59</v>
      </c>
      <c r="L477" s="21"/>
      <c r="M477" s="24" t="n">
        <f aca="false">IF(AND($K477="Yes",$G477&lt;&gt;"Vendor day rates"),$J477-0.4*$I477,0)</f>
        <v>0</v>
      </c>
      <c r="N477" s="24" t="n">
        <f aca="false">IF(OR($K477&lt;&gt;"Yes",$L477=""),0,$M477*MAX(0,7-MATCH($L477,MonthList,0))/12)</f>
        <v>0</v>
      </c>
      <c r="O477" s="24" t="n">
        <f aca="false">IF(OR($K477&lt;&gt;"Yes",$L477=""),0,$M477*IF(MATCH($L477,MonthList,0)&lt;=7,12,19-MATCH($L477,MonthList,0))/12)</f>
        <v>0</v>
      </c>
      <c r="P477" s="21" t="s">
        <v>59</v>
      </c>
      <c r="Q477" s="21"/>
      <c r="R477" s="24" t="n">
        <f aca="false">IF(AND($P477="Yes",$G477&lt;&gt;"Vendor day rates"),$J477-0.4*$I477,0)</f>
        <v>0</v>
      </c>
      <c r="S477" s="24" t="n">
        <f aca="false">IF(OR($P477&lt;&gt;"Yes",$Q477=""),0,$R477*MAX(0,7-MATCH($Q477,MonthList,0))/12)</f>
        <v>0</v>
      </c>
      <c r="T477" s="24" t="n">
        <f aca="false">IF(OR($P477&lt;&gt;"Yes",$Q477=""),0,$R477*IF(MATCH($Q477,MonthList,0)&lt;=7,12,19-MATCH($Q477,MonthList,0))/12)</f>
        <v>0</v>
      </c>
      <c r="U477" s="21" t="s">
        <v>59</v>
      </c>
      <c r="V477" s="21"/>
      <c r="W477" s="24" t="n">
        <f aca="false">IF(AND($U477="Yes",$G477&lt;&gt;"Vendor day rates"),$J477-0.4*$I477,0)</f>
        <v>0</v>
      </c>
      <c r="X477" s="24" t="n">
        <f aca="false">IF(OR($U477&lt;&gt;"Yes",$V477=""),0,$W477*MAX(0,7-MATCH($V477,MonthList,0))/12)</f>
        <v>0</v>
      </c>
      <c r="Y477" s="24" t="n">
        <f aca="false">IF(OR($U477&lt;&gt;"Yes",$V477=""),0,$W477*IF(MATCH($V477,MonthList,0)&lt;=7,12,19-MATCH($V477,MonthList,0))/12)</f>
        <v>0</v>
      </c>
    </row>
    <row r="478" customFormat="false" ht="15" hidden="false" customHeight="true" outlineLevel="0" collapsed="false">
      <c r="B478" s="18" t="s">
        <v>885</v>
      </c>
      <c r="C478" s="18" t="s">
        <v>886</v>
      </c>
      <c r="D478" s="18"/>
      <c r="E478" s="18" t="s">
        <v>295</v>
      </c>
      <c r="F478" s="19" t="s">
        <v>57</v>
      </c>
      <c r="G478" s="19" t="s">
        <v>292</v>
      </c>
      <c r="H478" s="19" t="n">
        <v>1</v>
      </c>
      <c r="I478" s="20" t="n">
        <v>0.1705</v>
      </c>
      <c r="J478" s="20" t="n">
        <v>0</v>
      </c>
      <c r="K478" s="21" t="s">
        <v>59</v>
      </c>
      <c r="L478" s="21"/>
      <c r="M478" s="20" t="n">
        <f aca="false">IF(AND($K478="Yes",$G478&lt;&gt;"Vendor day rates"),$J478-0.4*$I478,0)</f>
        <v>0</v>
      </c>
      <c r="N478" s="20" t="n">
        <f aca="false">IF(OR($K478&lt;&gt;"Yes",$L478=""),0,$M478*MAX(0,7-MATCH($L478,MonthList,0))/12)</f>
        <v>0</v>
      </c>
      <c r="O478" s="20" t="n">
        <f aca="false">IF(OR($K478&lt;&gt;"Yes",$L478=""),0,$M478*IF(MATCH($L478,MonthList,0)&lt;=7,12,19-MATCH($L478,MonthList,0))/12)</f>
        <v>0</v>
      </c>
      <c r="P478" s="21" t="s">
        <v>59</v>
      </c>
      <c r="Q478" s="21"/>
      <c r="R478" s="20" t="n">
        <f aca="false">IF(AND($P478="Yes",$G478&lt;&gt;"Vendor day rates"),$J478-0.4*$I478,0)</f>
        <v>0</v>
      </c>
      <c r="S478" s="20" t="n">
        <f aca="false">IF(OR($P478&lt;&gt;"Yes",$Q478=""),0,$R478*MAX(0,7-MATCH($Q478,MonthList,0))/12)</f>
        <v>0</v>
      </c>
      <c r="T478" s="20" t="n">
        <f aca="false">IF(OR($P478&lt;&gt;"Yes",$Q478=""),0,$R478*IF(MATCH($Q478,MonthList,0)&lt;=7,12,19-MATCH($Q478,MonthList,0))/12)</f>
        <v>0</v>
      </c>
      <c r="U478" s="21" t="s">
        <v>59</v>
      </c>
      <c r="V478" s="21"/>
      <c r="W478" s="20" t="n">
        <f aca="false">IF(AND($U478="Yes",$G478&lt;&gt;"Vendor day rates"),$J478-0.4*$I478,0)</f>
        <v>0</v>
      </c>
      <c r="X478" s="20" t="n">
        <f aca="false">IF(OR($U478&lt;&gt;"Yes",$V478=""),0,$W478*MAX(0,7-MATCH($V478,MonthList,0))/12)</f>
        <v>0</v>
      </c>
      <c r="Y478" s="20" t="n">
        <f aca="false">IF(OR($U478&lt;&gt;"Yes",$V478=""),0,$W478*IF(MATCH($V478,MonthList,0)&lt;=7,12,19-MATCH($V478,MonthList,0))/12)</f>
        <v>0</v>
      </c>
    </row>
    <row r="479" customFormat="false" ht="15" hidden="false" customHeight="true" outlineLevel="0" collapsed="false">
      <c r="B479" s="22" t="s">
        <v>887</v>
      </c>
      <c r="C479" s="22" t="s">
        <v>888</v>
      </c>
      <c r="D479" s="22"/>
      <c r="E479" s="22" t="s">
        <v>295</v>
      </c>
      <c r="F479" s="23" t="s">
        <v>57</v>
      </c>
      <c r="G479" s="23" t="s">
        <v>292</v>
      </c>
      <c r="H479" s="23" t="n">
        <v>1</v>
      </c>
      <c r="I479" s="24" t="n">
        <v>0.1705</v>
      </c>
      <c r="J479" s="24" t="n">
        <v>0</v>
      </c>
      <c r="K479" s="21" t="s">
        <v>59</v>
      </c>
      <c r="L479" s="21"/>
      <c r="M479" s="24" t="n">
        <f aca="false">IF(AND($K479="Yes",$G479&lt;&gt;"Vendor day rates"),$J479-0.4*$I479,0)</f>
        <v>0</v>
      </c>
      <c r="N479" s="24" t="n">
        <f aca="false">IF(OR($K479&lt;&gt;"Yes",$L479=""),0,$M479*MAX(0,7-MATCH($L479,MonthList,0))/12)</f>
        <v>0</v>
      </c>
      <c r="O479" s="24" t="n">
        <f aca="false">IF(OR($K479&lt;&gt;"Yes",$L479=""),0,$M479*IF(MATCH($L479,MonthList,0)&lt;=7,12,19-MATCH($L479,MonthList,0))/12)</f>
        <v>0</v>
      </c>
      <c r="P479" s="21" t="s">
        <v>59</v>
      </c>
      <c r="Q479" s="21"/>
      <c r="R479" s="24" t="n">
        <f aca="false">IF(AND($P479="Yes",$G479&lt;&gt;"Vendor day rates"),$J479-0.4*$I479,0)</f>
        <v>0</v>
      </c>
      <c r="S479" s="24" t="n">
        <f aca="false">IF(OR($P479&lt;&gt;"Yes",$Q479=""),0,$R479*MAX(0,7-MATCH($Q479,MonthList,0))/12)</f>
        <v>0</v>
      </c>
      <c r="T479" s="24" t="n">
        <f aca="false">IF(OR($P479&lt;&gt;"Yes",$Q479=""),0,$R479*IF(MATCH($Q479,MonthList,0)&lt;=7,12,19-MATCH($Q479,MonthList,0))/12)</f>
        <v>0</v>
      </c>
      <c r="U479" s="21" t="s">
        <v>59</v>
      </c>
      <c r="V479" s="21"/>
      <c r="W479" s="24" t="n">
        <f aca="false">IF(AND($U479="Yes",$G479&lt;&gt;"Vendor day rates"),$J479-0.4*$I479,0)</f>
        <v>0</v>
      </c>
      <c r="X479" s="24" t="n">
        <f aca="false">IF(OR($U479&lt;&gt;"Yes",$V479=""),0,$W479*MAX(0,7-MATCH($V479,MonthList,0))/12)</f>
        <v>0</v>
      </c>
      <c r="Y479" s="24" t="n">
        <f aca="false">IF(OR($U479&lt;&gt;"Yes",$V479=""),0,$W479*IF(MATCH($V479,MonthList,0)&lt;=7,12,19-MATCH($V479,MonthList,0))/12)</f>
        <v>0</v>
      </c>
    </row>
    <row r="480" customFormat="false" ht="15" hidden="false" customHeight="true" outlineLevel="0" collapsed="false">
      <c r="B480" s="18" t="s">
        <v>889</v>
      </c>
      <c r="C480" s="18" t="s">
        <v>890</v>
      </c>
      <c r="D480" s="18" t="s">
        <v>26</v>
      </c>
      <c r="E480" s="18" t="s">
        <v>160</v>
      </c>
      <c r="F480" s="19" t="s">
        <v>57</v>
      </c>
      <c r="G480" s="19" t="s">
        <v>118</v>
      </c>
      <c r="H480" s="19" t="n">
        <v>1</v>
      </c>
      <c r="I480" s="20" t="n">
        <v>0.139</v>
      </c>
      <c r="J480" s="20" t="n">
        <v>0.0556</v>
      </c>
      <c r="K480" s="21" t="s">
        <v>59</v>
      </c>
      <c r="L480" s="21"/>
      <c r="M480" s="20" t="n">
        <f aca="false">IF(AND($K480="Yes",$G480&lt;&gt;"Vendor day rates"),$J480-0.4*$I480,0)</f>
        <v>0</v>
      </c>
      <c r="N480" s="20" t="n">
        <f aca="false">IF(OR($K480&lt;&gt;"Yes",$L480=""),0,$M480*MAX(0,7-MATCH($L480,MonthList,0))/12)</f>
        <v>0</v>
      </c>
      <c r="O480" s="20" t="n">
        <f aca="false">IF(OR($K480&lt;&gt;"Yes",$L480=""),0,$M480*IF(MATCH($L480,MonthList,0)&lt;=7,12,19-MATCH($L480,MonthList,0))/12)</f>
        <v>0</v>
      </c>
      <c r="P480" s="21" t="s">
        <v>59</v>
      </c>
      <c r="Q480" s="21"/>
      <c r="R480" s="20" t="n">
        <f aca="false">IF(AND($P480="Yes",$G480&lt;&gt;"Vendor day rates"),$J480-0.4*$I480,0)</f>
        <v>0</v>
      </c>
      <c r="S480" s="20" t="n">
        <f aca="false">IF(OR($P480&lt;&gt;"Yes",$Q480=""),0,$R480*MAX(0,7-MATCH($Q480,MonthList,0))/12)</f>
        <v>0</v>
      </c>
      <c r="T480" s="20" t="n">
        <f aca="false">IF(OR($P480&lt;&gt;"Yes",$Q480=""),0,$R480*IF(MATCH($Q480,MonthList,0)&lt;=7,12,19-MATCH($Q480,MonthList,0))/12)</f>
        <v>0</v>
      </c>
      <c r="U480" s="21" t="s">
        <v>59</v>
      </c>
      <c r="V480" s="21"/>
      <c r="W480" s="20" t="n">
        <f aca="false">IF(AND($U480="Yes",$G480&lt;&gt;"Vendor day rates"),$J480-0.4*$I480,0)</f>
        <v>0</v>
      </c>
      <c r="X480" s="20" t="n">
        <f aca="false">IF(OR($U480&lt;&gt;"Yes",$V480=""),0,$W480*MAX(0,7-MATCH($V480,MonthList,0))/12)</f>
        <v>0</v>
      </c>
      <c r="Y480" s="20" t="n">
        <f aca="false">IF(OR($U480&lt;&gt;"Yes",$V480=""),0,$W480*IF(MATCH($V480,MonthList,0)&lt;=7,12,19-MATCH($V480,MonthList,0))/12)</f>
        <v>0</v>
      </c>
    </row>
    <row r="481" customFormat="false" ht="15" hidden="false" customHeight="true" outlineLevel="0" collapsed="false">
      <c r="B481" s="22" t="s">
        <v>891</v>
      </c>
      <c r="C481" s="22" t="s">
        <v>117</v>
      </c>
      <c r="D481" s="22" t="s">
        <v>29</v>
      </c>
      <c r="E481" s="22" t="s">
        <v>313</v>
      </c>
      <c r="F481" s="23" t="s">
        <v>57</v>
      </c>
      <c r="G481" s="23" t="s">
        <v>58</v>
      </c>
      <c r="H481" s="23" t="n">
        <v>1</v>
      </c>
      <c r="I481" s="24" t="n">
        <v>0.194</v>
      </c>
      <c r="J481" s="24" t="n">
        <v>0.194</v>
      </c>
      <c r="K481" s="21" t="s">
        <v>59</v>
      </c>
      <c r="L481" s="21"/>
      <c r="M481" s="24" t="n">
        <f aca="false">IF(AND($K481="Yes",$G481&lt;&gt;"Vendor day rates"),$J481-0.4*$I481,0)</f>
        <v>0</v>
      </c>
      <c r="N481" s="24" t="n">
        <f aca="false">IF(OR($K481&lt;&gt;"Yes",$L481=""),0,$M481*MAX(0,7-MATCH($L481,MonthList,0))/12)</f>
        <v>0</v>
      </c>
      <c r="O481" s="24" t="n">
        <f aca="false">IF(OR($K481&lt;&gt;"Yes",$L481=""),0,$M481*IF(MATCH($L481,MonthList,0)&lt;=7,12,19-MATCH($L481,MonthList,0))/12)</f>
        <v>0</v>
      </c>
      <c r="P481" s="21" t="s">
        <v>59</v>
      </c>
      <c r="Q481" s="21"/>
      <c r="R481" s="24" t="n">
        <f aca="false">IF(AND($P481="Yes",$G481&lt;&gt;"Vendor day rates"),$J481-0.4*$I481,0)</f>
        <v>0</v>
      </c>
      <c r="S481" s="24" t="n">
        <f aca="false">IF(OR($P481&lt;&gt;"Yes",$Q481=""),0,$R481*MAX(0,7-MATCH($Q481,MonthList,0))/12)</f>
        <v>0</v>
      </c>
      <c r="T481" s="24" t="n">
        <f aca="false">IF(OR($P481&lt;&gt;"Yes",$Q481=""),0,$R481*IF(MATCH($Q481,MonthList,0)&lt;=7,12,19-MATCH($Q481,MonthList,0))/12)</f>
        <v>0</v>
      </c>
      <c r="U481" s="21" t="s">
        <v>59</v>
      </c>
      <c r="V481" s="21"/>
      <c r="W481" s="24" t="n">
        <f aca="false">IF(AND($U481="Yes",$G481&lt;&gt;"Vendor day rates"),$J481-0.4*$I481,0)</f>
        <v>0</v>
      </c>
      <c r="X481" s="24" t="n">
        <f aca="false">IF(OR($U481&lt;&gt;"Yes",$V481=""),0,$W481*MAX(0,7-MATCH($V481,MonthList,0))/12)</f>
        <v>0</v>
      </c>
      <c r="Y481" s="24" t="n">
        <f aca="false">IF(OR($U481&lt;&gt;"Yes",$V481=""),0,$W481*IF(MATCH($V481,MonthList,0)&lt;=7,12,19-MATCH($V481,MonthList,0))/12)</f>
        <v>0</v>
      </c>
    </row>
    <row r="482" customFormat="false" ht="15" hidden="false" customHeight="true" outlineLevel="0" collapsed="false">
      <c r="B482" s="18" t="s">
        <v>892</v>
      </c>
      <c r="C482" s="18" t="s">
        <v>117</v>
      </c>
      <c r="D482" s="18" t="s">
        <v>29</v>
      </c>
      <c r="E482" s="18" t="s">
        <v>549</v>
      </c>
      <c r="F482" s="19" t="s">
        <v>57</v>
      </c>
      <c r="G482" s="19" t="s">
        <v>462</v>
      </c>
      <c r="H482" s="19" t="n">
        <v>1</v>
      </c>
      <c r="I482" s="20" t="n">
        <v>0.1705</v>
      </c>
      <c r="J482" s="20" t="n">
        <v>0.0511</v>
      </c>
      <c r="K482" s="21" t="s">
        <v>59</v>
      </c>
      <c r="L482" s="21"/>
      <c r="M482" s="20" t="n">
        <f aca="false">IF(AND($K482="Yes",$G482&lt;&gt;"Vendor day rates"),$J482-0.4*$I482,0)</f>
        <v>0</v>
      </c>
      <c r="N482" s="20" t="n">
        <f aca="false">IF(OR($K482&lt;&gt;"Yes",$L482=""),0,$M482*MAX(0,7-MATCH($L482,MonthList,0))/12)</f>
        <v>0</v>
      </c>
      <c r="O482" s="20" t="n">
        <f aca="false">IF(OR($K482&lt;&gt;"Yes",$L482=""),0,$M482*IF(MATCH($L482,MonthList,0)&lt;=7,12,19-MATCH($L482,MonthList,0))/12)</f>
        <v>0</v>
      </c>
      <c r="P482" s="21" t="s">
        <v>59</v>
      </c>
      <c r="Q482" s="21"/>
      <c r="R482" s="20" t="n">
        <f aca="false">IF(AND($P482="Yes",$G482&lt;&gt;"Vendor day rates"),$J482-0.4*$I482,0)</f>
        <v>0</v>
      </c>
      <c r="S482" s="20" t="n">
        <f aca="false">IF(OR($P482&lt;&gt;"Yes",$Q482=""),0,$R482*MAX(0,7-MATCH($Q482,MonthList,0))/12)</f>
        <v>0</v>
      </c>
      <c r="T482" s="20" t="n">
        <f aca="false">IF(OR($P482&lt;&gt;"Yes",$Q482=""),0,$R482*IF(MATCH($Q482,MonthList,0)&lt;=7,12,19-MATCH($Q482,MonthList,0))/12)</f>
        <v>0</v>
      </c>
      <c r="U482" s="21" t="s">
        <v>59</v>
      </c>
      <c r="V482" s="21"/>
      <c r="W482" s="20" t="n">
        <f aca="false">IF(AND($U482="Yes",$G482&lt;&gt;"Vendor day rates"),$J482-0.4*$I482,0)</f>
        <v>0</v>
      </c>
      <c r="X482" s="20" t="n">
        <f aca="false">IF(OR($U482&lt;&gt;"Yes",$V482=""),0,$W482*MAX(0,7-MATCH($V482,MonthList,0))/12)</f>
        <v>0</v>
      </c>
      <c r="Y482" s="20" t="n">
        <f aca="false">IF(OR($U482&lt;&gt;"Yes",$V482=""),0,$W482*IF(MATCH($V482,MonthList,0)&lt;=7,12,19-MATCH($V482,MonthList,0))/12)</f>
        <v>0</v>
      </c>
    </row>
    <row r="483" customFormat="false" ht="15" hidden="false" customHeight="true" outlineLevel="0" collapsed="false">
      <c r="B483" s="22" t="s">
        <v>893</v>
      </c>
      <c r="C483" s="22" t="s">
        <v>117</v>
      </c>
      <c r="D483" s="22" t="s">
        <v>29</v>
      </c>
      <c r="E483" s="22" t="s">
        <v>549</v>
      </c>
      <c r="F483" s="23" t="s">
        <v>57</v>
      </c>
      <c r="G483" s="23" t="s">
        <v>462</v>
      </c>
      <c r="H483" s="23" t="n">
        <v>1</v>
      </c>
      <c r="I483" s="24" t="n">
        <v>0.1705</v>
      </c>
      <c r="J483" s="24" t="n">
        <v>0.0511</v>
      </c>
      <c r="K483" s="21" t="s">
        <v>59</v>
      </c>
      <c r="L483" s="21"/>
      <c r="M483" s="24" t="n">
        <f aca="false">IF(AND($K483="Yes",$G483&lt;&gt;"Vendor day rates"),$J483-0.4*$I483,0)</f>
        <v>0</v>
      </c>
      <c r="N483" s="24" t="n">
        <f aca="false">IF(OR($K483&lt;&gt;"Yes",$L483=""),0,$M483*MAX(0,7-MATCH($L483,MonthList,0))/12)</f>
        <v>0</v>
      </c>
      <c r="O483" s="24" t="n">
        <f aca="false">IF(OR($K483&lt;&gt;"Yes",$L483=""),0,$M483*IF(MATCH($L483,MonthList,0)&lt;=7,12,19-MATCH($L483,MonthList,0))/12)</f>
        <v>0</v>
      </c>
      <c r="P483" s="21" t="s">
        <v>59</v>
      </c>
      <c r="Q483" s="21"/>
      <c r="R483" s="24" t="n">
        <f aca="false">IF(AND($P483="Yes",$G483&lt;&gt;"Vendor day rates"),$J483-0.4*$I483,0)</f>
        <v>0</v>
      </c>
      <c r="S483" s="24" t="n">
        <f aca="false">IF(OR($P483&lt;&gt;"Yes",$Q483=""),0,$R483*MAX(0,7-MATCH($Q483,MonthList,0))/12)</f>
        <v>0</v>
      </c>
      <c r="T483" s="24" t="n">
        <f aca="false">IF(OR($P483&lt;&gt;"Yes",$Q483=""),0,$R483*IF(MATCH($Q483,MonthList,0)&lt;=7,12,19-MATCH($Q483,MonthList,0))/12)</f>
        <v>0</v>
      </c>
      <c r="U483" s="21" t="s">
        <v>59</v>
      </c>
      <c r="V483" s="21"/>
      <c r="W483" s="24" t="n">
        <f aca="false">IF(AND($U483="Yes",$G483&lt;&gt;"Vendor day rates"),$J483-0.4*$I483,0)</f>
        <v>0</v>
      </c>
      <c r="X483" s="24" t="n">
        <f aca="false">IF(OR($U483&lt;&gt;"Yes",$V483=""),0,$W483*MAX(0,7-MATCH($V483,MonthList,0))/12)</f>
        <v>0</v>
      </c>
      <c r="Y483" s="24" t="n">
        <f aca="false">IF(OR($U483&lt;&gt;"Yes",$V483=""),0,$W483*IF(MATCH($V483,MonthList,0)&lt;=7,12,19-MATCH($V483,MonthList,0))/12)</f>
        <v>0</v>
      </c>
    </row>
    <row r="484" customFormat="false" ht="15" hidden="false" customHeight="true" outlineLevel="0" collapsed="false">
      <c r="B484" s="18" t="s">
        <v>894</v>
      </c>
      <c r="C484" s="18" t="s">
        <v>117</v>
      </c>
      <c r="D484" s="18" t="s">
        <v>29</v>
      </c>
      <c r="E484" s="18" t="s">
        <v>549</v>
      </c>
      <c r="F484" s="19" t="s">
        <v>57</v>
      </c>
      <c r="G484" s="19" t="s">
        <v>462</v>
      </c>
      <c r="H484" s="19" t="n">
        <v>1</v>
      </c>
      <c r="I484" s="20" t="n">
        <v>0.2029</v>
      </c>
      <c r="J484" s="20" t="n">
        <v>0.0609</v>
      </c>
      <c r="K484" s="21" t="s">
        <v>59</v>
      </c>
      <c r="L484" s="21"/>
      <c r="M484" s="20" t="n">
        <f aca="false">IF(AND($K484="Yes",$G484&lt;&gt;"Vendor day rates"),$J484-0.4*$I484,0)</f>
        <v>0</v>
      </c>
      <c r="N484" s="20" t="n">
        <f aca="false">IF(OR($K484&lt;&gt;"Yes",$L484=""),0,$M484*MAX(0,7-MATCH($L484,MonthList,0))/12)</f>
        <v>0</v>
      </c>
      <c r="O484" s="20" t="n">
        <f aca="false">IF(OR($K484&lt;&gt;"Yes",$L484=""),0,$M484*IF(MATCH($L484,MonthList,0)&lt;=7,12,19-MATCH($L484,MonthList,0))/12)</f>
        <v>0</v>
      </c>
      <c r="P484" s="21" t="s">
        <v>59</v>
      </c>
      <c r="Q484" s="21"/>
      <c r="R484" s="20" t="n">
        <f aca="false">IF(AND($P484="Yes",$G484&lt;&gt;"Vendor day rates"),$J484-0.4*$I484,0)</f>
        <v>0</v>
      </c>
      <c r="S484" s="20" t="n">
        <f aca="false">IF(OR($P484&lt;&gt;"Yes",$Q484=""),0,$R484*MAX(0,7-MATCH($Q484,MonthList,0))/12)</f>
        <v>0</v>
      </c>
      <c r="T484" s="20" t="n">
        <f aca="false">IF(OR($P484&lt;&gt;"Yes",$Q484=""),0,$R484*IF(MATCH($Q484,MonthList,0)&lt;=7,12,19-MATCH($Q484,MonthList,0))/12)</f>
        <v>0</v>
      </c>
      <c r="U484" s="21" t="s">
        <v>59</v>
      </c>
      <c r="V484" s="21"/>
      <c r="W484" s="20" t="n">
        <f aca="false">IF(AND($U484="Yes",$G484&lt;&gt;"Vendor day rates"),$J484-0.4*$I484,0)</f>
        <v>0</v>
      </c>
      <c r="X484" s="20" t="n">
        <f aca="false">IF(OR($U484&lt;&gt;"Yes",$V484=""),0,$W484*MAX(0,7-MATCH($V484,MonthList,0))/12)</f>
        <v>0</v>
      </c>
      <c r="Y484" s="20" t="n">
        <f aca="false">IF(OR($U484&lt;&gt;"Yes",$V484=""),0,$W484*IF(MATCH($V484,MonthList,0)&lt;=7,12,19-MATCH($V484,MonthList,0))/12)</f>
        <v>0</v>
      </c>
    </row>
    <row r="485" customFormat="false" ht="15" hidden="false" customHeight="true" outlineLevel="0" collapsed="false">
      <c r="B485" s="22" t="s">
        <v>895</v>
      </c>
      <c r="C485" s="22" t="s">
        <v>896</v>
      </c>
      <c r="D485" s="22" t="s">
        <v>26</v>
      </c>
      <c r="E485" s="22" t="s">
        <v>191</v>
      </c>
      <c r="F485" s="23" t="s">
        <v>109</v>
      </c>
      <c r="G485" s="23" t="s">
        <v>58</v>
      </c>
      <c r="H485" s="23" t="n">
        <v>1</v>
      </c>
      <c r="I485" s="24" t="n">
        <v>0.1478</v>
      </c>
      <c r="J485" s="24" t="n">
        <v>0.1478</v>
      </c>
      <c r="K485" s="21" t="s">
        <v>59</v>
      </c>
      <c r="L485" s="21"/>
      <c r="M485" s="24" t="n">
        <f aca="false">IF(AND($K485="Yes",$G485&lt;&gt;"Vendor day rates"),$J485-0.4*$I485,0)</f>
        <v>0</v>
      </c>
      <c r="N485" s="24" t="n">
        <f aca="false">IF(OR($K485&lt;&gt;"Yes",$L485=""),0,$M485*MAX(0,7-MATCH($L485,MonthList,0))/12)</f>
        <v>0</v>
      </c>
      <c r="O485" s="24" t="n">
        <f aca="false">IF(OR($K485&lt;&gt;"Yes",$L485=""),0,$M485*IF(MATCH($L485,MonthList,0)&lt;=7,12,19-MATCH($L485,MonthList,0))/12)</f>
        <v>0</v>
      </c>
      <c r="P485" s="21" t="s">
        <v>59</v>
      </c>
      <c r="Q485" s="21"/>
      <c r="R485" s="24" t="n">
        <f aca="false">IF(AND($P485="Yes",$G485&lt;&gt;"Vendor day rates"),$J485-0.4*$I485,0)</f>
        <v>0</v>
      </c>
      <c r="S485" s="24" t="n">
        <f aca="false">IF(OR($P485&lt;&gt;"Yes",$Q485=""),0,$R485*MAX(0,7-MATCH($Q485,MonthList,0))/12)</f>
        <v>0</v>
      </c>
      <c r="T485" s="24" t="n">
        <f aca="false">IF(OR($P485&lt;&gt;"Yes",$Q485=""),0,$R485*IF(MATCH($Q485,MonthList,0)&lt;=7,12,19-MATCH($Q485,MonthList,0))/12)</f>
        <v>0</v>
      </c>
      <c r="U485" s="21" t="s">
        <v>59</v>
      </c>
      <c r="V485" s="21"/>
      <c r="W485" s="24" t="n">
        <f aca="false">IF(AND($U485="Yes",$G485&lt;&gt;"Vendor day rates"),$J485-0.4*$I485,0)</f>
        <v>0</v>
      </c>
      <c r="X485" s="24" t="n">
        <f aca="false">IF(OR($U485&lt;&gt;"Yes",$V485=""),0,$W485*MAX(0,7-MATCH($V485,MonthList,0))/12)</f>
        <v>0</v>
      </c>
      <c r="Y485" s="24" t="n">
        <f aca="false">IF(OR($U485&lt;&gt;"Yes",$V485=""),0,$W485*IF(MATCH($V485,MonthList,0)&lt;=7,12,19-MATCH($V485,MonthList,0))/12)</f>
        <v>0</v>
      </c>
    </row>
    <row r="486" customFormat="false" ht="15" hidden="false" customHeight="true" outlineLevel="0" collapsed="false">
      <c r="B486" s="18" t="s">
        <v>897</v>
      </c>
      <c r="C486" s="18" t="s">
        <v>896</v>
      </c>
      <c r="D486" s="18" t="s">
        <v>26</v>
      </c>
      <c r="E486" s="18" t="s">
        <v>191</v>
      </c>
      <c r="F486" s="19" t="s">
        <v>109</v>
      </c>
      <c r="G486" s="19" t="s">
        <v>145</v>
      </c>
      <c r="H486" s="19" t="n">
        <v>1</v>
      </c>
      <c r="I486" s="20" t="n">
        <v>0.1518</v>
      </c>
      <c r="J486" s="20" t="n">
        <v>0.1518</v>
      </c>
      <c r="K486" s="21" t="s">
        <v>59</v>
      </c>
      <c r="L486" s="21"/>
      <c r="M486" s="20" t="n">
        <f aca="false">IF(AND($K486="Yes",$G486&lt;&gt;"Vendor day rates"),$J486-0.4*$I486,0)</f>
        <v>0</v>
      </c>
      <c r="N486" s="20" t="n">
        <f aca="false">IF(OR($K486&lt;&gt;"Yes",$L486=""),0,$M486*MAX(0,7-MATCH($L486,MonthList,0))/12)</f>
        <v>0</v>
      </c>
      <c r="O486" s="20" t="n">
        <f aca="false">IF(OR($K486&lt;&gt;"Yes",$L486=""),0,$M486*IF(MATCH($L486,MonthList,0)&lt;=7,12,19-MATCH($L486,MonthList,0))/12)</f>
        <v>0</v>
      </c>
      <c r="P486" s="21" t="s">
        <v>59</v>
      </c>
      <c r="Q486" s="21"/>
      <c r="R486" s="20" t="n">
        <f aca="false">IF(AND($P486="Yes",$G486&lt;&gt;"Vendor day rates"),$J486-0.4*$I486,0)</f>
        <v>0</v>
      </c>
      <c r="S486" s="20" t="n">
        <f aca="false">IF(OR($P486&lt;&gt;"Yes",$Q486=""),0,$R486*MAX(0,7-MATCH($Q486,MonthList,0))/12)</f>
        <v>0</v>
      </c>
      <c r="T486" s="20" t="n">
        <f aca="false">IF(OR($P486&lt;&gt;"Yes",$Q486=""),0,$R486*IF(MATCH($Q486,MonthList,0)&lt;=7,12,19-MATCH($Q486,MonthList,0))/12)</f>
        <v>0</v>
      </c>
      <c r="U486" s="21" t="s">
        <v>59</v>
      </c>
      <c r="V486" s="21"/>
      <c r="W486" s="20" t="n">
        <f aca="false">IF(AND($U486="Yes",$G486&lt;&gt;"Vendor day rates"),$J486-0.4*$I486,0)</f>
        <v>0</v>
      </c>
      <c r="X486" s="20" t="n">
        <f aca="false">IF(OR($U486&lt;&gt;"Yes",$V486=""),0,$W486*MAX(0,7-MATCH($V486,MonthList,0))/12)</f>
        <v>0</v>
      </c>
      <c r="Y486" s="20" t="n">
        <f aca="false">IF(OR($U486&lt;&gt;"Yes",$V486=""),0,$W486*IF(MATCH($V486,MonthList,0)&lt;=7,12,19-MATCH($V486,MonthList,0))/12)</f>
        <v>0</v>
      </c>
    </row>
    <row r="487" customFormat="false" ht="15" hidden="false" customHeight="true" outlineLevel="0" collapsed="false">
      <c r="B487" s="22" t="s">
        <v>898</v>
      </c>
      <c r="C487" s="22" t="s">
        <v>755</v>
      </c>
      <c r="D487" s="22" t="s">
        <v>30</v>
      </c>
      <c r="E487" s="22" t="s">
        <v>433</v>
      </c>
      <c r="F487" s="23" t="s">
        <v>109</v>
      </c>
      <c r="G487" s="23" t="s">
        <v>118</v>
      </c>
      <c r="H487" s="23" t="n">
        <v>1</v>
      </c>
      <c r="I487" s="24" t="n">
        <v>0.1396</v>
      </c>
      <c r="J487" s="24" t="n">
        <v>0.0558</v>
      </c>
      <c r="K487" s="21" t="s">
        <v>59</v>
      </c>
      <c r="L487" s="21"/>
      <c r="M487" s="24" t="n">
        <f aca="false">IF(AND($K487="Yes",$G487&lt;&gt;"Vendor day rates"),$J487-0.4*$I487,0)</f>
        <v>0</v>
      </c>
      <c r="N487" s="24" t="n">
        <f aca="false">IF(OR($K487&lt;&gt;"Yes",$L487=""),0,$M487*MAX(0,7-MATCH($L487,MonthList,0))/12)</f>
        <v>0</v>
      </c>
      <c r="O487" s="24" t="n">
        <f aca="false">IF(OR($K487&lt;&gt;"Yes",$L487=""),0,$M487*IF(MATCH($L487,MonthList,0)&lt;=7,12,19-MATCH($L487,MonthList,0))/12)</f>
        <v>0</v>
      </c>
      <c r="P487" s="21" t="s">
        <v>59</v>
      </c>
      <c r="Q487" s="21"/>
      <c r="R487" s="24" t="n">
        <f aca="false">IF(AND($P487="Yes",$G487&lt;&gt;"Vendor day rates"),$J487-0.4*$I487,0)</f>
        <v>0</v>
      </c>
      <c r="S487" s="24" t="n">
        <f aca="false">IF(OR($P487&lt;&gt;"Yes",$Q487=""),0,$R487*MAX(0,7-MATCH($Q487,MonthList,0))/12)</f>
        <v>0</v>
      </c>
      <c r="T487" s="24" t="n">
        <f aca="false">IF(OR($P487&lt;&gt;"Yes",$Q487=""),0,$R487*IF(MATCH($Q487,MonthList,0)&lt;=7,12,19-MATCH($Q487,MonthList,0))/12)</f>
        <v>0</v>
      </c>
      <c r="U487" s="21" t="s">
        <v>59</v>
      </c>
      <c r="V487" s="21"/>
      <c r="W487" s="24" t="n">
        <f aca="false">IF(AND($U487="Yes",$G487&lt;&gt;"Vendor day rates"),$J487-0.4*$I487,0)</f>
        <v>0</v>
      </c>
      <c r="X487" s="24" t="n">
        <f aca="false">IF(OR($U487&lt;&gt;"Yes",$V487=""),0,$W487*MAX(0,7-MATCH($V487,MonthList,0))/12)</f>
        <v>0</v>
      </c>
      <c r="Y487" s="24" t="n">
        <f aca="false">IF(OR($U487&lt;&gt;"Yes",$V487=""),0,$W487*IF(MATCH($V487,MonthList,0)&lt;=7,12,19-MATCH($V487,MonthList,0))/12)</f>
        <v>0</v>
      </c>
    </row>
    <row r="488" customFormat="false" ht="15" hidden="false" customHeight="true" outlineLevel="0" collapsed="false">
      <c r="B488" s="18" t="s">
        <v>899</v>
      </c>
      <c r="C488" s="18" t="s">
        <v>900</v>
      </c>
      <c r="D488" s="18" t="s">
        <v>20</v>
      </c>
      <c r="E488" s="18" t="s">
        <v>275</v>
      </c>
      <c r="F488" s="19" t="s">
        <v>109</v>
      </c>
      <c r="G488" s="19" t="s">
        <v>58</v>
      </c>
      <c r="H488" s="19" t="n">
        <v>1</v>
      </c>
      <c r="I488" s="20" t="n">
        <v>0.1565</v>
      </c>
      <c r="J488" s="20" t="n">
        <v>0.1565</v>
      </c>
      <c r="K488" s="21" t="s">
        <v>59</v>
      </c>
      <c r="L488" s="21"/>
      <c r="M488" s="20" t="n">
        <f aca="false">IF(AND($K488="Yes",$G488&lt;&gt;"Vendor day rates"),$J488-0.4*$I488,0)</f>
        <v>0</v>
      </c>
      <c r="N488" s="20" t="n">
        <f aca="false">IF(OR($K488&lt;&gt;"Yes",$L488=""),0,$M488*MAX(0,7-MATCH($L488,MonthList,0))/12)</f>
        <v>0</v>
      </c>
      <c r="O488" s="20" t="n">
        <f aca="false">IF(OR($K488&lt;&gt;"Yes",$L488=""),0,$M488*IF(MATCH($L488,MonthList,0)&lt;=7,12,19-MATCH($L488,MonthList,0))/12)</f>
        <v>0</v>
      </c>
      <c r="P488" s="21" t="s">
        <v>59</v>
      </c>
      <c r="Q488" s="21"/>
      <c r="R488" s="20" t="n">
        <f aca="false">IF(AND($P488="Yes",$G488&lt;&gt;"Vendor day rates"),$J488-0.4*$I488,0)</f>
        <v>0</v>
      </c>
      <c r="S488" s="20" t="n">
        <f aca="false">IF(OR($P488&lt;&gt;"Yes",$Q488=""),0,$R488*MAX(0,7-MATCH($Q488,MonthList,0))/12)</f>
        <v>0</v>
      </c>
      <c r="T488" s="20" t="n">
        <f aca="false">IF(OR($P488&lt;&gt;"Yes",$Q488=""),0,$R488*IF(MATCH($Q488,MonthList,0)&lt;=7,12,19-MATCH($Q488,MonthList,0))/12)</f>
        <v>0</v>
      </c>
      <c r="U488" s="21" t="s">
        <v>59</v>
      </c>
      <c r="V488" s="21"/>
      <c r="W488" s="20" t="n">
        <f aca="false">IF(AND($U488="Yes",$G488&lt;&gt;"Vendor day rates"),$J488-0.4*$I488,0)</f>
        <v>0</v>
      </c>
      <c r="X488" s="20" t="n">
        <f aca="false">IF(OR($U488&lt;&gt;"Yes",$V488=""),0,$W488*MAX(0,7-MATCH($V488,MonthList,0))/12)</f>
        <v>0</v>
      </c>
      <c r="Y488" s="20" t="n">
        <f aca="false">IF(OR($U488&lt;&gt;"Yes",$V488=""),0,$W488*IF(MATCH($V488,MonthList,0)&lt;=7,12,19-MATCH($V488,MonthList,0))/12)</f>
        <v>0</v>
      </c>
    </row>
    <row r="489" customFormat="false" ht="15" hidden="false" customHeight="true" outlineLevel="0" collapsed="false">
      <c r="B489" s="22" t="s">
        <v>901</v>
      </c>
      <c r="C489" s="22" t="s">
        <v>117</v>
      </c>
      <c r="D489" s="22" t="s">
        <v>20</v>
      </c>
      <c r="E489" s="22" t="s">
        <v>351</v>
      </c>
      <c r="F489" s="23" t="s">
        <v>57</v>
      </c>
      <c r="G489" s="23" t="s">
        <v>145</v>
      </c>
      <c r="H489" s="23" t="n">
        <v>1</v>
      </c>
      <c r="I489" s="24" t="n">
        <v>0.1705</v>
      </c>
      <c r="J489" s="24" t="n">
        <v>0.1279</v>
      </c>
      <c r="K489" s="21" t="s">
        <v>59</v>
      </c>
      <c r="L489" s="21"/>
      <c r="M489" s="24" t="n">
        <f aca="false">IF(AND($K489="Yes",$G489&lt;&gt;"Vendor day rates"),$J489-0.4*$I489,0)</f>
        <v>0</v>
      </c>
      <c r="N489" s="24" t="n">
        <f aca="false">IF(OR($K489&lt;&gt;"Yes",$L489=""),0,$M489*MAX(0,7-MATCH($L489,MonthList,0))/12)</f>
        <v>0</v>
      </c>
      <c r="O489" s="24" t="n">
        <f aca="false">IF(OR($K489&lt;&gt;"Yes",$L489=""),0,$M489*IF(MATCH($L489,MonthList,0)&lt;=7,12,19-MATCH($L489,MonthList,0))/12)</f>
        <v>0</v>
      </c>
      <c r="P489" s="21" t="s">
        <v>59</v>
      </c>
      <c r="Q489" s="21"/>
      <c r="R489" s="24" t="n">
        <f aca="false">IF(AND($P489="Yes",$G489&lt;&gt;"Vendor day rates"),$J489-0.4*$I489,0)</f>
        <v>0</v>
      </c>
      <c r="S489" s="24" t="n">
        <f aca="false">IF(OR($P489&lt;&gt;"Yes",$Q489=""),0,$R489*MAX(0,7-MATCH($Q489,MonthList,0))/12)</f>
        <v>0</v>
      </c>
      <c r="T489" s="24" t="n">
        <f aca="false">IF(OR($P489&lt;&gt;"Yes",$Q489=""),0,$R489*IF(MATCH($Q489,MonthList,0)&lt;=7,12,19-MATCH($Q489,MonthList,0))/12)</f>
        <v>0</v>
      </c>
      <c r="U489" s="21" t="s">
        <v>59</v>
      </c>
      <c r="V489" s="21"/>
      <c r="W489" s="24" t="n">
        <f aca="false">IF(AND($U489="Yes",$G489&lt;&gt;"Vendor day rates"),$J489-0.4*$I489,0)</f>
        <v>0</v>
      </c>
      <c r="X489" s="24" t="n">
        <f aca="false">IF(OR($U489&lt;&gt;"Yes",$V489=""),0,$W489*MAX(0,7-MATCH($V489,MonthList,0))/12)</f>
        <v>0</v>
      </c>
      <c r="Y489" s="24" t="n">
        <f aca="false">IF(OR($U489&lt;&gt;"Yes",$V489=""),0,$W489*IF(MATCH($V489,MonthList,0)&lt;=7,12,19-MATCH($V489,MonthList,0))/12)</f>
        <v>0</v>
      </c>
    </row>
    <row r="490" customFormat="false" ht="15" hidden="false" customHeight="true" outlineLevel="0" collapsed="false">
      <c r="B490" s="18" t="s">
        <v>902</v>
      </c>
      <c r="C490" s="18" t="s">
        <v>597</v>
      </c>
      <c r="D490" s="18" t="s">
        <v>29</v>
      </c>
      <c r="E490" s="18" t="s">
        <v>769</v>
      </c>
      <c r="F490" s="19" t="s">
        <v>57</v>
      </c>
      <c r="G490" s="19" t="s">
        <v>145</v>
      </c>
      <c r="H490" s="19" t="n">
        <v>1</v>
      </c>
      <c r="I490" s="20" t="n">
        <v>0.1705</v>
      </c>
      <c r="J490" s="20" t="n">
        <v>0.1705</v>
      </c>
      <c r="K490" s="21" t="s">
        <v>59</v>
      </c>
      <c r="L490" s="21"/>
      <c r="M490" s="20" t="n">
        <f aca="false">IF(AND($K490="Yes",$G490&lt;&gt;"Vendor day rates"),$J490-0.4*$I490,0)</f>
        <v>0</v>
      </c>
      <c r="N490" s="20" t="n">
        <f aca="false">IF(OR($K490&lt;&gt;"Yes",$L490=""),0,$M490*MAX(0,7-MATCH($L490,MonthList,0))/12)</f>
        <v>0</v>
      </c>
      <c r="O490" s="20" t="n">
        <f aca="false">IF(OR($K490&lt;&gt;"Yes",$L490=""),0,$M490*IF(MATCH($L490,MonthList,0)&lt;=7,12,19-MATCH($L490,MonthList,0))/12)</f>
        <v>0</v>
      </c>
      <c r="P490" s="21" t="s">
        <v>59</v>
      </c>
      <c r="Q490" s="21"/>
      <c r="R490" s="20" t="n">
        <f aca="false">IF(AND($P490="Yes",$G490&lt;&gt;"Vendor day rates"),$J490-0.4*$I490,0)</f>
        <v>0</v>
      </c>
      <c r="S490" s="20" t="n">
        <f aca="false">IF(OR($P490&lt;&gt;"Yes",$Q490=""),0,$R490*MAX(0,7-MATCH($Q490,MonthList,0))/12)</f>
        <v>0</v>
      </c>
      <c r="T490" s="20" t="n">
        <f aca="false">IF(OR($P490&lt;&gt;"Yes",$Q490=""),0,$R490*IF(MATCH($Q490,MonthList,0)&lt;=7,12,19-MATCH($Q490,MonthList,0))/12)</f>
        <v>0</v>
      </c>
      <c r="U490" s="21" t="s">
        <v>59</v>
      </c>
      <c r="V490" s="21"/>
      <c r="W490" s="20" t="n">
        <f aca="false">IF(AND($U490="Yes",$G490&lt;&gt;"Vendor day rates"),$J490-0.4*$I490,0)</f>
        <v>0</v>
      </c>
      <c r="X490" s="20" t="n">
        <f aca="false">IF(OR($U490&lt;&gt;"Yes",$V490=""),0,$W490*MAX(0,7-MATCH($V490,MonthList,0))/12)</f>
        <v>0</v>
      </c>
      <c r="Y490" s="20" t="n">
        <f aca="false">IF(OR($U490&lt;&gt;"Yes",$V490=""),0,$W490*IF(MATCH($V490,MonthList,0)&lt;=7,12,19-MATCH($V490,MonthList,0))/12)</f>
        <v>0</v>
      </c>
    </row>
    <row r="491" customFormat="false" ht="15" hidden="false" customHeight="true" outlineLevel="0" collapsed="false">
      <c r="B491" s="22" t="s">
        <v>903</v>
      </c>
      <c r="C491" s="22" t="s">
        <v>597</v>
      </c>
      <c r="D491" s="22" t="s">
        <v>29</v>
      </c>
      <c r="E491" s="22" t="s">
        <v>549</v>
      </c>
      <c r="F491" s="23" t="s">
        <v>57</v>
      </c>
      <c r="G491" s="23" t="s">
        <v>145</v>
      </c>
      <c r="H491" s="23" t="n">
        <v>1</v>
      </c>
      <c r="I491" s="24" t="n">
        <v>0.2029</v>
      </c>
      <c r="J491" s="24" t="n">
        <v>0.2029</v>
      </c>
      <c r="K491" s="21" t="s">
        <v>59</v>
      </c>
      <c r="L491" s="21"/>
      <c r="M491" s="24" t="n">
        <f aca="false">IF(AND($K491="Yes",$G491&lt;&gt;"Vendor day rates"),$J491-0.4*$I491,0)</f>
        <v>0</v>
      </c>
      <c r="N491" s="24" t="n">
        <f aca="false">IF(OR($K491&lt;&gt;"Yes",$L491=""),0,$M491*MAX(0,7-MATCH($L491,MonthList,0))/12)</f>
        <v>0</v>
      </c>
      <c r="O491" s="24" t="n">
        <f aca="false">IF(OR($K491&lt;&gt;"Yes",$L491=""),0,$M491*IF(MATCH($L491,MonthList,0)&lt;=7,12,19-MATCH($L491,MonthList,0))/12)</f>
        <v>0</v>
      </c>
      <c r="P491" s="21" t="s">
        <v>59</v>
      </c>
      <c r="Q491" s="21"/>
      <c r="R491" s="24" t="n">
        <f aca="false">IF(AND($P491="Yes",$G491&lt;&gt;"Vendor day rates"),$J491-0.4*$I491,0)</f>
        <v>0</v>
      </c>
      <c r="S491" s="24" t="n">
        <f aca="false">IF(OR($P491&lt;&gt;"Yes",$Q491=""),0,$R491*MAX(0,7-MATCH($Q491,MonthList,0))/12)</f>
        <v>0</v>
      </c>
      <c r="T491" s="24" t="n">
        <f aca="false">IF(OR($P491&lt;&gt;"Yes",$Q491=""),0,$R491*IF(MATCH($Q491,MonthList,0)&lt;=7,12,19-MATCH($Q491,MonthList,0))/12)</f>
        <v>0</v>
      </c>
      <c r="U491" s="21" t="s">
        <v>59</v>
      </c>
      <c r="V491" s="21"/>
      <c r="W491" s="24" t="n">
        <f aca="false">IF(AND($U491="Yes",$G491&lt;&gt;"Vendor day rates"),$J491-0.4*$I491,0)</f>
        <v>0</v>
      </c>
      <c r="X491" s="24" t="n">
        <f aca="false">IF(OR($U491&lt;&gt;"Yes",$V491=""),0,$W491*MAX(0,7-MATCH($V491,MonthList,0))/12)</f>
        <v>0</v>
      </c>
      <c r="Y491" s="24" t="n">
        <f aca="false">IF(OR($U491&lt;&gt;"Yes",$V491=""),0,$W491*IF(MATCH($V491,MonthList,0)&lt;=7,12,19-MATCH($V491,MonthList,0))/12)</f>
        <v>0</v>
      </c>
    </row>
    <row r="492" customFormat="false" ht="15" hidden="false" customHeight="true" outlineLevel="0" collapsed="false">
      <c r="B492" s="18" t="s">
        <v>904</v>
      </c>
      <c r="C492" s="18" t="s">
        <v>117</v>
      </c>
      <c r="D492" s="18" t="s">
        <v>29</v>
      </c>
      <c r="E492" s="18" t="s">
        <v>776</v>
      </c>
      <c r="F492" s="19" t="s">
        <v>57</v>
      </c>
      <c r="G492" s="19" t="s">
        <v>58</v>
      </c>
      <c r="H492" s="19" t="n">
        <v>1</v>
      </c>
      <c r="I492" s="20" t="n">
        <v>0.1578</v>
      </c>
      <c r="J492" s="20" t="n">
        <v>0.1578</v>
      </c>
      <c r="K492" s="21" t="s">
        <v>59</v>
      </c>
      <c r="L492" s="21"/>
      <c r="M492" s="20" t="n">
        <f aca="false">IF(AND($K492="Yes",$G492&lt;&gt;"Vendor day rates"),$J492-0.4*$I492,0)</f>
        <v>0</v>
      </c>
      <c r="N492" s="20" t="n">
        <f aca="false">IF(OR($K492&lt;&gt;"Yes",$L492=""),0,$M492*MAX(0,7-MATCH($L492,MonthList,0))/12)</f>
        <v>0</v>
      </c>
      <c r="O492" s="20" t="n">
        <f aca="false">IF(OR($K492&lt;&gt;"Yes",$L492=""),0,$M492*IF(MATCH($L492,MonthList,0)&lt;=7,12,19-MATCH($L492,MonthList,0))/12)</f>
        <v>0</v>
      </c>
      <c r="P492" s="21" t="s">
        <v>59</v>
      </c>
      <c r="Q492" s="21"/>
      <c r="R492" s="20" t="n">
        <f aca="false">IF(AND($P492="Yes",$G492&lt;&gt;"Vendor day rates"),$J492-0.4*$I492,0)</f>
        <v>0</v>
      </c>
      <c r="S492" s="20" t="n">
        <f aca="false">IF(OR($P492&lt;&gt;"Yes",$Q492=""),0,$R492*MAX(0,7-MATCH($Q492,MonthList,0))/12)</f>
        <v>0</v>
      </c>
      <c r="T492" s="20" t="n">
        <f aca="false">IF(OR($P492&lt;&gt;"Yes",$Q492=""),0,$R492*IF(MATCH($Q492,MonthList,0)&lt;=7,12,19-MATCH($Q492,MonthList,0))/12)</f>
        <v>0</v>
      </c>
      <c r="U492" s="21" t="s">
        <v>59</v>
      </c>
      <c r="V492" s="21"/>
      <c r="W492" s="20" t="n">
        <f aca="false">IF(AND($U492="Yes",$G492&lt;&gt;"Vendor day rates"),$J492-0.4*$I492,0)</f>
        <v>0</v>
      </c>
      <c r="X492" s="20" t="n">
        <f aca="false">IF(OR($U492&lt;&gt;"Yes",$V492=""),0,$W492*MAX(0,7-MATCH($V492,MonthList,0))/12)</f>
        <v>0</v>
      </c>
      <c r="Y492" s="20" t="n">
        <f aca="false">IF(OR($U492&lt;&gt;"Yes",$V492=""),0,$W492*IF(MATCH($V492,MonthList,0)&lt;=7,12,19-MATCH($V492,MonthList,0))/12)</f>
        <v>0</v>
      </c>
    </row>
    <row r="493" customFormat="false" ht="15" hidden="false" customHeight="true" outlineLevel="0" collapsed="false">
      <c r="B493" s="22" t="s">
        <v>905</v>
      </c>
      <c r="C493" s="22" t="s">
        <v>597</v>
      </c>
      <c r="D493" s="22" t="s">
        <v>29</v>
      </c>
      <c r="E493" s="22" t="s">
        <v>776</v>
      </c>
      <c r="F493" s="23" t="s">
        <v>57</v>
      </c>
      <c r="G493" s="23" t="s">
        <v>58</v>
      </c>
      <c r="H493" s="23" t="n">
        <v>1</v>
      </c>
      <c r="I493" s="24" t="n">
        <v>0.2062</v>
      </c>
      <c r="J493" s="24" t="n">
        <v>0.2062</v>
      </c>
      <c r="K493" s="21" t="s">
        <v>59</v>
      </c>
      <c r="L493" s="21"/>
      <c r="M493" s="24" t="n">
        <f aca="false">IF(AND($K493="Yes",$G493&lt;&gt;"Vendor day rates"),$J493-0.4*$I493,0)</f>
        <v>0</v>
      </c>
      <c r="N493" s="24" t="n">
        <f aca="false">IF(OR($K493&lt;&gt;"Yes",$L493=""),0,$M493*MAX(0,7-MATCH($L493,MonthList,0))/12)</f>
        <v>0</v>
      </c>
      <c r="O493" s="24" t="n">
        <f aca="false">IF(OR($K493&lt;&gt;"Yes",$L493=""),0,$M493*IF(MATCH($L493,MonthList,0)&lt;=7,12,19-MATCH($L493,MonthList,0))/12)</f>
        <v>0</v>
      </c>
      <c r="P493" s="21" t="s">
        <v>59</v>
      </c>
      <c r="Q493" s="21"/>
      <c r="R493" s="24" t="n">
        <f aca="false">IF(AND($P493="Yes",$G493&lt;&gt;"Vendor day rates"),$J493-0.4*$I493,0)</f>
        <v>0</v>
      </c>
      <c r="S493" s="24" t="n">
        <f aca="false">IF(OR($P493&lt;&gt;"Yes",$Q493=""),0,$R493*MAX(0,7-MATCH($Q493,MonthList,0))/12)</f>
        <v>0</v>
      </c>
      <c r="T493" s="24" t="n">
        <f aca="false">IF(OR($P493&lt;&gt;"Yes",$Q493=""),0,$R493*IF(MATCH($Q493,MonthList,0)&lt;=7,12,19-MATCH($Q493,MonthList,0))/12)</f>
        <v>0</v>
      </c>
      <c r="U493" s="21" t="s">
        <v>59</v>
      </c>
      <c r="V493" s="21"/>
      <c r="W493" s="24" t="n">
        <f aca="false">IF(AND($U493="Yes",$G493&lt;&gt;"Vendor day rates"),$J493-0.4*$I493,0)</f>
        <v>0</v>
      </c>
      <c r="X493" s="24" t="n">
        <f aca="false">IF(OR($U493&lt;&gt;"Yes",$V493=""),0,$W493*MAX(0,7-MATCH($V493,MonthList,0))/12)</f>
        <v>0</v>
      </c>
      <c r="Y493" s="24" t="n">
        <f aca="false">IF(OR($U493&lt;&gt;"Yes",$V493=""),0,$W493*IF(MATCH($V493,MonthList,0)&lt;=7,12,19-MATCH($V493,MonthList,0))/12)</f>
        <v>0</v>
      </c>
    </row>
    <row r="494" customFormat="false" ht="15" hidden="false" customHeight="true" outlineLevel="0" collapsed="false">
      <c r="B494" s="18" t="s">
        <v>906</v>
      </c>
      <c r="C494" s="18" t="s">
        <v>597</v>
      </c>
      <c r="D494" s="18" t="s">
        <v>29</v>
      </c>
      <c r="E494" s="18" t="s">
        <v>776</v>
      </c>
      <c r="F494" s="19" t="s">
        <v>57</v>
      </c>
      <c r="G494" s="19" t="s">
        <v>145</v>
      </c>
      <c r="H494" s="19" t="n">
        <v>1</v>
      </c>
      <c r="I494" s="20" t="n">
        <v>0.2317</v>
      </c>
      <c r="J494" s="20" t="n">
        <v>0.2317</v>
      </c>
      <c r="K494" s="21" t="s">
        <v>59</v>
      </c>
      <c r="L494" s="21"/>
      <c r="M494" s="20" t="n">
        <f aca="false">IF(AND($K494="Yes",$G494&lt;&gt;"Vendor day rates"),$J494-0.4*$I494,0)</f>
        <v>0</v>
      </c>
      <c r="N494" s="20" t="n">
        <f aca="false">IF(OR($K494&lt;&gt;"Yes",$L494=""),0,$M494*MAX(0,7-MATCH($L494,MonthList,0))/12)</f>
        <v>0</v>
      </c>
      <c r="O494" s="20" t="n">
        <f aca="false">IF(OR($K494&lt;&gt;"Yes",$L494=""),0,$M494*IF(MATCH($L494,MonthList,0)&lt;=7,12,19-MATCH($L494,MonthList,0))/12)</f>
        <v>0</v>
      </c>
      <c r="P494" s="21" t="s">
        <v>59</v>
      </c>
      <c r="Q494" s="21"/>
      <c r="R494" s="20" t="n">
        <f aca="false">IF(AND($P494="Yes",$G494&lt;&gt;"Vendor day rates"),$J494-0.4*$I494,0)</f>
        <v>0</v>
      </c>
      <c r="S494" s="20" t="n">
        <f aca="false">IF(OR($P494&lt;&gt;"Yes",$Q494=""),0,$R494*MAX(0,7-MATCH($Q494,MonthList,0))/12)</f>
        <v>0</v>
      </c>
      <c r="T494" s="20" t="n">
        <f aca="false">IF(OR($P494&lt;&gt;"Yes",$Q494=""),0,$R494*IF(MATCH($Q494,MonthList,0)&lt;=7,12,19-MATCH($Q494,MonthList,0))/12)</f>
        <v>0</v>
      </c>
      <c r="U494" s="21" t="s">
        <v>59</v>
      </c>
      <c r="V494" s="21"/>
      <c r="W494" s="20" t="n">
        <f aca="false">IF(AND($U494="Yes",$G494&lt;&gt;"Vendor day rates"),$J494-0.4*$I494,0)</f>
        <v>0</v>
      </c>
      <c r="X494" s="20" t="n">
        <f aca="false">IF(OR($U494&lt;&gt;"Yes",$V494=""),0,$W494*MAX(0,7-MATCH($V494,MonthList,0))/12)</f>
        <v>0</v>
      </c>
      <c r="Y494" s="20" t="n">
        <f aca="false">IF(OR($U494&lt;&gt;"Yes",$V494=""),0,$W494*IF(MATCH($V494,MonthList,0)&lt;=7,12,19-MATCH($V494,MonthList,0))/12)</f>
        <v>0</v>
      </c>
    </row>
    <row r="495" customFormat="false" ht="15" hidden="false" customHeight="true" outlineLevel="0" collapsed="false">
      <c r="B495" s="22" t="s">
        <v>907</v>
      </c>
      <c r="C495" s="22" t="s">
        <v>789</v>
      </c>
      <c r="D495" s="22" t="s">
        <v>18</v>
      </c>
      <c r="E495" s="22" t="s">
        <v>66</v>
      </c>
      <c r="F495" s="23" t="s">
        <v>57</v>
      </c>
      <c r="G495" s="23" t="s">
        <v>58</v>
      </c>
      <c r="H495" s="23" t="n">
        <v>1</v>
      </c>
      <c r="I495" s="24" t="n">
        <v>0.1465</v>
      </c>
      <c r="J495" s="24" t="n">
        <v>0.1465</v>
      </c>
      <c r="K495" s="21" t="s">
        <v>59</v>
      </c>
      <c r="L495" s="21"/>
      <c r="M495" s="24" t="n">
        <f aca="false">IF(AND($K495="Yes",$G495&lt;&gt;"Vendor day rates"),$J495-0.4*$I495,0)</f>
        <v>0</v>
      </c>
      <c r="N495" s="24" t="n">
        <f aca="false">IF(OR($K495&lt;&gt;"Yes",$L495=""),0,$M495*MAX(0,7-MATCH($L495,MonthList,0))/12)</f>
        <v>0</v>
      </c>
      <c r="O495" s="24" t="n">
        <f aca="false">IF(OR($K495&lt;&gt;"Yes",$L495=""),0,$M495*IF(MATCH($L495,MonthList,0)&lt;=7,12,19-MATCH($L495,MonthList,0))/12)</f>
        <v>0</v>
      </c>
      <c r="P495" s="21" t="s">
        <v>59</v>
      </c>
      <c r="Q495" s="21"/>
      <c r="R495" s="24" t="n">
        <f aca="false">IF(AND($P495="Yes",$G495&lt;&gt;"Vendor day rates"),$J495-0.4*$I495,0)</f>
        <v>0</v>
      </c>
      <c r="S495" s="24" t="n">
        <f aca="false">IF(OR($P495&lt;&gt;"Yes",$Q495=""),0,$R495*MAX(0,7-MATCH($Q495,MonthList,0))/12)</f>
        <v>0</v>
      </c>
      <c r="T495" s="24" t="n">
        <f aca="false">IF(OR($P495&lt;&gt;"Yes",$Q495=""),0,$R495*IF(MATCH($Q495,MonthList,0)&lt;=7,12,19-MATCH($Q495,MonthList,0))/12)</f>
        <v>0</v>
      </c>
      <c r="U495" s="21" t="s">
        <v>59</v>
      </c>
      <c r="V495" s="21"/>
      <c r="W495" s="24" t="n">
        <f aca="false">IF(AND($U495="Yes",$G495&lt;&gt;"Vendor day rates"),$J495-0.4*$I495,0)</f>
        <v>0</v>
      </c>
      <c r="X495" s="24" t="n">
        <f aca="false">IF(OR($U495&lt;&gt;"Yes",$V495=""),0,$W495*MAX(0,7-MATCH($V495,MonthList,0))/12)</f>
        <v>0</v>
      </c>
      <c r="Y495" s="24" t="n">
        <f aca="false">IF(OR($U495&lt;&gt;"Yes",$V495=""),0,$W495*IF(MATCH($V495,MonthList,0)&lt;=7,12,19-MATCH($V495,MonthList,0))/12)</f>
        <v>0</v>
      </c>
    </row>
    <row r="496" customFormat="false" ht="15" hidden="false" customHeight="true" outlineLevel="0" collapsed="false">
      <c r="B496" s="18" t="s">
        <v>908</v>
      </c>
      <c r="C496" s="18" t="s">
        <v>909</v>
      </c>
      <c r="D496" s="18" t="s">
        <v>32</v>
      </c>
      <c r="E496" s="18" t="s">
        <v>333</v>
      </c>
      <c r="F496" s="19" t="s">
        <v>109</v>
      </c>
      <c r="G496" s="19" t="s">
        <v>58</v>
      </c>
      <c r="H496" s="19" t="n">
        <v>1</v>
      </c>
      <c r="I496" s="20" t="n">
        <v>0.1073</v>
      </c>
      <c r="J496" s="20" t="n">
        <v>0.1073</v>
      </c>
      <c r="K496" s="21" t="s">
        <v>59</v>
      </c>
      <c r="L496" s="21"/>
      <c r="M496" s="20" t="n">
        <f aca="false">IF(AND($K496="Yes",$G496&lt;&gt;"Vendor day rates"),$J496-0.4*$I496,0)</f>
        <v>0</v>
      </c>
      <c r="N496" s="20" t="n">
        <f aca="false">IF(OR($K496&lt;&gt;"Yes",$L496=""),0,$M496*MAX(0,7-MATCH($L496,MonthList,0))/12)</f>
        <v>0</v>
      </c>
      <c r="O496" s="20" t="n">
        <f aca="false">IF(OR($K496&lt;&gt;"Yes",$L496=""),0,$M496*IF(MATCH($L496,MonthList,0)&lt;=7,12,19-MATCH($L496,MonthList,0))/12)</f>
        <v>0</v>
      </c>
      <c r="P496" s="21" t="s">
        <v>59</v>
      </c>
      <c r="Q496" s="21"/>
      <c r="R496" s="20" t="n">
        <f aca="false">IF(AND($P496="Yes",$G496&lt;&gt;"Vendor day rates"),$J496-0.4*$I496,0)</f>
        <v>0</v>
      </c>
      <c r="S496" s="20" t="n">
        <f aca="false">IF(OR($P496&lt;&gt;"Yes",$Q496=""),0,$R496*MAX(0,7-MATCH($Q496,MonthList,0))/12)</f>
        <v>0</v>
      </c>
      <c r="T496" s="20" t="n">
        <f aca="false">IF(OR($P496&lt;&gt;"Yes",$Q496=""),0,$R496*IF(MATCH($Q496,MonthList,0)&lt;=7,12,19-MATCH($Q496,MonthList,0))/12)</f>
        <v>0</v>
      </c>
      <c r="U496" s="21" t="s">
        <v>59</v>
      </c>
      <c r="V496" s="21"/>
      <c r="W496" s="20" t="n">
        <f aca="false">IF(AND($U496="Yes",$G496&lt;&gt;"Vendor day rates"),$J496-0.4*$I496,0)</f>
        <v>0</v>
      </c>
      <c r="X496" s="20" t="n">
        <f aca="false">IF(OR($U496&lt;&gt;"Yes",$V496=""),0,$W496*MAX(0,7-MATCH($V496,MonthList,0))/12)</f>
        <v>0</v>
      </c>
      <c r="Y496" s="20" t="n">
        <f aca="false">IF(OR($U496&lt;&gt;"Yes",$V496=""),0,$W496*IF(MATCH($V496,MonthList,0)&lt;=7,12,19-MATCH($V496,MonthList,0))/12)</f>
        <v>0</v>
      </c>
    </row>
    <row r="497" customFormat="false" ht="15" hidden="false" customHeight="true" outlineLevel="0" collapsed="false">
      <c r="B497" s="22" t="s">
        <v>910</v>
      </c>
      <c r="C497" s="22" t="s">
        <v>117</v>
      </c>
      <c r="D497" s="22" t="s">
        <v>18</v>
      </c>
      <c r="E497" s="22" t="s">
        <v>62</v>
      </c>
      <c r="F497" s="23" t="s">
        <v>57</v>
      </c>
      <c r="G497" s="23" t="s">
        <v>118</v>
      </c>
      <c r="H497" s="23" t="n">
        <v>1</v>
      </c>
      <c r="I497" s="24" t="n">
        <v>0.1465</v>
      </c>
      <c r="J497" s="24" t="n">
        <v>0.0586</v>
      </c>
      <c r="K497" s="21" t="s">
        <v>59</v>
      </c>
      <c r="L497" s="21"/>
      <c r="M497" s="24" t="n">
        <f aca="false">IF(AND($K497="Yes",$G497&lt;&gt;"Vendor day rates"),$J497-0.4*$I497,0)</f>
        <v>0</v>
      </c>
      <c r="N497" s="24" t="n">
        <f aca="false">IF(OR($K497&lt;&gt;"Yes",$L497=""),0,$M497*MAX(0,7-MATCH($L497,MonthList,0))/12)</f>
        <v>0</v>
      </c>
      <c r="O497" s="24" t="n">
        <f aca="false">IF(OR($K497&lt;&gt;"Yes",$L497=""),0,$M497*IF(MATCH($L497,MonthList,0)&lt;=7,12,19-MATCH($L497,MonthList,0))/12)</f>
        <v>0</v>
      </c>
      <c r="P497" s="21" t="s">
        <v>59</v>
      </c>
      <c r="Q497" s="21"/>
      <c r="R497" s="24" t="n">
        <f aca="false">IF(AND($P497="Yes",$G497&lt;&gt;"Vendor day rates"),$J497-0.4*$I497,0)</f>
        <v>0</v>
      </c>
      <c r="S497" s="24" t="n">
        <f aca="false">IF(OR($P497&lt;&gt;"Yes",$Q497=""),0,$R497*MAX(0,7-MATCH($Q497,MonthList,0))/12)</f>
        <v>0</v>
      </c>
      <c r="T497" s="24" t="n">
        <f aca="false">IF(OR($P497&lt;&gt;"Yes",$Q497=""),0,$R497*IF(MATCH($Q497,MonthList,0)&lt;=7,12,19-MATCH($Q497,MonthList,0))/12)</f>
        <v>0</v>
      </c>
      <c r="U497" s="21" t="s">
        <v>59</v>
      </c>
      <c r="V497" s="21"/>
      <c r="W497" s="24" t="n">
        <f aca="false">IF(AND($U497="Yes",$G497&lt;&gt;"Vendor day rates"),$J497-0.4*$I497,0)</f>
        <v>0</v>
      </c>
      <c r="X497" s="24" t="n">
        <f aca="false">IF(OR($U497&lt;&gt;"Yes",$V497=""),0,$W497*MAX(0,7-MATCH($V497,MonthList,0))/12)</f>
        <v>0</v>
      </c>
      <c r="Y497" s="24" t="n">
        <f aca="false">IF(OR($U497&lt;&gt;"Yes",$V497=""),0,$W497*IF(MATCH($V497,MonthList,0)&lt;=7,12,19-MATCH($V497,MonthList,0))/12)</f>
        <v>0</v>
      </c>
    </row>
    <row r="498" customFormat="false" ht="15" hidden="false" customHeight="true" outlineLevel="0" collapsed="false">
      <c r="B498" s="18" t="s">
        <v>911</v>
      </c>
      <c r="C498" s="18" t="s">
        <v>912</v>
      </c>
      <c r="D498" s="18" t="s">
        <v>31</v>
      </c>
      <c r="E498" s="18" t="s">
        <v>359</v>
      </c>
      <c r="F498" s="19" t="s">
        <v>109</v>
      </c>
      <c r="G498" s="19" t="s">
        <v>58</v>
      </c>
      <c r="H498" s="19" t="n">
        <v>1</v>
      </c>
      <c r="I498" s="20" t="n">
        <v>0.1072</v>
      </c>
      <c r="J498" s="20" t="n">
        <v>0.1072</v>
      </c>
      <c r="K498" s="21" t="s">
        <v>59</v>
      </c>
      <c r="L498" s="21"/>
      <c r="M498" s="20" t="n">
        <f aca="false">IF(AND($K498="Yes",$G498&lt;&gt;"Vendor day rates"),$J498-0.4*$I498,0)</f>
        <v>0</v>
      </c>
      <c r="N498" s="20" t="n">
        <f aca="false">IF(OR($K498&lt;&gt;"Yes",$L498=""),0,$M498*MAX(0,7-MATCH($L498,MonthList,0))/12)</f>
        <v>0</v>
      </c>
      <c r="O498" s="20" t="n">
        <f aca="false">IF(OR($K498&lt;&gt;"Yes",$L498=""),0,$M498*IF(MATCH($L498,MonthList,0)&lt;=7,12,19-MATCH($L498,MonthList,0))/12)</f>
        <v>0</v>
      </c>
      <c r="P498" s="21" t="s">
        <v>59</v>
      </c>
      <c r="Q498" s="21"/>
      <c r="R498" s="20" t="n">
        <f aca="false">IF(AND($P498="Yes",$G498&lt;&gt;"Vendor day rates"),$J498-0.4*$I498,0)</f>
        <v>0</v>
      </c>
      <c r="S498" s="20" t="n">
        <f aca="false">IF(OR($P498&lt;&gt;"Yes",$Q498=""),0,$R498*MAX(0,7-MATCH($Q498,MonthList,0))/12)</f>
        <v>0</v>
      </c>
      <c r="T498" s="20" t="n">
        <f aca="false">IF(OR($P498&lt;&gt;"Yes",$Q498=""),0,$R498*IF(MATCH($Q498,MonthList,0)&lt;=7,12,19-MATCH($Q498,MonthList,0))/12)</f>
        <v>0</v>
      </c>
      <c r="U498" s="21" t="s">
        <v>59</v>
      </c>
      <c r="V498" s="21"/>
      <c r="W498" s="20" t="n">
        <f aca="false">IF(AND($U498="Yes",$G498&lt;&gt;"Vendor day rates"),$J498-0.4*$I498,0)</f>
        <v>0</v>
      </c>
      <c r="X498" s="20" t="n">
        <f aca="false">IF(OR($U498&lt;&gt;"Yes",$V498=""),0,$W498*MAX(0,7-MATCH($V498,MonthList,0))/12)</f>
        <v>0</v>
      </c>
      <c r="Y498" s="20" t="n">
        <f aca="false">IF(OR($U498&lt;&gt;"Yes",$V498=""),0,$W498*IF(MATCH($V498,MonthList,0)&lt;=7,12,19-MATCH($V498,MonthList,0))/12)</f>
        <v>0</v>
      </c>
    </row>
    <row r="499" customFormat="false" ht="15" hidden="false" customHeight="true" outlineLevel="0" collapsed="false">
      <c r="B499" s="22" t="s">
        <v>913</v>
      </c>
      <c r="C499" s="22" t="s">
        <v>117</v>
      </c>
      <c r="D499" s="22" t="s">
        <v>19</v>
      </c>
      <c r="E499" s="22" t="s">
        <v>374</v>
      </c>
      <c r="F499" s="23" t="s">
        <v>57</v>
      </c>
      <c r="G499" s="23" t="s">
        <v>58</v>
      </c>
      <c r="H499" s="23" t="n">
        <v>1</v>
      </c>
      <c r="I499" s="24" t="n">
        <v>0.1492</v>
      </c>
      <c r="J499" s="24" t="n">
        <v>0.1492</v>
      </c>
      <c r="K499" s="21" t="s">
        <v>59</v>
      </c>
      <c r="L499" s="21"/>
      <c r="M499" s="24" t="n">
        <f aca="false">IF(AND($K499="Yes",$G499&lt;&gt;"Vendor day rates"),$J499-0.4*$I499,0)</f>
        <v>0</v>
      </c>
      <c r="N499" s="24" t="n">
        <f aca="false">IF(OR($K499&lt;&gt;"Yes",$L499=""),0,$M499*MAX(0,7-MATCH($L499,MonthList,0))/12)</f>
        <v>0</v>
      </c>
      <c r="O499" s="24" t="n">
        <f aca="false">IF(OR($K499&lt;&gt;"Yes",$L499=""),0,$M499*IF(MATCH($L499,MonthList,0)&lt;=7,12,19-MATCH($L499,MonthList,0))/12)</f>
        <v>0</v>
      </c>
      <c r="P499" s="21" t="s">
        <v>59</v>
      </c>
      <c r="Q499" s="21"/>
      <c r="R499" s="24" t="n">
        <f aca="false">IF(AND($P499="Yes",$G499&lt;&gt;"Vendor day rates"),$J499-0.4*$I499,0)</f>
        <v>0</v>
      </c>
      <c r="S499" s="24" t="n">
        <f aca="false">IF(OR($P499&lt;&gt;"Yes",$Q499=""),0,$R499*MAX(0,7-MATCH($Q499,MonthList,0))/12)</f>
        <v>0</v>
      </c>
      <c r="T499" s="24" t="n">
        <f aca="false">IF(OR($P499&lt;&gt;"Yes",$Q499=""),0,$R499*IF(MATCH($Q499,MonthList,0)&lt;=7,12,19-MATCH($Q499,MonthList,0))/12)</f>
        <v>0</v>
      </c>
      <c r="U499" s="21" t="s">
        <v>59</v>
      </c>
      <c r="V499" s="21"/>
      <c r="W499" s="24" t="n">
        <f aca="false">IF(AND($U499="Yes",$G499&lt;&gt;"Vendor day rates"),$J499-0.4*$I499,0)</f>
        <v>0</v>
      </c>
      <c r="X499" s="24" t="n">
        <f aca="false">IF(OR($U499&lt;&gt;"Yes",$V499=""),0,$W499*MAX(0,7-MATCH($V499,MonthList,0))/12)</f>
        <v>0</v>
      </c>
      <c r="Y499" s="24" t="n">
        <f aca="false">IF(OR($U499&lt;&gt;"Yes",$V499=""),0,$W499*IF(MATCH($V499,MonthList,0)&lt;=7,12,19-MATCH($V499,MonthList,0))/12)</f>
        <v>0</v>
      </c>
    </row>
    <row r="500" customFormat="false" ht="15" hidden="false" customHeight="true" outlineLevel="0" collapsed="false">
      <c r="B500" s="18" t="s">
        <v>914</v>
      </c>
      <c r="C500" s="18" t="s">
        <v>823</v>
      </c>
      <c r="D500" s="18" t="s">
        <v>19</v>
      </c>
      <c r="E500" s="18" t="s">
        <v>374</v>
      </c>
      <c r="F500" s="19" t="s">
        <v>57</v>
      </c>
      <c r="G500" s="19" t="s">
        <v>58</v>
      </c>
      <c r="H500" s="19" t="n">
        <v>1</v>
      </c>
      <c r="I500" s="20" t="n">
        <v>0.1375</v>
      </c>
      <c r="J500" s="20" t="n">
        <v>0.1375</v>
      </c>
      <c r="K500" s="21" t="s">
        <v>59</v>
      </c>
      <c r="L500" s="21"/>
      <c r="M500" s="20" t="n">
        <f aca="false">IF(AND($K500="Yes",$G500&lt;&gt;"Vendor day rates"),$J500-0.4*$I500,0)</f>
        <v>0</v>
      </c>
      <c r="N500" s="20" t="n">
        <f aca="false">IF(OR($K500&lt;&gt;"Yes",$L500=""),0,$M500*MAX(0,7-MATCH($L500,MonthList,0))/12)</f>
        <v>0</v>
      </c>
      <c r="O500" s="20" t="n">
        <f aca="false">IF(OR($K500&lt;&gt;"Yes",$L500=""),0,$M500*IF(MATCH($L500,MonthList,0)&lt;=7,12,19-MATCH($L500,MonthList,0))/12)</f>
        <v>0</v>
      </c>
      <c r="P500" s="21" t="s">
        <v>59</v>
      </c>
      <c r="Q500" s="21"/>
      <c r="R500" s="20" t="n">
        <f aca="false">IF(AND($P500="Yes",$G500&lt;&gt;"Vendor day rates"),$J500-0.4*$I500,0)</f>
        <v>0</v>
      </c>
      <c r="S500" s="20" t="n">
        <f aca="false">IF(OR($P500&lt;&gt;"Yes",$Q500=""),0,$R500*MAX(0,7-MATCH($Q500,MonthList,0))/12)</f>
        <v>0</v>
      </c>
      <c r="T500" s="20" t="n">
        <f aca="false">IF(OR($P500&lt;&gt;"Yes",$Q500=""),0,$R500*IF(MATCH($Q500,MonthList,0)&lt;=7,12,19-MATCH($Q500,MonthList,0))/12)</f>
        <v>0</v>
      </c>
      <c r="U500" s="21" t="s">
        <v>59</v>
      </c>
      <c r="V500" s="21"/>
      <c r="W500" s="20" t="n">
        <f aca="false">IF(AND($U500="Yes",$G500&lt;&gt;"Vendor day rates"),$J500-0.4*$I500,0)</f>
        <v>0</v>
      </c>
      <c r="X500" s="20" t="n">
        <f aca="false">IF(OR($U500&lt;&gt;"Yes",$V500=""),0,$W500*MAX(0,7-MATCH($V500,MonthList,0))/12)</f>
        <v>0</v>
      </c>
      <c r="Y500" s="20" t="n">
        <f aca="false">IF(OR($U500&lt;&gt;"Yes",$V500=""),0,$W500*IF(MATCH($V500,MonthList,0)&lt;=7,12,19-MATCH($V500,MonthList,0))/12)</f>
        <v>0</v>
      </c>
    </row>
    <row r="501" customFormat="false" ht="15" hidden="false" customHeight="true" outlineLevel="0" collapsed="false">
      <c r="B501" s="22" t="s">
        <v>915</v>
      </c>
      <c r="C501" s="22" t="s">
        <v>916</v>
      </c>
      <c r="D501" s="22" t="s">
        <v>26</v>
      </c>
      <c r="E501" s="22" t="s">
        <v>160</v>
      </c>
      <c r="F501" s="23" t="s">
        <v>57</v>
      </c>
      <c r="G501" s="23" t="s">
        <v>58</v>
      </c>
      <c r="H501" s="23" t="n">
        <v>1</v>
      </c>
      <c r="I501" s="24" t="n">
        <v>0.1159</v>
      </c>
      <c r="J501" s="24" t="n">
        <v>0.1159</v>
      </c>
      <c r="K501" s="21" t="s">
        <v>59</v>
      </c>
      <c r="L501" s="21"/>
      <c r="M501" s="24" t="n">
        <f aca="false">IF(AND($K501="Yes",$G501&lt;&gt;"Vendor day rates"),$J501-0.4*$I501,0)</f>
        <v>0</v>
      </c>
      <c r="N501" s="24" t="n">
        <f aca="false">IF(OR($K501&lt;&gt;"Yes",$L501=""),0,$M501*MAX(0,7-MATCH($L501,MonthList,0))/12)</f>
        <v>0</v>
      </c>
      <c r="O501" s="24" t="n">
        <f aca="false">IF(OR($K501&lt;&gt;"Yes",$L501=""),0,$M501*IF(MATCH($L501,MonthList,0)&lt;=7,12,19-MATCH($L501,MonthList,0))/12)</f>
        <v>0</v>
      </c>
      <c r="P501" s="21" t="s">
        <v>59</v>
      </c>
      <c r="Q501" s="21"/>
      <c r="R501" s="24" t="n">
        <f aca="false">IF(AND($P501="Yes",$G501&lt;&gt;"Vendor day rates"),$J501-0.4*$I501,0)</f>
        <v>0</v>
      </c>
      <c r="S501" s="24" t="n">
        <f aca="false">IF(OR($P501&lt;&gt;"Yes",$Q501=""),0,$R501*MAX(0,7-MATCH($Q501,MonthList,0))/12)</f>
        <v>0</v>
      </c>
      <c r="T501" s="24" t="n">
        <f aca="false">IF(OR($P501&lt;&gt;"Yes",$Q501=""),0,$R501*IF(MATCH($Q501,MonthList,0)&lt;=7,12,19-MATCH($Q501,MonthList,0))/12)</f>
        <v>0</v>
      </c>
      <c r="U501" s="21" t="s">
        <v>59</v>
      </c>
      <c r="V501" s="21"/>
      <c r="W501" s="24" t="n">
        <f aca="false">IF(AND($U501="Yes",$G501&lt;&gt;"Vendor day rates"),$J501-0.4*$I501,0)</f>
        <v>0</v>
      </c>
      <c r="X501" s="24" t="n">
        <f aca="false">IF(OR($U501&lt;&gt;"Yes",$V501=""),0,$W501*MAX(0,7-MATCH($V501,MonthList,0))/12)</f>
        <v>0</v>
      </c>
      <c r="Y501" s="24" t="n">
        <f aca="false">IF(OR($U501&lt;&gt;"Yes",$V501=""),0,$W501*IF(MATCH($V501,MonthList,0)&lt;=7,12,19-MATCH($V501,MonthList,0))/12)</f>
        <v>0</v>
      </c>
    </row>
    <row r="502" customFormat="false" ht="15" hidden="false" customHeight="true" outlineLevel="0" collapsed="false">
      <c r="B502" s="18" t="s">
        <v>917</v>
      </c>
      <c r="C502" s="18" t="s">
        <v>918</v>
      </c>
      <c r="D502" s="18" t="s">
        <v>29</v>
      </c>
      <c r="E502" s="18" t="s">
        <v>557</v>
      </c>
      <c r="F502" s="19" t="s">
        <v>57</v>
      </c>
      <c r="G502" s="19" t="s">
        <v>58</v>
      </c>
      <c r="H502" s="19" t="n">
        <v>1</v>
      </c>
      <c r="I502" s="20" t="n">
        <v>0.1456</v>
      </c>
      <c r="J502" s="20" t="n">
        <v>0.1456</v>
      </c>
      <c r="K502" s="21" t="s">
        <v>59</v>
      </c>
      <c r="L502" s="21"/>
      <c r="M502" s="20" t="n">
        <f aca="false">IF(AND($K502="Yes",$G502&lt;&gt;"Vendor day rates"),$J502-0.4*$I502,0)</f>
        <v>0</v>
      </c>
      <c r="N502" s="20" t="n">
        <f aca="false">IF(OR($K502&lt;&gt;"Yes",$L502=""),0,$M502*MAX(0,7-MATCH($L502,MonthList,0))/12)</f>
        <v>0</v>
      </c>
      <c r="O502" s="20" t="n">
        <f aca="false">IF(OR($K502&lt;&gt;"Yes",$L502=""),0,$M502*IF(MATCH($L502,MonthList,0)&lt;=7,12,19-MATCH($L502,MonthList,0))/12)</f>
        <v>0</v>
      </c>
      <c r="P502" s="21" t="s">
        <v>59</v>
      </c>
      <c r="Q502" s="21"/>
      <c r="R502" s="20" t="n">
        <f aca="false">IF(AND($P502="Yes",$G502&lt;&gt;"Vendor day rates"),$J502-0.4*$I502,0)</f>
        <v>0</v>
      </c>
      <c r="S502" s="20" t="n">
        <f aca="false">IF(OR($P502&lt;&gt;"Yes",$Q502=""),0,$R502*MAX(0,7-MATCH($Q502,MonthList,0))/12)</f>
        <v>0</v>
      </c>
      <c r="T502" s="20" t="n">
        <f aca="false">IF(OR($P502&lt;&gt;"Yes",$Q502=""),0,$R502*IF(MATCH($Q502,MonthList,0)&lt;=7,12,19-MATCH($Q502,MonthList,0))/12)</f>
        <v>0</v>
      </c>
      <c r="U502" s="21" t="s">
        <v>59</v>
      </c>
      <c r="V502" s="21"/>
      <c r="W502" s="20" t="n">
        <f aca="false">IF(AND($U502="Yes",$G502&lt;&gt;"Vendor day rates"),$J502-0.4*$I502,0)</f>
        <v>0</v>
      </c>
      <c r="X502" s="20" t="n">
        <f aca="false">IF(OR($U502&lt;&gt;"Yes",$V502=""),0,$W502*MAX(0,7-MATCH($V502,MonthList,0))/12)</f>
        <v>0</v>
      </c>
      <c r="Y502" s="20" t="n">
        <f aca="false">IF(OR($U502&lt;&gt;"Yes",$V502=""),0,$W502*IF(MATCH($V502,MonthList,0)&lt;=7,12,19-MATCH($V502,MonthList,0))/12)</f>
        <v>0</v>
      </c>
    </row>
    <row r="503" customFormat="false" ht="15" hidden="false" customHeight="true" outlineLevel="0" collapsed="false">
      <c r="B503" s="22" t="s">
        <v>919</v>
      </c>
      <c r="C503" s="22" t="s">
        <v>920</v>
      </c>
      <c r="D503" s="22" t="s">
        <v>26</v>
      </c>
      <c r="E503" s="22" t="s">
        <v>191</v>
      </c>
      <c r="F503" s="23" t="s">
        <v>57</v>
      </c>
      <c r="G503" s="23" t="s">
        <v>58</v>
      </c>
      <c r="H503" s="23" t="n">
        <v>1</v>
      </c>
      <c r="I503" s="24" t="n">
        <v>0.1477</v>
      </c>
      <c r="J503" s="24" t="n">
        <v>0.1477</v>
      </c>
      <c r="K503" s="21" t="s">
        <v>59</v>
      </c>
      <c r="L503" s="21"/>
      <c r="M503" s="24" t="n">
        <f aca="false">IF(AND($K503="Yes",$G503&lt;&gt;"Vendor day rates"),$J503-0.4*$I503,0)</f>
        <v>0</v>
      </c>
      <c r="N503" s="24" t="n">
        <f aca="false">IF(OR($K503&lt;&gt;"Yes",$L503=""),0,$M503*MAX(0,7-MATCH($L503,MonthList,0))/12)</f>
        <v>0</v>
      </c>
      <c r="O503" s="24" t="n">
        <f aca="false">IF(OR($K503&lt;&gt;"Yes",$L503=""),0,$M503*IF(MATCH($L503,MonthList,0)&lt;=7,12,19-MATCH($L503,MonthList,0))/12)</f>
        <v>0</v>
      </c>
      <c r="P503" s="21" t="s">
        <v>59</v>
      </c>
      <c r="Q503" s="21"/>
      <c r="R503" s="24" t="n">
        <f aca="false">IF(AND($P503="Yes",$G503&lt;&gt;"Vendor day rates"),$J503-0.4*$I503,0)</f>
        <v>0</v>
      </c>
      <c r="S503" s="24" t="n">
        <f aca="false">IF(OR($P503&lt;&gt;"Yes",$Q503=""),0,$R503*MAX(0,7-MATCH($Q503,MonthList,0))/12)</f>
        <v>0</v>
      </c>
      <c r="T503" s="24" t="n">
        <f aca="false">IF(OR($P503&lt;&gt;"Yes",$Q503=""),0,$R503*IF(MATCH($Q503,MonthList,0)&lt;=7,12,19-MATCH($Q503,MonthList,0))/12)</f>
        <v>0</v>
      </c>
      <c r="U503" s="21" t="s">
        <v>59</v>
      </c>
      <c r="V503" s="21"/>
      <c r="W503" s="24" t="n">
        <f aca="false">IF(AND($U503="Yes",$G503&lt;&gt;"Vendor day rates"),$J503-0.4*$I503,0)</f>
        <v>0</v>
      </c>
      <c r="X503" s="24" t="n">
        <f aca="false">IF(OR($U503&lt;&gt;"Yes",$V503=""),0,$W503*MAX(0,7-MATCH($V503,MonthList,0))/12)</f>
        <v>0</v>
      </c>
      <c r="Y503" s="24" t="n">
        <f aca="false">IF(OR($U503&lt;&gt;"Yes",$V503=""),0,$W503*IF(MATCH($V503,MonthList,0)&lt;=7,12,19-MATCH($V503,MonthList,0))/12)</f>
        <v>0</v>
      </c>
    </row>
    <row r="504" customFormat="false" ht="15" hidden="false" customHeight="true" outlineLevel="0" collapsed="false">
      <c r="B504" s="18" t="s">
        <v>921</v>
      </c>
      <c r="C504" s="18" t="s">
        <v>117</v>
      </c>
      <c r="D504" s="18" t="s">
        <v>29</v>
      </c>
      <c r="E504" s="18" t="s">
        <v>769</v>
      </c>
      <c r="F504" s="19" t="s">
        <v>57</v>
      </c>
      <c r="G504" s="19" t="s">
        <v>58</v>
      </c>
      <c r="H504" s="19" t="n">
        <v>1</v>
      </c>
      <c r="I504" s="20" t="n">
        <v>0.1461</v>
      </c>
      <c r="J504" s="20" t="n">
        <v>0.1461</v>
      </c>
      <c r="K504" s="21" t="s">
        <v>59</v>
      </c>
      <c r="L504" s="21"/>
      <c r="M504" s="20" t="n">
        <f aca="false">IF(AND($K504="Yes",$G504&lt;&gt;"Vendor day rates"),$J504-0.4*$I504,0)</f>
        <v>0</v>
      </c>
      <c r="N504" s="20" t="n">
        <f aca="false">IF(OR($K504&lt;&gt;"Yes",$L504=""),0,$M504*MAX(0,7-MATCH($L504,MonthList,0))/12)</f>
        <v>0</v>
      </c>
      <c r="O504" s="20" t="n">
        <f aca="false">IF(OR($K504&lt;&gt;"Yes",$L504=""),0,$M504*IF(MATCH($L504,MonthList,0)&lt;=7,12,19-MATCH($L504,MonthList,0))/12)</f>
        <v>0</v>
      </c>
      <c r="P504" s="21" t="s">
        <v>59</v>
      </c>
      <c r="Q504" s="21"/>
      <c r="R504" s="20" t="n">
        <f aca="false">IF(AND($P504="Yes",$G504&lt;&gt;"Vendor day rates"),$J504-0.4*$I504,0)</f>
        <v>0</v>
      </c>
      <c r="S504" s="20" t="n">
        <f aca="false">IF(OR($P504&lt;&gt;"Yes",$Q504=""),0,$R504*MAX(0,7-MATCH($Q504,MonthList,0))/12)</f>
        <v>0</v>
      </c>
      <c r="T504" s="20" t="n">
        <f aca="false">IF(OR($P504&lt;&gt;"Yes",$Q504=""),0,$R504*IF(MATCH($Q504,MonthList,0)&lt;=7,12,19-MATCH($Q504,MonthList,0))/12)</f>
        <v>0</v>
      </c>
      <c r="U504" s="21" t="s">
        <v>59</v>
      </c>
      <c r="V504" s="21"/>
      <c r="W504" s="20" t="n">
        <f aca="false">IF(AND($U504="Yes",$G504&lt;&gt;"Vendor day rates"),$J504-0.4*$I504,0)</f>
        <v>0</v>
      </c>
      <c r="X504" s="20" t="n">
        <f aca="false">IF(OR($U504&lt;&gt;"Yes",$V504=""),0,$W504*MAX(0,7-MATCH($V504,MonthList,0))/12)</f>
        <v>0</v>
      </c>
      <c r="Y504" s="20" t="n">
        <f aca="false">IF(OR($U504&lt;&gt;"Yes",$V504=""),0,$W504*IF(MATCH($V504,MonthList,0)&lt;=7,12,19-MATCH($V504,MonthList,0))/12)</f>
        <v>0</v>
      </c>
    </row>
    <row r="505" customFormat="false" ht="15" hidden="false" customHeight="true" outlineLevel="0" collapsed="false">
      <c r="B505" s="22" t="s">
        <v>922</v>
      </c>
      <c r="C505" s="22" t="s">
        <v>923</v>
      </c>
      <c r="D505" s="22" t="s">
        <v>29</v>
      </c>
      <c r="E505" s="22" t="s">
        <v>313</v>
      </c>
      <c r="F505" s="23" t="s">
        <v>57</v>
      </c>
      <c r="G505" s="23" t="s">
        <v>58</v>
      </c>
      <c r="H505" s="23" t="n">
        <v>1</v>
      </c>
      <c r="I505" s="24" t="n">
        <v>0.1989</v>
      </c>
      <c r="J505" s="24" t="n">
        <v>0.1989</v>
      </c>
      <c r="K505" s="21" t="s">
        <v>59</v>
      </c>
      <c r="L505" s="21"/>
      <c r="M505" s="24" t="n">
        <f aca="false">IF(AND($K505="Yes",$G505&lt;&gt;"Vendor day rates"),$J505-0.4*$I505,0)</f>
        <v>0</v>
      </c>
      <c r="N505" s="24" t="n">
        <f aca="false">IF(OR($K505&lt;&gt;"Yes",$L505=""),0,$M505*MAX(0,7-MATCH($L505,MonthList,0))/12)</f>
        <v>0</v>
      </c>
      <c r="O505" s="24" t="n">
        <f aca="false">IF(OR($K505&lt;&gt;"Yes",$L505=""),0,$M505*IF(MATCH($L505,MonthList,0)&lt;=7,12,19-MATCH($L505,MonthList,0))/12)</f>
        <v>0</v>
      </c>
      <c r="P505" s="21" t="s">
        <v>59</v>
      </c>
      <c r="Q505" s="21"/>
      <c r="R505" s="24" t="n">
        <f aca="false">IF(AND($P505="Yes",$G505&lt;&gt;"Vendor day rates"),$J505-0.4*$I505,0)</f>
        <v>0</v>
      </c>
      <c r="S505" s="24" t="n">
        <f aca="false">IF(OR($P505&lt;&gt;"Yes",$Q505=""),0,$R505*MAX(0,7-MATCH($Q505,MonthList,0))/12)</f>
        <v>0</v>
      </c>
      <c r="T505" s="24" t="n">
        <f aca="false">IF(OR($P505&lt;&gt;"Yes",$Q505=""),0,$R505*IF(MATCH($Q505,MonthList,0)&lt;=7,12,19-MATCH($Q505,MonthList,0))/12)</f>
        <v>0</v>
      </c>
      <c r="U505" s="21" t="s">
        <v>59</v>
      </c>
      <c r="V505" s="21"/>
      <c r="W505" s="24" t="n">
        <f aca="false">IF(AND($U505="Yes",$G505&lt;&gt;"Vendor day rates"),$J505-0.4*$I505,0)</f>
        <v>0</v>
      </c>
      <c r="X505" s="24" t="n">
        <f aca="false">IF(OR($U505&lt;&gt;"Yes",$V505=""),0,$W505*MAX(0,7-MATCH($V505,MonthList,0))/12)</f>
        <v>0</v>
      </c>
      <c r="Y505" s="24" t="n">
        <f aca="false">IF(OR($U505&lt;&gt;"Yes",$V505=""),0,$W505*IF(MATCH($V505,MonthList,0)&lt;=7,12,19-MATCH($V505,MonthList,0))/12)</f>
        <v>0</v>
      </c>
    </row>
    <row r="506" customFormat="false" ht="15" hidden="false" customHeight="true" outlineLevel="0" collapsed="false">
      <c r="B506" s="18" t="s">
        <v>924</v>
      </c>
      <c r="C506" s="18" t="s">
        <v>925</v>
      </c>
      <c r="D506" s="18" t="s">
        <v>32</v>
      </c>
      <c r="E506" s="18" t="s">
        <v>333</v>
      </c>
      <c r="F506" s="19" t="s">
        <v>109</v>
      </c>
      <c r="G506" s="19" t="s">
        <v>58</v>
      </c>
      <c r="H506" s="19" t="n">
        <v>1</v>
      </c>
      <c r="I506" s="20" t="n">
        <v>0.105</v>
      </c>
      <c r="J506" s="20" t="n">
        <v>0.105</v>
      </c>
      <c r="K506" s="21" t="s">
        <v>59</v>
      </c>
      <c r="L506" s="21"/>
      <c r="M506" s="20" t="n">
        <f aca="false">IF(AND($K506="Yes",$G506&lt;&gt;"Vendor day rates"),$J506-0.4*$I506,0)</f>
        <v>0</v>
      </c>
      <c r="N506" s="20" t="n">
        <f aca="false">IF(OR($K506&lt;&gt;"Yes",$L506=""),0,$M506*MAX(0,7-MATCH($L506,MonthList,0))/12)</f>
        <v>0</v>
      </c>
      <c r="O506" s="20" t="n">
        <f aca="false">IF(OR($K506&lt;&gt;"Yes",$L506=""),0,$M506*IF(MATCH($L506,MonthList,0)&lt;=7,12,19-MATCH($L506,MonthList,0))/12)</f>
        <v>0</v>
      </c>
      <c r="P506" s="21" t="s">
        <v>59</v>
      </c>
      <c r="Q506" s="21"/>
      <c r="R506" s="20" t="n">
        <f aca="false">IF(AND($P506="Yes",$G506&lt;&gt;"Vendor day rates"),$J506-0.4*$I506,0)</f>
        <v>0</v>
      </c>
      <c r="S506" s="20" t="n">
        <f aca="false">IF(OR($P506&lt;&gt;"Yes",$Q506=""),0,$R506*MAX(0,7-MATCH($Q506,MonthList,0))/12)</f>
        <v>0</v>
      </c>
      <c r="T506" s="20" t="n">
        <f aca="false">IF(OR($P506&lt;&gt;"Yes",$Q506=""),0,$R506*IF(MATCH($Q506,MonthList,0)&lt;=7,12,19-MATCH($Q506,MonthList,0))/12)</f>
        <v>0</v>
      </c>
      <c r="U506" s="21" t="s">
        <v>59</v>
      </c>
      <c r="V506" s="21"/>
      <c r="W506" s="20" t="n">
        <f aca="false">IF(AND($U506="Yes",$G506&lt;&gt;"Vendor day rates"),$J506-0.4*$I506,0)</f>
        <v>0</v>
      </c>
      <c r="X506" s="20" t="n">
        <f aca="false">IF(OR($U506&lt;&gt;"Yes",$V506=""),0,$W506*MAX(0,7-MATCH($V506,MonthList,0))/12)</f>
        <v>0</v>
      </c>
      <c r="Y506" s="20" t="n">
        <f aca="false">IF(OR($U506&lt;&gt;"Yes",$V506=""),0,$W506*IF(MATCH($V506,MonthList,0)&lt;=7,12,19-MATCH($V506,MonthList,0))/12)</f>
        <v>0</v>
      </c>
    </row>
    <row r="507" customFormat="false" ht="15" hidden="false" customHeight="true" outlineLevel="0" collapsed="false">
      <c r="B507" s="22" t="s">
        <v>926</v>
      </c>
      <c r="C507" s="22" t="s">
        <v>927</v>
      </c>
      <c r="D507" s="22" t="s">
        <v>32</v>
      </c>
      <c r="E507" s="22" t="s">
        <v>333</v>
      </c>
      <c r="F507" s="23" t="s">
        <v>109</v>
      </c>
      <c r="G507" s="23" t="s">
        <v>58</v>
      </c>
      <c r="H507" s="23" t="n">
        <v>1</v>
      </c>
      <c r="I507" s="24" t="n">
        <v>0.1065</v>
      </c>
      <c r="J507" s="24" t="n">
        <v>0.1065</v>
      </c>
      <c r="K507" s="21" t="s">
        <v>59</v>
      </c>
      <c r="L507" s="21"/>
      <c r="M507" s="24" t="n">
        <f aca="false">IF(AND($K507="Yes",$G507&lt;&gt;"Vendor day rates"),$J507-0.4*$I507,0)</f>
        <v>0</v>
      </c>
      <c r="N507" s="24" t="n">
        <f aca="false">IF(OR($K507&lt;&gt;"Yes",$L507=""),0,$M507*MAX(0,7-MATCH($L507,MonthList,0))/12)</f>
        <v>0</v>
      </c>
      <c r="O507" s="24" t="n">
        <f aca="false">IF(OR($K507&lt;&gt;"Yes",$L507=""),0,$M507*IF(MATCH($L507,MonthList,0)&lt;=7,12,19-MATCH($L507,MonthList,0))/12)</f>
        <v>0</v>
      </c>
      <c r="P507" s="21" t="s">
        <v>59</v>
      </c>
      <c r="Q507" s="21"/>
      <c r="R507" s="24" t="n">
        <f aca="false">IF(AND($P507="Yes",$G507&lt;&gt;"Vendor day rates"),$J507-0.4*$I507,0)</f>
        <v>0</v>
      </c>
      <c r="S507" s="24" t="n">
        <f aca="false">IF(OR($P507&lt;&gt;"Yes",$Q507=""),0,$R507*MAX(0,7-MATCH($Q507,MonthList,0))/12)</f>
        <v>0</v>
      </c>
      <c r="T507" s="24" t="n">
        <f aca="false">IF(OR($P507&lt;&gt;"Yes",$Q507=""),0,$R507*IF(MATCH($Q507,MonthList,0)&lt;=7,12,19-MATCH($Q507,MonthList,0))/12)</f>
        <v>0</v>
      </c>
      <c r="U507" s="21" t="s">
        <v>59</v>
      </c>
      <c r="V507" s="21"/>
      <c r="W507" s="24" t="n">
        <f aca="false">IF(AND($U507="Yes",$G507&lt;&gt;"Vendor day rates"),$J507-0.4*$I507,0)</f>
        <v>0</v>
      </c>
      <c r="X507" s="24" t="n">
        <f aca="false">IF(OR($U507&lt;&gt;"Yes",$V507=""),0,$W507*MAX(0,7-MATCH($V507,MonthList,0))/12)</f>
        <v>0</v>
      </c>
      <c r="Y507" s="24" t="n">
        <f aca="false">IF(OR($U507&lt;&gt;"Yes",$V507=""),0,$W507*IF(MATCH($V507,MonthList,0)&lt;=7,12,19-MATCH($V507,MonthList,0))/12)</f>
        <v>0</v>
      </c>
    </row>
    <row r="508" customFormat="false" ht="15" hidden="false" customHeight="true" outlineLevel="0" collapsed="false">
      <c r="B508" s="18" t="s">
        <v>928</v>
      </c>
      <c r="C508" s="18" t="s">
        <v>929</v>
      </c>
      <c r="D508" s="18" t="s">
        <v>32</v>
      </c>
      <c r="E508" s="18" t="s">
        <v>333</v>
      </c>
      <c r="F508" s="19" t="s">
        <v>109</v>
      </c>
      <c r="G508" s="19" t="s">
        <v>58</v>
      </c>
      <c r="H508" s="19" t="n">
        <v>1</v>
      </c>
      <c r="I508" s="20" t="n">
        <v>0.1048</v>
      </c>
      <c r="J508" s="20" t="n">
        <v>0.1048</v>
      </c>
      <c r="K508" s="21" t="s">
        <v>59</v>
      </c>
      <c r="L508" s="21"/>
      <c r="M508" s="20" t="n">
        <f aca="false">IF(AND($K508="Yes",$G508&lt;&gt;"Vendor day rates"),$J508-0.4*$I508,0)</f>
        <v>0</v>
      </c>
      <c r="N508" s="20" t="n">
        <f aca="false">IF(OR($K508&lt;&gt;"Yes",$L508=""),0,$M508*MAX(0,7-MATCH($L508,MonthList,0))/12)</f>
        <v>0</v>
      </c>
      <c r="O508" s="20" t="n">
        <f aca="false">IF(OR($K508&lt;&gt;"Yes",$L508=""),0,$M508*IF(MATCH($L508,MonthList,0)&lt;=7,12,19-MATCH($L508,MonthList,0))/12)</f>
        <v>0</v>
      </c>
      <c r="P508" s="21" t="s">
        <v>59</v>
      </c>
      <c r="Q508" s="21"/>
      <c r="R508" s="20" t="n">
        <f aca="false">IF(AND($P508="Yes",$G508&lt;&gt;"Vendor day rates"),$J508-0.4*$I508,0)</f>
        <v>0</v>
      </c>
      <c r="S508" s="20" t="n">
        <f aca="false">IF(OR($P508&lt;&gt;"Yes",$Q508=""),0,$R508*MAX(0,7-MATCH($Q508,MonthList,0))/12)</f>
        <v>0</v>
      </c>
      <c r="T508" s="20" t="n">
        <f aca="false">IF(OR($P508&lt;&gt;"Yes",$Q508=""),0,$R508*IF(MATCH($Q508,MonthList,0)&lt;=7,12,19-MATCH($Q508,MonthList,0))/12)</f>
        <v>0</v>
      </c>
      <c r="U508" s="21" t="s">
        <v>59</v>
      </c>
      <c r="V508" s="21"/>
      <c r="W508" s="20" t="n">
        <f aca="false">IF(AND($U508="Yes",$G508&lt;&gt;"Vendor day rates"),$J508-0.4*$I508,0)</f>
        <v>0</v>
      </c>
      <c r="X508" s="20" t="n">
        <f aca="false">IF(OR($U508&lt;&gt;"Yes",$V508=""),0,$W508*MAX(0,7-MATCH($V508,MonthList,0))/12)</f>
        <v>0</v>
      </c>
      <c r="Y508" s="20" t="n">
        <f aca="false">IF(OR($U508&lt;&gt;"Yes",$V508=""),0,$W508*IF(MATCH($V508,MonthList,0)&lt;=7,12,19-MATCH($V508,MonthList,0))/12)</f>
        <v>0</v>
      </c>
    </row>
    <row r="509" customFormat="false" ht="15" hidden="false" customHeight="true" outlineLevel="0" collapsed="false">
      <c r="B509" s="22" t="s">
        <v>930</v>
      </c>
      <c r="C509" s="22" t="s">
        <v>916</v>
      </c>
      <c r="D509" s="22" t="s">
        <v>20</v>
      </c>
      <c r="E509" s="22" t="s">
        <v>351</v>
      </c>
      <c r="F509" s="23" t="s">
        <v>57</v>
      </c>
      <c r="G509" s="23" t="s">
        <v>292</v>
      </c>
      <c r="H509" s="23" t="n">
        <v>1</v>
      </c>
      <c r="I509" s="24" t="n">
        <v>0.1226</v>
      </c>
      <c r="J509" s="24" t="n">
        <v>0</v>
      </c>
      <c r="K509" s="21" t="s">
        <v>59</v>
      </c>
      <c r="L509" s="21"/>
      <c r="M509" s="24" t="n">
        <f aca="false">IF(AND($K509="Yes",$G509&lt;&gt;"Vendor day rates"),$J509-0.4*$I509,0)</f>
        <v>0</v>
      </c>
      <c r="N509" s="24" t="n">
        <f aca="false">IF(OR($K509&lt;&gt;"Yes",$L509=""),0,$M509*MAX(0,7-MATCH($L509,MonthList,0))/12)</f>
        <v>0</v>
      </c>
      <c r="O509" s="24" t="n">
        <f aca="false">IF(OR($K509&lt;&gt;"Yes",$L509=""),0,$M509*IF(MATCH($L509,MonthList,0)&lt;=7,12,19-MATCH($L509,MonthList,0))/12)</f>
        <v>0</v>
      </c>
      <c r="P509" s="21" t="s">
        <v>59</v>
      </c>
      <c r="Q509" s="21"/>
      <c r="R509" s="24" t="n">
        <f aca="false">IF(AND($P509="Yes",$G509&lt;&gt;"Vendor day rates"),$J509-0.4*$I509,0)</f>
        <v>0</v>
      </c>
      <c r="S509" s="24" t="n">
        <f aca="false">IF(OR($P509&lt;&gt;"Yes",$Q509=""),0,$R509*MAX(0,7-MATCH($Q509,MonthList,0))/12)</f>
        <v>0</v>
      </c>
      <c r="T509" s="24" t="n">
        <f aca="false">IF(OR($P509&lt;&gt;"Yes",$Q509=""),0,$R509*IF(MATCH($Q509,MonthList,0)&lt;=7,12,19-MATCH($Q509,MonthList,0))/12)</f>
        <v>0</v>
      </c>
      <c r="U509" s="21" t="s">
        <v>59</v>
      </c>
      <c r="V509" s="21"/>
      <c r="W509" s="24" t="n">
        <f aca="false">IF(AND($U509="Yes",$G509&lt;&gt;"Vendor day rates"),$J509-0.4*$I509,0)</f>
        <v>0</v>
      </c>
      <c r="X509" s="24" t="n">
        <f aca="false">IF(OR($U509&lt;&gt;"Yes",$V509=""),0,$W509*MAX(0,7-MATCH($V509,MonthList,0))/12)</f>
        <v>0</v>
      </c>
      <c r="Y509" s="24" t="n">
        <f aca="false">IF(OR($U509&lt;&gt;"Yes",$V509=""),0,$W509*IF(MATCH($V509,MonthList,0)&lt;=7,12,19-MATCH($V509,MonthList,0))/12)</f>
        <v>0</v>
      </c>
    </row>
    <row r="510" customFormat="false" ht="15" hidden="false" customHeight="true" outlineLevel="0" collapsed="false">
      <c r="B510" s="18" t="s">
        <v>931</v>
      </c>
      <c r="C510" s="18" t="s">
        <v>912</v>
      </c>
      <c r="D510" s="18" t="s">
        <v>31</v>
      </c>
      <c r="E510" s="18" t="s">
        <v>359</v>
      </c>
      <c r="F510" s="19" t="s">
        <v>109</v>
      </c>
      <c r="G510" s="19" t="s">
        <v>58</v>
      </c>
      <c r="H510" s="19" t="n">
        <v>1</v>
      </c>
      <c r="I510" s="20" t="n">
        <v>0.0969</v>
      </c>
      <c r="J510" s="20" t="n">
        <v>0.0969</v>
      </c>
      <c r="K510" s="21" t="s">
        <v>59</v>
      </c>
      <c r="L510" s="21"/>
      <c r="M510" s="20" t="n">
        <f aca="false">IF(AND($K510="Yes",$G510&lt;&gt;"Vendor day rates"),$J510-0.4*$I510,0)</f>
        <v>0</v>
      </c>
      <c r="N510" s="20" t="n">
        <f aca="false">IF(OR($K510&lt;&gt;"Yes",$L510=""),0,$M510*MAX(0,7-MATCH($L510,MonthList,0))/12)</f>
        <v>0</v>
      </c>
      <c r="O510" s="20" t="n">
        <f aca="false">IF(OR($K510&lt;&gt;"Yes",$L510=""),0,$M510*IF(MATCH($L510,MonthList,0)&lt;=7,12,19-MATCH($L510,MonthList,0))/12)</f>
        <v>0</v>
      </c>
      <c r="P510" s="21" t="s">
        <v>59</v>
      </c>
      <c r="Q510" s="21"/>
      <c r="R510" s="20" t="n">
        <f aca="false">IF(AND($P510="Yes",$G510&lt;&gt;"Vendor day rates"),$J510-0.4*$I510,0)</f>
        <v>0</v>
      </c>
      <c r="S510" s="20" t="n">
        <f aca="false">IF(OR($P510&lt;&gt;"Yes",$Q510=""),0,$R510*MAX(0,7-MATCH($Q510,MonthList,0))/12)</f>
        <v>0</v>
      </c>
      <c r="T510" s="20" t="n">
        <f aca="false">IF(OR($P510&lt;&gt;"Yes",$Q510=""),0,$R510*IF(MATCH($Q510,MonthList,0)&lt;=7,12,19-MATCH($Q510,MonthList,0))/12)</f>
        <v>0</v>
      </c>
      <c r="U510" s="21" t="s">
        <v>59</v>
      </c>
      <c r="V510" s="21"/>
      <c r="W510" s="20" t="n">
        <f aca="false">IF(AND($U510="Yes",$G510&lt;&gt;"Vendor day rates"),$J510-0.4*$I510,0)</f>
        <v>0</v>
      </c>
      <c r="X510" s="20" t="n">
        <f aca="false">IF(OR($U510&lt;&gt;"Yes",$V510=""),0,$W510*MAX(0,7-MATCH($V510,MonthList,0))/12)</f>
        <v>0</v>
      </c>
      <c r="Y510" s="20" t="n">
        <f aca="false">IF(OR($U510&lt;&gt;"Yes",$V510=""),0,$W510*IF(MATCH($V510,MonthList,0)&lt;=7,12,19-MATCH($V510,MonthList,0))/12)</f>
        <v>0</v>
      </c>
    </row>
    <row r="511" customFormat="false" ht="15" hidden="false" customHeight="true" outlineLevel="0" collapsed="false">
      <c r="B511" s="22" t="s">
        <v>932</v>
      </c>
      <c r="C511" s="22" t="s">
        <v>933</v>
      </c>
      <c r="D511" s="22" t="s">
        <v>19</v>
      </c>
      <c r="E511" s="22" t="s">
        <v>374</v>
      </c>
      <c r="F511" s="23" t="s">
        <v>109</v>
      </c>
      <c r="G511" s="23" t="s">
        <v>58</v>
      </c>
      <c r="H511" s="23" t="n">
        <v>1</v>
      </c>
      <c r="I511" s="24" t="n">
        <v>0.087</v>
      </c>
      <c r="J511" s="24" t="n">
        <v>0.087</v>
      </c>
      <c r="K511" s="21" t="s">
        <v>59</v>
      </c>
      <c r="L511" s="21"/>
      <c r="M511" s="24" t="n">
        <f aca="false">IF(AND($K511="Yes",$G511&lt;&gt;"Vendor day rates"),$J511-0.4*$I511,0)</f>
        <v>0</v>
      </c>
      <c r="N511" s="24" t="n">
        <f aca="false">IF(OR($K511&lt;&gt;"Yes",$L511=""),0,$M511*MAX(0,7-MATCH($L511,MonthList,0))/12)</f>
        <v>0</v>
      </c>
      <c r="O511" s="24" t="n">
        <f aca="false">IF(OR($K511&lt;&gt;"Yes",$L511=""),0,$M511*IF(MATCH($L511,MonthList,0)&lt;=7,12,19-MATCH($L511,MonthList,0))/12)</f>
        <v>0</v>
      </c>
      <c r="P511" s="21" t="s">
        <v>59</v>
      </c>
      <c r="Q511" s="21"/>
      <c r="R511" s="24" t="n">
        <f aca="false">IF(AND($P511="Yes",$G511&lt;&gt;"Vendor day rates"),$J511-0.4*$I511,0)</f>
        <v>0</v>
      </c>
      <c r="S511" s="24" t="n">
        <f aca="false">IF(OR($P511&lt;&gt;"Yes",$Q511=""),0,$R511*MAX(0,7-MATCH($Q511,MonthList,0))/12)</f>
        <v>0</v>
      </c>
      <c r="T511" s="24" t="n">
        <f aca="false">IF(OR($P511&lt;&gt;"Yes",$Q511=""),0,$R511*IF(MATCH($Q511,MonthList,0)&lt;=7,12,19-MATCH($Q511,MonthList,0))/12)</f>
        <v>0</v>
      </c>
      <c r="U511" s="21" t="s">
        <v>59</v>
      </c>
      <c r="V511" s="21"/>
      <c r="W511" s="24" t="n">
        <f aca="false">IF(AND($U511="Yes",$G511&lt;&gt;"Vendor day rates"),$J511-0.4*$I511,0)</f>
        <v>0</v>
      </c>
      <c r="X511" s="24" t="n">
        <f aca="false">IF(OR($U511&lt;&gt;"Yes",$V511=""),0,$W511*MAX(0,7-MATCH($V511,MonthList,0))/12)</f>
        <v>0</v>
      </c>
      <c r="Y511" s="24" t="n">
        <f aca="false">IF(OR($U511&lt;&gt;"Yes",$V511=""),0,$W511*IF(MATCH($V511,MonthList,0)&lt;=7,12,19-MATCH($V511,MonthList,0))/12)</f>
        <v>0</v>
      </c>
    </row>
    <row r="512" customFormat="false" ht="15" hidden="false" customHeight="true" outlineLevel="0" collapsed="false">
      <c r="B512" s="18" t="s">
        <v>934</v>
      </c>
      <c r="C512" s="18" t="s">
        <v>935</v>
      </c>
      <c r="D512" s="18" t="s">
        <v>19</v>
      </c>
      <c r="E512" s="18" t="s">
        <v>374</v>
      </c>
      <c r="F512" s="19" t="s">
        <v>57</v>
      </c>
      <c r="G512" s="19" t="s">
        <v>58</v>
      </c>
      <c r="H512" s="19" t="n">
        <v>1</v>
      </c>
      <c r="I512" s="20" t="n">
        <v>0.1101</v>
      </c>
      <c r="J512" s="20" t="n">
        <v>0.1101</v>
      </c>
      <c r="K512" s="21" t="s">
        <v>59</v>
      </c>
      <c r="L512" s="21"/>
      <c r="M512" s="20" t="n">
        <f aca="false">IF(AND($K512="Yes",$G512&lt;&gt;"Vendor day rates"),$J512-0.4*$I512,0)</f>
        <v>0</v>
      </c>
      <c r="N512" s="20" t="n">
        <f aca="false">IF(OR($K512&lt;&gt;"Yes",$L512=""),0,$M512*MAX(0,7-MATCH($L512,MonthList,0))/12)</f>
        <v>0</v>
      </c>
      <c r="O512" s="20" t="n">
        <f aca="false">IF(OR($K512&lt;&gt;"Yes",$L512=""),0,$M512*IF(MATCH($L512,MonthList,0)&lt;=7,12,19-MATCH($L512,MonthList,0))/12)</f>
        <v>0</v>
      </c>
      <c r="P512" s="21" t="s">
        <v>59</v>
      </c>
      <c r="Q512" s="21"/>
      <c r="R512" s="20" t="n">
        <f aca="false">IF(AND($P512="Yes",$G512&lt;&gt;"Vendor day rates"),$J512-0.4*$I512,0)</f>
        <v>0</v>
      </c>
      <c r="S512" s="20" t="n">
        <f aca="false">IF(OR($P512&lt;&gt;"Yes",$Q512=""),0,$R512*MAX(0,7-MATCH($Q512,MonthList,0))/12)</f>
        <v>0</v>
      </c>
      <c r="T512" s="20" t="n">
        <f aca="false">IF(OR($P512&lt;&gt;"Yes",$Q512=""),0,$R512*IF(MATCH($Q512,MonthList,0)&lt;=7,12,19-MATCH($Q512,MonthList,0))/12)</f>
        <v>0</v>
      </c>
      <c r="U512" s="21" t="s">
        <v>59</v>
      </c>
      <c r="V512" s="21"/>
      <c r="W512" s="20" t="n">
        <f aca="false">IF(AND($U512="Yes",$G512&lt;&gt;"Vendor day rates"),$J512-0.4*$I512,0)</f>
        <v>0</v>
      </c>
      <c r="X512" s="20" t="n">
        <f aca="false">IF(OR($U512&lt;&gt;"Yes",$V512=""),0,$W512*MAX(0,7-MATCH($V512,MonthList,0))/12)</f>
        <v>0</v>
      </c>
      <c r="Y512" s="20" t="n">
        <f aca="false">IF(OR($U512&lt;&gt;"Yes",$V512=""),0,$W512*IF(MATCH($V512,MonthList,0)&lt;=7,12,19-MATCH($V512,MonthList,0))/12)</f>
        <v>0</v>
      </c>
    </row>
    <row r="513" customFormat="false" ht="15" hidden="false" customHeight="true" outlineLevel="0" collapsed="false">
      <c r="B513" s="22" t="s">
        <v>936</v>
      </c>
      <c r="C513" s="22" t="s">
        <v>636</v>
      </c>
      <c r="D513" s="22" t="s">
        <v>31</v>
      </c>
      <c r="E513" s="22" t="s">
        <v>380</v>
      </c>
      <c r="F513" s="23" t="s">
        <v>109</v>
      </c>
      <c r="G513" s="23" t="s">
        <v>58</v>
      </c>
      <c r="H513" s="23" t="n">
        <v>1</v>
      </c>
      <c r="I513" s="24" t="n">
        <v>0.1745</v>
      </c>
      <c r="J513" s="24" t="n">
        <v>0.1745</v>
      </c>
      <c r="K513" s="21" t="s">
        <v>59</v>
      </c>
      <c r="L513" s="21"/>
      <c r="M513" s="24" t="n">
        <f aca="false">IF(AND($K513="Yes",$G513&lt;&gt;"Vendor day rates"),$J513-0.4*$I513,0)</f>
        <v>0</v>
      </c>
      <c r="N513" s="24" t="n">
        <f aca="false">IF(OR($K513&lt;&gt;"Yes",$L513=""),0,$M513*MAX(0,7-MATCH($L513,MonthList,0))/12)</f>
        <v>0</v>
      </c>
      <c r="O513" s="24" t="n">
        <f aca="false">IF(OR($K513&lt;&gt;"Yes",$L513=""),0,$M513*IF(MATCH($L513,MonthList,0)&lt;=7,12,19-MATCH($L513,MonthList,0))/12)</f>
        <v>0</v>
      </c>
      <c r="P513" s="21" t="s">
        <v>59</v>
      </c>
      <c r="Q513" s="21"/>
      <c r="R513" s="24" t="n">
        <f aca="false">IF(AND($P513="Yes",$G513&lt;&gt;"Vendor day rates"),$J513-0.4*$I513,0)</f>
        <v>0</v>
      </c>
      <c r="S513" s="24" t="n">
        <f aca="false">IF(OR($P513&lt;&gt;"Yes",$Q513=""),0,$R513*MAX(0,7-MATCH($Q513,MonthList,0))/12)</f>
        <v>0</v>
      </c>
      <c r="T513" s="24" t="n">
        <f aca="false">IF(OR($P513&lt;&gt;"Yes",$Q513=""),0,$R513*IF(MATCH($Q513,MonthList,0)&lt;=7,12,19-MATCH($Q513,MonthList,0))/12)</f>
        <v>0</v>
      </c>
      <c r="U513" s="21" t="s">
        <v>59</v>
      </c>
      <c r="V513" s="21"/>
      <c r="W513" s="24" t="n">
        <f aca="false">IF(AND($U513="Yes",$G513&lt;&gt;"Vendor day rates"),$J513-0.4*$I513,0)</f>
        <v>0</v>
      </c>
      <c r="X513" s="24" t="n">
        <f aca="false">IF(OR($U513&lt;&gt;"Yes",$V513=""),0,$W513*MAX(0,7-MATCH($V513,MonthList,0))/12)</f>
        <v>0</v>
      </c>
      <c r="Y513" s="24" t="n">
        <f aca="false">IF(OR($U513&lt;&gt;"Yes",$V513=""),0,$W513*IF(MATCH($V513,MonthList,0)&lt;=7,12,19-MATCH($V513,MonthList,0))/12)</f>
        <v>0</v>
      </c>
    </row>
    <row r="514" customFormat="false" ht="15" hidden="false" customHeight="true" outlineLevel="0" collapsed="false">
      <c r="B514" s="18" t="s">
        <v>937</v>
      </c>
      <c r="C514" s="18" t="s">
        <v>627</v>
      </c>
      <c r="D514" s="18" t="s">
        <v>31</v>
      </c>
      <c r="E514" s="18" t="s">
        <v>380</v>
      </c>
      <c r="F514" s="19" t="s">
        <v>109</v>
      </c>
      <c r="G514" s="19" t="s">
        <v>58</v>
      </c>
      <c r="H514" s="19" t="n">
        <v>1</v>
      </c>
      <c r="I514" s="20" t="n">
        <v>0.1901</v>
      </c>
      <c r="J514" s="20" t="n">
        <v>0.1901</v>
      </c>
      <c r="K514" s="21" t="s">
        <v>59</v>
      </c>
      <c r="L514" s="21"/>
      <c r="M514" s="20" t="n">
        <f aca="false">IF(AND($K514="Yes",$G514&lt;&gt;"Vendor day rates"),$J514-0.4*$I514,0)</f>
        <v>0</v>
      </c>
      <c r="N514" s="20" t="n">
        <f aca="false">IF(OR($K514&lt;&gt;"Yes",$L514=""),0,$M514*MAX(0,7-MATCH($L514,MonthList,0))/12)</f>
        <v>0</v>
      </c>
      <c r="O514" s="20" t="n">
        <f aca="false">IF(OR($K514&lt;&gt;"Yes",$L514=""),0,$M514*IF(MATCH($L514,MonthList,0)&lt;=7,12,19-MATCH($L514,MonthList,0))/12)</f>
        <v>0</v>
      </c>
      <c r="P514" s="21" t="s">
        <v>59</v>
      </c>
      <c r="Q514" s="21"/>
      <c r="R514" s="20" t="n">
        <f aca="false">IF(AND($P514="Yes",$G514&lt;&gt;"Vendor day rates"),$J514-0.4*$I514,0)</f>
        <v>0</v>
      </c>
      <c r="S514" s="20" t="n">
        <f aca="false">IF(OR($P514&lt;&gt;"Yes",$Q514=""),0,$R514*MAX(0,7-MATCH($Q514,MonthList,0))/12)</f>
        <v>0</v>
      </c>
      <c r="T514" s="20" t="n">
        <f aca="false">IF(OR($P514&lt;&gt;"Yes",$Q514=""),0,$R514*IF(MATCH($Q514,MonthList,0)&lt;=7,12,19-MATCH($Q514,MonthList,0))/12)</f>
        <v>0</v>
      </c>
      <c r="U514" s="21" t="s">
        <v>59</v>
      </c>
      <c r="V514" s="21"/>
      <c r="W514" s="20" t="n">
        <f aca="false">IF(AND($U514="Yes",$G514&lt;&gt;"Vendor day rates"),$J514-0.4*$I514,0)</f>
        <v>0</v>
      </c>
      <c r="X514" s="20" t="n">
        <f aca="false">IF(OR($U514&lt;&gt;"Yes",$V514=""),0,$W514*MAX(0,7-MATCH($V514,MonthList,0))/12)</f>
        <v>0</v>
      </c>
      <c r="Y514" s="20" t="n">
        <f aca="false">IF(OR($U514&lt;&gt;"Yes",$V514=""),0,$W514*IF(MATCH($V514,MonthList,0)&lt;=7,12,19-MATCH($V514,MonthList,0))/12)</f>
        <v>0</v>
      </c>
    </row>
    <row r="515" customFormat="false" ht="15" hidden="false" customHeight="true" outlineLevel="0" collapsed="false">
      <c r="B515" s="22" t="s">
        <v>938</v>
      </c>
      <c r="C515" s="22" t="s">
        <v>623</v>
      </c>
      <c r="D515" s="22" t="s">
        <v>19</v>
      </c>
      <c r="E515" s="22" t="s">
        <v>390</v>
      </c>
      <c r="F515" s="23" t="s">
        <v>109</v>
      </c>
      <c r="G515" s="23" t="s">
        <v>58</v>
      </c>
      <c r="H515" s="23" t="n">
        <v>1</v>
      </c>
      <c r="I515" s="24" t="n">
        <v>0.1017</v>
      </c>
      <c r="J515" s="24" t="n">
        <v>0.1017</v>
      </c>
      <c r="K515" s="21" t="s">
        <v>59</v>
      </c>
      <c r="L515" s="21"/>
      <c r="M515" s="24" t="n">
        <f aca="false">IF(AND($K515="Yes",$G515&lt;&gt;"Vendor day rates"),$J515-0.4*$I515,0)</f>
        <v>0</v>
      </c>
      <c r="N515" s="24" t="n">
        <f aca="false">IF(OR($K515&lt;&gt;"Yes",$L515=""),0,$M515*MAX(0,7-MATCH($L515,MonthList,0))/12)</f>
        <v>0</v>
      </c>
      <c r="O515" s="24" t="n">
        <f aca="false">IF(OR($K515&lt;&gt;"Yes",$L515=""),0,$M515*IF(MATCH($L515,MonthList,0)&lt;=7,12,19-MATCH($L515,MonthList,0))/12)</f>
        <v>0</v>
      </c>
      <c r="P515" s="21" t="s">
        <v>59</v>
      </c>
      <c r="Q515" s="21"/>
      <c r="R515" s="24" t="n">
        <f aca="false">IF(AND($P515="Yes",$G515&lt;&gt;"Vendor day rates"),$J515-0.4*$I515,0)</f>
        <v>0</v>
      </c>
      <c r="S515" s="24" t="n">
        <f aca="false">IF(OR($P515&lt;&gt;"Yes",$Q515=""),0,$R515*MAX(0,7-MATCH($Q515,MonthList,0))/12)</f>
        <v>0</v>
      </c>
      <c r="T515" s="24" t="n">
        <f aca="false">IF(OR($P515&lt;&gt;"Yes",$Q515=""),0,$R515*IF(MATCH($Q515,MonthList,0)&lt;=7,12,19-MATCH($Q515,MonthList,0))/12)</f>
        <v>0</v>
      </c>
      <c r="U515" s="21" t="s">
        <v>59</v>
      </c>
      <c r="V515" s="21"/>
      <c r="W515" s="24" t="n">
        <f aca="false">IF(AND($U515="Yes",$G515&lt;&gt;"Vendor day rates"),$J515-0.4*$I515,0)</f>
        <v>0</v>
      </c>
      <c r="X515" s="24" t="n">
        <f aca="false">IF(OR($U515&lt;&gt;"Yes",$V515=""),0,$W515*MAX(0,7-MATCH($V515,MonthList,0))/12)</f>
        <v>0</v>
      </c>
      <c r="Y515" s="24" t="n">
        <f aca="false">IF(OR($U515&lt;&gt;"Yes",$V515=""),0,$W515*IF(MATCH($V515,MonthList,0)&lt;=7,12,19-MATCH($V515,MonthList,0))/12)</f>
        <v>0</v>
      </c>
    </row>
    <row r="516" customFormat="false" ht="15" hidden="false" customHeight="true" outlineLevel="0" collapsed="false">
      <c r="B516" s="18" t="s">
        <v>939</v>
      </c>
      <c r="C516" s="18" t="s">
        <v>940</v>
      </c>
      <c r="D516" s="18" t="s">
        <v>24</v>
      </c>
      <c r="E516" s="18" t="s">
        <v>426</v>
      </c>
      <c r="F516" s="19" t="s">
        <v>109</v>
      </c>
      <c r="G516" s="19" t="s">
        <v>58</v>
      </c>
      <c r="H516" s="19" t="n">
        <v>1</v>
      </c>
      <c r="I516" s="20" t="n">
        <v>0.1074</v>
      </c>
      <c r="J516" s="20" t="n">
        <v>0.1074</v>
      </c>
      <c r="K516" s="21" t="s">
        <v>59</v>
      </c>
      <c r="L516" s="21"/>
      <c r="M516" s="20" t="n">
        <f aca="false">IF(AND($K516="Yes",$G516&lt;&gt;"Vendor day rates"),$J516-0.4*$I516,0)</f>
        <v>0</v>
      </c>
      <c r="N516" s="20" t="n">
        <f aca="false">IF(OR($K516&lt;&gt;"Yes",$L516=""),0,$M516*MAX(0,7-MATCH($L516,MonthList,0))/12)</f>
        <v>0</v>
      </c>
      <c r="O516" s="20" t="n">
        <f aca="false">IF(OR($K516&lt;&gt;"Yes",$L516=""),0,$M516*IF(MATCH($L516,MonthList,0)&lt;=7,12,19-MATCH($L516,MonthList,0))/12)</f>
        <v>0</v>
      </c>
      <c r="P516" s="21" t="s">
        <v>59</v>
      </c>
      <c r="Q516" s="21"/>
      <c r="R516" s="20" t="n">
        <f aca="false">IF(AND($P516="Yes",$G516&lt;&gt;"Vendor day rates"),$J516-0.4*$I516,0)</f>
        <v>0</v>
      </c>
      <c r="S516" s="20" t="n">
        <f aca="false">IF(OR($P516&lt;&gt;"Yes",$Q516=""),0,$R516*MAX(0,7-MATCH($Q516,MonthList,0))/12)</f>
        <v>0</v>
      </c>
      <c r="T516" s="20" t="n">
        <f aca="false">IF(OR($P516&lt;&gt;"Yes",$Q516=""),0,$R516*IF(MATCH($Q516,MonthList,0)&lt;=7,12,19-MATCH($Q516,MonthList,0))/12)</f>
        <v>0</v>
      </c>
      <c r="U516" s="21" t="s">
        <v>59</v>
      </c>
      <c r="V516" s="21"/>
      <c r="W516" s="20" t="n">
        <f aca="false">IF(AND($U516="Yes",$G516&lt;&gt;"Vendor day rates"),$J516-0.4*$I516,0)</f>
        <v>0</v>
      </c>
      <c r="X516" s="20" t="n">
        <f aca="false">IF(OR($U516&lt;&gt;"Yes",$V516=""),0,$W516*MAX(0,7-MATCH($V516,MonthList,0))/12)</f>
        <v>0</v>
      </c>
      <c r="Y516" s="20" t="n">
        <f aca="false">IF(OR($U516&lt;&gt;"Yes",$V516=""),0,$W516*IF(MATCH($V516,MonthList,0)&lt;=7,12,19-MATCH($V516,MonthList,0))/12)</f>
        <v>0</v>
      </c>
    </row>
    <row r="517" customFormat="false" ht="15" hidden="false" customHeight="true" outlineLevel="0" collapsed="false">
      <c r="B517" s="22" t="s">
        <v>941</v>
      </c>
      <c r="C517" s="22" t="s">
        <v>935</v>
      </c>
      <c r="D517" s="22" t="s">
        <v>26</v>
      </c>
      <c r="E517" s="22" t="s">
        <v>160</v>
      </c>
      <c r="F517" s="23" t="s">
        <v>57</v>
      </c>
      <c r="G517" s="23" t="s">
        <v>58</v>
      </c>
      <c r="H517" s="23" t="n">
        <v>1</v>
      </c>
      <c r="I517" s="24" t="n">
        <v>0.1101</v>
      </c>
      <c r="J517" s="24" t="n">
        <v>0.1101</v>
      </c>
      <c r="K517" s="21" t="s">
        <v>59</v>
      </c>
      <c r="L517" s="21"/>
      <c r="M517" s="24" t="n">
        <f aca="false">IF(AND($K517="Yes",$G517&lt;&gt;"Vendor day rates"),$J517-0.4*$I517,0)</f>
        <v>0</v>
      </c>
      <c r="N517" s="24" t="n">
        <f aca="false">IF(OR($K517&lt;&gt;"Yes",$L517=""),0,$M517*MAX(0,7-MATCH($L517,MonthList,0))/12)</f>
        <v>0</v>
      </c>
      <c r="O517" s="24" t="n">
        <f aca="false">IF(OR($K517&lt;&gt;"Yes",$L517=""),0,$M517*IF(MATCH($L517,MonthList,0)&lt;=7,12,19-MATCH($L517,MonthList,0))/12)</f>
        <v>0</v>
      </c>
      <c r="P517" s="21" t="s">
        <v>59</v>
      </c>
      <c r="Q517" s="21"/>
      <c r="R517" s="24" t="n">
        <f aca="false">IF(AND($P517="Yes",$G517&lt;&gt;"Vendor day rates"),$J517-0.4*$I517,0)</f>
        <v>0</v>
      </c>
      <c r="S517" s="24" t="n">
        <f aca="false">IF(OR($P517&lt;&gt;"Yes",$Q517=""),0,$R517*MAX(0,7-MATCH($Q517,MonthList,0))/12)</f>
        <v>0</v>
      </c>
      <c r="T517" s="24" t="n">
        <f aca="false">IF(OR($P517&lt;&gt;"Yes",$Q517=""),0,$R517*IF(MATCH($Q517,MonthList,0)&lt;=7,12,19-MATCH($Q517,MonthList,0))/12)</f>
        <v>0</v>
      </c>
      <c r="U517" s="21" t="s">
        <v>59</v>
      </c>
      <c r="V517" s="21"/>
      <c r="W517" s="24" t="n">
        <f aca="false">IF(AND($U517="Yes",$G517&lt;&gt;"Vendor day rates"),$J517-0.4*$I517,0)</f>
        <v>0</v>
      </c>
      <c r="X517" s="24" t="n">
        <f aca="false">IF(OR($U517&lt;&gt;"Yes",$V517=""),0,$W517*MAX(0,7-MATCH($V517,MonthList,0))/12)</f>
        <v>0</v>
      </c>
      <c r="Y517" s="24" t="n">
        <f aca="false">IF(OR($U517&lt;&gt;"Yes",$V517=""),0,$W517*IF(MATCH($V517,MonthList,0)&lt;=7,12,19-MATCH($V517,MonthList,0))/12)</f>
        <v>0</v>
      </c>
    </row>
    <row r="518" customFormat="false" ht="15" hidden="false" customHeight="true" outlineLevel="0" collapsed="false">
      <c r="B518" s="18" t="s">
        <v>942</v>
      </c>
      <c r="C518" s="18" t="s">
        <v>661</v>
      </c>
      <c r="D518" s="18" t="s">
        <v>31</v>
      </c>
      <c r="E518" s="18" t="s">
        <v>516</v>
      </c>
      <c r="F518" s="19" t="s">
        <v>109</v>
      </c>
      <c r="G518" s="19" t="s">
        <v>58</v>
      </c>
      <c r="H518" s="19" t="n">
        <v>1</v>
      </c>
      <c r="I518" s="20" t="n">
        <v>0.2123</v>
      </c>
      <c r="J518" s="20" t="n">
        <v>0.2123</v>
      </c>
      <c r="K518" s="21" t="s">
        <v>59</v>
      </c>
      <c r="L518" s="21"/>
      <c r="M518" s="20" t="n">
        <f aca="false">IF(AND($K518="Yes",$G518&lt;&gt;"Vendor day rates"),$J518-0.4*$I518,0)</f>
        <v>0</v>
      </c>
      <c r="N518" s="20" t="n">
        <f aca="false">IF(OR($K518&lt;&gt;"Yes",$L518=""),0,$M518*MAX(0,7-MATCH($L518,MonthList,0))/12)</f>
        <v>0</v>
      </c>
      <c r="O518" s="20" t="n">
        <f aca="false">IF(OR($K518&lt;&gt;"Yes",$L518=""),0,$M518*IF(MATCH($L518,MonthList,0)&lt;=7,12,19-MATCH($L518,MonthList,0))/12)</f>
        <v>0</v>
      </c>
      <c r="P518" s="21" t="s">
        <v>59</v>
      </c>
      <c r="Q518" s="21"/>
      <c r="R518" s="20" t="n">
        <f aca="false">IF(AND($P518="Yes",$G518&lt;&gt;"Vendor day rates"),$J518-0.4*$I518,0)</f>
        <v>0</v>
      </c>
      <c r="S518" s="20" t="n">
        <f aca="false">IF(OR($P518&lt;&gt;"Yes",$Q518=""),0,$R518*MAX(0,7-MATCH($Q518,MonthList,0))/12)</f>
        <v>0</v>
      </c>
      <c r="T518" s="20" t="n">
        <f aca="false">IF(OR($P518&lt;&gt;"Yes",$Q518=""),0,$R518*IF(MATCH($Q518,MonthList,0)&lt;=7,12,19-MATCH($Q518,MonthList,0))/12)</f>
        <v>0</v>
      </c>
      <c r="U518" s="21" t="s">
        <v>59</v>
      </c>
      <c r="V518" s="21"/>
      <c r="W518" s="20" t="n">
        <f aca="false">IF(AND($U518="Yes",$G518&lt;&gt;"Vendor day rates"),$J518-0.4*$I518,0)</f>
        <v>0</v>
      </c>
      <c r="X518" s="20" t="n">
        <f aca="false">IF(OR($U518&lt;&gt;"Yes",$V518=""),0,$W518*MAX(0,7-MATCH($V518,MonthList,0))/12)</f>
        <v>0</v>
      </c>
      <c r="Y518" s="20" t="n">
        <f aca="false">IF(OR($U518&lt;&gt;"Yes",$V518=""),0,$W518*IF(MATCH($V518,MonthList,0)&lt;=7,12,19-MATCH($V518,MonthList,0))/12)</f>
        <v>0</v>
      </c>
    </row>
    <row r="519" customFormat="false" ht="15" hidden="false" customHeight="true" outlineLevel="0" collapsed="false">
      <c r="B519" s="22" t="s">
        <v>943</v>
      </c>
      <c r="C519" s="22" t="s">
        <v>916</v>
      </c>
      <c r="D519" s="22" t="s">
        <v>26</v>
      </c>
      <c r="E519" s="22" t="s">
        <v>160</v>
      </c>
      <c r="F519" s="23" t="s">
        <v>109</v>
      </c>
      <c r="G519" s="23" t="s">
        <v>58</v>
      </c>
      <c r="H519" s="23" t="n">
        <v>1</v>
      </c>
      <c r="I519" s="24" t="n">
        <v>0.0898</v>
      </c>
      <c r="J519" s="24" t="n">
        <v>0.0898</v>
      </c>
      <c r="K519" s="21" t="s">
        <v>59</v>
      </c>
      <c r="L519" s="21"/>
      <c r="M519" s="24" t="n">
        <f aca="false">IF(AND($K519="Yes",$G519&lt;&gt;"Vendor day rates"),$J519-0.4*$I519,0)</f>
        <v>0</v>
      </c>
      <c r="N519" s="24" t="n">
        <f aca="false">IF(OR($K519&lt;&gt;"Yes",$L519=""),0,$M519*MAX(0,7-MATCH($L519,MonthList,0))/12)</f>
        <v>0</v>
      </c>
      <c r="O519" s="24" t="n">
        <f aca="false">IF(OR($K519&lt;&gt;"Yes",$L519=""),0,$M519*IF(MATCH($L519,MonthList,0)&lt;=7,12,19-MATCH($L519,MonthList,0))/12)</f>
        <v>0</v>
      </c>
      <c r="P519" s="21" t="s">
        <v>59</v>
      </c>
      <c r="Q519" s="21"/>
      <c r="R519" s="24" t="n">
        <f aca="false">IF(AND($P519="Yes",$G519&lt;&gt;"Vendor day rates"),$J519-0.4*$I519,0)</f>
        <v>0</v>
      </c>
      <c r="S519" s="24" t="n">
        <f aca="false">IF(OR($P519&lt;&gt;"Yes",$Q519=""),0,$R519*MAX(0,7-MATCH($Q519,MonthList,0))/12)</f>
        <v>0</v>
      </c>
      <c r="T519" s="24" t="n">
        <f aca="false">IF(OR($P519&lt;&gt;"Yes",$Q519=""),0,$R519*IF(MATCH($Q519,MonthList,0)&lt;=7,12,19-MATCH($Q519,MonthList,0))/12)</f>
        <v>0</v>
      </c>
      <c r="U519" s="21" t="s">
        <v>59</v>
      </c>
      <c r="V519" s="21"/>
      <c r="W519" s="24" t="n">
        <f aca="false">IF(AND($U519="Yes",$G519&lt;&gt;"Vendor day rates"),$J519-0.4*$I519,0)</f>
        <v>0</v>
      </c>
      <c r="X519" s="24" t="n">
        <f aca="false">IF(OR($U519&lt;&gt;"Yes",$V519=""),0,$W519*MAX(0,7-MATCH($V519,MonthList,0))/12)</f>
        <v>0</v>
      </c>
      <c r="Y519" s="24" t="n">
        <f aca="false">IF(OR($U519&lt;&gt;"Yes",$V519=""),0,$W519*IF(MATCH($V519,MonthList,0)&lt;=7,12,19-MATCH($V519,MonthList,0))/12)</f>
        <v>0</v>
      </c>
    </row>
    <row r="520" customFormat="false" ht="15" hidden="false" customHeight="true" outlineLevel="0" collapsed="false">
      <c r="B520" s="18" t="s">
        <v>944</v>
      </c>
      <c r="C520" s="18" t="s">
        <v>916</v>
      </c>
      <c r="D520" s="18" t="s">
        <v>26</v>
      </c>
      <c r="E520" s="18" t="s">
        <v>160</v>
      </c>
      <c r="F520" s="19" t="s">
        <v>109</v>
      </c>
      <c r="G520" s="19" t="s">
        <v>58</v>
      </c>
      <c r="H520" s="19" t="n">
        <v>1</v>
      </c>
      <c r="I520" s="20" t="n">
        <v>0.0972</v>
      </c>
      <c r="J520" s="20" t="n">
        <v>0.0972</v>
      </c>
      <c r="K520" s="21" t="s">
        <v>59</v>
      </c>
      <c r="L520" s="21"/>
      <c r="M520" s="20" t="n">
        <f aca="false">IF(AND($K520="Yes",$G520&lt;&gt;"Vendor day rates"),$J520-0.4*$I520,0)</f>
        <v>0</v>
      </c>
      <c r="N520" s="20" t="n">
        <f aca="false">IF(OR($K520&lt;&gt;"Yes",$L520=""),0,$M520*MAX(0,7-MATCH($L520,MonthList,0))/12)</f>
        <v>0</v>
      </c>
      <c r="O520" s="20" t="n">
        <f aca="false">IF(OR($K520&lt;&gt;"Yes",$L520=""),0,$M520*IF(MATCH($L520,MonthList,0)&lt;=7,12,19-MATCH($L520,MonthList,0))/12)</f>
        <v>0</v>
      </c>
      <c r="P520" s="21" t="s">
        <v>59</v>
      </c>
      <c r="Q520" s="21"/>
      <c r="R520" s="20" t="n">
        <f aca="false">IF(AND($P520="Yes",$G520&lt;&gt;"Vendor day rates"),$J520-0.4*$I520,0)</f>
        <v>0</v>
      </c>
      <c r="S520" s="20" t="n">
        <f aca="false">IF(OR($P520&lt;&gt;"Yes",$Q520=""),0,$R520*MAX(0,7-MATCH($Q520,MonthList,0))/12)</f>
        <v>0</v>
      </c>
      <c r="T520" s="20" t="n">
        <f aca="false">IF(OR($P520&lt;&gt;"Yes",$Q520=""),0,$R520*IF(MATCH($Q520,MonthList,0)&lt;=7,12,19-MATCH($Q520,MonthList,0))/12)</f>
        <v>0</v>
      </c>
      <c r="U520" s="21" t="s">
        <v>59</v>
      </c>
      <c r="V520" s="21"/>
      <c r="W520" s="20" t="n">
        <f aca="false">IF(AND($U520="Yes",$G520&lt;&gt;"Vendor day rates"),$J520-0.4*$I520,0)</f>
        <v>0</v>
      </c>
      <c r="X520" s="20" t="n">
        <f aca="false">IF(OR($U520&lt;&gt;"Yes",$V520=""),0,$W520*MAX(0,7-MATCH($V520,MonthList,0))/12)</f>
        <v>0</v>
      </c>
      <c r="Y520" s="20" t="n">
        <f aca="false">IF(OR($U520&lt;&gt;"Yes",$V520=""),0,$W520*IF(MATCH($V520,MonthList,0)&lt;=7,12,19-MATCH($V520,MonthList,0))/12)</f>
        <v>0</v>
      </c>
    </row>
    <row r="521" customFormat="false" ht="15" hidden="false" customHeight="true" outlineLevel="0" collapsed="false">
      <c r="B521" s="22" t="s">
        <v>945</v>
      </c>
      <c r="C521" s="22" t="s">
        <v>916</v>
      </c>
      <c r="D521" s="22" t="s">
        <v>26</v>
      </c>
      <c r="E521" s="22" t="s">
        <v>160</v>
      </c>
      <c r="F521" s="23" t="s">
        <v>57</v>
      </c>
      <c r="G521" s="23" t="s">
        <v>292</v>
      </c>
      <c r="H521" s="23" t="n">
        <v>1</v>
      </c>
      <c r="I521" s="24" t="n">
        <v>0.1226</v>
      </c>
      <c r="J521" s="24" t="n">
        <v>0</v>
      </c>
      <c r="K521" s="21" t="s">
        <v>59</v>
      </c>
      <c r="L521" s="21"/>
      <c r="M521" s="24" t="n">
        <f aca="false">IF(AND($K521="Yes",$G521&lt;&gt;"Vendor day rates"),$J521-0.4*$I521,0)</f>
        <v>0</v>
      </c>
      <c r="N521" s="24" t="n">
        <f aca="false">IF(OR($K521&lt;&gt;"Yes",$L521=""),0,$M521*MAX(0,7-MATCH($L521,MonthList,0))/12)</f>
        <v>0</v>
      </c>
      <c r="O521" s="24" t="n">
        <f aca="false">IF(OR($K521&lt;&gt;"Yes",$L521=""),0,$M521*IF(MATCH($L521,MonthList,0)&lt;=7,12,19-MATCH($L521,MonthList,0))/12)</f>
        <v>0</v>
      </c>
      <c r="P521" s="21" t="s">
        <v>59</v>
      </c>
      <c r="Q521" s="21"/>
      <c r="R521" s="24" t="n">
        <f aca="false">IF(AND($P521="Yes",$G521&lt;&gt;"Vendor day rates"),$J521-0.4*$I521,0)</f>
        <v>0</v>
      </c>
      <c r="S521" s="24" t="n">
        <f aca="false">IF(OR($P521&lt;&gt;"Yes",$Q521=""),0,$R521*MAX(0,7-MATCH($Q521,MonthList,0))/12)</f>
        <v>0</v>
      </c>
      <c r="T521" s="24" t="n">
        <f aca="false">IF(OR($P521&lt;&gt;"Yes",$Q521=""),0,$R521*IF(MATCH($Q521,MonthList,0)&lt;=7,12,19-MATCH($Q521,MonthList,0))/12)</f>
        <v>0</v>
      </c>
      <c r="U521" s="21" t="s">
        <v>59</v>
      </c>
      <c r="V521" s="21"/>
      <c r="W521" s="24" t="n">
        <f aca="false">IF(AND($U521="Yes",$G521&lt;&gt;"Vendor day rates"),$J521-0.4*$I521,0)</f>
        <v>0</v>
      </c>
      <c r="X521" s="24" t="n">
        <f aca="false">IF(OR($U521&lt;&gt;"Yes",$V521=""),0,$W521*MAX(0,7-MATCH($V521,MonthList,0))/12)</f>
        <v>0</v>
      </c>
      <c r="Y521" s="24" t="n">
        <f aca="false">IF(OR($U521&lt;&gt;"Yes",$V521=""),0,$W521*IF(MATCH($V521,MonthList,0)&lt;=7,12,19-MATCH($V521,MonthList,0))/12)</f>
        <v>0</v>
      </c>
    </row>
    <row r="522" customFormat="false" ht="15" hidden="false" customHeight="true" outlineLevel="0" collapsed="false">
      <c r="B522" s="18" t="s">
        <v>946</v>
      </c>
      <c r="C522" s="18" t="s">
        <v>138</v>
      </c>
      <c r="D522" s="18" t="s">
        <v>31</v>
      </c>
      <c r="E522" s="18" t="s">
        <v>361</v>
      </c>
      <c r="F522" s="19" t="s">
        <v>109</v>
      </c>
      <c r="G522" s="19" t="s">
        <v>58</v>
      </c>
      <c r="H522" s="19" t="n">
        <v>1</v>
      </c>
      <c r="I522" s="20" t="n">
        <v>0.1124</v>
      </c>
      <c r="J522" s="20" t="n">
        <v>0.1124</v>
      </c>
      <c r="K522" s="21" t="s">
        <v>59</v>
      </c>
      <c r="L522" s="21"/>
      <c r="M522" s="20" t="n">
        <f aca="false">IF(AND($K522="Yes",$G522&lt;&gt;"Vendor day rates"),$J522-0.4*$I522,0)</f>
        <v>0</v>
      </c>
      <c r="N522" s="20" t="n">
        <f aca="false">IF(OR($K522&lt;&gt;"Yes",$L522=""),0,$M522*MAX(0,7-MATCH($L522,MonthList,0))/12)</f>
        <v>0</v>
      </c>
      <c r="O522" s="20" t="n">
        <f aca="false">IF(OR($K522&lt;&gt;"Yes",$L522=""),0,$M522*IF(MATCH($L522,MonthList,0)&lt;=7,12,19-MATCH($L522,MonthList,0))/12)</f>
        <v>0</v>
      </c>
      <c r="P522" s="21" t="s">
        <v>59</v>
      </c>
      <c r="Q522" s="21"/>
      <c r="R522" s="20" t="n">
        <f aca="false">IF(AND($P522="Yes",$G522&lt;&gt;"Vendor day rates"),$J522-0.4*$I522,0)</f>
        <v>0</v>
      </c>
      <c r="S522" s="20" t="n">
        <f aca="false">IF(OR($P522&lt;&gt;"Yes",$Q522=""),0,$R522*MAX(0,7-MATCH($Q522,MonthList,0))/12)</f>
        <v>0</v>
      </c>
      <c r="T522" s="20" t="n">
        <f aca="false">IF(OR($P522&lt;&gt;"Yes",$Q522=""),0,$R522*IF(MATCH($Q522,MonthList,0)&lt;=7,12,19-MATCH($Q522,MonthList,0))/12)</f>
        <v>0</v>
      </c>
      <c r="U522" s="21" t="s">
        <v>59</v>
      </c>
      <c r="V522" s="21"/>
      <c r="W522" s="20" t="n">
        <f aca="false">IF(AND($U522="Yes",$G522&lt;&gt;"Vendor day rates"),$J522-0.4*$I522,0)</f>
        <v>0</v>
      </c>
      <c r="X522" s="20" t="n">
        <f aca="false">IF(OR($U522&lt;&gt;"Yes",$V522=""),0,$W522*MAX(0,7-MATCH($V522,MonthList,0))/12)</f>
        <v>0</v>
      </c>
      <c r="Y522" s="20" t="n">
        <f aca="false">IF(OR($U522&lt;&gt;"Yes",$V522=""),0,$W522*IF(MATCH($V522,MonthList,0)&lt;=7,12,19-MATCH($V522,MonthList,0))/12)</f>
        <v>0</v>
      </c>
    </row>
    <row r="523" customFormat="false" ht="15" hidden="false" customHeight="true" outlineLevel="0" collapsed="false">
      <c r="B523" s="22" t="s">
        <v>947</v>
      </c>
      <c r="C523" s="22" t="s">
        <v>623</v>
      </c>
      <c r="D523" s="22" t="s">
        <v>20</v>
      </c>
      <c r="E523" s="22" t="s">
        <v>275</v>
      </c>
      <c r="F523" s="23" t="s">
        <v>109</v>
      </c>
      <c r="G523" s="23" t="s">
        <v>58</v>
      </c>
      <c r="H523" s="23" t="n">
        <v>1</v>
      </c>
      <c r="I523" s="24" t="n">
        <v>0.1014</v>
      </c>
      <c r="J523" s="24" t="n">
        <v>0.1014</v>
      </c>
      <c r="K523" s="21" t="s">
        <v>59</v>
      </c>
      <c r="L523" s="21"/>
      <c r="M523" s="24" t="n">
        <f aca="false">IF(AND($K523="Yes",$G523&lt;&gt;"Vendor day rates"),$J523-0.4*$I523,0)</f>
        <v>0</v>
      </c>
      <c r="N523" s="24" t="n">
        <f aca="false">IF(OR($K523&lt;&gt;"Yes",$L523=""),0,$M523*MAX(0,7-MATCH($L523,MonthList,0))/12)</f>
        <v>0</v>
      </c>
      <c r="O523" s="24" t="n">
        <f aca="false">IF(OR($K523&lt;&gt;"Yes",$L523=""),0,$M523*IF(MATCH($L523,MonthList,0)&lt;=7,12,19-MATCH($L523,MonthList,0))/12)</f>
        <v>0</v>
      </c>
      <c r="P523" s="21" t="s">
        <v>59</v>
      </c>
      <c r="Q523" s="21"/>
      <c r="R523" s="24" t="n">
        <f aca="false">IF(AND($P523="Yes",$G523&lt;&gt;"Vendor day rates"),$J523-0.4*$I523,0)</f>
        <v>0</v>
      </c>
      <c r="S523" s="24" t="n">
        <f aca="false">IF(OR($P523&lt;&gt;"Yes",$Q523=""),0,$R523*MAX(0,7-MATCH($Q523,MonthList,0))/12)</f>
        <v>0</v>
      </c>
      <c r="T523" s="24" t="n">
        <f aca="false">IF(OR($P523&lt;&gt;"Yes",$Q523=""),0,$R523*IF(MATCH($Q523,MonthList,0)&lt;=7,12,19-MATCH($Q523,MonthList,0))/12)</f>
        <v>0</v>
      </c>
      <c r="U523" s="21" t="s">
        <v>59</v>
      </c>
      <c r="V523" s="21"/>
      <c r="W523" s="24" t="n">
        <f aca="false">IF(AND($U523="Yes",$G523&lt;&gt;"Vendor day rates"),$J523-0.4*$I523,0)</f>
        <v>0</v>
      </c>
      <c r="X523" s="24" t="n">
        <f aca="false">IF(OR($U523&lt;&gt;"Yes",$V523=""),0,$W523*MAX(0,7-MATCH($V523,MonthList,0))/12)</f>
        <v>0</v>
      </c>
      <c r="Y523" s="24" t="n">
        <f aca="false">IF(OR($U523&lt;&gt;"Yes",$V523=""),0,$W523*IF(MATCH($V523,MonthList,0)&lt;=7,12,19-MATCH($V523,MonthList,0))/12)</f>
        <v>0</v>
      </c>
    </row>
    <row r="524" customFormat="false" ht="15" hidden="false" customHeight="true" outlineLevel="0" collapsed="false">
      <c r="B524" s="18" t="s">
        <v>948</v>
      </c>
      <c r="C524" s="18" t="s">
        <v>636</v>
      </c>
      <c r="D524" s="18" t="s">
        <v>31</v>
      </c>
      <c r="E524" s="18" t="s">
        <v>380</v>
      </c>
      <c r="F524" s="19" t="s">
        <v>109</v>
      </c>
      <c r="G524" s="19" t="s">
        <v>58</v>
      </c>
      <c r="H524" s="19" t="n">
        <v>1</v>
      </c>
      <c r="I524" s="20" t="n">
        <v>0.1169</v>
      </c>
      <c r="J524" s="20" t="n">
        <v>0.1169</v>
      </c>
      <c r="K524" s="21" t="s">
        <v>59</v>
      </c>
      <c r="L524" s="21"/>
      <c r="M524" s="20" t="n">
        <f aca="false">IF(AND($K524="Yes",$G524&lt;&gt;"Vendor day rates"),$J524-0.4*$I524,0)</f>
        <v>0</v>
      </c>
      <c r="N524" s="20" t="n">
        <f aca="false">IF(OR($K524&lt;&gt;"Yes",$L524=""),0,$M524*MAX(0,7-MATCH($L524,MonthList,0))/12)</f>
        <v>0</v>
      </c>
      <c r="O524" s="20" t="n">
        <f aca="false">IF(OR($K524&lt;&gt;"Yes",$L524=""),0,$M524*IF(MATCH($L524,MonthList,0)&lt;=7,12,19-MATCH($L524,MonthList,0))/12)</f>
        <v>0</v>
      </c>
      <c r="P524" s="21" t="s">
        <v>59</v>
      </c>
      <c r="Q524" s="21"/>
      <c r="R524" s="20" t="n">
        <f aca="false">IF(AND($P524="Yes",$G524&lt;&gt;"Vendor day rates"),$J524-0.4*$I524,0)</f>
        <v>0</v>
      </c>
      <c r="S524" s="20" t="n">
        <f aca="false">IF(OR($P524&lt;&gt;"Yes",$Q524=""),0,$R524*MAX(0,7-MATCH($Q524,MonthList,0))/12)</f>
        <v>0</v>
      </c>
      <c r="T524" s="20" t="n">
        <f aca="false">IF(OR($P524&lt;&gt;"Yes",$Q524=""),0,$R524*IF(MATCH($Q524,MonthList,0)&lt;=7,12,19-MATCH($Q524,MonthList,0))/12)</f>
        <v>0</v>
      </c>
      <c r="U524" s="21" t="s">
        <v>59</v>
      </c>
      <c r="V524" s="21"/>
      <c r="W524" s="20" t="n">
        <f aca="false">IF(AND($U524="Yes",$G524&lt;&gt;"Vendor day rates"),$J524-0.4*$I524,0)</f>
        <v>0</v>
      </c>
      <c r="X524" s="20" t="n">
        <f aca="false">IF(OR($U524&lt;&gt;"Yes",$V524=""),0,$W524*MAX(0,7-MATCH($V524,MonthList,0))/12)</f>
        <v>0</v>
      </c>
      <c r="Y524" s="20" t="n">
        <f aca="false">IF(OR($U524&lt;&gt;"Yes",$V524=""),0,$W524*IF(MATCH($V524,MonthList,0)&lt;=7,12,19-MATCH($V524,MonthList,0))/12)</f>
        <v>0</v>
      </c>
    </row>
    <row r="525" customFormat="false" ht="15" hidden="false" customHeight="true" outlineLevel="0" collapsed="false">
      <c r="B525" s="22" t="s">
        <v>949</v>
      </c>
      <c r="C525" s="22" t="s">
        <v>950</v>
      </c>
      <c r="D525" s="22" t="s">
        <v>31</v>
      </c>
      <c r="E525" s="22" t="s">
        <v>361</v>
      </c>
      <c r="F525" s="23" t="s">
        <v>109</v>
      </c>
      <c r="G525" s="23" t="s">
        <v>58</v>
      </c>
      <c r="H525" s="23" t="n">
        <v>1</v>
      </c>
      <c r="I525" s="24" t="n">
        <v>0.4386</v>
      </c>
      <c r="J525" s="24" t="n">
        <v>0.4386</v>
      </c>
      <c r="K525" s="21" t="s">
        <v>59</v>
      </c>
      <c r="L525" s="21"/>
      <c r="M525" s="24" t="n">
        <f aca="false">IF(AND($K525="Yes",$G525&lt;&gt;"Vendor day rates"),$J525-0.4*$I525,0)</f>
        <v>0</v>
      </c>
      <c r="N525" s="24" t="n">
        <f aca="false">IF(OR($K525&lt;&gt;"Yes",$L525=""),0,$M525*MAX(0,7-MATCH($L525,MonthList,0))/12)</f>
        <v>0</v>
      </c>
      <c r="O525" s="24" t="n">
        <f aca="false">IF(OR($K525&lt;&gt;"Yes",$L525=""),0,$M525*IF(MATCH($L525,MonthList,0)&lt;=7,12,19-MATCH($L525,MonthList,0))/12)</f>
        <v>0</v>
      </c>
      <c r="P525" s="21" t="s">
        <v>59</v>
      </c>
      <c r="Q525" s="21"/>
      <c r="R525" s="24" t="n">
        <f aca="false">IF(AND($P525="Yes",$G525&lt;&gt;"Vendor day rates"),$J525-0.4*$I525,0)</f>
        <v>0</v>
      </c>
      <c r="S525" s="24" t="n">
        <f aca="false">IF(OR($P525&lt;&gt;"Yes",$Q525=""),0,$R525*MAX(0,7-MATCH($Q525,MonthList,0))/12)</f>
        <v>0</v>
      </c>
      <c r="T525" s="24" t="n">
        <f aca="false">IF(OR($P525&lt;&gt;"Yes",$Q525=""),0,$R525*IF(MATCH($Q525,MonthList,0)&lt;=7,12,19-MATCH($Q525,MonthList,0))/12)</f>
        <v>0</v>
      </c>
      <c r="U525" s="21" t="s">
        <v>59</v>
      </c>
      <c r="V525" s="21"/>
      <c r="W525" s="24" t="n">
        <f aca="false">IF(AND($U525="Yes",$G525&lt;&gt;"Vendor day rates"),$J525-0.4*$I525,0)</f>
        <v>0</v>
      </c>
      <c r="X525" s="24" t="n">
        <f aca="false">IF(OR($U525&lt;&gt;"Yes",$V525=""),0,$W525*MAX(0,7-MATCH($V525,MonthList,0))/12)</f>
        <v>0</v>
      </c>
      <c r="Y525" s="24" t="n">
        <f aca="false">IF(OR($U525&lt;&gt;"Yes",$V525=""),0,$W525*IF(MATCH($V525,MonthList,0)&lt;=7,12,19-MATCH($V525,MonthList,0))/12)</f>
        <v>0</v>
      </c>
    </row>
    <row r="526" customFormat="false" ht="15" hidden="false" customHeight="true" outlineLevel="0" collapsed="false">
      <c r="B526" s="18" t="s">
        <v>951</v>
      </c>
      <c r="C526" s="18" t="s">
        <v>841</v>
      </c>
      <c r="D526" s="18" t="s">
        <v>25</v>
      </c>
      <c r="E526" s="18" t="s">
        <v>842</v>
      </c>
      <c r="F526" s="19" t="s">
        <v>57</v>
      </c>
      <c r="G526" s="19" t="s">
        <v>58</v>
      </c>
      <c r="H526" s="19" t="n">
        <v>1</v>
      </c>
      <c r="I526" s="20" t="n">
        <v>0.1067</v>
      </c>
      <c r="J526" s="20" t="n">
        <v>0.1067</v>
      </c>
      <c r="K526" s="21" t="s">
        <v>59</v>
      </c>
      <c r="L526" s="21"/>
      <c r="M526" s="20" t="n">
        <f aca="false">IF(AND($K526="Yes",$G526&lt;&gt;"Vendor day rates"),$J526-0.4*$I526,0)</f>
        <v>0</v>
      </c>
      <c r="N526" s="20" t="n">
        <f aca="false">IF(OR($K526&lt;&gt;"Yes",$L526=""),0,$M526*MAX(0,7-MATCH($L526,MonthList,0))/12)</f>
        <v>0</v>
      </c>
      <c r="O526" s="20" t="n">
        <f aca="false">IF(OR($K526&lt;&gt;"Yes",$L526=""),0,$M526*IF(MATCH($L526,MonthList,0)&lt;=7,12,19-MATCH($L526,MonthList,0))/12)</f>
        <v>0</v>
      </c>
      <c r="P526" s="21" t="s">
        <v>59</v>
      </c>
      <c r="Q526" s="21"/>
      <c r="R526" s="20" t="n">
        <f aca="false">IF(AND($P526="Yes",$G526&lt;&gt;"Vendor day rates"),$J526-0.4*$I526,0)</f>
        <v>0</v>
      </c>
      <c r="S526" s="20" t="n">
        <f aca="false">IF(OR($P526&lt;&gt;"Yes",$Q526=""),0,$R526*MAX(0,7-MATCH($Q526,MonthList,0))/12)</f>
        <v>0</v>
      </c>
      <c r="T526" s="20" t="n">
        <f aca="false">IF(OR($P526&lt;&gt;"Yes",$Q526=""),0,$R526*IF(MATCH($Q526,MonthList,0)&lt;=7,12,19-MATCH($Q526,MonthList,0))/12)</f>
        <v>0</v>
      </c>
      <c r="U526" s="21" t="s">
        <v>59</v>
      </c>
      <c r="V526" s="21"/>
      <c r="W526" s="20" t="n">
        <f aca="false">IF(AND($U526="Yes",$G526&lt;&gt;"Vendor day rates"),$J526-0.4*$I526,0)</f>
        <v>0</v>
      </c>
      <c r="X526" s="20" t="n">
        <f aca="false">IF(OR($U526&lt;&gt;"Yes",$V526=""),0,$W526*MAX(0,7-MATCH($V526,MonthList,0))/12)</f>
        <v>0</v>
      </c>
      <c r="Y526" s="20" t="n">
        <f aca="false">IF(OR($U526&lt;&gt;"Yes",$V526=""),0,$W526*IF(MATCH($V526,MonthList,0)&lt;=7,12,19-MATCH($V526,MonthList,0))/12)</f>
        <v>0</v>
      </c>
    </row>
    <row r="527" customFormat="false" ht="15" hidden="false" customHeight="true" outlineLevel="0" collapsed="false">
      <c r="B527" s="22" t="s">
        <v>952</v>
      </c>
      <c r="C527" s="22" t="s">
        <v>953</v>
      </c>
      <c r="D527" s="22" t="s">
        <v>19</v>
      </c>
      <c r="E527" s="22" t="s">
        <v>387</v>
      </c>
      <c r="F527" s="23" t="s">
        <v>109</v>
      </c>
      <c r="G527" s="23" t="s">
        <v>58</v>
      </c>
      <c r="H527" s="23" t="n">
        <v>1</v>
      </c>
      <c r="I527" s="24" t="n">
        <v>0.0874</v>
      </c>
      <c r="J527" s="24" t="n">
        <v>0.0874</v>
      </c>
      <c r="K527" s="21" t="s">
        <v>59</v>
      </c>
      <c r="L527" s="21"/>
      <c r="M527" s="24" t="n">
        <f aca="false">IF(AND($K527="Yes",$G527&lt;&gt;"Vendor day rates"),$J527-0.4*$I527,0)</f>
        <v>0</v>
      </c>
      <c r="N527" s="24" t="n">
        <f aca="false">IF(OR($K527&lt;&gt;"Yes",$L527=""),0,$M527*MAX(0,7-MATCH($L527,MonthList,0))/12)</f>
        <v>0</v>
      </c>
      <c r="O527" s="24" t="n">
        <f aca="false">IF(OR($K527&lt;&gt;"Yes",$L527=""),0,$M527*IF(MATCH($L527,MonthList,0)&lt;=7,12,19-MATCH($L527,MonthList,0))/12)</f>
        <v>0</v>
      </c>
      <c r="P527" s="21" t="s">
        <v>59</v>
      </c>
      <c r="Q527" s="21"/>
      <c r="R527" s="24" t="n">
        <f aca="false">IF(AND($P527="Yes",$G527&lt;&gt;"Vendor day rates"),$J527-0.4*$I527,0)</f>
        <v>0</v>
      </c>
      <c r="S527" s="24" t="n">
        <f aca="false">IF(OR($P527&lt;&gt;"Yes",$Q527=""),0,$R527*MAX(0,7-MATCH($Q527,MonthList,0))/12)</f>
        <v>0</v>
      </c>
      <c r="T527" s="24" t="n">
        <f aca="false">IF(OR($P527&lt;&gt;"Yes",$Q527=""),0,$R527*IF(MATCH($Q527,MonthList,0)&lt;=7,12,19-MATCH($Q527,MonthList,0))/12)</f>
        <v>0</v>
      </c>
      <c r="U527" s="21" t="s">
        <v>59</v>
      </c>
      <c r="V527" s="21"/>
      <c r="W527" s="24" t="n">
        <f aca="false">IF(AND($U527="Yes",$G527&lt;&gt;"Vendor day rates"),$J527-0.4*$I527,0)</f>
        <v>0</v>
      </c>
      <c r="X527" s="24" t="n">
        <f aca="false">IF(OR($U527&lt;&gt;"Yes",$V527=""),0,$W527*MAX(0,7-MATCH($V527,MonthList,0))/12)</f>
        <v>0</v>
      </c>
      <c r="Y527" s="24" t="n">
        <f aca="false">IF(OR($U527&lt;&gt;"Yes",$V527=""),0,$W527*IF(MATCH($V527,MonthList,0)&lt;=7,12,19-MATCH($V527,MonthList,0))/12)</f>
        <v>0</v>
      </c>
    </row>
    <row r="528" customFormat="false" ht="15" hidden="false" customHeight="true" outlineLevel="0" collapsed="false">
      <c r="B528" s="18" t="s">
        <v>954</v>
      </c>
      <c r="C528" s="18" t="s">
        <v>955</v>
      </c>
      <c r="D528" s="18" t="s">
        <v>20</v>
      </c>
      <c r="E528" s="18" t="s">
        <v>275</v>
      </c>
      <c r="F528" s="19" t="s">
        <v>109</v>
      </c>
      <c r="G528" s="19" t="s">
        <v>58</v>
      </c>
      <c r="H528" s="19" t="n">
        <v>1</v>
      </c>
      <c r="I528" s="20" t="n">
        <v>0.0845</v>
      </c>
      <c r="J528" s="20" t="n">
        <v>0.0845</v>
      </c>
      <c r="K528" s="21" t="s">
        <v>59</v>
      </c>
      <c r="L528" s="21"/>
      <c r="M528" s="20" t="n">
        <f aca="false">IF(AND($K528="Yes",$G528&lt;&gt;"Vendor day rates"),$J528-0.4*$I528,0)</f>
        <v>0</v>
      </c>
      <c r="N528" s="20" t="n">
        <f aca="false">IF(OR($K528&lt;&gt;"Yes",$L528=""),0,$M528*MAX(0,7-MATCH($L528,MonthList,0))/12)</f>
        <v>0</v>
      </c>
      <c r="O528" s="20" t="n">
        <f aca="false">IF(OR($K528&lt;&gt;"Yes",$L528=""),0,$M528*IF(MATCH($L528,MonthList,0)&lt;=7,12,19-MATCH($L528,MonthList,0))/12)</f>
        <v>0</v>
      </c>
      <c r="P528" s="21" t="s">
        <v>59</v>
      </c>
      <c r="Q528" s="21"/>
      <c r="R528" s="20" t="n">
        <f aca="false">IF(AND($P528="Yes",$G528&lt;&gt;"Vendor day rates"),$J528-0.4*$I528,0)</f>
        <v>0</v>
      </c>
      <c r="S528" s="20" t="n">
        <f aca="false">IF(OR($P528&lt;&gt;"Yes",$Q528=""),0,$R528*MAX(0,7-MATCH($Q528,MonthList,0))/12)</f>
        <v>0</v>
      </c>
      <c r="T528" s="20" t="n">
        <f aca="false">IF(OR($P528&lt;&gt;"Yes",$Q528=""),0,$R528*IF(MATCH($Q528,MonthList,0)&lt;=7,12,19-MATCH($Q528,MonthList,0))/12)</f>
        <v>0</v>
      </c>
      <c r="U528" s="21" t="s">
        <v>59</v>
      </c>
      <c r="V528" s="21"/>
      <c r="W528" s="20" t="n">
        <f aca="false">IF(AND($U528="Yes",$G528&lt;&gt;"Vendor day rates"),$J528-0.4*$I528,0)</f>
        <v>0</v>
      </c>
      <c r="X528" s="20" t="n">
        <f aca="false">IF(OR($U528&lt;&gt;"Yes",$V528=""),0,$W528*MAX(0,7-MATCH($V528,MonthList,0))/12)</f>
        <v>0</v>
      </c>
      <c r="Y528" s="20" t="n">
        <f aca="false">IF(OR($U528&lt;&gt;"Yes",$V528=""),0,$W528*IF(MATCH($V528,MonthList,0)&lt;=7,12,19-MATCH($V528,MonthList,0))/12)</f>
        <v>0</v>
      </c>
    </row>
    <row r="529" customFormat="false" ht="15" hidden="false" customHeight="true" outlineLevel="0" collapsed="false">
      <c r="B529" s="22" t="s">
        <v>956</v>
      </c>
      <c r="C529" s="22" t="s">
        <v>957</v>
      </c>
      <c r="D529" s="22" t="s">
        <v>20</v>
      </c>
      <c r="E529" s="22" t="s">
        <v>533</v>
      </c>
      <c r="F529" s="23" t="s">
        <v>57</v>
      </c>
      <c r="G529" s="23" t="s">
        <v>118</v>
      </c>
      <c r="H529" s="23" t="n">
        <v>1</v>
      </c>
      <c r="I529" s="24" t="n">
        <v>0.2664</v>
      </c>
      <c r="J529" s="24" t="n">
        <v>0.1066</v>
      </c>
      <c r="K529" s="21" t="s">
        <v>59</v>
      </c>
      <c r="L529" s="21"/>
      <c r="M529" s="24" t="n">
        <f aca="false">IF(AND($K529="Yes",$G529&lt;&gt;"Vendor day rates"),$J529-0.4*$I529,0)</f>
        <v>0</v>
      </c>
      <c r="N529" s="24" t="n">
        <f aca="false">IF(OR($K529&lt;&gt;"Yes",$L529=""),0,$M529*MAX(0,7-MATCH($L529,MonthList,0))/12)</f>
        <v>0</v>
      </c>
      <c r="O529" s="24" t="n">
        <f aca="false">IF(OR($K529&lt;&gt;"Yes",$L529=""),0,$M529*IF(MATCH($L529,MonthList,0)&lt;=7,12,19-MATCH($L529,MonthList,0))/12)</f>
        <v>0</v>
      </c>
      <c r="P529" s="21" t="s">
        <v>59</v>
      </c>
      <c r="Q529" s="21"/>
      <c r="R529" s="24" t="n">
        <f aca="false">IF(AND($P529="Yes",$G529&lt;&gt;"Vendor day rates"),$J529-0.4*$I529,0)</f>
        <v>0</v>
      </c>
      <c r="S529" s="24" t="n">
        <f aca="false">IF(OR($P529&lt;&gt;"Yes",$Q529=""),0,$R529*MAX(0,7-MATCH($Q529,MonthList,0))/12)</f>
        <v>0</v>
      </c>
      <c r="T529" s="24" t="n">
        <f aca="false">IF(OR($P529&lt;&gt;"Yes",$Q529=""),0,$R529*IF(MATCH($Q529,MonthList,0)&lt;=7,12,19-MATCH($Q529,MonthList,0))/12)</f>
        <v>0</v>
      </c>
      <c r="U529" s="21" t="s">
        <v>59</v>
      </c>
      <c r="V529" s="21"/>
      <c r="W529" s="24" t="n">
        <f aca="false">IF(AND($U529="Yes",$G529&lt;&gt;"Vendor day rates"),$J529-0.4*$I529,0)</f>
        <v>0</v>
      </c>
      <c r="X529" s="24" t="n">
        <f aca="false">IF(OR($U529&lt;&gt;"Yes",$V529=""),0,$W529*MAX(0,7-MATCH($V529,MonthList,0))/12)</f>
        <v>0</v>
      </c>
      <c r="Y529" s="24" t="n">
        <f aca="false">IF(OR($U529&lt;&gt;"Yes",$V529=""),0,$W529*IF(MATCH($V529,MonthList,0)&lt;=7,12,19-MATCH($V529,MonthList,0))/12)</f>
        <v>0</v>
      </c>
    </row>
    <row r="530" customFormat="false" ht="15" hidden="false" customHeight="true" outlineLevel="0" collapsed="false">
      <c r="B530" s="18" t="s">
        <v>958</v>
      </c>
      <c r="C530" s="18" t="s">
        <v>676</v>
      </c>
      <c r="D530" s="18" t="s">
        <v>30</v>
      </c>
      <c r="E530" s="18" t="s">
        <v>433</v>
      </c>
      <c r="F530" s="19" t="s">
        <v>109</v>
      </c>
      <c r="G530" s="19" t="s">
        <v>58</v>
      </c>
      <c r="H530" s="19" t="n">
        <v>1</v>
      </c>
      <c r="I530" s="20" t="n">
        <v>0.166</v>
      </c>
      <c r="J530" s="20" t="n">
        <v>0.166</v>
      </c>
      <c r="K530" s="21" t="s">
        <v>59</v>
      </c>
      <c r="L530" s="21"/>
      <c r="M530" s="20" t="n">
        <f aca="false">IF(AND($K530="Yes",$G530&lt;&gt;"Vendor day rates"),$J530-0.4*$I530,0)</f>
        <v>0</v>
      </c>
      <c r="N530" s="20" t="n">
        <f aca="false">IF(OR($K530&lt;&gt;"Yes",$L530=""),0,$M530*MAX(0,7-MATCH($L530,MonthList,0))/12)</f>
        <v>0</v>
      </c>
      <c r="O530" s="20" t="n">
        <f aca="false">IF(OR($K530&lt;&gt;"Yes",$L530=""),0,$M530*IF(MATCH($L530,MonthList,0)&lt;=7,12,19-MATCH($L530,MonthList,0))/12)</f>
        <v>0</v>
      </c>
      <c r="P530" s="21" t="s">
        <v>59</v>
      </c>
      <c r="Q530" s="21"/>
      <c r="R530" s="20" t="n">
        <f aca="false">IF(AND($P530="Yes",$G530&lt;&gt;"Vendor day rates"),$J530-0.4*$I530,0)</f>
        <v>0</v>
      </c>
      <c r="S530" s="20" t="n">
        <f aca="false">IF(OR($P530&lt;&gt;"Yes",$Q530=""),0,$R530*MAX(0,7-MATCH($Q530,MonthList,0))/12)</f>
        <v>0</v>
      </c>
      <c r="T530" s="20" t="n">
        <f aca="false">IF(OR($P530&lt;&gt;"Yes",$Q530=""),0,$R530*IF(MATCH($Q530,MonthList,0)&lt;=7,12,19-MATCH($Q530,MonthList,0))/12)</f>
        <v>0</v>
      </c>
      <c r="U530" s="21" t="s">
        <v>59</v>
      </c>
      <c r="V530" s="21"/>
      <c r="W530" s="20" t="n">
        <f aca="false">IF(AND($U530="Yes",$G530&lt;&gt;"Vendor day rates"),$J530-0.4*$I530,0)</f>
        <v>0</v>
      </c>
      <c r="X530" s="20" t="n">
        <f aca="false">IF(OR($U530&lt;&gt;"Yes",$V530=""),0,$W530*MAX(0,7-MATCH($V530,MonthList,0))/12)</f>
        <v>0</v>
      </c>
      <c r="Y530" s="20" t="n">
        <f aca="false">IF(OR($U530&lt;&gt;"Yes",$V530=""),0,$W530*IF(MATCH($V530,MonthList,0)&lt;=7,12,19-MATCH($V530,MonthList,0))/12)</f>
        <v>0</v>
      </c>
    </row>
    <row r="531" customFormat="false" ht="15" hidden="false" customHeight="true" outlineLevel="0" collapsed="false">
      <c r="B531" s="22" t="s">
        <v>959</v>
      </c>
      <c r="C531" s="22" t="s">
        <v>113</v>
      </c>
      <c r="D531" s="22" t="s">
        <v>24</v>
      </c>
      <c r="E531" s="22" t="s">
        <v>426</v>
      </c>
      <c r="F531" s="23" t="s">
        <v>57</v>
      </c>
      <c r="G531" s="23" t="s">
        <v>292</v>
      </c>
      <c r="H531" s="23" t="n">
        <v>0.5</v>
      </c>
      <c r="I531" s="24" t="n">
        <v>0.0579</v>
      </c>
      <c r="J531" s="24" t="n">
        <v>0</v>
      </c>
      <c r="K531" s="21" t="s">
        <v>59</v>
      </c>
      <c r="L531" s="21"/>
      <c r="M531" s="24" t="n">
        <f aca="false">IF(AND($K531="Yes",$G531&lt;&gt;"Vendor day rates"),$J531-0.4*$I531,0)</f>
        <v>0</v>
      </c>
      <c r="N531" s="24" t="n">
        <f aca="false">IF(OR($K531&lt;&gt;"Yes",$L531=""),0,$M531*MAX(0,7-MATCH($L531,MonthList,0))/12)</f>
        <v>0</v>
      </c>
      <c r="O531" s="24" t="n">
        <f aca="false">IF(OR($K531&lt;&gt;"Yes",$L531=""),0,$M531*IF(MATCH($L531,MonthList,0)&lt;=7,12,19-MATCH($L531,MonthList,0))/12)</f>
        <v>0</v>
      </c>
      <c r="P531" s="21" t="s">
        <v>59</v>
      </c>
      <c r="Q531" s="21"/>
      <c r="R531" s="24" t="n">
        <f aca="false">IF(AND($P531="Yes",$G531&lt;&gt;"Vendor day rates"),$J531-0.4*$I531,0)</f>
        <v>0</v>
      </c>
      <c r="S531" s="24" t="n">
        <f aca="false">IF(OR($P531&lt;&gt;"Yes",$Q531=""),0,$R531*MAX(0,7-MATCH($Q531,MonthList,0))/12)</f>
        <v>0</v>
      </c>
      <c r="T531" s="24" t="n">
        <f aca="false">IF(OR($P531&lt;&gt;"Yes",$Q531=""),0,$R531*IF(MATCH($Q531,MonthList,0)&lt;=7,12,19-MATCH($Q531,MonthList,0))/12)</f>
        <v>0</v>
      </c>
      <c r="U531" s="21" t="s">
        <v>59</v>
      </c>
      <c r="V531" s="21"/>
      <c r="W531" s="24" t="n">
        <f aca="false">IF(AND($U531="Yes",$G531&lt;&gt;"Vendor day rates"),$J531-0.4*$I531,0)</f>
        <v>0</v>
      </c>
      <c r="X531" s="24" t="n">
        <f aca="false">IF(OR($U531&lt;&gt;"Yes",$V531=""),0,$W531*MAX(0,7-MATCH($V531,MonthList,0))/12)</f>
        <v>0</v>
      </c>
      <c r="Y531" s="24" t="n">
        <f aca="false">IF(OR($U531&lt;&gt;"Yes",$V531=""),0,$W531*IF(MATCH($V531,MonthList,0)&lt;=7,12,19-MATCH($V531,MonthList,0))/12)</f>
        <v>0</v>
      </c>
    </row>
    <row r="532" customFormat="false" ht="15" hidden="false" customHeight="true" outlineLevel="0" collapsed="false">
      <c r="B532" s="18" t="s">
        <v>960</v>
      </c>
      <c r="C532" s="18" t="s">
        <v>961</v>
      </c>
      <c r="D532" s="18" t="s">
        <v>23</v>
      </c>
      <c r="E532" s="18" t="s">
        <v>962</v>
      </c>
      <c r="F532" s="19" t="s">
        <v>57</v>
      </c>
      <c r="G532" s="19" t="s">
        <v>118</v>
      </c>
      <c r="H532" s="19" t="n">
        <v>1</v>
      </c>
      <c r="I532" s="20" t="n">
        <v>0.0644</v>
      </c>
      <c r="J532" s="20" t="n">
        <v>0.0258</v>
      </c>
      <c r="K532" s="21" t="s">
        <v>59</v>
      </c>
      <c r="L532" s="21"/>
      <c r="M532" s="20" t="n">
        <f aca="false">IF(AND($K532="Yes",$G532&lt;&gt;"Vendor day rates"),$J532-0.4*$I532,0)</f>
        <v>0</v>
      </c>
      <c r="N532" s="20" t="n">
        <f aca="false">IF(OR($K532&lt;&gt;"Yes",$L532=""),0,$M532*MAX(0,7-MATCH($L532,MonthList,0))/12)</f>
        <v>0</v>
      </c>
      <c r="O532" s="20" t="n">
        <f aca="false">IF(OR($K532&lt;&gt;"Yes",$L532=""),0,$M532*IF(MATCH($L532,MonthList,0)&lt;=7,12,19-MATCH($L532,MonthList,0))/12)</f>
        <v>0</v>
      </c>
      <c r="P532" s="21" t="s">
        <v>59</v>
      </c>
      <c r="Q532" s="21"/>
      <c r="R532" s="20" t="n">
        <f aca="false">IF(AND($P532="Yes",$G532&lt;&gt;"Vendor day rates"),$J532-0.4*$I532,0)</f>
        <v>0</v>
      </c>
      <c r="S532" s="20" t="n">
        <f aca="false">IF(OR($P532&lt;&gt;"Yes",$Q532=""),0,$R532*MAX(0,7-MATCH($Q532,MonthList,0))/12)</f>
        <v>0</v>
      </c>
      <c r="T532" s="20" t="n">
        <f aca="false">IF(OR($P532&lt;&gt;"Yes",$Q532=""),0,$R532*IF(MATCH($Q532,MonthList,0)&lt;=7,12,19-MATCH($Q532,MonthList,0))/12)</f>
        <v>0</v>
      </c>
      <c r="U532" s="21" t="s">
        <v>59</v>
      </c>
      <c r="V532" s="21"/>
      <c r="W532" s="20" t="n">
        <f aca="false">IF(AND($U532="Yes",$G532&lt;&gt;"Vendor day rates"),$J532-0.4*$I532,0)</f>
        <v>0</v>
      </c>
      <c r="X532" s="20" t="n">
        <f aca="false">IF(OR($U532&lt;&gt;"Yes",$V532=""),0,$W532*MAX(0,7-MATCH($V532,MonthList,0))/12)</f>
        <v>0</v>
      </c>
      <c r="Y532" s="20" t="n">
        <f aca="false">IF(OR($U532&lt;&gt;"Yes",$V532=""),0,$W532*IF(MATCH($V532,MonthList,0)&lt;=7,12,19-MATCH($V532,MonthList,0))/12)</f>
        <v>0</v>
      </c>
    </row>
    <row r="533" customFormat="false" ht="15" hidden="false" customHeight="true" outlineLevel="0" collapsed="false">
      <c r="B533" s="22" t="s">
        <v>963</v>
      </c>
      <c r="C533" s="22" t="s">
        <v>961</v>
      </c>
      <c r="D533" s="22" t="s">
        <v>23</v>
      </c>
      <c r="E533" s="22" t="s">
        <v>962</v>
      </c>
      <c r="F533" s="23" t="s">
        <v>57</v>
      </c>
      <c r="G533" s="23" t="s">
        <v>118</v>
      </c>
      <c r="H533" s="23" t="n">
        <v>1</v>
      </c>
      <c r="I533" s="24" t="n">
        <v>0.0644</v>
      </c>
      <c r="J533" s="24" t="n">
        <v>0.0258</v>
      </c>
      <c r="K533" s="21" t="s">
        <v>59</v>
      </c>
      <c r="L533" s="21"/>
      <c r="M533" s="24" t="n">
        <f aca="false">IF(AND($K533="Yes",$G533&lt;&gt;"Vendor day rates"),$J533-0.4*$I533,0)</f>
        <v>0</v>
      </c>
      <c r="N533" s="24" t="n">
        <f aca="false">IF(OR($K533&lt;&gt;"Yes",$L533=""),0,$M533*MAX(0,7-MATCH($L533,MonthList,0))/12)</f>
        <v>0</v>
      </c>
      <c r="O533" s="24" t="n">
        <f aca="false">IF(OR($K533&lt;&gt;"Yes",$L533=""),0,$M533*IF(MATCH($L533,MonthList,0)&lt;=7,12,19-MATCH($L533,MonthList,0))/12)</f>
        <v>0</v>
      </c>
      <c r="P533" s="21" t="s">
        <v>59</v>
      </c>
      <c r="Q533" s="21"/>
      <c r="R533" s="24" t="n">
        <f aca="false">IF(AND($P533="Yes",$G533&lt;&gt;"Vendor day rates"),$J533-0.4*$I533,0)</f>
        <v>0</v>
      </c>
      <c r="S533" s="24" t="n">
        <f aca="false">IF(OR($P533&lt;&gt;"Yes",$Q533=""),0,$R533*MAX(0,7-MATCH($Q533,MonthList,0))/12)</f>
        <v>0</v>
      </c>
      <c r="T533" s="24" t="n">
        <f aca="false">IF(OR($P533&lt;&gt;"Yes",$Q533=""),0,$R533*IF(MATCH($Q533,MonthList,0)&lt;=7,12,19-MATCH($Q533,MonthList,0))/12)</f>
        <v>0</v>
      </c>
      <c r="U533" s="21" t="s">
        <v>59</v>
      </c>
      <c r="V533" s="21"/>
      <c r="W533" s="24" t="n">
        <f aca="false">IF(AND($U533="Yes",$G533&lt;&gt;"Vendor day rates"),$J533-0.4*$I533,0)</f>
        <v>0</v>
      </c>
      <c r="X533" s="24" t="n">
        <f aca="false">IF(OR($U533&lt;&gt;"Yes",$V533=""),0,$W533*MAX(0,7-MATCH($V533,MonthList,0))/12)</f>
        <v>0</v>
      </c>
      <c r="Y533" s="24" t="n">
        <f aca="false">IF(OR($U533&lt;&gt;"Yes",$V533=""),0,$W533*IF(MATCH($V533,MonthList,0)&lt;=7,12,19-MATCH($V533,MonthList,0))/12)</f>
        <v>0</v>
      </c>
    </row>
    <row r="534" customFormat="false" ht="15" hidden="false" customHeight="true" outlineLevel="0" collapsed="false">
      <c r="B534" s="18" t="s">
        <v>964</v>
      </c>
      <c r="C534" s="18" t="s">
        <v>961</v>
      </c>
      <c r="D534" s="18" t="s">
        <v>23</v>
      </c>
      <c r="E534" s="18" t="s">
        <v>962</v>
      </c>
      <c r="F534" s="19" t="s">
        <v>57</v>
      </c>
      <c r="G534" s="19" t="s">
        <v>118</v>
      </c>
      <c r="H534" s="19" t="n">
        <v>1</v>
      </c>
      <c r="I534" s="20" t="n">
        <v>0.0644</v>
      </c>
      <c r="J534" s="20" t="n">
        <v>0.0258</v>
      </c>
      <c r="K534" s="21" t="s">
        <v>59</v>
      </c>
      <c r="L534" s="21"/>
      <c r="M534" s="20" t="n">
        <f aca="false">IF(AND($K534="Yes",$G534&lt;&gt;"Vendor day rates"),$J534-0.4*$I534,0)</f>
        <v>0</v>
      </c>
      <c r="N534" s="20" t="n">
        <f aca="false">IF(OR($K534&lt;&gt;"Yes",$L534=""),0,$M534*MAX(0,7-MATCH($L534,MonthList,0))/12)</f>
        <v>0</v>
      </c>
      <c r="O534" s="20" t="n">
        <f aca="false">IF(OR($K534&lt;&gt;"Yes",$L534=""),0,$M534*IF(MATCH($L534,MonthList,0)&lt;=7,12,19-MATCH($L534,MonthList,0))/12)</f>
        <v>0</v>
      </c>
      <c r="P534" s="21" t="s">
        <v>59</v>
      </c>
      <c r="Q534" s="21"/>
      <c r="R534" s="20" t="n">
        <f aca="false">IF(AND($P534="Yes",$G534&lt;&gt;"Vendor day rates"),$J534-0.4*$I534,0)</f>
        <v>0</v>
      </c>
      <c r="S534" s="20" t="n">
        <f aca="false">IF(OR($P534&lt;&gt;"Yes",$Q534=""),0,$R534*MAX(0,7-MATCH($Q534,MonthList,0))/12)</f>
        <v>0</v>
      </c>
      <c r="T534" s="20" t="n">
        <f aca="false">IF(OR($P534&lt;&gt;"Yes",$Q534=""),0,$R534*IF(MATCH($Q534,MonthList,0)&lt;=7,12,19-MATCH($Q534,MonthList,0))/12)</f>
        <v>0</v>
      </c>
      <c r="U534" s="21" t="s">
        <v>59</v>
      </c>
      <c r="V534" s="21"/>
      <c r="W534" s="20" t="n">
        <f aca="false">IF(AND($U534="Yes",$G534&lt;&gt;"Vendor day rates"),$J534-0.4*$I534,0)</f>
        <v>0</v>
      </c>
      <c r="X534" s="20" t="n">
        <f aca="false">IF(OR($U534&lt;&gt;"Yes",$V534=""),0,$W534*MAX(0,7-MATCH($V534,MonthList,0))/12)</f>
        <v>0</v>
      </c>
      <c r="Y534" s="20" t="n">
        <f aca="false">IF(OR($U534&lt;&gt;"Yes",$V534=""),0,$W534*IF(MATCH($V534,MonthList,0)&lt;=7,12,19-MATCH($V534,MonthList,0))/12)</f>
        <v>0</v>
      </c>
    </row>
    <row r="535" customFormat="false" ht="15" hidden="false" customHeight="true" outlineLevel="0" collapsed="false">
      <c r="B535" s="22" t="s">
        <v>965</v>
      </c>
      <c r="C535" s="22" t="s">
        <v>961</v>
      </c>
      <c r="D535" s="22" t="s">
        <v>23</v>
      </c>
      <c r="E535" s="22" t="s">
        <v>962</v>
      </c>
      <c r="F535" s="23" t="s">
        <v>57</v>
      </c>
      <c r="G535" s="23" t="s">
        <v>118</v>
      </c>
      <c r="H535" s="23" t="n">
        <v>1</v>
      </c>
      <c r="I535" s="24" t="n">
        <v>0.0644</v>
      </c>
      <c r="J535" s="24" t="n">
        <v>0.0258</v>
      </c>
      <c r="K535" s="21" t="s">
        <v>59</v>
      </c>
      <c r="L535" s="21"/>
      <c r="M535" s="24" t="n">
        <f aca="false">IF(AND($K535="Yes",$G535&lt;&gt;"Vendor day rates"),$J535-0.4*$I535,0)</f>
        <v>0</v>
      </c>
      <c r="N535" s="24" t="n">
        <f aca="false">IF(OR($K535&lt;&gt;"Yes",$L535=""),0,$M535*MAX(0,7-MATCH($L535,MonthList,0))/12)</f>
        <v>0</v>
      </c>
      <c r="O535" s="24" t="n">
        <f aca="false">IF(OR($K535&lt;&gt;"Yes",$L535=""),0,$M535*IF(MATCH($L535,MonthList,0)&lt;=7,12,19-MATCH($L535,MonthList,0))/12)</f>
        <v>0</v>
      </c>
      <c r="P535" s="21" t="s">
        <v>59</v>
      </c>
      <c r="Q535" s="21"/>
      <c r="R535" s="24" t="n">
        <f aca="false">IF(AND($P535="Yes",$G535&lt;&gt;"Vendor day rates"),$J535-0.4*$I535,0)</f>
        <v>0</v>
      </c>
      <c r="S535" s="24" t="n">
        <f aca="false">IF(OR($P535&lt;&gt;"Yes",$Q535=""),0,$R535*MAX(0,7-MATCH($Q535,MonthList,0))/12)</f>
        <v>0</v>
      </c>
      <c r="T535" s="24" t="n">
        <f aca="false">IF(OR($P535&lt;&gt;"Yes",$Q535=""),0,$R535*IF(MATCH($Q535,MonthList,0)&lt;=7,12,19-MATCH($Q535,MonthList,0))/12)</f>
        <v>0</v>
      </c>
      <c r="U535" s="21" t="s">
        <v>59</v>
      </c>
      <c r="V535" s="21"/>
      <c r="W535" s="24" t="n">
        <f aca="false">IF(AND($U535="Yes",$G535&lt;&gt;"Vendor day rates"),$J535-0.4*$I535,0)</f>
        <v>0</v>
      </c>
      <c r="X535" s="24" t="n">
        <f aca="false">IF(OR($U535&lt;&gt;"Yes",$V535=""),0,$W535*MAX(0,7-MATCH($V535,MonthList,0))/12)</f>
        <v>0</v>
      </c>
      <c r="Y535" s="24" t="n">
        <f aca="false">IF(OR($U535&lt;&gt;"Yes",$V535=""),0,$W535*IF(MATCH($V535,MonthList,0)&lt;=7,12,19-MATCH($V535,MonthList,0))/12)</f>
        <v>0</v>
      </c>
    </row>
    <row r="536" customFormat="false" ht="15" hidden="false" customHeight="true" outlineLevel="0" collapsed="false">
      <c r="B536" s="18" t="s">
        <v>966</v>
      </c>
      <c r="C536" s="18" t="s">
        <v>961</v>
      </c>
      <c r="D536" s="18" t="s">
        <v>23</v>
      </c>
      <c r="E536" s="18" t="s">
        <v>962</v>
      </c>
      <c r="F536" s="19" t="s">
        <v>57</v>
      </c>
      <c r="G536" s="19" t="s">
        <v>118</v>
      </c>
      <c r="H536" s="19" t="n">
        <v>1</v>
      </c>
      <c r="I536" s="20" t="n">
        <v>0.0644</v>
      </c>
      <c r="J536" s="20" t="n">
        <v>0.0258</v>
      </c>
      <c r="K536" s="21" t="s">
        <v>59</v>
      </c>
      <c r="L536" s="21"/>
      <c r="M536" s="20" t="n">
        <f aca="false">IF(AND($K536="Yes",$G536&lt;&gt;"Vendor day rates"),$J536-0.4*$I536,0)</f>
        <v>0</v>
      </c>
      <c r="N536" s="20" t="n">
        <f aca="false">IF(OR($K536&lt;&gt;"Yes",$L536=""),0,$M536*MAX(0,7-MATCH($L536,MonthList,0))/12)</f>
        <v>0</v>
      </c>
      <c r="O536" s="20" t="n">
        <f aca="false">IF(OR($K536&lt;&gt;"Yes",$L536=""),0,$M536*IF(MATCH($L536,MonthList,0)&lt;=7,12,19-MATCH($L536,MonthList,0))/12)</f>
        <v>0</v>
      </c>
      <c r="P536" s="21" t="s">
        <v>59</v>
      </c>
      <c r="Q536" s="21"/>
      <c r="R536" s="20" t="n">
        <f aca="false">IF(AND($P536="Yes",$G536&lt;&gt;"Vendor day rates"),$J536-0.4*$I536,0)</f>
        <v>0</v>
      </c>
      <c r="S536" s="20" t="n">
        <f aca="false">IF(OR($P536&lt;&gt;"Yes",$Q536=""),0,$R536*MAX(0,7-MATCH($Q536,MonthList,0))/12)</f>
        <v>0</v>
      </c>
      <c r="T536" s="20" t="n">
        <f aca="false">IF(OR($P536&lt;&gt;"Yes",$Q536=""),0,$R536*IF(MATCH($Q536,MonthList,0)&lt;=7,12,19-MATCH($Q536,MonthList,0))/12)</f>
        <v>0</v>
      </c>
      <c r="U536" s="21" t="s">
        <v>59</v>
      </c>
      <c r="V536" s="21"/>
      <c r="W536" s="20" t="n">
        <f aca="false">IF(AND($U536="Yes",$G536&lt;&gt;"Vendor day rates"),$J536-0.4*$I536,0)</f>
        <v>0</v>
      </c>
      <c r="X536" s="20" t="n">
        <f aca="false">IF(OR($U536&lt;&gt;"Yes",$V536=""),0,$W536*MAX(0,7-MATCH($V536,MonthList,0))/12)</f>
        <v>0</v>
      </c>
      <c r="Y536" s="20" t="n">
        <f aca="false">IF(OR($U536&lt;&gt;"Yes",$V536=""),0,$W536*IF(MATCH($V536,MonthList,0)&lt;=7,12,19-MATCH($V536,MonthList,0))/12)</f>
        <v>0</v>
      </c>
    </row>
    <row r="537" customFormat="false" ht="15" hidden="false" customHeight="true" outlineLevel="0" collapsed="false">
      <c r="B537" s="22" t="s">
        <v>967</v>
      </c>
      <c r="C537" s="22" t="s">
        <v>961</v>
      </c>
      <c r="D537" s="22" t="s">
        <v>23</v>
      </c>
      <c r="E537" s="22" t="s">
        <v>962</v>
      </c>
      <c r="F537" s="23" t="s">
        <v>57</v>
      </c>
      <c r="G537" s="23" t="s">
        <v>118</v>
      </c>
      <c r="H537" s="23" t="n">
        <v>1</v>
      </c>
      <c r="I537" s="24" t="n">
        <v>0.0644</v>
      </c>
      <c r="J537" s="24" t="n">
        <v>0.0258</v>
      </c>
      <c r="K537" s="21" t="s">
        <v>59</v>
      </c>
      <c r="L537" s="21"/>
      <c r="M537" s="24" t="n">
        <f aca="false">IF(AND($K537="Yes",$G537&lt;&gt;"Vendor day rates"),$J537-0.4*$I537,0)</f>
        <v>0</v>
      </c>
      <c r="N537" s="24" t="n">
        <f aca="false">IF(OR($K537&lt;&gt;"Yes",$L537=""),0,$M537*MAX(0,7-MATCH($L537,MonthList,0))/12)</f>
        <v>0</v>
      </c>
      <c r="O537" s="24" t="n">
        <f aca="false">IF(OR($K537&lt;&gt;"Yes",$L537=""),0,$M537*IF(MATCH($L537,MonthList,0)&lt;=7,12,19-MATCH($L537,MonthList,0))/12)</f>
        <v>0</v>
      </c>
      <c r="P537" s="21" t="s">
        <v>59</v>
      </c>
      <c r="Q537" s="21"/>
      <c r="R537" s="24" t="n">
        <f aca="false">IF(AND($P537="Yes",$G537&lt;&gt;"Vendor day rates"),$J537-0.4*$I537,0)</f>
        <v>0</v>
      </c>
      <c r="S537" s="24" t="n">
        <f aca="false">IF(OR($P537&lt;&gt;"Yes",$Q537=""),0,$R537*MAX(0,7-MATCH($Q537,MonthList,0))/12)</f>
        <v>0</v>
      </c>
      <c r="T537" s="24" t="n">
        <f aca="false">IF(OR($P537&lt;&gt;"Yes",$Q537=""),0,$R537*IF(MATCH($Q537,MonthList,0)&lt;=7,12,19-MATCH($Q537,MonthList,0))/12)</f>
        <v>0</v>
      </c>
      <c r="U537" s="21" t="s">
        <v>59</v>
      </c>
      <c r="V537" s="21"/>
      <c r="W537" s="24" t="n">
        <f aca="false">IF(AND($U537="Yes",$G537&lt;&gt;"Vendor day rates"),$J537-0.4*$I537,0)</f>
        <v>0</v>
      </c>
      <c r="X537" s="24" t="n">
        <f aca="false">IF(OR($U537&lt;&gt;"Yes",$V537=""),0,$W537*MAX(0,7-MATCH($V537,MonthList,0))/12)</f>
        <v>0</v>
      </c>
      <c r="Y537" s="24" t="n">
        <f aca="false">IF(OR($U537&lt;&gt;"Yes",$V537=""),0,$W537*IF(MATCH($V537,MonthList,0)&lt;=7,12,19-MATCH($V537,MonthList,0))/12)</f>
        <v>0</v>
      </c>
    </row>
    <row r="538" customFormat="false" ht="15" hidden="false" customHeight="true" outlineLevel="0" collapsed="false">
      <c r="B538" s="18" t="s">
        <v>968</v>
      </c>
      <c r="C538" s="18" t="s">
        <v>961</v>
      </c>
      <c r="D538" s="18" t="s">
        <v>23</v>
      </c>
      <c r="E538" s="18" t="s">
        <v>962</v>
      </c>
      <c r="F538" s="19" t="s">
        <v>57</v>
      </c>
      <c r="G538" s="19" t="s">
        <v>118</v>
      </c>
      <c r="H538" s="19" t="n">
        <v>1</v>
      </c>
      <c r="I538" s="20" t="n">
        <v>0.0644</v>
      </c>
      <c r="J538" s="20" t="n">
        <v>0.0258</v>
      </c>
      <c r="K538" s="21" t="s">
        <v>59</v>
      </c>
      <c r="L538" s="21"/>
      <c r="M538" s="20" t="n">
        <f aca="false">IF(AND($K538="Yes",$G538&lt;&gt;"Vendor day rates"),$J538-0.4*$I538,0)</f>
        <v>0</v>
      </c>
      <c r="N538" s="20" t="n">
        <f aca="false">IF(OR($K538&lt;&gt;"Yes",$L538=""),0,$M538*MAX(0,7-MATCH($L538,MonthList,0))/12)</f>
        <v>0</v>
      </c>
      <c r="O538" s="20" t="n">
        <f aca="false">IF(OR($K538&lt;&gt;"Yes",$L538=""),0,$M538*IF(MATCH($L538,MonthList,0)&lt;=7,12,19-MATCH($L538,MonthList,0))/12)</f>
        <v>0</v>
      </c>
      <c r="P538" s="21" t="s">
        <v>59</v>
      </c>
      <c r="Q538" s="21"/>
      <c r="R538" s="20" t="n">
        <f aca="false">IF(AND($P538="Yes",$G538&lt;&gt;"Vendor day rates"),$J538-0.4*$I538,0)</f>
        <v>0</v>
      </c>
      <c r="S538" s="20" t="n">
        <f aca="false">IF(OR($P538&lt;&gt;"Yes",$Q538=""),0,$R538*MAX(0,7-MATCH($Q538,MonthList,0))/12)</f>
        <v>0</v>
      </c>
      <c r="T538" s="20" t="n">
        <f aca="false">IF(OR($P538&lt;&gt;"Yes",$Q538=""),0,$R538*IF(MATCH($Q538,MonthList,0)&lt;=7,12,19-MATCH($Q538,MonthList,0))/12)</f>
        <v>0</v>
      </c>
      <c r="U538" s="21" t="s">
        <v>59</v>
      </c>
      <c r="V538" s="21"/>
      <c r="W538" s="20" t="n">
        <f aca="false">IF(AND($U538="Yes",$G538&lt;&gt;"Vendor day rates"),$J538-0.4*$I538,0)</f>
        <v>0</v>
      </c>
      <c r="X538" s="20" t="n">
        <f aca="false">IF(OR($U538&lt;&gt;"Yes",$V538=""),0,$W538*MAX(0,7-MATCH($V538,MonthList,0))/12)</f>
        <v>0</v>
      </c>
      <c r="Y538" s="20" t="n">
        <f aca="false">IF(OR($U538&lt;&gt;"Yes",$V538=""),0,$W538*IF(MATCH($V538,MonthList,0)&lt;=7,12,19-MATCH($V538,MonthList,0))/12)</f>
        <v>0</v>
      </c>
    </row>
    <row r="539" customFormat="false" ht="15" hidden="false" customHeight="true" outlineLevel="0" collapsed="false">
      <c r="B539" s="22" t="s">
        <v>969</v>
      </c>
      <c r="C539" s="22" t="s">
        <v>961</v>
      </c>
      <c r="D539" s="22" t="s">
        <v>23</v>
      </c>
      <c r="E539" s="22" t="s">
        <v>962</v>
      </c>
      <c r="F539" s="23" t="s">
        <v>57</v>
      </c>
      <c r="G539" s="23" t="s">
        <v>118</v>
      </c>
      <c r="H539" s="23" t="n">
        <v>1</v>
      </c>
      <c r="I539" s="24" t="n">
        <v>0.0644</v>
      </c>
      <c r="J539" s="24" t="n">
        <v>0.0258</v>
      </c>
      <c r="K539" s="21" t="s">
        <v>59</v>
      </c>
      <c r="L539" s="21"/>
      <c r="M539" s="24" t="n">
        <f aca="false">IF(AND($K539="Yes",$G539&lt;&gt;"Vendor day rates"),$J539-0.4*$I539,0)</f>
        <v>0</v>
      </c>
      <c r="N539" s="24" t="n">
        <f aca="false">IF(OR($K539&lt;&gt;"Yes",$L539=""),0,$M539*MAX(0,7-MATCH($L539,MonthList,0))/12)</f>
        <v>0</v>
      </c>
      <c r="O539" s="24" t="n">
        <f aca="false">IF(OR($K539&lt;&gt;"Yes",$L539=""),0,$M539*IF(MATCH($L539,MonthList,0)&lt;=7,12,19-MATCH($L539,MonthList,0))/12)</f>
        <v>0</v>
      </c>
      <c r="P539" s="21" t="s">
        <v>59</v>
      </c>
      <c r="Q539" s="21"/>
      <c r="R539" s="24" t="n">
        <f aca="false">IF(AND($P539="Yes",$G539&lt;&gt;"Vendor day rates"),$J539-0.4*$I539,0)</f>
        <v>0</v>
      </c>
      <c r="S539" s="24" t="n">
        <f aca="false">IF(OR($P539&lt;&gt;"Yes",$Q539=""),0,$R539*MAX(0,7-MATCH($Q539,MonthList,0))/12)</f>
        <v>0</v>
      </c>
      <c r="T539" s="24" t="n">
        <f aca="false">IF(OR($P539&lt;&gt;"Yes",$Q539=""),0,$R539*IF(MATCH($Q539,MonthList,0)&lt;=7,12,19-MATCH($Q539,MonthList,0))/12)</f>
        <v>0</v>
      </c>
      <c r="U539" s="21" t="s">
        <v>59</v>
      </c>
      <c r="V539" s="21"/>
      <c r="W539" s="24" t="n">
        <f aca="false">IF(AND($U539="Yes",$G539&lt;&gt;"Vendor day rates"),$J539-0.4*$I539,0)</f>
        <v>0</v>
      </c>
      <c r="X539" s="24" t="n">
        <f aca="false">IF(OR($U539&lt;&gt;"Yes",$V539=""),0,$W539*MAX(0,7-MATCH($V539,MonthList,0))/12)</f>
        <v>0</v>
      </c>
      <c r="Y539" s="24" t="n">
        <f aca="false">IF(OR($U539&lt;&gt;"Yes",$V539=""),0,$W539*IF(MATCH($V539,MonthList,0)&lt;=7,12,19-MATCH($V539,MonthList,0))/12)</f>
        <v>0</v>
      </c>
    </row>
    <row r="540" customFormat="false" ht="15" hidden="false" customHeight="true" outlineLevel="0" collapsed="false">
      <c r="B540" s="18" t="s">
        <v>970</v>
      </c>
      <c r="C540" s="18" t="s">
        <v>961</v>
      </c>
      <c r="D540" s="18" t="s">
        <v>23</v>
      </c>
      <c r="E540" s="18" t="s">
        <v>962</v>
      </c>
      <c r="F540" s="19" t="s">
        <v>57</v>
      </c>
      <c r="G540" s="19" t="s">
        <v>118</v>
      </c>
      <c r="H540" s="19" t="n">
        <v>1</v>
      </c>
      <c r="I540" s="20" t="n">
        <v>0.0644</v>
      </c>
      <c r="J540" s="20" t="n">
        <v>0.0258</v>
      </c>
      <c r="K540" s="21" t="s">
        <v>59</v>
      </c>
      <c r="L540" s="21"/>
      <c r="M540" s="20" t="n">
        <f aca="false">IF(AND($K540="Yes",$G540&lt;&gt;"Vendor day rates"),$J540-0.4*$I540,0)</f>
        <v>0</v>
      </c>
      <c r="N540" s="20" t="n">
        <f aca="false">IF(OR($K540&lt;&gt;"Yes",$L540=""),0,$M540*MAX(0,7-MATCH($L540,MonthList,0))/12)</f>
        <v>0</v>
      </c>
      <c r="O540" s="20" t="n">
        <f aca="false">IF(OR($K540&lt;&gt;"Yes",$L540=""),0,$M540*IF(MATCH($L540,MonthList,0)&lt;=7,12,19-MATCH($L540,MonthList,0))/12)</f>
        <v>0</v>
      </c>
      <c r="P540" s="21" t="s">
        <v>59</v>
      </c>
      <c r="Q540" s="21"/>
      <c r="R540" s="20" t="n">
        <f aca="false">IF(AND($P540="Yes",$G540&lt;&gt;"Vendor day rates"),$J540-0.4*$I540,0)</f>
        <v>0</v>
      </c>
      <c r="S540" s="20" t="n">
        <f aca="false">IF(OR($P540&lt;&gt;"Yes",$Q540=""),0,$R540*MAX(0,7-MATCH($Q540,MonthList,0))/12)</f>
        <v>0</v>
      </c>
      <c r="T540" s="20" t="n">
        <f aca="false">IF(OR($P540&lt;&gt;"Yes",$Q540=""),0,$R540*IF(MATCH($Q540,MonthList,0)&lt;=7,12,19-MATCH($Q540,MonthList,0))/12)</f>
        <v>0</v>
      </c>
      <c r="U540" s="21" t="s">
        <v>59</v>
      </c>
      <c r="V540" s="21"/>
      <c r="W540" s="20" t="n">
        <f aca="false">IF(AND($U540="Yes",$G540&lt;&gt;"Vendor day rates"),$J540-0.4*$I540,0)</f>
        <v>0</v>
      </c>
      <c r="X540" s="20" t="n">
        <f aca="false">IF(OR($U540&lt;&gt;"Yes",$V540=""),0,$W540*MAX(0,7-MATCH($V540,MonthList,0))/12)</f>
        <v>0</v>
      </c>
      <c r="Y540" s="20" t="n">
        <f aca="false">IF(OR($U540&lt;&gt;"Yes",$V540=""),0,$W540*IF(MATCH($V540,MonthList,0)&lt;=7,12,19-MATCH($V540,MonthList,0))/12)</f>
        <v>0</v>
      </c>
    </row>
    <row r="541" customFormat="false" ht="15" hidden="false" customHeight="true" outlineLevel="0" collapsed="false">
      <c r="B541" s="22" t="s">
        <v>971</v>
      </c>
      <c r="C541" s="22" t="s">
        <v>972</v>
      </c>
      <c r="D541" s="22" t="s">
        <v>26</v>
      </c>
      <c r="E541" s="22" t="s">
        <v>157</v>
      </c>
      <c r="F541" s="23" t="s">
        <v>57</v>
      </c>
      <c r="G541" s="23" t="s">
        <v>145</v>
      </c>
      <c r="H541" s="23" t="n">
        <v>1</v>
      </c>
      <c r="I541" s="24" t="n">
        <v>0.2136</v>
      </c>
      <c r="J541" s="24" t="n">
        <v>0.2136</v>
      </c>
      <c r="K541" s="21" t="s">
        <v>59</v>
      </c>
      <c r="L541" s="21"/>
      <c r="M541" s="24" t="n">
        <f aca="false">IF(AND($K541="Yes",$G541&lt;&gt;"Vendor day rates"),$J541-0.4*$I541,0)</f>
        <v>0</v>
      </c>
      <c r="N541" s="24" t="n">
        <f aca="false">IF(OR($K541&lt;&gt;"Yes",$L541=""),0,$M541*MAX(0,7-MATCH($L541,MonthList,0))/12)</f>
        <v>0</v>
      </c>
      <c r="O541" s="24" t="n">
        <f aca="false">IF(OR($K541&lt;&gt;"Yes",$L541=""),0,$M541*IF(MATCH($L541,MonthList,0)&lt;=7,12,19-MATCH($L541,MonthList,0))/12)</f>
        <v>0</v>
      </c>
      <c r="P541" s="21" t="s">
        <v>59</v>
      </c>
      <c r="Q541" s="21"/>
      <c r="R541" s="24" t="n">
        <f aca="false">IF(AND($P541="Yes",$G541&lt;&gt;"Vendor day rates"),$J541-0.4*$I541,0)</f>
        <v>0</v>
      </c>
      <c r="S541" s="24" t="n">
        <f aca="false">IF(OR($P541&lt;&gt;"Yes",$Q541=""),0,$R541*MAX(0,7-MATCH($Q541,MonthList,0))/12)</f>
        <v>0</v>
      </c>
      <c r="T541" s="24" t="n">
        <f aca="false">IF(OR($P541&lt;&gt;"Yes",$Q541=""),0,$R541*IF(MATCH($Q541,MonthList,0)&lt;=7,12,19-MATCH($Q541,MonthList,0))/12)</f>
        <v>0</v>
      </c>
      <c r="U541" s="21" t="s">
        <v>59</v>
      </c>
      <c r="V541" s="21"/>
      <c r="W541" s="24" t="n">
        <f aca="false">IF(AND($U541="Yes",$G541&lt;&gt;"Vendor day rates"),$J541-0.4*$I541,0)</f>
        <v>0</v>
      </c>
      <c r="X541" s="24" t="n">
        <f aca="false">IF(OR($U541&lt;&gt;"Yes",$V541=""),0,$W541*MAX(0,7-MATCH($V541,MonthList,0))/12)</f>
        <v>0</v>
      </c>
      <c r="Y541" s="24" t="n">
        <f aca="false">IF(OR($U541&lt;&gt;"Yes",$V541=""),0,$W541*IF(MATCH($V541,MonthList,0)&lt;=7,12,19-MATCH($V541,MonthList,0))/12)</f>
        <v>0</v>
      </c>
    </row>
    <row r="542" customFormat="false" ht="15" hidden="false" customHeight="true" outlineLevel="0" collapsed="false">
      <c r="B542" s="18" t="s">
        <v>973</v>
      </c>
      <c r="C542" s="18" t="s">
        <v>974</v>
      </c>
      <c r="D542" s="18" t="s">
        <v>26</v>
      </c>
      <c r="E542" s="18" t="s">
        <v>160</v>
      </c>
      <c r="F542" s="19" t="s">
        <v>57</v>
      </c>
      <c r="G542" s="19" t="s">
        <v>462</v>
      </c>
      <c r="H542" s="19" t="n">
        <v>1</v>
      </c>
      <c r="I542" s="20" t="n">
        <v>0.1705</v>
      </c>
      <c r="J542" s="20" t="n">
        <v>0.017</v>
      </c>
      <c r="K542" s="21" t="s">
        <v>59</v>
      </c>
      <c r="L542" s="21"/>
      <c r="M542" s="20" t="n">
        <f aca="false">IF(AND($K542="Yes",$G542&lt;&gt;"Vendor day rates"),$J542-0.4*$I542,0)</f>
        <v>0</v>
      </c>
      <c r="N542" s="20" t="n">
        <f aca="false">IF(OR($K542&lt;&gt;"Yes",$L542=""),0,$M542*MAX(0,7-MATCH($L542,MonthList,0))/12)</f>
        <v>0</v>
      </c>
      <c r="O542" s="20" t="n">
        <f aca="false">IF(OR($K542&lt;&gt;"Yes",$L542=""),0,$M542*IF(MATCH($L542,MonthList,0)&lt;=7,12,19-MATCH($L542,MonthList,0))/12)</f>
        <v>0</v>
      </c>
      <c r="P542" s="21" t="s">
        <v>59</v>
      </c>
      <c r="Q542" s="21"/>
      <c r="R542" s="20" t="n">
        <f aca="false">IF(AND($P542="Yes",$G542&lt;&gt;"Vendor day rates"),$J542-0.4*$I542,0)</f>
        <v>0</v>
      </c>
      <c r="S542" s="20" t="n">
        <f aca="false">IF(OR($P542&lt;&gt;"Yes",$Q542=""),0,$R542*MAX(0,7-MATCH($Q542,MonthList,0))/12)</f>
        <v>0</v>
      </c>
      <c r="T542" s="20" t="n">
        <f aca="false">IF(OR($P542&lt;&gt;"Yes",$Q542=""),0,$R542*IF(MATCH($Q542,MonthList,0)&lt;=7,12,19-MATCH($Q542,MonthList,0))/12)</f>
        <v>0</v>
      </c>
      <c r="U542" s="21" t="s">
        <v>59</v>
      </c>
      <c r="V542" s="21"/>
      <c r="W542" s="20" t="n">
        <f aca="false">IF(AND($U542="Yes",$G542&lt;&gt;"Vendor day rates"),$J542-0.4*$I542,0)</f>
        <v>0</v>
      </c>
      <c r="X542" s="20" t="n">
        <f aca="false">IF(OR($U542&lt;&gt;"Yes",$V542=""),0,$W542*MAX(0,7-MATCH($V542,MonthList,0))/12)</f>
        <v>0</v>
      </c>
      <c r="Y542" s="20" t="n">
        <f aca="false">IF(OR($U542&lt;&gt;"Yes",$V542=""),0,$W542*IF(MATCH($V542,MonthList,0)&lt;=7,12,19-MATCH($V542,MonthList,0))/12)</f>
        <v>0</v>
      </c>
    </row>
    <row r="543" customFormat="false" ht="15" hidden="false" customHeight="true" outlineLevel="0" collapsed="false">
      <c r="B543" s="22" t="s">
        <v>975</v>
      </c>
      <c r="C543" s="22" t="s">
        <v>974</v>
      </c>
      <c r="D543" s="22" t="s">
        <v>26</v>
      </c>
      <c r="E543" s="22" t="s">
        <v>160</v>
      </c>
      <c r="F543" s="23" t="s">
        <v>57</v>
      </c>
      <c r="G543" s="23" t="s">
        <v>462</v>
      </c>
      <c r="H543" s="23" t="n">
        <v>1</v>
      </c>
      <c r="I543" s="24" t="n">
        <v>0.1705</v>
      </c>
      <c r="J543" s="24" t="n">
        <v>0.017</v>
      </c>
      <c r="K543" s="21" t="s">
        <v>59</v>
      </c>
      <c r="L543" s="21"/>
      <c r="M543" s="24" t="n">
        <f aca="false">IF(AND($K543="Yes",$G543&lt;&gt;"Vendor day rates"),$J543-0.4*$I543,0)</f>
        <v>0</v>
      </c>
      <c r="N543" s="24" t="n">
        <f aca="false">IF(OR($K543&lt;&gt;"Yes",$L543=""),0,$M543*MAX(0,7-MATCH($L543,MonthList,0))/12)</f>
        <v>0</v>
      </c>
      <c r="O543" s="24" t="n">
        <f aca="false">IF(OR($K543&lt;&gt;"Yes",$L543=""),0,$M543*IF(MATCH($L543,MonthList,0)&lt;=7,12,19-MATCH($L543,MonthList,0))/12)</f>
        <v>0</v>
      </c>
      <c r="P543" s="21" t="s">
        <v>59</v>
      </c>
      <c r="Q543" s="21"/>
      <c r="R543" s="24" t="n">
        <f aca="false">IF(AND($P543="Yes",$G543&lt;&gt;"Vendor day rates"),$J543-0.4*$I543,0)</f>
        <v>0</v>
      </c>
      <c r="S543" s="24" t="n">
        <f aca="false">IF(OR($P543&lt;&gt;"Yes",$Q543=""),0,$R543*MAX(0,7-MATCH($Q543,MonthList,0))/12)</f>
        <v>0</v>
      </c>
      <c r="T543" s="24" t="n">
        <f aca="false">IF(OR($P543&lt;&gt;"Yes",$Q543=""),0,$R543*IF(MATCH($Q543,MonthList,0)&lt;=7,12,19-MATCH($Q543,MonthList,0))/12)</f>
        <v>0</v>
      </c>
      <c r="U543" s="21" t="s">
        <v>59</v>
      </c>
      <c r="V543" s="21"/>
      <c r="W543" s="24" t="n">
        <f aca="false">IF(AND($U543="Yes",$G543&lt;&gt;"Vendor day rates"),$J543-0.4*$I543,0)</f>
        <v>0</v>
      </c>
      <c r="X543" s="24" t="n">
        <f aca="false">IF(OR($U543&lt;&gt;"Yes",$V543=""),0,$W543*MAX(0,7-MATCH($V543,MonthList,0))/12)</f>
        <v>0</v>
      </c>
      <c r="Y543" s="24" t="n">
        <f aca="false">IF(OR($U543&lt;&gt;"Yes",$V543=""),0,$W543*IF(MATCH($V543,MonthList,0)&lt;=7,12,19-MATCH($V543,MonthList,0))/12)</f>
        <v>0</v>
      </c>
    </row>
    <row r="544" customFormat="false" ht="15" hidden="false" customHeight="true" outlineLevel="0" collapsed="false">
      <c r="B544" s="18" t="s">
        <v>976</v>
      </c>
      <c r="C544" s="18" t="s">
        <v>977</v>
      </c>
      <c r="D544" s="18" t="s">
        <v>26</v>
      </c>
      <c r="E544" s="18" t="s">
        <v>238</v>
      </c>
      <c r="F544" s="19" t="s">
        <v>57</v>
      </c>
      <c r="G544" s="19" t="s">
        <v>462</v>
      </c>
      <c r="H544" s="19" t="n">
        <v>1</v>
      </c>
      <c r="I544" s="20" t="n">
        <v>0.1705</v>
      </c>
      <c r="J544" s="20" t="n">
        <v>0.0511</v>
      </c>
      <c r="K544" s="21" t="s">
        <v>59</v>
      </c>
      <c r="L544" s="21"/>
      <c r="M544" s="20" t="n">
        <f aca="false">IF(AND($K544="Yes",$G544&lt;&gt;"Vendor day rates"),$J544-0.4*$I544,0)</f>
        <v>0</v>
      </c>
      <c r="N544" s="20" t="n">
        <f aca="false">IF(OR($K544&lt;&gt;"Yes",$L544=""),0,$M544*MAX(0,7-MATCH($L544,MonthList,0))/12)</f>
        <v>0</v>
      </c>
      <c r="O544" s="20" t="n">
        <f aca="false">IF(OR($K544&lt;&gt;"Yes",$L544=""),0,$M544*IF(MATCH($L544,MonthList,0)&lt;=7,12,19-MATCH($L544,MonthList,0))/12)</f>
        <v>0</v>
      </c>
      <c r="P544" s="21" t="s">
        <v>59</v>
      </c>
      <c r="Q544" s="21"/>
      <c r="R544" s="20" t="n">
        <f aca="false">IF(AND($P544="Yes",$G544&lt;&gt;"Vendor day rates"),$J544-0.4*$I544,0)</f>
        <v>0</v>
      </c>
      <c r="S544" s="20" t="n">
        <f aca="false">IF(OR($P544&lt;&gt;"Yes",$Q544=""),0,$R544*MAX(0,7-MATCH($Q544,MonthList,0))/12)</f>
        <v>0</v>
      </c>
      <c r="T544" s="20" t="n">
        <f aca="false">IF(OR($P544&lt;&gt;"Yes",$Q544=""),0,$R544*IF(MATCH($Q544,MonthList,0)&lt;=7,12,19-MATCH($Q544,MonthList,0))/12)</f>
        <v>0</v>
      </c>
      <c r="U544" s="21" t="s">
        <v>59</v>
      </c>
      <c r="V544" s="21"/>
      <c r="W544" s="20" t="n">
        <f aca="false">IF(AND($U544="Yes",$G544&lt;&gt;"Vendor day rates"),$J544-0.4*$I544,0)</f>
        <v>0</v>
      </c>
      <c r="X544" s="20" t="n">
        <f aca="false">IF(OR($U544&lt;&gt;"Yes",$V544=""),0,$W544*MAX(0,7-MATCH($V544,MonthList,0))/12)</f>
        <v>0</v>
      </c>
      <c r="Y544" s="20" t="n">
        <f aca="false">IF(OR($U544&lt;&gt;"Yes",$V544=""),0,$W544*IF(MATCH($V544,MonthList,0)&lt;=7,12,19-MATCH($V544,MonthList,0))/12)</f>
        <v>0</v>
      </c>
    </row>
    <row r="545" customFormat="false" ht="15" hidden="false" customHeight="true" outlineLevel="0" collapsed="false">
      <c r="B545" s="22" t="s">
        <v>978</v>
      </c>
      <c r="C545" s="22" t="s">
        <v>916</v>
      </c>
      <c r="D545" s="22" t="s">
        <v>26</v>
      </c>
      <c r="E545" s="22" t="s">
        <v>160</v>
      </c>
      <c r="F545" s="23" t="s">
        <v>57</v>
      </c>
      <c r="G545" s="23" t="s">
        <v>462</v>
      </c>
      <c r="H545" s="23" t="n">
        <v>1</v>
      </c>
      <c r="I545" s="24" t="n">
        <v>0.1226</v>
      </c>
      <c r="J545" s="24" t="n">
        <v>0.0245</v>
      </c>
      <c r="K545" s="21" t="s">
        <v>59</v>
      </c>
      <c r="L545" s="21"/>
      <c r="M545" s="24" t="n">
        <f aca="false">IF(AND($K545="Yes",$G545&lt;&gt;"Vendor day rates"),$J545-0.4*$I545,0)</f>
        <v>0</v>
      </c>
      <c r="N545" s="24" t="n">
        <f aca="false">IF(OR($K545&lt;&gt;"Yes",$L545=""),0,$M545*MAX(0,7-MATCH($L545,MonthList,0))/12)</f>
        <v>0</v>
      </c>
      <c r="O545" s="24" t="n">
        <f aca="false">IF(OR($K545&lt;&gt;"Yes",$L545=""),0,$M545*IF(MATCH($L545,MonthList,0)&lt;=7,12,19-MATCH($L545,MonthList,0))/12)</f>
        <v>0</v>
      </c>
      <c r="P545" s="21" t="s">
        <v>59</v>
      </c>
      <c r="Q545" s="21"/>
      <c r="R545" s="24" t="n">
        <f aca="false">IF(AND($P545="Yes",$G545&lt;&gt;"Vendor day rates"),$J545-0.4*$I545,0)</f>
        <v>0</v>
      </c>
      <c r="S545" s="24" t="n">
        <f aca="false">IF(OR($P545&lt;&gt;"Yes",$Q545=""),0,$R545*MAX(0,7-MATCH($Q545,MonthList,0))/12)</f>
        <v>0</v>
      </c>
      <c r="T545" s="24" t="n">
        <f aca="false">IF(OR($P545&lt;&gt;"Yes",$Q545=""),0,$R545*IF(MATCH($Q545,MonthList,0)&lt;=7,12,19-MATCH($Q545,MonthList,0))/12)</f>
        <v>0</v>
      </c>
      <c r="U545" s="21" t="s">
        <v>59</v>
      </c>
      <c r="V545" s="21"/>
      <c r="W545" s="24" t="n">
        <f aca="false">IF(AND($U545="Yes",$G545&lt;&gt;"Vendor day rates"),$J545-0.4*$I545,0)</f>
        <v>0</v>
      </c>
      <c r="X545" s="24" t="n">
        <f aca="false">IF(OR($U545&lt;&gt;"Yes",$V545=""),0,$W545*MAX(0,7-MATCH($V545,MonthList,0))/12)</f>
        <v>0</v>
      </c>
      <c r="Y545" s="24" t="n">
        <f aca="false">IF(OR($U545&lt;&gt;"Yes",$V545=""),0,$W545*IF(MATCH($V545,MonthList,0)&lt;=7,12,19-MATCH($V545,MonthList,0))/12)</f>
        <v>0</v>
      </c>
    </row>
  </sheetData>
  <sheetProtection sheet="true" password="c5c5" formatCells="false"/>
  <conditionalFormatting sqref="L6:L545">
    <cfRule type="expression" priority="2" aboveAverage="0" equalAverage="0" bottom="0" percent="0" rank="0" text="" dxfId="0">
      <formula>AND($K6="Yes",$L6="")</formula>
    </cfRule>
  </conditionalFormatting>
  <conditionalFormatting sqref="Q6:Q545">
    <cfRule type="expression" priority="3" aboveAverage="0" equalAverage="0" bottom="0" percent="0" rank="0" text="" dxfId="0">
      <formula>AND($P6="Yes",$Q6="")</formula>
    </cfRule>
  </conditionalFormatting>
  <conditionalFormatting sqref="V6:V545">
    <cfRule type="expression" priority="4" aboveAverage="0" equalAverage="0" bottom="0" percent="0" rank="0" text="" dxfId="0">
      <formula>AND($U6="Yes",$V6="")</formula>
    </cfRule>
  </conditionalFormatting>
  <dataValidations count="6">
    <dataValidation allowBlank="true" errorStyle="stop" operator="between" showDropDown="false" showErrorMessage="false" showInputMessage="false" sqref="K6:K545" type="list">
      <formula1>"Yes,No"</formula1>
      <formula2>0</formula2>
    </dataValidation>
    <dataValidation allowBlank="true" errorStyle="stop" operator="between" showDropDown="false" showErrorMessage="false" showInputMessage="false" sqref="L6:L545" type="list">
      <formula1>MonthList</formula1>
      <formula2>0</formula2>
    </dataValidation>
    <dataValidation allowBlank="true" errorStyle="stop" operator="between" showDropDown="false" showErrorMessage="false" showInputMessage="false" sqref="P6:P545" type="list">
      <formula1>"Yes,No"</formula1>
      <formula2>0</formula2>
    </dataValidation>
    <dataValidation allowBlank="true" errorStyle="stop" operator="between" showDropDown="false" showErrorMessage="false" showInputMessage="false" sqref="Q6:Q545" type="list">
      <formula1>MonthList</formula1>
      <formula2>0</formula2>
    </dataValidation>
    <dataValidation allowBlank="true" errorStyle="stop" operator="between" showDropDown="false" showErrorMessage="false" showInputMessage="false" sqref="U6:U545" type="list">
      <formula1>"Yes,No"</formula1>
      <formula2>0</formula2>
    </dataValidation>
    <dataValidation allowBlank="true" errorStyle="stop" operator="between" showDropDown="false" showErrorMessage="false" showInputMessage="false" sqref="V6:V545" type="list">
      <formula1>MonthList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.45"/>
    <col collapsed="false" customWidth="true" hidden="false" outlineLevel="0" max="2" min="2" style="1" width="20.54"/>
    <col collapsed="false" customWidth="true" hidden="false" outlineLevel="0" max="3" min="3" style="1" width="26.82"/>
    <col collapsed="false" customWidth="true" hidden="false" outlineLevel="0" max="4" min="4" style="1" width="22.54"/>
    <col collapsed="false" customWidth="true" hidden="false" outlineLevel="0" max="5" min="5" style="1" width="37.45"/>
    <col collapsed="false" customWidth="true" hidden="false" outlineLevel="0" max="6" min="6" style="1" width="22"/>
    <col collapsed="false" customWidth="true" hidden="false" outlineLevel="0" max="7" min="7" style="1" width="26.18"/>
    <col collapsed="false" customWidth="true" hidden="false" outlineLevel="0" max="8" min="8" style="1" width="33"/>
    <col collapsed="false" customWidth="true" hidden="false" outlineLevel="0" max="9" min="9" style="1" width="23.45"/>
    <col collapsed="false" customWidth="true" hidden="false" outlineLevel="0" max="10" min="10" style="1" width="13"/>
    <col collapsed="false" customWidth="true" hidden="false" outlineLevel="0" max="11" min="11" style="1" width="34.45"/>
    <col collapsed="false" customWidth="true" hidden="false" outlineLevel="0" max="12" min="12" style="1" width="29.45"/>
    <col collapsed="false" customWidth="true" hidden="false" outlineLevel="0" max="13" min="13" style="1" width="9.45"/>
    <col collapsed="false" customWidth="true" hidden="false" outlineLevel="0" max="14" min="14" style="1" width="8.45"/>
    <col collapsed="false" customWidth="true" hidden="false" outlineLevel="0" max="16" min="16" style="1" width="13"/>
    <col collapsed="false" customWidth="true" hidden="false" outlineLevel="0" max="17" min="17" style="1" width="20.18"/>
    <col collapsed="false" customWidth="true" hidden="false" outlineLevel="0" max="18" min="18" style="1" width="18.54"/>
    <col collapsed="false" customWidth="true" hidden="false" outlineLevel="0" max="19" min="19" style="1" width="14.45"/>
    <col collapsed="false" customWidth="true" hidden="false" outlineLevel="0" max="20" min="20" style="1" width="14.18"/>
    <col collapsed="false" customWidth="true" hidden="false" outlineLevel="0" max="21" min="21" style="1" width="13"/>
    <col collapsed="false" customWidth="true" hidden="false" outlineLevel="0" max="22" min="22" style="1" width="8.45"/>
    <col collapsed="false" customWidth="true" hidden="false" outlineLevel="0" max="23" min="23" style="1" width="12.54"/>
    <col collapsed="false" customWidth="true" hidden="false" outlineLevel="0" max="24" min="24" style="1" width="14.45"/>
    <col collapsed="false" customWidth="true" hidden="false" outlineLevel="0" max="25" min="25" style="1" width="14.18"/>
    <col collapsed="false" customWidth="true" hidden="false" outlineLevel="0" max="26" min="26" style="1" width="9.45"/>
    <col collapsed="false" customWidth="true" hidden="false" outlineLevel="0" max="27" min="27" style="1" width="14.45"/>
    <col collapsed="false" customWidth="true" hidden="false" outlineLevel="0" max="28" min="28" style="1" width="13.54"/>
    <col collapsed="false" customWidth="true" hidden="false" outlineLevel="0" max="29" min="29" style="1" width="56.18"/>
    <col collapsed="false" customWidth="true" hidden="false" outlineLevel="0" max="33" min="31" style="1" width="13"/>
    <col collapsed="false" customWidth="true" hidden="false" outlineLevel="0" max="34" min="34" style="1" width="4.81"/>
    <col collapsed="false" customWidth="true" hidden="false" outlineLevel="0" max="36" min="36" style="1" width="20.81"/>
    <col collapsed="false" customWidth="true" hidden="false" outlineLevel="0" max="37" min="37" style="1" width="7.82"/>
    <col collapsed="false" customWidth="true" hidden="false" outlineLevel="0" max="38" min="38" style="1" width="7.45"/>
    <col collapsed="false" customWidth="true" hidden="false" outlineLevel="0" max="39" min="39" style="1" width="6.54"/>
    <col collapsed="false" customWidth="true" hidden="false" outlineLevel="0" max="40" min="40" style="1" width="23.82"/>
    <col collapsed="false" customWidth="true" hidden="false" outlineLevel="0" max="42" min="42" style="1" width="28.54"/>
    <col collapsed="false" customWidth="true" hidden="false" outlineLevel="0" max="43" min="43" style="1" width="6.54"/>
    <col collapsed="false" customWidth="true" hidden="false" outlineLevel="0" max="45" min="44" style="1" width="13"/>
    <col collapsed="false" customWidth="true" hidden="false" outlineLevel="0" max="52" min="47" style="1" width="13"/>
  </cols>
  <sheetData>
    <row r="1" customFormat="false" ht="15" hidden="false" customHeight="true" outlineLevel="0" collapsed="false">
      <c r="A1" s="25" t="s">
        <v>979</v>
      </c>
      <c r="B1" s="25" t="s">
        <v>980</v>
      </c>
      <c r="C1" s="25" t="s">
        <v>979</v>
      </c>
      <c r="D1" s="25" t="s">
        <v>981</v>
      </c>
      <c r="E1" s="25" t="s">
        <v>982</v>
      </c>
      <c r="F1" s="25" t="s">
        <v>983</v>
      </c>
      <c r="G1" s="25" t="s">
        <v>984</v>
      </c>
      <c r="H1" s="25" t="s">
        <v>985</v>
      </c>
      <c r="I1" s="25" t="s">
        <v>986</v>
      </c>
      <c r="J1" s="25" t="s">
        <v>42</v>
      </c>
      <c r="K1" s="25" t="s">
        <v>987</v>
      </c>
      <c r="L1" s="25" t="s">
        <v>988</v>
      </c>
      <c r="M1" s="25" t="s">
        <v>989</v>
      </c>
      <c r="N1" s="25" t="s">
        <v>44</v>
      </c>
      <c r="O1" s="25" t="s">
        <v>990</v>
      </c>
      <c r="P1" s="25" t="s">
        <v>46</v>
      </c>
      <c r="Q1" s="25" t="s">
        <v>991</v>
      </c>
      <c r="R1" s="25" t="s">
        <v>992</v>
      </c>
      <c r="S1" s="25" t="s">
        <v>993</v>
      </c>
      <c r="T1" s="25" t="s">
        <v>994</v>
      </c>
      <c r="U1" s="26" t="s">
        <v>995</v>
      </c>
      <c r="V1" s="26" t="s">
        <v>996</v>
      </c>
      <c r="W1" s="25" t="s">
        <v>997</v>
      </c>
      <c r="X1" s="25" t="s">
        <v>998</v>
      </c>
      <c r="Y1" s="25" t="s">
        <v>999</v>
      </c>
      <c r="Z1" s="25" t="s">
        <v>1000</v>
      </c>
      <c r="AA1" s="25" t="s">
        <v>1001</v>
      </c>
      <c r="AB1" s="26" t="s">
        <v>1002</v>
      </c>
      <c r="AC1" s="25" t="s">
        <v>1003</v>
      </c>
      <c r="AE1" s="25" t="s">
        <v>1004</v>
      </c>
      <c r="AF1" s="25" t="s">
        <v>1005</v>
      </c>
      <c r="AG1" s="25" t="s">
        <v>1006</v>
      </c>
      <c r="AH1" s="25" t="s">
        <v>1007</v>
      </c>
      <c r="AI1" s="25" t="s">
        <v>173</v>
      </c>
      <c r="AJ1" s="25" t="s">
        <v>1008</v>
      </c>
      <c r="AK1" s="25" t="s">
        <v>1009</v>
      </c>
      <c r="AL1" s="25" t="s">
        <v>1010</v>
      </c>
      <c r="AM1" s="25" t="s">
        <v>1011</v>
      </c>
      <c r="AN1" s="25" t="s">
        <v>1012</v>
      </c>
      <c r="AO1" s="25" t="s">
        <v>1013</v>
      </c>
      <c r="AP1" s="25" t="s">
        <v>1014</v>
      </c>
      <c r="AQ1" s="25" t="s">
        <v>40</v>
      </c>
      <c r="AR1" s="25" t="s">
        <v>1015</v>
      </c>
    </row>
    <row r="2" customFormat="false" ht="15" hidden="false" customHeight="true" outlineLevel="0" collapsed="false">
      <c r="A2" s="27" t="s">
        <v>1016</v>
      </c>
      <c r="B2" s="6" t="s">
        <v>1017</v>
      </c>
      <c r="C2" s="27" t="s">
        <v>1016</v>
      </c>
      <c r="D2" s="6" t="s">
        <v>55</v>
      </c>
      <c r="E2" s="6" t="s">
        <v>1018</v>
      </c>
      <c r="F2" s="6" t="s">
        <v>1019</v>
      </c>
      <c r="G2" s="6" t="s">
        <v>1020</v>
      </c>
      <c r="H2" s="6" t="s">
        <v>1021</v>
      </c>
      <c r="I2" s="6" t="s">
        <v>1022</v>
      </c>
      <c r="J2" s="6" t="s">
        <v>22</v>
      </c>
      <c r="K2" s="6" t="s">
        <v>21</v>
      </c>
      <c r="L2" s="6" t="s">
        <v>56</v>
      </c>
      <c r="N2" s="6" t="s">
        <v>1023</v>
      </c>
      <c r="O2" s="6" t="s">
        <v>26</v>
      </c>
      <c r="P2" s="6" t="n">
        <v>1</v>
      </c>
      <c r="R2" s="6" t="s">
        <v>1024</v>
      </c>
      <c r="S2" s="6" t="s">
        <v>1025</v>
      </c>
      <c r="T2" s="6" t="n">
        <v>1190</v>
      </c>
      <c r="V2" s="28"/>
      <c r="W2" s="29"/>
      <c r="Y2" s="29"/>
      <c r="Z2" s="30"/>
      <c r="AA2" s="29"/>
      <c r="AB2" s="31" t="n">
        <v>264180</v>
      </c>
      <c r="AC2" s="6" t="s">
        <v>1026</v>
      </c>
      <c r="AE2" s="6" t="n">
        <v>264180</v>
      </c>
      <c r="AF2" s="6" t="s">
        <v>58</v>
      </c>
      <c r="AG2" s="6" t="n">
        <v>0</v>
      </c>
      <c r="AH2" s="30" t="s">
        <v>1020</v>
      </c>
      <c r="AI2" s="6" t="n">
        <v>0</v>
      </c>
      <c r="AJ2" s="6" t="s">
        <v>56</v>
      </c>
      <c r="AK2" s="6" t="s">
        <v>988</v>
      </c>
      <c r="AL2" s="6" t="s">
        <v>56</v>
      </c>
      <c r="AM2" s="6" t="n">
        <v>1</v>
      </c>
      <c r="AN2" s="6" t="s">
        <v>58</v>
      </c>
      <c r="AO2" s="6" t="s">
        <v>1026</v>
      </c>
      <c r="AP2" s="32" t="n">
        <v>46262</v>
      </c>
      <c r="AQ2" s="6" t="s">
        <v>54</v>
      </c>
      <c r="AR2" s="6" t="s">
        <v>57</v>
      </c>
    </row>
    <row r="3" customFormat="false" ht="15" hidden="false" customHeight="true" outlineLevel="0" collapsed="false">
      <c r="A3" s="27" t="s">
        <v>1016</v>
      </c>
      <c r="B3" s="6" t="s">
        <v>1027</v>
      </c>
      <c r="C3" s="27" t="s">
        <v>1016</v>
      </c>
      <c r="D3" s="6" t="s">
        <v>61</v>
      </c>
      <c r="E3" s="6" t="s">
        <v>1018</v>
      </c>
      <c r="F3" s="6" t="s">
        <v>1019</v>
      </c>
      <c r="G3" s="6" t="s">
        <v>1020</v>
      </c>
      <c r="H3" s="6" t="s">
        <v>1021</v>
      </c>
      <c r="I3" s="6" t="s">
        <v>1022</v>
      </c>
      <c r="J3" s="6" t="s">
        <v>18</v>
      </c>
      <c r="K3" s="6" t="s">
        <v>1028</v>
      </c>
      <c r="L3" s="6" t="s">
        <v>62</v>
      </c>
      <c r="N3" s="6" t="s">
        <v>1023</v>
      </c>
      <c r="O3" s="6" t="s">
        <v>26</v>
      </c>
      <c r="P3" s="6" t="n">
        <v>1</v>
      </c>
      <c r="R3" s="6" t="s">
        <v>1029</v>
      </c>
      <c r="S3" s="6" t="s">
        <v>1025</v>
      </c>
      <c r="T3" s="6" t="n">
        <v>1229.2</v>
      </c>
      <c r="V3" s="28"/>
      <c r="W3" s="29"/>
      <c r="Y3" s="29"/>
      <c r="Z3" s="30"/>
      <c r="AA3" s="29"/>
      <c r="AB3" s="31" t="n">
        <v>272882.4</v>
      </c>
      <c r="AC3" s="6" t="s">
        <v>1030</v>
      </c>
      <c r="AE3" s="6" t="n">
        <v>272882.4</v>
      </c>
      <c r="AF3" s="6" t="s">
        <v>58</v>
      </c>
      <c r="AG3" s="6" t="n">
        <v>0</v>
      </c>
      <c r="AH3" s="30" t="s">
        <v>1020</v>
      </c>
      <c r="AI3" s="6" t="n">
        <v>0</v>
      </c>
      <c r="AJ3" s="6" t="s">
        <v>62</v>
      </c>
      <c r="AK3" s="6" t="s">
        <v>988</v>
      </c>
      <c r="AL3" s="6" t="s">
        <v>62</v>
      </c>
      <c r="AM3" s="6" t="n">
        <v>0</v>
      </c>
      <c r="AN3" s="6" t="s">
        <v>58</v>
      </c>
      <c r="AO3" s="6" t="s">
        <v>1030</v>
      </c>
      <c r="AP3" s="32" t="n">
        <v>46242</v>
      </c>
      <c r="AQ3" s="6" t="s">
        <v>60</v>
      </c>
      <c r="AR3" s="6" t="s">
        <v>57</v>
      </c>
    </row>
    <row r="4" customFormat="false" ht="15" hidden="false" customHeight="true" outlineLevel="0" collapsed="false">
      <c r="A4" s="27" t="s">
        <v>1016</v>
      </c>
      <c r="B4" s="6" t="s">
        <v>1031</v>
      </c>
      <c r="C4" s="27" t="s">
        <v>1016</v>
      </c>
      <c r="D4" s="6" t="s">
        <v>61</v>
      </c>
      <c r="E4" s="6" t="s">
        <v>1018</v>
      </c>
      <c r="F4" s="6" t="s">
        <v>1019</v>
      </c>
      <c r="G4" s="6" t="s">
        <v>1020</v>
      </c>
      <c r="H4" s="6" t="s">
        <v>1021</v>
      </c>
      <c r="I4" s="6" t="s">
        <v>1022</v>
      </c>
      <c r="J4" s="6" t="s">
        <v>18</v>
      </c>
      <c r="K4" s="6" t="s">
        <v>1028</v>
      </c>
      <c r="L4" s="6" t="s">
        <v>66</v>
      </c>
      <c r="N4" s="6" t="s">
        <v>1023</v>
      </c>
      <c r="O4" s="6" t="s">
        <v>26</v>
      </c>
      <c r="P4" s="6" t="n">
        <v>1</v>
      </c>
      <c r="R4" s="6" t="s">
        <v>1024</v>
      </c>
      <c r="S4" s="6" t="s">
        <v>1025</v>
      </c>
      <c r="T4" s="6" t="n">
        <v>1167</v>
      </c>
      <c r="V4" s="28"/>
      <c r="W4" s="29"/>
      <c r="Y4" s="29"/>
      <c r="Z4" s="30"/>
      <c r="AA4" s="29"/>
      <c r="AB4" s="31" t="n">
        <v>259074</v>
      </c>
      <c r="AC4" s="6" t="s">
        <v>1032</v>
      </c>
      <c r="AE4" s="6" t="n">
        <v>259074</v>
      </c>
      <c r="AF4" s="6" t="s">
        <v>58</v>
      </c>
      <c r="AG4" s="6" t="n">
        <v>0</v>
      </c>
      <c r="AH4" s="30" t="s">
        <v>1020</v>
      </c>
      <c r="AI4" s="6" t="n">
        <v>0</v>
      </c>
      <c r="AJ4" s="6" t="s">
        <v>66</v>
      </c>
      <c r="AK4" s="6" t="s">
        <v>988</v>
      </c>
      <c r="AL4" s="6" t="s">
        <v>66</v>
      </c>
      <c r="AM4" s="6" t="n">
        <v>0</v>
      </c>
      <c r="AN4" s="6" t="s">
        <v>58</v>
      </c>
      <c r="AO4" s="6" t="s">
        <v>1032</v>
      </c>
      <c r="AP4" s="32" t="n">
        <v>46389</v>
      </c>
      <c r="AQ4" s="6" t="s">
        <v>65</v>
      </c>
      <c r="AR4" s="6" t="s">
        <v>57</v>
      </c>
    </row>
    <row r="5" customFormat="false" ht="15" hidden="false" customHeight="true" outlineLevel="0" collapsed="false">
      <c r="A5" s="27" t="s">
        <v>1016</v>
      </c>
      <c r="B5" s="6" t="s">
        <v>1033</v>
      </c>
      <c r="C5" s="27" t="s">
        <v>1016</v>
      </c>
      <c r="D5" s="6" t="s">
        <v>68</v>
      </c>
      <c r="E5" s="6" t="s">
        <v>1034</v>
      </c>
      <c r="F5" s="6" t="s">
        <v>1035</v>
      </c>
      <c r="G5" s="6" t="s">
        <v>21</v>
      </c>
      <c r="H5" s="6" t="s">
        <v>21</v>
      </c>
      <c r="I5" s="6" t="s">
        <v>21</v>
      </c>
      <c r="J5" s="6" t="s">
        <v>21</v>
      </c>
      <c r="K5" s="6" t="s">
        <v>21</v>
      </c>
      <c r="L5" s="6" t="s">
        <v>21</v>
      </c>
      <c r="N5" s="6" t="s">
        <v>1023</v>
      </c>
      <c r="O5" s="6" t="s">
        <v>1036</v>
      </c>
      <c r="P5" s="6" t="n">
        <v>1</v>
      </c>
      <c r="R5" s="6" t="s">
        <v>1037</v>
      </c>
      <c r="S5" s="6" t="s">
        <v>1038</v>
      </c>
      <c r="T5" s="6" t="n">
        <v>1100</v>
      </c>
      <c r="U5" s="6" t="n">
        <v>0</v>
      </c>
      <c r="V5" s="28"/>
      <c r="W5" s="29"/>
      <c r="Y5" s="29"/>
      <c r="Z5" s="30"/>
      <c r="AA5" s="29"/>
      <c r="AB5" s="31" t="n">
        <v>244200</v>
      </c>
      <c r="AE5" s="6" t="n">
        <v>244200</v>
      </c>
      <c r="AF5" s="6" t="s">
        <v>58</v>
      </c>
      <c r="AG5" s="6" t="n">
        <v>0</v>
      </c>
      <c r="AH5" s="30" t="s">
        <v>21</v>
      </c>
      <c r="AI5" s="6" t="n">
        <v>0</v>
      </c>
      <c r="AJ5" s="6" t="s">
        <v>21</v>
      </c>
      <c r="AK5" s="6" t="s">
        <v>988</v>
      </c>
      <c r="AL5" s="6" t="s">
        <v>21</v>
      </c>
      <c r="AM5" s="6" t="n">
        <v>1</v>
      </c>
      <c r="AQ5" s="6" t="s">
        <v>67</v>
      </c>
      <c r="AR5" s="6" t="s">
        <v>57</v>
      </c>
    </row>
    <row r="6" customFormat="false" ht="15" hidden="false" customHeight="true" outlineLevel="0" collapsed="false">
      <c r="A6" s="27" t="s">
        <v>1016</v>
      </c>
      <c r="B6" s="6" t="s">
        <v>1039</v>
      </c>
      <c r="C6" s="27" t="s">
        <v>1016</v>
      </c>
      <c r="D6" s="6" t="s">
        <v>70</v>
      </c>
      <c r="E6" s="6" t="s">
        <v>1034</v>
      </c>
      <c r="F6" s="6" t="s">
        <v>1035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21</v>
      </c>
      <c r="L6" s="6" t="s">
        <v>21</v>
      </c>
      <c r="N6" s="6" t="s">
        <v>1023</v>
      </c>
      <c r="O6" s="6" t="s">
        <v>26</v>
      </c>
      <c r="P6" s="6" t="n">
        <v>1</v>
      </c>
      <c r="R6" s="6" t="s">
        <v>1037</v>
      </c>
      <c r="S6" s="6" t="s">
        <v>1040</v>
      </c>
      <c r="T6" s="6" t="n">
        <v>1100</v>
      </c>
      <c r="U6" s="6" t="n">
        <v>0</v>
      </c>
      <c r="V6" s="28"/>
      <c r="W6" s="29"/>
      <c r="Y6" s="29"/>
      <c r="Z6" s="30"/>
      <c r="AA6" s="29"/>
      <c r="AB6" s="31" t="n">
        <v>244200</v>
      </c>
      <c r="AE6" s="6" t="n">
        <v>244200</v>
      </c>
      <c r="AF6" s="6" t="s">
        <v>58</v>
      </c>
      <c r="AG6" s="6" t="n">
        <v>0</v>
      </c>
      <c r="AH6" s="30" t="s">
        <v>21</v>
      </c>
      <c r="AI6" s="6" t="n">
        <v>0</v>
      </c>
      <c r="AJ6" s="6" t="s">
        <v>21</v>
      </c>
      <c r="AK6" s="6" t="s">
        <v>988</v>
      </c>
      <c r="AL6" s="6" t="s">
        <v>21</v>
      </c>
      <c r="AM6" s="6" t="n">
        <v>1</v>
      </c>
      <c r="AQ6" s="6" t="s">
        <v>69</v>
      </c>
      <c r="AR6" s="6" t="s">
        <v>57</v>
      </c>
    </row>
    <row r="7" customFormat="false" ht="15" hidden="false" customHeight="true" outlineLevel="0" collapsed="false">
      <c r="A7" s="27" t="s">
        <v>1041</v>
      </c>
      <c r="B7" s="6" t="s">
        <v>1042</v>
      </c>
      <c r="C7" s="27" t="s">
        <v>1041</v>
      </c>
      <c r="D7" s="6" t="s">
        <v>72</v>
      </c>
      <c r="E7" s="6" t="s">
        <v>1043</v>
      </c>
      <c r="G7" s="6" t="s">
        <v>21</v>
      </c>
      <c r="H7" s="6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N7" s="6" t="s">
        <v>1023</v>
      </c>
      <c r="O7" s="6" t="s">
        <v>1036</v>
      </c>
      <c r="P7" s="6" t="n">
        <v>1</v>
      </c>
      <c r="R7" s="6" t="s">
        <v>1037</v>
      </c>
      <c r="S7" s="6" t="s">
        <v>1040</v>
      </c>
      <c r="T7" s="6" t="n">
        <v>1400</v>
      </c>
      <c r="U7" s="6" t="n">
        <v>0</v>
      </c>
      <c r="V7" s="28"/>
      <c r="W7" s="29"/>
      <c r="Y7" s="29"/>
      <c r="Z7" s="30"/>
      <c r="AA7" s="29"/>
      <c r="AB7" s="31" t="n">
        <v>310800</v>
      </c>
      <c r="AE7" s="6" t="n">
        <v>310800</v>
      </c>
      <c r="AF7" s="6" t="s">
        <v>58</v>
      </c>
      <c r="AG7" s="6" t="n">
        <v>0</v>
      </c>
      <c r="AH7" s="30" t="s">
        <v>21</v>
      </c>
      <c r="AI7" s="6" t="n">
        <v>0</v>
      </c>
      <c r="AJ7" s="6" t="s">
        <v>21</v>
      </c>
      <c r="AK7" s="6" t="s">
        <v>988</v>
      </c>
      <c r="AL7" s="6" t="s">
        <v>21</v>
      </c>
      <c r="AM7" s="6" t="n">
        <v>1</v>
      </c>
      <c r="AQ7" s="6" t="s">
        <v>71</v>
      </c>
      <c r="AR7" s="6" t="s">
        <v>57</v>
      </c>
    </row>
    <row r="8" customFormat="false" ht="15" hidden="false" customHeight="true" outlineLevel="0" collapsed="false">
      <c r="A8" s="27" t="s">
        <v>1016</v>
      </c>
      <c r="B8" s="6" t="s">
        <v>1044</v>
      </c>
      <c r="C8" s="27" t="s">
        <v>1016</v>
      </c>
      <c r="D8" s="6" t="s">
        <v>74</v>
      </c>
      <c r="E8" s="6" t="s">
        <v>1045</v>
      </c>
      <c r="F8" s="6" t="s">
        <v>1035</v>
      </c>
      <c r="G8" s="6" t="s">
        <v>21</v>
      </c>
      <c r="H8" s="6" t="s">
        <v>21</v>
      </c>
      <c r="I8" s="6" t="s">
        <v>21</v>
      </c>
      <c r="J8" s="6" t="s">
        <v>21</v>
      </c>
      <c r="K8" s="6" t="s">
        <v>21</v>
      </c>
      <c r="L8" s="6" t="s">
        <v>21</v>
      </c>
      <c r="N8" s="6" t="s">
        <v>1023</v>
      </c>
      <c r="O8" s="6" t="s">
        <v>1036</v>
      </c>
      <c r="P8" s="6" t="n">
        <v>1</v>
      </c>
      <c r="R8" s="6" t="s">
        <v>1037</v>
      </c>
      <c r="S8" s="6" t="s">
        <v>1040</v>
      </c>
      <c r="T8" s="6" t="n">
        <v>1250</v>
      </c>
      <c r="U8" s="6" t="n">
        <v>0</v>
      </c>
      <c r="V8" s="28"/>
      <c r="W8" s="29"/>
      <c r="Y8" s="29"/>
      <c r="Z8" s="30"/>
      <c r="AA8" s="29"/>
      <c r="AB8" s="31" t="n">
        <v>277500</v>
      </c>
      <c r="AE8" s="6" t="n">
        <v>277500</v>
      </c>
      <c r="AF8" s="6" t="s">
        <v>58</v>
      </c>
      <c r="AG8" s="6" t="n">
        <v>0</v>
      </c>
      <c r="AH8" s="30" t="s">
        <v>21</v>
      </c>
      <c r="AI8" s="6" t="n">
        <v>0</v>
      </c>
      <c r="AJ8" s="6" t="s">
        <v>21</v>
      </c>
      <c r="AK8" s="6" t="s">
        <v>988</v>
      </c>
      <c r="AL8" s="6" t="s">
        <v>21</v>
      </c>
      <c r="AM8" s="6" t="n">
        <v>1</v>
      </c>
      <c r="AQ8" s="6" t="s">
        <v>73</v>
      </c>
      <c r="AR8" s="6" t="s">
        <v>57</v>
      </c>
    </row>
    <row r="9" customFormat="false" ht="15" hidden="false" customHeight="true" outlineLevel="0" collapsed="false">
      <c r="A9" s="27" t="s">
        <v>1016</v>
      </c>
      <c r="B9" s="6" t="s">
        <v>1046</v>
      </c>
      <c r="C9" s="27" t="s">
        <v>1016</v>
      </c>
      <c r="D9" s="6" t="s">
        <v>76</v>
      </c>
      <c r="E9" s="6" t="s">
        <v>1045</v>
      </c>
      <c r="F9" s="6" t="s">
        <v>1035</v>
      </c>
      <c r="G9" s="6" t="s">
        <v>21</v>
      </c>
      <c r="H9" s="6" t="s">
        <v>21</v>
      </c>
      <c r="I9" s="6" t="s">
        <v>21</v>
      </c>
      <c r="J9" s="6" t="s">
        <v>21</v>
      </c>
      <c r="K9" s="6" t="s">
        <v>21</v>
      </c>
      <c r="L9" s="6" t="s">
        <v>21</v>
      </c>
      <c r="N9" s="6" t="s">
        <v>1047</v>
      </c>
      <c r="O9" s="6" t="s">
        <v>26</v>
      </c>
      <c r="P9" s="6" t="n">
        <v>1</v>
      </c>
      <c r="R9" s="6" t="s">
        <v>1037</v>
      </c>
      <c r="S9" s="6" t="s">
        <v>1038</v>
      </c>
      <c r="T9" s="6" t="n">
        <v>1357</v>
      </c>
      <c r="U9" s="6" t="n">
        <v>0</v>
      </c>
      <c r="V9" s="28"/>
      <c r="W9" s="29"/>
      <c r="Y9" s="29"/>
      <c r="Z9" s="30"/>
      <c r="AA9" s="29"/>
      <c r="AB9" s="31" t="n">
        <v>301254</v>
      </c>
      <c r="AE9" s="6" t="n">
        <v>301254</v>
      </c>
      <c r="AF9" s="6" t="s">
        <v>58</v>
      </c>
      <c r="AG9" s="6" t="n">
        <v>0</v>
      </c>
      <c r="AH9" s="30" t="s">
        <v>21</v>
      </c>
      <c r="AI9" s="6" t="n">
        <v>0</v>
      </c>
      <c r="AJ9" s="6" t="s">
        <v>21</v>
      </c>
      <c r="AK9" s="6" t="s">
        <v>988</v>
      </c>
      <c r="AL9" s="6" t="s">
        <v>21</v>
      </c>
      <c r="AM9" s="6" t="n">
        <v>1</v>
      </c>
      <c r="AQ9" s="6" t="s">
        <v>75</v>
      </c>
      <c r="AR9" s="6" t="s">
        <v>57</v>
      </c>
    </row>
    <row r="10" customFormat="false" ht="15" hidden="false" customHeight="true" outlineLevel="0" collapsed="false">
      <c r="A10" s="27" t="s">
        <v>1016</v>
      </c>
      <c r="B10" s="6" t="s">
        <v>1048</v>
      </c>
      <c r="C10" s="27" t="s">
        <v>1016</v>
      </c>
      <c r="D10" s="6" t="s">
        <v>78</v>
      </c>
      <c r="E10" s="6" t="s">
        <v>1045</v>
      </c>
      <c r="F10" s="6" t="s">
        <v>1035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N10" s="6" t="s">
        <v>1023</v>
      </c>
      <c r="O10" s="6" t="s">
        <v>26</v>
      </c>
      <c r="P10" s="6" t="n">
        <v>1</v>
      </c>
      <c r="R10" s="6" t="s">
        <v>1037</v>
      </c>
      <c r="S10" s="6" t="s">
        <v>1040</v>
      </c>
      <c r="T10" s="6" t="n">
        <v>1545.76</v>
      </c>
      <c r="U10" s="6" t="n">
        <v>0</v>
      </c>
      <c r="V10" s="28"/>
      <c r="W10" s="29"/>
      <c r="Y10" s="29"/>
      <c r="Z10" s="30"/>
      <c r="AA10" s="29"/>
      <c r="AB10" s="31" t="n">
        <v>343158.72</v>
      </c>
      <c r="AE10" s="6" t="n">
        <v>343158.72</v>
      </c>
      <c r="AF10" s="6" t="s">
        <v>58</v>
      </c>
      <c r="AG10" s="6" t="n">
        <v>0</v>
      </c>
      <c r="AH10" s="30" t="s">
        <v>21</v>
      </c>
      <c r="AI10" s="6" t="n">
        <v>0</v>
      </c>
      <c r="AJ10" s="6" t="s">
        <v>21</v>
      </c>
      <c r="AK10" s="6" t="s">
        <v>988</v>
      </c>
      <c r="AL10" s="6" t="s">
        <v>21</v>
      </c>
      <c r="AM10" s="6" t="n">
        <v>1</v>
      </c>
      <c r="AQ10" s="6" t="s">
        <v>77</v>
      </c>
      <c r="AR10" s="6" t="s">
        <v>57</v>
      </c>
    </row>
    <row r="11" customFormat="false" ht="15" hidden="false" customHeight="true" outlineLevel="0" collapsed="false">
      <c r="A11" s="27" t="s">
        <v>1016</v>
      </c>
      <c r="B11" s="6" t="s">
        <v>1049</v>
      </c>
      <c r="C11" s="27" t="s">
        <v>1016</v>
      </c>
      <c r="D11" s="6" t="s">
        <v>80</v>
      </c>
      <c r="E11" s="6" t="s">
        <v>1045</v>
      </c>
      <c r="F11" s="6" t="s">
        <v>1035</v>
      </c>
      <c r="G11" s="6" t="s">
        <v>21</v>
      </c>
      <c r="H11" s="6" t="s">
        <v>21</v>
      </c>
      <c r="I11" s="6" t="s">
        <v>21</v>
      </c>
      <c r="J11" s="6" t="s">
        <v>21</v>
      </c>
      <c r="K11" s="6" t="s">
        <v>21</v>
      </c>
      <c r="L11" s="6" t="s">
        <v>21</v>
      </c>
      <c r="N11" s="6" t="s">
        <v>1023</v>
      </c>
      <c r="O11" s="6" t="s">
        <v>1036</v>
      </c>
      <c r="P11" s="6" t="n">
        <v>1</v>
      </c>
      <c r="R11" s="6" t="s">
        <v>1037</v>
      </c>
      <c r="S11" s="6" t="s">
        <v>1038</v>
      </c>
      <c r="T11" s="6" t="n">
        <v>1200</v>
      </c>
      <c r="U11" s="6" t="n">
        <v>0</v>
      </c>
      <c r="V11" s="28"/>
      <c r="W11" s="29"/>
      <c r="Y11" s="29"/>
      <c r="Z11" s="30"/>
      <c r="AA11" s="29"/>
      <c r="AB11" s="31" t="n">
        <v>266400</v>
      </c>
      <c r="AE11" s="6" t="n">
        <v>266400</v>
      </c>
      <c r="AF11" s="6" t="s">
        <v>58</v>
      </c>
      <c r="AG11" s="6" t="n">
        <v>0</v>
      </c>
      <c r="AH11" s="30" t="s">
        <v>21</v>
      </c>
      <c r="AI11" s="6" t="n">
        <v>0</v>
      </c>
      <c r="AJ11" s="6" t="s">
        <v>21</v>
      </c>
      <c r="AK11" s="6" t="s">
        <v>988</v>
      </c>
      <c r="AL11" s="6" t="s">
        <v>21</v>
      </c>
      <c r="AM11" s="6" t="n">
        <v>1</v>
      </c>
      <c r="AQ11" s="6" t="s">
        <v>79</v>
      </c>
      <c r="AR11" s="6" t="s">
        <v>57</v>
      </c>
    </row>
    <row r="12" customFormat="false" ht="15" hidden="false" customHeight="true" outlineLevel="0" collapsed="false">
      <c r="A12" s="27" t="s">
        <v>1041</v>
      </c>
      <c r="B12" s="6" t="s">
        <v>1050</v>
      </c>
      <c r="C12" s="27" t="s">
        <v>1041</v>
      </c>
      <c r="D12" s="6" t="s">
        <v>82</v>
      </c>
      <c r="E12" s="6" t="s">
        <v>1045</v>
      </c>
      <c r="F12" s="6" t="s">
        <v>1035</v>
      </c>
      <c r="G12" s="6" t="s">
        <v>21</v>
      </c>
      <c r="H12" s="6" t="s">
        <v>21</v>
      </c>
      <c r="I12" s="6" t="s">
        <v>21</v>
      </c>
      <c r="J12" s="6" t="s">
        <v>21</v>
      </c>
      <c r="K12" s="6" t="s">
        <v>21</v>
      </c>
      <c r="L12" s="6" t="s">
        <v>21</v>
      </c>
      <c r="N12" s="6" t="s">
        <v>1023</v>
      </c>
      <c r="O12" s="6" t="s">
        <v>1036</v>
      </c>
      <c r="P12" s="6" t="n">
        <v>1</v>
      </c>
      <c r="R12" s="6" t="s">
        <v>1037</v>
      </c>
      <c r="S12" s="6" t="s">
        <v>1038</v>
      </c>
      <c r="T12" s="6" t="n">
        <v>2200</v>
      </c>
      <c r="U12" s="6" t="n">
        <v>0</v>
      </c>
      <c r="V12" s="28"/>
      <c r="W12" s="29"/>
      <c r="Y12" s="29"/>
      <c r="Z12" s="30"/>
      <c r="AA12" s="29"/>
      <c r="AB12" s="31" t="n">
        <v>488400</v>
      </c>
      <c r="AE12" s="6" t="n">
        <v>488400</v>
      </c>
      <c r="AF12" s="6" t="s">
        <v>58</v>
      </c>
      <c r="AG12" s="6" t="n">
        <v>0</v>
      </c>
      <c r="AH12" s="30" t="s">
        <v>21</v>
      </c>
      <c r="AI12" s="6" t="n">
        <v>0</v>
      </c>
      <c r="AJ12" s="6" t="s">
        <v>21</v>
      </c>
      <c r="AK12" s="6" t="s">
        <v>988</v>
      </c>
      <c r="AL12" s="6" t="s">
        <v>21</v>
      </c>
      <c r="AM12" s="6" t="n">
        <v>1</v>
      </c>
      <c r="AQ12" s="6" t="s">
        <v>81</v>
      </c>
      <c r="AR12" s="6" t="s">
        <v>57</v>
      </c>
    </row>
    <row r="13" customFormat="false" ht="15" hidden="false" customHeight="true" outlineLevel="0" collapsed="false">
      <c r="A13" s="27" t="s">
        <v>1041</v>
      </c>
      <c r="B13" s="6" t="s">
        <v>1051</v>
      </c>
      <c r="C13" s="27" t="s">
        <v>1041</v>
      </c>
      <c r="D13" s="6" t="s">
        <v>76</v>
      </c>
      <c r="E13" s="6" t="s">
        <v>1045</v>
      </c>
      <c r="F13" s="6" t="s">
        <v>1035</v>
      </c>
      <c r="G13" s="6" t="s">
        <v>21</v>
      </c>
      <c r="H13" s="6" t="s">
        <v>21</v>
      </c>
      <c r="I13" s="6" t="s">
        <v>21</v>
      </c>
      <c r="J13" s="6" t="s">
        <v>21</v>
      </c>
      <c r="K13" s="6" t="s">
        <v>21</v>
      </c>
      <c r="L13" s="6" t="s">
        <v>21</v>
      </c>
      <c r="N13" s="6" t="s">
        <v>1047</v>
      </c>
      <c r="O13" s="6" t="s">
        <v>1036</v>
      </c>
      <c r="P13" s="6" t="n">
        <v>1</v>
      </c>
      <c r="R13" s="6" t="s">
        <v>1037</v>
      </c>
      <c r="S13" s="6" t="s">
        <v>1038</v>
      </c>
      <c r="T13" s="6" t="n">
        <v>1350</v>
      </c>
      <c r="U13" s="6" t="n">
        <v>0</v>
      </c>
      <c r="V13" s="28"/>
      <c r="W13" s="29"/>
      <c r="Y13" s="29"/>
      <c r="Z13" s="30"/>
      <c r="AA13" s="29"/>
      <c r="AB13" s="31" t="n">
        <v>299700</v>
      </c>
      <c r="AE13" s="6" t="n">
        <v>299700</v>
      </c>
      <c r="AF13" s="6" t="s">
        <v>58</v>
      </c>
      <c r="AG13" s="6" t="n">
        <v>0</v>
      </c>
      <c r="AH13" s="30" t="s">
        <v>21</v>
      </c>
      <c r="AI13" s="6" t="n">
        <v>0</v>
      </c>
      <c r="AJ13" s="6" t="s">
        <v>21</v>
      </c>
      <c r="AK13" s="6" t="s">
        <v>988</v>
      </c>
      <c r="AL13" s="6" t="s">
        <v>21</v>
      </c>
      <c r="AM13" s="6" t="n">
        <v>1</v>
      </c>
      <c r="AQ13" s="6" t="s">
        <v>83</v>
      </c>
      <c r="AR13" s="6" t="s">
        <v>57</v>
      </c>
    </row>
    <row r="14" customFormat="false" ht="15" hidden="false" customHeight="true" outlineLevel="0" collapsed="false">
      <c r="A14" s="27" t="s">
        <v>1041</v>
      </c>
      <c r="B14" s="6" t="s">
        <v>1052</v>
      </c>
      <c r="C14" s="27" t="s">
        <v>1041</v>
      </c>
      <c r="D14" s="6" t="s">
        <v>76</v>
      </c>
      <c r="E14" s="6" t="s">
        <v>1045</v>
      </c>
      <c r="F14" s="6" t="s">
        <v>1035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21</v>
      </c>
      <c r="N14" s="6" t="s">
        <v>1023</v>
      </c>
      <c r="O14" s="6" t="s">
        <v>1036</v>
      </c>
      <c r="P14" s="6" t="n">
        <v>1</v>
      </c>
      <c r="R14" s="6" t="s">
        <v>1037</v>
      </c>
      <c r="S14" s="6" t="s">
        <v>1040</v>
      </c>
      <c r="T14" s="6" t="n">
        <v>1038</v>
      </c>
      <c r="U14" s="6" t="n">
        <v>0</v>
      </c>
      <c r="V14" s="28"/>
      <c r="W14" s="29"/>
      <c r="Y14" s="29"/>
      <c r="Z14" s="30"/>
      <c r="AA14" s="29"/>
      <c r="AB14" s="31" t="n">
        <v>230436</v>
      </c>
      <c r="AE14" s="6" t="n">
        <v>230436</v>
      </c>
      <c r="AF14" s="6" t="s">
        <v>58</v>
      </c>
      <c r="AG14" s="6" t="n">
        <v>0</v>
      </c>
      <c r="AH14" s="30" t="s">
        <v>21</v>
      </c>
      <c r="AI14" s="6" t="n">
        <v>0</v>
      </c>
      <c r="AJ14" s="6" t="s">
        <v>21</v>
      </c>
      <c r="AK14" s="6" t="s">
        <v>988</v>
      </c>
      <c r="AL14" s="6" t="s">
        <v>21</v>
      </c>
      <c r="AM14" s="6" t="n">
        <v>1</v>
      </c>
      <c r="AQ14" s="6" t="s">
        <v>84</v>
      </c>
      <c r="AR14" s="6" t="s">
        <v>57</v>
      </c>
    </row>
    <row r="15" customFormat="false" ht="15" hidden="false" customHeight="true" outlineLevel="0" collapsed="false">
      <c r="A15" s="27" t="s">
        <v>1041</v>
      </c>
      <c r="B15" s="6" t="s">
        <v>1053</v>
      </c>
      <c r="C15" s="27" t="s">
        <v>1041</v>
      </c>
      <c r="D15" s="6" t="s">
        <v>86</v>
      </c>
      <c r="E15" s="6" t="s">
        <v>1054</v>
      </c>
      <c r="G15" s="6" t="s">
        <v>21</v>
      </c>
      <c r="K15" s="6" t="s">
        <v>21</v>
      </c>
      <c r="L15" s="6" t="s">
        <v>21</v>
      </c>
      <c r="N15" s="6" t="s">
        <v>1023</v>
      </c>
      <c r="O15" s="6" t="s">
        <v>1036</v>
      </c>
      <c r="P15" s="6" t="n">
        <v>1</v>
      </c>
      <c r="R15" s="6" t="s">
        <v>1037</v>
      </c>
      <c r="S15" s="6" t="s">
        <v>1040</v>
      </c>
      <c r="T15" s="6" t="n">
        <v>1200</v>
      </c>
      <c r="U15" s="6" t="n">
        <v>0</v>
      </c>
      <c r="V15" s="28"/>
      <c r="W15" s="29"/>
      <c r="Y15" s="29"/>
      <c r="Z15" s="30"/>
      <c r="AA15" s="29"/>
      <c r="AB15" s="31" t="n">
        <v>266400</v>
      </c>
      <c r="AE15" s="6" t="n">
        <v>266400</v>
      </c>
      <c r="AF15" s="6" t="s">
        <v>58</v>
      </c>
      <c r="AG15" s="6" t="n">
        <v>0</v>
      </c>
      <c r="AH15" s="30" t="s">
        <v>21</v>
      </c>
      <c r="AI15" s="6" t="n">
        <v>0</v>
      </c>
      <c r="AJ15" s="6" t="s">
        <v>21</v>
      </c>
      <c r="AK15" s="6" t="s">
        <v>988</v>
      </c>
      <c r="AL15" s="6" t="s">
        <v>21</v>
      </c>
      <c r="AM15" s="6" t="n">
        <v>1</v>
      </c>
      <c r="AQ15" s="6" t="s">
        <v>85</v>
      </c>
      <c r="AR15" s="6" t="s">
        <v>57</v>
      </c>
    </row>
    <row r="16" customFormat="false" ht="15" hidden="false" customHeight="true" outlineLevel="0" collapsed="false">
      <c r="A16" s="27" t="s">
        <v>1016</v>
      </c>
      <c r="B16" s="6" t="s">
        <v>1055</v>
      </c>
      <c r="C16" s="27" t="s">
        <v>1016</v>
      </c>
      <c r="D16" s="6" t="s">
        <v>88</v>
      </c>
      <c r="E16" s="6" t="s">
        <v>1056</v>
      </c>
      <c r="F16" s="6" t="s">
        <v>1057</v>
      </c>
      <c r="G16" s="6" t="s">
        <v>1058</v>
      </c>
      <c r="H16" s="6" t="s">
        <v>1059</v>
      </c>
      <c r="I16" s="6" t="s">
        <v>1060</v>
      </c>
      <c r="J16" s="6" t="s">
        <v>25</v>
      </c>
      <c r="K16" s="6" t="s">
        <v>1061</v>
      </c>
      <c r="L16" s="6" t="s">
        <v>1061</v>
      </c>
      <c r="N16" s="6" t="s">
        <v>1023</v>
      </c>
      <c r="O16" s="6" t="s">
        <v>26</v>
      </c>
      <c r="P16" s="6" t="n">
        <v>1</v>
      </c>
      <c r="R16" s="6" t="s">
        <v>1037</v>
      </c>
      <c r="S16" s="6" t="s">
        <v>1040</v>
      </c>
      <c r="T16" s="6" t="n">
        <v>890</v>
      </c>
      <c r="U16" s="6" t="n">
        <v>0</v>
      </c>
      <c r="V16" s="28"/>
      <c r="W16" s="29"/>
      <c r="Y16" s="29"/>
      <c r="Z16" s="30"/>
      <c r="AA16" s="29"/>
      <c r="AB16" s="31" t="n">
        <v>197580</v>
      </c>
      <c r="AE16" s="6" t="n">
        <v>197580</v>
      </c>
      <c r="AF16" s="6" t="s">
        <v>58</v>
      </c>
      <c r="AG16" s="6" t="n">
        <v>0</v>
      </c>
      <c r="AH16" s="30" t="s">
        <v>25</v>
      </c>
      <c r="AI16" s="6" t="n">
        <v>0</v>
      </c>
      <c r="AJ16" s="6" t="s">
        <v>89</v>
      </c>
      <c r="AK16" s="6" t="s">
        <v>988</v>
      </c>
      <c r="AL16" s="6" t="s">
        <v>89</v>
      </c>
      <c r="AM16" s="6" t="n">
        <v>0</v>
      </c>
      <c r="AQ16" s="6" t="s">
        <v>87</v>
      </c>
      <c r="AR16" s="6" t="s">
        <v>57</v>
      </c>
    </row>
    <row r="17" customFormat="false" ht="15" hidden="false" customHeight="true" outlineLevel="0" collapsed="false">
      <c r="A17" s="27" t="s">
        <v>1062</v>
      </c>
      <c r="B17" s="6" t="s">
        <v>1063</v>
      </c>
      <c r="C17" s="27" t="s">
        <v>1062</v>
      </c>
      <c r="D17" s="6" t="s">
        <v>91</v>
      </c>
      <c r="E17" s="6" t="s">
        <v>1064</v>
      </c>
      <c r="F17" s="6" t="s">
        <v>1065</v>
      </c>
      <c r="G17" s="6" t="s">
        <v>1020</v>
      </c>
      <c r="H17" s="6" t="s">
        <v>1066</v>
      </c>
      <c r="I17" s="6" t="s">
        <v>1067</v>
      </c>
      <c r="J17" s="6" t="s">
        <v>18</v>
      </c>
      <c r="K17" s="6" t="s">
        <v>92</v>
      </c>
      <c r="L17" s="6" t="s">
        <v>92</v>
      </c>
      <c r="N17" s="6" t="s">
        <v>1068</v>
      </c>
      <c r="O17" s="6" t="s">
        <v>26</v>
      </c>
      <c r="P17" s="6" t="n">
        <v>1</v>
      </c>
      <c r="R17" s="6" t="s">
        <v>1069</v>
      </c>
      <c r="S17" s="6" t="n">
        <v>222</v>
      </c>
      <c r="T17" s="6" t="n">
        <v>330</v>
      </c>
      <c r="V17" s="28"/>
      <c r="W17" s="29"/>
      <c r="Y17" s="29"/>
      <c r="Z17" s="30"/>
      <c r="AA17" s="29"/>
      <c r="AB17" s="31" t="n">
        <v>73260</v>
      </c>
      <c r="AE17" s="6" t="n">
        <v>73260</v>
      </c>
      <c r="AF17" s="6" t="s">
        <v>1063</v>
      </c>
      <c r="AG17" s="6" t="n">
        <v>0</v>
      </c>
      <c r="AH17" s="30" t="s">
        <v>1020</v>
      </c>
      <c r="AI17" s="6" t="n">
        <v>0</v>
      </c>
      <c r="AJ17" s="6" t="s">
        <v>92</v>
      </c>
      <c r="AK17" s="6" t="s">
        <v>988</v>
      </c>
      <c r="AL17" s="6" t="s">
        <v>92</v>
      </c>
      <c r="AM17" s="6" t="n">
        <v>0</v>
      </c>
      <c r="AN17" s="6" t="s">
        <v>1070</v>
      </c>
      <c r="AQ17" s="6" t="s">
        <v>90</v>
      </c>
      <c r="AR17" s="6" t="s">
        <v>57</v>
      </c>
    </row>
    <row r="18" customFormat="false" ht="15" hidden="false" customHeight="true" outlineLevel="0" collapsed="false">
      <c r="A18" s="27" t="s">
        <v>1062</v>
      </c>
      <c r="B18" s="6" t="s">
        <v>1063</v>
      </c>
      <c r="C18" s="27" t="s">
        <v>1062</v>
      </c>
      <c r="D18" s="6" t="s">
        <v>95</v>
      </c>
      <c r="E18" s="6" t="s">
        <v>1064</v>
      </c>
      <c r="F18" s="6" t="s">
        <v>1065</v>
      </c>
      <c r="G18" s="6" t="s">
        <v>1020</v>
      </c>
      <c r="H18" s="6" t="s">
        <v>1066</v>
      </c>
      <c r="I18" s="6" t="s">
        <v>1067</v>
      </c>
      <c r="J18" s="6" t="s">
        <v>18</v>
      </c>
      <c r="K18" s="6" t="s">
        <v>92</v>
      </c>
      <c r="L18" s="6" t="s">
        <v>92</v>
      </c>
      <c r="N18" s="6" t="s">
        <v>1068</v>
      </c>
      <c r="O18" s="6" t="s">
        <v>26</v>
      </c>
      <c r="P18" s="6" t="n">
        <v>1</v>
      </c>
      <c r="R18" s="6" t="s">
        <v>1069</v>
      </c>
      <c r="S18" s="6" t="n">
        <v>222</v>
      </c>
      <c r="T18" s="6" t="n">
        <v>330</v>
      </c>
      <c r="V18" s="28"/>
      <c r="W18" s="29"/>
      <c r="Y18" s="29"/>
      <c r="Z18" s="30"/>
      <c r="AA18" s="29"/>
      <c r="AB18" s="31" t="n">
        <v>73260</v>
      </c>
      <c r="AE18" s="6" t="n">
        <v>73260</v>
      </c>
      <c r="AF18" s="6" t="s">
        <v>1063</v>
      </c>
      <c r="AG18" s="6" t="n">
        <v>0</v>
      </c>
      <c r="AH18" s="30" t="s">
        <v>1020</v>
      </c>
      <c r="AI18" s="6" t="n">
        <v>0</v>
      </c>
      <c r="AJ18" s="6" t="s">
        <v>92</v>
      </c>
      <c r="AK18" s="6" t="s">
        <v>988</v>
      </c>
      <c r="AL18" s="6" t="s">
        <v>92</v>
      </c>
      <c r="AM18" s="6" t="n">
        <v>0</v>
      </c>
      <c r="AN18" s="6" t="s">
        <v>1070</v>
      </c>
      <c r="AQ18" s="6" t="s">
        <v>94</v>
      </c>
      <c r="AR18" s="6" t="s">
        <v>57</v>
      </c>
    </row>
    <row r="19" customFormat="false" ht="15" hidden="false" customHeight="true" outlineLevel="0" collapsed="false">
      <c r="A19" s="27" t="s">
        <v>1016</v>
      </c>
      <c r="B19" s="6" t="s">
        <v>1071</v>
      </c>
      <c r="C19" s="27" t="s">
        <v>1016</v>
      </c>
      <c r="D19" s="6" t="s">
        <v>97</v>
      </c>
      <c r="E19" s="6" t="s">
        <v>1072</v>
      </c>
      <c r="F19" s="6" t="s">
        <v>270</v>
      </c>
      <c r="G19" s="6" t="s">
        <v>1073</v>
      </c>
      <c r="H19" s="6" t="s">
        <v>1074</v>
      </c>
      <c r="I19" s="6" t="s">
        <v>1075</v>
      </c>
      <c r="J19" s="6" t="s">
        <v>22</v>
      </c>
      <c r="K19" s="6" t="s">
        <v>21</v>
      </c>
      <c r="L19" s="6" t="s">
        <v>98</v>
      </c>
      <c r="N19" s="6" t="s">
        <v>1023</v>
      </c>
      <c r="O19" s="6" t="s">
        <v>26</v>
      </c>
      <c r="P19" s="6" t="n">
        <v>1</v>
      </c>
      <c r="R19" s="6" t="s">
        <v>1037</v>
      </c>
      <c r="S19" s="6" t="s">
        <v>1040</v>
      </c>
      <c r="T19" s="6" t="n">
        <v>1350</v>
      </c>
      <c r="U19" s="6" t="n">
        <v>0</v>
      </c>
      <c r="V19" s="28"/>
      <c r="W19" s="29"/>
      <c r="Y19" s="29"/>
      <c r="Z19" s="30"/>
      <c r="AA19" s="29"/>
      <c r="AB19" s="31" t="n">
        <v>299700</v>
      </c>
      <c r="AE19" s="6" t="n">
        <v>299700</v>
      </c>
      <c r="AF19" s="6" t="s">
        <v>58</v>
      </c>
      <c r="AG19" s="6" t="n">
        <v>0</v>
      </c>
      <c r="AH19" s="30" t="s">
        <v>1076</v>
      </c>
      <c r="AI19" s="6" t="n">
        <v>0</v>
      </c>
      <c r="AJ19" s="6" t="s">
        <v>98</v>
      </c>
      <c r="AK19" s="6" t="s">
        <v>988</v>
      </c>
      <c r="AL19" s="6" t="s">
        <v>98</v>
      </c>
      <c r="AM19" s="6" t="n">
        <v>1</v>
      </c>
      <c r="AQ19" s="6" t="s">
        <v>96</v>
      </c>
      <c r="AR19" s="6" t="s">
        <v>57</v>
      </c>
    </row>
    <row r="20" customFormat="false" ht="15" hidden="false" customHeight="true" outlineLevel="0" collapsed="false">
      <c r="A20" s="27" t="s">
        <v>1077</v>
      </c>
      <c r="B20" s="6" t="s">
        <v>1078</v>
      </c>
      <c r="C20" s="27" t="s">
        <v>1077</v>
      </c>
      <c r="D20" s="6" t="s">
        <v>100</v>
      </c>
      <c r="E20" s="6" t="s">
        <v>1079</v>
      </c>
      <c r="F20" s="6" t="s">
        <v>1080</v>
      </c>
      <c r="G20" s="6" t="s">
        <v>1020</v>
      </c>
      <c r="H20" s="6" t="s">
        <v>1021</v>
      </c>
      <c r="I20" s="6" t="s">
        <v>1081</v>
      </c>
      <c r="J20" s="6" t="s">
        <v>18</v>
      </c>
      <c r="K20" s="6" t="s">
        <v>1028</v>
      </c>
      <c r="L20" s="6" t="s">
        <v>101</v>
      </c>
      <c r="N20" s="6" t="s">
        <v>1068</v>
      </c>
      <c r="O20" s="6" t="s">
        <v>26</v>
      </c>
      <c r="P20" s="6" t="n">
        <v>1</v>
      </c>
      <c r="R20" s="6" t="s">
        <v>1082</v>
      </c>
      <c r="S20" s="6" t="n">
        <v>222</v>
      </c>
      <c r="T20" s="6" t="n">
        <v>330</v>
      </c>
      <c r="V20" s="28"/>
      <c r="W20" s="29"/>
      <c r="Y20" s="29"/>
      <c r="Z20" s="30"/>
      <c r="AA20" s="29"/>
      <c r="AB20" s="31" t="n">
        <v>73260</v>
      </c>
      <c r="AE20" s="6" t="n">
        <v>73260</v>
      </c>
      <c r="AF20" s="6" t="s">
        <v>58</v>
      </c>
      <c r="AG20" s="6" t="n">
        <v>0</v>
      </c>
      <c r="AH20" s="30" t="s">
        <v>1020</v>
      </c>
      <c r="AI20" s="6" t="n">
        <v>0</v>
      </c>
      <c r="AJ20" s="6" t="s">
        <v>101</v>
      </c>
      <c r="AK20" s="6" t="s">
        <v>988</v>
      </c>
      <c r="AL20" s="6" t="s">
        <v>101</v>
      </c>
      <c r="AM20" s="6" t="n">
        <v>0</v>
      </c>
      <c r="AN20" s="6" t="s">
        <v>58</v>
      </c>
      <c r="AQ20" s="6" t="s">
        <v>99</v>
      </c>
      <c r="AR20" s="6" t="s">
        <v>57</v>
      </c>
    </row>
    <row r="21" customFormat="false" ht="15" hidden="false" customHeight="true" outlineLevel="0" collapsed="false">
      <c r="A21" s="27" t="s">
        <v>1062</v>
      </c>
      <c r="B21" s="6" t="s">
        <v>1063</v>
      </c>
      <c r="C21" s="27" t="s">
        <v>1062</v>
      </c>
      <c r="D21" s="6" t="s">
        <v>100</v>
      </c>
      <c r="E21" s="6" t="s">
        <v>1079</v>
      </c>
      <c r="F21" s="6" t="s">
        <v>1080</v>
      </c>
      <c r="G21" s="6" t="s">
        <v>1020</v>
      </c>
      <c r="H21" s="6" t="s">
        <v>1021</v>
      </c>
      <c r="I21" s="6" t="s">
        <v>1081</v>
      </c>
      <c r="J21" s="6" t="s">
        <v>18</v>
      </c>
      <c r="K21" s="6" t="s">
        <v>1028</v>
      </c>
      <c r="L21" s="6" t="s">
        <v>101</v>
      </c>
      <c r="N21" s="6" t="s">
        <v>1068</v>
      </c>
      <c r="O21" s="6" t="s">
        <v>26</v>
      </c>
      <c r="P21" s="6" t="n">
        <v>1</v>
      </c>
      <c r="R21" s="6" t="s">
        <v>1069</v>
      </c>
      <c r="S21" s="6" t="n">
        <v>222</v>
      </c>
      <c r="T21" s="6" t="n">
        <v>330</v>
      </c>
      <c r="V21" s="28"/>
      <c r="W21" s="29"/>
      <c r="Y21" s="29"/>
      <c r="Z21" s="30"/>
      <c r="AA21" s="29"/>
      <c r="AB21" s="31" t="n">
        <v>73260</v>
      </c>
      <c r="AE21" s="6" t="n">
        <v>73260</v>
      </c>
      <c r="AF21" s="6" t="s">
        <v>1063</v>
      </c>
      <c r="AG21" s="6" t="n">
        <v>0</v>
      </c>
      <c r="AH21" s="30" t="s">
        <v>1020</v>
      </c>
      <c r="AI21" s="6" t="n">
        <v>0</v>
      </c>
      <c r="AJ21" s="6" t="s">
        <v>101</v>
      </c>
      <c r="AK21" s="6" t="s">
        <v>988</v>
      </c>
      <c r="AL21" s="6" t="s">
        <v>101</v>
      </c>
      <c r="AM21" s="6" t="n">
        <v>0</v>
      </c>
      <c r="AN21" s="6" t="s">
        <v>1070</v>
      </c>
      <c r="AQ21" s="6" t="s">
        <v>102</v>
      </c>
      <c r="AR21" s="6" t="s">
        <v>57</v>
      </c>
    </row>
    <row r="22" customFormat="false" ht="15" hidden="false" customHeight="true" outlineLevel="0" collapsed="false">
      <c r="A22" s="27" t="s">
        <v>1062</v>
      </c>
      <c r="B22" s="6" t="s">
        <v>1063</v>
      </c>
      <c r="C22" s="27" t="s">
        <v>1062</v>
      </c>
      <c r="D22" s="6" t="s">
        <v>100</v>
      </c>
      <c r="E22" s="6" t="s">
        <v>1079</v>
      </c>
      <c r="F22" s="6" t="s">
        <v>1080</v>
      </c>
      <c r="G22" s="6" t="s">
        <v>1020</v>
      </c>
      <c r="H22" s="6" t="s">
        <v>1021</v>
      </c>
      <c r="I22" s="6" t="s">
        <v>1081</v>
      </c>
      <c r="J22" s="6" t="s">
        <v>18</v>
      </c>
      <c r="K22" s="6" t="s">
        <v>1028</v>
      </c>
      <c r="L22" s="6" t="s">
        <v>101</v>
      </c>
      <c r="N22" s="6" t="s">
        <v>1068</v>
      </c>
      <c r="O22" s="6" t="s">
        <v>26</v>
      </c>
      <c r="P22" s="6" t="n">
        <v>1</v>
      </c>
      <c r="R22" s="6" t="s">
        <v>1069</v>
      </c>
      <c r="S22" s="6" t="n">
        <v>222</v>
      </c>
      <c r="T22" s="6" t="n">
        <v>330</v>
      </c>
      <c r="V22" s="28"/>
      <c r="W22" s="29"/>
      <c r="Y22" s="29"/>
      <c r="Z22" s="30"/>
      <c r="AA22" s="29"/>
      <c r="AB22" s="31" t="n">
        <v>73260</v>
      </c>
      <c r="AE22" s="6" t="n">
        <v>73260</v>
      </c>
      <c r="AF22" s="6" t="s">
        <v>1063</v>
      </c>
      <c r="AG22" s="6" t="n">
        <v>0</v>
      </c>
      <c r="AH22" s="30" t="s">
        <v>1020</v>
      </c>
      <c r="AI22" s="6" t="n">
        <v>0</v>
      </c>
      <c r="AJ22" s="6" t="s">
        <v>101</v>
      </c>
      <c r="AK22" s="6" t="s">
        <v>988</v>
      </c>
      <c r="AL22" s="6" t="s">
        <v>101</v>
      </c>
      <c r="AM22" s="6" t="n">
        <v>0</v>
      </c>
      <c r="AN22" s="6" t="s">
        <v>1070</v>
      </c>
      <c r="AQ22" s="6" t="s">
        <v>103</v>
      </c>
      <c r="AR22" s="6" t="s">
        <v>57</v>
      </c>
    </row>
    <row r="23" customFormat="false" ht="15" hidden="false" customHeight="true" outlineLevel="0" collapsed="false">
      <c r="A23" s="27" t="s">
        <v>1062</v>
      </c>
      <c r="B23" s="6" t="s">
        <v>1063</v>
      </c>
      <c r="C23" s="27" t="s">
        <v>1062</v>
      </c>
      <c r="D23" s="6" t="s">
        <v>91</v>
      </c>
      <c r="E23" s="6" t="s">
        <v>1079</v>
      </c>
      <c r="F23" s="6" t="s">
        <v>1080</v>
      </c>
      <c r="G23" s="6" t="s">
        <v>1020</v>
      </c>
      <c r="H23" s="6" t="s">
        <v>1021</v>
      </c>
      <c r="I23" s="6" t="s">
        <v>1081</v>
      </c>
      <c r="J23" s="6" t="s">
        <v>18</v>
      </c>
      <c r="K23" s="6" t="s">
        <v>1028</v>
      </c>
      <c r="L23" s="6" t="s">
        <v>101</v>
      </c>
      <c r="N23" s="6" t="s">
        <v>1068</v>
      </c>
      <c r="O23" s="6" t="s">
        <v>26</v>
      </c>
      <c r="P23" s="6" t="n">
        <v>1</v>
      </c>
      <c r="R23" s="6" t="s">
        <v>1069</v>
      </c>
      <c r="S23" s="6" t="n">
        <v>222</v>
      </c>
      <c r="T23" s="6" t="n">
        <v>330</v>
      </c>
      <c r="V23" s="28"/>
      <c r="W23" s="29"/>
      <c r="Y23" s="29"/>
      <c r="Z23" s="30"/>
      <c r="AA23" s="29"/>
      <c r="AB23" s="31" t="n">
        <v>73260</v>
      </c>
      <c r="AE23" s="6" t="n">
        <v>73260</v>
      </c>
      <c r="AF23" s="6" t="s">
        <v>1063</v>
      </c>
      <c r="AG23" s="6" t="n">
        <v>0</v>
      </c>
      <c r="AH23" s="30" t="s">
        <v>1020</v>
      </c>
      <c r="AI23" s="6" t="n">
        <v>0</v>
      </c>
      <c r="AJ23" s="6" t="s">
        <v>101</v>
      </c>
      <c r="AK23" s="6" t="s">
        <v>988</v>
      </c>
      <c r="AL23" s="6" t="s">
        <v>101</v>
      </c>
      <c r="AM23" s="6" t="n">
        <v>0</v>
      </c>
      <c r="AN23" s="6" t="s">
        <v>1070</v>
      </c>
      <c r="AQ23" s="6" t="s">
        <v>104</v>
      </c>
      <c r="AR23" s="6" t="s">
        <v>57</v>
      </c>
    </row>
    <row r="24" customFormat="false" ht="15" hidden="false" customHeight="true" outlineLevel="0" collapsed="false">
      <c r="A24" s="27" t="s">
        <v>1016</v>
      </c>
      <c r="B24" s="6" t="s">
        <v>1083</v>
      </c>
      <c r="C24" s="27" t="s">
        <v>1016</v>
      </c>
      <c r="D24" s="6" t="s">
        <v>106</v>
      </c>
      <c r="E24" s="6" t="s">
        <v>1084</v>
      </c>
      <c r="F24" s="6" t="s">
        <v>1085</v>
      </c>
      <c r="G24" s="6" t="s">
        <v>1076</v>
      </c>
      <c r="H24" s="6" t="s">
        <v>1086</v>
      </c>
      <c r="I24" s="6" t="s">
        <v>1087</v>
      </c>
      <c r="J24" s="6" t="s">
        <v>21</v>
      </c>
      <c r="K24" s="6" t="s">
        <v>21</v>
      </c>
      <c r="L24" s="6" t="s">
        <v>98</v>
      </c>
      <c r="N24" s="6" t="s">
        <v>1023</v>
      </c>
      <c r="O24" s="6" t="s">
        <v>26</v>
      </c>
      <c r="P24" s="6" t="n">
        <v>1</v>
      </c>
      <c r="R24" s="6" t="s">
        <v>1037</v>
      </c>
      <c r="S24" s="6" t="s">
        <v>1040</v>
      </c>
      <c r="T24" s="6" t="n">
        <v>1568</v>
      </c>
      <c r="U24" s="6" t="n">
        <v>0</v>
      </c>
      <c r="V24" s="28"/>
      <c r="W24" s="29"/>
      <c r="Y24" s="29"/>
      <c r="Z24" s="30"/>
      <c r="AA24" s="29"/>
      <c r="AB24" s="31" t="n">
        <v>348096</v>
      </c>
      <c r="AE24" s="6" t="n">
        <v>348096</v>
      </c>
      <c r="AF24" s="6" t="s">
        <v>58</v>
      </c>
      <c r="AG24" s="6" t="n">
        <v>0</v>
      </c>
      <c r="AH24" s="30" t="s">
        <v>1076</v>
      </c>
      <c r="AI24" s="6" t="n">
        <v>0</v>
      </c>
      <c r="AJ24" s="6" t="s">
        <v>98</v>
      </c>
      <c r="AK24" s="6" t="s">
        <v>988</v>
      </c>
      <c r="AL24" s="6" t="s">
        <v>98</v>
      </c>
      <c r="AM24" s="6" t="n">
        <v>1</v>
      </c>
      <c r="AQ24" s="6" t="s">
        <v>105</v>
      </c>
      <c r="AR24" s="6" t="s">
        <v>57</v>
      </c>
    </row>
    <row r="25" customFormat="false" ht="15" hidden="false" customHeight="true" outlineLevel="0" collapsed="false">
      <c r="A25" s="27" t="s">
        <v>1016</v>
      </c>
      <c r="B25" s="6" t="s">
        <v>1088</v>
      </c>
      <c r="C25" s="27" t="s">
        <v>1016</v>
      </c>
      <c r="D25" s="6" t="s">
        <v>108</v>
      </c>
      <c r="E25" s="6" t="s">
        <v>1084</v>
      </c>
      <c r="F25" s="6" t="s">
        <v>1085</v>
      </c>
      <c r="G25" s="6" t="s">
        <v>1076</v>
      </c>
      <c r="H25" s="6" t="s">
        <v>1086</v>
      </c>
      <c r="I25" s="6" t="s">
        <v>1087</v>
      </c>
      <c r="J25" s="6" t="s">
        <v>21</v>
      </c>
      <c r="K25" s="6" t="s">
        <v>1089</v>
      </c>
      <c r="L25" s="6" t="s">
        <v>98</v>
      </c>
      <c r="N25" s="6" t="s">
        <v>109</v>
      </c>
      <c r="O25" s="6" t="s">
        <v>26</v>
      </c>
      <c r="P25" s="6" t="n">
        <v>1</v>
      </c>
      <c r="R25" s="6" t="s">
        <v>1024</v>
      </c>
      <c r="S25" s="6" t="s">
        <v>1090</v>
      </c>
      <c r="T25" s="6" t="n">
        <v>1200</v>
      </c>
      <c r="U25" s="6" t="n">
        <v>0</v>
      </c>
      <c r="V25" s="28"/>
      <c r="W25" s="29"/>
      <c r="Y25" s="29"/>
      <c r="Z25" s="30"/>
      <c r="AA25" s="29"/>
      <c r="AB25" s="31" t="n">
        <v>266400</v>
      </c>
      <c r="AE25" s="6" t="n">
        <v>266400</v>
      </c>
      <c r="AF25" s="6" t="s">
        <v>58</v>
      </c>
      <c r="AG25" s="6" t="n">
        <v>0</v>
      </c>
      <c r="AH25" s="30" t="s">
        <v>1076</v>
      </c>
      <c r="AI25" s="6" t="n">
        <v>0</v>
      </c>
      <c r="AJ25" s="6" t="s">
        <v>98</v>
      </c>
      <c r="AK25" s="6" t="s">
        <v>988</v>
      </c>
      <c r="AL25" s="6" t="s">
        <v>98</v>
      </c>
      <c r="AM25" s="6" t="n">
        <v>1</v>
      </c>
      <c r="AQ25" s="6" t="s">
        <v>107</v>
      </c>
      <c r="AR25" s="6" t="s">
        <v>109</v>
      </c>
    </row>
    <row r="26" customFormat="false" ht="15" hidden="false" customHeight="true" outlineLevel="0" collapsed="false">
      <c r="A26" s="27" t="s">
        <v>1016</v>
      </c>
      <c r="B26" s="6" t="s">
        <v>1091</v>
      </c>
      <c r="C26" s="27" t="s">
        <v>1016</v>
      </c>
      <c r="D26" s="6" t="s">
        <v>111</v>
      </c>
      <c r="E26" s="6" t="s">
        <v>1092</v>
      </c>
      <c r="F26" s="6" t="s">
        <v>1093</v>
      </c>
      <c r="G26" s="6" t="s">
        <v>1020</v>
      </c>
      <c r="H26" s="6" t="s">
        <v>1021</v>
      </c>
      <c r="I26" s="6" t="s">
        <v>1094</v>
      </c>
      <c r="J26" s="6" t="s">
        <v>18</v>
      </c>
      <c r="K26" s="6" t="s">
        <v>1028</v>
      </c>
      <c r="L26" s="6" t="s">
        <v>66</v>
      </c>
      <c r="N26" s="6" t="s">
        <v>1023</v>
      </c>
      <c r="O26" s="6" t="s">
        <v>26</v>
      </c>
      <c r="P26" s="6" t="n">
        <v>1</v>
      </c>
      <c r="R26" s="6" t="s">
        <v>1024</v>
      </c>
      <c r="S26" s="6" t="s">
        <v>1025</v>
      </c>
      <c r="T26" s="6" t="n">
        <v>860</v>
      </c>
      <c r="V26" s="28"/>
      <c r="W26" s="29"/>
      <c r="Y26" s="29"/>
      <c r="Z26" s="30"/>
      <c r="AA26" s="29"/>
      <c r="AB26" s="31" t="n">
        <v>190920</v>
      </c>
      <c r="AC26" s="6" t="s">
        <v>1095</v>
      </c>
      <c r="AE26" s="6" t="n">
        <v>190920</v>
      </c>
      <c r="AF26" s="6" t="s">
        <v>58</v>
      </c>
      <c r="AG26" s="6" t="n">
        <v>0</v>
      </c>
      <c r="AH26" s="30" t="s">
        <v>1020</v>
      </c>
      <c r="AI26" s="6" t="n">
        <v>0</v>
      </c>
      <c r="AJ26" s="6" t="s">
        <v>66</v>
      </c>
      <c r="AK26" s="6" t="s">
        <v>988</v>
      </c>
      <c r="AL26" s="6" t="s">
        <v>66</v>
      </c>
      <c r="AM26" s="6" t="n">
        <v>0</v>
      </c>
      <c r="AN26" s="6" t="s">
        <v>58</v>
      </c>
      <c r="AO26" s="6" t="s">
        <v>1095</v>
      </c>
      <c r="AQ26" s="6" t="s">
        <v>110</v>
      </c>
      <c r="AR26" s="6" t="s">
        <v>57</v>
      </c>
    </row>
    <row r="27" customFormat="false" ht="15" hidden="false" customHeight="true" outlineLevel="0" collapsed="false">
      <c r="A27" s="27" t="s">
        <v>1016</v>
      </c>
      <c r="B27" s="6" t="s">
        <v>1096</v>
      </c>
      <c r="C27" s="27" t="s">
        <v>1016</v>
      </c>
      <c r="D27" s="6" t="s">
        <v>113</v>
      </c>
      <c r="E27" s="6" t="s">
        <v>1092</v>
      </c>
      <c r="F27" s="6" t="s">
        <v>1093</v>
      </c>
      <c r="G27" s="6" t="s">
        <v>1020</v>
      </c>
      <c r="H27" s="6" t="s">
        <v>1021</v>
      </c>
      <c r="I27" s="6" t="s">
        <v>1094</v>
      </c>
      <c r="J27" s="6" t="s">
        <v>18</v>
      </c>
      <c r="K27" s="6" t="s">
        <v>1028</v>
      </c>
      <c r="L27" s="6" t="s">
        <v>62</v>
      </c>
      <c r="N27" s="6" t="s">
        <v>1023</v>
      </c>
      <c r="O27" s="6" t="s">
        <v>26</v>
      </c>
      <c r="P27" s="6" t="n">
        <v>1</v>
      </c>
      <c r="R27" s="6" t="s">
        <v>1097</v>
      </c>
      <c r="S27" s="6" t="s">
        <v>1025</v>
      </c>
      <c r="T27" s="6" t="n">
        <v>1450</v>
      </c>
      <c r="V27" s="28"/>
      <c r="W27" s="29"/>
      <c r="Y27" s="29"/>
      <c r="Z27" s="30"/>
      <c r="AA27" s="29"/>
      <c r="AB27" s="31" t="n">
        <v>321900</v>
      </c>
      <c r="AC27" s="6" t="s">
        <v>1098</v>
      </c>
      <c r="AE27" s="6" t="n">
        <v>321900</v>
      </c>
      <c r="AF27" s="6" t="s">
        <v>58</v>
      </c>
      <c r="AG27" s="6" t="n">
        <v>0</v>
      </c>
      <c r="AH27" s="30" t="s">
        <v>1020</v>
      </c>
      <c r="AI27" s="6" t="n">
        <v>0</v>
      </c>
      <c r="AJ27" s="6" t="s">
        <v>62</v>
      </c>
      <c r="AK27" s="6" t="s">
        <v>988</v>
      </c>
      <c r="AL27" s="6" t="s">
        <v>62</v>
      </c>
      <c r="AM27" s="6" t="n">
        <v>0</v>
      </c>
      <c r="AN27" s="6" t="s">
        <v>58</v>
      </c>
      <c r="AO27" s="6" t="s">
        <v>1098</v>
      </c>
      <c r="AQ27" s="6" t="s">
        <v>112</v>
      </c>
      <c r="AR27" s="6" t="s">
        <v>57</v>
      </c>
    </row>
    <row r="28" customFormat="false" ht="15" hidden="false" customHeight="true" outlineLevel="0" collapsed="false">
      <c r="A28" s="27" t="s">
        <v>1041</v>
      </c>
      <c r="B28" s="6" t="s">
        <v>1099</v>
      </c>
      <c r="C28" s="27" t="s">
        <v>1041</v>
      </c>
      <c r="D28" s="6" t="s">
        <v>115</v>
      </c>
      <c r="E28" s="6" t="s">
        <v>1092</v>
      </c>
      <c r="F28" s="6" t="s">
        <v>1093</v>
      </c>
      <c r="G28" s="6" t="s">
        <v>21</v>
      </c>
      <c r="H28" s="6" t="s">
        <v>21</v>
      </c>
      <c r="I28" s="6" t="s">
        <v>21</v>
      </c>
      <c r="J28" s="6" t="s">
        <v>21</v>
      </c>
      <c r="K28" s="6" t="s">
        <v>21</v>
      </c>
      <c r="L28" s="6" t="s">
        <v>21</v>
      </c>
      <c r="N28" s="6" t="s">
        <v>1023</v>
      </c>
      <c r="O28" s="6" t="s">
        <v>1036</v>
      </c>
      <c r="P28" s="6" t="n">
        <v>1</v>
      </c>
      <c r="R28" s="6" t="s">
        <v>1037</v>
      </c>
      <c r="S28" s="6" t="s">
        <v>1038</v>
      </c>
      <c r="T28" s="6" t="n">
        <v>1078.84</v>
      </c>
      <c r="U28" s="6" t="n">
        <v>0</v>
      </c>
      <c r="V28" s="28"/>
      <c r="W28" s="29"/>
      <c r="Y28" s="29"/>
      <c r="Z28" s="30"/>
      <c r="AA28" s="29"/>
      <c r="AB28" s="31" t="n">
        <v>239502.48</v>
      </c>
      <c r="AE28" s="6" t="n">
        <v>239502.48</v>
      </c>
      <c r="AF28" s="6" t="s">
        <v>58</v>
      </c>
      <c r="AG28" s="6" t="n">
        <v>0</v>
      </c>
      <c r="AH28" s="30" t="s">
        <v>21</v>
      </c>
      <c r="AI28" s="6" t="n">
        <v>0</v>
      </c>
      <c r="AJ28" s="6" t="s">
        <v>21</v>
      </c>
      <c r="AK28" s="6" t="s">
        <v>988</v>
      </c>
      <c r="AL28" s="6" t="s">
        <v>21</v>
      </c>
      <c r="AM28" s="6" t="n">
        <v>1</v>
      </c>
      <c r="AQ28" s="6" t="s">
        <v>114</v>
      </c>
      <c r="AR28" s="6" t="s">
        <v>57</v>
      </c>
    </row>
    <row r="29" customFormat="false" ht="15" hidden="false" customHeight="true" outlineLevel="0" collapsed="false">
      <c r="A29" s="27" t="s">
        <v>1016</v>
      </c>
      <c r="B29" s="6" t="s">
        <v>1100</v>
      </c>
      <c r="C29" s="27" t="s">
        <v>1016</v>
      </c>
      <c r="D29" s="6" t="s">
        <v>117</v>
      </c>
      <c r="E29" s="6" t="s">
        <v>1092</v>
      </c>
      <c r="F29" s="6" t="s">
        <v>1093</v>
      </c>
      <c r="G29" s="6" t="s">
        <v>1020</v>
      </c>
      <c r="H29" s="6" t="s">
        <v>1021</v>
      </c>
      <c r="I29" s="6" t="s">
        <v>1094</v>
      </c>
      <c r="J29" s="6" t="s">
        <v>18</v>
      </c>
      <c r="K29" s="6" t="s">
        <v>1028</v>
      </c>
      <c r="L29" s="6" t="s">
        <v>66</v>
      </c>
      <c r="N29" s="6" t="s">
        <v>1023</v>
      </c>
      <c r="O29" s="6" t="s">
        <v>26</v>
      </c>
      <c r="P29" s="6" t="n">
        <v>1</v>
      </c>
      <c r="R29" s="6" t="s">
        <v>1024</v>
      </c>
      <c r="S29" s="6" t="s">
        <v>1025</v>
      </c>
      <c r="T29" s="6" t="n">
        <v>807.2</v>
      </c>
      <c r="V29" s="28"/>
      <c r="W29" s="29"/>
      <c r="Y29" s="29"/>
      <c r="Z29" s="30"/>
      <c r="AA29" s="29"/>
      <c r="AB29" s="31" t="n">
        <v>179198.4</v>
      </c>
      <c r="AC29" s="6" t="s">
        <v>1101</v>
      </c>
      <c r="AE29" s="6" t="n">
        <v>179198.4</v>
      </c>
      <c r="AF29" s="6" t="s">
        <v>58</v>
      </c>
      <c r="AG29" s="6" t="n">
        <v>0</v>
      </c>
      <c r="AH29" s="30" t="s">
        <v>1020</v>
      </c>
      <c r="AI29" s="6" t="n">
        <v>0</v>
      </c>
      <c r="AJ29" s="6" t="s">
        <v>66</v>
      </c>
      <c r="AK29" s="6" t="s">
        <v>988</v>
      </c>
      <c r="AL29" s="6" t="s">
        <v>66</v>
      </c>
      <c r="AM29" s="6" t="n">
        <v>0</v>
      </c>
      <c r="AN29" s="6" t="s">
        <v>58</v>
      </c>
      <c r="AO29" s="6" t="s">
        <v>1101</v>
      </c>
      <c r="AP29" s="32" t="n">
        <v>46326</v>
      </c>
      <c r="AQ29" s="6" t="s">
        <v>116</v>
      </c>
      <c r="AR29" s="6" t="s">
        <v>57</v>
      </c>
    </row>
    <row r="30" customFormat="false" ht="15" hidden="false" customHeight="true" outlineLevel="0" collapsed="false">
      <c r="A30" s="27" t="s">
        <v>1016</v>
      </c>
      <c r="B30" s="6" t="s">
        <v>1102</v>
      </c>
      <c r="C30" s="27" t="s">
        <v>1016</v>
      </c>
      <c r="D30" s="6" t="s">
        <v>120</v>
      </c>
      <c r="E30" s="6" t="s">
        <v>1092</v>
      </c>
      <c r="F30" s="6" t="s">
        <v>1093</v>
      </c>
      <c r="G30" s="6" t="s">
        <v>1020</v>
      </c>
      <c r="H30" s="6" t="s">
        <v>1021</v>
      </c>
      <c r="I30" s="6" t="s">
        <v>1094</v>
      </c>
      <c r="J30" s="6" t="s">
        <v>18</v>
      </c>
      <c r="K30" s="6" t="s">
        <v>1028</v>
      </c>
      <c r="L30" s="6" t="s">
        <v>66</v>
      </c>
      <c r="N30" s="6" t="s">
        <v>1023</v>
      </c>
      <c r="O30" s="6" t="s">
        <v>26</v>
      </c>
      <c r="P30" s="6" t="n">
        <v>1</v>
      </c>
      <c r="R30" s="6" t="s">
        <v>1024</v>
      </c>
      <c r="S30" s="6" t="s">
        <v>1025</v>
      </c>
      <c r="T30" s="6" t="n">
        <v>1253</v>
      </c>
      <c r="V30" s="28"/>
      <c r="W30" s="29"/>
      <c r="Y30" s="29"/>
      <c r="Z30" s="30"/>
      <c r="AA30" s="29"/>
      <c r="AB30" s="31" t="n">
        <v>278166</v>
      </c>
      <c r="AC30" s="6" t="s">
        <v>1103</v>
      </c>
      <c r="AE30" s="6" t="n">
        <v>278166</v>
      </c>
      <c r="AF30" s="6" t="s">
        <v>58</v>
      </c>
      <c r="AG30" s="6" t="n">
        <v>0</v>
      </c>
      <c r="AH30" s="30" t="s">
        <v>1020</v>
      </c>
      <c r="AI30" s="6" t="n">
        <v>0</v>
      </c>
      <c r="AJ30" s="6" t="s">
        <v>66</v>
      </c>
      <c r="AK30" s="6" t="s">
        <v>988</v>
      </c>
      <c r="AL30" s="6" t="s">
        <v>66</v>
      </c>
      <c r="AM30" s="6" t="n">
        <v>0</v>
      </c>
      <c r="AN30" s="6" t="s">
        <v>58</v>
      </c>
      <c r="AO30" s="6" t="s">
        <v>1103</v>
      </c>
      <c r="AP30" s="32" t="n">
        <v>46255</v>
      </c>
      <c r="AQ30" s="6" t="s">
        <v>119</v>
      </c>
      <c r="AR30" s="6" t="s">
        <v>57</v>
      </c>
    </row>
    <row r="31" customFormat="false" ht="15" hidden="false" customHeight="true" outlineLevel="0" collapsed="false">
      <c r="A31" s="27" t="e">
        <f aca="false">#N/A</f>
        <v>#N/A</v>
      </c>
      <c r="B31" s="6" t="s">
        <v>1104</v>
      </c>
      <c r="C31" s="27" t="e">
        <f aca="false">#N/A</f>
        <v>#N/A</v>
      </c>
      <c r="D31" s="6" t="s">
        <v>113</v>
      </c>
      <c r="E31" s="6" t="s">
        <v>1092</v>
      </c>
      <c r="F31" s="6" t="s">
        <v>1093</v>
      </c>
      <c r="G31" s="6" t="s">
        <v>1020</v>
      </c>
      <c r="H31" s="6" t="s">
        <v>1021</v>
      </c>
      <c r="I31" s="6" t="s">
        <v>1094</v>
      </c>
      <c r="J31" s="6" t="s">
        <v>18</v>
      </c>
      <c r="K31" s="6" t="s">
        <v>1028</v>
      </c>
      <c r="L31" s="6" t="s">
        <v>62</v>
      </c>
      <c r="N31" s="6" t="s">
        <v>1023</v>
      </c>
      <c r="O31" s="6" t="s">
        <v>26</v>
      </c>
      <c r="P31" s="6" t="n">
        <v>1</v>
      </c>
      <c r="R31" s="6" t="s">
        <v>1105</v>
      </c>
      <c r="U31" s="6" t="n">
        <v>190000</v>
      </c>
      <c r="V31" s="28" t="n">
        <v>190000</v>
      </c>
      <c r="W31" s="29" t="n">
        <v>0.12</v>
      </c>
      <c r="X31" s="6" t="n">
        <v>0.055</v>
      </c>
      <c r="Y31" s="29" t="n">
        <v>0.12</v>
      </c>
      <c r="Z31" s="30"/>
      <c r="AA31" s="29" t="n">
        <v>0.04</v>
      </c>
      <c r="AB31" s="31" t="n">
        <v>243090.15</v>
      </c>
      <c r="AC31" s="6" t="s">
        <v>1106</v>
      </c>
      <c r="AE31" s="6" t="n">
        <v>243090.15</v>
      </c>
      <c r="AF31" s="6" t="s">
        <v>58</v>
      </c>
      <c r="AG31" s="6" t="n">
        <v>0</v>
      </c>
      <c r="AH31" s="30" t="s">
        <v>1020</v>
      </c>
      <c r="AI31" s="6" t="n">
        <v>0</v>
      </c>
      <c r="AJ31" s="6" t="s">
        <v>62</v>
      </c>
      <c r="AK31" s="6" t="s">
        <v>988</v>
      </c>
      <c r="AL31" s="6" t="s">
        <v>62</v>
      </c>
      <c r="AM31" s="6" t="n">
        <v>0</v>
      </c>
      <c r="AN31" s="6" t="s">
        <v>58</v>
      </c>
      <c r="AO31" s="6" t="s">
        <v>1107</v>
      </c>
      <c r="AQ31" s="6" t="s">
        <v>121</v>
      </c>
      <c r="AR31" s="6" t="s">
        <v>57</v>
      </c>
    </row>
    <row r="32" customFormat="false" ht="15" hidden="false" customHeight="true" outlineLevel="0" collapsed="false">
      <c r="A32" s="27" t="s">
        <v>1016</v>
      </c>
      <c r="B32" s="6" t="s">
        <v>1108</v>
      </c>
      <c r="C32" s="27" t="s">
        <v>1016</v>
      </c>
      <c r="D32" s="6" t="s">
        <v>117</v>
      </c>
      <c r="E32" s="6" t="s">
        <v>1092</v>
      </c>
      <c r="F32" s="6" t="s">
        <v>1093</v>
      </c>
      <c r="G32" s="6" t="s">
        <v>1020</v>
      </c>
      <c r="H32" s="6" t="s">
        <v>1021</v>
      </c>
      <c r="I32" s="6" t="s">
        <v>1094</v>
      </c>
      <c r="J32" s="6" t="s">
        <v>22</v>
      </c>
      <c r="K32" s="6" t="s">
        <v>21</v>
      </c>
      <c r="L32" s="6" t="s">
        <v>56</v>
      </c>
      <c r="N32" s="6" t="s">
        <v>1023</v>
      </c>
      <c r="O32" s="6" t="s">
        <v>26</v>
      </c>
      <c r="P32" s="6" t="n">
        <v>1</v>
      </c>
      <c r="R32" s="6" t="s">
        <v>1024</v>
      </c>
      <c r="S32" s="6" t="s">
        <v>1040</v>
      </c>
      <c r="T32" s="6" t="n">
        <v>1215</v>
      </c>
      <c r="V32" s="28"/>
      <c r="W32" s="29"/>
      <c r="Y32" s="29"/>
      <c r="Z32" s="30"/>
      <c r="AA32" s="29"/>
      <c r="AB32" s="31" t="n">
        <v>269730</v>
      </c>
      <c r="AC32" s="6" t="s">
        <v>1109</v>
      </c>
      <c r="AE32" s="6" t="n">
        <v>269730</v>
      </c>
      <c r="AF32" s="6" t="s">
        <v>58</v>
      </c>
      <c r="AG32" s="6" t="n">
        <v>0</v>
      </c>
      <c r="AH32" s="30" t="s">
        <v>1020</v>
      </c>
      <c r="AI32" s="6" t="n">
        <v>0</v>
      </c>
      <c r="AJ32" s="6" t="s">
        <v>56</v>
      </c>
      <c r="AK32" s="6" t="s">
        <v>988</v>
      </c>
      <c r="AL32" s="6" t="s">
        <v>56</v>
      </c>
      <c r="AM32" s="6" t="n">
        <v>1</v>
      </c>
      <c r="AN32" s="6" t="s">
        <v>58</v>
      </c>
      <c r="AO32" s="6" t="s">
        <v>1109</v>
      </c>
      <c r="AP32" s="32" t="n">
        <v>46286</v>
      </c>
      <c r="AQ32" s="6" t="s">
        <v>122</v>
      </c>
      <c r="AR32" s="6" t="s">
        <v>57</v>
      </c>
    </row>
    <row r="33" customFormat="false" ht="15" hidden="false" customHeight="true" outlineLevel="0" collapsed="false">
      <c r="A33" s="27" t="s">
        <v>1016</v>
      </c>
      <c r="B33" s="6" t="s">
        <v>1110</v>
      </c>
      <c r="C33" s="27" t="s">
        <v>1016</v>
      </c>
      <c r="D33" s="6" t="s">
        <v>124</v>
      </c>
      <c r="E33" s="6" t="s">
        <v>1111</v>
      </c>
      <c r="F33" s="6" t="s">
        <v>1112</v>
      </c>
      <c r="G33" s="6" t="s">
        <v>21</v>
      </c>
      <c r="H33" s="6" t="s">
        <v>21</v>
      </c>
      <c r="I33" s="6" t="s">
        <v>21</v>
      </c>
      <c r="J33" s="6" t="s">
        <v>21</v>
      </c>
      <c r="K33" s="6" t="s">
        <v>21</v>
      </c>
      <c r="L33" s="6" t="s">
        <v>21</v>
      </c>
      <c r="N33" s="6" t="s">
        <v>1023</v>
      </c>
      <c r="O33" s="6" t="s">
        <v>26</v>
      </c>
      <c r="P33" s="6" t="n">
        <v>1</v>
      </c>
      <c r="R33" s="6" t="s">
        <v>1037</v>
      </c>
      <c r="S33" s="6" t="s">
        <v>1040</v>
      </c>
      <c r="T33" s="6" t="n">
        <v>1232</v>
      </c>
      <c r="U33" s="6" t="n">
        <v>0</v>
      </c>
      <c r="V33" s="28"/>
      <c r="W33" s="29"/>
      <c r="Y33" s="29"/>
      <c r="Z33" s="30"/>
      <c r="AA33" s="29"/>
      <c r="AB33" s="31" t="n">
        <v>273504</v>
      </c>
      <c r="AE33" s="6" t="n">
        <v>273504</v>
      </c>
      <c r="AF33" s="6" t="s">
        <v>58</v>
      </c>
      <c r="AG33" s="6" t="n">
        <v>0</v>
      </c>
      <c r="AH33" s="30" t="s">
        <v>21</v>
      </c>
      <c r="AI33" s="6" t="n">
        <v>0</v>
      </c>
      <c r="AJ33" s="6" t="s">
        <v>21</v>
      </c>
      <c r="AK33" s="6" t="s">
        <v>988</v>
      </c>
      <c r="AL33" s="6" t="s">
        <v>21</v>
      </c>
      <c r="AM33" s="6" t="n">
        <v>1</v>
      </c>
      <c r="AQ33" s="6" t="s">
        <v>123</v>
      </c>
      <c r="AR33" s="6" t="s">
        <v>57</v>
      </c>
    </row>
    <row r="34" customFormat="false" ht="15" hidden="false" customHeight="true" outlineLevel="0" collapsed="false">
      <c r="A34" s="27" t="s">
        <v>1041</v>
      </c>
      <c r="B34" s="6" t="s">
        <v>1113</v>
      </c>
      <c r="C34" s="27" t="s">
        <v>1041</v>
      </c>
      <c r="D34" s="6" t="s">
        <v>126</v>
      </c>
      <c r="E34" s="6" t="s">
        <v>1114</v>
      </c>
      <c r="F34" s="6" t="s">
        <v>1115</v>
      </c>
      <c r="G34" s="6" t="s">
        <v>1076</v>
      </c>
      <c r="O34" s="6" t="s">
        <v>1036</v>
      </c>
      <c r="P34" s="6" t="n">
        <v>1</v>
      </c>
      <c r="R34" s="6" t="s">
        <v>1037</v>
      </c>
      <c r="S34" s="6" t="s">
        <v>1038</v>
      </c>
      <c r="T34" s="6" t="n">
        <v>1600</v>
      </c>
      <c r="U34" s="6" t="n">
        <v>0</v>
      </c>
      <c r="V34" s="28"/>
      <c r="W34" s="29"/>
      <c r="Y34" s="29"/>
      <c r="Z34" s="30"/>
      <c r="AA34" s="29"/>
      <c r="AB34" s="31" t="n">
        <v>355200</v>
      </c>
      <c r="AE34" s="6" t="n">
        <v>355200</v>
      </c>
      <c r="AF34" s="6" t="s">
        <v>58</v>
      </c>
      <c r="AG34" s="6" t="n">
        <v>0</v>
      </c>
      <c r="AH34" s="30" t="s">
        <v>1076</v>
      </c>
      <c r="AI34" s="6" t="n">
        <v>0</v>
      </c>
      <c r="AJ34" s="6" t="s">
        <v>127</v>
      </c>
      <c r="AK34" s="6" t="s">
        <v>988</v>
      </c>
      <c r="AL34" s="6" t="s">
        <v>127</v>
      </c>
      <c r="AM34" s="6" t="n">
        <v>0</v>
      </c>
      <c r="AO34" s="6" t="s">
        <v>1116</v>
      </c>
      <c r="AQ34" s="6" t="s">
        <v>125</v>
      </c>
      <c r="AR34" s="6" t="s">
        <v>57</v>
      </c>
    </row>
    <row r="35" customFormat="false" ht="15" hidden="false" customHeight="true" outlineLevel="0" collapsed="false">
      <c r="A35" s="27" t="s">
        <v>1016</v>
      </c>
      <c r="B35" s="6" t="s">
        <v>1117</v>
      </c>
      <c r="C35" s="27" t="s">
        <v>1016</v>
      </c>
      <c r="D35" s="6" t="s">
        <v>129</v>
      </c>
      <c r="E35" s="6" t="s">
        <v>1118</v>
      </c>
      <c r="F35" s="6" t="s">
        <v>129</v>
      </c>
      <c r="G35" s="6" t="s">
        <v>21</v>
      </c>
      <c r="H35" s="6" t="s">
        <v>21</v>
      </c>
      <c r="I35" s="6" t="s">
        <v>21</v>
      </c>
      <c r="J35" s="6" t="s">
        <v>21</v>
      </c>
      <c r="K35" s="6" t="s">
        <v>21</v>
      </c>
      <c r="L35" s="6" t="s">
        <v>21</v>
      </c>
      <c r="N35" s="6" t="s">
        <v>1023</v>
      </c>
      <c r="O35" s="6" t="s">
        <v>1036</v>
      </c>
      <c r="P35" s="6" t="n">
        <v>1</v>
      </c>
      <c r="R35" s="6" t="s">
        <v>1037</v>
      </c>
      <c r="S35" s="6" t="s">
        <v>1038</v>
      </c>
      <c r="T35" s="6" t="n">
        <v>1000</v>
      </c>
      <c r="U35" s="6" t="n">
        <v>0</v>
      </c>
      <c r="V35" s="28"/>
      <c r="W35" s="29"/>
      <c r="Y35" s="29"/>
      <c r="Z35" s="30"/>
      <c r="AA35" s="29"/>
      <c r="AB35" s="31" t="n">
        <v>222000</v>
      </c>
      <c r="AE35" s="6" t="n">
        <v>222000</v>
      </c>
      <c r="AF35" s="6" t="s">
        <v>58</v>
      </c>
      <c r="AG35" s="6" t="n">
        <v>0</v>
      </c>
      <c r="AH35" s="30" t="s">
        <v>21</v>
      </c>
      <c r="AI35" s="6" t="n">
        <v>0</v>
      </c>
      <c r="AJ35" s="6" t="s">
        <v>21</v>
      </c>
      <c r="AK35" s="6" t="s">
        <v>988</v>
      </c>
      <c r="AL35" s="6" t="s">
        <v>21</v>
      </c>
      <c r="AM35" s="6" t="n">
        <v>1</v>
      </c>
      <c r="AQ35" s="6" t="s">
        <v>128</v>
      </c>
      <c r="AR35" s="6" t="s">
        <v>57</v>
      </c>
    </row>
    <row r="36" customFormat="false" ht="15" hidden="false" customHeight="true" outlineLevel="0" collapsed="false">
      <c r="A36" s="27" t="s">
        <v>1041</v>
      </c>
      <c r="B36" s="6" t="s">
        <v>1119</v>
      </c>
      <c r="C36" s="27" t="s">
        <v>1041</v>
      </c>
      <c r="D36" s="6" t="s">
        <v>131</v>
      </c>
      <c r="E36" s="6" t="s">
        <v>1118</v>
      </c>
      <c r="F36" s="6" t="s">
        <v>129</v>
      </c>
      <c r="G36" s="6" t="s">
        <v>21</v>
      </c>
      <c r="H36" s="6" t="s">
        <v>21</v>
      </c>
      <c r="I36" s="6" t="s">
        <v>21</v>
      </c>
      <c r="J36" s="6" t="s">
        <v>21</v>
      </c>
      <c r="K36" s="6" t="s">
        <v>21</v>
      </c>
      <c r="L36" s="6" t="s">
        <v>21</v>
      </c>
      <c r="N36" s="6" t="s">
        <v>1023</v>
      </c>
      <c r="O36" s="6" t="s">
        <v>1036</v>
      </c>
      <c r="P36" s="6" t="n">
        <v>1</v>
      </c>
      <c r="R36" s="6" t="s">
        <v>1037</v>
      </c>
      <c r="S36" s="6" t="s">
        <v>1038</v>
      </c>
      <c r="T36" s="6" t="n">
        <v>1500</v>
      </c>
      <c r="U36" s="6" t="n">
        <v>0</v>
      </c>
      <c r="V36" s="28"/>
      <c r="W36" s="29"/>
      <c r="Y36" s="29"/>
      <c r="Z36" s="30"/>
      <c r="AA36" s="29"/>
      <c r="AB36" s="31" t="n">
        <v>333000</v>
      </c>
      <c r="AE36" s="6" t="n">
        <v>333000</v>
      </c>
      <c r="AF36" s="6" t="s">
        <v>58</v>
      </c>
      <c r="AG36" s="6" t="n">
        <v>0</v>
      </c>
      <c r="AH36" s="30" t="s">
        <v>21</v>
      </c>
      <c r="AI36" s="6" t="n">
        <v>0</v>
      </c>
      <c r="AJ36" s="6" t="s">
        <v>21</v>
      </c>
      <c r="AK36" s="6" t="s">
        <v>988</v>
      </c>
      <c r="AL36" s="6" t="s">
        <v>21</v>
      </c>
      <c r="AM36" s="6" t="n">
        <v>1</v>
      </c>
      <c r="AQ36" s="6" t="s">
        <v>130</v>
      </c>
      <c r="AR36" s="6" t="s">
        <v>57</v>
      </c>
    </row>
    <row r="37" customFormat="false" ht="15" hidden="false" customHeight="true" outlineLevel="0" collapsed="false">
      <c r="A37" s="27" t="s">
        <v>1016</v>
      </c>
      <c r="B37" s="6" t="s">
        <v>1120</v>
      </c>
      <c r="C37" s="27" t="s">
        <v>1016</v>
      </c>
      <c r="D37" s="6" t="s">
        <v>133</v>
      </c>
      <c r="E37" s="6" t="s">
        <v>1063</v>
      </c>
      <c r="F37" s="6" t="s">
        <v>1121</v>
      </c>
      <c r="G37" s="6" t="s">
        <v>1020</v>
      </c>
      <c r="H37" s="6" t="s">
        <v>1021</v>
      </c>
      <c r="I37" s="6" t="s">
        <v>1122</v>
      </c>
      <c r="J37" s="6" t="s">
        <v>18</v>
      </c>
      <c r="K37" s="6" t="s">
        <v>1028</v>
      </c>
      <c r="L37" s="6" t="s">
        <v>62</v>
      </c>
      <c r="N37" s="6" t="s">
        <v>1023</v>
      </c>
      <c r="O37" s="6" t="s">
        <v>26</v>
      </c>
      <c r="P37" s="6" t="n">
        <v>1</v>
      </c>
      <c r="R37" s="6" t="s">
        <v>1024</v>
      </c>
      <c r="S37" s="6" t="s">
        <v>1025</v>
      </c>
      <c r="T37" s="6" t="n">
        <v>1250</v>
      </c>
      <c r="V37" s="28"/>
      <c r="W37" s="29"/>
      <c r="Y37" s="29"/>
      <c r="Z37" s="30"/>
      <c r="AA37" s="29"/>
      <c r="AB37" s="31" t="n">
        <v>277500</v>
      </c>
      <c r="AC37" s="6" t="s">
        <v>1123</v>
      </c>
      <c r="AE37" s="6" t="n">
        <v>277500</v>
      </c>
      <c r="AF37" s="6" t="s">
        <v>58</v>
      </c>
      <c r="AG37" s="6" t="n">
        <v>0</v>
      </c>
      <c r="AH37" s="30" t="s">
        <v>1020</v>
      </c>
      <c r="AI37" s="6" t="n">
        <v>0</v>
      </c>
      <c r="AJ37" s="6" t="s">
        <v>62</v>
      </c>
      <c r="AK37" s="6" t="s">
        <v>988</v>
      </c>
      <c r="AL37" s="6" t="s">
        <v>62</v>
      </c>
      <c r="AM37" s="6" t="n">
        <v>0</v>
      </c>
      <c r="AN37" s="6" t="s">
        <v>58</v>
      </c>
      <c r="AO37" s="6" t="s">
        <v>1123</v>
      </c>
      <c r="AP37" s="32" t="n">
        <v>46213</v>
      </c>
      <c r="AQ37" s="6" t="s">
        <v>132</v>
      </c>
      <c r="AR37" s="6" t="s">
        <v>57</v>
      </c>
    </row>
    <row r="38" customFormat="false" ht="15" hidden="false" customHeight="true" outlineLevel="0" collapsed="false">
      <c r="A38" s="27" t="s">
        <v>1016</v>
      </c>
      <c r="B38" s="6" t="s">
        <v>1124</v>
      </c>
      <c r="C38" s="27" t="s">
        <v>1016</v>
      </c>
      <c r="D38" s="6" t="s">
        <v>133</v>
      </c>
      <c r="E38" s="6" t="s">
        <v>1063</v>
      </c>
      <c r="F38" s="6" t="s">
        <v>1121</v>
      </c>
      <c r="G38" s="6" t="s">
        <v>1020</v>
      </c>
      <c r="H38" s="6" t="s">
        <v>1021</v>
      </c>
      <c r="I38" s="6" t="s">
        <v>1122</v>
      </c>
      <c r="J38" s="6" t="s">
        <v>18</v>
      </c>
      <c r="K38" s="6" t="s">
        <v>1028</v>
      </c>
      <c r="L38" s="6" t="s">
        <v>66</v>
      </c>
      <c r="N38" s="6" t="s">
        <v>1023</v>
      </c>
      <c r="O38" s="6" t="s">
        <v>26</v>
      </c>
      <c r="P38" s="6" t="n">
        <v>1</v>
      </c>
      <c r="R38" s="6" t="s">
        <v>1024</v>
      </c>
      <c r="S38" s="6" t="s">
        <v>1025</v>
      </c>
      <c r="T38" s="6" t="n">
        <v>1218.5777</v>
      </c>
      <c r="V38" s="28"/>
      <c r="W38" s="29"/>
      <c r="Y38" s="29"/>
      <c r="Z38" s="30"/>
      <c r="AA38" s="29"/>
      <c r="AB38" s="31" t="n">
        <v>270524.2494</v>
      </c>
      <c r="AC38" s="6" t="s">
        <v>1125</v>
      </c>
      <c r="AE38" s="6" t="n">
        <v>270524.2494</v>
      </c>
      <c r="AF38" s="6" t="s">
        <v>58</v>
      </c>
      <c r="AG38" s="6" t="n">
        <v>0</v>
      </c>
      <c r="AH38" s="30" t="s">
        <v>1020</v>
      </c>
      <c r="AI38" s="6" t="n">
        <v>0</v>
      </c>
      <c r="AJ38" s="6" t="s">
        <v>66</v>
      </c>
      <c r="AK38" s="6" t="s">
        <v>988</v>
      </c>
      <c r="AL38" s="6" t="s">
        <v>66</v>
      </c>
      <c r="AM38" s="6" t="n">
        <v>0</v>
      </c>
      <c r="AN38" s="6" t="s">
        <v>58</v>
      </c>
      <c r="AO38" s="6" t="s">
        <v>1125</v>
      </c>
      <c r="AP38" s="32" t="n">
        <v>46418</v>
      </c>
      <c r="AQ38" s="6" t="s">
        <v>134</v>
      </c>
      <c r="AR38" s="6" t="s">
        <v>57</v>
      </c>
    </row>
    <row r="39" customFormat="false" ht="15" hidden="false" customHeight="true" outlineLevel="0" collapsed="false">
      <c r="A39" s="27"/>
      <c r="B39" s="6" t="s">
        <v>1126</v>
      </c>
      <c r="C39" s="27"/>
      <c r="D39" s="6" t="s">
        <v>133</v>
      </c>
      <c r="E39" s="6" t="s">
        <v>1063</v>
      </c>
      <c r="F39" s="6" t="s">
        <v>1121</v>
      </c>
      <c r="G39" s="6" t="s">
        <v>1020</v>
      </c>
      <c r="H39" s="6" t="s">
        <v>1021</v>
      </c>
      <c r="I39" s="6" t="s">
        <v>1122</v>
      </c>
      <c r="J39" s="6" t="s">
        <v>22</v>
      </c>
      <c r="K39" s="6" t="s">
        <v>21</v>
      </c>
      <c r="L39" s="6" t="s">
        <v>56</v>
      </c>
      <c r="N39" s="6" t="s">
        <v>1023</v>
      </c>
      <c r="O39" s="6" t="s">
        <v>26</v>
      </c>
      <c r="P39" s="6" t="n">
        <v>1</v>
      </c>
      <c r="V39" s="28"/>
      <c r="W39" s="29"/>
      <c r="Y39" s="29"/>
      <c r="Z39" s="30"/>
      <c r="AA39" s="29"/>
      <c r="AB39" s="31" t="n">
        <v>0</v>
      </c>
      <c r="AC39" s="6" t="s">
        <v>1127</v>
      </c>
      <c r="AE39" s="6" t="n">
        <v>0</v>
      </c>
      <c r="AF39" s="6" t="s">
        <v>58</v>
      </c>
      <c r="AG39" s="6" t="n">
        <v>0</v>
      </c>
      <c r="AH39" s="30" t="s">
        <v>1020</v>
      </c>
      <c r="AI39" s="6" t="n">
        <v>0</v>
      </c>
      <c r="AJ39" s="6" t="s">
        <v>56</v>
      </c>
      <c r="AK39" s="6" t="s">
        <v>988</v>
      </c>
      <c r="AL39" s="6" t="s">
        <v>56</v>
      </c>
      <c r="AM39" s="6" t="n">
        <v>1</v>
      </c>
      <c r="AN39" s="6" t="s">
        <v>58</v>
      </c>
      <c r="AO39" s="6" t="s">
        <v>1127</v>
      </c>
      <c r="AQ39" s="6" t="s">
        <v>135</v>
      </c>
      <c r="AR39" s="6" t="s">
        <v>57</v>
      </c>
    </row>
    <row r="40" customFormat="false" ht="15" hidden="false" customHeight="true" outlineLevel="0" collapsed="false">
      <c r="A40" s="27" t="s">
        <v>1016</v>
      </c>
      <c r="B40" s="6" t="s">
        <v>1128</v>
      </c>
      <c r="C40" s="27" t="s">
        <v>1016</v>
      </c>
      <c r="D40" s="6" t="s">
        <v>133</v>
      </c>
      <c r="E40" s="6" t="s">
        <v>1063</v>
      </c>
      <c r="F40" s="6" t="s">
        <v>1121</v>
      </c>
      <c r="G40" s="6" t="s">
        <v>1020</v>
      </c>
      <c r="H40" s="6" t="s">
        <v>1021</v>
      </c>
      <c r="I40" s="6" t="s">
        <v>1122</v>
      </c>
      <c r="J40" s="6" t="s">
        <v>22</v>
      </c>
      <c r="K40" s="6" t="s">
        <v>21</v>
      </c>
      <c r="L40" s="6" t="s">
        <v>56</v>
      </c>
      <c r="N40" s="6" t="s">
        <v>1023</v>
      </c>
      <c r="O40" s="6" t="s">
        <v>26</v>
      </c>
      <c r="P40" s="6" t="n">
        <v>1</v>
      </c>
      <c r="R40" s="6" t="s">
        <v>1024</v>
      </c>
      <c r="S40" s="6" t="s">
        <v>1025</v>
      </c>
      <c r="T40" s="6" t="n">
        <v>1190</v>
      </c>
      <c r="V40" s="28"/>
      <c r="W40" s="29"/>
      <c r="Y40" s="29"/>
      <c r="Z40" s="30"/>
      <c r="AA40" s="29"/>
      <c r="AB40" s="31" t="n">
        <v>264180</v>
      </c>
      <c r="AC40" s="6" t="s">
        <v>1129</v>
      </c>
      <c r="AE40" s="6" t="n">
        <v>264180</v>
      </c>
      <c r="AF40" s="6" t="s">
        <v>58</v>
      </c>
      <c r="AG40" s="6" t="n">
        <v>0</v>
      </c>
      <c r="AH40" s="30" t="s">
        <v>1020</v>
      </c>
      <c r="AI40" s="6" t="n">
        <v>0</v>
      </c>
      <c r="AJ40" s="6" t="s">
        <v>56</v>
      </c>
      <c r="AK40" s="6" t="s">
        <v>988</v>
      </c>
      <c r="AL40" s="6" t="s">
        <v>56</v>
      </c>
      <c r="AM40" s="6" t="n">
        <v>1</v>
      </c>
      <c r="AN40" s="6" t="s">
        <v>58</v>
      </c>
      <c r="AO40" s="6" t="s">
        <v>1129</v>
      </c>
      <c r="AP40" s="32" t="n">
        <v>46254</v>
      </c>
      <c r="AQ40" s="6" t="s">
        <v>136</v>
      </c>
      <c r="AR40" s="6" t="s">
        <v>57</v>
      </c>
    </row>
    <row r="41" customFormat="false" ht="15" hidden="false" customHeight="true" outlineLevel="0" collapsed="false">
      <c r="A41" s="27" t="s">
        <v>1016</v>
      </c>
      <c r="B41" s="6" t="s">
        <v>1130</v>
      </c>
      <c r="C41" s="27" t="s">
        <v>1016</v>
      </c>
      <c r="D41" s="6" t="s">
        <v>138</v>
      </c>
      <c r="E41" s="6" t="s">
        <v>1131</v>
      </c>
      <c r="F41" s="6" t="s">
        <v>1132</v>
      </c>
      <c r="G41" s="6" t="s">
        <v>1073</v>
      </c>
      <c r="H41" s="6" t="s">
        <v>1133</v>
      </c>
      <c r="I41" s="6" t="s">
        <v>1134</v>
      </c>
      <c r="J41" s="6" t="s">
        <v>22</v>
      </c>
      <c r="K41" s="6" t="s">
        <v>21</v>
      </c>
      <c r="L41" s="6" t="s">
        <v>139</v>
      </c>
      <c r="N41" s="6" t="s">
        <v>1023</v>
      </c>
      <c r="O41" s="6" t="s">
        <v>26</v>
      </c>
      <c r="P41" s="6" t="n">
        <v>1</v>
      </c>
      <c r="R41" s="6" t="s">
        <v>1037</v>
      </c>
      <c r="S41" s="6" t="s">
        <v>1040</v>
      </c>
      <c r="T41" s="6" t="n">
        <v>1000</v>
      </c>
      <c r="U41" s="6" t="n">
        <v>0</v>
      </c>
      <c r="V41" s="28"/>
      <c r="W41" s="29"/>
      <c r="Y41" s="29"/>
      <c r="Z41" s="30"/>
      <c r="AA41" s="29"/>
      <c r="AB41" s="31" t="n">
        <v>222000</v>
      </c>
      <c r="AE41" s="6" t="n">
        <v>222000</v>
      </c>
      <c r="AF41" s="6" t="s">
        <v>58</v>
      </c>
      <c r="AG41" s="6" t="n">
        <v>0</v>
      </c>
      <c r="AH41" s="30" t="s">
        <v>1133</v>
      </c>
      <c r="AI41" s="6" t="n">
        <v>0</v>
      </c>
      <c r="AJ41" s="6" t="s">
        <v>139</v>
      </c>
      <c r="AK41" s="6" t="s">
        <v>988</v>
      </c>
      <c r="AL41" s="6" t="s">
        <v>139</v>
      </c>
      <c r="AM41" s="6" t="n">
        <v>1</v>
      </c>
      <c r="AQ41" s="6" t="s">
        <v>137</v>
      </c>
      <c r="AR41" s="6" t="s">
        <v>57</v>
      </c>
    </row>
    <row r="42" customFormat="false" ht="15" hidden="false" customHeight="true" outlineLevel="0" collapsed="false">
      <c r="A42" s="27" t="s">
        <v>1016</v>
      </c>
      <c r="B42" s="6" t="s">
        <v>1135</v>
      </c>
      <c r="C42" s="27" t="s">
        <v>1016</v>
      </c>
      <c r="D42" s="6" t="s">
        <v>141</v>
      </c>
      <c r="E42" s="6" t="s">
        <v>1136</v>
      </c>
      <c r="F42" s="6" t="s">
        <v>1137</v>
      </c>
      <c r="G42" s="6" t="s">
        <v>1076</v>
      </c>
      <c r="H42" s="6" t="s">
        <v>21</v>
      </c>
      <c r="I42" s="6" t="s">
        <v>21</v>
      </c>
      <c r="J42" s="6" t="s">
        <v>21</v>
      </c>
      <c r="K42" s="6" t="s">
        <v>21</v>
      </c>
      <c r="L42" s="6" t="s">
        <v>21</v>
      </c>
      <c r="N42" s="6" t="s">
        <v>1047</v>
      </c>
      <c r="O42" s="6" t="s">
        <v>1036</v>
      </c>
      <c r="P42" s="6" t="n">
        <v>1</v>
      </c>
      <c r="R42" s="6" t="s">
        <v>1037</v>
      </c>
      <c r="S42" s="6" t="s">
        <v>1040</v>
      </c>
      <c r="T42" s="6" t="n">
        <v>1250</v>
      </c>
      <c r="U42" s="6" t="n">
        <v>0</v>
      </c>
      <c r="V42" s="28"/>
      <c r="W42" s="29"/>
      <c r="Y42" s="29"/>
      <c r="Z42" s="30"/>
      <c r="AA42" s="29"/>
      <c r="AB42" s="31" t="n">
        <v>277500</v>
      </c>
      <c r="AE42" s="6" t="n">
        <v>277500</v>
      </c>
      <c r="AF42" s="6" t="s">
        <v>58</v>
      </c>
      <c r="AG42" s="6" t="n">
        <v>0</v>
      </c>
      <c r="AH42" s="30" t="s">
        <v>21</v>
      </c>
      <c r="AI42" s="6" t="n">
        <v>0</v>
      </c>
      <c r="AJ42" s="6" t="s">
        <v>21</v>
      </c>
      <c r="AK42" s="6" t="s">
        <v>988</v>
      </c>
      <c r="AL42" s="6" t="s">
        <v>21</v>
      </c>
      <c r="AM42" s="6" t="n">
        <v>1</v>
      </c>
      <c r="AQ42" s="6" t="s">
        <v>140</v>
      </c>
      <c r="AR42" s="6" t="s">
        <v>57</v>
      </c>
    </row>
    <row r="43" customFormat="false" ht="15" hidden="false" customHeight="true" outlineLevel="0" collapsed="false">
      <c r="A43" s="27" t="s">
        <v>1138</v>
      </c>
      <c r="B43" s="6" t="s">
        <v>1063</v>
      </c>
      <c r="C43" s="27" t="s">
        <v>1138</v>
      </c>
      <c r="D43" s="6" t="s">
        <v>143</v>
      </c>
      <c r="E43" s="6" t="s">
        <v>1139</v>
      </c>
      <c r="F43" s="6" t="s">
        <v>1140</v>
      </c>
      <c r="G43" s="6" t="s">
        <v>1141</v>
      </c>
      <c r="H43" s="6" t="s">
        <v>144</v>
      </c>
      <c r="I43" s="6" t="s">
        <v>26</v>
      </c>
      <c r="J43" s="6" t="s">
        <v>26</v>
      </c>
      <c r="K43" s="6" t="s">
        <v>26</v>
      </c>
      <c r="L43" s="6" t="s">
        <v>26</v>
      </c>
      <c r="N43" s="6" t="s">
        <v>1023</v>
      </c>
      <c r="O43" s="6" t="s">
        <v>1142</v>
      </c>
      <c r="P43" s="6" t="n">
        <v>1</v>
      </c>
      <c r="R43" s="6" t="s">
        <v>1143</v>
      </c>
      <c r="U43" s="6" t="n">
        <v>300000</v>
      </c>
      <c r="V43" s="28" t="n">
        <v>300000</v>
      </c>
      <c r="W43" s="29" t="n">
        <v>0.25</v>
      </c>
      <c r="X43" s="6" t="n">
        <v>0.055</v>
      </c>
      <c r="Y43" s="29" t="n">
        <v>0.12</v>
      </c>
      <c r="Z43" s="30"/>
      <c r="AA43" s="29" t="n">
        <v>0.04</v>
      </c>
      <c r="AB43" s="31" t="n">
        <v>439500</v>
      </c>
      <c r="AE43" s="6" t="n">
        <v>439500</v>
      </c>
      <c r="AF43" s="6" t="s">
        <v>1063</v>
      </c>
      <c r="AG43" s="6" t="n">
        <v>0</v>
      </c>
      <c r="AH43" s="30" t="s">
        <v>1144</v>
      </c>
      <c r="AI43" s="6" t="n">
        <v>0</v>
      </c>
      <c r="AJ43" s="6" t="s">
        <v>144</v>
      </c>
      <c r="AK43" s="6" t="s">
        <v>988</v>
      </c>
      <c r="AL43" s="6" t="s">
        <v>144</v>
      </c>
      <c r="AM43" s="6" t="n">
        <v>0</v>
      </c>
      <c r="AQ43" s="6" t="s">
        <v>142</v>
      </c>
      <c r="AR43" s="6" t="s">
        <v>57</v>
      </c>
    </row>
    <row r="44" customFormat="false" ht="15" hidden="false" customHeight="true" outlineLevel="0" collapsed="false">
      <c r="A44" s="27" t="n">
        <v>115527</v>
      </c>
      <c r="B44" s="6" t="s">
        <v>1145</v>
      </c>
      <c r="C44" s="27" t="n">
        <v>115527</v>
      </c>
      <c r="D44" s="6" t="s">
        <v>1146</v>
      </c>
      <c r="E44" s="6" t="s">
        <v>1147</v>
      </c>
      <c r="F44" s="6" t="s">
        <v>1148</v>
      </c>
      <c r="G44" s="6" t="s">
        <v>1020</v>
      </c>
      <c r="H44" s="6" t="s">
        <v>1066</v>
      </c>
      <c r="J44" s="6" t="s">
        <v>32</v>
      </c>
      <c r="K44" s="6" t="s">
        <v>1149</v>
      </c>
      <c r="L44" s="6" t="s">
        <v>1150</v>
      </c>
      <c r="N44" s="6" t="s">
        <v>109</v>
      </c>
      <c r="O44" s="6" t="s">
        <v>1151</v>
      </c>
      <c r="P44" s="6" t="n">
        <v>1</v>
      </c>
      <c r="R44" s="6" t="s">
        <v>1152</v>
      </c>
      <c r="U44" s="6" t="n">
        <v>253260</v>
      </c>
      <c r="V44" s="28" t="n">
        <v>232999.2</v>
      </c>
      <c r="W44" s="29" t="n">
        <v>0.2</v>
      </c>
      <c r="Y44" s="29" t="n">
        <v>0.05</v>
      </c>
      <c r="Z44" s="30" t="n">
        <v>2910</v>
      </c>
      <c r="AA44" s="29" t="n">
        <v>0.03</v>
      </c>
      <c r="AB44" s="31" t="n">
        <v>301148.976</v>
      </c>
      <c r="AE44" s="6" t="n">
        <v>301148.976</v>
      </c>
      <c r="AF44" s="6" t="s">
        <v>58</v>
      </c>
      <c r="AG44" s="6" t="n">
        <v>0</v>
      </c>
      <c r="AH44" s="30" t="s">
        <v>1020</v>
      </c>
      <c r="AI44" s="6" t="n">
        <v>0</v>
      </c>
      <c r="AJ44" s="6" t="s">
        <v>148</v>
      </c>
      <c r="AK44" s="6" t="s">
        <v>148</v>
      </c>
      <c r="AL44" s="6" t="s">
        <v>148</v>
      </c>
      <c r="AM44" s="6" t="n">
        <v>0</v>
      </c>
      <c r="AN44" s="6" t="s">
        <v>58</v>
      </c>
      <c r="AQ44" s="6" t="s">
        <v>146</v>
      </c>
      <c r="AR44" s="6" t="s">
        <v>109</v>
      </c>
    </row>
    <row r="45" customFormat="false" ht="15" hidden="false" customHeight="true" outlineLevel="0" collapsed="false">
      <c r="A45" s="27" t="n">
        <v>115519</v>
      </c>
      <c r="B45" s="6" t="s">
        <v>1153</v>
      </c>
      <c r="C45" s="27" t="n">
        <v>115519</v>
      </c>
      <c r="D45" s="6" t="s">
        <v>150</v>
      </c>
      <c r="E45" s="6" t="s">
        <v>1147</v>
      </c>
      <c r="F45" s="6" t="s">
        <v>1148</v>
      </c>
      <c r="G45" s="6" t="s">
        <v>1020</v>
      </c>
      <c r="H45" s="6" t="s">
        <v>1021</v>
      </c>
      <c r="J45" s="6" t="s">
        <v>18</v>
      </c>
      <c r="K45" s="6" t="s">
        <v>1149</v>
      </c>
      <c r="L45" s="6" t="s">
        <v>1150</v>
      </c>
      <c r="N45" s="6" t="s">
        <v>109</v>
      </c>
      <c r="O45" s="6" t="s">
        <v>1151</v>
      </c>
      <c r="P45" s="6" t="n">
        <v>1</v>
      </c>
      <c r="R45" s="6" t="s">
        <v>1152</v>
      </c>
      <c r="U45" s="6" t="n">
        <v>230470</v>
      </c>
      <c r="V45" s="28" t="n">
        <v>212032.4</v>
      </c>
      <c r="W45" s="29" t="n">
        <v>0.2</v>
      </c>
      <c r="Y45" s="29" t="n">
        <v>0.05</v>
      </c>
      <c r="Z45" s="30" t="n">
        <v>2910</v>
      </c>
      <c r="AA45" s="29" t="n">
        <v>0.03</v>
      </c>
      <c r="AB45" s="31" t="n">
        <v>274311.472</v>
      </c>
      <c r="AE45" s="6" t="n">
        <v>274311.472</v>
      </c>
      <c r="AF45" s="6" t="s">
        <v>58</v>
      </c>
      <c r="AG45" s="6" t="n">
        <v>0</v>
      </c>
      <c r="AH45" s="30" t="s">
        <v>1020</v>
      </c>
      <c r="AI45" s="6" t="n">
        <v>0</v>
      </c>
      <c r="AJ45" s="6" t="s">
        <v>148</v>
      </c>
      <c r="AK45" s="6" t="s">
        <v>148</v>
      </c>
      <c r="AL45" s="6" t="s">
        <v>148</v>
      </c>
      <c r="AM45" s="6" t="n">
        <v>0</v>
      </c>
      <c r="AN45" s="6" t="s">
        <v>58</v>
      </c>
      <c r="AQ45" s="6" t="s">
        <v>149</v>
      </c>
      <c r="AR45" s="6" t="s">
        <v>109</v>
      </c>
    </row>
    <row r="46" customFormat="false" ht="15" hidden="false" customHeight="true" outlineLevel="0" collapsed="false">
      <c r="A46" s="27" t="s">
        <v>1138</v>
      </c>
      <c r="B46" s="6" t="s">
        <v>1063</v>
      </c>
      <c r="C46" s="27" t="s">
        <v>1138</v>
      </c>
      <c r="D46" s="6" t="s">
        <v>1154</v>
      </c>
      <c r="E46" s="6" t="s">
        <v>1155</v>
      </c>
      <c r="F46" s="6" t="s">
        <v>1156</v>
      </c>
      <c r="G46" s="6" t="s">
        <v>1076</v>
      </c>
      <c r="H46" s="6" t="s">
        <v>1086</v>
      </c>
      <c r="I46" s="6" t="s">
        <v>1036</v>
      </c>
      <c r="J46" s="6" t="s">
        <v>30</v>
      </c>
      <c r="K46" s="6" t="s">
        <v>30</v>
      </c>
      <c r="L46" s="6" t="s">
        <v>173</v>
      </c>
      <c r="N46" s="6" t="s">
        <v>1023</v>
      </c>
      <c r="O46" s="6" t="s">
        <v>1157</v>
      </c>
      <c r="P46" s="6" t="n">
        <v>1</v>
      </c>
      <c r="R46" s="6" t="s">
        <v>1143</v>
      </c>
      <c r="U46" s="6" t="n">
        <v>235350</v>
      </c>
      <c r="V46" s="28" t="n">
        <v>235350</v>
      </c>
      <c r="W46" s="29" t="n">
        <v>0.2</v>
      </c>
      <c r="X46" s="6" t="n">
        <v>0.055</v>
      </c>
      <c r="Y46" s="29" t="n">
        <v>0.12</v>
      </c>
      <c r="Z46" s="30"/>
      <c r="AA46" s="29" t="n">
        <v>0.04</v>
      </c>
      <c r="AB46" s="31" t="n">
        <v>333020.25</v>
      </c>
      <c r="AE46" s="6" t="n">
        <v>333020.25</v>
      </c>
      <c r="AF46" s="6" t="s">
        <v>1063</v>
      </c>
      <c r="AG46" s="6" t="n">
        <v>0</v>
      </c>
      <c r="AH46" s="30" t="s">
        <v>1076</v>
      </c>
      <c r="AI46" s="6" t="n">
        <v>1</v>
      </c>
      <c r="AJ46" s="6" t="s">
        <v>173</v>
      </c>
      <c r="AK46" s="6" t="s">
        <v>148</v>
      </c>
      <c r="AL46" s="6" t="s">
        <v>148</v>
      </c>
      <c r="AM46" s="6" t="n">
        <v>0</v>
      </c>
      <c r="AQ46" s="6" t="s">
        <v>151</v>
      </c>
      <c r="AR46" s="6" t="s">
        <v>57</v>
      </c>
    </row>
    <row r="47" customFormat="false" ht="15" hidden="false" customHeight="true" outlineLevel="0" collapsed="false">
      <c r="A47" s="27" t="n">
        <v>4818</v>
      </c>
      <c r="B47" s="6" t="s">
        <v>1158</v>
      </c>
      <c r="C47" s="27" t="n">
        <v>4818</v>
      </c>
      <c r="D47" s="6" t="s">
        <v>1159</v>
      </c>
      <c r="E47" s="6" t="s">
        <v>1155</v>
      </c>
      <c r="F47" s="6" t="s">
        <v>1156</v>
      </c>
      <c r="G47" s="6" t="s">
        <v>1076</v>
      </c>
      <c r="H47" s="6" t="s">
        <v>28</v>
      </c>
      <c r="I47" s="6" t="s">
        <v>1036</v>
      </c>
      <c r="J47" s="6" t="s">
        <v>28</v>
      </c>
      <c r="K47" s="6" t="s">
        <v>28</v>
      </c>
      <c r="L47" s="6" t="s">
        <v>173</v>
      </c>
      <c r="N47" s="6" t="s">
        <v>1023</v>
      </c>
      <c r="O47" s="6" t="s">
        <v>1157</v>
      </c>
      <c r="P47" s="6" t="n">
        <v>1</v>
      </c>
      <c r="R47" s="6" t="s">
        <v>1152</v>
      </c>
      <c r="U47" s="6" t="n">
        <v>257420</v>
      </c>
      <c r="V47" s="28" t="n">
        <v>257420</v>
      </c>
      <c r="W47" s="29" t="n">
        <v>0.2</v>
      </c>
      <c r="X47" s="6" t="n">
        <v>0.055</v>
      </c>
      <c r="Y47" s="29" t="n">
        <v>0.12</v>
      </c>
      <c r="Z47" s="30"/>
      <c r="AA47" s="29" t="n">
        <v>0.04</v>
      </c>
      <c r="AB47" s="31" t="n">
        <v>364249.3</v>
      </c>
      <c r="AE47" s="6" t="n">
        <v>364249.3</v>
      </c>
      <c r="AF47" s="6" t="s">
        <v>58</v>
      </c>
      <c r="AG47" s="6" t="n">
        <v>0</v>
      </c>
      <c r="AH47" s="30" t="s">
        <v>27</v>
      </c>
      <c r="AI47" s="6" t="n">
        <v>1</v>
      </c>
      <c r="AJ47" s="6" t="s">
        <v>173</v>
      </c>
      <c r="AK47" s="6" t="s">
        <v>148</v>
      </c>
      <c r="AL47" s="6" t="s">
        <v>148</v>
      </c>
      <c r="AM47" s="6" t="n">
        <v>0</v>
      </c>
      <c r="AQ47" s="6" t="s">
        <v>153</v>
      </c>
      <c r="AR47" s="6" t="s">
        <v>57</v>
      </c>
    </row>
    <row r="48" customFormat="false" ht="15" hidden="false" customHeight="true" outlineLevel="0" collapsed="false">
      <c r="A48" s="27" t="n">
        <v>100825</v>
      </c>
      <c r="B48" s="6" t="s">
        <v>1160</v>
      </c>
      <c r="C48" s="27" t="n">
        <v>100825</v>
      </c>
      <c r="D48" s="6" t="s">
        <v>1161</v>
      </c>
      <c r="E48" s="6" t="s">
        <v>1162</v>
      </c>
      <c r="F48" s="6" t="s">
        <v>1163</v>
      </c>
      <c r="G48" s="6" t="s">
        <v>1164</v>
      </c>
      <c r="H48" s="6" t="s">
        <v>157</v>
      </c>
      <c r="I48" s="6" t="s">
        <v>26</v>
      </c>
      <c r="J48" s="6" t="s">
        <v>26</v>
      </c>
      <c r="K48" s="6" t="s">
        <v>26</v>
      </c>
      <c r="L48" s="6" t="s">
        <v>26</v>
      </c>
      <c r="N48" s="6" t="s">
        <v>1023</v>
      </c>
      <c r="O48" s="6" t="s">
        <v>1157</v>
      </c>
      <c r="P48" s="6" t="n">
        <v>1</v>
      </c>
      <c r="R48" s="6" t="s">
        <v>1152</v>
      </c>
      <c r="U48" s="6" t="n">
        <v>270380</v>
      </c>
      <c r="V48" s="28" t="n">
        <v>270380</v>
      </c>
      <c r="W48" s="29" t="n">
        <v>0.2</v>
      </c>
      <c r="X48" s="6" t="n">
        <v>0.055</v>
      </c>
      <c r="Y48" s="29" t="n">
        <v>0.12</v>
      </c>
      <c r="Z48" s="30"/>
      <c r="AA48" s="29" t="n">
        <v>0.04</v>
      </c>
      <c r="AB48" s="31" t="n">
        <v>382587.7</v>
      </c>
      <c r="AE48" s="6" t="n">
        <v>382587.7</v>
      </c>
      <c r="AF48" s="6" t="s">
        <v>58</v>
      </c>
      <c r="AG48" s="6" t="n">
        <v>0</v>
      </c>
      <c r="AH48" s="30" t="s">
        <v>1165</v>
      </c>
      <c r="AI48" s="6" t="n">
        <v>0</v>
      </c>
      <c r="AJ48" s="6" t="s">
        <v>157</v>
      </c>
      <c r="AK48" s="6" t="s">
        <v>148</v>
      </c>
      <c r="AL48" s="6" t="s">
        <v>157</v>
      </c>
      <c r="AM48" s="6" t="n">
        <v>0</v>
      </c>
      <c r="AQ48" s="6" t="s">
        <v>155</v>
      </c>
      <c r="AR48" s="6" t="s">
        <v>57</v>
      </c>
    </row>
    <row r="49" customFormat="false" ht="15" hidden="false" customHeight="true" outlineLevel="0" collapsed="false">
      <c r="A49" s="27" t="n">
        <v>105647</v>
      </c>
      <c r="B49" s="6" t="s">
        <v>1166</v>
      </c>
      <c r="C49" s="27" t="n">
        <v>105647</v>
      </c>
      <c r="D49" s="6" t="s">
        <v>1167</v>
      </c>
      <c r="E49" s="6" t="s">
        <v>1162</v>
      </c>
      <c r="F49" s="6" t="s">
        <v>1168</v>
      </c>
      <c r="G49" s="6" t="s">
        <v>1164</v>
      </c>
      <c r="H49" s="6" t="s">
        <v>160</v>
      </c>
      <c r="I49" s="6" t="s">
        <v>26</v>
      </c>
      <c r="J49" s="6" t="s">
        <v>26</v>
      </c>
      <c r="K49" s="6" t="s">
        <v>26</v>
      </c>
      <c r="L49" s="6" t="s">
        <v>26</v>
      </c>
      <c r="N49" s="6" t="s">
        <v>1023</v>
      </c>
      <c r="O49" s="6" t="s">
        <v>1157</v>
      </c>
      <c r="P49" s="6" t="n">
        <v>1</v>
      </c>
      <c r="R49" s="6" t="s">
        <v>1152</v>
      </c>
      <c r="U49" s="6" t="n">
        <v>283160</v>
      </c>
      <c r="V49" s="28" t="n">
        <v>283160</v>
      </c>
      <c r="W49" s="29" t="n">
        <v>0.2</v>
      </c>
      <c r="X49" s="6" t="n">
        <v>0.055</v>
      </c>
      <c r="Y49" s="29" t="n">
        <v>0.12</v>
      </c>
      <c r="Z49" s="30"/>
      <c r="AA49" s="29" t="n">
        <v>0.04</v>
      </c>
      <c r="AB49" s="31" t="n">
        <v>400671.4</v>
      </c>
      <c r="AE49" s="6" t="n">
        <v>400671.4</v>
      </c>
      <c r="AF49" s="6" t="s">
        <v>58</v>
      </c>
      <c r="AG49" s="6" t="n">
        <v>0</v>
      </c>
      <c r="AH49" s="30" t="s">
        <v>1169</v>
      </c>
      <c r="AI49" s="6" t="n">
        <v>0</v>
      </c>
      <c r="AJ49" s="6" t="s">
        <v>160</v>
      </c>
      <c r="AK49" s="6" t="s">
        <v>148</v>
      </c>
      <c r="AL49" s="6" t="s">
        <v>160</v>
      </c>
      <c r="AM49" s="6" t="n">
        <v>0</v>
      </c>
      <c r="AQ49" s="6" t="s">
        <v>158</v>
      </c>
      <c r="AR49" s="6" t="s">
        <v>57</v>
      </c>
    </row>
    <row r="50" customFormat="false" ht="15" hidden="false" customHeight="true" outlineLevel="0" collapsed="false">
      <c r="A50" s="27" t="n">
        <v>106830</v>
      </c>
      <c r="B50" s="6" t="s">
        <v>1111</v>
      </c>
      <c r="C50" s="27" t="n">
        <v>106830</v>
      </c>
      <c r="D50" s="6" t="s">
        <v>162</v>
      </c>
      <c r="E50" s="6" t="s">
        <v>1045</v>
      </c>
      <c r="F50" s="6" t="s">
        <v>1035</v>
      </c>
      <c r="G50" s="6" t="s">
        <v>21</v>
      </c>
      <c r="H50" s="6" t="s">
        <v>21</v>
      </c>
      <c r="I50" s="6" t="s">
        <v>21</v>
      </c>
      <c r="J50" s="6" t="s">
        <v>21</v>
      </c>
      <c r="K50" s="6" t="s">
        <v>21</v>
      </c>
      <c r="L50" s="6" t="s">
        <v>21</v>
      </c>
      <c r="N50" s="6" t="s">
        <v>1023</v>
      </c>
      <c r="O50" s="6" t="s">
        <v>1157</v>
      </c>
      <c r="P50" s="6" t="n">
        <v>1</v>
      </c>
      <c r="R50" s="6" t="s">
        <v>1152</v>
      </c>
      <c r="U50" s="6" t="n">
        <v>230010</v>
      </c>
      <c r="V50" s="28" t="n">
        <v>230010</v>
      </c>
      <c r="W50" s="29" t="n">
        <v>0.2</v>
      </c>
      <c r="X50" s="6" t="n">
        <v>0.055</v>
      </c>
      <c r="Y50" s="29" t="n">
        <v>0.12</v>
      </c>
      <c r="Z50" s="30"/>
      <c r="AA50" s="29" t="n">
        <v>0.04</v>
      </c>
      <c r="AB50" s="31" t="n">
        <v>325464.15</v>
      </c>
      <c r="AE50" s="6" t="n">
        <v>325464.15</v>
      </c>
      <c r="AF50" s="6" t="s">
        <v>58</v>
      </c>
      <c r="AG50" s="6" t="n">
        <v>0</v>
      </c>
      <c r="AH50" s="30" t="s">
        <v>21</v>
      </c>
      <c r="AI50" s="6" t="n">
        <v>0</v>
      </c>
      <c r="AJ50" s="6" t="s">
        <v>21</v>
      </c>
      <c r="AK50" s="6" t="s">
        <v>988</v>
      </c>
      <c r="AL50" s="6" t="s">
        <v>21</v>
      </c>
      <c r="AM50" s="6" t="n">
        <v>1</v>
      </c>
      <c r="AQ50" s="6" t="s">
        <v>161</v>
      </c>
      <c r="AR50" s="6" t="s">
        <v>57</v>
      </c>
    </row>
    <row r="51" customFormat="false" ht="15" hidden="false" customHeight="true" outlineLevel="0" collapsed="false">
      <c r="A51" s="27" t="n">
        <v>116999</v>
      </c>
      <c r="B51" s="6" t="s">
        <v>1170</v>
      </c>
      <c r="C51" s="27" t="n">
        <v>116999</v>
      </c>
      <c r="D51" s="6" t="s">
        <v>1171</v>
      </c>
      <c r="E51" s="6" t="s">
        <v>1172</v>
      </c>
      <c r="F51" s="6" t="s">
        <v>170</v>
      </c>
      <c r="G51" s="6" t="s">
        <v>1173</v>
      </c>
      <c r="H51" s="6" t="s">
        <v>168</v>
      </c>
      <c r="I51" s="6" t="s">
        <v>1174</v>
      </c>
      <c r="J51" s="6" t="s">
        <v>23</v>
      </c>
      <c r="K51" s="6" t="s">
        <v>173</v>
      </c>
      <c r="N51" s="6" t="s">
        <v>109</v>
      </c>
      <c r="O51" s="6" t="s">
        <v>1157</v>
      </c>
      <c r="P51" s="6" t="n">
        <v>1</v>
      </c>
      <c r="R51" s="6" t="s">
        <v>1152</v>
      </c>
      <c r="U51" s="6" t="n">
        <v>270000</v>
      </c>
      <c r="V51" s="28" t="n">
        <v>248400</v>
      </c>
      <c r="W51" s="29" t="n">
        <v>0.2</v>
      </c>
      <c r="Y51" s="29" t="n">
        <v>0.05</v>
      </c>
      <c r="Z51" s="30" t="n">
        <v>2910</v>
      </c>
      <c r="AA51" s="29" t="n">
        <v>0.03</v>
      </c>
      <c r="AB51" s="31" t="n">
        <v>320862</v>
      </c>
      <c r="AC51" s="6" t="n">
        <v>116999</v>
      </c>
      <c r="AE51" s="6" t="n">
        <v>320862</v>
      </c>
      <c r="AF51" s="6" t="s">
        <v>58</v>
      </c>
      <c r="AG51" s="6" t="n">
        <v>0</v>
      </c>
      <c r="AH51" s="30" t="s">
        <v>23</v>
      </c>
      <c r="AI51" s="6" t="n">
        <v>1</v>
      </c>
      <c r="AJ51" s="6" t="s">
        <v>173</v>
      </c>
      <c r="AK51" s="6" t="s">
        <v>165</v>
      </c>
      <c r="AL51" s="6" t="s">
        <v>165</v>
      </c>
      <c r="AM51" s="6" t="n">
        <v>0</v>
      </c>
      <c r="AQ51" s="6" t="s">
        <v>163</v>
      </c>
      <c r="AR51" s="6" t="s">
        <v>109</v>
      </c>
    </row>
    <row r="52" customFormat="false" ht="15" hidden="false" customHeight="true" outlineLevel="0" collapsed="false">
      <c r="A52" s="27" t="n">
        <v>110144</v>
      </c>
      <c r="B52" s="6" t="s">
        <v>1175</v>
      </c>
      <c r="C52" s="27" t="n">
        <v>110144</v>
      </c>
      <c r="D52" s="6" t="s">
        <v>1176</v>
      </c>
      <c r="E52" s="6" t="s">
        <v>1172</v>
      </c>
      <c r="F52" s="6" t="s">
        <v>170</v>
      </c>
      <c r="G52" s="6" t="s">
        <v>1173</v>
      </c>
      <c r="H52" s="6" t="s">
        <v>168</v>
      </c>
      <c r="I52" s="6" t="s">
        <v>1177</v>
      </c>
      <c r="N52" s="6" t="s">
        <v>1023</v>
      </c>
      <c r="O52" s="6" t="s">
        <v>1157</v>
      </c>
      <c r="P52" s="6" t="n">
        <v>1</v>
      </c>
      <c r="R52" s="6" t="s">
        <v>1152</v>
      </c>
      <c r="U52" s="6" t="n">
        <v>275000</v>
      </c>
      <c r="V52" s="28" t="n">
        <v>275000</v>
      </c>
      <c r="W52" s="29" t="n">
        <v>0.2</v>
      </c>
      <c r="X52" s="6" t="n">
        <v>0.055</v>
      </c>
      <c r="Y52" s="29" t="n">
        <v>0.12</v>
      </c>
      <c r="Z52" s="30"/>
      <c r="AA52" s="29" t="n">
        <v>0.04</v>
      </c>
      <c r="AB52" s="31" t="n">
        <v>389125</v>
      </c>
      <c r="AE52" s="6" t="n">
        <v>389125</v>
      </c>
      <c r="AF52" s="6" t="s">
        <v>58</v>
      </c>
      <c r="AG52" s="6" t="n">
        <v>0</v>
      </c>
      <c r="AH52" s="30" t="s">
        <v>1178</v>
      </c>
      <c r="AI52" s="6" t="n">
        <v>0</v>
      </c>
      <c r="AJ52" s="6" t="s">
        <v>168</v>
      </c>
      <c r="AK52" s="6" t="s">
        <v>988</v>
      </c>
      <c r="AL52" s="6" t="s">
        <v>168</v>
      </c>
      <c r="AM52" s="6" t="n">
        <v>0</v>
      </c>
      <c r="AQ52" s="6" t="s">
        <v>166</v>
      </c>
      <c r="AR52" s="6" t="s">
        <v>57</v>
      </c>
    </row>
    <row r="53" customFormat="false" ht="15" hidden="false" customHeight="true" outlineLevel="0" collapsed="false">
      <c r="A53" s="27" t="n">
        <v>80469</v>
      </c>
      <c r="B53" s="6" t="s">
        <v>1172</v>
      </c>
      <c r="C53" s="27" t="n">
        <v>80469</v>
      </c>
      <c r="D53" s="6" t="s">
        <v>170</v>
      </c>
      <c r="E53" s="6" t="s">
        <v>1179</v>
      </c>
      <c r="F53" s="6" t="s">
        <v>1180</v>
      </c>
      <c r="G53" s="6" t="s">
        <v>1173</v>
      </c>
      <c r="H53" s="6" t="s">
        <v>168</v>
      </c>
      <c r="I53" s="6" t="s">
        <v>173</v>
      </c>
      <c r="J53" s="6" t="s">
        <v>23</v>
      </c>
      <c r="K53" s="6" t="s">
        <v>173</v>
      </c>
      <c r="N53" s="6" t="s">
        <v>1023</v>
      </c>
      <c r="O53" s="6" t="s">
        <v>1157</v>
      </c>
      <c r="P53" s="6" t="n">
        <v>1</v>
      </c>
      <c r="R53" s="6" t="s">
        <v>1152</v>
      </c>
      <c r="U53" s="6" t="n">
        <v>289580</v>
      </c>
      <c r="V53" s="28" t="n">
        <v>289580</v>
      </c>
      <c r="W53" s="29" t="n">
        <v>0.2</v>
      </c>
      <c r="X53" s="6" t="n">
        <v>0.055</v>
      </c>
      <c r="Y53" s="29" t="n">
        <v>0.12</v>
      </c>
      <c r="Z53" s="30"/>
      <c r="AA53" s="29" t="n">
        <v>0.04</v>
      </c>
      <c r="AB53" s="31" t="n">
        <v>409755.7</v>
      </c>
      <c r="AE53" s="6" t="n">
        <v>409755.7</v>
      </c>
      <c r="AF53" s="6" t="s">
        <v>58</v>
      </c>
      <c r="AG53" s="6" t="n">
        <v>0</v>
      </c>
      <c r="AH53" s="30" t="s">
        <v>23</v>
      </c>
      <c r="AI53" s="6" t="n">
        <v>1</v>
      </c>
      <c r="AJ53" s="6" t="s">
        <v>173</v>
      </c>
      <c r="AK53" s="6" t="s">
        <v>148</v>
      </c>
      <c r="AL53" s="6" t="s">
        <v>148</v>
      </c>
      <c r="AM53" s="6" t="n">
        <v>0</v>
      </c>
      <c r="AQ53" s="6" t="s">
        <v>169</v>
      </c>
      <c r="AR53" s="6" t="s">
        <v>57</v>
      </c>
    </row>
    <row r="54" customFormat="false" ht="15" hidden="false" customHeight="true" outlineLevel="0" collapsed="false">
      <c r="A54" s="27" t="n">
        <v>113381</v>
      </c>
      <c r="B54" s="6" t="s">
        <v>1181</v>
      </c>
      <c r="C54" s="27" t="n">
        <v>113381</v>
      </c>
      <c r="D54" s="6" t="s">
        <v>1182</v>
      </c>
      <c r="E54" s="6" t="s">
        <v>1179</v>
      </c>
      <c r="F54" s="6" t="s">
        <v>1180</v>
      </c>
      <c r="G54" s="6" t="s">
        <v>1173</v>
      </c>
      <c r="H54" s="6" t="s">
        <v>1183</v>
      </c>
      <c r="K54" s="6" t="s">
        <v>173</v>
      </c>
      <c r="N54" s="6" t="s">
        <v>1023</v>
      </c>
      <c r="O54" s="6" t="s">
        <v>1157</v>
      </c>
      <c r="P54" s="6" t="n">
        <v>1</v>
      </c>
      <c r="R54" s="6" t="s">
        <v>1152</v>
      </c>
      <c r="U54" s="6" t="n">
        <v>260840</v>
      </c>
      <c r="V54" s="28" t="n">
        <v>260840</v>
      </c>
      <c r="W54" s="29" t="n">
        <v>0.2</v>
      </c>
      <c r="X54" s="6" t="n">
        <v>0.055</v>
      </c>
      <c r="Y54" s="29" t="n">
        <v>0.12</v>
      </c>
      <c r="Z54" s="30"/>
      <c r="AA54" s="29" t="n">
        <v>0.04</v>
      </c>
      <c r="AB54" s="31" t="n">
        <v>369088.6</v>
      </c>
      <c r="AE54" s="6" t="n">
        <v>369088.6</v>
      </c>
      <c r="AF54" s="6" t="s">
        <v>58</v>
      </c>
      <c r="AG54" s="6" t="n">
        <v>0</v>
      </c>
      <c r="AH54" s="30" t="s">
        <v>1178</v>
      </c>
      <c r="AI54" s="6" t="n">
        <v>1</v>
      </c>
      <c r="AJ54" s="6" t="s">
        <v>173</v>
      </c>
      <c r="AK54" s="6" t="s">
        <v>205</v>
      </c>
      <c r="AL54" s="6" t="s">
        <v>173</v>
      </c>
      <c r="AM54" s="6" t="n">
        <v>0</v>
      </c>
      <c r="AQ54" s="6" t="s">
        <v>171</v>
      </c>
      <c r="AR54" s="6" t="s">
        <v>57</v>
      </c>
    </row>
    <row r="55" customFormat="false" ht="15" hidden="false" customHeight="true" outlineLevel="0" collapsed="false">
      <c r="A55" s="27" t="s">
        <v>1138</v>
      </c>
      <c r="B55" s="6" t="s">
        <v>1063</v>
      </c>
      <c r="C55" s="27" t="s">
        <v>1138</v>
      </c>
      <c r="D55" s="6" t="s">
        <v>175</v>
      </c>
      <c r="E55" s="6" t="s">
        <v>1179</v>
      </c>
      <c r="F55" s="6" t="s">
        <v>1180</v>
      </c>
      <c r="G55" s="6" t="s">
        <v>1173</v>
      </c>
      <c r="H55" s="6" t="s">
        <v>278</v>
      </c>
      <c r="I55" s="6" t="s">
        <v>278</v>
      </c>
      <c r="K55" s="6" t="s">
        <v>173</v>
      </c>
      <c r="N55" s="6" t="s">
        <v>1023</v>
      </c>
      <c r="O55" s="6" t="s">
        <v>1157</v>
      </c>
      <c r="P55" s="6" t="n">
        <v>1</v>
      </c>
      <c r="R55" s="6" t="s">
        <v>1143</v>
      </c>
      <c r="U55" s="6" t="n">
        <v>236730</v>
      </c>
      <c r="V55" s="28" t="n">
        <v>236730</v>
      </c>
      <c r="W55" s="29" t="n">
        <v>0.2</v>
      </c>
      <c r="X55" s="6" t="n">
        <v>0.055</v>
      </c>
      <c r="Y55" s="29" t="n">
        <v>0.12</v>
      </c>
      <c r="Z55" s="30"/>
      <c r="AA55" s="29" t="n">
        <v>0.04</v>
      </c>
      <c r="AB55" s="31" t="n">
        <v>334972.95</v>
      </c>
      <c r="AE55" s="6" t="n">
        <v>334972.95</v>
      </c>
      <c r="AF55" s="6" t="s">
        <v>1063</v>
      </c>
      <c r="AG55" s="6" t="n">
        <v>0</v>
      </c>
      <c r="AH55" s="30" t="s">
        <v>1178</v>
      </c>
      <c r="AI55" s="6" t="n">
        <v>1</v>
      </c>
      <c r="AJ55" s="6" t="s">
        <v>173</v>
      </c>
      <c r="AK55" s="6" t="s">
        <v>148</v>
      </c>
      <c r="AL55" s="6" t="s">
        <v>173</v>
      </c>
      <c r="AM55" s="6" t="n">
        <v>0</v>
      </c>
      <c r="AQ55" s="6" t="s">
        <v>174</v>
      </c>
      <c r="AR55" s="6" t="s">
        <v>57</v>
      </c>
    </row>
    <row r="56" customFormat="false" ht="15" hidden="false" customHeight="true" outlineLevel="0" collapsed="false">
      <c r="A56" s="27" t="s">
        <v>1138</v>
      </c>
      <c r="B56" s="6" t="s">
        <v>1063</v>
      </c>
      <c r="C56" s="27" t="s">
        <v>1138</v>
      </c>
      <c r="D56" s="6" t="s">
        <v>1184</v>
      </c>
      <c r="E56" s="6" t="s">
        <v>1179</v>
      </c>
      <c r="F56" s="6" t="s">
        <v>1180</v>
      </c>
      <c r="G56" s="6" t="s">
        <v>1173</v>
      </c>
      <c r="H56" s="6" t="s">
        <v>1185</v>
      </c>
      <c r="I56" s="6" t="s">
        <v>1185</v>
      </c>
      <c r="K56" s="6" t="s">
        <v>173</v>
      </c>
      <c r="N56" s="6" t="s">
        <v>1023</v>
      </c>
      <c r="O56" s="6" t="s">
        <v>1157</v>
      </c>
      <c r="P56" s="6" t="n">
        <v>1</v>
      </c>
      <c r="R56" s="6" t="s">
        <v>1143</v>
      </c>
      <c r="U56" s="6" t="n">
        <v>235350</v>
      </c>
      <c r="V56" s="28" t="n">
        <v>235350</v>
      </c>
      <c r="W56" s="29" t="n">
        <v>0.2</v>
      </c>
      <c r="X56" s="6" t="n">
        <v>0.055</v>
      </c>
      <c r="Y56" s="29" t="n">
        <v>0.12</v>
      </c>
      <c r="Z56" s="30"/>
      <c r="AA56" s="29" t="n">
        <v>0.04</v>
      </c>
      <c r="AB56" s="31" t="n">
        <v>333020.25</v>
      </c>
      <c r="AE56" s="6" t="n">
        <v>333020.25</v>
      </c>
      <c r="AF56" s="6" t="s">
        <v>1063</v>
      </c>
      <c r="AG56" s="6" t="n">
        <v>0</v>
      </c>
      <c r="AH56" s="30" t="s">
        <v>1178</v>
      </c>
      <c r="AI56" s="6" t="n">
        <v>1</v>
      </c>
      <c r="AJ56" s="6" t="s">
        <v>173</v>
      </c>
      <c r="AK56" s="6" t="s">
        <v>148</v>
      </c>
      <c r="AL56" s="6" t="s">
        <v>173</v>
      </c>
      <c r="AM56" s="6" t="n">
        <v>0</v>
      </c>
      <c r="AQ56" s="6" t="s">
        <v>176</v>
      </c>
      <c r="AR56" s="6" t="s">
        <v>57</v>
      </c>
    </row>
    <row r="57" customFormat="false" ht="15" hidden="false" customHeight="true" outlineLevel="0" collapsed="false">
      <c r="A57" s="27" t="n">
        <v>102411</v>
      </c>
      <c r="B57" s="6" t="s">
        <v>1186</v>
      </c>
      <c r="C57" s="27" t="n">
        <v>102411</v>
      </c>
      <c r="D57" s="6" t="s">
        <v>179</v>
      </c>
      <c r="E57" s="6" t="s">
        <v>1139</v>
      </c>
      <c r="F57" s="6" t="s">
        <v>1140</v>
      </c>
      <c r="G57" s="6" t="s">
        <v>1141</v>
      </c>
      <c r="H57" s="6" t="s">
        <v>180</v>
      </c>
      <c r="I57" s="6" t="s">
        <v>26</v>
      </c>
      <c r="J57" s="6" t="s">
        <v>26</v>
      </c>
      <c r="K57" s="6" t="s">
        <v>26</v>
      </c>
      <c r="L57" s="6" t="s">
        <v>26</v>
      </c>
      <c r="N57" s="6" t="s">
        <v>1023</v>
      </c>
      <c r="O57" s="6" t="s">
        <v>1157</v>
      </c>
      <c r="P57" s="6" t="n">
        <v>1</v>
      </c>
      <c r="R57" s="6" t="s">
        <v>1152</v>
      </c>
      <c r="U57" s="6" t="n">
        <v>210000</v>
      </c>
      <c r="V57" s="28" t="n">
        <v>210000</v>
      </c>
      <c r="W57" s="29" t="n">
        <v>0.2</v>
      </c>
      <c r="X57" s="6" t="n">
        <v>0.055</v>
      </c>
      <c r="Y57" s="29" t="n">
        <v>0.12</v>
      </c>
      <c r="Z57" s="30"/>
      <c r="AA57" s="29" t="n">
        <v>0.04</v>
      </c>
      <c r="AB57" s="31" t="n">
        <v>297150</v>
      </c>
      <c r="AE57" s="6" t="n">
        <v>297150</v>
      </c>
      <c r="AF57" s="6" t="s">
        <v>58</v>
      </c>
      <c r="AG57" s="6" t="n">
        <v>0</v>
      </c>
      <c r="AH57" s="30" t="s">
        <v>1144</v>
      </c>
      <c r="AI57" s="6" t="n">
        <v>0</v>
      </c>
      <c r="AJ57" s="6" t="s">
        <v>180</v>
      </c>
      <c r="AK57" s="6" t="s">
        <v>1187</v>
      </c>
      <c r="AL57" s="6" t="s">
        <v>180</v>
      </c>
      <c r="AM57" s="6" t="n">
        <v>0</v>
      </c>
      <c r="AQ57" s="6" t="s">
        <v>178</v>
      </c>
      <c r="AR57" s="6" t="s">
        <v>57</v>
      </c>
    </row>
    <row r="58" customFormat="false" ht="15" hidden="false" customHeight="true" outlineLevel="0" collapsed="false">
      <c r="A58" s="27" t="n">
        <v>116540</v>
      </c>
      <c r="B58" s="6" t="s">
        <v>1188</v>
      </c>
      <c r="C58" s="27" t="n">
        <v>116540</v>
      </c>
      <c r="D58" s="6" t="s">
        <v>182</v>
      </c>
      <c r="E58" s="6" t="s">
        <v>1139</v>
      </c>
      <c r="F58" s="6" t="s">
        <v>1140</v>
      </c>
      <c r="G58" s="6" t="s">
        <v>1141</v>
      </c>
      <c r="H58" s="6" t="s">
        <v>180</v>
      </c>
      <c r="I58" s="6" t="s">
        <v>26</v>
      </c>
      <c r="J58" s="6" t="s">
        <v>26</v>
      </c>
      <c r="K58" s="6" t="s">
        <v>26</v>
      </c>
      <c r="L58" s="6" t="s">
        <v>26</v>
      </c>
      <c r="N58" s="6" t="s">
        <v>1189</v>
      </c>
      <c r="O58" s="6" t="s">
        <v>1157</v>
      </c>
      <c r="P58" s="6" t="n">
        <v>1</v>
      </c>
      <c r="R58" s="6" t="s">
        <v>1152</v>
      </c>
      <c r="U58" s="6" t="n">
        <v>350000</v>
      </c>
      <c r="V58" s="28" t="n">
        <v>423500</v>
      </c>
      <c r="W58" s="29" t="n">
        <v>0.35</v>
      </c>
      <c r="Y58" s="29" t="n">
        <v>0.17</v>
      </c>
      <c r="Z58" s="30" t="n">
        <v>3310</v>
      </c>
      <c r="AA58" s="29" t="n">
        <v>0.045</v>
      </c>
      <c r="AB58" s="31" t="n">
        <v>666087.5</v>
      </c>
      <c r="AE58" s="6" t="n">
        <v>666087.5</v>
      </c>
      <c r="AF58" s="6" t="s">
        <v>58</v>
      </c>
      <c r="AG58" s="6" t="n">
        <v>0</v>
      </c>
      <c r="AH58" s="30" t="s">
        <v>1144</v>
      </c>
      <c r="AI58" s="6" t="n">
        <v>0</v>
      </c>
      <c r="AJ58" s="6" t="s">
        <v>180</v>
      </c>
      <c r="AK58" s="6" t="s">
        <v>1187</v>
      </c>
      <c r="AL58" s="6" t="s">
        <v>180</v>
      </c>
      <c r="AM58" s="6" t="n">
        <v>0</v>
      </c>
      <c r="AQ58" s="6" t="s">
        <v>181</v>
      </c>
      <c r="AR58" s="6" t="s">
        <v>57</v>
      </c>
    </row>
    <row r="59" customFormat="false" ht="15" hidden="false" customHeight="true" outlineLevel="0" collapsed="false">
      <c r="A59" s="27" t="n">
        <v>116452</v>
      </c>
      <c r="B59" s="6" t="s">
        <v>1190</v>
      </c>
      <c r="C59" s="27" t="n">
        <v>116452</v>
      </c>
      <c r="D59" s="6" t="s">
        <v>184</v>
      </c>
      <c r="E59" s="6" t="s">
        <v>1139</v>
      </c>
      <c r="F59" s="6" t="s">
        <v>1140</v>
      </c>
      <c r="G59" s="6" t="s">
        <v>1141</v>
      </c>
      <c r="H59" s="6" t="s">
        <v>180</v>
      </c>
      <c r="I59" s="6" t="s">
        <v>26</v>
      </c>
      <c r="J59" s="6" t="s">
        <v>26</v>
      </c>
      <c r="K59" s="6" t="s">
        <v>26</v>
      </c>
      <c r="L59" s="6" t="s">
        <v>26</v>
      </c>
      <c r="N59" s="6" t="s">
        <v>109</v>
      </c>
      <c r="O59" s="6" t="s">
        <v>1157</v>
      </c>
      <c r="P59" s="6" t="n">
        <v>1</v>
      </c>
      <c r="R59" s="6" t="s">
        <v>1152</v>
      </c>
      <c r="U59" s="6" t="n">
        <v>245000</v>
      </c>
      <c r="V59" s="28" t="n">
        <v>225400</v>
      </c>
      <c r="W59" s="29" t="n">
        <v>0.2</v>
      </c>
      <c r="Y59" s="29" t="n">
        <v>0.05</v>
      </c>
      <c r="Z59" s="30" t="n">
        <v>2910</v>
      </c>
      <c r="AA59" s="29" t="n">
        <v>0.03</v>
      </c>
      <c r="AB59" s="31" t="n">
        <v>291422</v>
      </c>
      <c r="AE59" s="6" t="n">
        <v>291422</v>
      </c>
      <c r="AF59" s="6" t="s">
        <v>58</v>
      </c>
      <c r="AG59" s="6" t="n">
        <v>0</v>
      </c>
      <c r="AH59" s="30" t="s">
        <v>1144</v>
      </c>
      <c r="AI59" s="6" t="n">
        <v>0</v>
      </c>
      <c r="AJ59" s="6" t="s">
        <v>180</v>
      </c>
      <c r="AK59" s="6" t="s">
        <v>1187</v>
      </c>
      <c r="AL59" s="6" t="s">
        <v>180</v>
      </c>
      <c r="AM59" s="6" t="n">
        <v>0</v>
      </c>
      <c r="AQ59" s="6" t="s">
        <v>183</v>
      </c>
      <c r="AR59" s="6" t="s">
        <v>109</v>
      </c>
    </row>
    <row r="60" customFormat="false" ht="15" hidden="false" customHeight="true" outlineLevel="0" collapsed="false">
      <c r="A60" s="27" t="n">
        <v>113935</v>
      </c>
      <c r="B60" s="6" t="s">
        <v>1191</v>
      </c>
      <c r="C60" s="27" t="n">
        <v>113935</v>
      </c>
      <c r="D60" s="6" t="s">
        <v>1192</v>
      </c>
      <c r="E60" s="6" t="s">
        <v>1139</v>
      </c>
      <c r="F60" s="6" t="s">
        <v>1140</v>
      </c>
      <c r="G60" s="6" t="s">
        <v>1141</v>
      </c>
      <c r="H60" s="6" t="s">
        <v>180</v>
      </c>
      <c r="I60" s="6" t="s">
        <v>26</v>
      </c>
      <c r="J60" s="6" t="s">
        <v>26</v>
      </c>
      <c r="K60" s="6" t="s">
        <v>26</v>
      </c>
      <c r="L60" s="6" t="s">
        <v>26</v>
      </c>
      <c r="N60" s="6" t="s">
        <v>1023</v>
      </c>
      <c r="O60" s="6" t="s">
        <v>1157</v>
      </c>
      <c r="P60" s="6" t="n">
        <v>1</v>
      </c>
      <c r="R60" s="6" t="s">
        <v>1152</v>
      </c>
      <c r="U60" s="6" t="n">
        <v>295000</v>
      </c>
      <c r="V60" s="28" t="n">
        <v>295000</v>
      </c>
      <c r="W60" s="29" t="n">
        <v>0.2</v>
      </c>
      <c r="X60" s="6" t="n">
        <v>0.055</v>
      </c>
      <c r="Y60" s="29" t="n">
        <v>0.12</v>
      </c>
      <c r="Z60" s="30"/>
      <c r="AA60" s="29" t="n">
        <v>0.04</v>
      </c>
      <c r="AB60" s="31" t="n">
        <v>417425</v>
      </c>
      <c r="AE60" s="6" t="n">
        <v>417425</v>
      </c>
      <c r="AF60" s="6" t="s">
        <v>58</v>
      </c>
      <c r="AG60" s="6" t="n">
        <v>0</v>
      </c>
      <c r="AH60" s="30" t="s">
        <v>1144</v>
      </c>
      <c r="AI60" s="6" t="n">
        <v>0</v>
      </c>
      <c r="AJ60" s="6" t="s">
        <v>180</v>
      </c>
      <c r="AK60" s="6" t="s">
        <v>1187</v>
      </c>
      <c r="AL60" s="6" t="s">
        <v>180</v>
      </c>
      <c r="AM60" s="6" t="n">
        <v>0</v>
      </c>
      <c r="AQ60" s="6" t="s">
        <v>185</v>
      </c>
      <c r="AR60" s="6" t="s">
        <v>57</v>
      </c>
    </row>
    <row r="61" customFormat="false" ht="15" hidden="false" customHeight="true" outlineLevel="0" collapsed="false">
      <c r="A61" s="27" t="n">
        <v>101862</v>
      </c>
      <c r="B61" s="6" t="s">
        <v>1193</v>
      </c>
      <c r="C61" s="27" t="n">
        <v>101862</v>
      </c>
      <c r="D61" s="6" t="s">
        <v>188</v>
      </c>
      <c r="E61" s="6" t="s">
        <v>1139</v>
      </c>
      <c r="F61" s="6" t="s">
        <v>1140</v>
      </c>
      <c r="G61" s="6" t="s">
        <v>1141</v>
      </c>
      <c r="H61" s="6" t="s">
        <v>180</v>
      </c>
      <c r="I61" s="6" t="s">
        <v>26</v>
      </c>
      <c r="J61" s="6" t="s">
        <v>26</v>
      </c>
      <c r="K61" s="6" t="s">
        <v>26</v>
      </c>
      <c r="L61" s="6" t="s">
        <v>26</v>
      </c>
      <c r="N61" s="6" t="s">
        <v>1023</v>
      </c>
      <c r="O61" s="6" t="s">
        <v>1157</v>
      </c>
      <c r="P61" s="6" t="n">
        <v>1</v>
      </c>
      <c r="R61" s="6" t="s">
        <v>1152</v>
      </c>
      <c r="U61" s="6" t="n">
        <v>242660</v>
      </c>
      <c r="V61" s="28" t="n">
        <v>242660</v>
      </c>
      <c r="W61" s="29" t="n">
        <v>0.2</v>
      </c>
      <c r="X61" s="6" t="n">
        <v>0.055</v>
      </c>
      <c r="Y61" s="29" t="n">
        <v>0.12</v>
      </c>
      <c r="Z61" s="30"/>
      <c r="AA61" s="29" t="n">
        <v>0.04</v>
      </c>
      <c r="AB61" s="31" t="n">
        <v>343363.9</v>
      </c>
      <c r="AE61" s="6" t="n">
        <v>343363.9</v>
      </c>
      <c r="AF61" s="6" t="s">
        <v>58</v>
      </c>
      <c r="AG61" s="6" t="n">
        <v>0</v>
      </c>
      <c r="AH61" s="30" t="s">
        <v>1144</v>
      </c>
      <c r="AI61" s="6" t="n">
        <v>0</v>
      </c>
      <c r="AJ61" s="6" t="s">
        <v>180</v>
      </c>
      <c r="AK61" s="6" t="s">
        <v>1187</v>
      </c>
      <c r="AL61" s="6" t="s">
        <v>180</v>
      </c>
      <c r="AM61" s="6" t="n">
        <v>0</v>
      </c>
      <c r="AQ61" s="6" t="s">
        <v>187</v>
      </c>
      <c r="AR61" s="6" t="s">
        <v>57</v>
      </c>
    </row>
    <row r="62" customFormat="false" ht="15" hidden="false" customHeight="true" outlineLevel="0" collapsed="false">
      <c r="A62" s="27" t="n">
        <v>117837</v>
      </c>
      <c r="B62" s="6" t="s">
        <v>1194</v>
      </c>
      <c r="C62" s="27" t="n">
        <v>117837</v>
      </c>
      <c r="D62" s="6" t="s">
        <v>190</v>
      </c>
      <c r="E62" s="6" t="s">
        <v>1139</v>
      </c>
      <c r="F62" s="6" t="s">
        <v>1195</v>
      </c>
      <c r="G62" s="6" t="s">
        <v>1141</v>
      </c>
      <c r="H62" s="6" t="s">
        <v>191</v>
      </c>
      <c r="I62" s="6" t="s">
        <v>26</v>
      </c>
      <c r="J62" s="6" t="s">
        <v>26</v>
      </c>
      <c r="K62" s="6" t="s">
        <v>26</v>
      </c>
      <c r="L62" s="6" t="s">
        <v>26</v>
      </c>
      <c r="N62" s="6" t="s">
        <v>1023</v>
      </c>
      <c r="O62" s="6" t="s">
        <v>1157</v>
      </c>
      <c r="P62" s="6" t="n">
        <v>1</v>
      </c>
      <c r="R62" s="6" t="s">
        <v>1143</v>
      </c>
      <c r="U62" s="6" t="n">
        <v>260000</v>
      </c>
      <c r="V62" s="28" t="n">
        <v>260000</v>
      </c>
      <c r="W62" s="29" t="n">
        <v>0.2</v>
      </c>
      <c r="X62" s="6" t="n">
        <v>0.055</v>
      </c>
      <c r="Y62" s="29" t="n">
        <v>0.12</v>
      </c>
      <c r="Z62" s="30"/>
      <c r="AA62" s="29" t="n">
        <v>0.04</v>
      </c>
      <c r="AB62" s="31" t="n">
        <v>367900</v>
      </c>
      <c r="AE62" s="6" t="n">
        <v>367900</v>
      </c>
      <c r="AF62" s="6" t="s">
        <v>58</v>
      </c>
      <c r="AG62" s="6" t="n">
        <v>0</v>
      </c>
      <c r="AH62" s="30" t="s">
        <v>1144</v>
      </c>
      <c r="AI62" s="6" t="n">
        <v>0</v>
      </c>
      <c r="AJ62" s="6" t="s">
        <v>191</v>
      </c>
      <c r="AK62" s="6" t="s">
        <v>148</v>
      </c>
      <c r="AL62" s="6" t="s">
        <v>191</v>
      </c>
      <c r="AM62" s="6" t="n">
        <v>0</v>
      </c>
      <c r="AQ62" s="6" t="s">
        <v>189</v>
      </c>
      <c r="AR62" s="6" t="s">
        <v>57</v>
      </c>
    </row>
    <row r="63" customFormat="false" ht="15" hidden="false" customHeight="true" outlineLevel="0" collapsed="false">
      <c r="A63" s="27" t="n">
        <v>97098</v>
      </c>
      <c r="B63" s="6" t="s">
        <v>1196</v>
      </c>
      <c r="C63" s="27" t="n">
        <v>97098</v>
      </c>
      <c r="D63" s="6" t="s">
        <v>1197</v>
      </c>
      <c r="E63" s="6" t="s">
        <v>1198</v>
      </c>
      <c r="F63" s="6" t="s">
        <v>1199</v>
      </c>
      <c r="G63" s="6" t="s">
        <v>1058</v>
      </c>
      <c r="H63" s="6" t="s">
        <v>1059</v>
      </c>
      <c r="I63" s="6" t="s">
        <v>173</v>
      </c>
      <c r="J63" s="6" t="s">
        <v>25</v>
      </c>
      <c r="K63" s="6" t="s">
        <v>1200</v>
      </c>
      <c r="L63" s="6" t="s">
        <v>173</v>
      </c>
      <c r="N63" s="6" t="s">
        <v>1023</v>
      </c>
      <c r="O63" s="6" t="s">
        <v>1157</v>
      </c>
      <c r="P63" s="6" t="n">
        <v>1</v>
      </c>
      <c r="R63" s="6" t="s">
        <v>1152</v>
      </c>
      <c r="U63" s="6" t="n">
        <v>256980</v>
      </c>
      <c r="V63" s="28" t="n">
        <v>256980</v>
      </c>
      <c r="W63" s="29" t="n">
        <v>0.2</v>
      </c>
      <c r="X63" s="6" t="n">
        <v>0.055</v>
      </c>
      <c r="Y63" s="29" t="n">
        <v>0.12</v>
      </c>
      <c r="Z63" s="30"/>
      <c r="AA63" s="29" t="n">
        <v>0.04</v>
      </c>
      <c r="AB63" s="31" t="n">
        <v>363626.7</v>
      </c>
      <c r="AE63" s="6" t="n">
        <v>363626.7</v>
      </c>
      <c r="AF63" s="6" t="s">
        <v>58</v>
      </c>
      <c r="AG63" s="6" t="n">
        <v>0</v>
      </c>
      <c r="AH63" s="30" t="s">
        <v>25</v>
      </c>
      <c r="AI63" s="6" t="n">
        <v>1</v>
      </c>
      <c r="AJ63" s="6" t="s">
        <v>173</v>
      </c>
      <c r="AK63" s="6" t="s">
        <v>148</v>
      </c>
      <c r="AL63" s="6" t="s">
        <v>148</v>
      </c>
      <c r="AM63" s="6" t="n">
        <v>0</v>
      </c>
      <c r="AQ63" s="6" t="s">
        <v>192</v>
      </c>
      <c r="AR63" s="6" t="s">
        <v>57</v>
      </c>
    </row>
    <row r="64" customFormat="false" ht="15" hidden="false" customHeight="true" outlineLevel="0" collapsed="false">
      <c r="A64" s="27" t="n">
        <v>115488</v>
      </c>
      <c r="B64" s="6" t="s">
        <v>1201</v>
      </c>
      <c r="C64" s="27" t="n">
        <v>115488</v>
      </c>
      <c r="D64" s="6" t="s">
        <v>1202</v>
      </c>
      <c r="E64" s="6" t="s">
        <v>1203</v>
      </c>
      <c r="F64" s="6" t="s">
        <v>1199</v>
      </c>
      <c r="G64" s="6" t="s">
        <v>1058</v>
      </c>
      <c r="H64" s="6" t="s">
        <v>20</v>
      </c>
      <c r="I64" s="6" t="s">
        <v>173</v>
      </c>
      <c r="J64" s="6" t="s">
        <v>20</v>
      </c>
      <c r="K64" s="6" t="s">
        <v>173</v>
      </c>
      <c r="L64" s="6" t="s">
        <v>173</v>
      </c>
      <c r="N64" s="6" t="s">
        <v>109</v>
      </c>
      <c r="O64" s="6" t="s">
        <v>1157</v>
      </c>
      <c r="P64" s="6" t="n">
        <v>1</v>
      </c>
      <c r="R64" s="6" t="s">
        <v>1152</v>
      </c>
      <c r="U64" s="6" t="n">
        <v>245860</v>
      </c>
      <c r="V64" s="28" t="n">
        <v>226191.2</v>
      </c>
      <c r="W64" s="29" t="n">
        <v>0.2</v>
      </c>
      <c r="Y64" s="29" t="n">
        <v>0.05</v>
      </c>
      <c r="Z64" s="30" t="n">
        <v>2910</v>
      </c>
      <c r="AA64" s="29" t="n">
        <v>0.03</v>
      </c>
      <c r="AB64" s="31" t="n">
        <v>292434.736</v>
      </c>
      <c r="AE64" s="6" t="n">
        <v>292434.736</v>
      </c>
      <c r="AF64" s="6" t="s">
        <v>58</v>
      </c>
      <c r="AG64" s="6" t="n">
        <v>0</v>
      </c>
      <c r="AH64" s="30" t="s">
        <v>20</v>
      </c>
      <c r="AI64" s="6" t="n">
        <v>1</v>
      </c>
      <c r="AJ64" s="6" t="s">
        <v>173</v>
      </c>
      <c r="AK64" s="6" t="s">
        <v>148</v>
      </c>
      <c r="AL64" s="6" t="s">
        <v>148</v>
      </c>
      <c r="AM64" s="6" t="n">
        <v>0</v>
      </c>
      <c r="AQ64" s="6" t="s">
        <v>194</v>
      </c>
      <c r="AR64" s="6" t="s">
        <v>109</v>
      </c>
    </row>
    <row r="65" customFormat="false" ht="15" hidden="false" customHeight="true" outlineLevel="0" collapsed="false">
      <c r="A65" s="27" t="n">
        <v>113574</v>
      </c>
      <c r="B65" s="6" t="s">
        <v>1204</v>
      </c>
      <c r="C65" s="27" t="n">
        <v>113574</v>
      </c>
      <c r="D65" s="6" t="s">
        <v>1205</v>
      </c>
      <c r="E65" s="6" t="s">
        <v>1203</v>
      </c>
      <c r="F65" s="6" t="s">
        <v>1199</v>
      </c>
      <c r="G65" s="6" t="s">
        <v>1058</v>
      </c>
      <c r="H65" s="6" t="s">
        <v>19</v>
      </c>
      <c r="I65" s="6" t="s">
        <v>173</v>
      </c>
      <c r="J65" s="6" t="s">
        <v>19</v>
      </c>
      <c r="K65" s="6" t="s">
        <v>173</v>
      </c>
      <c r="L65" s="6" t="s">
        <v>173</v>
      </c>
      <c r="N65" s="6" t="s">
        <v>109</v>
      </c>
      <c r="O65" s="6" t="s">
        <v>1157</v>
      </c>
      <c r="P65" s="6" t="n">
        <v>1</v>
      </c>
      <c r="R65" s="6" t="s">
        <v>1152</v>
      </c>
      <c r="U65" s="6" t="n">
        <v>230000</v>
      </c>
      <c r="V65" s="28" t="n">
        <v>211600</v>
      </c>
      <c r="W65" s="29" t="n">
        <v>0.2</v>
      </c>
      <c r="Y65" s="29" t="n">
        <v>0.05</v>
      </c>
      <c r="Z65" s="30" t="n">
        <v>2910</v>
      </c>
      <c r="AA65" s="29" t="n">
        <v>0.03</v>
      </c>
      <c r="AB65" s="31" t="n">
        <v>273758</v>
      </c>
      <c r="AE65" s="6" t="n">
        <v>273758</v>
      </c>
      <c r="AF65" s="6" t="s">
        <v>58</v>
      </c>
      <c r="AG65" s="6" t="n">
        <v>0</v>
      </c>
      <c r="AH65" s="30" t="s">
        <v>1206</v>
      </c>
      <c r="AI65" s="6" t="n">
        <v>1</v>
      </c>
      <c r="AJ65" s="6" t="s">
        <v>173</v>
      </c>
      <c r="AK65" s="6" t="s">
        <v>148</v>
      </c>
      <c r="AL65" s="6" t="s">
        <v>148</v>
      </c>
      <c r="AM65" s="6" t="n">
        <v>0</v>
      </c>
      <c r="AQ65" s="6" t="s">
        <v>196</v>
      </c>
      <c r="AR65" s="6" t="s">
        <v>109</v>
      </c>
    </row>
    <row r="66" customFormat="false" ht="15" hidden="false" customHeight="true" outlineLevel="0" collapsed="false">
      <c r="A66" s="27" t="s">
        <v>1138</v>
      </c>
      <c r="B66" s="6" t="s">
        <v>1063</v>
      </c>
      <c r="C66" s="27" t="s">
        <v>1138</v>
      </c>
      <c r="D66" s="6" t="s">
        <v>199</v>
      </c>
      <c r="E66" s="6" t="s">
        <v>1175</v>
      </c>
      <c r="F66" s="6" t="s">
        <v>1207</v>
      </c>
      <c r="G66" s="6" t="s">
        <v>1173</v>
      </c>
      <c r="H66" s="6" t="s">
        <v>168</v>
      </c>
      <c r="I66" s="6" t="s">
        <v>1177</v>
      </c>
      <c r="N66" s="6" t="s">
        <v>1047</v>
      </c>
      <c r="O66" s="6" t="s">
        <v>1157</v>
      </c>
      <c r="P66" s="6" t="n">
        <v>1</v>
      </c>
      <c r="R66" s="6" t="s">
        <v>1138</v>
      </c>
      <c r="U66" s="6" t="n">
        <v>275340</v>
      </c>
      <c r="V66" s="28" t="n">
        <v>275340</v>
      </c>
      <c r="W66" s="29" t="n">
        <v>0.2</v>
      </c>
      <c r="X66" s="6" t="n">
        <v>0.055</v>
      </c>
      <c r="Y66" s="29" t="n">
        <v>0.12</v>
      </c>
      <c r="Z66" s="30"/>
      <c r="AA66" s="29" t="n">
        <v>0.04</v>
      </c>
      <c r="AB66" s="31" t="n">
        <v>389606.1</v>
      </c>
      <c r="AE66" s="6" t="n">
        <v>389606.1</v>
      </c>
      <c r="AF66" s="6" t="s">
        <v>1063</v>
      </c>
      <c r="AG66" s="6" t="n">
        <v>0</v>
      </c>
      <c r="AH66" s="30" t="s">
        <v>1178</v>
      </c>
      <c r="AI66" s="6" t="n">
        <v>0</v>
      </c>
      <c r="AJ66" s="6" t="s">
        <v>168</v>
      </c>
      <c r="AK66" s="6" t="s">
        <v>988</v>
      </c>
      <c r="AL66" s="6" t="s">
        <v>168</v>
      </c>
      <c r="AM66" s="6" t="n">
        <v>0</v>
      </c>
      <c r="AQ66" s="6" t="s">
        <v>198</v>
      </c>
      <c r="AR66" s="6" t="s">
        <v>57</v>
      </c>
    </row>
    <row r="67" customFormat="false" ht="15" hidden="false" customHeight="true" outlineLevel="0" collapsed="false">
      <c r="A67" s="27" t="n">
        <v>110852</v>
      </c>
      <c r="B67" s="6" t="s">
        <v>1208</v>
      </c>
      <c r="C67" s="27" t="n">
        <v>110852</v>
      </c>
      <c r="D67" s="6" t="s">
        <v>201</v>
      </c>
      <c r="E67" s="6" t="s">
        <v>1209</v>
      </c>
      <c r="F67" s="6" t="s">
        <v>1210</v>
      </c>
      <c r="G67" s="6" t="s">
        <v>1073</v>
      </c>
      <c r="H67" s="6" t="s">
        <v>1133</v>
      </c>
      <c r="I67" s="6" t="s">
        <v>1036</v>
      </c>
      <c r="J67" s="6" t="s">
        <v>29</v>
      </c>
      <c r="K67" s="6" t="s">
        <v>1211</v>
      </c>
      <c r="L67" s="6" t="s">
        <v>173</v>
      </c>
      <c r="N67" s="6" t="s">
        <v>1023</v>
      </c>
      <c r="O67" s="6" t="s">
        <v>1157</v>
      </c>
      <c r="P67" s="6" t="n">
        <v>1</v>
      </c>
      <c r="R67" s="6" t="s">
        <v>1152</v>
      </c>
      <c r="U67" s="6" t="n">
        <v>139350</v>
      </c>
      <c r="V67" s="28" t="n">
        <v>139350</v>
      </c>
      <c r="W67" s="29" t="n">
        <v>0.12</v>
      </c>
      <c r="X67" s="6" t="n">
        <v>0.055</v>
      </c>
      <c r="Y67" s="29" t="n">
        <v>0.12</v>
      </c>
      <c r="Z67" s="30"/>
      <c r="AA67" s="29" t="n">
        <v>0.04</v>
      </c>
      <c r="AB67" s="31" t="n">
        <v>186032.25</v>
      </c>
      <c r="AE67" s="6" t="n">
        <v>186032.25</v>
      </c>
      <c r="AF67" s="6" t="s">
        <v>58</v>
      </c>
      <c r="AG67" s="6" t="n">
        <v>0</v>
      </c>
      <c r="AH67" s="30" t="s">
        <v>1133</v>
      </c>
      <c r="AI67" s="6" t="n">
        <v>1</v>
      </c>
      <c r="AJ67" s="6" t="s">
        <v>173</v>
      </c>
      <c r="AK67" s="6" t="s">
        <v>148</v>
      </c>
      <c r="AL67" s="6" t="s">
        <v>148</v>
      </c>
      <c r="AM67" s="6" t="n">
        <v>0</v>
      </c>
      <c r="AQ67" s="6" t="s">
        <v>200</v>
      </c>
      <c r="AR67" s="6" t="s">
        <v>57</v>
      </c>
    </row>
    <row r="68" customFormat="false" ht="15" hidden="false" customHeight="true" outlineLevel="0" collapsed="false">
      <c r="A68" s="27" t="s">
        <v>1138</v>
      </c>
      <c r="B68" s="6" t="s">
        <v>1063</v>
      </c>
      <c r="C68" s="27" t="s">
        <v>1138</v>
      </c>
      <c r="D68" s="6" t="s">
        <v>1212</v>
      </c>
      <c r="E68" s="6" t="s">
        <v>1209</v>
      </c>
      <c r="F68" s="6" t="s">
        <v>1210</v>
      </c>
      <c r="G68" s="6" t="s">
        <v>1073</v>
      </c>
      <c r="H68" s="6" t="s">
        <v>1074</v>
      </c>
      <c r="I68" s="6" t="s">
        <v>1036</v>
      </c>
      <c r="J68" s="6" t="s">
        <v>31</v>
      </c>
      <c r="K68" s="6" t="s">
        <v>1213</v>
      </c>
      <c r="L68" s="6" t="s">
        <v>173</v>
      </c>
      <c r="N68" s="6" t="s">
        <v>109</v>
      </c>
      <c r="O68" s="6" t="s">
        <v>1157</v>
      </c>
      <c r="P68" s="6" t="n">
        <v>1</v>
      </c>
      <c r="R68" s="6" t="s">
        <v>1143</v>
      </c>
      <c r="U68" s="6" t="n">
        <v>245000</v>
      </c>
      <c r="V68" s="28" t="n">
        <v>225400</v>
      </c>
      <c r="W68" s="29" t="n">
        <v>0.2</v>
      </c>
      <c r="Y68" s="29" t="n">
        <v>0.05</v>
      </c>
      <c r="Z68" s="30" t="n">
        <v>2910</v>
      </c>
      <c r="AA68" s="29" t="n">
        <v>0.03</v>
      </c>
      <c r="AB68" s="31" t="n">
        <v>291422</v>
      </c>
      <c r="AE68" s="6" t="n">
        <v>291422</v>
      </c>
      <c r="AF68" s="6" t="s">
        <v>1063</v>
      </c>
      <c r="AG68" s="6" t="n">
        <v>0</v>
      </c>
      <c r="AH68" s="30" t="s">
        <v>1214</v>
      </c>
      <c r="AI68" s="6" t="n">
        <v>1</v>
      </c>
      <c r="AJ68" s="6" t="s">
        <v>173</v>
      </c>
      <c r="AK68" s="6" t="s">
        <v>148</v>
      </c>
      <c r="AL68" s="6" t="s">
        <v>148</v>
      </c>
      <c r="AM68" s="6" t="n">
        <v>0</v>
      </c>
      <c r="AQ68" s="6" t="s">
        <v>202</v>
      </c>
      <c r="AR68" s="6" t="s">
        <v>109</v>
      </c>
    </row>
    <row r="69" customFormat="false" ht="15" hidden="false" customHeight="true" outlineLevel="0" collapsed="false">
      <c r="A69" s="27" t="n">
        <v>113555</v>
      </c>
      <c r="B69" s="6" t="s">
        <v>1064</v>
      </c>
      <c r="C69" s="27" t="n">
        <v>113555</v>
      </c>
      <c r="D69" s="6" t="s">
        <v>205</v>
      </c>
      <c r="E69" s="6" t="s">
        <v>1145</v>
      </c>
      <c r="F69" s="6" t="s">
        <v>1146</v>
      </c>
      <c r="G69" s="6" t="s">
        <v>1020</v>
      </c>
      <c r="H69" s="6" t="s">
        <v>1066</v>
      </c>
      <c r="I69" s="6" t="s">
        <v>1067</v>
      </c>
      <c r="J69" s="6" t="s">
        <v>32</v>
      </c>
      <c r="K69" s="6" t="s">
        <v>333</v>
      </c>
      <c r="L69" s="6" t="s">
        <v>205</v>
      </c>
      <c r="N69" s="6" t="s">
        <v>109</v>
      </c>
      <c r="O69" s="6" t="s">
        <v>1215</v>
      </c>
      <c r="P69" s="6" t="n">
        <v>1</v>
      </c>
      <c r="R69" s="6" t="s">
        <v>1152</v>
      </c>
      <c r="U69" s="6" t="n">
        <v>193630</v>
      </c>
      <c r="V69" s="28" t="n">
        <v>178139.6</v>
      </c>
      <c r="W69" s="29" t="n">
        <v>0.15</v>
      </c>
      <c r="Y69" s="29" t="n">
        <v>0.05</v>
      </c>
      <c r="Z69" s="30" t="n">
        <v>2910</v>
      </c>
      <c r="AA69" s="29" t="n">
        <v>0.03</v>
      </c>
      <c r="AB69" s="31" t="n">
        <v>222021.708</v>
      </c>
      <c r="AE69" s="6" t="n">
        <v>222021.708</v>
      </c>
      <c r="AF69" s="6" t="s">
        <v>58</v>
      </c>
      <c r="AG69" s="6" t="n">
        <v>0</v>
      </c>
      <c r="AH69" s="30" t="s">
        <v>1020</v>
      </c>
      <c r="AI69" s="6" t="n">
        <v>0</v>
      </c>
      <c r="AJ69" s="6" t="s">
        <v>205</v>
      </c>
      <c r="AK69" s="6" t="s">
        <v>205</v>
      </c>
      <c r="AL69" s="6" t="s">
        <v>205</v>
      </c>
      <c r="AM69" s="6" t="n">
        <v>0</v>
      </c>
      <c r="AN69" s="6" t="s">
        <v>58</v>
      </c>
      <c r="AQ69" s="6" t="s">
        <v>204</v>
      </c>
      <c r="AR69" s="6" t="s">
        <v>109</v>
      </c>
    </row>
    <row r="70" customFormat="false" ht="15" hidden="false" customHeight="true" outlineLevel="0" collapsed="false">
      <c r="A70" s="27" t="n">
        <v>114753</v>
      </c>
      <c r="B70" s="6" t="s">
        <v>1216</v>
      </c>
      <c r="C70" s="27" t="n">
        <v>114753</v>
      </c>
      <c r="D70" s="6" t="s">
        <v>1217</v>
      </c>
      <c r="E70" s="6" t="s">
        <v>1145</v>
      </c>
      <c r="F70" s="6" t="s">
        <v>1146</v>
      </c>
      <c r="G70" s="6" t="s">
        <v>1020</v>
      </c>
      <c r="H70" s="6" t="s">
        <v>1066</v>
      </c>
      <c r="I70" s="6" t="s">
        <v>1218</v>
      </c>
      <c r="J70" s="6" t="s">
        <v>32</v>
      </c>
      <c r="K70" s="6" t="s">
        <v>333</v>
      </c>
      <c r="L70" s="6" t="s">
        <v>165</v>
      </c>
      <c r="N70" s="6" t="s">
        <v>109</v>
      </c>
      <c r="O70" s="6" t="s">
        <v>1215</v>
      </c>
      <c r="P70" s="6" t="n">
        <v>1</v>
      </c>
      <c r="R70" s="6" t="s">
        <v>1152</v>
      </c>
      <c r="U70" s="6" t="n">
        <v>180980</v>
      </c>
      <c r="V70" s="28" t="n">
        <v>166501.6</v>
      </c>
      <c r="W70" s="29" t="n">
        <v>0.15</v>
      </c>
      <c r="Y70" s="29" t="n">
        <v>0.05</v>
      </c>
      <c r="Z70" s="30" t="n">
        <v>2910</v>
      </c>
      <c r="AA70" s="29" t="n">
        <v>0.03</v>
      </c>
      <c r="AB70" s="31" t="n">
        <v>207706.968</v>
      </c>
      <c r="AE70" s="6" t="n">
        <v>207706.968</v>
      </c>
      <c r="AF70" s="6" t="s">
        <v>58</v>
      </c>
      <c r="AG70" s="6" t="n">
        <v>0</v>
      </c>
      <c r="AH70" s="30" t="s">
        <v>1020</v>
      </c>
      <c r="AI70" s="6" t="n">
        <v>0</v>
      </c>
      <c r="AJ70" s="6" t="s">
        <v>165</v>
      </c>
      <c r="AK70" s="6" t="s">
        <v>165</v>
      </c>
      <c r="AL70" s="6" t="s">
        <v>165</v>
      </c>
      <c r="AM70" s="6" t="n">
        <v>0</v>
      </c>
      <c r="AN70" s="6" t="s">
        <v>58</v>
      </c>
      <c r="AQ70" s="6" t="s">
        <v>206</v>
      </c>
      <c r="AR70" s="6" t="s">
        <v>109</v>
      </c>
    </row>
    <row r="71" customFormat="false" ht="15" hidden="false" customHeight="true" outlineLevel="0" collapsed="false">
      <c r="A71" s="27" t="n">
        <v>113568</v>
      </c>
      <c r="B71" s="6" t="s">
        <v>1219</v>
      </c>
      <c r="C71" s="27" t="n">
        <v>113568</v>
      </c>
      <c r="D71" s="6" t="s">
        <v>1220</v>
      </c>
      <c r="E71" s="6" t="s">
        <v>1145</v>
      </c>
      <c r="F71" s="6" t="s">
        <v>1146</v>
      </c>
      <c r="G71" s="6" t="s">
        <v>1020</v>
      </c>
      <c r="H71" s="6" t="s">
        <v>1066</v>
      </c>
      <c r="I71" s="6" t="s">
        <v>1221</v>
      </c>
      <c r="J71" s="6" t="s">
        <v>32</v>
      </c>
      <c r="K71" s="6" t="s">
        <v>333</v>
      </c>
      <c r="L71" s="6" t="s">
        <v>165</v>
      </c>
      <c r="N71" s="6" t="s">
        <v>109</v>
      </c>
      <c r="O71" s="6" t="s">
        <v>1215</v>
      </c>
      <c r="P71" s="6" t="n">
        <v>1</v>
      </c>
      <c r="R71" s="6" t="s">
        <v>1152</v>
      </c>
      <c r="U71" s="6" t="n">
        <v>194670</v>
      </c>
      <c r="V71" s="28" t="n">
        <v>179096.4</v>
      </c>
      <c r="W71" s="29" t="n">
        <v>0.15</v>
      </c>
      <c r="Y71" s="29" t="n">
        <v>0.05</v>
      </c>
      <c r="Z71" s="30" t="n">
        <v>2910</v>
      </c>
      <c r="AA71" s="29" t="n">
        <v>0.03</v>
      </c>
      <c r="AB71" s="31" t="n">
        <v>223198.572</v>
      </c>
      <c r="AE71" s="6" t="n">
        <v>223198.572</v>
      </c>
      <c r="AF71" s="6" t="s">
        <v>58</v>
      </c>
      <c r="AG71" s="6" t="n">
        <v>0</v>
      </c>
      <c r="AH71" s="30" t="s">
        <v>1020</v>
      </c>
      <c r="AI71" s="6" t="n">
        <v>0</v>
      </c>
      <c r="AJ71" s="6" t="s">
        <v>165</v>
      </c>
      <c r="AK71" s="6" t="s">
        <v>165</v>
      </c>
      <c r="AL71" s="6" t="s">
        <v>165</v>
      </c>
      <c r="AM71" s="6" t="n">
        <v>0</v>
      </c>
      <c r="AN71" s="6" t="s">
        <v>58</v>
      </c>
      <c r="AQ71" s="6" t="s">
        <v>208</v>
      </c>
      <c r="AR71" s="6" t="s">
        <v>109</v>
      </c>
    </row>
    <row r="72" customFormat="false" ht="15" hidden="false" customHeight="true" outlineLevel="0" collapsed="false">
      <c r="A72" s="27" t="n">
        <v>96283</v>
      </c>
      <c r="B72" s="6" t="s">
        <v>1043</v>
      </c>
      <c r="C72" s="27" t="n">
        <v>96283</v>
      </c>
      <c r="D72" s="6" t="s">
        <v>211</v>
      </c>
      <c r="E72" s="6" t="s">
        <v>1147</v>
      </c>
      <c r="F72" s="6" t="s">
        <v>1148</v>
      </c>
      <c r="G72" s="6" t="s">
        <v>1020</v>
      </c>
      <c r="H72" s="6" t="s">
        <v>1222</v>
      </c>
      <c r="J72" s="6" t="s">
        <v>18</v>
      </c>
      <c r="K72" s="6" t="s">
        <v>1223</v>
      </c>
      <c r="L72" s="6" t="s">
        <v>212</v>
      </c>
      <c r="N72" s="6" t="s">
        <v>1023</v>
      </c>
      <c r="O72" s="6" t="s">
        <v>1157</v>
      </c>
      <c r="P72" s="6" t="n">
        <v>1</v>
      </c>
      <c r="R72" s="6" t="s">
        <v>1152</v>
      </c>
      <c r="U72" s="6" t="n">
        <v>236730</v>
      </c>
      <c r="V72" s="28" t="n">
        <v>236730</v>
      </c>
      <c r="W72" s="29" t="n">
        <v>0.14</v>
      </c>
      <c r="X72" s="6" t="n">
        <v>0.055</v>
      </c>
      <c r="Y72" s="29" t="n">
        <v>0.2</v>
      </c>
      <c r="Z72" s="30"/>
      <c r="AA72" s="29" t="n">
        <v>0.04</v>
      </c>
      <c r="AB72" s="31" t="n">
        <v>339707.55</v>
      </c>
      <c r="AE72" s="6" t="n">
        <v>339707.55</v>
      </c>
      <c r="AF72" s="6" t="s">
        <v>58</v>
      </c>
      <c r="AG72" s="6" t="n">
        <v>0</v>
      </c>
      <c r="AH72" s="30" t="s">
        <v>1020</v>
      </c>
      <c r="AI72" s="6" t="n">
        <v>0</v>
      </c>
      <c r="AJ72" s="6" t="s">
        <v>212</v>
      </c>
      <c r="AK72" s="6" t="s">
        <v>988</v>
      </c>
      <c r="AL72" s="6" t="s">
        <v>212</v>
      </c>
      <c r="AM72" s="6" t="n">
        <v>0</v>
      </c>
      <c r="AQ72" s="6" t="s">
        <v>210</v>
      </c>
      <c r="AR72" s="6" t="s">
        <v>57</v>
      </c>
    </row>
    <row r="73" customFormat="false" ht="15" hidden="false" customHeight="true" outlineLevel="0" collapsed="false">
      <c r="A73" s="27" t="s">
        <v>1138</v>
      </c>
      <c r="B73" s="6" t="s">
        <v>1063</v>
      </c>
      <c r="C73" s="27" t="s">
        <v>1138</v>
      </c>
      <c r="D73" s="6" t="s">
        <v>214</v>
      </c>
      <c r="E73" s="6" t="s">
        <v>1147</v>
      </c>
      <c r="F73" s="6" t="s">
        <v>1148</v>
      </c>
      <c r="G73" s="6" t="s">
        <v>1020</v>
      </c>
      <c r="H73" s="6" t="s">
        <v>1224</v>
      </c>
      <c r="J73" s="6" t="s">
        <v>18</v>
      </c>
      <c r="K73" s="6" t="s">
        <v>56</v>
      </c>
      <c r="L73" s="6" t="s">
        <v>1225</v>
      </c>
      <c r="N73" s="6" t="s">
        <v>1023</v>
      </c>
      <c r="O73" s="6" t="s">
        <v>1215</v>
      </c>
      <c r="P73" s="6" t="n">
        <v>1</v>
      </c>
      <c r="R73" s="6" t="s">
        <v>1063</v>
      </c>
      <c r="U73" s="6" t="n">
        <v>225020</v>
      </c>
      <c r="V73" s="28" t="n">
        <v>225020</v>
      </c>
      <c r="W73" s="29" t="n">
        <v>0.14</v>
      </c>
      <c r="X73" s="6" t="n">
        <v>0.055</v>
      </c>
      <c r="Y73" s="29" t="n">
        <v>0.12</v>
      </c>
      <c r="Z73" s="30"/>
      <c r="AA73" s="29" t="n">
        <v>0.04</v>
      </c>
      <c r="AB73" s="31" t="n">
        <v>304902.1</v>
      </c>
      <c r="AE73" s="6" t="n">
        <v>304902.1</v>
      </c>
      <c r="AF73" s="6" t="s">
        <v>1063</v>
      </c>
      <c r="AG73" s="6" t="n">
        <v>0</v>
      </c>
      <c r="AH73" s="30" t="s">
        <v>1020</v>
      </c>
      <c r="AI73" s="6" t="n">
        <v>0</v>
      </c>
      <c r="AJ73" s="6" t="s">
        <v>1225</v>
      </c>
      <c r="AK73" s="6" t="s">
        <v>988</v>
      </c>
      <c r="AL73" s="6" t="s">
        <v>56</v>
      </c>
      <c r="AM73" s="6" t="n">
        <v>1</v>
      </c>
      <c r="AN73" s="6" t="s">
        <v>1063</v>
      </c>
      <c r="AQ73" s="6" t="s">
        <v>213</v>
      </c>
      <c r="AR73" s="6" t="s">
        <v>57</v>
      </c>
    </row>
    <row r="74" customFormat="false" ht="15" hidden="false" customHeight="true" outlineLevel="0" collapsed="false">
      <c r="A74" s="27" t="n">
        <v>114123</v>
      </c>
      <c r="B74" s="6" t="s">
        <v>1018</v>
      </c>
      <c r="C74" s="27" t="n">
        <v>114123</v>
      </c>
      <c r="D74" s="6" t="s">
        <v>205</v>
      </c>
      <c r="E74" s="6" t="s">
        <v>1153</v>
      </c>
      <c r="F74" s="6" t="s">
        <v>1226</v>
      </c>
      <c r="G74" s="6" t="s">
        <v>1020</v>
      </c>
      <c r="H74" s="6" t="s">
        <v>1021</v>
      </c>
      <c r="I74" s="6" t="s">
        <v>1022</v>
      </c>
      <c r="J74" s="6" t="s">
        <v>18</v>
      </c>
      <c r="K74" s="6" t="s">
        <v>1028</v>
      </c>
      <c r="L74" s="6" t="s">
        <v>205</v>
      </c>
      <c r="N74" s="6" t="s">
        <v>1023</v>
      </c>
      <c r="O74" s="6" t="s">
        <v>1215</v>
      </c>
      <c r="P74" s="6" t="n">
        <v>1</v>
      </c>
      <c r="R74" s="6" t="s">
        <v>1152</v>
      </c>
      <c r="U74" s="6" t="n">
        <v>225020</v>
      </c>
      <c r="V74" s="28" t="n">
        <v>225020</v>
      </c>
      <c r="W74" s="29" t="n">
        <v>0.14</v>
      </c>
      <c r="X74" s="6" t="n">
        <v>0.055</v>
      </c>
      <c r="Y74" s="29" t="n">
        <v>0.12</v>
      </c>
      <c r="Z74" s="30"/>
      <c r="AA74" s="29" t="n">
        <v>0.04</v>
      </c>
      <c r="AB74" s="31" t="n">
        <v>304902.1</v>
      </c>
      <c r="AE74" s="6" t="n">
        <v>304902.1</v>
      </c>
      <c r="AF74" s="6" t="s">
        <v>58</v>
      </c>
      <c r="AG74" s="6" t="n">
        <v>0</v>
      </c>
      <c r="AH74" s="30" t="s">
        <v>1020</v>
      </c>
      <c r="AI74" s="6" t="n">
        <v>0</v>
      </c>
      <c r="AJ74" s="6" t="s">
        <v>205</v>
      </c>
      <c r="AK74" s="6" t="s">
        <v>205</v>
      </c>
      <c r="AL74" s="6" t="s">
        <v>205</v>
      </c>
      <c r="AM74" s="6" t="n">
        <v>0</v>
      </c>
      <c r="AN74" s="6" t="s">
        <v>58</v>
      </c>
      <c r="AQ74" s="6" t="s">
        <v>215</v>
      </c>
      <c r="AR74" s="6" t="s">
        <v>57</v>
      </c>
    </row>
    <row r="75" customFormat="false" ht="15" hidden="false" customHeight="true" outlineLevel="0" collapsed="false">
      <c r="A75" s="27" t="n">
        <v>115528</v>
      </c>
      <c r="B75" s="6" t="s">
        <v>1227</v>
      </c>
      <c r="C75" s="27" t="n">
        <v>115528</v>
      </c>
      <c r="D75" s="6" t="s">
        <v>217</v>
      </c>
      <c r="E75" s="6" t="s">
        <v>1153</v>
      </c>
      <c r="F75" s="6" t="s">
        <v>1226</v>
      </c>
      <c r="G75" s="6" t="s">
        <v>1020</v>
      </c>
      <c r="H75" s="6" t="s">
        <v>1021</v>
      </c>
      <c r="I75" s="6" t="s">
        <v>1228</v>
      </c>
      <c r="J75" s="6" t="s">
        <v>32</v>
      </c>
      <c r="K75" s="6" t="s">
        <v>1229</v>
      </c>
      <c r="L75" s="6" t="s">
        <v>218</v>
      </c>
      <c r="N75" s="6" t="s">
        <v>109</v>
      </c>
      <c r="O75" s="6" t="s">
        <v>1215</v>
      </c>
      <c r="P75" s="6" t="n">
        <v>1</v>
      </c>
      <c r="R75" s="6" t="s">
        <v>1152</v>
      </c>
      <c r="U75" s="6" t="n">
        <v>190000</v>
      </c>
      <c r="V75" s="28" t="n">
        <v>174800</v>
      </c>
      <c r="W75" s="29" t="n">
        <v>0.1</v>
      </c>
      <c r="Y75" s="29" t="n">
        <v>0.05</v>
      </c>
      <c r="Z75" s="30" t="n">
        <v>2910</v>
      </c>
      <c r="AA75" s="29" t="n">
        <v>0.03</v>
      </c>
      <c r="AB75" s="31" t="n">
        <v>209174</v>
      </c>
      <c r="AE75" s="6" t="n">
        <v>209174</v>
      </c>
      <c r="AF75" s="6" t="s">
        <v>58</v>
      </c>
      <c r="AG75" s="6" t="n">
        <v>0</v>
      </c>
      <c r="AH75" s="30" t="s">
        <v>1020</v>
      </c>
      <c r="AI75" s="6" t="n">
        <v>0</v>
      </c>
      <c r="AJ75" s="6" t="s">
        <v>218</v>
      </c>
      <c r="AK75" s="6" t="s">
        <v>988</v>
      </c>
      <c r="AL75" s="6" t="s">
        <v>218</v>
      </c>
      <c r="AM75" s="6" t="n">
        <v>0</v>
      </c>
      <c r="AN75" s="6" t="s">
        <v>58</v>
      </c>
      <c r="AQ75" s="6" t="s">
        <v>216</v>
      </c>
      <c r="AR75" s="6" t="s">
        <v>109</v>
      </c>
    </row>
    <row r="76" customFormat="false" ht="15" hidden="false" customHeight="true" outlineLevel="0" collapsed="false">
      <c r="A76" s="27" t="n">
        <v>97200</v>
      </c>
      <c r="B76" s="6" t="s">
        <v>1092</v>
      </c>
      <c r="C76" s="27" t="n">
        <v>97200</v>
      </c>
      <c r="D76" s="6" t="s">
        <v>220</v>
      </c>
      <c r="E76" s="6" t="s">
        <v>1153</v>
      </c>
      <c r="F76" s="6" t="s">
        <v>1226</v>
      </c>
      <c r="G76" s="6" t="s">
        <v>1020</v>
      </c>
      <c r="H76" s="6" t="s">
        <v>1021</v>
      </c>
      <c r="I76" s="6" t="s">
        <v>1230</v>
      </c>
      <c r="J76" s="6" t="s">
        <v>18</v>
      </c>
      <c r="K76" s="6" t="s">
        <v>1028</v>
      </c>
      <c r="L76" s="6" t="s">
        <v>165</v>
      </c>
      <c r="N76" s="6" t="s">
        <v>1023</v>
      </c>
      <c r="O76" s="6" t="s">
        <v>1215</v>
      </c>
      <c r="P76" s="6" t="n">
        <v>1</v>
      </c>
      <c r="R76" s="6" t="s">
        <v>1152</v>
      </c>
      <c r="U76" s="6" t="s">
        <v>1041</v>
      </c>
      <c r="V76" s="28" t="n">
        <v>222190</v>
      </c>
      <c r="W76" s="29" t="n">
        <v>0.14</v>
      </c>
      <c r="X76" s="6" t="n">
        <v>0.055</v>
      </c>
      <c r="Y76" s="29" t="n">
        <v>0.12</v>
      </c>
      <c r="Z76" s="30"/>
      <c r="AA76" s="29" t="n">
        <v>0.04</v>
      </c>
      <c r="AB76" s="31" t="n">
        <v>301067.45</v>
      </c>
      <c r="AE76" s="6" t="n">
        <v>301067.45</v>
      </c>
      <c r="AF76" s="6" t="s">
        <v>58</v>
      </c>
      <c r="AG76" s="6" t="n">
        <v>0</v>
      </c>
      <c r="AH76" s="30" t="s">
        <v>1020</v>
      </c>
      <c r="AI76" s="6" t="n">
        <v>0</v>
      </c>
      <c r="AJ76" s="6" t="s">
        <v>165</v>
      </c>
      <c r="AK76" s="6" t="s">
        <v>165</v>
      </c>
      <c r="AL76" s="6" t="s">
        <v>165</v>
      </c>
      <c r="AM76" s="6" t="n">
        <v>0</v>
      </c>
      <c r="AN76" s="6" t="s">
        <v>58</v>
      </c>
      <c r="AQ76" s="6" t="s">
        <v>219</v>
      </c>
      <c r="AR76" s="6" t="s">
        <v>57</v>
      </c>
    </row>
    <row r="77" customFormat="false" ht="15" hidden="false" customHeight="true" outlineLevel="0" collapsed="false">
      <c r="A77" s="27" t="n">
        <v>88332</v>
      </c>
      <c r="B77" s="6" t="s">
        <v>1231</v>
      </c>
      <c r="C77" s="27" t="n">
        <v>88332</v>
      </c>
      <c r="D77" s="6" t="s">
        <v>222</v>
      </c>
      <c r="E77" s="6" t="s">
        <v>1153</v>
      </c>
      <c r="F77" s="6" t="s">
        <v>1226</v>
      </c>
      <c r="G77" s="6" t="s">
        <v>1020</v>
      </c>
      <c r="H77" s="6" t="s">
        <v>1021</v>
      </c>
      <c r="I77" s="6" t="s">
        <v>21</v>
      </c>
      <c r="J77" s="6" t="s">
        <v>22</v>
      </c>
      <c r="K77" s="6" t="s">
        <v>21</v>
      </c>
      <c r="L77" s="6" t="s">
        <v>56</v>
      </c>
      <c r="N77" s="6" t="s">
        <v>1023</v>
      </c>
      <c r="O77" s="6" t="s">
        <v>1215</v>
      </c>
      <c r="P77" s="6" t="n">
        <v>1</v>
      </c>
      <c r="R77" s="6" t="s">
        <v>1232</v>
      </c>
      <c r="U77" s="6" t="n">
        <v>211070</v>
      </c>
      <c r="V77" s="28" t="n">
        <v>211070</v>
      </c>
      <c r="W77" s="29" t="n">
        <v>0.14</v>
      </c>
      <c r="X77" s="6" t="n">
        <v>0.055</v>
      </c>
      <c r="Y77" s="29" t="n">
        <v>0.12</v>
      </c>
      <c r="Z77" s="30"/>
      <c r="AA77" s="29" t="n">
        <v>0.04</v>
      </c>
      <c r="AB77" s="31" t="n">
        <v>304903.1</v>
      </c>
      <c r="AE77" s="6" t="n">
        <v>304903.1</v>
      </c>
      <c r="AF77" s="6" t="s">
        <v>58</v>
      </c>
      <c r="AG77" s="6" t="n">
        <v>0</v>
      </c>
      <c r="AH77" s="30" t="s">
        <v>1020</v>
      </c>
      <c r="AI77" s="6" t="n">
        <v>0</v>
      </c>
      <c r="AJ77" s="6" t="s">
        <v>56</v>
      </c>
      <c r="AK77" s="6" t="s">
        <v>988</v>
      </c>
      <c r="AL77" s="6" t="s">
        <v>56</v>
      </c>
      <c r="AM77" s="6" t="n">
        <v>1</v>
      </c>
      <c r="AN77" s="6" t="s">
        <v>58</v>
      </c>
      <c r="AQ77" s="6" t="s">
        <v>221</v>
      </c>
      <c r="AR77" s="6" t="s">
        <v>57</v>
      </c>
    </row>
    <row r="78" customFormat="false" ht="15" hidden="false" customHeight="true" outlineLevel="0" collapsed="false">
      <c r="A78" s="27" t="s">
        <v>1138</v>
      </c>
      <c r="B78" s="6" t="s">
        <v>1063</v>
      </c>
      <c r="C78" s="27" t="s">
        <v>1138</v>
      </c>
      <c r="D78" s="6" t="s">
        <v>224</v>
      </c>
      <c r="E78" s="6" t="s">
        <v>1153</v>
      </c>
      <c r="F78" s="6" t="s">
        <v>1226</v>
      </c>
      <c r="G78" s="6" t="s">
        <v>1020</v>
      </c>
      <c r="H78" s="6" t="s">
        <v>1021</v>
      </c>
      <c r="I78" s="6" t="s">
        <v>1122</v>
      </c>
      <c r="J78" s="6" t="s">
        <v>18</v>
      </c>
      <c r="K78" s="6" t="s">
        <v>1028</v>
      </c>
      <c r="L78" s="6" t="s">
        <v>165</v>
      </c>
      <c r="N78" s="6" t="s">
        <v>1023</v>
      </c>
      <c r="O78" s="6" t="s">
        <v>1215</v>
      </c>
      <c r="P78" s="6" t="n">
        <v>1</v>
      </c>
      <c r="R78" s="6" t="s">
        <v>1063</v>
      </c>
      <c r="U78" s="6" t="n">
        <v>225020</v>
      </c>
      <c r="V78" s="28" t="n">
        <v>225020</v>
      </c>
      <c r="W78" s="29" t="n">
        <v>0.14</v>
      </c>
      <c r="X78" s="6" t="n">
        <v>0.055</v>
      </c>
      <c r="Y78" s="29" t="n">
        <v>0.12</v>
      </c>
      <c r="Z78" s="30"/>
      <c r="AA78" s="29" t="n">
        <v>0.04</v>
      </c>
      <c r="AB78" s="31" t="n">
        <v>304902.1</v>
      </c>
      <c r="AE78" s="6" t="n">
        <v>304902.1</v>
      </c>
      <c r="AF78" s="6" t="s">
        <v>1063</v>
      </c>
      <c r="AG78" s="6" t="n">
        <v>0</v>
      </c>
      <c r="AH78" s="30" t="s">
        <v>1020</v>
      </c>
      <c r="AI78" s="6" t="n">
        <v>0</v>
      </c>
      <c r="AJ78" s="6" t="s">
        <v>165</v>
      </c>
      <c r="AK78" s="6" t="s">
        <v>165</v>
      </c>
      <c r="AL78" s="6" t="s">
        <v>165</v>
      </c>
      <c r="AM78" s="6" t="n">
        <v>0</v>
      </c>
      <c r="AN78" s="6" t="s">
        <v>1063</v>
      </c>
      <c r="AQ78" s="6" t="s">
        <v>223</v>
      </c>
      <c r="AR78" s="6" t="s">
        <v>57</v>
      </c>
    </row>
    <row r="79" customFormat="false" ht="15" hidden="false" customHeight="true" outlineLevel="0" collapsed="false">
      <c r="A79" s="27" t="n">
        <v>2967</v>
      </c>
      <c r="B79" s="6" t="s">
        <v>1233</v>
      </c>
      <c r="C79" s="27" t="n">
        <v>2967</v>
      </c>
      <c r="D79" s="6" t="s">
        <v>226</v>
      </c>
      <c r="E79" s="6" t="s">
        <v>1056</v>
      </c>
      <c r="F79" s="6" t="s">
        <v>1057</v>
      </c>
      <c r="G79" s="6" t="s">
        <v>1058</v>
      </c>
      <c r="H79" s="6" t="s">
        <v>1059</v>
      </c>
      <c r="I79" s="6" t="s">
        <v>1060</v>
      </c>
      <c r="J79" s="6" t="s">
        <v>25</v>
      </c>
      <c r="K79" s="6" t="s">
        <v>1234</v>
      </c>
      <c r="L79" s="6" t="s">
        <v>1235</v>
      </c>
      <c r="N79" s="6" t="s">
        <v>1023</v>
      </c>
      <c r="O79" s="6" t="s">
        <v>1236</v>
      </c>
      <c r="P79" s="6" t="n">
        <v>1</v>
      </c>
      <c r="R79" s="6" t="s">
        <v>1152</v>
      </c>
      <c r="U79" s="6" t="n">
        <v>166090</v>
      </c>
      <c r="V79" s="28" t="n">
        <v>166090</v>
      </c>
      <c r="W79" s="29" t="n">
        <v>0.14</v>
      </c>
      <c r="X79" s="6" t="n">
        <v>0.055</v>
      </c>
      <c r="Y79" s="29" t="n">
        <v>0.12</v>
      </c>
      <c r="Z79" s="30"/>
      <c r="AA79" s="29" t="n">
        <v>0.04</v>
      </c>
      <c r="AB79" s="31" t="n">
        <v>225051.95</v>
      </c>
      <c r="AE79" s="6" t="n">
        <v>225051.95</v>
      </c>
      <c r="AF79" s="6" t="s">
        <v>58</v>
      </c>
      <c r="AG79" s="6" t="n">
        <v>0</v>
      </c>
      <c r="AH79" s="30" t="s">
        <v>25</v>
      </c>
      <c r="AI79" s="6" t="n">
        <v>0</v>
      </c>
      <c r="AJ79" s="6" t="s">
        <v>227</v>
      </c>
      <c r="AK79" s="6" t="s">
        <v>988</v>
      </c>
      <c r="AL79" s="6" t="s">
        <v>227</v>
      </c>
      <c r="AM79" s="6" t="n">
        <v>0</v>
      </c>
      <c r="AQ79" s="6" t="s">
        <v>225</v>
      </c>
      <c r="AR79" s="6" t="s">
        <v>57</v>
      </c>
    </row>
    <row r="80" customFormat="false" ht="15" hidden="false" customHeight="true" outlineLevel="0" collapsed="false">
      <c r="A80" s="27" t="n">
        <v>101861</v>
      </c>
      <c r="B80" s="6" t="s">
        <v>1237</v>
      </c>
      <c r="C80" s="27" t="n">
        <v>101861</v>
      </c>
      <c r="D80" s="6" t="s">
        <v>229</v>
      </c>
      <c r="E80" s="6" t="s">
        <v>1196</v>
      </c>
      <c r="F80" s="6" t="s">
        <v>1197</v>
      </c>
      <c r="G80" s="6" t="s">
        <v>1058</v>
      </c>
      <c r="H80" s="6" t="s">
        <v>1059</v>
      </c>
      <c r="I80" s="6" t="s">
        <v>1238</v>
      </c>
      <c r="J80" s="6" t="s">
        <v>25</v>
      </c>
      <c r="K80" s="6" t="s">
        <v>1200</v>
      </c>
      <c r="L80" s="6" t="s">
        <v>173</v>
      </c>
      <c r="N80" s="6" t="s">
        <v>1023</v>
      </c>
      <c r="O80" s="6" t="s">
        <v>1239</v>
      </c>
      <c r="P80" s="6" t="n">
        <v>1</v>
      </c>
      <c r="R80" s="6" t="s">
        <v>1152</v>
      </c>
      <c r="U80" s="6" t="n">
        <v>233760</v>
      </c>
      <c r="V80" s="28" t="n">
        <v>233760</v>
      </c>
      <c r="W80" s="29" t="n">
        <v>0.14</v>
      </c>
      <c r="X80" s="6" t="n">
        <v>0.055</v>
      </c>
      <c r="Y80" s="29" t="n">
        <v>0.12</v>
      </c>
      <c r="Z80" s="30"/>
      <c r="AA80" s="29" t="n">
        <v>0.04</v>
      </c>
      <c r="AB80" s="31" t="n">
        <v>316744.8</v>
      </c>
      <c r="AE80" s="6" t="n">
        <v>316744.8</v>
      </c>
      <c r="AF80" s="6" t="s">
        <v>58</v>
      </c>
      <c r="AG80" s="6" t="n">
        <v>0</v>
      </c>
      <c r="AH80" s="30" t="s">
        <v>25</v>
      </c>
      <c r="AI80" s="6" t="n">
        <v>1</v>
      </c>
      <c r="AJ80" s="6" t="s">
        <v>173</v>
      </c>
      <c r="AK80" s="6" t="s">
        <v>205</v>
      </c>
      <c r="AL80" s="6" t="s">
        <v>205</v>
      </c>
      <c r="AM80" s="6" t="n">
        <v>0</v>
      </c>
      <c r="AQ80" s="6" t="s">
        <v>228</v>
      </c>
      <c r="AR80" s="6" t="s">
        <v>57</v>
      </c>
    </row>
    <row r="81" customFormat="false" ht="15" hidden="false" customHeight="true" outlineLevel="0" collapsed="false">
      <c r="A81" s="27" t="n">
        <v>109475</v>
      </c>
      <c r="B81" s="6" t="s">
        <v>1056</v>
      </c>
      <c r="C81" s="27" t="n">
        <v>109475</v>
      </c>
      <c r="D81" s="6" t="s">
        <v>231</v>
      </c>
      <c r="E81" s="6" t="s">
        <v>1196</v>
      </c>
      <c r="F81" s="6" t="s">
        <v>1197</v>
      </c>
      <c r="G81" s="6" t="s">
        <v>1058</v>
      </c>
      <c r="H81" s="6" t="s">
        <v>1059</v>
      </c>
      <c r="I81" s="6" t="s">
        <v>1060</v>
      </c>
      <c r="J81" s="6" t="s">
        <v>25</v>
      </c>
      <c r="K81" s="6" t="s">
        <v>1234</v>
      </c>
      <c r="L81" s="6" t="s">
        <v>227</v>
      </c>
      <c r="N81" s="6" t="s">
        <v>1023</v>
      </c>
      <c r="O81" s="6" t="s">
        <v>1239</v>
      </c>
      <c r="P81" s="6" t="n">
        <v>1</v>
      </c>
      <c r="R81" s="6" t="s">
        <v>1152</v>
      </c>
      <c r="U81" s="6" t="n">
        <v>190180</v>
      </c>
      <c r="V81" s="28" t="n">
        <v>190180</v>
      </c>
      <c r="W81" s="29" t="n">
        <v>0.14</v>
      </c>
      <c r="X81" s="6" t="n">
        <v>0.055</v>
      </c>
      <c r="Y81" s="29" t="n">
        <v>0.12</v>
      </c>
      <c r="Z81" s="30"/>
      <c r="AA81" s="29" t="n">
        <v>0.04</v>
      </c>
      <c r="AB81" s="31" t="n">
        <v>257693.9</v>
      </c>
      <c r="AE81" s="6" t="n">
        <v>257693.9</v>
      </c>
      <c r="AF81" s="6" t="s">
        <v>58</v>
      </c>
      <c r="AG81" s="6" t="n">
        <v>0</v>
      </c>
      <c r="AH81" s="30" t="s">
        <v>25</v>
      </c>
      <c r="AI81" s="6" t="n">
        <v>0</v>
      </c>
      <c r="AJ81" s="6" t="s">
        <v>227</v>
      </c>
      <c r="AK81" s="6" t="s">
        <v>988</v>
      </c>
      <c r="AL81" s="6" t="s">
        <v>227</v>
      </c>
      <c r="AM81" s="6" t="n">
        <v>0</v>
      </c>
      <c r="AQ81" s="6" t="s">
        <v>230</v>
      </c>
      <c r="AR81" s="6" t="s">
        <v>57</v>
      </c>
    </row>
    <row r="82" customFormat="false" ht="15" hidden="false" customHeight="true" outlineLevel="0" collapsed="false">
      <c r="A82" s="27" t="n">
        <v>106555</v>
      </c>
      <c r="B82" s="6" t="s">
        <v>1240</v>
      </c>
      <c r="C82" s="27" t="n">
        <v>106555</v>
      </c>
      <c r="D82" s="6" t="s">
        <v>1241</v>
      </c>
      <c r="E82" s="6" t="s">
        <v>1196</v>
      </c>
      <c r="F82" s="6" t="s">
        <v>1197</v>
      </c>
      <c r="G82" s="6" t="s">
        <v>1058</v>
      </c>
      <c r="H82" s="6" t="s">
        <v>1059</v>
      </c>
      <c r="I82" s="6" t="s">
        <v>1242</v>
      </c>
      <c r="J82" s="6" t="s">
        <v>25</v>
      </c>
      <c r="K82" s="6" t="s">
        <v>1243</v>
      </c>
      <c r="L82" s="6" t="s">
        <v>173</v>
      </c>
      <c r="N82" s="6" t="s">
        <v>1023</v>
      </c>
      <c r="O82" s="6" t="s">
        <v>1239</v>
      </c>
      <c r="P82" s="6" t="n">
        <v>1</v>
      </c>
      <c r="R82" s="6" t="s">
        <v>1152</v>
      </c>
      <c r="U82" s="6" t="n">
        <v>183820</v>
      </c>
      <c r="V82" s="28" t="n">
        <v>183820</v>
      </c>
      <c r="W82" s="29" t="n">
        <v>0.14</v>
      </c>
      <c r="X82" s="6" t="n">
        <v>0.055</v>
      </c>
      <c r="Y82" s="29" t="n">
        <v>0.12</v>
      </c>
      <c r="Z82" s="30"/>
      <c r="AA82" s="29" t="n">
        <v>0.04</v>
      </c>
      <c r="AB82" s="31" t="n">
        <v>249076.1</v>
      </c>
      <c r="AE82" s="6" t="n">
        <v>249076.1</v>
      </c>
      <c r="AF82" s="6" t="s">
        <v>58</v>
      </c>
      <c r="AG82" s="6" t="n">
        <v>0</v>
      </c>
      <c r="AH82" s="30" t="s">
        <v>25</v>
      </c>
      <c r="AI82" s="6" t="n">
        <v>1</v>
      </c>
      <c r="AJ82" s="6" t="s">
        <v>173</v>
      </c>
      <c r="AK82" s="6" t="s">
        <v>165</v>
      </c>
      <c r="AL82" s="6" t="s">
        <v>165</v>
      </c>
      <c r="AM82" s="6" t="n">
        <v>0</v>
      </c>
      <c r="AQ82" s="6" t="s">
        <v>232</v>
      </c>
      <c r="AR82" s="6" t="s">
        <v>57</v>
      </c>
    </row>
    <row r="83" customFormat="false" ht="15" hidden="false" customHeight="true" outlineLevel="0" collapsed="false">
      <c r="A83" s="27" t="s">
        <v>1138</v>
      </c>
      <c r="B83" s="6" t="s">
        <v>1063</v>
      </c>
      <c r="C83" s="27" t="s">
        <v>1138</v>
      </c>
      <c r="D83" s="6" t="s">
        <v>235</v>
      </c>
      <c r="E83" s="6" t="s">
        <v>1196</v>
      </c>
      <c r="F83" s="6" t="s">
        <v>1197</v>
      </c>
      <c r="G83" s="6" t="s">
        <v>1058</v>
      </c>
      <c r="H83" s="6" t="s">
        <v>1059</v>
      </c>
      <c r="I83" s="6" t="s">
        <v>1244</v>
      </c>
      <c r="J83" s="6" t="s">
        <v>25</v>
      </c>
      <c r="K83" s="6" t="s">
        <v>173</v>
      </c>
      <c r="L83" s="6" t="s">
        <v>173</v>
      </c>
      <c r="N83" s="6" t="s">
        <v>1023</v>
      </c>
      <c r="O83" s="6" t="s">
        <v>1239</v>
      </c>
      <c r="P83" s="6" t="n">
        <v>1</v>
      </c>
      <c r="R83" s="6" t="s">
        <v>1143</v>
      </c>
      <c r="U83" s="6" t="n">
        <v>203550</v>
      </c>
      <c r="V83" s="28" t="n">
        <v>203550</v>
      </c>
      <c r="W83" s="29" t="n">
        <v>0.14</v>
      </c>
      <c r="X83" s="6" t="n">
        <v>0.055</v>
      </c>
      <c r="Y83" s="29" t="n">
        <v>0.12</v>
      </c>
      <c r="Z83" s="30"/>
      <c r="AA83" s="29" t="n">
        <v>0.04</v>
      </c>
      <c r="AB83" s="31" t="n">
        <v>275810.25</v>
      </c>
      <c r="AE83" s="6" t="n">
        <v>275810.25</v>
      </c>
      <c r="AF83" s="6" t="s">
        <v>1063</v>
      </c>
      <c r="AG83" s="6" t="n">
        <v>0</v>
      </c>
      <c r="AH83" s="30" t="s">
        <v>25</v>
      </c>
      <c r="AI83" s="6" t="n">
        <v>1</v>
      </c>
      <c r="AJ83" s="6" t="s">
        <v>173</v>
      </c>
      <c r="AK83" s="6" t="s">
        <v>165</v>
      </c>
      <c r="AL83" s="6" t="s">
        <v>165</v>
      </c>
      <c r="AM83" s="6" t="n">
        <v>0</v>
      </c>
      <c r="AQ83" s="6" t="s">
        <v>234</v>
      </c>
      <c r="AR83" s="6" t="s">
        <v>57</v>
      </c>
    </row>
    <row r="84" customFormat="false" ht="15" hidden="false" customHeight="true" outlineLevel="0" collapsed="false">
      <c r="A84" s="27" t="n">
        <v>98823</v>
      </c>
      <c r="B84" s="6" t="s">
        <v>1245</v>
      </c>
      <c r="C84" s="27" t="n">
        <v>98823</v>
      </c>
      <c r="D84" s="6" t="s">
        <v>237</v>
      </c>
      <c r="E84" s="6" t="s">
        <v>1162</v>
      </c>
      <c r="F84" s="6" t="s">
        <v>1246</v>
      </c>
      <c r="G84" s="6" t="s">
        <v>1164</v>
      </c>
      <c r="H84" s="6" t="s">
        <v>238</v>
      </c>
      <c r="I84" s="6" t="s">
        <v>1247</v>
      </c>
      <c r="J84" s="6" t="s">
        <v>26</v>
      </c>
      <c r="K84" s="6" t="s">
        <v>26</v>
      </c>
      <c r="L84" s="6" t="s">
        <v>26</v>
      </c>
      <c r="N84" s="6" t="s">
        <v>1023</v>
      </c>
      <c r="O84" s="6" t="s">
        <v>1239</v>
      </c>
      <c r="P84" s="6" t="n">
        <v>1</v>
      </c>
      <c r="R84" s="6" t="s">
        <v>1152</v>
      </c>
      <c r="U84" s="6" t="n">
        <v>211840</v>
      </c>
      <c r="V84" s="28" t="n">
        <v>211840</v>
      </c>
      <c r="W84" s="29" t="n">
        <v>0.14</v>
      </c>
      <c r="X84" s="6" t="n">
        <v>0.055</v>
      </c>
      <c r="Y84" s="29" t="n">
        <v>0.12</v>
      </c>
      <c r="Z84" s="30"/>
      <c r="AA84" s="29" t="n">
        <v>0.04</v>
      </c>
      <c r="AB84" s="31" t="n">
        <v>287043.2</v>
      </c>
      <c r="AE84" s="6" t="n">
        <v>287043.2</v>
      </c>
      <c r="AF84" s="6" t="s">
        <v>58</v>
      </c>
      <c r="AG84" s="6" t="n">
        <v>0</v>
      </c>
      <c r="AH84" s="30" t="s">
        <v>1165</v>
      </c>
      <c r="AI84" s="6" t="n">
        <v>0</v>
      </c>
      <c r="AJ84" s="6" t="s">
        <v>238</v>
      </c>
      <c r="AK84" s="6" t="s">
        <v>988</v>
      </c>
      <c r="AL84" s="6" t="s">
        <v>238</v>
      </c>
      <c r="AM84" s="6" t="n">
        <v>0</v>
      </c>
      <c r="AQ84" s="6" t="s">
        <v>236</v>
      </c>
      <c r="AR84" s="6" t="s">
        <v>57</v>
      </c>
    </row>
    <row r="85" customFormat="false" ht="15" hidden="false" customHeight="true" outlineLevel="0" collapsed="false">
      <c r="A85" s="27" t="n">
        <v>101700</v>
      </c>
      <c r="B85" s="6" t="s">
        <v>1248</v>
      </c>
      <c r="C85" s="27" t="n">
        <v>101700</v>
      </c>
      <c r="D85" s="6" t="s">
        <v>240</v>
      </c>
      <c r="E85" s="6" t="s">
        <v>1162</v>
      </c>
      <c r="F85" s="6" t="s">
        <v>1249</v>
      </c>
      <c r="G85" s="6" t="s">
        <v>1164</v>
      </c>
      <c r="H85" s="6" t="s">
        <v>241</v>
      </c>
      <c r="I85" s="6" t="s">
        <v>26</v>
      </c>
      <c r="J85" s="6" t="s">
        <v>26</v>
      </c>
      <c r="K85" s="6" t="s">
        <v>26</v>
      </c>
      <c r="L85" s="6" t="s">
        <v>26</v>
      </c>
      <c r="N85" s="6" t="s">
        <v>1023</v>
      </c>
      <c r="O85" s="6" t="s">
        <v>1239</v>
      </c>
      <c r="P85" s="6" t="n">
        <v>1</v>
      </c>
      <c r="R85" s="6" t="s">
        <v>1152</v>
      </c>
      <c r="U85" s="6" t="n">
        <v>211840</v>
      </c>
      <c r="V85" s="28" t="n">
        <v>211840</v>
      </c>
      <c r="W85" s="29" t="n">
        <v>0.14</v>
      </c>
      <c r="X85" s="6" t="n">
        <v>0.055</v>
      </c>
      <c r="Y85" s="29" t="n">
        <v>0.12</v>
      </c>
      <c r="Z85" s="30"/>
      <c r="AA85" s="29" t="n">
        <v>0.04</v>
      </c>
      <c r="AB85" s="31" t="n">
        <v>287043.2</v>
      </c>
      <c r="AE85" s="6" t="n">
        <v>287043.2</v>
      </c>
      <c r="AF85" s="6" t="s">
        <v>58</v>
      </c>
      <c r="AG85" s="6" t="n">
        <v>0</v>
      </c>
      <c r="AH85" s="30" t="s">
        <v>1165</v>
      </c>
      <c r="AI85" s="6" t="n">
        <v>0</v>
      </c>
      <c r="AJ85" s="6" t="s">
        <v>241</v>
      </c>
      <c r="AK85" s="6" t="s">
        <v>988</v>
      </c>
      <c r="AL85" s="6" t="s">
        <v>241</v>
      </c>
      <c r="AM85" s="6" t="n">
        <v>0</v>
      </c>
      <c r="AQ85" s="6" t="s">
        <v>239</v>
      </c>
      <c r="AR85" s="6" t="s">
        <v>57</v>
      </c>
    </row>
    <row r="86" customFormat="false" ht="15" hidden="false" customHeight="true" outlineLevel="0" collapsed="false">
      <c r="A86" s="27" t="n">
        <v>101504</v>
      </c>
      <c r="B86" s="6" t="s">
        <v>1250</v>
      </c>
      <c r="C86" s="27" t="n">
        <v>101504</v>
      </c>
      <c r="D86" s="6" t="s">
        <v>243</v>
      </c>
      <c r="E86" s="6" t="s">
        <v>1162</v>
      </c>
      <c r="F86" s="6" t="s">
        <v>1251</v>
      </c>
      <c r="G86" s="6" t="s">
        <v>1164</v>
      </c>
      <c r="H86" s="6" t="s">
        <v>244</v>
      </c>
      <c r="I86" s="6" t="s">
        <v>26</v>
      </c>
      <c r="J86" s="6" t="s">
        <v>26</v>
      </c>
      <c r="K86" s="6" t="s">
        <v>26</v>
      </c>
      <c r="L86" s="6" t="s">
        <v>26</v>
      </c>
      <c r="N86" s="6" t="s">
        <v>1023</v>
      </c>
      <c r="O86" s="6" t="s">
        <v>1239</v>
      </c>
      <c r="P86" s="6" t="n">
        <v>1</v>
      </c>
      <c r="R86" s="6" t="s">
        <v>1152</v>
      </c>
      <c r="U86" s="6" t="n">
        <v>233630</v>
      </c>
      <c r="V86" s="28" t="n">
        <v>233630</v>
      </c>
      <c r="W86" s="29" t="n">
        <v>0.14</v>
      </c>
      <c r="X86" s="6" t="n">
        <v>0.055</v>
      </c>
      <c r="Y86" s="29" t="n">
        <v>0.12</v>
      </c>
      <c r="Z86" s="30"/>
      <c r="AA86" s="29" t="n">
        <v>0.04</v>
      </c>
      <c r="AB86" s="31" t="n">
        <v>316568.65</v>
      </c>
      <c r="AE86" s="6" t="n">
        <v>316568.65</v>
      </c>
      <c r="AF86" s="6" t="s">
        <v>58</v>
      </c>
      <c r="AG86" s="6" t="n">
        <v>0</v>
      </c>
      <c r="AH86" s="30" t="s">
        <v>1165</v>
      </c>
      <c r="AI86" s="6" t="n">
        <v>0</v>
      </c>
      <c r="AJ86" s="6" t="s">
        <v>244</v>
      </c>
      <c r="AK86" s="6" t="s">
        <v>988</v>
      </c>
      <c r="AL86" s="6" t="s">
        <v>244</v>
      </c>
      <c r="AM86" s="6" t="n">
        <v>0</v>
      </c>
      <c r="AQ86" s="6" t="s">
        <v>242</v>
      </c>
      <c r="AR86" s="6" t="s">
        <v>57</v>
      </c>
    </row>
    <row r="87" customFormat="false" ht="15" hidden="false" customHeight="true" outlineLevel="0" collapsed="false">
      <c r="A87" s="27" t="n">
        <v>101830</v>
      </c>
      <c r="B87" s="6" t="s">
        <v>1252</v>
      </c>
      <c r="C87" s="27" t="n">
        <v>101830</v>
      </c>
      <c r="D87" s="6" t="s">
        <v>246</v>
      </c>
      <c r="E87" s="6" t="s">
        <v>1160</v>
      </c>
      <c r="F87" s="6" t="s">
        <v>1253</v>
      </c>
      <c r="G87" s="6" t="s">
        <v>1164</v>
      </c>
      <c r="H87" s="6" t="s">
        <v>157</v>
      </c>
      <c r="I87" s="6" t="s">
        <v>26</v>
      </c>
      <c r="J87" s="6" t="s">
        <v>26</v>
      </c>
      <c r="K87" s="6" t="s">
        <v>26</v>
      </c>
      <c r="L87" s="6" t="s">
        <v>26</v>
      </c>
      <c r="N87" s="6" t="s">
        <v>1023</v>
      </c>
      <c r="O87" s="6" t="s">
        <v>1239</v>
      </c>
      <c r="P87" s="6" t="n">
        <v>1</v>
      </c>
      <c r="R87" s="6" t="s">
        <v>1152</v>
      </c>
      <c r="U87" s="6" t="n">
        <v>232970</v>
      </c>
      <c r="V87" s="28" t="n">
        <v>232970</v>
      </c>
      <c r="W87" s="29" t="n">
        <v>0.14</v>
      </c>
      <c r="X87" s="6" t="n">
        <v>0.055</v>
      </c>
      <c r="Y87" s="29" t="n">
        <v>0.12</v>
      </c>
      <c r="Z87" s="30"/>
      <c r="AA87" s="29" t="n">
        <v>0.04</v>
      </c>
      <c r="AB87" s="31" t="n">
        <v>315674.35</v>
      </c>
      <c r="AE87" s="6" t="n">
        <v>315674.35</v>
      </c>
      <c r="AF87" s="6" t="s">
        <v>58</v>
      </c>
      <c r="AG87" s="6" t="n">
        <v>0</v>
      </c>
      <c r="AH87" s="30" t="s">
        <v>1254</v>
      </c>
      <c r="AI87" s="6" t="n">
        <v>0</v>
      </c>
      <c r="AJ87" s="6" t="s">
        <v>247</v>
      </c>
      <c r="AK87" s="6" t="s">
        <v>988</v>
      </c>
      <c r="AL87" s="6" t="s">
        <v>247</v>
      </c>
      <c r="AM87" s="6" t="n">
        <v>0</v>
      </c>
      <c r="AQ87" s="6" t="s">
        <v>245</v>
      </c>
      <c r="AR87" s="6" t="s">
        <v>57</v>
      </c>
    </row>
    <row r="88" customFormat="false" ht="15" hidden="false" customHeight="true" outlineLevel="0" collapsed="false">
      <c r="A88" s="27" t="n">
        <v>113956</v>
      </c>
      <c r="B88" s="6" t="s">
        <v>1255</v>
      </c>
      <c r="C88" s="27" t="n">
        <v>113956</v>
      </c>
      <c r="D88" s="6" t="s">
        <v>249</v>
      </c>
      <c r="E88" s="6" t="s">
        <v>1172</v>
      </c>
      <c r="F88" s="6" t="s">
        <v>170</v>
      </c>
      <c r="G88" s="6" t="s">
        <v>1173</v>
      </c>
      <c r="H88" s="6" t="s">
        <v>168</v>
      </c>
      <c r="I88" s="6" t="s">
        <v>1256</v>
      </c>
      <c r="J88" s="6" t="s">
        <v>23</v>
      </c>
      <c r="K88" s="6" t="s">
        <v>173</v>
      </c>
      <c r="N88" s="6" t="s">
        <v>1023</v>
      </c>
      <c r="O88" s="6" t="s">
        <v>1239</v>
      </c>
      <c r="P88" s="6" t="n">
        <v>1</v>
      </c>
      <c r="R88" s="6" t="s">
        <v>1152</v>
      </c>
      <c r="U88" s="6" t="n">
        <v>218390</v>
      </c>
      <c r="V88" s="28" t="n">
        <v>218390</v>
      </c>
      <c r="W88" s="29" t="n">
        <v>0.14</v>
      </c>
      <c r="X88" s="6" t="n">
        <v>0.055</v>
      </c>
      <c r="Y88" s="29" t="n">
        <v>0.12</v>
      </c>
      <c r="Z88" s="30"/>
      <c r="AA88" s="29" t="n">
        <v>0.04</v>
      </c>
      <c r="AB88" s="31" t="n">
        <v>295918.45</v>
      </c>
      <c r="AE88" s="6" t="n">
        <v>295918.45</v>
      </c>
      <c r="AF88" s="6" t="s">
        <v>58</v>
      </c>
      <c r="AG88" s="6" t="n">
        <v>0</v>
      </c>
      <c r="AH88" s="30" t="s">
        <v>23</v>
      </c>
      <c r="AI88" s="6" t="n">
        <v>1</v>
      </c>
      <c r="AJ88" s="6" t="s">
        <v>173</v>
      </c>
      <c r="AK88" s="6" t="s">
        <v>988</v>
      </c>
      <c r="AL88" s="6" t="s">
        <v>173</v>
      </c>
      <c r="AM88" s="6" t="n">
        <v>0</v>
      </c>
      <c r="AQ88" s="6" t="s">
        <v>248</v>
      </c>
      <c r="AR88" s="6" t="s">
        <v>57</v>
      </c>
    </row>
    <row r="89" customFormat="false" ht="15" hidden="false" customHeight="true" outlineLevel="0" collapsed="false">
      <c r="A89" s="27" t="n">
        <v>114067</v>
      </c>
      <c r="B89" s="6" t="s">
        <v>1257</v>
      </c>
      <c r="C89" s="27" t="n">
        <v>114067</v>
      </c>
      <c r="D89" s="6" t="s">
        <v>251</v>
      </c>
      <c r="E89" s="6" t="s">
        <v>1172</v>
      </c>
      <c r="F89" s="6" t="s">
        <v>170</v>
      </c>
      <c r="G89" s="6" t="s">
        <v>1173</v>
      </c>
      <c r="H89" s="6" t="s">
        <v>168</v>
      </c>
      <c r="I89" s="6" t="s">
        <v>414</v>
      </c>
      <c r="J89" s="6" t="s">
        <v>23</v>
      </c>
      <c r="K89" s="6" t="s">
        <v>173</v>
      </c>
      <c r="N89" s="6" t="s">
        <v>1023</v>
      </c>
      <c r="O89" s="6" t="s">
        <v>1239</v>
      </c>
      <c r="P89" s="6" t="n">
        <v>1</v>
      </c>
      <c r="R89" s="6" t="s">
        <v>1152</v>
      </c>
      <c r="U89" s="6" t="n">
        <v>243850</v>
      </c>
      <c r="V89" s="28" t="n">
        <v>243850</v>
      </c>
      <c r="W89" s="29" t="n">
        <v>0.14</v>
      </c>
      <c r="X89" s="6" t="n">
        <v>0.055</v>
      </c>
      <c r="Y89" s="29" t="n">
        <v>0.12</v>
      </c>
      <c r="Z89" s="30"/>
      <c r="AA89" s="29" t="n">
        <v>0.04</v>
      </c>
      <c r="AB89" s="31" t="n">
        <v>330416.75</v>
      </c>
      <c r="AE89" s="6" t="n">
        <v>330416.75</v>
      </c>
      <c r="AF89" s="6" t="s">
        <v>58</v>
      </c>
      <c r="AG89" s="6" t="n">
        <v>0</v>
      </c>
      <c r="AH89" s="30" t="s">
        <v>23</v>
      </c>
      <c r="AI89" s="6" t="n">
        <v>1</v>
      </c>
      <c r="AJ89" s="6" t="s">
        <v>173</v>
      </c>
      <c r="AK89" s="6" t="s">
        <v>165</v>
      </c>
      <c r="AL89" s="6" t="s">
        <v>165</v>
      </c>
      <c r="AM89" s="6" t="n">
        <v>0</v>
      </c>
      <c r="AQ89" s="6" t="s">
        <v>250</v>
      </c>
      <c r="AR89" s="6" t="s">
        <v>57</v>
      </c>
    </row>
    <row r="90" customFormat="false" ht="15" hidden="false" customHeight="true" outlineLevel="0" collapsed="false">
      <c r="A90" s="27" t="n">
        <v>115524</v>
      </c>
      <c r="B90" s="6" t="s">
        <v>1258</v>
      </c>
      <c r="C90" s="27" t="n">
        <v>115524</v>
      </c>
      <c r="D90" s="6" t="s">
        <v>55</v>
      </c>
      <c r="E90" s="6" t="s">
        <v>1181</v>
      </c>
      <c r="F90" s="6" t="s">
        <v>1182</v>
      </c>
      <c r="G90" s="6" t="s">
        <v>1173</v>
      </c>
      <c r="H90" s="6" t="s">
        <v>1183</v>
      </c>
      <c r="J90" s="6" t="s">
        <v>23</v>
      </c>
      <c r="K90" s="6" t="s">
        <v>168</v>
      </c>
      <c r="L90" s="6" t="s">
        <v>1259</v>
      </c>
      <c r="N90" s="6" t="s">
        <v>109</v>
      </c>
      <c r="O90" s="6" t="s">
        <v>1239</v>
      </c>
      <c r="P90" s="6" t="n">
        <v>1</v>
      </c>
      <c r="R90" s="6" t="s">
        <v>1152</v>
      </c>
      <c r="U90" s="6" t="n">
        <v>161600</v>
      </c>
      <c r="V90" s="28" t="n">
        <v>148672</v>
      </c>
      <c r="W90" s="29" t="n">
        <v>0.15</v>
      </c>
      <c r="Y90" s="29" t="n">
        <v>0.05</v>
      </c>
      <c r="Z90" s="30" t="n">
        <v>2910</v>
      </c>
      <c r="AA90" s="29" t="n">
        <v>0.03</v>
      </c>
      <c r="AB90" s="31" t="n">
        <v>185776.56</v>
      </c>
      <c r="AC90" s="6" t="n">
        <v>15175</v>
      </c>
      <c r="AE90" s="6" t="n">
        <v>185776.56</v>
      </c>
      <c r="AF90" s="6" t="s">
        <v>58</v>
      </c>
      <c r="AG90" s="6" t="n">
        <v>0</v>
      </c>
      <c r="AH90" s="30" t="s">
        <v>23</v>
      </c>
      <c r="AI90" s="6" t="n">
        <v>0</v>
      </c>
      <c r="AJ90" s="6" t="s">
        <v>253</v>
      </c>
      <c r="AK90" s="6" t="s">
        <v>988</v>
      </c>
      <c r="AL90" s="6" t="s">
        <v>253</v>
      </c>
      <c r="AM90" s="6" t="n">
        <v>0</v>
      </c>
      <c r="AQ90" s="6" t="s">
        <v>252</v>
      </c>
      <c r="AR90" s="6" t="s">
        <v>109</v>
      </c>
    </row>
    <row r="91" customFormat="false" ht="15" hidden="false" customHeight="true" outlineLevel="0" collapsed="false">
      <c r="A91" s="27" t="n">
        <v>115518</v>
      </c>
      <c r="B91" s="6" t="s">
        <v>1260</v>
      </c>
      <c r="C91" s="27" t="n">
        <v>115518</v>
      </c>
      <c r="D91" s="6" t="s">
        <v>1261</v>
      </c>
      <c r="E91" s="6" t="s">
        <v>1204</v>
      </c>
      <c r="F91" s="6" t="s">
        <v>1205</v>
      </c>
      <c r="G91" s="6" t="s">
        <v>1058</v>
      </c>
      <c r="H91" s="6" t="s">
        <v>19</v>
      </c>
      <c r="I91" s="6" t="s">
        <v>1262</v>
      </c>
      <c r="J91" s="6" t="s">
        <v>19</v>
      </c>
      <c r="K91" s="6" t="s">
        <v>173</v>
      </c>
      <c r="L91" s="6" t="s">
        <v>173</v>
      </c>
      <c r="N91" s="6" t="s">
        <v>109</v>
      </c>
      <c r="O91" s="6" t="s">
        <v>1239</v>
      </c>
      <c r="P91" s="6" t="n">
        <v>1</v>
      </c>
      <c r="R91" s="6" t="s">
        <v>1152</v>
      </c>
      <c r="U91" s="6" t="n">
        <v>182640</v>
      </c>
      <c r="V91" s="28" t="n">
        <v>168028.8</v>
      </c>
      <c r="W91" s="29" t="n">
        <v>0.15</v>
      </c>
      <c r="Y91" s="29" t="n">
        <v>0.05</v>
      </c>
      <c r="Z91" s="30" t="n">
        <v>2910</v>
      </c>
      <c r="AA91" s="29" t="n">
        <v>0.03</v>
      </c>
      <c r="AB91" s="31" t="n">
        <v>209585.424</v>
      </c>
      <c r="AE91" s="6" t="n">
        <v>209585.424</v>
      </c>
      <c r="AF91" s="6" t="s">
        <v>58</v>
      </c>
      <c r="AG91" s="6" t="n">
        <v>0</v>
      </c>
      <c r="AH91" s="30" t="s">
        <v>1206</v>
      </c>
      <c r="AI91" s="6" t="n">
        <v>1</v>
      </c>
      <c r="AJ91" s="6" t="s">
        <v>173</v>
      </c>
      <c r="AK91" s="6" t="s">
        <v>165</v>
      </c>
      <c r="AL91" s="6" t="s">
        <v>165</v>
      </c>
      <c r="AM91" s="6" t="n">
        <v>0</v>
      </c>
      <c r="AQ91" s="6" t="s">
        <v>254</v>
      </c>
      <c r="AR91" s="6" t="s">
        <v>109</v>
      </c>
    </row>
    <row r="92" customFormat="false" ht="15" hidden="false" customHeight="true" outlineLevel="0" collapsed="false">
      <c r="A92" s="27" t="n">
        <v>6748</v>
      </c>
      <c r="B92" s="6" t="s">
        <v>1263</v>
      </c>
      <c r="C92" s="27" t="n">
        <v>6748</v>
      </c>
      <c r="D92" s="6" t="s">
        <v>257</v>
      </c>
      <c r="E92" s="6" t="s">
        <v>1204</v>
      </c>
      <c r="F92" s="6" t="s">
        <v>1205</v>
      </c>
      <c r="G92" s="6" t="s">
        <v>1058</v>
      </c>
      <c r="H92" s="6" t="s">
        <v>19</v>
      </c>
      <c r="I92" s="6" t="s">
        <v>1264</v>
      </c>
      <c r="J92" s="6" t="s">
        <v>19</v>
      </c>
      <c r="K92" s="6" t="s">
        <v>173</v>
      </c>
      <c r="L92" s="6" t="s">
        <v>173</v>
      </c>
      <c r="N92" s="6" t="s">
        <v>1023</v>
      </c>
      <c r="O92" s="6" t="s">
        <v>1239</v>
      </c>
      <c r="P92" s="6" t="n">
        <v>1</v>
      </c>
      <c r="R92" s="6" t="s">
        <v>1152</v>
      </c>
      <c r="U92" s="6" t="n">
        <v>217390</v>
      </c>
      <c r="V92" s="28" t="n">
        <v>217390</v>
      </c>
      <c r="W92" s="29" t="n">
        <v>0.14</v>
      </c>
      <c r="X92" s="6" t="n">
        <v>0.055</v>
      </c>
      <c r="Y92" s="29" t="n">
        <v>0.12</v>
      </c>
      <c r="Z92" s="30"/>
      <c r="AA92" s="29" t="n">
        <v>0.04</v>
      </c>
      <c r="AB92" s="31" t="n">
        <v>294563.45</v>
      </c>
      <c r="AE92" s="6" t="n">
        <v>294563.45</v>
      </c>
      <c r="AF92" s="6" t="s">
        <v>58</v>
      </c>
      <c r="AG92" s="6" t="n">
        <v>0</v>
      </c>
      <c r="AH92" s="30" t="s">
        <v>1206</v>
      </c>
      <c r="AI92" s="6" t="n">
        <v>1</v>
      </c>
      <c r="AJ92" s="6" t="s">
        <v>173</v>
      </c>
      <c r="AK92" s="6" t="s">
        <v>165</v>
      </c>
      <c r="AL92" s="6" t="s">
        <v>165</v>
      </c>
      <c r="AM92" s="6" t="n">
        <v>0</v>
      </c>
      <c r="AQ92" s="6" t="s">
        <v>256</v>
      </c>
      <c r="AR92" s="6" t="s">
        <v>57</v>
      </c>
    </row>
    <row r="93" customFormat="false" ht="15" hidden="false" customHeight="true" outlineLevel="0" collapsed="false">
      <c r="A93" s="27" t="s">
        <v>1138</v>
      </c>
      <c r="B93" s="6" t="s">
        <v>1063</v>
      </c>
      <c r="C93" s="27" t="s">
        <v>1138</v>
      </c>
      <c r="D93" s="6" t="s">
        <v>229</v>
      </c>
      <c r="E93" s="6" t="s">
        <v>1204</v>
      </c>
      <c r="F93" s="6" t="s">
        <v>1205</v>
      </c>
      <c r="G93" s="6" t="s">
        <v>1058</v>
      </c>
      <c r="H93" s="6" t="s">
        <v>19</v>
      </c>
      <c r="I93" s="6" t="s">
        <v>173</v>
      </c>
      <c r="J93" s="6" t="s">
        <v>19</v>
      </c>
      <c r="K93" s="6" t="s">
        <v>173</v>
      </c>
      <c r="L93" s="6" t="s">
        <v>173</v>
      </c>
      <c r="N93" s="6" t="s">
        <v>1023</v>
      </c>
      <c r="O93" s="6" t="s">
        <v>1239</v>
      </c>
      <c r="P93" s="6" t="n">
        <v>1</v>
      </c>
      <c r="R93" s="6" t="s">
        <v>1138</v>
      </c>
      <c r="U93" s="6" t="n">
        <v>203550</v>
      </c>
      <c r="V93" s="28" t="n">
        <v>203550</v>
      </c>
      <c r="W93" s="29" t="n">
        <v>0.14</v>
      </c>
      <c r="X93" s="6" t="n">
        <v>0.055</v>
      </c>
      <c r="Y93" s="29" t="n">
        <v>0.12</v>
      </c>
      <c r="Z93" s="30"/>
      <c r="AA93" s="29" t="n">
        <v>0.04</v>
      </c>
      <c r="AB93" s="31" t="n">
        <v>275810.25</v>
      </c>
      <c r="AE93" s="6" t="n">
        <v>275810.25</v>
      </c>
      <c r="AF93" s="6" t="s">
        <v>1063</v>
      </c>
      <c r="AG93" s="6" t="n">
        <v>0</v>
      </c>
      <c r="AH93" s="30" t="s">
        <v>1206</v>
      </c>
      <c r="AI93" s="6" t="n">
        <v>1</v>
      </c>
      <c r="AJ93" s="6" t="s">
        <v>173</v>
      </c>
      <c r="AK93" s="6" t="s">
        <v>205</v>
      </c>
      <c r="AL93" s="6" t="s">
        <v>205</v>
      </c>
      <c r="AM93" s="6" t="n">
        <v>0</v>
      </c>
      <c r="AQ93" s="6" t="s">
        <v>258</v>
      </c>
      <c r="AR93" s="6" t="s">
        <v>57</v>
      </c>
    </row>
    <row r="94" customFormat="false" ht="15" hidden="false" customHeight="true" outlineLevel="0" collapsed="false">
      <c r="A94" s="27" t="n">
        <v>95285</v>
      </c>
      <c r="B94" s="6" t="s">
        <v>1265</v>
      </c>
      <c r="C94" s="27" t="n">
        <v>95285</v>
      </c>
      <c r="D94" s="6" t="s">
        <v>1266</v>
      </c>
      <c r="E94" s="6" t="s">
        <v>1208</v>
      </c>
      <c r="F94" s="6" t="s">
        <v>1267</v>
      </c>
      <c r="G94" s="6" t="s">
        <v>1073</v>
      </c>
      <c r="H94" s="6" t="s">
        <v>1133</v>
      </c>
      <c r="I94" s="6" t="s">
        <v>1268</v>
      </c>
      <c r="J94" s="6" t="s">
        <v>29</v>
      </c>
      <c r="K94" s="6" t="s">
        <v>561</v>
      </c>
      <c r="L94" s="6" t="s">
        <v>173</v>
      </c>
      <c r="N94" s="6" t="s">
        <v>1023</v>
      </c>
      <c r="O94" s="6" t="s">
        <v>1239</v>
      </c>
      <c r="P94" s="6" t="n">
        <v>1</v>
      </c>
      <c r="R94" s="6" t="s">
        <v>1152</v>
      </c>
      <c r="U94" s="6" t="n">
        <v>195680</v>
      </c>
      <c r="V94" s="28" t="n">
        <v>180025.6</v>
      </c>
      <c r="W94" s="29" t="n">
        <v>0.15</v>
      </c>
      <c r="Y94" s="29" t="n">
        <v>0.05</v>
      </c>
      <c r="Z94" s="30" t="n">
        <v>2910</v>
      </c>
      <c r="AA94" s="29" t="n">
        <v>0.03</v>
      </c>
      <c r="AB94" s="31" t="n">
        <v>224341.488</v>
      </c>
      <c r="AE94" s="6" t="n">
        <v>224341.488</v>
      </c>
      <c r="AF94" s="6" t="s">
        <v>58</v>
      </c>
      <c r="AG94" s="6" t="n">
        <v>0</v>
      </c>
      <c r="AH94" s="30" t="s">
        <v>1133</v>
      </c>
      <c r="AI94" s="6" t="n">
        <v>1</v>
      </c>
      <c r="AJ94" s="6" t="s">
        <v>173</v>
      </c>
      <c r="AK94" s="6" t="s">
        <v>165</v>
      </c>
      <c r="AL94" s="6" t="s">
        <v>165</v>
      </c>
      <c r="AM94" s="6" t="n">
        <v>0</v>
      </c>
      <c r="AQ94" s="6" t="s">
        <v>259</v>
      </c>
      <c r="AR94" s="6" t="s">
        <v>57</v>
      </c>
    </row>
    <row r="95" customFormat="false" ht="15" hidden="false" customHeight="true" outlineLevel="0" collapsed="false">
      <c r="A95" s="27" t="n">
        <v>86604</v>
      </c>
      <c r="B95" s="6" t="s">
        <v>1131</v>
      </c>
      <c r="C95" s="27" t="n">
        <v>86604</v>
      </c>
      <c r="D95" s="6" t="s">
        <v>205</v>
      </c>
      <c r="E95" s="6" t="s">
        <v>1208</v>
      </c>
      <c r="F95" s="6" t="s">
        <v>1267</v>
      </c>
      <c r="G95" s="6" t="s">
        <v>1073</v>
      </c>
      <c r="H95" s="6" t="s">
        <v>1133</v>
      </c>
      <c r="I95" s="6" t="s">
        <v>1134</v>
      </c>
      <c r="J95" s="6" t="s">
        <v>29</v>
      </c>
      <c r="K95" s="6" t="s">
        <v>1211</v>
      </c>
      <c r="L95" s="6" t="s">
        <v>173</v>
      </c>
      <c r="N95" s="6" t="s">
        <v>1023</v>
      </c>
      <c r="O95" s="6" t="s">
        <v>1239</v>
      </c>
      <c r="P95" s="6" t="n">
        <v>0.7</v>
      </c>
      <c r="R95" s="6" t="s">
        <v>1105</v>
      </c>
      <c r="U95" s="6" t="n">
        <v>223570</v>
      </c>
      <c r="V95" s="28" t="n">
        <v>223570</v>
      </c>
      <c r="W95" s="29" t="n">
        <v>0.14</v>
      </c>
      <c r="X95" s="6" t="n">
        <v>0.055</v>
      </c>
      <c r="Y95" s="29" t="n">
        <v>0.12</v>
      </c>
      <c r="Z95" s="30"/>
      <c r="AA95" s="29" t="n">
        <v>0.04</v>
      </c>
      <c r="AB95" s="31" t="n">
        <v>302937.35</v>
      </c>
      <c r="AE95" s="6" t="n">
        <v>212056.145</v>
      </c>
      <c r="AF95" s="6" t="s">
        <v>58</v>
      </c>
      <c r="AG95" s="6" t="n">
        <v>0</v>
      </c>
      <c r="AH95" s="30" t="s">
        <v>1133</v>
      </c>
      <c r="AI95" s="6" t="n">
        <v>1</v>
      </c>
      <c r="AJ95" s="6" t="s">
        <v>173</v>
      </c>
      <c r="AK95" s="6" t="s">
        <v>205</v>
      </c>
      <c r="AL95" s="6" t="s">
        <v>205</v>
      </c>
      <c r="AM95" s="6" t="n">
        <v>0</v>
      </c>
      <c r="AQ95" s="6" t="s">
        <v>261</v>
      </c>
      <c r="AR95" s="6" t="s">
        <v>57</v>
      </c>
    </row>
    <row r="96" customFormat="false" ht="15" hidden="false" customHeight="true" outlineLevel="0" collapsed="false">
      <c r="A96" s="27" t="n">
        <v>8904</v>
      </c>
      <c r="B96" s="6" t="s">
        <v>1269</v>
      </c>
      <c r="C96" s="27" t="n">
        <v>8904</v>
      </c>
      <c r="D96" s="6" t="s">
        <v>263</v>
      </c>
      <c r="E96" s="6" t="s">
        <v>1208</v>
      </c>
      <c r="F96" s="6" t="s">
        <v>1267</v>
      </c>
      <c r="G96" s="6" t="s">
        <v>1073</v>
      </c>
      <c r="H96" s="6" t="s">
        <v>1133</v>
      </c>
      <c r="I96" s="6" t="s">
        <v>1270</v>
      </c>
      <c r="J96" s="6" t="s">
        <v>29</v>
      </c>
      <c r="K96" s="6" t="s">
        <v>1271</v>
      </c>
      <c r="L96" s="6" t="s">
        <v>173</v>
      </c>
      <c r="N96" s="6" t="s">
        <v>1023</v>
      </c>
      <c r="O96" s="6" t="s">
        <v>1239</v>
      </c>
      <c r="P96" s="6" t="n">
        <v>1</v>
      </c>
      <c r="R96" s="6" t="s">
        <v>1152</v>
      </c>
      <c r="U96" s="6" t="n">
        <v>210000</v>
      </c>
      <c r="V96" s="28" t="n">
        <v>210000</v>
      </c>
      <c r="W96" s="29" t="n">
        <v>0.14</v>
      </c>
      <c r="X96" s="6" t="n">
        <v>0.055</v>
      </c>
      <c r="Y96" s="29" t="n">
        <v>0.12</v>
      </c>
      <c r="Z96" s="30"/>
      <c r="AA96" s="29" t="n">
        <v>0.04</v>
      </c>
      <c r="AB96" s="31" t="n">
        <v>284550</v>
      </c>
      <c r="AE96" s="6" t="n">
        <v>284550</v>
      </c>
      <c r="AF96" s="6" t="s">
        <v>58</v>
      </c>
      <c r="AG96" s="6" t="n">
        <v>0</v>
      </c>
      <c r="AH96" s="30" t="s">
        <v>1133</v>
      </c>
      <c r="AI96" s="6" t="n">
        <v>1</v>
      </c>
      <c r="AJ96" s="6" t="s">
        <v>173</v>
      </c>
      <c r="AK96" s="6" t="s">
        <v>165</v>
      </c>
      <c r="AL96" s="6" t="s">
        <v>165</v>
      </c>
      <c r="AM96" s="6" t="n">
        <v>0</v>
      </c>
      <c r="AQ96" s="6" t="s">
        <v>262</v>
      </c>
      <c r="AR96" s="6" t="s">
        <v>57</v>
      </c>
    </row>
    <row r="97" customFormat="false" ht="15" hidden="false" customHeight="true" outlineLevel="0" collapsed="false">
      <c r="A97" s="27" t="n">
        <v>117553</v>
      </c>
      <c r="B97" s="6" t="s">
        <v>1272</v>
      </c>
      <c r="C97" s="27" t="n">
        <v>117553</v>
      </c>
      <c r="D97" s="6" t="s">
        <v>265</v>
      </c>
      <c r="E97" s="6" t="s">
        <v>1139</v>
      </c>
      <c r="F97" s="6" t="s">
        <v>1140</v>
      </c>
      <c r="G97" s="6" t="s">
        <v>1141</v>
      </c>
      <c r="H97" s="6" t="s">
        <v>180</v>
      </c>
      <c r="I97" s="6" t="s">
        <v>26</v>
      </c>
      <c r="J97" s="6" t="s">
        <v>26</v>
      </c>
      <c r="K97" s="6" t="s">
        <v>26</v>
      </c>
      <c r="L97" s="6" t="s">
        <v>26</v>
      </c>
      <c r="N97" s="6" t="s">
        <v>1023</v>
      </c>
      <c r="O97" s="6" t="s">
        <v>1239</v>
      </c>
      <c r="P97" s="6" t="n">
        <v>1</v>
      </c>
      <c r="R97" s="6" t="s">
        <v>1152</v>
      </c>
      <c r="U97" s="6" t="n">
        <v>220000</v>
      </c>
      <c r="V97" s="28" t="n">
        <v>220000</v>
      </c>
      <c r="W97" s="29" t="n">
        <v>0.14</v>
      </c>
      <c r="X97" s="6" t="n">
        <v>0.055</v>
      </c>
      <c r="Y97" s="29" t="n">
        <v>0.12</v>
      </c>
      <c r="Z97" s="30"/>
      <c r="AA97" s="29" t="n">
        <v>0.04</v>
      </c>
      <c r="AB97" s="31" t="n">
        <v>298100</v>
      </c>
      <c r="AE97" s="6" t="n">
        <v>298100</v>
      </c>
      <c r="AF97" s="6" t="s">
        <v>58</v>
      </c>
      <c r="AG97" s="6" t="n">
        <v>0</v>
      </c>
      <c r="AH97" s="30" t="s">
        <v>1144</v>
      </c>
      <c r="AI97" s="6" t="n">
        <v>0</v>
      </c>
      <c r="AJ97" s="6" t="s">
        <v>180</v>
      </c>
      <c r="AK97" s="6" t="s">
        <v>1187</v>
      </c>
      <c r="AL97" s="6" t="s">
        <v>180</v>
      </c>
      <c r="AM97" s="6" t="n">
        <v>0</v>
      </c>
      <c r="AQ97" s="6" t="s">
        <v>264</v>
      </c>
      <c r="AR97" s="6" t="s">
        <v>57</v>
      </c>
    </row>
    <row r="98" customFormat="false" ht="15" hidden="false" customHeight="true" outlineLevel="0" collapsed="false">
      <c r="A98" s="27" t="n">
        <v>13925</v>
      </c>
      <c r="B98" s="6" t="s">
        <v>1273</v>
      </c>
      <c r="C98" s="27" t="n">
        <v>13925</v>
      </c>
      <c r="D98" s="6" t="s">
        <v>267</v>
      </c>
      <c r="E98" s="6" t="s">
        <v>1201</v>
      </c>
      <c r="F98" s="6" t="s">
        <v>1202</v>
      </c>
      <c r="G98" s="6" t="s">
        <v>1058</v>
      </c>
      <c r="H98" s="6" t="s">
        <v>20</v>
      </c>
      <c r="I98" s="6" t="s">
        <v>1274</v>
      </c>
      <c r="J98" s="6" t="s">
        <v>20</v>
      </c>
      <c r="K98" s="6" t="s">
        <v>173</v>
      </c>
      <c r="L98" s="6" t="s">
        <v>173</v>
      </c>
      <c r="N98" s="6" t="s">
        <v>1023</v>
      </c>
      <c r="O98" s="6" t="s">
        <v>1239</v>
      </c>
      <c r="P98" s="6" t="n">
        <v>1</v>
      </c>
      <c r="R98" s="6" t="s">
        <v>1152</v>
      </c>
      <c r="U98" s="6" t="n">
        <v>212020</v>
      </c>
      <c r="V98" s="28" t="n">
        <v>212020</v>
      </c>
      <c r="W98" s="29" t="n">
        <v>0.14</v>
      </c>
      <c r="X98" s="6" t="n">
        <v>0.055</v>
      </c>
      <c r="Y98" s="29" t="n">
        <v>0.12</v>
      </c>
      <c r="Z98" s="30"/>
      <c r="AA98" s="29" t="n">
        <v>0.04</v>
      </c>
      <c r="AB98" s="31" t="n">
        <v>287287.1</v>
      </c>
      <c r="AE98" s="6" t="n">
        <v>287287.1</v>
      </c>
      <c r="AF98" s="6" t="s">
        <v>58</v>
      </c>
      <c r="AG98" s="6" t="n">
        <v>0</v>
      </c>
      <c r="AH98" s="30" t="s">
        <v>20</v>
      </c>
      <c r="AI98" s="6" t="n">
        <v>1</v>
      </c>
      <c r="AJ98" s="6" t="s">
        <v>173</v>
      </c>
      <c r="AK98" s="6" t="s">
        <v>165</v>
      </c>
      <c r="AL98" s="6" t="s">
        <v>165</v>
      </c>
      <c r="AM98" s="6" t="n">
        <v>0</v>
      </c>
      <c r="AQ98" s="6" t="s">
        <v>266</v>
      </c>
      <c r="AR98" s="6" t="s">
        <v>57</v>
      </c>
    </row>
    <row r="99" customFormat="false" ht="15" hidden="false" customHeight="true" outlineLevel="0" collapsed="false">
      <c r="A99" s="27" t="s">
        <v>1138</v>
      </c>
      <c r="B99" s="6" t="s">
        <v>1063</v>
      </c>
      <c r="C99" s="27" t="s">
        <v>1138</v>
      </c>
      <c r="D99" s="6" t="s">
        <v>205</v>
      </c>
      <c r="E99" s="6" t="s">
        <v>1201</v>
      </c>
      <c r="F99" s="6" t="s">
        <v>1202</v>
      </c>
      <c r="G99" s="6" t="s">
        <v>1058</v>
      </c>
      <c r="H99" s="6" t="s">
        <v>20</v>
      </c>
      <c r="I99" s="6" t="s">
        <v>1275</v>
      </c>
      <c r="J99" s="6" t="s">
        <v>20</v>
      </c>
      <c r="K99" s="6" t="s">
        <v>173</v>
      </c>
      <c r="L99" s="6" t="s">
        <v>173</v>
      </c>
      <c r="N99" s="6" t="s">
        <v>1023</v>
      </c>
      <c r="O99" s="6" t="s">
        <v>1239</v>
      </c>
      <c r="P99" s="6" t="n">
        <v>1</v>
      </c>
      <c r="R99" s="6" t="s">
        <v>1138</v>
      </c>
      <c r="U99" s="6" t="n">
        <v>203550</v>
      </c>
      <c r="V99" s="28" t="n">
        <v>203550</v>
      </c>
      <c r="W99" s="29" t="n">
        <v>0.14</v>
      </c>
      <c r="X99" s="6" t="n">
        <v>0.055</v>
      </c>
      <c r="Y99" s="29" t="n">
        <v>0.12</v>
      </c>
      <c r="Z99" s="30"/>
      <c r="AA99" s="29" t="n">
        <v>0.04</v>
      </c>
      <c r="AB99" s="31" t="n">
        <v>275810.25</v>
      </c>
      <c r="AE99" s="6" t="n">
        <v>275810.25</v>
      </c>
      <c r="AF99" s="6" t="s">
        <v>1063</v>
      </c>
      <c r="AG99" s="6" t="n">
        <v>0</v>
      </c>
      <c r="AH99" s="30" t="s">
        <v>20</v>
      </c>
      <c r="AI99" s="6" t="n">
        <v>1</v>
      </c>
      <c r="AJ99" s="6" t="s">
        <v>173</v>
      </c>
      <c r="AK99" s="6" t="s">
        <v>205</v>
      </c>
      <c r="AL99" s="6" t="s">
        <v>205</v>
      </c>
      <c r="AM99" s="6" t="n">
        <v>0</v>
      </c>
      <c r="AQ99" s="6" t="s">
        <v>268</v>
      </c>
      <c r="AR99" s="6" t="s">
        <v>57</v>
      </c>
    </row>
    <row r="100" customFormat="false" ht="15" hidden="false" customHeight="true" outlineLevel="0" collapsed="false">
      <c r="A100" s="27" t="s">
        <v>1138</v>
      </c>
      <c r="B100" s="6" t="s">
        <v>1063</v>
      </c>
      <c r="C100" s="27" t="s">
        <v>1138</v>
      </c>
      <c r="D100" s="6" t="s">
        <v>270</v>
      </c>
      <c r="E100" s="6" t="s">
        <v>1201</v>
      </c>
      <c r="F100" s="6" t="s">
        <v>1202</v>
      </c>
      <c r="G100" s="6" t="s">
        <v>1058</v>
      </c>
      <c r="H100" s="6" t="s">
        <v>20</v>
      </c>
      <c r="I100" s="6" t="s">
        <v>1276</v>
      </c>
      <c r="J100" s="6" t="s">
        <v>20</v>
      </c>
      <c r="K100" s="6" t="s">
        <v>173</v>
      </c>
      <c r="L100" s="6" t="s">
        <v>173</v>
      </c>
      <c r="N100" s="6" t="s">
        <v>1023</v>
      </c>
      <c r="O100" s="6" t="s">
        <v>1239</v>
      </c>
      <c r="P100" s="6" t="n">
        <v>1</v>
      </c>
      <c r="R100" s="6" t="s">
        <v>1143</v>
      </c>
      <c r="U100" s="6" t="n">
        <v>203550</v>
      </c>
      <c r="V100" s="28" t="n">
        <v>203550</v>
      </c>
      <c r="W100" s="29" t="n">
        <v>0.14</v>
      </c>
      <c r="X100" s="6" t="n">
        <v>0.055</v>
      </c>
      <c r="Y100" s="29" t="n">
        <v>0.12</v>
      </c>
      <c r="Z100" s="30"/>
      <c r="AA100" s="29" t="n">
        <v>0.04</v>
      </c>
      <c r="AB100" s="31" t="n">
        <v>275810.25</v>
      </c>
      <c r="AE100" s="6" t="n">
        <v>275810.25</v>
      </c>
      <c r="AF100" s="6" t="s">
        <v>1063</v>
      </c>
      <c r="AG100" s="6" t="n">
        <v>0</v>
      </c>
      <c r="AH100" s="30" t="s">
        <v>20</v>
      </c>
      <c r="AI100" s="6" t="n">
        <v>1</v>
      </c>
      <c r="AJ100" s="6" t="s">
        <v>173</v>
      </c>
      <c r="AK100" s="6" t="s">
        <v>165</v>
      </c>
      <c r="AL100" s="6" t="s">
        <v>165</v>
      </c>
      <c r="AM100" s="6" t="n">
        <v>0</v>
      </c>
      <c r="AQ100" s="6" t="s">
        <v>269</v>
      </c>
      <c r="AR100" s="6" t="s">
        <v>57</v>
      </c>
    </row>
    <row r="101" customFormat="false" ht="15" hidden="false" customHeight="true" outlineLevel="0" collapsed="false">
      <c r="A101" s="27" t="n">
        <v>113900</v>
      </c>
      <c r="B101" s="6" t="s">
        <v>1277</v>
      </c>
      <c r="C101" s="27" t="n">
        <v>113900</v>
      </c>
      <c r="D101" s="6" t="s">
        <v>1278</v>
      </c>
      <c r="E101" s="6" t="s">
        <v>1166</v>
      </c>
      <c r="G101" s="6" t="s">
        <v>1164</v>
      </c>
      <c r="H101" s="6" t="s">
        <v>160</v>
      </c>
      <c r="I101" s="6" t="s">
        <v>26</v>
      </c>
      <c r="J101" s="6" t="s">
        <v>26</v>
      </c>
      <c r="K101" s="6" t="s">
        <v>26</v>
      </c>
      <c r="L101" s="6" t="s">
        <v>26</v>
      </c>
      <c r="N101" s="6" t="s">
        <v>1023</v>
      </c>
      <c r="O101" s="6" t="s">
        <v>1239</v>
      </c>
      <c r="P101" s="6" t="n">
        <v>1</v>
      </c>
      <c r="R101" s="6" t="s">
        <v>1152</v>
      </c>
      <c r="U101" s="6" t="n">
        <v>200790</v>
      </c>
      <c r="V101" s="28" t="n">
        <v>200790</v>
      </c>
      <c r="W101" s="29" t="n">
        <v>0.14</v>
      </c>
      <c r="X101" s="6" t="n">
        <v>0.055</v>
      </c>
      <c r="Y101" s="29" t="n">
        <v>0.12</v>
      </c>
      <c r="Z101" s="30"/>
      <c r="AA101" s="29" t="n">
        <v>0.04</v>
      </c>
      <c r="AB101" s="31" t="n">
        <v>272070.45</v>
      </c>
      <c r="AE101" s="6" t="n">
        <v>272070.45</v>
      </c>
      <c r="AF101" s="6" t="s">
        <v>58</v>
      </c>
      <c r="AG101" s="6" t="n">
        <v>0</v>
      </c>
      <c r="AH101" s="30" t="s">
        <v>1169</v>
      </c>
      <c r="AI101" s="6" t="n">
        <v>0</v>
      </c>
      <c r="AJ101" s="6" t="s">
        <v>160</v>
      </c>
      <c r="AK101" s="6" t="s">
        <v>988</v>
      </c>
      <c r="AL101" s="6" t="s">
        <v>160</v>
      </c>
      <c r="AM101" s="6" t="n">
        <v>0</v>
      </c>
      <c r="AQ101" s="6" t="s">
        <v>271</v>
      </c>
      <c r="AR101" s="6" t="s">
        <v>57</v>
      </c>
    </row>
    <row r="102" customFormat="false" ht="15" hidden="false" customHeight="true" outlineLevel="0" collapsed="false">
      <c r="A102" s="27" t="n">
        <v>106404</v>
      </c>
      <c r="B102" s="6" t="s">
        <v>1279</v>
      </c>
      <c r="C102" s="27" t="n">
        <v>106404</v>
      </c>
      <c r="D102" s="6" t="s">
        <v>274</v>
      </c>
      <c r="E102" s="6" t="s">
        <v>1198</v>
      </c>
      <c r="F102" s="6" t="s">
        <v>1199</v>
      </c>
      <c r="G102" s="6" t="s">
        <v>1058</v>
      </c>
      <c r="H102" s="6" t="s">
        <v>173</v>
      </c>
      <c r="I102" s="6" t="s">
        <v>173</v>
      </c>
      <c r="J102" s="6" t="s">
        <v>20</v>
      </c>
      <c r="K102" s="6" t="s">
        <v>275</v>
      </c>
      <c r="L102" s="6" t="s">
        <v>275</v>
      </c>
      <c r="N102" s="6" t="s">
        <v>1023</v>
      </c>
      <c r="O102" s="6" t="s">
        <v>1239</v>
      </c>
      <c r="P102" s="6" t="n">
        <v>1</v>
      </c>
      <c r="R102" s="6" t="s">
        <v>1152</v>
      </c>
      <c r="U102" s="6" t="n">
        <v>238890</v>
      </c>
      <c r="V102" s="28" t="n">
        <v>238890</v>
      </c>
      <c r="W102" s="29" t="n">
        <v>0.14</v>
      </c>
      <c r="X102" s="6" t="n">
        <v>0.055</v>
      </c>
      <c r="Y102" s="29" t="n">
        <v>0.12</v>
      </c>
      <c r="Z102" s="30"/>
      <c r="AA102" s="29" t="n">
        <v>0.04</v>
      </c>
      <c r="AB102" s="31" t="n">
        <v>323695.95</v>
      </c>
      <c r="AE102" s="6" t="n">
        <v>323695.95</v>
      </c>
      <c r="AF102" s="6" t="s">
        <v>58</v>
      </c>
      <c r="AG102" s="6" t="n">
        <v>0</v>
      </c>
      <c r="AH102" s="30" t="s">
        <v>20</v>
      </c>
      <c r="AI102" s="6" t="n">
        <v>0</v>
      </c>
      <c r="AJ102" s="6" t="s">
        <v>275</v>
      </c>
      <c r="AK102" s="6" t="s">
        <v>988</v>
      </c>
      <c r="AL102" s="6" t="s">
        <v>275</v>
      </c>
      <c r="AM102" s="6" t="n">
        <v>0</v>
      </c>
      <c r="AQ102" s="6" t="s">
        <v>273</v>
      </c>
      <c r="AR102" s="6" t="s">
        <v>57</v>
      </c>
    </row>
    <row r="103" customFormat="false" ht="15" hidden="false" customHeight="true" outlineLevel="0" collapsed="false">
      <c r="A103" s="27" t="n">
        <v>115483</v>
      </c>
      <c r="B103" s="6" t="s">
        <v>1280</v>
      </c>
      <c r="C103" s="27" t="n">
        <v>115483</v>
      </c>
      <c r="D103" s="6" t="s">
        <v>277</v>
      </c>
      <c r="E103" s="6" t="s">
        <v>1063</v>
      </c>
      <c r="F103" s="6" t="s">
        <v>175</v>
      </c>
      <c r="G103" s="6" t="s">
        <v>1173</v>
      </c>
      <c r="H103" s="6" t="s">
        <v>278</v>
      </c>
      <c r="I103" s="6" t="s">
        <v>278</v>
      </c>
      <c r="N103" s="6" t="s">
        <v>109</v>
      </c>
      <c r="O103" s="6" t="s">
        <v>1239</v>
      </c>
      <c r="P103" s="6" t="n">
        <v>1</v>
      </c>
      <c r="R103" s="6" t="s">
        <v>1152</v>
      </c>
      <c r="U103" s="6" t="n">
        <v>211940</v>
      </c>
      <c r="V103" s="28" t="n">
        <v>194984.8</v>
      </c>
      <c r="W103" s="29" t="n">
        <v>0.15</v>
      </c>
      <c r="Y103" s="29" t="n">
        <v>0.05</v>
      </c>
      <c r="Z103" s="30" t="n">
        <v>2910</v>
      </c>
      <c r="AA103" s="29" t="n">
        <v>0.03</v>
      </c>
      <c r="AB103" s="31" t="n">
        <v>242741.304</v>
      </c>
      <c r="AE103" s="6" t="n">
        <v>242741.304</v>
      </c>
      <c r="AF103" s="6" t="s">
        <v>58</v>
      </c>
      <c r="AG103" s="6" t="n">
        <v>0</v>
      </c>
      <c r="AH103" s="30" t="s">
        <v>1178</v>
      </c>
      <c r="AI103" s="6" t="n">
        <v>0</v>
      </c>
      <c r="AJ103" s="6" t="s">
        <v>278</v>
      </c>
      <c r="AK103" s="6" t="s">
        <v>1281</v>
      </c>
      <c r="AL103" s="6" t="s">
        <v>278</v>
      </c>
      <c r="AM103" s="6" t="n">
        <v>0</v>
      </c>
      <c r="AQ103" s="6" t="s">
        <v>276</v>
      </c>
      <c r="AR103" s="6" t="s">
        <v>109</v>
      </c>
    </row>
    <row r="104" customFormat="false" ht="15" hidden="false" customHeight="true" outlineLevel="0" collapsed="false">
      <c r="A104" s="27" t="n">
        <v>113559</v>
      </c>
      <c r="B104" s="6" t="s">
        <v>1282</v>
      </c>
      <c r="C104" s="27" t="n">
        <v>113559</v>
      </c>
      <c r="D104" s="6" t="s">
        <v>280</v>
      </c>
      <c r="E104" s="6" t="s">
        <v>1063</v>
      </c>
      <c r="F104" s="6" t="s">
        <v>175</v>
      </c>
      <c r="G104" s="6" t="s">
        <v>1173</v>
      </c>
      <c r="H104" s="6" t="s">
        <v>278</v>
      </c>
      <c r="I104" s="6" t="s">
        <v>278</v>
      </c>
      <c r="N104" s="6" t="s">
        <v>109</v>
      </c>
      <c r="O104" s="6" t="s">
        <v>1239</v>
      </c>
      <c r="P104" s="6" t="n">
        <v>1</v>
      </c>
      <c r="R104" s="6" t="s">
        <v>1152</v>
      </c>
      <c r="U104" s="6" t="n">
        <v>186780</v>
      </c>
      <c r="V104" s="28" t="n">
        <v>171837.6</v>
      </c>
      <c r="W104" s="29" t="n">
        <v>0.15</v>
      </c>
      <c r="Y104" s="29" t="n">
        <v>0.05</v>
      </c>
      <c r="Z104" s="30" t="n">
        <v>2910</v>
      </c>
      <c r="AA104" s="29" t="n">
        <v>0.03</v>
      </c>
      <c r="AB104" s="31" t="n">
        <v>214270.248</v>
      </c>
      <c r="AE104" s="6" t="n">
        <v>214270.248</v>
      </c>
      <c r="AF104" s="6" t="s">
        <v>58</v>
      </c>
      <c r="AG104" s="6" t="n">
        <v>0</v>
      </c>
      <c r="AH104" s="30" t="s">
        <v>1178</v>
      </c>
      <c r="AI104" s="6" t="n">
        <v>0</v>
      </c>
      <c r="AJ104" s="6" t="s">
        <v>278</v>
      </c>
      <c r="AK104" s="6" t="s">
        <v>1281</v>
      </c>
      <c r="AL104" s="6" t="s">
        <v>278</v>
      </c>
      <c r="AM104" s="6" t="n">
        <v>0</v>
      </c>
      <c r="AQ104" s="6" t="s">
        <v>279</v>
      </c>
      <c r="AR104" s="6" t="s">
        <v>109</v>
      </c>
    </row>
    <row r="105" customFormat="false" ht="15" hidden="false" customHeight="true" outlineLevel="0" collapsed="false">
      <c r="A105" s="27" t="n">
        <v>113595</v>
      </c>
      <c r="B105" s="6" t="s">
        <v>1283</v>
      </c>
      <c r="C105" s="27" t="n">
        <v>113595</v>
      </c>
      <c r="D105" s="6" t="s">
        <v>1284</v>
      </c>
      <c r="E105" s="6" t="s">
        <v>1063</v>
      </c>
      <c r="F105" s="6" t="s">
        <v>175</v>
      </c>
      <c r="G105" s="6" t="s">
        <v>1173</v>
      </c>
      <c r="H105" s="6" t="s">
        <v>278</v>
      </c>
      <c r="I105" s="6" t="s">
        <v>278</v>
      </c>
      <c r="N105" s="6" t="s">
        <v>109</v>
      </c>
      <c r="O105" s="6" t="s">
        <v>1239</v>
      </c>
      <c r="P105" s="6" t="n">
        <v>1</v>
      </c>
      <c r="R105" s="6" t="s">
        <v>1152</v>
      </c>
      <c r="U105" s="6" t="n">
        <v>206740</v>
      </c>
      <c r="V105" s="28" t="n">
        <v>190200.8</v>
      </c>
      <c r="W105" s="29" t="n">
        <v>0.15</v>
      </c>
      <c r="Y105" s="29" t="n">
        <v>0.05</v>
      </c>
      <c r="Z105" s="30" t="n">
        <v>2910</v>
      </c>
      <c r="AA105" s="29" t="n">
        <v>0.03</v>
      </c>
      <c r="AB105" s="31" t="n">
        <v>236856.984</v>
      </c>
      <c r="AE105" s="6" t="n">
        <v>236856.984</v>
      </c>
      <c r="AF105" s="6" t="s">
        <v>58</v>
      </c>
      <c r="AG105" s="6" t="n">
        <v>0</v>
      </c>
      <c r="AH105" s="30" t="s">
        <v>1178</v>
      </c>
      <c r="AI105" s="6" t="n">
        <v>0</v>
      </c>
      <c r="AJ105" s="6" t="s">
        <v>278</v>
      </c>
      <c r="AK105" s="6" t="s">
        <v>1281</v>
      </c>
      <c r="AL105" s="6" t="s">
        <v>278</v>
      </c>
      <c r="AM105" s="6" t="n">
        <v>0</v>
      </c>
      <c r="AQ105" s="6" t="s">
        <v>281</v>
      </c>
      <c r="AR105" s="6" t="s">
        <v>109</v>
      </c>
    </row>
    <row r="106" customFormat="false" ht="15" hidden="false" customHeight="true" outlineLevel="0" collapsed="false">
      <c r="A106" s="27" t="n">
        <v>113017</v>
      </c>
      <c r="B106" s="6" t="s">
        <v>1285</v>
      </c>
      <c r="C106" s="27" t="n">
        <v>113017</v>
      </c>
      <c r="D106" s="6" t="s">
        <v>1286</v>
      </c>
      <c r="E106" s="6" t="s">
        <v>1063</v>
      </c>
      <c r="F106" s="6" t="s">
        <v>1154</v>
      </c>
      <c r="G106" s="6" t="s">
        <v>1076</v>
      </c>
      <c r="H106" s="6" t="s">
        <v>1086</v>
      </c>
      <c r="J106" s="6" t="s">
        <v>30</v>
      </c>
      <c r="K106" s="6" t="s">
        <v>30</v>
      </c>
      <c r="L106" s="6" t="s">
        <v>173</v>
      </c>
      <c r="N106" s="6" t="s">
        <v>1023</v>
      </c>
      <c r="O106" s="6" t="s">
        <v>1239</v>
      </c>
      <c r="P106" s="6" t="n">
        <v>1</v>
      </c>
      <c r="R106" s="6" t="s">
        <v>1152</v>
      </c>
      <c r="U106" s="6" t="n">
        <v>203550</v>
      </c>
      <c r="V106" s="28" t="n">
        <v>203550</v>
      </c>
      <c r="W106" s="29" t="n">
        <v>0.14</v>
      </c>
      <c r="X106" s="6" t="n">
        <v>0.055</v>
      </c>
      <c r="Y106" s="29" t="n">
        <v>0.12</v>
      </c>
      <c r="Z106" s="30"/>
      <c r="AA106" s="29" t="n">
        <v>0.04</v>
      </c>
      <c r="AB106" s="31" t="n">
        <v>275810.25</v>
      </c>
      <c r="AE106" s="6" t="n">
        <v>275810.25</v>
      </c>
      <c r="AF106" s="6" t="s">
        <v>58</v>
      </c>
      <c r="AG106" s="6" t="n">
        <v>0</v>
      </c>
      <c r="AH106" s="30" t="s">
        <v>1076</v>
      </c>
      <c r="AI106" s="6" t="n">
        <v>1</v>
      </c>
      <c r="AJ106" s="6" t="s">
        <v>173</v>
      </c>
      <c r="AK106" s="6" t="s">
        <v>165</v>
      </c>
      <c r="AL106" s="6" t="s">
        <v>165</v>
      </c>
      <c r="AM106" s="6" t="n">
        <v>0</v>
      </c>
      <c r="AQ106" s="6" t="s">
        <v>283</v>
      </c>
      <c r="AR106" s="6" t="s">
        <v>57</v>
      </c>
    </row>
    <row r="107" customFormat="false" ht="15" hidden="false" customHeight="true" outlineLevel="0" collapsed="false">
      <c r="A107" s="27" t="n">
        <v>115509</v>
      </c>
      <c r="B107" s="6" t="s">
        <v>1287</v>
      </c>
      <c r="C107" s="27" t="n">
        <v>115509</v>
      </c>
      <c r="D107" s="6" t="s">
        <v>1288</v>
      </c>
      <c r="E107" s="6" t="s">
        <v>1063</v>
      </c>
      <c r="F107" s="6" t="s">
        <v>1289</v>
      </c>
      <c r="G107" s="6" t="s">
        <v>1076</v>
      </c>
      <c r="H107" s="6" t="s">
        <v>1290</v>
      </c>
      <c r="J107" s="6" t="s">
        <v>30</v>
      </c>
      <c r="K107" s="6" t="s">
        <v>30</v>
      </c>
      <c r="L107" s="6" t="s">
        <v>173</v>
      </c>
      <c r="N107" s="6" t="s">
        <v>109</v>
      </c>
      <c r="O107" s="6" t="s">
        <v>1239</v>
      </c>
      <c r="P107" s="6" t="n">
        <v>1</v>
      </c>
      <c r="R107" s="6" t="s">
        <v>1152</v>
      </c>
      <c r="U107" s="6" t="n">
        <v>193150</v>
      </c>
      <c r="V107" s="28" t="n">
        <v>177698</v>
      </c>
      <c r="W107" s="29" t="n">
        <v>0.15</v>
      </c>
      <c r="Y107" s="29" t="n">
        <v>0.05</v>
      </c>
      <c r="Z107" s="30" t="n">
        <v>2910</v>
      </c>
      <c r="AA107" s="29" t="n">
        <v>0.03</v>
      </c>
      <c r="AB107" s="31" t="n">
        <v>221478.54</v>
      </c>
      <c r="AE107" s="6" t="n">
        <v>221478.54</v>
      </c>
      <c r="AF107" s="6" t="s">
        <v>58</v>
      </c>
      <c r="AG107" s="6" t="n">
        <v>0</v>
      </c>
      <c r="AH107" s="30" t="s">
        <v>1076</v>
      </c>
      <c r="AI107" s="6" t="n">
        <v>1</v>
      </c>
      <c r="AJ107" s="6" t="s">
        <v>173</v>
      </c>
      <c r="AK107" s="6" t="s">
        <v>165</v>
      </c>
      <c r="AL107" s="6" t="s">
        <v>165</v>
      </c>
      <c r="AM107" s="6" t="n">
        <v>0</v>
      </c>
      <c r="AQ107" s="6" t="s">
        <v>285</v>
      </c>
      <c r="AR107" s="6" t="s">
        <v>109</v>
      </c>
    </row>
    <row r="108" customFormat="false" ht="15" hidden="false" customHeight="true" outlineLevel="0" collapsed="false">
      <c r="A108" s="27" t="n">
        <v>115515</v>
      </c>
      <c r="B108" s="6" t="s">
        <v>1291</v>
      </c>
      <c r="C108" s="27" t="n">
        <v>115515</v>
      </c>
      <c r="D108" s="6" t="s">
        <v>224</v>
      </c>
      <c r="E108" s="6" t="s">
        <v>1063</v>
      </c>
      <c r="F108" s="6" t="s">
        <v>1212</v>
      </c>
      <c r="G108" s="6" t="s">
        <v>1073</v>
      </c>
      <c r="H108" s="6" t="s">
        <v>1074</v>
      </c>
      <c r="I108" s="6" t="s">
        <v>1292</v>
      </c>
      <c r="J108" s="6" t="s">
        <v>31</v>
      </c>
      <c r="K108" s="6" t="s">
        <v>173</v>
      </c>
      <c r="L108" s="6" t="s">
        <v>173</v>
      </c>
      <c r="N108" s="6" t="s">
        <v>109</v>
      </c>
      <c r="O108" s="6" t="s">
        <v>1239</v>
      </c>
      <c r="P108" s="6" t="n">
        <v>1</v>
      </c>
      <c r="R108" s="6" t="s">
        <v>1152</v>
      </c>
      <c r="U108" s="6" t="n">
        <v>206410</v>
      </c>
      <c r="V108" s="28" t="n">
        <v>189897.2</v>
      </c>
      <c r="W108" s="29" t="n">
        <v>0.15</v>
      </c>
      <c r="Y108" s="29" t="n">
        <v>0.05</v>
      </c>
      <c r="Z108" s="30" t="n">
        <v>2910</v>
      </c>
      <c r="AA108" s="29" t="n">
        <v>0.03</v>
      </c>
      <c r="AB108" s="31" t="n">
        <v>236483.556</v>
      </c>
      <c r="AE108" s="6" t="n">
        <v>236483.556</v>
      </c>
      <c r="AF108" s="6" t="s">
        <v>58</v>
      </c>
      <c r="AG108" s="6" t="n">
        <v>0</v>
      </c>
      <c r="AH108" s="30" t="s">
        <v>1214</v>
      </c>
      <c r="AI108" s="6" t="n">
        <v>1</v>
      </c>
      <c r="AJ108" s="6" t="s">
        <v>173</v>
      </c>
      <c r="AK108" s="6" t="s">
        <v>165</v>
      </c>
      <c r="AL108" s="6" t="s">
        <v>165</v>
      </c>
      <c r="AM108" s="6" t="n">
        <v>0</v>
      </c>
      <c r="AQ108" s="6" t="s">
        <v>287</v>
      </c>
      <c r="AR108" s="6" t="s">
        <v>109</v>
      </c>
    </row>
    <row r="109" customFormat="false" ht="15" hidden="false" customHeight="true" outlineLevel="0" collapsed="false">
      <c r="A109" s="27" t="n">
        <v>113442</v>
      </c>
      <c r="B109" s="6" t="s">
        <v>1293</v>
      </c>
      <c r="C109" s="27" t="n">
        <v>113442</v>
      </c>
      <c r="D109" s="6" t="s">
        <v>270</v>
      </c>
      <c r="E109" s="6" t="s">
        <v>1063</v>
      </c>
      <c r="F109" s="6" t="s">
        <v>1212</v>
      </c>
      <c r="G109" s="6" t="s">
        <v>1073</v>
      </c>
      <c r="H109" s="6" t="s">
        <v>1074</v>
      </c>
      <c r="I109" s="6" t="s">
        <v>1075</v>
      </c>
      <c r="J109" s="6" t="s">
        <v>31</v>
      </c>
      <c r="K109" s="6" t="s">
        <v>1213</v>
      </c>
      <c r="L109" s="6" t="s">
        <v>173</v>
      </c>
      <c r="N109" s="6" t="s">
        <v>1023</v>
      </c>
      <c r="O109" s="6" t="s">
        <v>1239</v>
      </c>
      <c r="P109" s="6" t="n">
        <v>1</v>
      </c>
      <c r="Q109" s="33"/>
      <c r="R109" s="6" t="s">
        <v>1152</v>
      </c>
      <c r="U109" s="6" t="n">
        <v>187600</v>
      </c>
      <c r="V109" s="28" t="n">
        <v>187600</v>
      </c>
      <c r="W109" s="29" t="n">
        <v>0.14</v>
      </c>
      <c r="X109" s="6" t="n">
        <v>0.055</v>
      </c>
      <c r="Y109" s="29" t="n">
        <v>0.12</v>
      </c>
      <c r="Z109" s="30"/>
      <c r="AA109" s="29" t="n">
        <v>0.04</v>
      </c>
      <c r="AB109" s="31" t="n">
        <v>254198</v>
      </c>
      <c r="AE109" s="6" t="n">
        <v>254198</v>
      </c>
      <c r="AF109" s="6" t="s">
        <v>58</v>
      </c>
      <c r="AG109" s="6" t="n">
        <v>0</v>
      </c>
      <c r="AH109" s="30" t="s">
        <v>1214</v>
      </c>
      <c r="AI109" s="6" t="n">
        <v>1</v>
      </c>
      <c r="AJ109" s="6" t="s">
        <v>173</v>
      </c>
      <c r="AK109" s="6" t="s">
        <v>165</v>
      </c>
      <c r="AL109" s="6" t="s">
        <v>165</v>
      </c>
      <c r="AM109" s="6" t="n">
        <v>0</v>
      </c>
      <c r="AQ109" s="6" t="s">
        <v>288</v>
      </c>
      <c r="AR109" s="6" t="s">
        <v>57</v>
      </c>
    </row>
    <row r="110" customFormat="false" ht="15" hidden="false" customHeight="true" outlineLevel="0" collapsed="false">
      <c r="A110" s="27" t="s">
        <v>1138</v>
      </c>
      <c r="B110" s="6" t="s">
        <v>1063</v>
      </c>
      <c r="C110" s="27" t="s">
        <v>1138</v>
      </c>
      <c r="D110" s="6" t="s">
        <v>290</v>
      </c>
      <c r="E110" s="6" t="s">
        <v>1063</v>
      </c>
      <c r="F110" s="6" t="s">
        <v>1246</v>
      </c>
      <c r="G110" s="6" t="s">
        <v>1141</v>
      </c>
      <c r="H110" s="6" t="s">
        <v>191</v>
      </c>
      <c r="I110" s="6" t="s">
        <v>26</v>
      </c>
      <c r="J110" s="6" t="s">
        <v>26</v>
      </c>
      <c r="K110" s="6" t="s">
        <v>26</v>
      </c>
      <c r="L110" s="6" t="s">
        <v>26</v>
      </c>
      <c r="N110" s="6" t="s">
        <v>1023</v>
      </c>
      <c r="O110" s="6" t="s">
        <v>1239</v>
      </c>
      <c r="P110" s="6" t="n">
        <v>1</v>
      </c>
      <c r="R110" s="6" t="s">
        <v>1138</v>
      </c>
      <c r="U110" s="6" t="n">
        <v>203550</v>
      </c>
      <c r="V110" s="28" t="n">
        <v>203550</v>
      </c>
      <c r="W110" s="29" t="n">
        <v>0.14</v>
      </c>
      <c r="X110" s="6" t="n">
        <v>0.055</v>
      </c>
      <c r="Y110" s="29" t="n">
        <v>0.12</v>
      </c>
      <c r="Z110" s="30"/>
      <c r="AA110" s="29" t="n">
        <v>0.04</v>
      </c>
      <c r="AB110" s="31" t="n">
        <v>275810.25</v>
      </c>
      <c r="AE110" s="6" t="n">
        <v>275810.25</v>
      </c>
      <c r="AF110" s="6" t="s">
        <v>1063</v>
      </c>
      <c r="AG110" s="6" t="n">
        <v>0</v>
      </c>
      <c r="AH110" s="30" t="s">
        <v>1144</v>
      </c>
      <c r="AI110" s="6" t="n">
        <v>0</v>
      </c>
      <c r="AJ110" s="6" t="s">
        <v>191</v>
      </c>
      <c r="AK110" s="6" t="s">
        <v>205</v>
      </c>
      <c r="AL110" s="6" t="s">
        <v>191</v>
      </c>
      <c r="AM110" s="6" t="n">
        <v>0</v>
      </c>
      <c r="AQ110" s="6" t="s">
        <v>289</v>
      </c>
      <c r="AR110" s="6" t="s">
        <v>57</v>
      </c>
    </row>
    <row r="111" customFormat="false" ht="15" hidden="false" customHeight="true" outlineLevel="0" collapsed="false">
      <c r="A111" s="27" t="s">
        <v>1138</v>
      </c>
      <c r="B111" s="6" t="s">
        <v>1294</v>
      </c>
      <c r="C111" s="27" t="s">
        <v>1138</v>
      </c>
      <c r="D111" s="6" t="s">
        <v>280</v>
      </c>
      <c r="E111" s="6" t="s">
        <v>1063</v>
      </c>
      <c r="F111" s="6" t="s">
        <v>175</v>
      </c>
      <c r="G111" s="6" t="s">
        <v>1173</v>
      </c>
      <c r="H111" s="6" t="s">
        <v>278</v>
      </c>
      <c r="I111" s="6" t="s">
        <v>278</v>
      </c>
      <c r="N111" s="6" t="s">
        <v>1023</v>
      </c>
      <c r="O111" s="6" t="s">
        <v>1239</v>
      </c>
      <c r="P111" s="6" t="n">
        <v>1</v>
      </c>
      <c r="R111" s="6" t="s">
        <v>1295</v>
      </c>
      <c r="U111" s="6" t="n">
        <v>203550</v>
      </c>
      <c r="V111" s="28" t="n">
        <v>203550</v>
      </c>
      <c r="W111" s="29" t="n">
        <v>0.14</v>
      </c>
      <c r="X111" s="6" t="n">
        <v>0.055</v>
      </c>
      <c r="Y111" s="29" t="n">
        <v>0.12</v>
      </c>
      <c r="Z111" s="30"/>
      <c r="AA111" s="29" t="n">
        <v>0.04</v>
      </c>
      <c r="AB111" s="31" t="n">
        <v>275810.25</v>
      </c>
      <c r="AE111" s="6" t="n">
        <v>275810.25</v>
      </c>
      <c r="AF111" s="6" t="s">
        <v>1063</v>
      </c>
      <c r="AG111" s="6" t="n">
        <v>1</v>
      </c>
      <c r="AH111" s="30" t="s">
        <v>1178</v>
      </c>
      <c r="AI111" s="6" t="n">
        <v>0</v>
      </c>
      <c r="AJ111" s="6" t="s">
        <v>278</v>
      </c>
      <c r="AK111" s="6" t="s">
        <v>1281</v>
      </c>
      <c r="AL111" s="6" t="s">
        <v>278</v>
      </c>
      <c r="AM111" s="6" t="n">
        <v>0</v>
      </c>
      <c r="AQ111" s="6" t="s">
        <v>291</v>
      </c>
      <c r="AR111" s="6" t="s">
        <v>57</v>
      </c>
    </row>
    <row r="112" customFormat="false" ht="15" hidden="false" customHeight="true" outlineLevel="0" collapsed="false">
      <c r="A112" s="27" t="s">
        <v>1138</v>
      </c>
      <c r="B112" s="6" t="s">
        <v>1063</v>
      </c>
      <c r="C112" s="27" t="s">
        <v>1138</v>
      </c>
      <c r="D112" s="6" t="s">
        <v>294</v>
      </c>
      <c r="E112" s="6" t="s">
        <v>1063</v>
      </c>
      <c r="F112" s="6" t="s">
        <v>1296</v>
      </c>
      <c r="G112" s="6" t="s">
        <v>1173</v>
      </c>
      <c r="H112" s="6" t="s">
        <v>1185</v>
      </c>
      <c r="I112" s="6" t="s">
        <v>1185</v>
      </c>
      <c r="N112" s="6" t="s">
        <v>1023</v>
      </c>
      <c r="O112" s="6" t="s">
        <v>1239</v>
      </c>
      <c r="P112" s="6" t="n">
        <v>1</v>
      </c>
      <c r="R112" s="6" t="s">
        <v>1138</v>
      </c>
      <c r="U112" s="6" t="n">
        <v>203550</v>
      </c>
      <c r="V112" s="28" t="n">
        <v>203550</v>
      </c>
      <c r="W112" s="29" t="n">
        <v>0.14</v>
      </c>
      <c r="X112" s="6" t="n">
        <v>0.055</v>
      </c>
      <c r="Y112" s="29" t="n">
        <v>0.12</v>
      </c>
      <c r="Z112" s="30"/>
      <c r="AA112" s="29" t="n">
        <v>0.04</v>
      </c>
      <c r="AB112" s="31" t="n">
        <v>275810.25</v>
      </c>
      <c r="AE112" s="6" t="n">
        <v>275810.25</v>
      </c>
      <c r="AF112" s="6" t="s">
        <v>1063</v>
      </c>
      <c r="AG112" s="6" t="n">
        <v>0</v>
      </c>
      <c r="AH112" s="30" t="s">
        <v>1178</v>
      </c>
      <c r="AI112" s="6" t="n">
        <v>0</v>
      </c>
      <c r="AJ112" s="6" t="s">
        <v>1185</v>
      </c>
      <c r="AK112" s="6" t="s">
        <v>988</v>
      </c>
      <c r="AL112" s="6" t="s">
        <v>1185</v>
      </c>
      <c r="AM112" s="6" t="n">
        <v>0</v>
      </c>
      <c r="AQ112" s="6" t="s">
        <v>293</v>
      </c>
      <c r="AR112" s="6" t="s">
        <v>57</v>
      </c>
    </row>
    <row r="113" customFormat="false" ht="15" hidden="false" customHeight="true" outlineLevel="0" collapsed="false">
      <c r="A113" s="27" t="n">
        <v>115521</v>
      </c>
      <c r="B113" s="6" t="s">
        <v>1084</v>
      </c>
      <c r="C113" s="27" t="n">
        <v>115521</v>
      </c>
      <c r="D113" s="6" t="s">
        <v>1297</v>
      </c>
      <c r="E113" s="6" t="s">
        <v>1063</v>
      </c>
      <c r="F113" s="6" t="s">
        <v>1154</v>
      </c>
      <c r="G113" s="6" t="s">
        <v>1076</v>
      </c>
      <c r="H113" s="6" t="s">
        <v>1086</v>
      </c>
      <c r="I113" s="6" t="s">
        <v>1087</v>
      </c>
      <c r="J113" s="6" t="s">
        <v>30</v>
      </c>
      <c r="K113" s="6" t="s">
        <v>30</v>
      </c>
      <c r="L113" s="6" t="s">
        <v>173</v>
      </c>
      <c r="N113" s="6" t="s">
        <v>109</v>
      </c>
      <c r="O113" s="6" t="s">
        <v>1239</v>
      </c>
      <c r="P113" s="6" t="n">
        <v>1</v>
      </c>
      <c r="R113" s="6" t="s">
        <v>1152</v>
      </c>
      <c r="U113" s="6" t="n">
        <v>200000</v>
      </c>
      <c r="V113" s="28" t="n">
        <v>184000</v>
      </c>
      <c r="W113" s="29" t="n">
        <v>0.15</v>
      </c>
      <c r="Y113" s="29" t="n">
        <v>0.05</v>
      </c>
      <c r="Z113" s="30" t="n">
        <v>2910</v>
      </c>
      <c r="AA113" s="29" t="n">
        <v>0.03</v>
      </c>
      <c r="AB113" s="31" t="n">
        <v>229230</v>
      </c>
      <c r="AE113" s="6" t="n">
        <v>229230</v>
      </c>
      <c r="AF113" s="6" t="s">
        <v>58</v>
      </c>
      <c r="AG113" s="6" t="n">
        <v>0</v>
      </c>
      <c r="AH113" s="30" t="s">
        <v>1076</v>
      </c>
      <c r="AI113" s="6" t="n">
        <v>1</v>
      </c>
      <c r="AJ113" s="6" t="s">
        <v>173</v>
      </c>
      <c r="AK113" s="6" t="s">
        <v>165</v>
      </c>
      <c r="AL113" s="6" t="s">
        <v>165</v>
      </c>
      <c r="AM113" s="6" t="n">
        <v>0</v>
      </c>
      <c r="AQ113" s="6" t="s">
        <v>296</v>
      </c>
      <c r="AR113" s="6" t="s">
        <v>109</v>
      </c>
    </row>
    <row r="114" customFormat="false" ht="15" hidden="false" customHeight="true" outlineLevel="0" collapsed="false">
      <c r="A114" s="27" t="s">
        <v>1138</v>
      </c>
      <c r="B114" s="6" t="s">
        <v>1063</v>
      </c>
      <c r="C114" s="27" t="s">
        <v>1138</v>
      </c>
      <c r="D114" s="6" t="s">
        <v>205</v>
      </c>
      <c r="E114" s="6" t="s">
        <v>1063</v>
      </c>
      <c r="F114" s="6" t="s">
        <v>1154</v>
      </c>
      <c r="G114" s="6" t="s">
        <v>1076</v>
      </c>
      <c r="H114" s="6" t="s">
        <v>1086</v>
      </c>
      <c r="J114" s="6" t="s">
        <v>30</v>
      </c>
      <c r="K114" s="6" t="s">
        <v>30</v>
      </c>
      <c r="L114" s="6" t="s">
        <v>173</v>
      </c>
      <c r="N114" s="6" t="s">
        <v>1023</v>
      </c>
      <c r="O114" s="6" t="s">
        <v>1239</v>
      </c>
      <c r="P114" s="6" t="n">
        <v>1</v>
      </c>
      <c r="R114" s="6" t="s">
        <v>1138</v>
      </c>
      <c r="U114" s="6" t="n">
        <v>203550</v>
      </c>
      <c r="V114" s="28" t="n">
        <v>203550</v>
      </c>
      <c r="W114" s="29" t="n">
        <v>0.14</v>
      </c>
      <c r="X114" s="6" t="n">
        <v>0.055</v>
      </c>
      <c r="Y114" s="29" t="n">
        <v>0.12</v>
      </c>
      <c r="Z114" s="30"/>
      <c r="AA114" s="29" t="n">
        <v>0.04</v>
      </c>
      <c r="AB114" s="31" t="n">
        <v>275810.25</v>
      </c>
      <c r="AE114" s="6" t="n">
        <v>275810.25</v>
      </c>
      <c r="AF114" s="6" t="s">
        <v>1063</v>
      </c>
      <c r="AG114" s="6" t="n">
        <v>0</v>
      </c>
      <c r="AH114" s="30" t="s">
        <v>1076</v>
      </c>
      <c r="AI114" s="6" t="n">
        <v>1</v>
      </c>
      <c r="AJ114" s="6" t="s">
        <v>173</v>
      </c>
      <c r="AK114" s="6" t="s">
        <v>205</v>
      </c>
      <c r="AL114" s="6" t="s">
        <v>205</v>
      </c>
      <c r="AM114" s="6" t="n">
        <v>0</v>
      </c>
      <c r="AQ114" s="6" t="s">
        <v>298</v>
      </c>
      <c r="AR114" s="6" t="s">
        <v>57</v>
      </c>
    </row>
    <row r="115" customFormat="false" ht="15" hidden="false" customHeight="true" outlineLevel="0" collapsed="false">
      <c r="A115" s="27" t="s">
        <v>1138</v>
      </c>
      <c r="B115" s="6" t="s">
        <v>1063</v>
      </c>
      <c r="C115" s="27" t="s">
        <v>1138</v>
      </c>
      <c r="D115" s="6" t="s">
        <v>1298</v>
      </c>
      <c r="E115" s="6" t="s">
        <v>1063</v>
      </c>
      <c r="F115" s="6" t="s">
        <v>1154</v>
      </c>
      <c r="G115" s="6" t="s">
        <v>1076</v>
      </c>
      <c r="H115" s="6" t="s">
        <v>1290</v>
      </c>
      <c r="I115" s="6" t="s">
        <v>1299</v>
      </c>
      <c r="J115" s="6" t="s">
        <v>30</v>
      </c>
      <c r="K115" s="6" t="s">
        <v>30</v>
      </c>
      <c r="L115" s="6" t="s">
        <v>173</v>
      </c>
      <c r="N115" s="6" t="s">
        <v>1023</v>
      </c>
      <c r="O115" s="6" t="s">
        <v>1239</v>
      </c>
      <c r="P115" s="6" t="n">
        <v>1</v>
      </c>
      <c r="R115" s="6" t="s">
        <v>1143</v>
      </c>
      <c r="U115" s="6" t="n">
        <v>203550</v>
      </c>
      <c r="V115" s="28" t="n">
        <v>203550</v>
      </c>
      <c r="W115" s="29" t="n">
        <v>0.14</v>
      </c>
      <c r="X115" s="6" t="n">
        <v>0.055</v>
      </c>
      <c r="Y115" s="29" t="n">
        <v>0.12</v>
      </c>
      <c r="Z115" s="30"/>
      <c r="AA115" s="29" t="n">
        <v>0.04</v>
      </c>
      <c r="AB115" s="31" t="n">
        <v>275810.25</v>
      </c>
      <c r="AE115" s="6" t="n">
        <v>275810.25</v>
      </c>
      <c r="AF115" s="6" t="s">
        <v>1063</v>
      </c>
      <c r="AG115" s="6" t="n">
        <v>0</v>
      </c>
      <c r="AH115" s="30" t="s">
        <v>1076</v>
      </c>
      <c r="AI115" s="6" t="n">
        <v>1</v>
      </c>
      <c r="AJ115" s="6" t="s">
        <v>173</v>
      </c>
      <c r="AK115" s="6" t="s">
        <v>165</v>
      </c>
      <c r="AL115" s="6" t="s">
        <v>165</v>
      </c>
      <c r="AM115" s="6" t="n">
        <v>0</v>
      </c>
      <c r="AQ115" s="6" t="s">
        <v>299</v>
      </c>
      <c r="AR115" s="6" t="s">
        <v>57</v>
      </c>
    </row>
    <row r="116" customFormat="false" ht="15" hidden="false" customHeight="true" outlineLevel="0" collapsed="false">
      <c r="A116" s="27" t="n">
        <v>98379</v>
      </c>
      <c r="B116" s="6" t="s">
        <v>1300</v>
      </c>
      <c r="C116" s="27" t="n">
        <v>98379</v>
      </c>
      <c r="D116" s="6" t="s">
        <v>302</v>
      </c>
      <c r="E116" s="6" t="s">
        <v>1063</v>
      </c>
      <c r="F116" s="6" t="s">
        <v>1267</v>
      </c>
      <c r="G116" s="6" t="s">
        <v>1073</v>
      </c>
      <c r="H116" s="6" t="s">
        <v>1133</v>
      </c>
      <c r="I116" s="6" t="s">
        <v>1301</v>
      </c>
      <c r="J116" s="6" t="s">
        <v>29</v>
      </c>
      <c r="K116" s="6" t="s">
        <v>1302</v>
      </c>
      <c r="L116" s="6" t="s">
        <v>173</v>
      </c>
      <c r="N116" s="6" t="s">
        <v>1023</v>
      </c>
      <c r="O116" s="6" t="s">
        <v>1239</v>
      </c>
      <c r="P116" s="6" t="n">
        <v>1</v>
      </c>
      <c r="R116" s="6" t="s">
        <v>1152</v>
      </c>
      <c r="U116" s="6" t="n">
        <v>190225</v>
      </c>
      <c r="V116" s="28" t="n">
        <v>190225</v>
      </c>
      <c r="W116" s="29" t="n">
        <v>0.14</v>
      </c>
      <c r="X116" s="6" t="n">
        <v>0.055</v>
      </c>
      <c r="Y116" s="29" t="n">
        <v>0.12</v>
      </c>
      <c r="Z116" s="30"/>
      <c r="AA116" s="29" t="n">
        <v>0.04</v>
      </c>
      <c r="AB116" s="31" t="n">
        <v>257754.875</v>
      </c>
      <c r="AE116" s="6" t="n">
        <v>257754.875</v>
      </c>
      <c r="AF116" s="6" t="s">
        <v>58</v>
      </c>
      <c r="AG116" s="6" t="n">
        <v>0</v>
      </c>
      <c r="AH116" s="30" t="s">
        <v>1133</v>
      </c>
      <c r="AI116" s="6" t="n">
        <v>1</v>
      </c>
      <c r="AJ116" s="6" t="s">
        <v>173</v>
      </c>
      <c r="AK116" s="6" t="s">
        <v>165</v>
      </c>
      <c r="AL116" s="6" t="s">
        <v>165</v>
      </c>
      <c r="AM116" s="6" t="n">
        <v>0</v>
      </c>
      <c r="AQ116" s="6" t="s">
        <v>301</v>
      </c>
      <c r="AR116" s="6" t="s">
        <v>57</v>
      </c>
    </row>
    <row r="117" customFormat="false" ht="15" hidden="false" customHeight="true" outlineLevel="0" collapsed="false">
      <c r="A117" s="27" t="n">
        <v>113525</v>
      </c>
      <c r="B117" s="6" t="s">
        <v>1303</v>
      </c>
      <c r="C117" s="27" t="n">
        <v>113525</v>
      </c>
      <c r="D117" s="6" t="s">
        <v>304</v>
      </c>
      <c r="E117" s="6" t="s">
        <v>1304</v>
      </c>
      <c r="F117" s="6" t="s">
        <v>1212</v>
      </c>
      <c r="G117" s="6" t="s">
        <v>1073</v>
      </c>
      <c r="H117" s="6" t="s">
        <v>1074</v>
      </c>
      <c r="I117" s="6" t="s">
        <v>1305</v>
      </c>
      <c r="J117" s="6" t="s">
        <v>31</v>
      </c>
      <c r="K117" s="6" t="s">
        <v>1213</v>
      </c>
      <c r="L117" s="6" t="s">
        <v>173</v>
      </c>
      <c r="N117" s="6" t="s">
        <v>109</v>
      </c>
      <c r="O117" s="6" t="s">
        <v>1239</v>
      </c>
      <c r="P117" s="6" t="n">
        <v>1</v>
      </c>
      <c r="Q117" s="33"/>
      <c r="R117" s="6" t="s">
        <v>1152</v>
      </c>
      <c r="U117" s="6" t="n">
        <v>183480</v>
      </c>
      <c r="V117" s="28" t="n">
        <v>168801.6</v>
      </c>
      <c r="W117" s="29" t="n">
        <v>0.15</v>
      </c>
      <c r="Y117" s="29" t="n">
        <v>0.05</v>
      </c>
      <c r="Z117" s="30" t="n">
        <v>2910</v>
      </c>
      <c r="AA117" s="29" t="n">
        <v>0.03</v>
      </c>
      <c r="AB117" s="31" t="n">
        <v>210535.968</v>
      </c>
      <c r="AE117" s="6" t="n">
        <v>210535.968</v>
      </c>
      <c r="AF117" s="6" t="s">
        <v>58</v>
      </c>
      <c r="AG117" s="6" t="n">
        <v>0</v>
      </c>
      <c r="AH117" s="30" t="s">
        <v>1214</v>
      </c>
      <c r="AI117" s="6" t="n">
        <v>1</v>
      </c>
      <c r="AJ117" s="6" t="s">
        <v>173</v>
      </c>
      <c r="AK117" s="6" t="s">
        <v>165</v>
      </c>
      <c r="AL117" s="6" t="s">
        <v>165</v>
      </c>
      <c r="AM117" s="6" t="n">
        <v>0</v>
      </c>
      <c r="AQ117" s="6" t="s">
        <v>303</v>
      </c>
      <c r="AR117" s="6" t="s">
        <v>109</v>
      </c>
    </row>
    <row r="118" customFormat="false" ht="15" hidden="false" customHeight="true" outlineLevel="0" collapsed="false">
      <c r="A118" s="27" t="s">
        <v>1138</v>
      </c>
      <c r="B118" s="6" t="s">
        <v>1063</v>
      </c>
      <c r="C118" s="27" t="s">
        <v>1138</v>
      </c>
      <c r="D118" s="6" t="s">
        <v>205</v>
      </c>
      <c r="E118" s="6" t="s">
        <v>1063</v>
      </c>
      <c r="F118" s="6" t="s">
        <v>1212</v>
      </c>
      <c r="G118" s="6" t="s">
        <v>1073</v>
      </c>
      <c r="H118" s="6" t="s">
        <v>1074</v>
      </c>
      <c r="I118" s="6" t="s">
        <v>1306</v>
      </c>
      <c r="J118" s="6" t="s">
        <v>31</v>
      </c>
      <c r="K118" s="6" t="s">
        <v>1213</v>
      </c>
      <c r="L118" s="6" t="s">
        <v>173</v>
      </c>
      <c r="N118" s="6" t="s">
        <v>1023</v>
      </c>
      <c r="O118" s="6" t="s">
        <v>1239</v>
      </c>
      <c r="P118" s="6" t="n">
        <v>1</v>
      </c>
      <c r="R118" s="6" t="s">
        <v>1138</v>
      </c>
      <c r="U118" s="6" t="n">
        <v>151950</v>
      </c>
      <c r="V118" s="28" t="n">
        <v>151950</v>
      </c>
      <c r="W118" s="29" t="n">
        <v>0.12</v>
      </c>
      <c r="X118" s="6" t="n">
        <v>0.055</v>
      </c>
      <c r="Y118" s="29" t="n">
        <v>0.12</v>
      </c>
      <c r="Z118" s="30"/>
      <c r="AA118" s="29" t="n">
        <v>0.04</v>
      </c>
      <c r="AB118" s="31" t="n">
        <v>202853.25</v>
      </c>
      <c r="AE118" s="6" t="n">
        <v>202853.25</v>
      </c>
      <c r="AF118" s="6" t="s">
        <v>1063</v>
      </c>
      <c r="AG118" s="6" t="n">
        <v>0</v>
      </c>
      <c r="AH118" s="30" t="s">
        <v>1214</v>
      </c>
      <c r="AI118" s="6" t="n">
        <v>1</v>
      </c>
      <c r="AJ118" s="6" t="s">
        <v>173</v>
      </c>
      <c r="AK118" s="6" t="s">
        <v>205</v>
      </c>
      <c r="AL118" s="6" t="s">
        <v>205</v>
      </c>
      <c r="AM118" s="6" t="n">
        <v>0</v>
      </c>
      <c r="AQ118" s="6" t="s">
        <v>305</v>
      </c>
      <c r="AR118" s="6" t="s">
        <v>57</v>
      </c>
    </row>
    <row r="119" customFormat="false" ht="15" hidden="false" customHeight="true" outlineLevel="0" collapsed="false">
      <c r="A119" s="27" t="s">
        <v>1138</v>
      </c>
      <c r="B119" s="6" t="s">
        <v>1063</v>
      </c>
      <c r="C119" s="27" t="s">
        <v>1138</v>
      </c>
      <c r="D119" s="6" t="s">
        <v>307</v>
      </c>
      <c r="E119" s="6" t="s">
        <v>1063</v>
      </c>
      <c r="F119" s="6" t="s">
        <v>1307</v>
      </c>
      <c r="G119" s="6" t="s">
        <v>1141</v>
      </c>
      <c r="H119" s="6" t="s">
        <v>191</v>
      </c>
      <c r="I119" s="6" t="s">
        <v>26</v>
      </c>
      <c r="J119" s="6" t="s">
        <v>26</v>
      </c>
      <c r="K119" s="6" t="s">
        <v>26</v>
      </c>
      <c r="L119" s="6" t="s">
        <v>26</v>
      </c>
      <c r="N119" s="6" t="s">
        <v>1023</v>
      </c>
      <c r="O119" s="6" t="s">
        <v>1239</v>
      </c>
      <c r="P119" s="6" t="n">
        <v>1</v>
      </c>
      <c r="R119" s="6" t="s">
        <v>1138</v>
      </c>
      <c r="U119" s="6" t="n">
        <v>203550</v>
      </c>
      <c r="V119" s="28" t="n">
        <v>203550</v>
      </c>
      <c r="W119" s="29" t="n">
        <v>0.14</v>
      </c>
      <c r="X119" s="6" t="n">
        <v>0.055</v>
      </c>
      <c r="Y119" s="29" t="n">
        <v>0.12</v>
      </c>
      <c r="Z119" s="30"/>
      <c r="AA119" s="29" t="n">
        <v>0.04</v>
      </c>
      <c r="AB119" s="31" t="n">
        <v>275810.25</v>
      </c>
      <c r="AE119" s="6" t="n">
        <v>275810.25</v>
      </c>
      <c r="AF119" s="6" t="s">
        <v>1063</v>
      </c>
      <c r="AG119" s="6" t="n">
        <v>0</v>
      </c>
      <c r="AH119" s="30" t="s">
        <v>1144</v>
      </c>
      <c r="AI119" s="6" t="n">
        <v>0</v>
      </c>
      <c r="AJ119" s="6" t="s">
        <v>191</v>
      </c>
      <c r="AK119" s="6" t="s">
        <v>205</v>
      </c>
      <c r="AL119" s="6" t="s">
        <v>191</v>
      </c>
      <c r="AM119" s="6" t="n">
        <v>0</v>
      </c>
      <c r="AQ119" s="6" t="s">
        <v>306</v>
      </c>
      <c r="AR119" s="6" t="s">
        <v>57</v>
      </c>
    </row>
    <row r="120" customFormat="false" ht="15" hidden="false" customHeight="true" outlineLevel="0" collapsed="false">
      <c r="A120" s="27" t="n">
        <v>113835</v>
      </c>
      <c r="B120" s="6" t="s">
        <v>1308</v>
      </c>
      <c r="C120" s="27" t="n">
        <v>113835</v>
      </c>
      <c r="D120" s="6" t="s">
        <v>309</v>
      </c>
      <c r="E120" s="6" t="s">
        <v>1063</v>
      </c>
      <c r="F120" s="6" t="s">
        <v>1253</v>
      </c>
      <c r="G120" s="6" t="s">
        <v>1141</v>
      </c>
      <c r="H120" s="6" t="s">
        <v>191</v>
      </c>
      <c r="I120" s="6" t="s">
        <v>26</v>
      </c>
      <c r="J120" s="6" t="s">
        <v>26</v>
      </c>
      <c r="K120" s="6" t="s">
        <v>26</v>
      </c>
      <c r="L120" s="6" t="s">
        <v>26</v>
      </c>
      <c r="N120" s="6" t="s">
        <v>1023</v>
      </c>
      <c r="O120" s="6" t="s">
        <v>1239</v>
      </c>
      <c r="P120" s="6" t="n">
        <v>1</v>
      </c>
      <c r="R120" s="6" t="s">
        <v>1152</v>
      </c>
      <c r="U120" s="6" t="n">
        <v>216470</v>
      </c>
      <c r="V120" s="28" t="n">
        <v>216470</v>
      </c>
      <c r="W120" s="29" t="n">
        <v>0.14</v>
      </c>
      <c r="X120" s="6" t="n">
        <v>0.055</v>
      </c>
      <c r="Y120" s="29" t="n">
        <v>0.12</v>
      </c>
      <c r="Z120" s="30"/>
      <c r="AA120" s="29" t="n">
        <v>0.04</v>
      </c>
      <c r="AB120" s="31" t="n">
        <v>293316.85</v>
      </c>
      <c r="AE120" s="6" t="n">
        <v>293316.85</v>
      </c>
      <c r="AF120" s="6" t="s">
        <v>58</v>
      </c>
      <c r="AG120" s="6" t="n">
        <v>0</v>
      </c>
      <c r="AH120" s="30" t="s">
        <v>1144</v>
      </c>
      <c r="AI120" s="6" t="n">
        <v>0</v>
      </c>
      <c r="AJ120" s="6" t="s">
        <v>191</v>
      </c>
      <c r="AK120" s="6" t="s">
        <v>988</v>
      </c>
      <c r="AL120" s="6" t="s">
        <v>191</v>
      </c>
      <c r="AM120" s="6" t="n">
        <v>0</v>
      </c>
      <c r="AQ120" s="6" t="s">
        <v>308</v>
      </c>
      <c r="AR120" s="6" t="s">
        <v>57</v>
      </c>
    </row>
    <row r="121" customFormat="false" ht="15" hidden="false" customHeight="true" outlineLevel="0" collapsed="false">
      <c r="A121" s="27" t="n">
        <v>10572</v>
      </c>
      <c r="B121" s="6" t="s">
        <v>1309</v>
      </c>
      <c r="C121" s="27" t="n">
        <v>10572</v>
      </c>
      <c r="D121" s="6" t="s">
        <v>55</v>
      </c>
      <c r="E121" s="6" t="s">
        <v>1063</v>
      </c>
      <c r="F121" s="6" t="s">
        <v>1310</v>
      </c>
      <c r="G121" s="6" t="s">
        <v>1058</v>
      </c>
      <c r="H121" s="6" t="s">
        <v>1059</v>
      </c>
      <c r="I121" s="6" t="s">
        <v>1244</v>
      </c>
      <c r="J121" s="6" t="s">
        <v>25</v>
      </c>
      <c r="K121" s="6" t="s">
        <v>1061</v>
      </c>
      <c r="L121" s="6" t="s">
        <v>1061</v>
      </c>
      <c r="N121" s="6" t="s">
        <v>1023</v>
      </c>
      <c r="O121" s="6" t="s">
        <v>1239</v>
      </c>
      <c r="P121" s="6" t="n">
        <v>1</v>
      </c>
      <c r="R121" s="6" t="s">
        <v>1152</v>
      </c>
      <c r="U121" s="6" t="n">
        <v>205050</v>
      </c>
      <c r="V121" s="28" t="n">
        <v>205050</v>
      </c>
      <c r="W121" s="29" t="n">
        <v>0.14</v>
      </c>
      <c r="X121" s="6" t="n">
        <v>0.055</v>
      </c>
      <c r="Y121" s="29" t="n">
        <v>0.12</v>
      </c>
      <c r="Z121" s="30"/>
      <c r="AA121" s="29" t="n">
        <v>0.04</v>
      </c>
      <c r="AB121" s="31" t="n">
        <v>277842.75</v>
      </c>
      <c r="AE121" s="6" t="n">
        <v>277842.75</v>
      </c>
      <c r="AF121" s="6" t="s">
        <v>58</v>
      </c>
      <c r="AG121" s="6" t="n">
        <v>0</v>
      </c>
      <c r="AH121" s="30" t="s">
        <v>25</v>
      </c>
      <c r="AI121" s="6" t="n">
        <v>0</v>
      </c>
      <c r="AJ121" s="6" t="s">
        <v>89</v>
      </c>
      <c r="AK121" s="6" t="s">
        <v>988</v>
      </c>
      <c r="AL121" s="6" t="s">
        <v>89</v>
      </c>
      <c r="AM121" s="6" t="n">
        <v>0</v>
      </c>
      <c r="AQ121" s="6" t="s">
        <v>310</v>
      </c>
      <c r="AR121" s="6" t="s">
        <v>57</v>
      </c>
    </row>
    <row r="122" customFormat="false" ht="15" hidden="false" customHeight="true" outlineLevel="0" collapsed="false">
      <c r="A122" s="27" t="n">
        <v>115502</v>
      </c>
      <c r="B122" s="6" t="s">
        <v>1311</v>
      </c>
      <c r="C122" s="27" t="n">
        <v>115502</v>
      </c>
      <c r="D122" s="6" t="s">
        <v>312</v>
      </c>
      <c r="E122" s="6" t="s">
        <v>1209</v>
      </c>
      <c r="F122" s="6" t="s">
        <v>1210</v>
      </c>
      <c r="G122" s="6" t="s">
        <v>1073</v>
      </c>
      <c r="H122" s="6" t="s">
        <v>1312</v>
      </c>
      <c r="J122" s="6" t="s">
        <v>29</v>
      </c>
      <c r="K122" s="6" t="s">
        <v>1313</v>
      </c>
      <c r="L122" s="6" t="s">
        <v>1314</v>
      </c>
      <c r="N122" s="6" t="s">
        <v>109</v>
      </c>
      <c r="O122" s="6" t="s">
        <v>1239</v>
      </c>
      <c r="P122" s="6" t="n">
        <v>1</v>
      </c>
      <c r="Q122" s="33"/>
      <c r="R122" s="6" t="s">
        <v>1152</v>
      </c>
      <c r="U122" s="6" t="n">
        <v>175960</v>
      </c>
      <c r="V122" s="28" t="n">
        <v>161883.2</v>
      </c>
      <c r="W122" s="29" t="n">
        <v>0.15</v>
      </c>
      <c r="Y122" s="29" t="n">
        <v>0.05</v>
      </c>
      <c r="Z122" s="30" t="n">
        <v>2910</v>
      </c>
      <c r="AA122" s="29" t="n">
        <v>0.03</v>
      </c>
      <c r="AB122" s="31" t="n">
        <v>202026.336</v>
      </c>
      <c r="AE122" s="6" t="n">
        <v>202026.336</v>
      </c>
      <c r="AF122" s="6" t="s">
        <v>58</v>
      </c>
      <c r="AG122" s="6" t="n">
        <v>0</v>
      </c>
      <c r="AH122" s="30" t="s">
        <v>1133</v>
      </c>
      <c r="AI122" s="6" t="n">
        <v>0</v>
      </c>
      <c r="AJ122" s="6" t="s">
        <v>313</v>
      </c>
      <c r="AK122" s="6" t="s">
        <v>988</v>
      </c>
      <c r="AL122" s="6" t="s">
        <v>313</v>
      </c>
      <c r="AM122" s="6" t="n">
        <v>0</v>
      </c>
      <c r="AQ122" s="6" t="s">
        <v>311</v>
      </c>
      <c r="AR122" s="6" t="s">
        <v>109</v>
      </c>
      <c r="AY122" s="34"/>
    </row>
    <row r="123" customFormat="false" ht="15" hidden="false" customHeight="true" outlineLevel="0" collapsed="false">
      <c r="A123" s="27" t="n">
        <v>106350</v>
      </c>
      <c r="B123" s="6" t="s">
        <v>1315</v>
      </c>
      <c r="C123" s="27" t="n">
        <v>106350</v>
      </c>
      <c r="D123" s="6" t="s">
        <v>315</v>
      </c>
      <c r="E123" s="6" t="s">
        <v>1158</v>
      </c>
      <c r="F123" s="6" t="s">
        <v>1159</v>
      </c>
      <c r="G123" s="6" t="s">
        <v>1076</v>
      </c>
      <c r="H123" s="6" t="s">
        <v>28</v>
      </c>
      <c r="I123" s="6" t="s">
        <v>1316</v>
      </c>
      <c r="J123" s="6" t="s">
        <v>27</v>
      </c>
      <c r="K123" s="6" t="s">
        <v>27</v>
      </c>
      <c r="L123" s="6" t="s">
        <v>173</v>
      </c>
      <c r="N123" s="6" t="s">
        <v>1023</v>
      </c>
      <c r="O123" s="6" t="s">
        <v>1239</v>
      </c>
      <c r="P123" s="6" t="n">
        <v>1</v>
      </c>
      <c r="R123" s="6" t="s">
        <v>1152</v>
      </c>
      <c r="U123" s="6" t="n">
        <v>218720</v>
      </c>
      <c r="V123" s="28" t="n">
        <v>218720</v>
      </c>
      <c r="W123" s="29" t="n">
        <v>0.14</v>
      </c>
      <c r="X123" s="6" t="n">
        <v>0.055</v>
      </c>
      <c r="Y123" s="29" t="n">
        <v>0.12</v>
      </c>
      <c r="Z123" s="30"/>
      <c r="AA123" s="29" t="n">
        <v>0.04</v>
      </c>
      <c r="AB123" s="31" t="n">
        <v>296365.6</v>
      </c>
      <c r="AE123" s="6" t="n">
        <v>296365.6</v>
      </c>
      <c r="AF123" s="6" t="s">
        <v>58</v>
      </c>
      <c r="AG123" s="6" t="n">
        <v>0</v>
      </c>
      <c r="AH123" s="30" t="s">
        <v>27</v>
      </c>
      <c r="AI123" s="6" t="n">
        <v>1</v>
      </c>
      <c r="AJ123" s="6" t="s">
        <v>173</v>
      </c>
      <c r="AK123" s="6" t="s">
        <v>165</v>
      </c>
      <c r="AL123" s="6" t="s">
        <v>165</v>
      </c>
      <c r="AM123" s="6" t="n">
        <v>0</v>
      </c>
      <c r="AQ123" s="6" t="s">
        <v>314</v>
      </c>
      <c r="AR123" s="6" t="s">
        <v>57</v>
      </c>
      <c r="AY123" s="34"/>
    </row>
    <row r="124" customFormat="false" ht="15" hidden="false" customHeight="true" outlineLevel="0" collapsed="false">
      <c r="A124" s="27" t="n">
        <v>109863</v>
      </c>
      <c r="B124" s="6" t="s">
        <v>1114</v>
      </c>
      <c r="C124" s="27" t="n">
        <v>109863</v>
      </c>
      <c r="D124" s="6" t="s">
        <v>1317</v>
      </c>
      <c r="E124" s="6" t="s">
        <v>1158</v>
      </c>
      <c r="F124" s="6" t="s">
        <v>1159</v>
      </c>
      <c r="G124" s="6" t="s">
        <v>1076</v>
      </c>
      <c r="H124" s="6" t="s">
        <v>28</v>
      </c>
      <c r="I124" s="6" t="s">
        <v>1318</v>
      </c>
      <c r="J124" s="6" t="s">
        <v>24</v>
      </c>
      <c r="K124" s="6" t="s">
        <v>24</v>
      </c>
      <c r="L124" s="6" t="s">
        <v>173</v>
      </c>
      <c r="N124" s="6" t="s">
        <v>1023</v>
      </c>
      <c r="O124" s="6" t="s">
        <v>1239</v>
      </c>
      <c r="P124" s="6" t="n">
        <v>1</v>
      </c>
      <c r="R124" s="6" t="s">
        <v>1152</v>
      </c>
      <c r="U124" s="6" t="n">
        <v>238790</v>
      </c>
      <c r="V124" s="28" t="n">
        <v>238790</v>
      </c>
      <c r="W124" s="29" t="n">
        <v>0.14</v>
      </c>
      <c r="X124" s="6" t="n">
        <v>0.055</v>
      </c>
      <c r="Y124" s="29" t="n">
        <v>0.12</v>
      </c>
      <c r="Z124" s="30"/>
      <c r="AA124" s="29" t="n">
        <v>0.04</v>
      </c>
      <c r="AB124" s="31" t="n">
        <v>323560.45</v>
      </c>
      <c r="AE124" s="6" t="n">
        <v>323560.45</v>
      </c>
      <c r="AF124" s="6" t="s">
        <v>58</v>
      </c>
      <c r="AG124" s="6" t="n">
        <v>0</v>
      </c>
      <c r="AH124" s="30" t="s">
        <v>24</v>
      </c>
      <c r="AI124" s="6" t="n">
        <v>1</v>
      </c>
      <c r="AJ124" s="6" t="s">
        <v>173</v>
      </c>
      <c r="AK124" s="6" t="s">
        <v>165</v>
      </c>
      <c r="AL124" s="6" t="s">
        <v>165</v>
      </c>
      <c r="AM124" s="6" t="n">
        <v>0</v>
      </c>
      <c r="AQ124" s="6" t="s">
        <v>316</v>
      </c>
      <c r="AR124" s="6" t="s">
        <v>57</v>
      </c>
      <c r="AY124" s="34"/>
    </row>
    <row r="125" customFormat="false" ht="15" hidden="false" customHeight="true" outlineLevel="0" collapsed="false">
      <c r="A125" s="27" t="s">
        <v>1138</v>
      </c>
      <c r="B125" s="6" t="s">
        <v>1063</v>
      </c>
      <c r="C125" s="27" t="s">
        <v>1138</v>
      </c>
      <c r="D125" s="6" t="s">
        <v>205</v>
      </c>
      <c r="E125" s="6" t="s">
        <v>1158</v>
      </c>
      <c r="F125" s="6" t="s">
        <v>1159</v>
      </c>
      <c r="G125" s="6" t="s">
        <v>1076</v>
      </c>
      <c r="H125" s="6" t="s">
        <v>28</v>
      </c>
      <c r="I125" s="6" t="s">
        <v>1319</v>
      </c>
      <c r="J125" s="6" t="s">
        <v>28</v>
      </c>
      <c r="K125" s="6" t="s">
        <v>28</v>
      </c>
      <c r="L125" s="6" t="s">
        <v>173</v>
      </c>
      <c r="N125" s="6" t="s">
        <v>1023</v>
      </c>
      <c r="O125" s="6" t="s">
        <v>1239</v>
      </c>
      <c r="P125" s="6" t="n">
        <v>1</v>
      </c>
      <c r="R125" s="6" t="s">
        <v>1138</v>
      </c>
      <c r="U125" s="6" t="n">
        <v>203550</v>
      </c>
      <c r="V125" s="28" t="n">
        <v>203550</v>
      </c>
      <c r="W125" s="29" t="n">
        <v>0.14</v>
      </c>
      <c r="X125" s="6" t="n">
        <v>0.055</v>
      </c>
      <c r="Y125" s="29" t="n">
        <v>0.12</v>
      </c>
      <c r="Z125" s="30"/>
      <c r="AA125" s="29" t="n">
        <v>0.04</v>
      </c>
      <c r="AB125" s="31" t="n">
        <v>275810.25</v>
      </c>
      <c r="AE125" s="6" t="n">
        <v>275810.25</v>
      </c>
      <c r="AF125" s="6" t="s">
        <v>1063</v>
      </c>
      <c r="AG125" s="6" t="n">
        <v>0</v>
      </c>
      <c r="AH125" s="30" t="s">
        <v>27</v>
      </c>
      <c r="AI125" s="6" t="n">
        <v>1</v>
      </c>
      <c r="AJ125" s="6" t="s">
        <v>173</v>
      </c>
      <c r="AK125" s="6" t="s">
        <v>205</v>
      </c>
      <c r="AL125" s="6" t="s">
        <v>205</v>
      </c>
      <c r="AM125" s="6" t="n">
        <v>0</v>
      </c>
      <c r="AQ125" s="6" t="s">
        <v>318</v>
      </c>
      <c r="AR125" s="6" t="s">
        <v>57</v>
      </c>
      <c r="AY125" s="34"/>
    </row>
    <row r="126" customFormat="false" ht="15" hidden="false" customHeight="true" outlineLevel="0" collapsed="false">
      <c r="A126" s="27" t="n">
        <v>116599</v>
      </c>
      <c r="B126" s="6" t="s">
        <v>1320</v>
      </c>
      <c r="C126" s="27" t="n">
        <v>116599</v>
      </c>
      <c r="D126" s="6" t="s">
        <v>320</v>
      </c>
      <c r="E126" s="6" t="s">
        <v>1321</v>
      </c>
      <c r="F126" s="6" t="s">
        <v>1321</v>
      </c>
      <c r="G126" s="6" t="s">
        <v>21</v>
      </c>
      <c r="H126" s="6" t="s">
        <v>21</v>
      </c>
      <c r="I126" s="6" t="s">
        <v>21</v>
      </c>
      <c r="J126" s="6" t="s">
        <v>21</v>
      </c>
      <c r="K126" s="6" t="s">
        <v>21</v>
      </c>
      <c r="L126" s="6" t="s">
        <v>21</v>
      </c>
      <c r="N126" s="6" t="s">
        <v>1047</v>
      </c>
      <c r="O126" s="6" t="s">
        <v>1239</v>
      </c>
      <c r="P126" s="6" t="n">
        <v>1</v>
      </c>
      <c r="R126" s="6" t="s">
        <v>1322</v>
      </c>
      <c r="U126" s="6" t="n">
        <v>170000</v>
      </c>
      <c r="V126" s="28" t="n">
        <v>170000</v>
      </c>
      <c r="W126" s="29" t="n">
        <v>0.12</v>
      </c>
      <c r="X126" s="6" t="n">
        <v>0.06</v>
      </c>
      <c r="Y126" s="29" t="n">
        <v>0</v>
      </c>
      <c r="Z126" s="30"/>
      <c r="AA126" s="29" t="n">
        <v>0.04</v>
      </c>
      <c r="AB126" s="31" t="n">
        <v>207400</v>
      </c>
      <c r="AE126" s="6" t="n">
        <v>207400</v>
      </c>
      <c r="AF126" s="6" t="s">
        <v>58</v>
      </c>
      <c r="AG126" s="6" t="n">
        <v>0</v>
      </c>
      <c r="AH126" s="30" t="s">
        <v>21</v>
      </c>
      <c r="AI126" s="6" t="n">
        <v>0</v>
      </c>
      <c r="AJ126" s="6" t="s">
        <v>21</v>
      </c>
      <c r="AK126" s="6" t="s">
        <v>988</v>
      </c>
      <c r="AL126" s="6" t="s">
        <v>21</v>
      </c>
      <c r="AM126" s="6" t="n">
        <v>1</v>
      </c>
      <c r="AQ126" s="6" t="s">
        <v>319</v>
      </c>
      <c r="AR126" s="6" t="s">
        <v>57</v>
      </c>
      <c r="AY126" s="34"/>
    </row>
    <row r="127" customFormat="false" ht="15" hidden="false" customHeight="true" outlineLevel="0" collapsed="false">
      <c r="A127" s="27" t="n">
        <v>113552</v>
      </c>
      <c r="B127" s="6" t="s">
        <v>1323</v>
      </c>
      <c r="C127" s="27" t="n">
        <v>113552</v>
      </c>
      <c r="D127" s="6" t="s">
        <v>55</v>
      </c>
      <c r="E127" s="6" t="s">
        <v>1018</v>
      </c>
      <c r="F127" s="6" t="s">
        <v>1019</v>
      </c>
      <c r="G127" s="6" t="s">
        <v>1020</v>
      </c>
      <c r="H127" s="6" t="s">
        <v>1021</v>
      </c>
      <c r="I127" s="6" t="s">
        <v>1022</v>
      </c>
      <c r="J127" s="6" t="s">
        <v>32</v>
      </c>
      <c r="K127" s="6" t="s">
        <v>1229</v>
      </c>
      <c r="L127" s="6" t="s">
        <v>218</v>
      </c>
      <c r="N127" s="6" t="s">
        <v>109</v>
      </c>
      <c r="O127" s="6" t="s">
        <v>1324</v>
      </c>
      <c r="P127" s="6" t="n">
        <v>1</v>
      </c>
      <c r="Q127" s="33"/>
      <c r="R127" s="6" t="s">
        <v>1152</v>
      </c>
      <c r="U127" s="6" t="n">
        <v>154980</v>
      </c>
      <c r="V127" s="28" t="n">
        <v>142581.6</v>
      </c>
      <c r="W127" s="29" t="n">
        <v>0.15</v>
      </c>
      <c r="Y127" s="29" t="n">
        <v>0.05</v>
      </c>
      <c r="Z127" s="30" t="n">
        <v>2910</v>
      </c>
      <c r="AA127" s="29" t="n">
        <v>0.03</v>
      </c>
      <c r="AB127" s="31" t="n">
        <v>178285.368</v>
      </c>
      <c r="AE127" s="6" t="n">
        <v>178285.368</v>
      </c>
      <c r="AF127" s="6" t="s">
        <v>58</v>
      </c>
      <c r="AG127" s="6" t="n">
        <v>0</v>
      </c>
      <c r="AH127" s="30" t="s">
        <v>1020</v>
      </c>
      <c r="AI127" s="6" t="n">
        <v>0</v>
      </c>
      <c r="AJ127" s="6" t="s">
        <v>218</v>
      </c>
      <c r="AK127" s="6" t="s">
        <v>988</v>
      </c>
      <c r="AL127" s="6" t="s">
        <v>218</v>
      </c>
      <c r="AM127" s="6" t="n">
        <v>0</v>
      </c>
      <c r="AN127" s="6" t="s">
        <v>58</v>
      </c>
      <c r="AQ127" s="6" t="s">
        <v>321</v>
      </c>
      <c r="AR127" s="6" t="s">
        <v>109</v>
      </c>
    </row>
    <row r="128" customFormat="false" ht="15" hidden="false" customHeight="true" outlineLevel="0" collapsed="false">
      <c r="A128" s="27" t="n">
        <v>94663</v>
      </c>
      <c r="B128" s="6" t="s">
        <v>1325</v>
      </c>
      <c r="C128" s="27" t="n">
        <v>94663</v>
      </c>
      <c r="D128" s="6" t="s">
        <v>55</v>
      </c>
      <c r="E128" s="6" t="s">
        <v>1018</v>
      </c>
      <c r="F128" s="6" t="s">
        <v>1019</v>
      </c>
      <c r="G128" s="6" t="s">
        <v>1020</v>
      </c>
      <c r="H128" s="6" t="s">
        <v>1021</v>
      </c>
      <c r="I128" s="6" t="s">
        <v>1022</v>
      </c>
      <c r="J128" s="6" t="s">
        <v>18</v>
      </c>
      <c r="K128" s="6" t="s">
        <v>1028</v>
      </c>
      <c r="L128" s="6" t="s">
        <v>66</v>
      </c>
      <c r="N128" s="6" t="s">
        <v>1023</v>
      </c>
      <c r="O128" s="6" t="s">
        <v>1324</v>
      </c>
      <c r="P128" s="6" t="n">
        <v>1</v>
      </c>
      <c r="R128" s="6" t="s">
        <v>1152</v>
      </c>
      <c r="U128" s="6" t="n">
        <v>190980</v>
      </c>
      <c r="V128" s="28" t="n">
        <v>190980</v>
      </c>
      <c r="W128" s="29" t="n">
        <v>0.12</v>
      </c>
      <c r="X128" s="6" t="n">
        <v>0.055</v>
      </c>
      <c r="Y128" s="29" t="n">
        <v>0.12</v>
      </c>
      <c r="Z128" s="30"/>
      <c r="AA128" s="29" t="n">
        <v>0.04</v>
      </c>
      <c r="AB128" s="31" t="n">
        <v>254958.3</v>
      </c>
      <c r="AE128" s="6" t="n">
        <v>254958.3</v>
      </c>
      <c r="AF128" s="6" t="s">
        <v>58</v>
      </c>
      <c r="AG128" s="6" t="n">
        <v>0</v>
      </c>
      <c r="AH128" s="30" t="s">
        <v>1020</v>
      </c>
      <c r="AI128" s="6" t="n">
        <v>0</v>
      </c>
      <c r="AJ128" s="6" t="s">
        <v>66</v>
      </c>
      <c r="AK128" s="6" t="s">
        <v>988</v>
      </c>
      <c r="AL128" s="6" t="s">
        <v>66</v>
      </c>
      <c r="AM128" s="6" t="n">
        <v>0</v>
      </c>
      <c r="AN128" s="6" t="s">
        <v>58</v>
      </c>
      <c r="AQ128" s="6" t="s">
        <v>322</v>
      </c>
      <c r="AR128" s="6" t="s">
        <v>57</v>
      </c>
    </row>
    <row r="129" customFormat="false" ht="15" hidden="false" customHeight="true" outlineLevel="0" collapsed="false">
      <c r="A129" s="27" t="n">
        <v>108384</v>
      </c>
      <c r="B129" s="6" t="s">
        <v>1326</v>
      </c>
      <c r="C129" s="27" t="n">
        <v>108384</v>
      </c>
      <c r="D129" s="6" t="s">
        <v>55</v>
      </c>
      <c r="E129" s="6" t="s">
        <v>1018</v>
      </c>
      <c r="F129" s="6" t="s">
        <v>1019</v>
      </c>
      <c r="G129" s="6" t="s">
        <v>1020</v>
      </c>
      <c r="H129" s="6" t="s">
        <v>1021</v>
      </c>
      <c r="I129" s="6" t="s">
        <v>1022</v>
      </c>
      <c r="J129" s="6" t="s">
        <v>18</v>
      </c>
      <c r="K129" s="6" t="s">
        <v>1028</v>
      </c>
      <c r="L129" s="6" t="s">
        <v>62</v>
      </c>
      <c r="N129" s="6" t="s">
        <v>1023</v>
      </c>
      <c r="O129" s="6" t="s">
        <v>1324</v>
      </c>
      <c r="P129" s="6" t="n">
        <v>1</v>
      </c>
      <c r="R129" s="6" t="s">
        <v>1152</v>
      </c>
      <c r="U129" s="6" t="n">
        <v>182090</v>
      </c>
      <c r="V129" s="28" t="n">
        <v>182090</v>
      </c>
      <c r="W129" s="29" t="n">
        <v>0.12</v>
      </c>
      <c r="X129" s="6" t="n">
        <v>0.055</v>
      </c>
      <c r="Y129" s="29" t="n">
        <v>0.12</v>
      </c>
      <c r="Z129" s="30"/>
      <c r="AA129" s="29" t="n">
        <v>0.04</v>
      </c>
      <c r="AB129" s="31" t="n">
        <v>243090.15</v>
      </c>
      <c r="AE129" s="6" t="n">
        <v>243090.15</v>
      </c>
      <c r="AF129" s="6" t="s">
        <v>58</v>
      </c>
      <c r="AG129" s="6" t="n">
        <v>0</v>
      </c>
      <c r="AH129" s="30" t="s">
        <v>1020</v>
      </c>
      <c r="AI129" s="6" t="n">
        <v>0</v>
      </c>
      <c r="AJ129" s="6" t="s">
        <v>62</v>
      </c>
      <c r="AK129" s="6" t="s">
        <v>988</v>
      </c>
      <c r="AL129" s="6" t="s">
        <v>62</v>
      </c>
      <c r="AM129" s="6" t="n">
        <v>0</v>
      </c>
      <c r="AN129" s="6" t="s">
        <v>58</v>
      </c>
      <c r="AQ129" s="6" t="s">
        <v>323</v>
      </c>
      <c r="AR129" s="6" t="s">
        <v>57</v>
      </c>
    </row>
    <row r="130" customFormat="false" ht="15" hidden="false" customHeight="true" outlineLevel="0" collapsed="false">
      <c r="A130" s="27" t="n">
        <v>113463</v>
      </c>
      <c r="B130" s="6" t="s">
        <v>1327</v>
      </c>
      <c r="C130" s="27" t="n">
        <v>113463</v>
      </c>
      <c r="D130" s="6" t="s">
        <v>325</v>
      </c>
      <c r="E130" s="6" t="s">
        <v>1227</v>
      </c>
      <c r="F130" s="6" t="s">
        <v>217</v>
      </c>
      <c r="G130" s="6" t="s">
        <v>1020</v>
      </c>
      <c r="H130" s="6" t="s">
        <v>1021</v>
      </c>
      <c r="I130" s="6" t="s">
        <v>1228</v>
      </c>
      <c r="J130" s="6" t="s">
        <v>18</v>
      </c>
      <c r="K130" s="6" t="s">
        <v>1028</v>
      </c>
      <c r="L130" s="6" t="s">
        <v>66</v>
      </c>
      <c r="N130" s="6" t="s">
        <v>1023</v>
      </c>
      <c r="O130" s="6" t="s">
        <v>1324</v>
      </c>
      <c r="P130" s="6" t="n">
        <v>1</v>
      </c>
      <c r="R130" s="6" t="s">
        <v>1152</v>
      </c>
      <c r="U130" s="6" t="n">
        <v>176280</v>
      </c>
      <c r="V130" s="28" t="n">
        <v>176280</v>
      </c>
      <c r="W130" s="29" t="n">
        <v>0.12</v>
      </c>
      <c r="X130" s="6" t="n">
        <v>0.055</v>
      </c>
      <c r="Y130" s="29" t="n">
        <v>0.12</v>
      </c>
      <c r="Z130" s="30"/>
      <c r="AA130" s="29" t="n">
        <v>0.04</v>
      </c>
      <c r="AB130" s="31" t="n">
        <v>235333.8</v>
      </c>
      <c r="AE130" s="6" t="n">
        <v>235333.8</v>
      </c>
      <c r="AF130" s="6" t="s">
        <v>58</v>
      </c>
      <c r="AG130" s="6" t="n">
        <v>0</v>
      </c>
      <c r="AH130" s="30" t="s">
        <v>1020</v>
      </c>
      <c r="AI130" s="6" t="n">
        <v>0</v>
      </c>
      <c r="AJ130" s="6" t="s">
        <v>66</v>
      </c>
      <c r="AK130" s="6" t="s">
        <v>988</v>
      </c>
      <c r="AL130" s="6" t="s">
        <v>66</v>
      </c>
      <c r="AM130" s="6" t="n">
        <v>0</v>
      </c>
      <c r="AN130" s="6" t="s">
        <v>58</v>
      </c>
      <c r="AQ130" s="6" t="s">
        <v>324</v>
      </c>
      <c r="AR130" s="6" t="s">
        <v>57</v>
      </c>
    </row>
    <row r="131" customFormat="false" ht="15" hidden="false" customHeight="true" outlineLevel="0" collapsed="false">
      <c r="A131" s="27" t="n">
        <v>113514</v>
      </c>
      <c r="B131" s="6" t="s">
        <v>1328</v>
      </c>
      <c r="C131" s="27" t="n">
        <v>113514</v>
      </c>
      <c r="D131" s="6" t="s">
        <v>327</v>
      </c>
      <c r="E131" s="6" t="s">
        <v>1227</v>
      </c>
      <c r="F131" s="6" t="s">
        <v>217</v>
      </c>
      <c r="G131" s="6" t="s">
        <v>1020</v>
      </c>
      <c r="H131" s="6" t="s">
        <v>1021</v>
      </c>
      <c r="I131" s="6" t="s">
        <v>1228</v>
      </c>
      <c r="J131" s="6" t="s">
        <v>32</v>
      </c>
      <c r="K131" s="6" t="s">
        <v>1229</v>
      </c>
      <c r="L131" s="6" t="s">
        <v>218</v>
      </c>
      <c r="N131" s="6" t="s">
        <v>109</v>
      </c>
      <c r="O131" s="6" t="s">
        <v>1324</v>
      </c>
      <c r="P131" s="6" t="n">
        <v>1</v>
      </c>
      <c r="R131" s="6" t="s">
        <v>1152</v>
      </c>
      <c r="U131" s="6" t="n">
        <v>157460</v>
      </c>
      <c r="V131" s="28" t="n">
        <v>144863.2</v>
      </c>
      <c r="W131" s="29" t="n">
        <v>0.15</v>
      </c>
      <c r="Y131" s="29" t="n">
        <v>0.05</v>
      </c>
      <c r="Z131" s="30" t="n">
        <v>2910</v>
      </c>
      <c r="AA131" s="29" t="n">
        <v>0.03</v>
      </c>
      <c r="AB131" s="31" t="n">
        <v>181091.736</v>
      </c>
      <c r="AE131" s="6" t="n">
        <v>181091.736</v>
      </c>
      <c r="AF131" s="6" t="s">
        <v>58</v>
      </c>
      <c r="AG131" s="6" t="n">
        <v>0</v>
      </c>
      <c r="AH131" s="30" t="s">
        <v>1020</v>
      </c>
      <c r="AI131" s="6" t="n">
        <v>0</v>
      </c>
      <c r="AJ131" s="6" t="s">
        <v>218</v>
      </c>
      <c r="AK131" s="6" t="s">
        <v>988</v>
      </c>
      <c r="AL131" s="6" t="s">
        <v>218</v>
      </c>
      <c r="AM131" s="6" t="n">
        <v>0</v>
      </c>
      <c r="AN131" s="6" t="s">
        <v>58</v>
      </c>
      <c r="AQ131" s="6" t="s">
        <v>326</v>
      </c>
      <c r="AR131" s="6" t="s">
        <v>109</v>
      </c>
    </row>
    <row r="132" customFormat="false" ht="15" hidden="false" customHeight="true" outlineLevel="0" collapsed="false">
      <c r="A132" s="27" t="n">
        <v>116714</v>
      </c>
      <c r="B132" s="6" t="s">
        <v>1329</v>
      </c>
      <c r="C132" s="27" t="n">
        <v>116714</v>
      </c>
      <c r="D132" s="6" t="s">
        <v>327</v>
      </c>
      <c r="E132" s="6" t="s">
        <v>1227</v>
      </c>
      <c r="F132" s="6" t="s">
        <v>217</v>
      </c>
      <c r="G132" s="6" t="s">
        <v>1020</v>
      </c>
      <c r="H132" s="6" t="s">
        <v>1021</v>
      </c>
      <c r="I132" s="6" t="s">
        <v>1228</v>
      </c>
      <c r="J132" s="6" t="s">
        <v>18</v>
      </c>
      <c r="K132" s="6" t="s">
        <v>1028</v>
      </c>
      <c r="L132" s="6" t="s">
        <v>66</v>
      </c>
      <c r="N132" s="6" t="s">
        <v>1023</v>
      </c>
      <c r="O132" s="6" t="s">
        <v>1324</v>
      </c>
      <c r="P132" s="6" t="n">
        <v>1</v>
      </c>
      <c r="R132" s="6" t="s">
        <v>1322</v>
      </c>
      <c r="U132" s="6" t="n">
        <v>150000</v>
      </c>
      <c r="V132" s="28" t="n">
        <v>150000</v>
      </c>
      <c r="W132" s="29" t="n">
        <v>0.12</v>
      </c>
      <c r="X132" s="6" t="n">
        <v>0.055</v>
      </c>
      <c r="Y132" s="29" t="n">
        <v>0.12</v>
      </c>
      <c r="Z132" s="30"/>
      <c r="AA132" s="29" t="n">
        <v>0.04</v>
      </c>
      <c r="AB132" s="31" t="n">
        <v>240302</v>
      </c>
      <c r="AC132" s="6" t="s">
        <v>1330</v>
      </c>
      <c r="AE132" s="6" t="n">
        <v>240302</v>
      </c>
      <c r="AF132" s="6" t="s">
        <v>58</v>
      </c>
      <c r="AG132" s="6" t="n">
        <v>0</v>
      </c>
      <c r="AH132" s="30" t="s">
        <v>1020</v>
      </c>
      <c r="AI132" s="6" t="n">
        <v>0</v>
      </c>
      <c r="AJ132" s="6" t="s">
        <v>66</v>
      </c>
      <c r="AK132" s="6" t="s">
        <v>988</v>
      </c>
      <c r="AL132" s="6" t="s">
        <v>66</v>
      </c>
      <c r="AM132" s="6" t="n">
        <v>0</v>
      </c>
      <c r="AN132" s="6" t="s">
        <v>58</v>
      </c>
      <c r="AO132" s="6" t="s">
        <v>1330</v>
      </c>
      <c r="AP132" s="32" t="n">
        <v>46507</v>
      </c>
      <c r="AQ132" s="6" t="s">
        <v>328</v>
      </c>
      <c r="AR132" s="6" t="s">
        <v>57</v>
      </c>
    </row>
    <row r="133" customFormat="false" ht="15" hidden="false" customHeight="true" outlineLevel="0" collapsed="false">
      <c r="A133" s="27" t="n">
        <v>113618</v>
      </c>
      <c r="B133" s="6" t="s">
        <v>1331</v>
      </c>
      <c r="C133" s="27" t="n">
        <v>113618</v>
      </c>
      <c r="D133" s="6" t="s">
        <v>327</v>
      </c>
      <c r="E133" s="6" t="s">
        <v>1227</v>
      </c>
      <c r="F133" s="6" t="s">
        <v>217</v>
      </c>
      <c r="G133" s="6" t="s">
        <v>1020</v>
      </c>
      <c r="H133" s="6" t="s">
        <v>1021</v>
      </c>
      <c r="I133" s="6" t="s">
        <v>1228</v>
      </c>
      <c r="J133" s="6" t="s">
        <v>32</v>
      </c>
      <c r="K133" s="6" t="s">
        <v>1229</v>
      </c>
      <c r="L133" s="6" t="s">
        <v>218</v>
      </c>
      <c r="N133" s="6" t="s">
        <v>109</v>
      </c>
      <c r="O133" s="6" t="s">
        <v>1324</v>
      </c>
      <c r="P133" s="6" t="n">
        <v>1</v>
      </c>
      <c r="R133" s="6" t="s">
        <v>1152</v>
      </c>
      <c r="U133" s="6" t="n">
        <v>142000</v>
      </c>
      <c r="V133" s="28" t="n">
        <v>130640</v>
      </c>
      <c r="W133" s="29" t="n">
        <v>0.15</v>
      </c>
      <c r="Y133" s="29" t="n">
        <v>0.05</v>
      </c>
      <c r="Z133" s="30" t="n">
        <v>2910</v>
      </c>
      <c r="AA133" s="29" t="n">
        <v>0.03</v>
      </c>
      <c r="AB133" s="31" t="n">
        <v>163597.2</v>
      </c>
      <c r="AE133" s="6" t="n">
        <v>163597.2</v>
      </c>
      <c r="AF133" s="6" t="s">
        <v>58</v>
      </c>
      <c r="AG133" s="6" t="n">
        <v>0</v>
      </c>
      <c r="AH133" s="30" t="s">
        <v>1020</v>
      </c>
      <c r="AI133" s="6" t="n">
        <v>0</v>
      </c>
      <c r="AJ133" s="6" t="s">
        <v>218</v>
      </c>
      <c r="AK133" s="6" t="s">
        <v>988</v>
      </c>
      <c r="AL133" s="6" t="s">
        <v>218</v>
      </c>
      <c r="AM133" s="6" t="n">
        <v>0</v>
      </c>
      <c r="AN133" s="6" t="s">
        <v>58</v>
      </c>
      <c r="AQ133" s="6" t="s">
        <v>329</v>
      </c>
      <c r="AR133" s="6" t="s">
        <v>109</v>
      </c>
    </row>
    <row r="134" customFormat="false" ht="15" hidden="false" customHeight="true" outlineLevel="0" collapsed="false">
      <c r="A134" s="27" t="n">
        <v>113508</v>
      </c>
      <c r="B134" s="6" t="s">
        <v>1332</v>
      </c>
      <c r="C134" s="27" t="n">
        <v>113508</v>
      </c>
      <c r="D134" s="6" t="s">
        <v>331</v>
      </c>
      <c r="E134" s="6" t="s">
        <v>1064</v>
      </c>
      <c r="F134" s="6" t="s">
        <v>1065</v>
      </c>
      <c r="G134" s="6" t="s">
        <v>1020</v>
      </c>
      <c r="H134" s="6" t="s">
        <v>1066</v>
      </c>
      <c r="I134" s="6" t="s">
        <v>1067</v>
      </c>
      <c r="J134" s="6" t="s">
        <v>32</v>
      </c>
      <c r="K134" s="6" t="s">
        <v>92</v>
      </c>
      <c r="L134" s="6" t="s">
        <v>92</v>
      </c>
      <c r="N134" s="6" t="s">
        <v>109</v>
      </c>
      <c r="O134" s="6" t="s">
        <v>1324</v>
      </c>
      <c r="P134" s="6" t="n">
        <v>0.8</v>
      </c>
      <c r="R134" s="6" t="s">
        <v>1105</v>
      </c>
      <c r="U134" s="6" t="n">
        <v>169030</v>
      </c>
      <c r="V134" s="28" t="n">
        <v>155507.6</v>
      </c>
      <c r="W134" s="29" t="n">
        <v>0.15</v>
      </c>
      <c r="Y134" s="29" t="n">
        <v>0.05</v>
      </c>
      <c r="Z134" s="30" t="n">
        <v>2910</v>
      </c>
      <c r="AA134" s="29" t="n">
        <v>0.03</v>
      </c>
      <c r="AB134" s="31" t="n">
        <v>194184.348</v>
      </c>
      <c r="AE134" s="6" t="n">
        <v>155347.4784</v>
      </c>
      <c r="AF134" s="6" t="s">
        <v>58</v>
      </c>
      <c r="AG134" s="6" t="n">
        <v>0</v>
      </c>
      <c r="AH134" s="30" t="s">
        <v>1020</v>
      </c>
      <c r="AI134" s="6" t="n">
        <v>0</v>
      </c>
      <c r="AJ134" s="6" t="s">
        <v>92</v>
      </c>
      <c r="AK134" s="6" t="s">
        <v>988</v>
      </c>
      <c r="AL134" s="6" t="s">
        <v>92</v>
      </c>
      <c r="AM134" s="6" t="n">
        <v>0</v>
      </c>
      <c r="AN134" s="6" t="s">
        <v>58</v>
      </c>
      <c r="AQ134" s="6" t="s">
        <v>330</v>
      </c>
      <c r="AR134" s="6" t="s">
        <v>109</v>
      </c>
    </row>
    <row r="135" customFormat="false" ht="15" hidden="false" customHeight="true" outlineLevel="0" collapsed="false">
      <c r="A135" s="27" t="n">
        <v>113528</v>
      </c>
      <c r="B135" s="6" t="s">
        <v>1333</v>
      </c>
      <c r="C135" s="27" t="n">
        <v>113528</v>
      </c>
      <c r="D135" s="6" t="s">
        <v>55</v>
      </c>
      <c r="E135" s="6" t="s">
        <v>1064</v>
      </c>
      <c r="F135" s="6" t="s">
        <v>1065</v>
      </c>
      <c r="G135" s="6" t="s">
        <v>1020</v>
      </c>
      <c r="H135" s="6" t="s">
        <v>1066</v>
      </c>
      <c r="I135" s="6" t="s">
        <v>1067</v>
      </c>
      <c r="J135" s="6" t="s">
        <v>32</v>
      </c>
      <c r="K135" s="6" t="s">
        <v>333</v>
      </c>
      <c r="L135" s="6" t="s">
        <v>333</v>
      </c>
      <c r="N135" s="6" t="s">
        <v>109</v>
      </c>
      <c r="O135" s="6" t="s">
        <v>1324</v>
      </c>
      <c r="P135" s="6" t="n">
        <v>1</v>
      </c>
      <c r="R135" s="6" t="s">
        <v>1152</v>
      </c>
      <c r="U135" s="6" t="n">
        <v>171670</v>
      </c>
      <c r="V135" s="28" t="n">
        <v>157936.4</v>
      </c>
      <c r="W135" s="29" t="n">
        <v>0.15</v>
      </c>
      <c r="Y135" s="29" t="n">
        <v>0.05</v>
      </c>
      <c r="Z135" s="30" t="n">
        <v>2910</v>
      </c>
      <c r="AA135" s="29" t="n">
        <v>0.03</v>
      </c>
      <c r="AB135" s="31" t="n">
        <v>197171.772</v>
      </c>
      <c r="AE135" s="6" t="n">
        <v>197171.772</v>
      </c>
      <c r="AF135" s="6" t="s">
        <v>58</v>
      </c>
      <c r="AG135" s="6" t="n">
        <v>0</v>
      </c>
      <c r="AH135" s="30" t="s">
        <v>1020</v>
      </c>
      <c r="AI135" s="6" t="n">
        <v>0</v>
      </c>
      <c r="AJ135" s="6" t="s">
        <v>333</v>
      </c>
      <c r="AK135" s="6" t="s">
        <v>988</v>
      </c>
      <c r="AL135" s="6" t="s">
        <v>333</v>
      </c>
      <c r="AM135" s="6" t="n">
        <v>0</v>
      </c>
      <c r="AN135" s="6" t="s">
        <v>58</v>
      </c>
      <c r="AQ135" s="6" t="s">
        <v>332</v>
      </c>
      <c r="AR135" s="6" t="s">
        <v>109</v>
      </c>
    </row>
    <row r="136" customFormat="false" ht="15" hidden="false" customHeight="true" outlineLevel="0" collapsed="false">
      <c r="A136" s="27" t="n">
        <v>113519</v>
      </c>
      <c r="B136" s="6" t="s">
        <v>1334</v>
      </c>
      <c r="C136" s="27" t="n">
        <v>113519</v>
      </c>
      <c r="D136" s="6" t="s">
        <v>335</v>
      </c>
      <c r="E136" s="6" t="s">
        <v>1219</v>
      </c>
      <c r="F136" s="6" t="s">
        <v>1335</v>
      </c>
      <c r="G136" s="6" t="s">
        <v>1020</v>
      </c>
      <c r="H136" s="6" t="s">
        <v>1066</v>
      </c>
      <c r="I136" s="6" t="s">
        <v>1221</v>
      </c>
      <c r="J136" s="6" t="s">
        <v>32</v>
      </c>
      <c r="K136" s="6" t="s">
        <v>333</v>
      </c>
      <c r="L136" s="6" t="s">
        <v>333</v>
      </c>
      <c r="N136" s="6" t="s">
        <v>109</v>
      </c>
      <c r="O136" s="6" t="s">
        <v>1324</v>
      </c>
      <c r="P136" s="6" t="n">
        <v>1</v>
      </c>
      <c r="R136" s="6" t="s">
        <v>1152</v>
      </c>
      <c r="U136" s="6" t="n">
        <v>151850</v>
      </c>
      <c r="V136" s="28" t="n">
        <v>139702</v>
      </c>
      <c r="W136" s="29" t="n">
        <v>0.15</v>
      </c>
      <c r="Y136" s="29" t="n">
        <v>0.05</v>
      </c>
      <c r="Z136" s="30" t="n">
        <v>2910</v>
      </c>
      <c r="AA136" s="29" t="n">
        <v>0.03</v>
      </c>
      <c r="AB136" s="31" t="n">
        <v>174743.46</v>
      </c>
      <c r="AE136" s="6" t="n">
        <v>174743.46</v>
      </c>
      <c r="AF136" s="6" t="s">
        <v>58</v>
      </c>
      <c r="AG136" s="6" t="n">
        <v>0</v>
      </c>
      <c r="AH136" s="30" t="s">
        <v>1020</v>
      </c>
      <c r="AI136" s="6" t="n">
        <v>0</v>
      </c>
      <c r="AJ136" s="6" t="s">
        <v>333</v>
      </c>
      <c r="AK136" s="6" t="s">
        <v>988</v>
      </c>
      <c r="AL136" s="6" t="s">
        <v>333</v>
      </c>
      <c r="AM136" s="6" t="n">
        <v>0</v>
      </c>
      <c r="AN136" s="6" t="s">
        <v>58</v>
      </c>
      <c r="AQ136" s="6" t="s">
        <v>334</v>
      </c>
      <c r="AR136" s="6" t="s">
        <v>109</v>
      </c>
    </row>
    <row r="137" customFormat="false" ht="15" hidden="false" customHeight="true" outlineLevel="0" collapsed="false">
      <c r="A137" s="27" t="n">
        <v>113565</v>
      </c>
      <c r="B137" s="6" t="s">
        <v>1336</v>
      </c>
      <c r="C137" s="27" t="n">
        <v>113565</v>
      </c>
      <c r="D137" s="6" t="s">
        <v>337</v>
      </c>
      <c r="E137" s="6" t="s">
        <v>1219</v>
      </c>
      <c r="F137" s="6" t="s">
        <v>1335</v>
      </c>
      <c r="G137" s="6" t="s">
        <v>1020</v>
      </c>
      <c r="H137" s="6" t="s">
        <v>1066</v>
      </c>
      <c r="I137" s="6" t="s">
        <v>1221</v>
      </c>
      <c r="J137" s="6" t="s">
        <v>32</v>
      </c>
      <c r="K137" s="6" t="s">
        <v>333</v>
      </c>
      <c r="L137" s="6" t="s">
        <v>333</v>
      </c>
      <c r="N137" s="6" t="s">
        <v>109</v>
      </c>
      <c r="O137" s="6" t="s">
        <v>1324</v>
      </c>
      <c r="P137" s="6" t="n">
        <v>0.8</v>
      </c>
      <c r="R137" s="6" t="s">
        <v>1105</v>
      </c>
      <c r="U137" s="6" t="n">
        <v>135264</v>
      </c>
      <c r="V137" s="28" t="n">
        <v>124442.88</v>
      </c>
      <c r="W137" s="29" t="n">
        <v>0.15</v>
      </c>
      <c r="Y137" s="29" t="n">
        <v>0.05</v>
      </c>
      <c r="Z137" s="30" t="n">
        <v>2910</v>
      </c>
      <c r="AA137" s="29" t="n">
        <v>0.03</v>
      </c>
      <c r="AB137" s="31" t="n">
        <v>155974.7424</v>
      </c>
      <c r="AE137" s="6" t="n">
        <v>124779.79392</v>
      </c>
      <c r="AF137" s="6" t="s">
        <v>58</v>
      </c>
      <c r="AG137" s="6" t="n">
        <v>0</v>
      </c>
      <c r="AH137" s="30" t="s">
        <v>1020</v>
      </c>
      <c r="AI137" s="6" t="n">
        <v>0</v>
      </c>
      <c r="AJ137" s="6" t="s">
        <v>333</v>
      </c>
      <c r="AK137" s="6" t="s">
        <v>988</v>
      </c>
      <c r="AL137" s="6" t="s">
        <v>333</v>
      </c>
      <c r="AM137" s="6" t="n">
        <v>0</v>
      </c>
      <c r="AN137" s="6" t="s">
        <v>58</v>
      </c>
      <c r="AQ137" s="6" t="s">
        <v>336</v>
      </c>
      <c r="AR137" s="6" t="s">
        <v>109</v>
      </c>
    </row>
    <row r="138" customFormat="false" ht="15" hidden="false" customHeight="true" outlineLevel="0" collapsed="false">
      <c r="A138" s="27" t="n">
        <v>113601</v>
      </c>
      <c r="B138" s="6" t="s">
        <v>1337</v>
      </c>
      <c r="C138" s="27" t="n">
        <v>113601</v>
      </c>
      <c r="D138" s="6" t="s">
        <v>335</v>
      </c>
      <c r="E138" s="6" t="s">
        <v>1219</v>
      </c>
      <c r="F138" s="6" t="s">
        <v>1335</v>
      </c>
      <c r="G138" s="6" t="s">
        <v>1020</v>
      </c>
      <c r="H138" s="6" t="s">
        <v>1066</v>
      </c>
      <c r="I138" s="6" t="s">
        <v>1221</v>
      </c>
      <c r="J138" s="6" t="s">
        <v>32</v>
      </c>
      <c r="K138" s="6" t="s">
        <v>333</v>
      </c>
      <c r="L138" s="6" t="s">
        <v>333</v>
      </c>
      <c r="N138" s="6" t="s">
        <v>109</v>
      </c>
      <c r="O138" s="6" t="s">
        <v>1324</v>
      </c>
      <c r="P138" s="6" t="n">
        <v>1</v>
      </c>
      <c r="R138" s="6" t="s">
        <v>1152</v>
      </c>
      <c r="U138" s="6" t="n">
        <v>170880</v>
      </c>
      <c r="V138" s="28" t="n">
        <v>157209.6</v>
      </c>
      <c r="W138" s="29" t="n">
        <v>0.15</v>
      </c>
      <c r="Y138" s="29" t="n">
        <v>0.05</v>
      </c>
      <c r="Z138" s="30" t="n">
        <v>2910</v>
      </c>
      <c r="AA138" s="29" t="n">
        <v>0.03</v>
      </c>
      <c r="AB138" s="31" t="n">
        <v>196277.808</v>
      </c>
      <c r="AE138" s="6" t="n">
        <v>196277.808</v>
      </c>
      <c r="AF138" s="6" t="s">
        <v>58</v>
      </c>
      <c r="AG138" s="6" t="n">
        <v>0</v>
      </c>
      <c r="AH138" s="30" t="s">
        <v>1020</v>
      </c>
      <c r="AI138" s="6" t="n">
        <v>0</v>
      </c>
      <c r="AJ138" s="6" t="s">
        <v>333</v>
      </c>
      <c r="AK138" s="6" t="s">
        <v>988</v>
      </c>
      <c r="AL138" s="6" t="s">
        <v>333</v>
      </c>
      <c r="AM138" s="6" t="n">
        <v>0</v>
      </c>
      <c r="AN138" s="6" t="s">
        <v>58</v>
      </c>
      <c r="AQ138" s="6" t="s">
        <v>338</v>
      </c>
      <c r="AR138" s="6" t="s">
        <v>109</v>
      </c>
    </row>
    <row r="139" customFormat="false" ht="15" hidden="false" customHeight="true" outlineLevel="0" collapsed="false">
      <c r="A139" s="27" t="s">
        <v>1138</v>
      </c>
      <c r="B139" s="6" t="s">
        <v>1063</v>
      </c>
      <c r="C139" s="27" t="s">
        <v>1138</v>
      </c>
      <c r="D139" s="6" t="s">
        <v>113</v>
      </c>
      <c r="E139" s="6" t="s">
        <v>1219</v>
      </c>
      <c r="F139" s="6" t="s">
        <v>1335</v>
      </c>
      <c r="G139" s="6" t="s">
        <v>1020</v>
      </c>
      <c r="H139" s="6" t="s">
        <v>1066</v>
      </c>
      <c r="I139" s="6" t="s">
        <v>1221</v>
      </c>
      <c r="J139" s="6" t="s">
        <v>32</v>
      </c>
      <c r="K139" s="6" t="s">
        <v>333</v>
      </c>
      <c r="L139" s="6" t="s">
        <v>333</v>
      </c>
      <c r="N139" s="6" t="s">
        <v>1023</v>
      </c>
      <c r="O139" s="6" t="s">
        <v>1324</v>
      </c>
      <c r="P139" s="6" t="n">
        <v>1</v>
      </c>
      <c r="R139" s="6" t="s">
        <v>1063</v>
      </c>
      <c r="U139" s="6" t="n">
        <v>176280</v>
      </c>
      <c r="V139" s="28" t="n">
        <v>176280</v>
      </c>
      <c r="W139" s="29" t="n">
        <v>0.12</v>
      </c>
      <c r="X139" s="6" t="n">
        <v>0.055</v>
      </c>
      <c r="Y139" s="29" t="n">
        <v>0.12</v>
      </c>
      <c r="Z139" s="30"/>
      <c r="AA139" s="29" t="n">
        <v>0.04</v>
      </c>
      <c r="AB139" s="31" t="n">
        <v>235333.8</v>
      </c>
      <c r="AE139" s="6" t="n">
        <v>235333.8</v>
      </c>
      <c r="AF139" s="6" t="s">
        <v>1063</v>
      </c>
      <c r="AG139" s="6" t="n">
        <v>0</v>
      </c>
      <c r="AH139" s="30" t="s">
        <v>1020</v>
      </c>
      <c r="AI139" s="6" t="n">
        <v>0</v>
      </c>
      <c r="AJ139" s="6" t="s">
        <v>333</v>
      </c>
      <c r="AK139" s="6" t="s">
        <v>988</v>
      </c>
      <c r="AL139" s="6" t="s">
        <v>333</v>
      </c>
      <c r="AM139" s="6" t="n">
        <v>0</v>
      </c>
      <c r="AN139" s="6" t="s">
        <v>1063</v>
      </c>
      <c r="AO139" s="6" t="s">
        <v>1338</v>
      </c>
      <c r="AQ139" s="6" t="s">
        <v>339</v>
      </c>
      <c r="AR139" s="6" t="s">
        <v>57</v>
      </c>
    </row>
    <row r="140" customFormat="false" ht="15" hidden="false" customHeight="true" outlineLevel="0" collapsed="false">
      <c r="A140" s="27" t="n">
        <v>4781</v>
      </c>
      <c r="B140" s="6" t="s">
        <v>1079</v>
      </c>
      <c r="C140" s="27" t="n">
        <v>4781</v>
      </c>
      <c r="D140" s="6" t="s">
        <v>341</v>
      </c>
      <c r="E140" s="6" t="s">
        <v>1153</v>
      </c>
      <c r="F140" s="6" t="s">
        <v>1226</v>
      </c>
      <c r="G140" s="6" t="s">
        <v>1020</v>
      </c>
      <c r="H140" s="6" t="s">
        <v>1021</v>
      </c>
      <c r="I140" s="6" t="s">
        <v>1081</v>
      </c>
      <c r="J140" s="6" t="s">
        <v>18</v>
      </c>
      <c r="K140" s="6" t="s">
        <v>1028</v>
      </c>
      <c r="L140" s="6" t="s">
        <v>101</v>
      </c>
      <c r="N140" s="6" t="s">
        <v>1023</v>
      </c>
      <c r="O140" s="6" t="s">
        <v>1324</v>
      </c>
      <c r="P140" s="6" t="n">
        <v>1</v>
      </c>
      <c r="R140" s="6" t="s">
        <v>1152</v>
      </c>
      <c r="U140" s="6" t="n">
        <v>193100</v>
      </c>
      <c r="V140" s="28" t="n">
        <v>193100</v>
      </c>
      <c r="W140" s="29" t="n">
        <v>0.12</v>
      </c>
      <c r="X140" s="6" t="n">
        <v>0.055</v>
      </c>
      <c r="Y140" s="29" t="n">
        <v>0.12</v>
      </c>
      <c r="Z140" s="30"/>
      <c r="AA140" s="29" t="n">
        <v>0.04</v>
      </c>
      <c r="AB140" s="31" t="n">
        <v>257788.5</v>
      </c>
      <c r="AE140" s="6" t="n">
        <v>257788.5</v>
      </c>
      <c r="AF140" s="6" t="s">
        <v>58</v>
      </c>
      <c r="AG140" s="6" t="n">
        <v>0</v>
      </c>
      <c r="AH140" s="30" t="s">
        <v>1020</v>
      </c>
      <c r="AI140" s="6" t="n">
        <v>0</v>
      </c>
      <c r="AJ140" s="6" t="s">
        <v>101</v>
      </c>
      <c r="AK140" s="6" t="s">
        <v>988</v>
      </c>
      <c r="AL140" s="6" t="s">
        <v>101</v>
      </c>
      <c r="AM140" s="6" t="n">
        <v>0</v>
      </c>
      <c r="AN140" s="6" t="s">
        <v>58</v>
      </c>
      <c r="AQ140" s="6" t="s">
        <v>340</v>
      </c>
      <c r="AR140" s="6" t="s">
        <v>57</v>
      </c>
    </row>
    <row r="141" customFormat="false" ht="15" hidden="false" customHeight="true" outlineLevel="0" collapsed="false">
      <c r="A141" s="27" t="n">
        <v>113612</v>
      </c>
      <c r="B141" s="6" t="s">
        <v>1339</v>
      </c>
      <c r="C141" s="27" t="n">
        <v>113612</v>
      </c>
      <c r="D141" s="6" t="s">
        <v>343</v>
      </c>
      <c r="E141" s="6" t="s">
        <v>1153</v>
      </c>
      <c r="F141" s="6" t="s">
        <v>1226</v>
      </c>
      <c r="G141" s="6" t="s">
        <v>1020</v>
      </c>
      <c r="H141" s="6" t="s">
        <v>1021</v>
      </c>
      <c r="I141" s="6" t="s">
        <v>1340</v>
      </c>
      <c r="J141" s="6" t="s">
        <v>32</v>
      </c>
      <c r="K141" s="6" t="s">
        <v>1229</v>
      </c>
      <c r="L141" s="6" t="s">
        <v>218</v>
      </c>
      <c r="N141" s="6" t="s">
        <v>109</v>
      </c>
      <c r="O141" s="6" t="s">
        <v>1324</v>
      </c>
      <c r="P141" s="6" t="n">
        <v>1</v>
      </c>
      <c r="R141" s="6" t="s">
        <v>1152</v>
      </c>
      <c r="U141" s="6" t="n">
        <v>162180</v>
      </c>
      <c r="V141" s="28" t="n">
        <v>149205.6</v>
      </c>
      <c r="W141" s="29" t="n">
        <v>0.15</v>
      </c>
      <c r="Y141" s="29" t="n">
        <v>0.05</v>
      </c>
      <c r="Z141" s="30" t="n">
        <v>2910</v>
      </c>
      <c r="AA141" s="29" t="n">
        <v>0.03</v>
      </c>
      <c r="AB141" s="31" t="n">
        <v>186432.888</v>
      </c>
      <c r="AE141" s="6" t="n">
        <v>186432.888</v>
      </c>
      <c r="AF141" s="6" t="s">
        <v>58</v>
      </c>
      <c r="AG141" s="6" t="n">
        <v>0</v>
      </c>
      <c r="AH141" s="30" t="s">
        <v>1020</v>
      </c>
      <c r="AI141" s="6" t="n">
        <v>0</v>
      </c>
      <c r="AJ141" s="6" t="s">
        <v>218</v>
      </c>
      <c r="AK141" s="6" t="s">
        <v>988</v>
      </c>
      <c r="AL141" s="6" t="s">
        <v>218</v>
      </c>
      <c r="AM141" s="6" t="n">
        <v>0</v>
      </c>
      <c r="AN141" s="6" t="s">
        <v>58</v>
      </c>
      <c r="AQ141" s="6" t="s">
        <v>342</v>
      </c>
      <c r="AR141" s="6" t="s">
        <v>109</v>
      </c>
    </row>
    <row r="142" customFormat="false" ht="15" hidden="false" customHeight="true" outlineLevel="0" collapsed="false">
      <c r="A142" s="27" t="n">
        <v>116408</v>
      </c>
      <c r="B142" s="6" t="s">
        <v>1341</v>
      </c>
      <c r="C142" s="27" t="n">
        <v>116408</v>
      </c>
      <c r="D142" s="6" t="s">
        <v>345</v>
      </c>
      <c r="E142" s="6" t="s">
        <v>1063</v>
      </c>
      <c r="F142" s="6" t="s">
        <v>214</v>
      </c>
      <c r="G142" s="6" t="s">
        <v>1020</v>
      </c>
      <c r="H142" s="6" t="s">
        <v>1224</v>
      </c>
      <c r="J142" s="6" t="s">
        <v>18</v>
      </c>
      <c r="K142" s="6" t="s">
        <v>56</v>
      </c>
      <c r="L142" s="6" t="s">
        <v>1225</v>
      </c>
      <c r="N142" s="6" t="s">
        <v>1023</v>
      </c>
      <c r="O142" s="6" t="s">
        <v>1324</v>
      </c>
      <c r="P142" s="6" t="n">
        <v>1</v>
      </c>
      <c r="R142" s="6" t="s">
        <v>1322</v>
      </c>
      <c r="U142" s="6" t="n">
        <v>160000</v>
      </c>
      <c r="V142" s="28" t="n">
        <v>160000</v>
      </c>
      <c r="W142" s="29" t="n">
        <v>0.12</v>
      </c>
      <c r="X142" s="6" t="n">
        <v>0.055</v>
      </c>
      <c r="Y142" s="29" t="n">
        <v>0.12</v>
      </c>
      <c r="Z142" s="30"/>
      <c r="AA142" s="29" t="n">
        <v>0.04</v>
      </c>
      <c r="AB142" s="31" t="n">
        <v>240301</v>
      </c>
      <c r="AC142" s="6" t="s">
        <v>1342</v>
      </c>
      <c r="AE142" s="6" t="n">
        <v>240301</v>
      </c>
      <c r="AF142" s="6" t="s">
        <v>58</v>
      </c>
      <c r="AG142" s="6" t="n">
        <v>0</v>
      </c>
      <c r="AH142" s="30" t="s">
        <v>1020</v>
      </c>
      <c r="AI142" s="6" t="n">
        <v>0</v>
      </c>
      <c r="AJ142" s="6" t="s">
        <v>1225</v>
      </c>
      <c r="AK142" s="6" t="s">
        <v>988</v>
      </c>
      <c r="AL142" s="6" t="s">
        <v>56</v>
      </c>
      <c r="AM142" s="6" t="n">
        <v>1</v>
      </c>
      <c r="AN142" s="6" t="s">
        <v>58</v>
      </c>
      <c r="AO142" s="6" t="s">
        <v>1342</v>
      </c>
      <c r="AP142" s="32" t="n">
        <v>46455</v>
      </c>
      <c r="AQ142" s="6" t="s">
        <v>344</v>
      </c>
      <c r="AR142" s="6" t="s">
        <v>57</v>
      </c>
    </row>
    <row r="143" customFormat="false" ht="15" hidden="false" customHeight="true" outlineLevel="0" collapsed="false">
      <c r="A143" s="27" t="n">
        <v>114650</v>
      </c>
      <c r="B143" s="6" t="s">
        <v>1343</v>
      </c>
      <c r="C143" s="27" t="n">
        <v>114650</v>
      </c>
      <c r="D143" s="6" t="s">
        <v>347</v>
      </c>
      <c r="E143" s="6" t="s">
        <v>1063</v>
      </c>
      <c r="F143" s="6" t="s">
        <v>1121</v>
      </c>
      <c r="G143" s="6" t="s">
        <v>1020</v>
      </c>
      <c r="H143" s="6" t="s">
        <v>1021</v>
      </c>
      <c r="I143" s="6" t="s">
        <v>1122</v>
      </c>
      <c r="J143" s="6" t="s">
        <v>18</v>
      </c>
      <c r="K143" s="6" t="s">
        <v>1028</v>
      </c>
      <c r="L143" s="6" t="s">
        <v>62</v>
      </c>
      <c r="N143" s="6" t="s">
        <v>1023</v>
      </c>
      <c r="O143" s="6" t="s">
        <v>1324</v>
      </c>
      <c r="P143" s="6" t="n">
        <v>1</v>
      </c>
      <c r="R143" s="6" t="s">
        <v>1152</v>
      </c>
      <c r="U143" s="6" t="n">
        <v>180000</v>
      </c>
      <c r="V143" s="28" t="n">
        <v>180000</v>
      </c>
      <c r="W143" s="29" t="n">
        <v>0.12</v>
      </c>
      <c r="X143" s="6" t="n">
        <v>0.055</v>
      </c>
      <c r="Y143" s="29" t="n">
        <v>0.12</v>
      </c>
      <c r="Z143" s="30"/>
      <c r="AA143" s="29" t="n">
        <v>0.04</v>
      </c>
      <c r="AB143" s="31" t="n">
        <v>240300</v>
      </c>
      <c r="AE143" s="6" t="n">
        <v>240300</v>
      </c>
      <c r="AF143" s="6" t="s">
        <v>58</v>
      </c>
      <c r="AG143" s="6" t="n">
        <v>0</v>
      </c>
      <c r="AH143" s="30" t="s">
        <v>1020</v>
      </c>
      <c r="AI143" s="6" t="n">
        <v>0</v>
      </c>
      <c r="AJ143" s="6" t="s">
        <v>62</v>
      </c>
      <c r="AK143" s="6" t="s">
        <v>988</v>
      </c>
      <c r="AL143" s="6" t="s">
        <v>62</v>
      </c>
      <c r="AM143" s="6" t="n">
        <v>0</v>
      </c>
      <c r="AN143" s="6" t="s">
        <v>58</v>
      </c>
      <c r="AQ143" s="6" t="s">
        <v>346</v>
      </c>
      <c r="AR143" s="6" t="s">
        <v>57</v>
      </c>
    </row>
    <row r="144" customFormat="false" ht="15" hidden="false" customHeight="true" outlineLevel="0" collapsed="false">
      <c r="A144" s="27" t="n">
        <v>97634</v>
      </c>
      <c r="B144" s="6" t="s">
        <v>1344</v>
      </c>
      <c r="C144" s="27" t="n">
        <v>97634</v>
      </c>
      <c r="D144" s="6" t="s">
        <v>347</v>
      </c>
      <c r="E144" s="6" t="s">
        <v>1063</v>
      </c>
      <c r="F144" s="6" t="s">
        <v>1121</v>
      </c>
      <c r="G144" s="6" t="s">
        <v>1020</v>
      </c>
      <c r="H144" s="6" t="s">
        <v>1021</v>
      </c>
      <c r="I144" s="6" t="s">
        <v>1122</v>
      </c>
      <c r="J144" s="6" t="s">
        <v>18</v>
      </c>
      <c r="K144" s="6" t="s">
        <v>1028</v>
      </c>
      <c r="L144" s="6" t="s">
        <v>66</v>
      </c>
      <c r="N144" s="6" t="s">
        <v>1023</v>
      </c>
      <c r="O144" s="6" t="s">
        <v>1324</v>
      </c>
      <c r="P144" s="6" t="n">
        <v>1</v>
      </c>
      <c r="R144" s="6" t="s">
        <v>1152</v>
      </c>
      <c r="U144" s="6" t="n">
        <v>194910</v>
      </c>
      <c r="V144" s="28" t="n">
        <v>194910</v>
      </c>
      <c r="W144" s="29" t="n">
        <v>0.12</v>
      </c>
      <c r="X144" s="6" t="n">
        <v>0.055</v>
      </c>
      <c r="Y144" s="29" t="n">
        <v>0.12</v>
      </c>
      <c r="Z144" s="30"/>
      <c r="AA144" s="29" t="n">
        <v>0.04</v>
      </c>
      <c r="AB144" s="31" t="n">
        <v>260204.85</v>
      </c>
      <c r="AE144" s="6" t="n">
        <v>260204.85</v>
      </c>
      <c r="AF144" s="6" t="s">
        <v>58</v>
      </c>
      <c r="AG144" s="6" t="n">
        <v>0</v>
      </c>
      <c r="AH144" s="30" t="s">
        <v>1020</v>
      </c>
      <c r="AI144" s="6" t="n">
        <v>0</v>
      </c>
      <c r="AJ144" s="6" t="s">
        <v>66</v>
      </c>
      <c r="AK144" s="6" t="s">
        <v>988</v>
      </c>
      <c r="AL144" s="6" t="s">
        <v>66</v>
      </c>
      <c r="AM144" s="6" t="n">
        <v>0</v>
      </c>
      <c r="AN144" s="6" t="s">
        <v>58</v>
      </c>
      <c r="AQ144" s="6" t="s">
        <v>348</v>
      </c>
      <c r="AR144" s="6" t="s">
        <v>57</v>
      </c>
    </row>
    <row r="145" customFormat="false" ht="15" hidden="false" customHeight="true" outlineLevel="0" collapsed="false">
      <c r="A145" s="27" t="n">
        <v>106547</v>
      </c>
      <c r="B145" s="6" t="s">
        <v>1345</v>
      </c>
      <c r="C145" s="27" t="n">
        <v>106547</v>
      </c>
      <c r="D145" s="6" t="s">
        <v>350</v>
      </c>
      <c r="E145" s="6" t="s">
        <v>1273</v>
      </c>
      <c r="F145" s="6" t="s">
        <v>1346</v>
      </c>
      <c r="G145" s="6" t="s">
        <v>1058</v>
      </c>
      <c r="H145" s="6" t="s">
        <v>20</v>
      </c>
      <c r="I145" s="6" t="s">
        <v>1274</v>
      </c>
      <c r="J145" s="6" t="s">
        <v>20</v>
      </c>
      <c r="K145" s="6" t="s">
        <v>351</v>
      </c>
      <c r="L145" s="6" t="s">
        <v>351</v>
      </c>
      <c r="N145" s="6" t="s">
        <v>1189</v>
      </c>
      <c r="O145" s="6" t="s">
        <v>1347</v>
      </c>
      <c r="P145" s="6" t="n">
        <v>1</v>
      </c>
      <c r="R145" s="6" t="s">
        <v>1152</v>
      </c>
      <c r="U145" s="6" t="n">
        <v>193688</v>
      </c>
      <c r="V145" s="28" t="n">
        <v>234362.48</v>
      </c>
      <c r="W145" s="29" t="n">
        <v>0.25</v>
      </c>
      <c r="Y145" s="29" t="n">
        <v>0.17</v>
      </c>
      <c r="Z145" s="30" t="n">
        <v>3310</v>
      </c>
      <c r="AA145" s="29" t="n">
        <v>0.045</v>
      </c>
      <c r="AB145" s="31" t="n">
        <v>346651.0332</v>
      </c>
      <c r="AE145" s="6" t="n">
        <v>346651.0332</v>
      </c>
      <c r="AF145" s="6" t="s">
        <v>58</v>
      </c>
      <c r="AG145" s="6" t="n">
        <v>0</v>
      </c>
      <c r="AH145" s="30" t="s">
        <v>20</v>
      </c>
      <c r="AI145" s="6" t="n">
        <v>0</v>
      </c>
      <c r="AJ145" s="6" t="s">
        <v>351</v>
      </c>
      <c r="AK145" s="6" t="s">
        <v>988</v>
      </c>
      <c r="AL145" s="6" t="s">
        <v>351</v>
      </c>
      <c r="AM145" s="6" t="n">
        <v>0</v>
      </c>
      <c r="AQ145" s="6" t="s">
        <v>349</v>
      </c>
      <c r="AR145" s="6" t="s">
        <v>57</v>
      </c>
    </row>
    <row r="146" customFormat="false" ht="15" hidden="false" customHeight="true" outlineLevel="0" collapsed="false">
      <c r="A146" s="27" t="n">
        <v>116312</v>
      </c>
      <c r="B146" s="6" t="s">
        <v>1348</v>
      </c>
      <c r="C146" s="27" t="n">
        <v>116312</v>
      </c>
      <c r="D146" s="6" t="s">
        <v>353</v>
      </c>
      <c r="E146" s="6" t="s">
        <v>1273</v>
      </c>
      <c r="F146" s="6" t="s">
        <v>1346</v>
      </c>
      <c r="G146" s="6" t="s">
        <v>1058</v>
      </c>
      <c r="H146" s="6" t="s">
        <v>20</v>
      </c>
      <c r="I146" s="6" t="s">
        <v>1274</v>
      </c>
      <c r="J146" s="6" t="s">
        <v>20</v>
      </c>
      <c r="K146" s="6" t="s">
        <v>275</v>
      </c>
      <c r="L146" s="6" t="s">
        <v>275</v>
      </c>
      <c r="N146" s="6" t="s">
        <v>1189</v>
      </c>
      <c r="O146" s="6" t="s">
        <v>1347</v>
      </c>
      <c r="P146" s="6" t="n">
        <v>1</v>
      </c>
      <c r="R146" s="6" t="s">
        <v>1152</v>
      </c>
      <c r="U146" s="6" t="n">
        <v>170000</v>
      </c>
      <c r="V146" s="28" t="n">
        <v>205700</v>
      </c>
      <c r="W146" s="29" t="n">
        <v>0.25</v>
      </c>
      <c r="Y146" s="29" t="n">
        <v>0.17</v>
      </c>
      <c r="Z146" s="30" t="n">
        <v>3310</v>
      </c>
      <c r="AA146" s="29" t="n">
        <v>0.045</v>
      </c>
      <c r="AB146" s="31" t="n">
        <v>304660.5</v>
      </c>
      <c r="AE146" s="6" t="n">
        <v>304660.5</v>
      </c>
      <c r="AF146" s="6" t="s">
        <v>58</v>
      </c>
      <c r="AG146" s="6" t="n">
        <v>0</v>
      </c>
      <c r="AH146" s="30" t="s">
        <v>20</v>
      </c>
      <c r="AI146" s="6" t="n">
        <v>0</v>
      </c>
      <c r="AJ146" s="6" t="s">
        <v>275</v>
      </c>
      <c r="AK146" s="6" t="s">
        <v>988</v>
      </c>
      <c r="AL146" s="6" t="s">
        <v>275</v>
      </c>
      <c r="AM146" s="6" t="n">
        <v>0</v>
      </c>
      <c r="AQ146" s="6" t="s">
        <v>352</v>
      </c>
      <c r="AR146" s="6" t="s">
        <v>57</v>
      </c>
    </row>
    <row r="147" customFormat="false" ht="15" hidden="false" customHeight="true" outlineLevel="0" collapsed="false">
      <c r="A147" s="27" t="n">
        <v>96270</v>
      </c>
      <c r="B147" s="6" t="s">
        <v>1349</v>
      </c>
      <c r="C147" s="27" t="n">
        <v>96270</v>
      </c>
      <c r="D147" s="6" t="s">
        <v>353</v>
      </c>
      <c r="E147" s="6" t="s">
        <v>1273</v>
      </c>
      <c r="F147" s="6" t="s">
        <v>1346</v>
      </c>
      <c r="G147" s="6" t="s">
        <v>1058</v>
      </c>
      <c r="H147" s="6" t="s">
        <v>20</v>
      </c>
      <c r="I147" s="6" t="s">
        <v>1274</v>
      </c>
      <c r="J147" s="6" t="s">
        <v>20</v>
      </c>
      <c r="K147" s="6" t="s">
        <v>275</v>
      </c>
      <c r="L147" s="6" t="s">
        <v>275</v>
      </c>
      <c r="N147" s="6" t="s">
        <v>1023</v>
      </c>
      <c r="O147" s="6" t="s">
        <v>1347</v>
      </c>
      <c r="P147" s="6" t="n">
        <v>1</v>
      </c>
      <c r="R147" s="6" t="s">
        <v>1152</v>
      </c>
      <c r="U147" s="6" t="n">
        <v>165730</v>
      </c>
      <c r="V147" s="28" t="n">
        <v>165730</v>
      </c>
      <c r="W147" s="29" t="n">
        <v>0.12</v>
      </c>
      <c r="X147" s="6" t="n">
        <v>0.055</v>
      </c>
      <c r="Y147" s="29" t="n">
        <v>0.12</v>
      </c>
      <c r="Z147" s="30"/>
      <c r="AA147" s="29" t="n">
        <v>0.04</v>
      </c>
      <c r="AB147" s="31" t="n">
        <v>221249.55</v>
      </c>
      <c r="AE147" s="6" t="n">
        <v>221249.55</v>
      </c>
      <c r="AF147" s="6" t="s">
        <v>58</v>
      </c>
      <c r="AG147" s="6" t="n">
        <v>0</v>
      </c>
      <c r="AH147" s="30" t="s">
        <v>20</v>
      </c>
      <c r="AI147" s="6" t="n">
        <v>0</v>
      </c>
      <c r="AJ147" s="6" t="s">
        <v>275</v>
      </c>
      <c r="AK147" s="6" t="s">
        <v>988</v>
      </c>
      <c r="AL147" s="6" t="s">
        <v>275</v>
      </c>
      <c r="AM147" s="6" t="n">
        <v>0</v>
      </c>
      <c r="AQ147" s="6" t="s">
        <v>354</v>
      </c>
      <c r="AR147" s="6" t="s">
        <v>57</v>
      </c>
    </row>
    <row r="148" customFormat="false" ht="15" hidden="false" customHeight="true" outlineLevel="0" collapsed="false">
      <c r="A148" s="27" t="n">
        <v>106201</v>
      </c>
      <c r="B148" s="6" t="s">
        <v>1350</v>
      </c>
      <c r="C148" s="27" t="n">
        <v>106201</v>
      </c>
      <c r="D148" s="6" t="s">
        <v>113</v>
      </c>
      <c r="E148" s="6" t="s">
        <v>1196</v>
      </c>
      <c r="F148" s="6" t="s">
        <v>1351</v>
      </c>
      <c r="G148" s="6" t="s">
        <v>1058</v>
      </c>
      <c r="H148" s="6" t="s">
        <v>1059</v>
      </c>
      <c r="I148" s="6" t="s">
        <v>1059</v>
      </c>
      <c r="J148" s="6" t="s">
        <v>25</v>
      </c>
      <c r="K148" s="6" t="s">
        <v>1200</v>
      </c>
      <c r="L148" s="6" t="s">
        <v>173</v>
      </c>
      <c r="N148" s="6" t="s">
        <v>1023</v>
      </c>
      <c r="O148" s="6" t="s">
        <v>1347</v>
      </c>
      <c r="P148" s="6" t="n">
        <v>1</v>
      </c>
      <c r="R148" s="6" t="s">
        <v>1152</v>
      </c>
      <c r="U148" s="6" t="n">
        <v>192260</v>
      </c>
      <c r="V148" s="28" t="n">
        <v>192260</v>
      </c>
      <c r="W148" s="29" t="n">
        <v>0.12</v>
      </c>
      <c r="X148" s="6" t="n">
        <v>0.055</v>
      </c>
      <c r="Y148" s="29" t="n">
        <v>0.12</v>
      </c>
      <c r="Z148" s="30"/>
      <c r="AA148" s="29" t="n">
        <v>0.04</v>
      </c>
      <c r="AB148" s="31" t="n">
        <v>256667.1</v>
      </c>
      <c r="AE148" s="6" t="n">
        <v>256667.1</v>
      </c>
      <c r="AF148" s="6" t="s">
        <v>58</v>
      </c>
      <c r="AG148" s="6" t="n">
        <v>0</v>
      </c>
      <c r="AH148" s="30" t="s">
        <v>25</v>
      </c>
      <c r="AI148" s="6" t="n">
        <v>1</v>
      </c>
      <c r="AJ148" s="6" t="s">
        <v>173</v>
      </c>
      <c r="AK148" s="6" t="s">
        <v>988</v>
      </c>
      <c r="AL148" s="6" t="s">
        <v>173</v>
      </c>
      <c r="AM148" s="6" t="n">
        <v>0</v>
      </c>
      <c r="AQ148" s="6" t="s">
        <v>355</v>
      </c>
      <c r="AR148" s="6" t="s">
        <v>57</v>
      </c>
    </row>
    <row r="149" customFormat="false" ht="15" hidden="false" customHeight="true" outlineLevel="0" collapsed="false">
      <c r="A149" s="27" t="n">
        <v>113615</v>
      </c>
      <c r="B149" s="6" t="s">
        <v>1352</v>
      </c>
      <c r="C149" s="27" t="n">
        <v>113615</v>
      </c>
      <c r="D149" s="6" t="s">
        <v>357</v>
      </c>
      <c r="E149" s="6" t="s">
        <v>1245</v>
      </c>
      <c r="F149" s="6" t="s">
        <v>1353</v>
      </c>
      <c r="G149" s="6" t="s">
        <v>1164</v>
      </c>
      <c r="H149" s="6" t="s">
        <v>238</v>
      </c>
      <c r="I149" s="6" t="s">
        <v>26</v>
      </c>
      <c r="J149" s="6" t="s">
        <v>26</v>
      </c>
      <c r="K149" s="6" t="s">
        <v>26</v>
      </c>
      <c r="L149" s="6" t="s">
        <v>26</v>
      </c>
      <c r="N149" s="6" t="s">
        <v>109</v>
      </c>
      <c r="O149" s="6" t="s">
        <v>1347</v>
      </c>
      <c r="P149" s="6" t="n">
        <v>1</v>
      </c>
      <c r="R149" s="6" t="s">
        <v>1152</v>
      </c>
      <c r="U149" s="6" t="n">
        <v>164020</v>
      </c>
      <c r="V149" s="28" t="n">
        <v>150898.4</v>
      </c>
      <c r="W149" s="29" t="n">
        <v>0.15</v>
      </c>
      <c r="Y149" s="29" t="n">
        <v>0.05</v>
      </c>
      <c r="Z149" s="30" t="n">
        <v>2910</v>
      </c>
      <c r="AA149" s="29" t="n">
        <v>0.03</v>
      </c>
      <c r="AB149" s="31" t="n">
        <v>188515.032</v>
      </c>
      <c r="AE149" s="6" t="n">
        <v>188515.032</v>
      </c>
      <c r="AF149" s="6" t="s">
        <v>58</v>
      </c>
      <c r="AG149" s="6" t="n">
        <v>0</v>
      </c>
      <c r="AH149" s="30" t="s">
        <v>1165</v>
      </c>
      <c r="AI149" s="6" t="n">
        <v>0</v>
      </c>
      <c r="AJ149" s="6" t="s">
        <v>238</v>
      </c>
      <c r="AK149" s="6" t="s">
        <v>988</v>
      </c>
      <c r="AL149" s="6" t="s">
        <v>238</v>
      </c>
      <c r="AM149" s="6" t="n">
        <v>0</v>
      </c>
      <c r="AQ149" s="6" t="s">
        <v>356</v>
      </c>
      <c r="AR149" s="6" t="s">
        <v>109</v>
      </c>
    </row>
    <row r="150" customFormat="false" ht="15" hidden="false" customHeight="true" outlineLevel="0" collapsed="false">
      <c r="A150" s="27" t="n">
        <v>113531</v>
      </c>
      <c r="B150" s="6" t="s">
        <v>1354</v>
      </c>
      <c r="C150" s="27" t="n">
        <v>113531</v>
      </c>
      <c r="D150" s="6" t="s">
        <v>113</v>
      </c>
      <c r="E150" s="6" t="s">
        <v>1303</v>
      </c>
      <c r="F150" s="6" t="s">
        <v>1355</v>
      </c>
      <c r="G150" s="6" t="s">
        <v>1073</v>
      </c>
      <c r="H150" s="6" t="s">
        <v>1074</v>
      </c>
      <c r="I150" s="6" t="s">
        <v>1305</v>
      </c>
      <c r="J150" s="6" t="s">
        <v>31</v>
      </c>
      <c r="K150" s="6" t="s">
        <v>1356</v>
      </c>
      <c r="L150" s="6" t="s">
        <v>359</v>
      </c>
      <c r="N150" s="6" t="s">
        <v>109</v>
      </c>
      <c r="O150" s="6" t="s">
        <v>1347</v>
      </c>
      <c r="P150" s="6" t="n">
        <v>1</v>
      </c>
      <c r="R150" s="6" t="s">
        <v>1152</v>
      </c>
      <c r="U150" s="6" t="n">
        <v>161990</v>
      </c>
      <c r="V150" s="28" t="n">
        <v>149030.8</v>
      </c>
      <c r="W150" s="29" t="n">
        <v>0.15</v>
      </c>
      <c r="Y150" s="29" t="n">
        <v>0.05</v>
      </c>
      <c r="Z150" s="30" t="n">
        <v>2910</v>
      </c>
      <c r="AA150" s="29" t="n">
        <v>0.03</v>
      </c>
      <c r="AB150" s="31" t="n">
        <v>186217.884</v>
      </c>
      <c r="AE150" s="6" t="n">
        <v>186217.884</v>
      </c>
      <c r="AF150" s="6" t="s">
        <v>58</v>
      </c>
      <c r="AG150" s="6" t="n">
        <v>0</v>
      </c>
      <c r="AH150" s="30" t="s">
        <v>1214</v>
      </c>
      <c r="AI150" s="6" t="n">
        <v>0</v>
      </c>
      <c r="AJ150" s="6" t="s">
        <v>359</v>
      </c>
      <c r="AK150" s="6" t="s">
        <v>988</v>
      </c>
      <c r="AL150" s="6" t="s">
        <v>359</v>
      </c>
      <c r="AM150" s="6" t="n">
        <v>0</v>
      </c>
      <c r="AQ150" s="6" t="s">
        <v>358</v>
      </c>
      <c r="AR150" s="6" t="s">
        <v>109</v>
      </c>
    </row>
    <row r="151" customFormat="false" ht="15" hidden="false" customHeight="true" outlineLevel="0" collapsed="false">
      <c r="A151" s="27" t="n">
        <v>116260</v>
      </c>
      <c r="B151" s="6" t="s">
        <v>1357</v>
      </c>
      <c r="C151" s="27" t="n">
        <v>116260</v>
      </c>
      <c r="D151" s="6" t="s">
        <v>113</v>
      </c>
      <c r="E151" s="6" t="s">
        <v>1303</v>
      </c>
      <c r="F151" s="6" t="s">
        <v>1355</v>
      </c>
      <c r="G151" s="6" t="s">
        <v>1073</v>
      </c>
      <c r="H151" s="6" t="s">
        <v>1074</v>
      </c>
      <c r="I151" s="6" t="s">
        <v>1305</v>
      </c>
      <c r="J151" s="6" t="s">
        <v>31</v>
      </c>
      <c r="K151" s="6" t="s">
        <v>1356</v>
      </c>
      <c r="L151" s="6" t="s">
        <v>1358</v>
      </c>
      <c r="N151" s="6" t="s">
        <v>109</v>
      </c>
      <c r="O151" s="6" t="s">
        <v>1347</v>
      </c>
      <c r="P151" s="6" t="n">
        <v>1</v>
      </c>
      <c r="R151" s="6" t="s">
        <v>1152</v>
      </c>
      <c r="U151" s="6" t="n">
        <v>180000</v>
      </c>
      <c r="V151" s="28" t="n">
        <v>165600</v>
      </c>
      <c r="W151" s="29" t="n">
        <v>0.15</v>
      </c>
      <c r="Y151" s="29" t="n">
        <v>0.05</v>
      </c>
      <c r="Z151" s="30" t="n">
        <v>2910</v>
      </c>
      <c r="AA151" s="29" t="n">
        <v>0.03</v>
      </c>
      <c r="AB151" s="31" t="n">
        <v>206598</v>
      </c>
      <c r="AE151" s="6" t="n">
        <v>206598</v>
      </c>
      <c r="AF151" s="6" t="s">
        <v>58</v>
      </c>
      <c r="AG151" s="6" t="n">
        <v>0</v>
      </c>
      <c r="AH151" s="30" t="s">
        <v>1214</v>
      </c>
      <c r="AI151" s="6" t="n">
        <v>0</v>
      </c>
      <c r="AJ151" s="6" t="s">
        <v>361</v>
      </c>
      <c r="AK151" s="6" t="s">
        <v>988</v>
      </c>
      <c r="AL151" s="6" t="s">
        <v>361</v>
      </c>
      <c r="AM151" s="6" t="n">
        <v>0</v>
      </c>
      <c r="AQ151" s="6" t="s">
        <v>360</v>
      </c>
      <c r="AR151" s="6" t="s">
        <v>109</v>
      </c>
    </row>
    <row r="152" customFormat="false" ht="15" hidden="false" customHeight="true" outlineLevel="0" collapsed="false">
      <c r="A152" s="27" t="n">
        <v>113566</v>
      </c>
      <c r="B152" s="6" t="s">
        <v>1359</v>
      </c>
      <c r="C152" s="27" t="n">
        <v>113566</v>
      </c>
      <c r="D152" s="6" t="s">
        <v>337</v>
      </c>
      <c r="E152" s="6" t="s">
        <v>1303</v>
      </c>
      <c r="F152" s="6" t="s">
        <v>1355</v>
      </c>
      <c r="G152" s="6" t="s">
        <v>1073</v>
      </c>
      <c r="H152" s="6" t="s">
        <v>1074</v>
      </c>
      <c r="I152" s="6" t="s">
        <v>1305</v>
      </c>
      <c r="J152" s="6" t="s">
        <v>31</v>
      </c>
      <c r="K152" s="6" t="s">
        <v>1356</v>
      </c>
      <c r="L152" s="6" t="s">
        <v>359</v>
      </c>
      <c r="N152" s="6" t="s">
        <v>109</v>
      </c>
      <c r="O152" s="6" t="s">
        <v>1347</v>
      </c>
      <c r="P152" s="6" t="n">
        <v>1</v>
      </c>
      <c r="R152" s="6" t="s">
        <v>1152</v>
      </c>
      <c r="U152" s="6" t="n">
        <v>72000</v>
      </c>
      <c r="V152" s="28" t="n">
        <v>66240</v>
      </c>
      <c r="W152" s="29" t="n">
        <v>0.1</v>
      </c>
      <c r="Y152" s="29" t="n">
        <v>0.05</v>
      </c>
      <c r="Z152" s="30" t="n">
        <v>2910</v>
      </c>
      <c r="AA152" s="29" t="n">
        <v>0.03</v>
      </c>
      <c r="AB152" s="31" t="n">
        <v>81073.2</v>
      </c>
      <c r="AE152" s="6" t="n">
        <v>81073.2</v>
      </c>
      <c r="AF152" s="6" t="s">
        <v>58</v>
      </c>
      <c r="AG152" s="6" t="n">
        <v>0</v>
      </c>
      <c r="AH152" s="30" t="s">
        <v>1214</v>
      </c>
      <c r="AI152" s="6" t="n">
        <v>0</v>
      </c>
      <c r="AJ152" s="6" t="s">
        <v>359</v>
      </c>
      <c r="AK152" s="6" t="s">
        <v>988</v>
      </c>
      <c r="AL152" s="6" t="s">
        <v>359</v>
      </c>
      <c r="AM152" s="6" t="n">
        <v>0</v>
      </c>
      <c r="AQ152" s="6" t="s">
        <v>362</v>
      </c>
      <c r="AR152" s="6" t="s">
        <v>109</v>
      </c>
    </row>
    <row r="153" customFormat="false" ht="15" hidden="false" customHeight="true" outlineLevel="0" collapsed="false">
      <c r="A153" s="27" t="n">
        <v>113622</v>
      </c>
      <c r="B153" s="6" t="s">
        <v>1360</v>
      </c>
      <c r="C153" s="27" t="n">
        <v>113622</v>
      </c>
      <c r="D153" s="6" t="s">
        <v>337</v>
      </c>
      <c r="E153" s="6" t="s">
        <v>1303</v>
      </c>
      <c r="F153" s="6" t="s">
        <v>1355</v>
      </c>
      <c r="G153" s="6" t="s">
        <v>1073</v>
      </c>
      <c r="H153" s="6" t="s">
        <v>1074</v>
      </c>
      <c r="I153" s="6" t="s">
        <v>1305</v>
      </c>
      <c r="J153" s="6" t="s">
        <v>31</v>
      </c>
      <c r="K153" s="6" t="s">
        <v>1356</v>
      </c>
      <c r="L153" s="6" t="s">
        <v>359</v>
      </c>
      <c r="N153" s="6" t="s">
        <v>109</v>
      </c>
      <c r="O153" s="6" t="s">
        <v>1347</v>
      </c>
      <c r="P153" s="6" t="n">
        <v>1</v>
      </c>
      <c r="R153" s="6" t="s">
        <v>1152</v>
      </c>
      <c r="U153" s="6" t="n">
        <v>174080</v>
      </c>
      <c r="V153" s="28" t="n">
        <v>160153.6</v>
      </c>
      <c r="W153" s="29" t="n">
        <v>0.15</v>
      </c>
      <c r="Y153" s="29" t="n">
        <v>0.05</v>
      </c>
      <c r="Z153" s="30" t="n">
        <v>2910</v>
      </c>
      <c r="AA153" s="29" t="n">
        <v>0.03</v>
      </c>
      <c r="AB153" s="31" t="n">
        <v>199898.928</v>
      </c>
      <c r="AE153" s="6" t="n">
        <v>199898.928</v>
      </c>
      <c r="AF153" s="6" t="s">
        <v>58</v>
      </c>
      <c r="AG153" s="6" t="n">
        <v>0</v>
      </c>
      <c r="AH153" s="30" t="s">
        <v>1214</v>
      </c>
      <c r="AI153" s="6" t="n">
        <v>0</v>
      </c>
      <c r="AJ153" s="6" t="s">
        <v>359</v>
      </c>
      <c r="AK153" s="6" t="s">
        <v>988</v>
      </c>
      <c r="AL153" s="6" t="s">
        <v>359</v>
      </c>
      <c r="AM153" s="6" t="n">
        <v>0</v>
      </c>
      <c r="AQ153" s="6" t="s">
        <v>363</v>
      </c>
      <c r="AR153" s="6" t="s">
        <v>109</v>
      </c>
    </row>
    <row r="154" customFormat="false" ht="15" hidden="false" customHeight="true" outlineLevel="0" collapsed="false">
      <c r="A154" s="27" t="n">
        <v>83003</v>
      </c>
      <c r="B154" s="6" t="s">
        <v>1361</v>
      </c>
      <c r="C154" s="27" t="n">
        <v>83003</v>
      </c>
      <c r="D154" s="6" t="s">
        <v>365</v>
      </c>
      <c r="E154" s="6" t="s">
        <v>1315</v>
      </c>
      <c r="F154" s="6" t="s">
        <v>1362</v>
      </c>
      <c r="G154" s="6" t="s">
        <v>1076</v>
      </c>
      <c r="H154" s="6" t="s">
        <v>28</v>
      </c>
      <c r="I154" s="6" t="s">
        <v>1316</v>
      </c>
      <c r="J154" s="6" t="s">
        <v>27</v>
      </c>
      <c r="K154" s="6" t="s">
        <v>27</v>
      </c>
      <c r="L154" s="6" t="s">
        <v>27</v>
      </c>
      <c r="N154" s="6" t="s">
        <v>1023</v>
      </c>
      <c r="O154" s="6" t="s">
        <v>1347</v>
      </c>
      <c r="P154" s="6" t="n">
        <v>1</v>
      </c>
      <c r="R154" s="6" t="s">
        <v>1152</v>
      </c>
      <c r="U154" s="6" t="n">
        <v>178250</v>
      </c>
      <c r="V154" s="28" t="n">
        <v>178250</v>
      </c>
      <c r="W154" s="29" t="n">
        <v>0.12</v>
      </c>
      <c r="X154" s="6" t="n">
        <v>0.055</v>
      </c>
      <c r="Y154" s="29" t="n">
        <v>0.12</v>
      </c>
      <c r="Z154" s="30"/>
      <c r="AA154" s="29" t="n">
        <v>0.04</v>
      </c>
      <c r="AB154" s="31" t="n">
        <v>237963.75</v>
      </c>
      <c r="AE154" s="6" t="n">
        <v>237963.75</v>
      </c>
      <c r="AF154" s="6" t="s">
        <v>58</v>
      </c>
      <c r="AG154" s="6" t="n">
        <v>0</v>
      </c>
      <c r="AH154" s="30" t="s">
        <v>27</v>
      </c>
      <c r="AI154" s="6" t="n">
        <v>0</v>
      </c>
      <c r="AJ154" s="6" t="s">
        <v>27</v>
      </c>
      <c r="AK154" s="6" t="s">
        <v>988</v>
      </c>
      <c r="AL154" s="6" t="s">
        <v>27</v>
      </c>
      <c r="AM154" s="6" t="n">
        <v>0</v>
      </c>
      <c r="AQ154" s="6" t="s">
        <v>364</v>
      </c>
      <c r="AR154" s="6" t="s">
        <v>57</v>
      </c>
    </row>
    <row r="155" customFormat="false" ht="15" hidden="false" customHeight="true" outlineLevel="0" collapsed="false">
      <c r="A155" s="27" t="n">
        <v>108123</v>
      </c>
      <c r="B155" s="6" t="s">
        <v>1363</v>
      </c>
      <c r="C155" s="27" t="n">
        <v>108123</v>
      </c>
      <c r="D155" s="6" t="s">
        <v>113</v>
      </c>
      <c r="E155" s="6" t="s">
        <v>1315</v>
      </c>
      <c r="F155" s="6" t="s">
        <v>1362</v>
      </c>
      <c r="G155" s="6" t="s">
        <v>1076</v>
      </c>
      <c r="H155" s="6" t="s">
        <v>28</v>
      </c>
      <c r="I155" s="6" t="s">
        <v>1316</v>
      </c>
      <c r="J155" s="6" t="s">
        <v>27</v>
      </c>
      <c r="K155" s="6" t="s">
        <v>27</v>
      </c>
      <c r="L155" s="6" t="s">
        <v>27</v>
      </c>
      <c r="N155" s="6" t="s">
        <v>1023</v>
      </c>
      <c r="O155" s="6" t="s">
        <v>1347</v>
      </c>
      <c r="P155" s="6" t="n">
        <v>1</v>
      </c>
      <c r="R155" s="6" t="s">
        <v>1152</v>
      </c>
      <c r="U155" s="6" t="n">
        <v>204000</v>
      </c>
      <c r="V155" s="28" t="n">
        <v>204000</v>
      </c>
      <c r="W155" s="29" t="n">
        <v>0.12</v>
      </c>
      <c r="X155" s="6" t="n">
        <v>0.055</v>
      </c>
      <c r="Y155" s="29" t="n">
        <v>0.12</v>
      </c>
      <c r="Z155" s="30"/>
      <c r="AA155" s="29" t="n">
        <v>0.04</v>
      </c>
      <c r="AB155" s="31" t="n">
        <v>272340</v>
      </c>
      <c r="AE155" s="6" t="n">
        <v>272340</v>
      </c>
      <c r="AF155" s="6" t="s">
        <v>58</v>
      </c>
      <c r="AG155" s="6" t="n">
        <v>0</v>
      </c>
      <c r="AH155" s="30" t="s">
        <v>27</v>
      </c>
      <c r="AI155" s="6" t="n">
        <v>0</v>
      </c>
      <c r="AJ155" s="6" t="s">
        <v>27</v>
      </c>
      <c r="AK155" s="6" t="s">
        <v>988</v>
      </c>
      <c r="AL155" s="6" t="s">
        <v>27</v>
      </c>
      <c r="AM155" s="6" t="n">
        <v>0</v>
      </c>
      <c r="AQ155" s="6" t="s">
        <v>366</v>
      </c>
      <c r="AR155" s="6" t="s">
        <v>57</v>
      </c>
    </row>
    <row r="156" customFormat="false" ht="15" hidden="false" customHeight="true" outlineLevel="0" collapsed="false">
      <c r="A156" s="27" t="n">
        <v>93476</v>
      </c>
      <c r="B156" s="6" t="s">
        <v>1364</v>
      </c>
      <c r="C156" s="27" t="n">
        <v>93476</v>
      </c>
      <c r="D156" s="6" t="s">
        <v>368</v>
      </c>
      <c r="E156" s="6" t="s">
        <v>1315</v>
      </c>
      <c r="F156" s="6" t="s">
        <v>1362</v>
      </c>
      <c r="G156" s="6" t="s">
        <v>1076</v>
      </c>
      <c r="H156" s="6" t="s">
        <v>28</v>
      </c>
      <c r="I156" s="6" t="s">
        <v>1316</v>
      </c>
      <c r="J156" s="6" t="s">
        <v>27</v>
      </c>
      <c r="K156" s="6" t="s">
        <v>27</v>
      </c>
      <c r="L156" s="6" t="s">
        <v>27</v>
      </c>
      <c r="N156" s="6" t="s">
        <v>1023</v>
      </c>
      <c r="O156" s="6" t="s">
        <v>1347</v>
      </c>
      <c r="P156" s="6" t="n">
        <v>1</v>
      </c>
      <c r="R156" s="6" t="s">
        <v>1152</v>
      </c>
      <c r="U156" s="6" t="n">
        <v>175410</v>
      </c>
      <c r="V156" s="28" t="n">
        <v>175410</v>
      </c>
      <c r="W156" s="29" t="n">
        <v>0.12</v>
      </c>
      <c r="X156" s="6" t="n">
        <v>0.055</v>
      </c>
      <c r="Y156" s="29" t="n">
        <v>0.12</v>
      </c>
      <c r="Z156" s="30"/>
      <c r="AA156" s="29" t="n">
        <v>0.04</v>
      </c>
      <c r="AB156" s="31" t="n">
        <v>234172.35</v>
      </c>
      <c r="AE156" s="6" t="n">
        <v>234172.35</v>
      </c>
      <c r="AF156" s="6" t="s">
        <v>58</v>
      </c>
      <c r="AG156" s="6" t="n">
        <v>0</v>
      </c>
      <c r="AH156" s="30" t="s">
        <v>27</v>
      </c>
      <c r="AI156" s="6" t="n">
        <v>0</v>
      </c>
      <c r="AJ156" s="6" t="s">
        <v>27</v>
      </c>
      <c r="AK156" s="6" t="s">
        <v>988</v>
      </c>
      <c r="AL156" s="6" t="s">
        <v>27</v>
      </c>
      <c r="AM156" s="6" t="n">
        <v>0</v>
      </c>
      <c r="AQ156" s="6" t="s">
        <v>367</v>
      </c>
      <c r="AR156" s="6" t="s">
        <v>57</v>
      </c>
    </row>
    <row r="157" customFormat="false" ht="15" hidden="false" customHeight="true" outlineLevel="0" collapsed="false">
      <c r="A157" s="27" t="n">
        <v>114683</v>
      </c>
      <c r="B157" s="6" t="s">
        <v>1365</v>
      </c>
      <c r="C157" s="27" t="n">
        <v>114683</v>
      </c>
      <c r="D157" s="6" t="s">
        <v>370</v>
      </c>
      <c r="E157" s="6" t="s">
        <v>1248</v>
      </c>
      <c r="F157" s="6" t="s">
        <v>240</v>
      </c>
      <c r="G157" s="6" t="s">
        <v>1164</v>
      </c>
      <c r="H157" s="6" t="s">
        <v>241</v>
      </c>
      <c r="I157" s="6" t="s">
        <v>26</v>
      </c>
      <c r="J157" s="6" t="s">
        <v>26</v>
      </c>
      <c r="K157" s="6" t="s">
        <v>26</v>
      </c>
      <c r="L157" s="6" t="s">
        <v>26</v>
      </c>
      <c r="N157" s="6" t="s">
        <v>1023</v>
      </c>
      <c r="O157" s="6" t="s">
        <v>1347</v>
      </c>
      <c r="P157" s="6" t="n">
        <v>1</v>
      </c>
      <c r="R157" s="6" t="s">
        <v>1152</v>
      </c>
      <c r="U157" s="6" t="n">
        <v>165000</v>
      </c>
      <c r="V157" s="28" t="n">
        <v>165000</v>
      </c>
      <c r="W157" s="29" t="n">
        <v>0.12</v>
      </c>
      <c r="X157" s="6" t="n">
        <v>0.055</v>
      </c>
      <c r="Y157" s="29" t="n">
        <v>0.12</v>
      </c>
      <c r="Z157" s="30"/>
      <c r="AA157" s="29" t="n">
        <v>0.04</v>
      </c>
      <c r="AB157" s="31" t="n">
        <v>220275</v>
      </c>
      <c r="AE157" s="6" t="n">
        <v>220275</v>
      </c>
      <c r="AF157" s="6" t="s">
        <v>58</v>
      </c>
      <c r="AG157" s="6" t="n">
        <v>0</v>
      </c>
      <c r="AH157" s="30" t="s">
        <v>1165</v>
      </c>
      <c r="AI157" s="6" t="n">
        <v>0</v>
      </c>
      <c r="AJ157" s="6" t="s">
        <v>241</v>
      </c>
      <c r="AK157" s="6" t="s">
        <v>988</v>
      </c>
      <c r="AL157" s="6" t="s">
        <v>241</v>
      </c>
      <c r="AM157" s="6" t="n">
        <v>0</v>
      </c>
      <c r="AQ157" s="6" t="s">
        <v>369</v>
      </c>
      <c r="AR157" s="6" t="s">
        <v>57</v>
      </c>
    </row>
    <row r="158" customFormat="false" ht="15" hidden="false" customHeight="true" outlineLevel="0" collapsed="false">
      <c r="A158" s="27" t="s">
        <v>1138</v>
      </c>
      <c r="B158" s="6" t="s">
        <v>1063</v>
      </c>
      <c r="C158" s="27" t="s">
        <v>1138</v>
      </c>
      <c r="D158" s="6" t="s">
        <v>372</v>
      </c>
      <c r="E158" s="6" t="s">
        <v>1366</v>
      </c>
      <c r="F158" s="6" t="s">
        <v>464</v>
      </c>
      <c r="G158" s="6" t="s">
        <v>1076</v>
      </c>
      <c r="H158" s="6" t="s">
        <v>28</v>
      </c>
      <c r="I158" s="6" t="s">
        <v>1318</v>
      </c>
      <c r="J158" s="6" t="s">
        <v>24</v>
      </c>
      <c r="K158" s="6" t="s">
        <v>1367</v>
      </c>
      <c r="L158" s="6" t="s">
        <v>127</v>
      </c>
      <c r="N158" s="6" t="s">
        <v>1023</v>
      </c>
      <c r="O158" s="6" t="s">
        <v>1347</v>
      </c>
      <c r="P158" s="6" t="n">
        <v>1</v>
      </c>
      <c r="R158" s="6" t="s">
        <v>1143</v>
      </c>
      <c r="U158" s="6" t="n">
        <v>173550</v>
      </c>
      <c r="V158" s="28" t="n">
        <v>173550</v>
      </c>
      <c r="W158" s="29" t="n">
        <v>0.12</v>
      </c>
      <c r="X158" s="6" t="n">
        <v>0.055</v>
      </c>
      <c r="Y158" s="29" t="n">
        <v>0.12</v>
      </c>
      <c r="Z158" s="30"/>
      <c r="AA158" s="29" t="n">
        <v>0.04</v>
      </c>
      <c r="AB158" s="31" t="n">
        <v>231689.25</v>
      </c>
      <c r="AE158" s="6" t="n">
        <v>231689.25</v>
      </c>
      <c r="AF158" s="6" t="s">
        <v>1063</v>
      </c>
      <c r="AG158" s="6" t="n">
        <v>0</v>
      </c>
      <c r="AH158" s="30" t="s">
        <v>24</v>
      </c>
      <c r="AI158" s="6" t="n">
        <v>0</v>
      </c>
      <c r="AJ158" s="6" t="s">
        <v>127</v>
      </c>
      <c r="AK158" s="6" t="s">
        <v>988</v>
      </c>
      <c r="AL158" s="6" t="s">
        <v>127</v>
      </c>
      <c r="AM158" s="6" t="n">
        <v>0</v>
      </c>
      <c r="AQ158" s="6" t="s">
        <v>371</v>
      </c>
      <c r="AR158" s="6" t="s">
        <v>57</v>
      </c>
    </row>
    <row r="159" customFormat="false" ht="15" hidden="false" customHeight="true" outlineLevel="0" collapsed="false">
      <c r="A159" s="27" t="n">
        <v>99691</v>
      </c>
      <c r="B159" s="6" t="s">
        <v>1368</v>
      </c>
      <c r="C159" s="27" t="n">
        <v>99691</v>
      </c>
      <c r="D159" s="6" t="s">
        <v>226</v>
      </c>
      <c r="E159" s="6" t="s">
        <v>1263</v>
      </c>
      <c r="F159" s="6" t="s">
        <v>1261</v>
      </c>
      <c r="G159" s="6" t="s">
        <v>1058</v>
      </c>
      <c r="H159" s="6" t="s">
        <v>19</v>
      </c>
      <c r="I159" s="6" t="s">
        <v>1264</v>
      </c>
      <c r="J159" s="6" t="s">
        <v>19</v>
      </c>
      <c r="K159" s="6" t="s">
        <v>374</v>
      </c>
      <c r="L159" s="6" t="s">
        <v>374</v>
      </c>
      <c r="N159" s="6" t="s">
        <v>1023</v>
      </c>
      <c r="O159" s="6" t="s">
        <v>1347</v>
      </c>
      <c r="P159" s="6" t="n">
        <v>1</v>
      </c>
      <c r="R159" s="6" t="s">
        <v>1152</v>
      </c>
      <c r="U159" s="6" t="n">
        <v>167510</v>
      </c>
      <c r="V159" s="28" t="n">
        <v>167510</v>
      </c>
      <c r="W159" s="29" t="n">
        <v>0.12</v>
      </c>
      <c r="X159" s="6" t="n">
        <v>0.055</v>
      </c>
      <c r="Y159" s="29" t="n">
        <v>0.12</v>
      </c>
      <c r="Z159" s="30"/>
      <c r="AA159" s="29" t="n">
        <v>0.04</v>
      </c>
      <c r="AB159" s="31" t="n">
        <v>223625.85</v>
      </c>
      <c r="AE159" s="6" t="n">
        <v>223625.85</v>
      </c>
      <c r="AF159" s="6" t="s">
        <v>58</v>
      </c>
      <c r="AG159" s="6" t="n">
        <v>0</v>
      </c>
      <c r="AH159" s="30" t="s">
        <v>1206</v>
      </c>
      <c r="AI159" s="6" t="n">
        <v>0</v>
      </c>
      <c r="AJ159" s="6" t="s">
        <v>374</v>
      </c>
      <c r="AK159" s="6" t="s">
        <v>988</v>
      </c>
      <c r="AL159" s="6" t="s">
        <v>374</v>
      </c>
      <c r="AM159" s="6" t="n">
        <v>0</v>
      </c>
      <c r="AQ159" s="6" t="s">
        <v>373</v>
      </c>
      <c r="AR159" s="6" t="s">
        <v>57</v>
      </c>
    </row>
    <row r="160" customFormat="false" ht="15" hidden="false" customHeight="true" outlineLevel="0" collapsed="false">
      <c r="A160" s="27" t="n">
        <v>114723</v>
      </c>
      <c r="B160" s="6" t="s">
        <v>1369</v>
      </c>
      <c r="C160" s="27" t="n">
        <v>114723</v>
      </c>
      <c r="D160" s="6" t="s">
        <v>376</v>
      </c>
      <c r="E160" s="6" t="s">
        <v>1263</v>
      </c>
      <c r="F160" s="6" t="s">
        <v>1261</v>
      </c>
      <c r="G160" s="6" t="s">
        <v>1058</v>
      </c>
      <c r="H160" s="6" t="s">
        <v>19</v>
      </c>
      <c r="I160" s="6" t="s">
        <v>1264</v>
      </c>
      <c r="J160" s="6" t="s">
        <v>19</v>
      </c>
      <c r="K160" s="6" t="s">
        <v>374</v>
      </c>
      <c r="L160" s="6" t="s">
        <v>374</v>
      </c>
      <c r="N160" s="6" t="s">
        <v>1023</v>
      </c>
      <c r="O160" s="6" t="s">
        <v>1347</v>
      </c>
      <c r="P160" s="6" t="n">
        <v>1</v>
      </c>
      <c r="Q160" s="33"/>
      <c r="R160" s="6" t="s">
        <v>1152</v>
      </c>
      <c r="U160" s="6" t="n">
        <v>166000</v>
      </c>
      <c r="V160" s="28" t="n">
        <v>166000</v>
      </c>
      <c r="W160" s="29" t="n">
        <v>0.12</v>
      </c>
      <c r="X160" s="6" t="n">
        <v>0.055</v>
      </c>
      <c r="Y160" s="29" t="n">
        <v>0.12</v>
      </c>
      <c r="Z160" s="30"/>
      <c r="AA160" s="29" t="n">
        <v>0.04</v>
      </c>
      <c r="AB160" s="31" t="n">
        <v>221610</v>
      </c>
      <c r="AE160" s="6" t="n">
        <v>221610</v>
      </c>
      <c r="AF160" s="6" t="s">
        <v>58</v>
      </c>
      <c r="AG160" s="6" t="n">
        <v>0</v>
      </c>
      <c r="AH160" s="30" t="s">
        <v>1206</v>
      </c>
      <c r="AI160" s="6" t="n">
        <v>0</v>
      </c>
      <c r="AJ160" s="6" t="s">
        <v>374</v>
      </c>
      <c r="AK160" s="6" t="s">
        <v>988</v>
      </c>
      <c r="AL160" s="6" t="s">
        <v>374</v>
      </c>
      <c r="AM160" s="6" t="n">
        <v>0</v>
      </c>
      <c r="AQ160" s="6" t="s">
        <v>375</v>
      </c>
      <c r="AR160" s="6" t="s">
        <v>57</v>
      </c>
    </row>
    <row r="161" customFormat="false" ht="15" hidden="false" customHeight="true" outlineLevel="0" collapsed="false">
      <c r="A161" s="27" t="s">
        <v>1138</v>
      </c>
      <c r="B161" s="6" t="s">
        <v>1063</v>
      </c>
      <c r="C161" s="27" t="s">
        <v>1138</v>
      </c>
      <c r="D161" s="6" t="s">
        <v>113</v>
      </c>
      <c r="E161" s="6" t="s">
        <v>1263</v>
      </c>
      <c r="F161" s="6" t="s">
        <v>1261</v>
      </c>
      <c r="G161" s="6" t="s">
        <v>1058</v>
      </c>
      <c r="H161" s="6" t="s">
        <v>19</v>
      </c>
      <c r="I161" s="6" t="s">
        <v>1264</v>
      </c>
      <c r="J161" s="6" t="s">
        <v>19</v>
      </c>
      <c r="K161" s="6" t="s">
        <v>374</v>
      </c>
      <c r="L161" s="6" t="s">
        <v>374</v>
      </c>
      <c r="N161" s="6" t="s">
        <v>1047</v>
      </c>
      <c r="O161" s="6" t="s">
        <v>1347</v>
      </c>
      <c r="P161" s="6" t="n">
        <v>1</v>
      </c>
      <c r="R161" s="6" t="s">
        <v>1143</v>
      </c>
      <c r="U161" s="6" t="n">
        <v>173550</v>
      </c>
      <c r="V161" s="28" t="n">
        <v>173550</v>
      </c>
      <c r="W161" s="29" t="n">
        <v>0.12</v>
      </c>
      <c r="X161" s="6" t="n">
        <v>0.055</v>
      </c>
      <c r="Y161" s="29" t="n">
        <v>0.12</v>
      </c>
      <c r="Z161" s="30"/>
      <c r="AA161" s="29" t="n">
        <v>0.04</v>
      </c>
      <c r="AB161" s="31" t="n">
        <v>231689.25</v>
      </c>
      <c r="AE161" s="6" t="n">
        <v>231689.25</v>
      </c>
      <c r="AF161" s="6" t="s">
        <v>1063</v>
      </c>
      <c r="AG161" s="6" t="n">
        <v>0</v>
      </c>
      <c r="AH161" s="30" t="s">
        <v>1206</v>
      </c>
      <c r="AI161" s="6" t="n">
        <v>0</v>
      </c>
      <c r="AJ161" s="6" t="s">
        <v>374</v>
      </c>
      <c r="AK161" s="6" t="s">
        <v>988</v>
      </c>
      <c r="AL161" s="6" t="s">
        <v>374</v>
      </c>
      <c r="AM161" s="6" t="n">
        <v>0</v>
      </c>
      <c r="AN161" s="6" t="s">
        <v>1063</v>
      </c>
      <c r="AO161" s="6" t="s">
        <v>1338</v>
      </c>
      <c r="AQ161" s="6" t="s">
        <v>377</v>
      </c>
      <c r="AR161" s="6" t="s">
        <v>57</v>
      </c>
    </row>
    <row r="162" customFormat="false" ht="15" hidden="false" customHeight="true" outlineLevel="0" collapsed="false">
      <c r="A162" s="27" t="n">
        <v>115523</v>
      </c>
      <c r="B162" s="6" t="s">
        <v>1370</v>
      </c>
      <c r="C162" s="27" t="n">
        <v>115523</v>
      </c>
      <c r="D162" s="6" t="s">
        <v>379</v>
      </c>
      <c r="E162" s="6" t="s">
        <v>1291</v>
      </c>
      <c r="F162" s="6" t="s">
        <v>224</v>
      </c>
      <c r="G162" s="6" t="s">
        <v>1073</v>
      </c>
      <c r="H162" s="6" t="s">
        <v>1074</v>
      </c>
      <c r="I162" s="6" t="s">
        <v>1292</v>
      </c>
      <c r="J162" s="6" t="s">
        <v>31</v>
      </c>
      <c r="K162" s="6" t="s">
        <v>380</v>
      </c>
      <c r="L162" s="6" t="s">
        <v>380</v>
      </c>
      <c r="N162" s="6" t="s">
        <v>109</v>
      </c>
      <c r="O162" s="6" t="s">
        <v>1347</v>
      </c>
      <c r="P162" s="6" t="n">
        <v>1</v>
      </c>
      <c r="R162" s="6" t="s">
        <v>1152</v>
      </c>
      <c r="U162" s="6" t="n">
        <v>160250</v>
      </c>
      <c r="V162" s="28" t="n">
        <v>147430</v>
      </c>
      <c r="W162" s="29" t="n">
        <v>0.15</v>
      </c>
      <c r="Y162" s="29" t="n">
        <v>0.05</v>
      </c>
      <c r="Z162" s="30" t="n">
        <v>2910</v>
      </c>
      <c r="AA162" s="29" t="n">
        <v>0.03</v>
      </c>
      <c r="AB162" s="31" t="n">
        <v>184248.9</v>
      </c>
      <c r="AE162" s="6" t="n">
        <v>184248.9</v>
      </c>
      <c r="AF162" s="6" t="s">
        <v>58</v>
      </c>
      <c r="AG162" s="6" t="n">
        <v>0</v>
      </c>
      <c r="AH162" s="30" t="s">
        <v>1214</v>
      </c>
      <c r="AI162" s="6" t="n">
        <v>0</v>
      </c>
      <c r="AJ162" s="6" t="s">
        <v>380</v>
      </c>
      <c r="AK162" s="6" t="s">
        <v>988</v>
      </c>
      <c r="AL162" s="6" t="s">
        <v>380</v>
      </c>
      <c r="AM162" s="6" t="n">
        <v>0</v>
      </c>
      <c r="AQ162" s="6" t="s">
        <v>378</v>
      </c>
      <c r="AR162" s="6" t="s">
        <v>109</v>
      </c>
    </row>
    <row r="163" customFormat="false" ht="15" hidden="false" customHeight="true" outlineLevel="0" collapsed="false">
      <c r="A163" s="27" t="n">
        <v>113620</v>
      </c>
      <c r="B163" s="6" t="s">
        <v>1371</v>
      </c>
      <c r="C163" s="27" t="n">
        <v>113620</v>
      </c>
      <c r="D163" s="6" t="s">
        <v>382</v>
      </c>
      <c r="E163" s="6" t="s">
        <v>1291</v>
      </c>
      <c r="F163" s="6" t="s">
        <v>224</v>
      </c>
      <c r="G163" s="6" t="s">
        <v>1073</v>
      </c>
      <c r="H163" s="6" t="s">
        <v>1074</v>
      </c>
      <c r="I163" s="6" t="s">
        <v>1292</v>
      </c>
      <c r="J163" s="6" t="s">
        <v>31</v>
      </c>
      <c r="K163" s="6" t="s">
        <v>1356</v>
      </c>
      <c r="L163" s="6" t="s">
        <v>1358</v>
      </c>
      <c r="N163" s="6" t="s">
        <v>109</v>
      </c>
      <c r="O163" s="6" t="s">
        <v>1347</v>
      </c>
      <c r="P163" s="6" t="n">
        <v>1</v>
      </c>
      <c r="R163" s="6" t="s">
        <v>1152</v>
      </c>
      <c r="U163" s="6" t="n">
        <v>133300</v>
      </c>
      <c r="V163" s="28" t="n">
        <v>133300</v>
      </c>
      <c r="W163" s="29" t="n">
        <v>0.1</v>
      </c>
      <c r="X163" s="6" t="n">
        <v>0.055</v>
      </c>
      <c r="Y163" s="29" t="n">
        <v>0.12</v>
      </c>
      <c r="Z163" s="30"/>
      <c r="AA163" s="29" t="n">
        <v>0.04</v>
      </c>
      <c r="AB163" s="31" t="n">
        <v>175289.5</v>
      </c>
      <c r="AE163" s="6" t="n">
        <v>175289.5</v>
      </c>
      <c r="AF163" s="6" t="s">
        <v>58</v>
      </c>
      <c r="AG163" s="6" t="n">
        <v>0</v>
      </c>
      <c r="AH163" s="30" t="s">
        <v>1214</v>
      </c>
      <c r="AI163" s="6" t="n">
        <v>0</v>
      </c>
      <c r="AJ163" s="6" t="s">
        <v>361</v>
      </c>
      <c r="AK163" s="6" t="s">
        <v>988</v>
      </c>
      <c r="AL163" s="6" t="s">
        <v>361</v>
      </c>
      <c r="AM163" s="6" t="n">
        <v>0</v>
      </c>
      <c r="AQ163" s="6" t="s">
        <v>381</v>
      </c>
      <c r="AR163" s="6" t="s">
        <v>109</v>
      </c>
    </row>
    <row r="164" customFormat="false" ht="15" hidden="false" customHeight="true" outlineLevel="0" collapsed="false">
      <c r="A164" s="27" t="s">
        <v>1138</v>
      </c>
      <c r="B164" s="6" t="s">
        <v>1063</v>
      </c>
      <c r="C164" s="27" t="s">
        <v>1138</v>
      </c>
      <c r="D164" s="6" t="s">
        <v>337</v>
      </c>
      <c r="E164" s="6" t="s">
        <v>1291</v>
      </c>
      <c r="F164" s="6" t="s">
        <v>224</v>
      </c>
      <c r="G164" s="6" t="s">
        <v>1073</v>
      </c>
      <c r="H164" s="6" t="s">
        <v>1074</v>
      </c>
      <c r="I164" s="6" t="s">
        <v>1292</v>
      </c>
      <c r="J164" s="6" t="s">
        <v>31</v>
      </c>
      <c r="K164" s="6" t="s">
        <v>1356</v>
      </c>
      <c r="L164" s="6" t="s">
        <v>1358</v>
      </c>
      <c r="N164" s="6" t="s">
        <v>1023</v>
      </c>
      <c r="O164" s="6" t="s">
        <v>1347</v>
      </c>
      <c r="P164" s="6" t="n">
        <v>1</v>
      </c>
      <c r="R164" s="6" t="s">
        <v>1143</v>
      </c>
      <c r="U164" s="6" t="n">
        <v>129650</v>
      </c>
      <c r="V164" s="28" t="n">
        <v>129650</v>
      </c>
      <c r="W164" s="29" t="n">
        <v>0.1</v>
      </c>
      <c r="X164" s="6" t="n">
        <v>0.055</v>
      </c>
      <c r="Y164" s="29" t="n">
        <v>0.12</v>
      </c>
      <c r="Z164" s="30"/>
      <c r="AA164" s="29" t="n">
        <v>0.04</v>
      </c>
      <c r="AB164" s="31" t="n">
        <v>170489.75</v>
      </c>
      <c r="AE164" s="6" t="n">
        <v>170489.75</v>
      </c>
      <c r="AF164" s="6" t="s">
        <v>1063</v>
      </c>
      <c r="AG164" s="6" t="n">
        <v>0</v>
      </c>
      <c r="AH164" s="30" t="s">
        <v>1214</v>
      </c>
      <c r="AI164" s="6" t="n">
        <v>0</v>
      </c>
      <c r="AJ164" s="6" t="s">
        <v>361</v>
      </c>
      <c r="AK164" s="6" t="s">
        <v>988</v>
      </c>
      <c r="AL164" s="6" t="s">
        <v>361</v>
      </c>
      <c r="AM164" s="6" t="n">
        <v>0</v>
      </c>
      <c r="AQ164" s="6" t="s">
        <v>383</v>
      </c>
      <c r="AR164" s="6" t="s">
        <v>57</v>
      </c>
    </row>
    <row r="165" customFormat="false" ht="15" hidden="false" customHeight="true" outlineLevel="0" collapsed="false">
      <c r="A165" s="27" t="n">
        <v>95017</v>
      </c>
      <c r="B165" s="6" t="s">
        <v>1372</v>
      </c>
      <c r="C165" s="27" t="n">
        <v>95017</v>
      </c>
      <c r="D165" s="6" t="s">
        <v>385</v>
      </c>
      <c r="E165" s="6" t="s">
        <v>1045</v>
      </c>
      <c r="F165" s="6" t="s">
        <v>1035</v>
      </c>
      <c r="G165" s="6" t="s">
        <v>1073</v>
      </c>
      <c r="H165" s="6" t="s">
        <v>21</v>
      </c>
      <c r="I165" s="6" t="s">
        <v>21</v>
      </c>
      <c r="J165" s="6" t="s">
        <v>22</v>
      </c>
      <c r="K165" s="6" t="s">
        <v>21</v>
      </c>
      <c r="L165" s="6" t="s">
        <v>139</v>
      </c>
      <c r="N165" s="6" t="s">
        <v>1023</v>
      </c>
      <c r="O165" s="6" t="s">
        <v>1347</v>
      </c>
      <c r="P165" s="6" t="n">
        <v>1</v>
      </c>
      <c r="R165" s="6" t="s">
        <v>1152</v>
      </c>
      <c r="U165" s="6" t="n">
        <v>118280</v>
      </c>
      <c r="V165" s="28" t="n">
        <v>118280</v>
      </c>
      <c r="W165" s="29" t="n">
        <v>0.1</v>
      </c>
      <c r="X165" s="6" t="n">
        <v>0.055</v>
      </c>
      <c r="Y165" s="29" t="n">
        <v>0.12</v>
      </c>
      <c r="Z165" s="30"/>
      <c r="AA165" s="29" t="n">
        <v>0.04</v>
      </c>
      <c r="AB165" s="31" t="n">
        <v>155538.2</v>
      </c>
      <c r="AE165" s="6" t="n">
        <v>155538.2</v>
      </c>
      <c r="AF165" s="6" t="s">
        <v>58</v>
      </c>
      <c r="AG165" s="6" t="n">
        <v>0</v>
      </c>
      <c r="AH165" s="30" t="s">
        <v>1133</v>
      </c>
      <c r="AI165" s="6" t="n">
        <v>0</v>
      </c>
      <c r="AJ165" s="6" t="s">
        <v>139</v>
      </c>
      <c r="AK165" s="6" t="s">
        <v>988</v>
      </c>
      <c r="AL165" s="6" t="s">
        <v>139</v>
      </c>
      <c r="AM165" s="6" t="n">
        <v>1</v>
      </c>
      <c r="AQ165" s="6" t="s">
        <v>384</v>
      </c>
      <c r="AR165" s="6" t="s">
        <v>57</v>
      </c>
    </row>
    <row r="166" customFormat="false" ht="15" hidden="false" customHeight="true" outlineLevel="0" collapsed="false">
      <c r="A166" s="27" t="n">
        <v>113599</v>
      </c>
      <c r="B166" s="6" t="s">
        <v>1373</v>
      </c>
      <c r="C166" s="27" t="n">
        <v>113599</v>
      </c>
      <c r="D166" s="6" t="s">
        <v>113</v>
      </c>
      <c r="E166" s="6" t="s">
        <v>1260</v>
      </c>
      <c r="F166" s="6" t="s">
        <v>1261</v>
      </c>
      <c r="G166" s="6" t="s">
        <v>1058</v>
      </c>
      <c r="H166" s="6" t="s">
        <v>19</v>
      </c>
      <c r="I166" s="6" t="s">
        <v>1262</v>
      </c>
      <c r="J166" s="6" t="s">
        <v>19</v>
      </c>
      <c r="K166" s="6" t="s">
        <v>1374</v>
      </c>
      <c r="L166" s="6" t="s">
        <v>387</v>
      </c>
      <c r="N166" s="6" t="s">
        <v>109</v>
      </c>
      <c r="O166" s="6" t="s">
        <v>1347</v>
      </c>
      <c r="P166" s="6" t="n">
        <v>1</v>
      </c>
      <c r="R166" s="6" t="s">
        <v>1152</v>
      </c>
      <c r="U166" s="6" t="n">
        <v>166850</v>
      </c>
      <c r="V166" s="28" t="n">
        <v>153502</v>
      </c>
      <c r="W166" s="29" t="n">
        <v>0.15</v>
      </c>
      <c r="Y166" s="29" t="n">
        <v>0.05</v>
      </c>
      <c r="Z166" s="30" t="n">
        <v>2910</v>
      </c>
      <c r="AA166" s="29" t="n">
        <v>0.03</v>
      </c>
      <c r="AB166" s="31" t="n">
        <v>191717.46</v>
      </c>
      <c r="AE166" s="6" t="n">
        <v>191717.46</v>
      </c>
      <c r="AF166" s="6" t="s">
        <v>58</v>
      </c>
      <c r="AG166" s="6" t="n">
        <v>0</v>
      </c>
      <c r="AH166" s="30" t="s">
        <v>1206</v>
      </c>
      <c r="AI166" s="6" t="n">
        <v>0</v>
      </c>
      <c r="AJ166" s="6" t="s">
        <v>387</v>
      </c>
      <c r="AK166" s="6" t="s">
        <v>988</v>
      </c>
      <c r="AL166" s="6" t="s">
        <v>387</v>
      </c>
      <c r="AM166" s="6" t="n">
        <v>0</v>
      </c>
      <c r="AQ166" s="6" t="s">
        <v>386</v>
      </c>
      <c r="AR166" s="6" t="s">
        <v>109</v>
      </c>
    </row>
    <row r="167" customFormat="false" ht="15" hidden="false" customHeight="true" outlineLevel="0" collapsed="false">
      <c r="A167" s="27" t="n">
        <v>113542</v>
      </c>
      <c r="B167" s="6" t="s">
        <v>1375</v>
      </c>
      <c r="C167" s="27" t="n">
        <v>113542</v>
      </c>
      <c r="D167" s="6" t="s">
        <v>389</v>
      </c>
      <c r="E167" s="6" t="s">
        <v>1260</v>
      </c>
      <c r="F167" s="6" t="s">
        <v>1261</v>
      </c>
      <c r="G167" s="6" t="s">
        <v>1058</v>
      </c>
      <c r="H167" s="6" t="s">
        <v>19</v>
      </c>
      <c r="I167" s="6" t="s">
        <v>1262</v>
      </c>
      <c r="J167" s="6" t="s">
        <v>19</v>
      </c>
      <c r="K167" s="6" t="s">
        <v>1374</v>
      </c>
      <c r="L167" s="6" t="s">
        <v>390</v>
      </c>
      <c r="N167" s="6" t="s">
        <v>109</v>
      </c>
      <c r="O167" s="6" t="s">
        <v>1347</v>
      </c>
      <c r="P167" s="6" t="n">
        <v>1</v>
      </c>
      <c r="R167" s="6" t="s">
        <v>1152</v>
      </c>
      <c r="U167" s="6" t="n">
        <v>160220</v>
      </c>
      <c r="V167" s="28" t="n">
        <v>147402.4</v>
      </c>
      <c r="W167" s="29" t="n">
        <v>0.15</v>
      </c>
      <c r="Y167" s="29" t="n">
        <v>0.05</v>
      </c>
      <c r="Z167" s="30" t="n">
        <v>2910</v>
      </c>
      <c r="AA167" s="29" t="n">
        <v>0.03</v>
      </c>
      <c r="AB167" s="31" t="n">
        <v>184214.952</v>
      </c>
      <c r="AE167" s="6" t="n">
        <v>184214.952</v>
      </c>
      <c r="AF167" s="6" t="s">
        <v>58</v>
      </c>
      <c r="AG167" s="6" t="n">
        <v>0</v>
      </c>
      <c r="AH167" s="30" t="s">
        <v>1206</v>
      </c>
      <c r="AI167" s="6" t="n">
        <v>0</v>
      </c>
      <c r="AJ167" s="6" t="s">
        <v>390</v>
      </c>
      <c r="AK167" s="6" t="s">
        <v>988</v>
      </c>
      <c r="AL167" s="6" t="s">
        <v>390</v>
      </c>
      <c r="AM167" s="6" t="n">
        <v>0</v>
      </c>
      <c r="AQ167" s="6" t="s">
        <v>388</v>
      </c>
      <c r="AR167" s="6" t="s">
        <v>109</v>
      </c>
    </row>
    <row r="168" customFormat="false" ht="15" hidden="false" customHeight="true" outlineLevel="0" collapsed="false">
      <c r="A168" s="27" t="n">
        <v>8367</v>
      </c>
      <c r="B168" s="6" t="s">
        <v>1376</v>
      </c>
      <c r="C168" s="27" t="n">
        <v>8367</v>
      </c>
      <c r="D168" s="6" t="s">
        <v>392</v>
      </c>
      <c r="E168" s="6" t="s">
        <v>1260</v>
      </c>
      <c r="F168" s="6" t="s">
        <v>1261</v>
      </c>
      <c r="G168" s="6" t="s">
        <v>1058</v>
      </c>
      <c r="H168" s="6" t="s">
        <v>19</v>
      </c>
      <c r="I168" s="6" t="s">
        <v>1262</v>
      </c>
      <c r="J168" s="6" t="s">
        <v>19</v>
      </c>
      <c r="K168" s="6" t="s">
        <v>1374</v>
      </c>
      <c r="L168" s="6" t="s">
        <v>387</v>
      </c>
      <c r="N168" s="6" t="s">
        <v>1023</v>
      </c>
      <c r="O168" s="6" t="s">
        <v>1377</v>
      </c>
      <c r="P168" s="6" t="n">
        <v>1</v>
      </c>
      <c r="R168" s="6" t="s">
        <v>1152</v>
      </c>
      <c r="U168" s="6" t="n">
        <v>187730</v>
      </c>
      <c r="V168" s="28" t="n">
        <v>187730</v>
      </c>
      <c r="W168" s="29" t="n">
        <v>0.12</v>
      </c>
      <c r="X168" s="6" t="n">
        <v>0.055</v>
      </c>
      <c r="Y168" s="29" t="n">
        <v>0.12</v>
      </c>
      <c r="Z168" s="30"/>
      <c r="AA168" s="29" t="n">
        <v>0.04</v>
      </c>
      <c r="AB168" s="31" t="n">
        <v>250619.55</v>
      </c>
      <c r="AE168" s="6" t="n">
        <v>250619.55</v>
      </c>
      <c r="AF168" s="6" t="s">
        <v>58</v>
      </c>
      <c r="AG168" s="6" t="n">
        <v>0</v>
      </c>
      <c r="AH168" s="30" t="s">
        <v>1206</v>
      </c>
      <c r="AI168" s="6" t="n">
        <v>0</v>
      </c>
      <c r="AJ168" s="6" t="s">
        <v>387</v>
      </c>
      <c r="AK168" s="6" t="s">
        <v>988</v>
      </c>
      <c r="AL168" s="6" t="s">
        <v>387</v>
      </c>
      <c r="AM168" s="6" t="n">
        <v>0</v>
      </c>
      <c r="AQ168" s="6" t="s">
        <v>391</v>
      </c>
      <c r="AR168" s="6" t="s">
        <v>57</v>
      </c>
    </row>
    <row r="169" customFormat="false" ht="15" hidden="false" customHeight="true" outlineLevel="0" collapsed="false">
      <c r="A169" s="27" t="n">
        <v>108809</v>
      </c>
      <c r="B169" s="6" t="s">
        <v>1378</v>
      </c>
      <c r="C169" s="27" t="n">
        <v>108809</v>
      </c>
      <c r="D169" s="6" t="s">
        <v>1379</v>
      </c>
      <c r="E169" s="6" t="s">
        <v>1160</v>
      </c>
      <c r="F169" s="6" t="s">
        <v>240</v>
      </c>
      <c r="G169" s="6" t="s">
        <v>1164</v>
      </c>
      <c r="H169" s="6" t="s">
        <v>157</v>
      </c>
      <c r="I169" s="6" t="s">
        <v>26</v>
      </c>
      <c r="J169" s="6" t="s">
        <v>26</v>
      </c>
      <c r="K169" s="6" t="s">
        <v>26</v>
      </c>
      <c r="L169" s="6" t="s">
        <v>26</v>
      </c>
      <c r="N169" s="6" t="s">
        <v>1023</v>
      </c>
      <c r="O169" s="6" t="s">
        <v>1347</v>
      </c>
      <c r="P169" s="6" t="n">
        <v>1</v>
      </c>
      <c r="R169" s="6" t="s">
        <v>1152</v>
      </c>
      <c r="U169" s="6" t="n">
        <v>193790</v>
      </c>
      <c r="V169" s="28" t="n">
        <v>193790</v>
      </c>
      <c r="W169" s="29" t="n">
        <v>0.12</v>
      </c>
      <c r="X169" s="6" t="n">
        <v>0.055</v>
      </c>
      <c r="Y169" s="29" t="n">
        <v>0.12</v>
      </c>
      <c r="Z169" s="30"/>
      <c r="AA169" s="29" t="n">
        <v>0.04</v>
      </c>
      <c r="AB169" s="31" t="n">
        <v>258709.65</v>
      </c>
      <c r="AE169" s="6" t="n">
        <v>258709.65</v>
      </c>
      <c r="AF169" s="6" t="s">
        <v>58</v>
      </c>
      <c r="AG169" s="6" t="n">
        <v>0</v>
      </c>
      <c r="AH169" s="30" t="s">
        <v>1254</v>
      </c>
      <c r="AI169" s="6" t="n">
        <v>0</v>
      </c>
      <c r="AJ169" s="6" t="s">
        <v>395</v>
      </c>
      <c r="AK169" s="6" t="s">
        <v>988</v>
      </c>
      <c r="AL169" s="6" t="s">
        <v>395</v>
      </c>
      <c r="AM169" s="6" t="n">
        <v>0</v>
      </c>
      <c r="AQ169" s="6" t="s">
        <v>393</v>
      </c>
      <c r="AR169" s="6" t="s">
        <v>57</v>
      </c>
    </row>
    <row r="170" customFormat="false" ht="15" hidden="false" customHeight="true" outlineLevel="0" collapsed="false">
      <c r="A170" s="27" t="n">
        <v>97592</v>
      </c>
      <c r="B170" s="6" t="s">
        <v>1380</v>
      </c>
      <c r="C170" s="27" t="n">
        <v>97592</v>
      </c>
      <c r="D170" s="6" t="s">
        <v>397</v>
      </c>
      <c r="E170" s="6" t="s">
        <v>1160</v>
      </c>
      <c r="G170" s="6" t="s">
        <v>1164</v>
      </c>
      <c r="H170" s="6" t="s">
        <v>157</v>
      </c>
      <c r="I170" s="6" t="s">
        <v>26</v>
      </c>
      <c r="J170" s="6" t="s">
        <v>26</v>
      </c>
      <c r="K170" s="6" t="s">
        <v>26</v>
      </c>
      <c r="L170" s="6" t="s">
        <v>26</v>
      </c>
      <c r="N170" s="6" t="s">
        <v>1023</v>
      </c>
      <c r="O170" s="6" t="s">
        <v>1347</v>
      </c>
      <c r="P170" s="6" t="n">
        <v>1</v>
      </c>
      <c r="R170" s="6" t="s">
        <v>1152</v>
      </c>
      <c r="U170" s="6" t="n">
        <v>213470</v>
      </c>
      <c r="V170" s="28" t="n">
        <v>213470</v>
      </c>
      <c r="W170" s="29" t="n">
        <v>0.12</v>
      </c>
      <c r="X170" s="6" t="n">
        <v>0.055</v>
      </c>
      <c r="Y170" s="29" t="n">
        <v>0.12</v>
      </c>
      <c r="Z170" s="30"/>
      <c r="AA170" s="29" t="n">
        <v>0.04</v>
      </c>
      <c r="AB170" s="31" t="n">
        <v>284982.45</v>
      </c>
      <c r="AE170" s="6" t="n">
        <v>284982.45</v>
      </c>
      <c r="AF170" s="6" t="s">
        <v>58</v>
      </c>
      <c r="AG170" s="6" t="n">
        <v>0</v>
      </c>
      <c r="AH170" s="30" t="s">
        <v>1254</v>
      </c>
      <c r="AI170" s="6" t="n">
        <v>0</v>
      </c>
      <c r="AJ170" s="6" t="s">
        <v>247</v>
      </c>
      <c r="AK170" s="6" t="s">
        <v>988</v>
      </c>
      <c r="AL170" s="6" t="s">
        <v>247</v>
      </c>
      <c r="AM170" s="6" t="n">
        <v>0</v>
      </c>
      <c r="AQ170" s="6" t="s">
        <v>396</v>
      </c>
      <c r="AR170" s="6" t="s">
        <v>57</v>
      </c>
    </row>
    <row r="171" customFormat="false" ht="15" hidden="false" customHeight="true" outlineLevel="0" collapsed="false">
      <c r="A171" s="27" t="n">
        <v>113451</v>
      </c>
      <c r="B171" s="6" t="s">
        <v>1381</v>
      </c>
      <c r="C171" s="27" t="n">
        <v>113451</v>
      </c>
      <c r="D171" s="6" t="s">
        <v>399</v>
      </c>
      <c r="E171" s="6" t="s">
        <v>1170</v>
      </c>
      <c r="F171" s="6" t="s">
        <v>1171</v>
      </c>
      <c r="G171" s="6" t="s">
        <v>1173</v>
      </c>
      <c r="H171" s="6" t="s">
        <v>168</v>
      </c>
      <c r="I171" s="6" t="s">
        <v>1174</v>
      </c>
      <c r="J171" s="6" t="s">
        <v>23</v>
      </c>
      <c r="K171" s="6" t="s">
        <v>168</v>
      </c>
      <c r="L171" s="6" t="s">
        <v>400</v>
      </c>
      <c r="N171" s="6" t="s">
        <v>1023</v>
      </c>
      <c r="O171" s="6" t="s">
        <v>1347</v>
      </c>
      <c r="P171" s="6" t="n">
        <v>1</v>
      </c>
      <c r="R171" s="6" t="s">
        <v>1152</v>
      </c>
      <c r="U171" s="6" t="n">
        <v>191290</v>
      </c>
      <c r="V171" s="28" t="n">
        <v>191290</v>
      </c>
      <c r="W171" s="29" t="n">
        <v>0.12</v>
      </c>
      <c r="X171" s="6" t="n">
        <v>0.055</v>
      </c>
      <c r="Y171" s="29" t="n">
        <v>0.12</v>
      </c>
      <c r="Z171" s="30"/>
      <c r="AA171" s="29" t="n">
        <v>0.04</v>
      </c>
      <c r="AB171" s="31" t="n">
        <v>255372.15</v>
      </c>
      <c r="AE171" s="6" t="n">
        <v>255372.15</v>
      </c>
      <c r="AF171" s="6" t="s">
        <v>58</v>
      </c>
      <c r="AG171" s="6" t="n">
        <v>0</v>
      </c>
      <c r="AH171" s="30" t="s">
        <v>23</v>
      </c>
      <c r="AI171" s="6" t="n">
        <v>0</v>
      </c>
      <c r="AJ171" s="6" t="s">
        <v>400</v>
      </c>
      <c r="AK171" s="6" t="s">
        <v>988</v>
      </c>
      <c r="AL171" s="6" t="s">
        <v>400</v>
      </c>
      <c r="AM171" s="6" t="n">
        <v>0</v>
      </c>
      <c r="AQ171" s="6" t="s">
        <v>398</v>
      </c>
      <c r="AR171" s="6" t="s">
        <v>57</v>
      </c>
    </row>
    <row r="172" customFormat="false" ht="15" hidden="false" customHeight="true" outlineLevel="0" collapsed="false">
      <c r="A172" s="27" t="n">
        <v>113607</v>
      </c>
      <c r="B172" s="6" t="s">
        <v>1382</v>
      </c>
      <c r="C172" s="27" t="n">
        <v>113607</v>
      </c>
      <c r="D172" s="6" t="s">
        <v>402</v>
      </c>
      <c r="E172" s="6" t="s">
        <v>1170</v>
      </c>
      <c r="F172" s="6" t="s">
        <v>1171</v>
      </c>
      <c r="G172" s="6" t="s">
        <v>1173</v>
      </c>
      <c r="H172" s="6" t="s">
        <v>168</v>
      </c>
      <c r="I172" s="6" t="s">
        <v>1174</v>
      </c>
      <c r="J172" s="6" t="s">
        <v>23</v>
      </c>
      <c r="K172" s="6" t="s">
        <v>168</v>
      </c>
      <c r="L172" s="6" t="s">
        <v>1259</v>
      </c>
      <c r="N172" s="6" t="s">
        <v>109</v>
      </c>
      <c r="O172" s="6" t="s">
        <v>1347</v>
      </c>
      <c r="P172" s="6" t="n">
        <v>1</v>
      </c>
      <c r="R172" s="6" t="s">
        <v>1152</v>
      </c>
      <c r="U172" s="6" t="n">
        <v>177710</v>
      </c>
      <c r="V172" s="28" t="n">
        <v>163493.2</v>
      </c>
      <c r="W172" s="29" t="n">
        <v>0.15</v>
      </c>
      <c r="Y172" s="29" t="n">
        <v>0.05</v>
      </c>
      <c r="Z172" s="30" t="n">
        <v>2910</v>
      </c>
      <c r="AA172" s="29" t="n">
        <v>0.03</v>
      </c>
      <c r="AB172" s="31" t="n">
        <v>204006.636</v>
      </c>
      <c r="AC172" s="6" t="n">
        <v>113607</v>
      </c>
      <c r="AE172" s="6" t="n">
        <v>204006.636</v>
      </c>
      <c r="AF172" s="6" t="s">
        <v>58</v>
      </c>
      <c r="AG172" s="6" t="n">
        <v>0</v>
      </c>
      <c r="AH172" s="30" t="s">
        <v>23</v>
      </c>
      <c r="AI172" s="6" t="n">
        <v>0</v>
      </c>
      <c r="AJ172" s="6" t="s">
        <v>253</v>
      </c>
      <c r="AK172" s="6" t="s">
        <v>988</v>
      </c>
      <c r="AL172" s="6" t="s">
        <v>253</v>
      </c>
      <c r="AM172" s="6" t="n">
        <v>0</v>
      </c>
      <c r="AQ172" s="6" t="s">
        <v>401</v>
      </c>
      <c r="AR172" s="6" t="s">
        <v>109</v>
      </c>
    </row>
    <row r="173" customFormat="false" ht="15" hidden="false" customHeight="true" outlineLevel="0" collapsed="false">
      <c r="A173" s="27" t="n">
        <v>12010</v>
      </c>
      <c r="B173" s="6" t="s">
        <v>1383</v>
      </c>
      <c r="C173" s="27" t="n">
        <v>12010</v>
      </c>
      <c r="D173" s="6" t="s">
        <v>404</v>
      </c>
      <c r="E173" s="6" t="s">
        <v>1170</v>
      </c>
      <c r="F173" s="6" t="s">
        <v>1171</v>
      </c>
      <c r="G173" s="6" t="s">
        <v>1173</v>
      </c>
      <c r="H173" s="6" t="s">
        <v>168</v>
      </c>
      <c r="I173" s="6" t="s">
        <v>1174</v>
      </c>
      <c r="J173" s="6" t="s">
        <v>23</v>
      </c>
      <c r="K173" s="6" t="s">
        <v>21</v>
      </c>
      <c r="L173" s="6" t="s">
        <v>400</v>
      </c>
      <c r="N173" s="6" t="s">
        <v>1023</v>
      </c>
      <c r="O173" s="6" t="s">
        <v>1347</v>
      </c>
      <c r="P173" s="6" t="n">
        <v>1</v>
      </c>
      <c r="R173" s="6" t="s">
        <v>1152</v>
      </c>
      <c r="U173" s="6" t="n">
        <v>197480</v>
      </c>
      <c r="V173" s="28" t="n">
        <v>197480</v>
      </c>
      <c r="W173" s="29" t="n">
        <v>0.12</v>
      </c>
      <c r="X173" s="6" t="n">
        <v>0.055</v>
      </c>
      <c r="Y173" s="29" t="n">
        <v>0.12</v>
      </c>
      <c r="Z173" s="30"/>
      <c r="AA173" s="29" t="n">
        <v>0.04</v>
      </c>
      <c r="AB173" s="31" t="n">
        <v>263635.8</v>
      </c>
      <c r="AE173" s="6" t="n">
        <v>263635.8</v>
      </c>
      <c r="AF173" s="6" t="s">
        <v>58</v>
      </c>
      <c r="AG173" s="6" t="n">
        <v>0</v>
      </c>
      <c r="AH173" s="30" t="s">
        <v>23</v>
      </c>
      <c r="AI173" s="6" t="n">
        <v>0</v>
      </c>
      <c r="AJ173" s="6" t="s">
        <v>400</v>
      </c>
      <c r="AK173" s="6" t="s">
        <v>988</v>
      </c>
      <c r="AL173" s="6" t="s">
        <v>405</v>
      </c>
      <c r="AM173" s="6" t="n">
        <v>1</v>
      </c>
      <c r="AQ173" s="6" t="s">
        <v>403</v>
      </c>
      <c r="AR173" s="6" t="s">
        <v>57</v>
      </c>
    </row>
    <row r="174" customFormat="false" ht="15" hidden="false" customHeight="true" outlineLevel="0" collapsed="false">
      <c r="A174" s="27" t="n">
        <v>114147</v>
      </c>
      <c r="B174" s="6" t="s">
        <v>1384</v>
      </c>
      <c r="C174" s="27" t="n">
        <v>114147</v>
      </c>
      <c r="D174" s="6" t="s">
        <v>407</v>
      </c>
      <c r="E174" s="6" t="s">
        <v>1170</v>
      </c>
      <c r="F174" s="6" t="s">
        <v>1171</v>
      </c>
      <c r="G174" s="6" t="s">
        <v>1173</v>
      </c>
      <c r="H174" s="6" t="s">
        <v>168</v>
      </c>
      <c r="I174" s="6" t="s">
        <v>1174</v>
      </c>
      <c r="J174" s="6" t="s">
        <v>23</v>
      </c>
      <c r="K174" s="6" t="s">
        <v>21</v>
      </c>
      <c r="L174" s="6" t="s">
        <v>400</v>
      </c>
      <c r="N174" s="6" t="s">
        <v>1023</v>
      </c>
      <c r="O174" s="6" t="s">
        <v>1347</v>
      </c>
      <c r="P174" s="6" t="n">
        <v>1</v>
      </c>
      <c r="R174" s="6" t="s">
        <v>1152</v>
      </c>
      <c r="U174" s="6" t="n">
        <v>188010</v>
      </c>
      <c r="V174" s="28" t="n">
        <v>188010</v>
      </c>
      <c r="W174" s="29" t="n">
        <v>0.12</v>
      </c>
      <c r="X174" s="6" t="n">
        <v>0.055</v>
      </c>
      <c r="Y174" s="29" t="n">
        <v>0.12</v>
      </c>
      <c r="Z174" s="30"/>
      <c r="AA174" s="29" t="n">
        <v>0.04</v>
      </c>
      <c r="AB174" s="31" t="n">
        <v>250993.35</v>
      </c>
      <c r="AE174" s="6" t="n">
        <v>250993.35</v>
      </c>
      <c r="AF174" s="6" t="s">
        <v>58</v>
      </c>
      <c r="AG174" s="6" t="n">
        <v>0</v>
      </c>
      <c r="AH174" s="30" t="s">
        <v>23</v>
      </c>
      <c r="AI174" s="6" t="n">
        <v>0</v>
      </c>
      <c r="AJ174" s="6" t="s">
        <v>400</v>
      </c>
      <c r="AK174" s="6" t="s">
        <v>988</v>
      </c>
      <c r="AL174" s="6" t="s">
        <v>405</v>
      </c>
      <c r="AM174" s="6" t="n">
        <v>1</v>
      </c>
      <c r="AQ174" s="6" t="s">
        <v>406</v>
      </c>
      <c r="AR174" s="6" t="s">
        <v>57</v>
      </c>
    </row>
    <row r="175" customFormat="false" ht="15" hidden="false" customHeight="true" outlineLevel="0" collapsed="false">
      <c r="A175" s="27" t="s">
        <v>1138</v>
      </c>
      <c r="B175" s="6" t="s">
        <v>1063</v>
      </c>
      <c r="C175" s="27" t="s">
        <v>1138</v>
      </c>
      <c r="D175" s="6" t="s">
        <v>113</v>
      </c>
      <c r="E175" s="6" t="s">
        <v>1056</v>
      </c>
      <c r="F175" s="6" t="s">
        <v>1057</v>
      </c>
      <c r="G175" s="6" t="s">
        <v>1058</v>
      </c>
      <c r="H175" s="6" t="s">
        <v>1059</v>
      </c>
      <c r="I175" s="6" t="s">
        <v>1060</v>
      </c>
      <c r="J175" s="6" t="s">
        <v>25</v>
      </c>
      <c r="K175" s="6" t="s">
        <v>1234</v>
      </c>
      <c r="L175" s="6" t="s">
        <v>227</v>
      </c>
      <c r="N175" s="6" t="s">
        <v>1047</v>
      </c>
      <c r="O175" s="6" t="s">
        <v>1347</v>
      </c>
      <c r="P175" s="6" t="n">
        <v>1</v>
      </c>
      <c r="R175" s="6" t="s">
        <v>1143</v>
      </c>
      <c r="U175" s="6" t="n">
        <v>173550</v>
      </c>
      <c r="V175" s="28" t="n">
        <v>173550</v>
      </c>
      <c r="W175" s="29" t="n">
        <v>0.12</v>
      </c>
      <c r="X175" s="6" t="n">
        <v>0.055</v>
      </c>
      <c r="Y175" s="29" t="n">
        <v>0.12</v>
      </c>
      <c r="Z175" s="30"/>
      <c r="AA175" s="29" t="n">
        <v>0.04</v>
      </c>
      <c r="AB175" s="31" t="n">
        <v>231689.25</v>
      </c>
      <c r="AE175" s="6" t="n">
        <v>231689.25</v>
      </c>
      <c r="AF175" s="6" t="s">
        <v>1063</v>
      </c>
      <c r="AG175" s="6" t="n">
        <v>0</v>
      </c>
      <c r="AH175" s="30" t="s">
        <v>25</v>
      </c>
      <c r="AI175" s="6" t="n">
        <v>0</v>
      </c>
      <c r="AJ175" s="6" t="s">
        <v>227</v>
      </c>
      <c r="AK175" s="6" t="s">
        <v>988</v>
      </c>
      <c r="AL175" s="6" t="s">
        <v>227</v>
      </c>
      <c r="AM175" s="6" t="n">
        <v>0</v>
      </c>
      <c r="AN175" s="6" t="s">
        <v>1063</v>
      </c>
      <c r="AO175" s="6" t="s">
        <v>1338</v>
      </c>
      <c r="AQ175" s="6" t="s">
        <v>408</v>
      </c>
      <c r="AR175" s="6" t="s">
        <v>57</v>
      </c>
    </row>
    <row r="176" customFormat="false" ht="15" hidden="false" customHeight="true" outlineLevel="0" collapsed="false">
      <c r="A176" s="27" t="n">
        <v>80477</v>
      </c>
      <c r="B176" s="6" t="s">
        <v>1385</v>
      </c>
      <c r="C176" s="27" t="n">
        <v>80477</v>
      </c>
      <c r="D176" s="6" t="s">
        <v>55</v>
      </c>
      <c r="E176" s="6" t="s">
        <v>1181</v>
      </c>
      <c r="F176" s="6" t="s">
        <v>1182</v>
      </c>
      <c r="G176" s="6" t="s">
        <v>1173</v>
      </c>
      <c r="H176" s="6" t="s">
        <v>1183</v>
      </c>
      <c r="J176" s="6" t="s">
        <v>23</v>
      </c>
      <c r="K176" s="6" t="s">
        <v>168</v>
      </c>
      <c r="L176" s="6" t="s">
        <v>400</v>
      </c>
      <c r="N176" s="6" t="s">
        <v>1023</v>
      </c>
      <c r="O176" s="6" t="s">
        <v>1347</v>
      </c>
      <c r="P176" s="6" t="n">
        <v>0.6</v>
      </c>
      <c r="R176" s="6" t="s">
        <v>1105</v>
      </c>
      <c r="U176" s="6" t="n">
        <v>197180</v>
      </c>
      <c r="V176" s="28" t="n">
        <v>197180</v>
      </c>
      <c r="W176" s="29" t="n">
        <v>0.12</v>
      </c>
      <c r="X176" s="6" t="n">
        <v>0.055</v>
      </c>
      <c r="Y176" s="29" t="n">
        <v>0.12</v>
      </c>
      <c r="Z176" s="30"/>
      <c r="AA176" s="29" t="n">
        <v>0.04</v>
      </c>
      <c r="AB176" s="31" t="n">
        <v>263235.3</v>
      </c>
      <c r="AE176" s="6" t="n">
        <v>157941.18</v>
      </c>
      <c r="AF176" s="6" t="s">
        <v>58</v>
      </c>
      <c r="AG176" s="6" t="n">
        <v>0</v>
      </c>
      <c r="AH176" s="30" t="s">
        <v>23</v>
      </c>
      <c r="AI176" s="6" t="n">
        <v>0</v>
      </c>
      <c r="AJ176" s="6" t="s">
        <v>400</v>
      </c>
      <c r="AK176" s="6" t="s">
        <v>988</v>
      </c>
      <c r="AL176" s="6" t="s">
        <v>400</v>
      </c>
      <c r="AM176" s="6" t="n">
        <v>0</v>
      </c>
      <c r="AQ176" s="6" t="s">
        <v>409</v>
      </c>
      <c r="AR176" s="6" t="s">
        <v>57</v>
      </c>
    </row>
    <row r="177" customFormat="false" ht="15" hidden="false" customHeight="true" outlineLevel="0" collapsed="false">
      <c r="A177" s="27" t="n">
        <v>94631</v>
      </c>
      <c r="B177" s="6" t="s">
        <v>1386</v>
      </c>
      <c r="C177" s="27" t="n">
        <v>94631</v>
      </c>
      <c r="D177" s="6" t="s">
        <v>411</v>
      </c>
      <c r="E177" s="6" t="s">
        <v>1181</v>
      </c>
      <c r="F177" s="6" t="s">
        <v>1182</v>
      </c>
      <c r="G177" s="6" t="s">
        <v>1173</v>
      </c>
      <c r="H177" s="6" t="s">
        <v>1183</v>
      </c>
      <c r="I177" s="6" t="s">
        <v>1387</v>
      </c>
      <c r="J177" s="6" t="s">
        <v>23</v>
      </c>
      <c r="K177" s="6" t="s">
        <v>168</v>
      </c>
      <c r="N177" s="6" t="s">
        <v>1023</v>
      </c>
      <c r="O177" s="6" t="s">
        <v>1347</v>
      </c>
      <c r="P177" s="6" t="n">
        <v>1</v>
      </c>
      <c r="R177" s="6" t="s">
        <v>1152</v>
      </c>
      <c r="U177" s="6" t="n">
        <v>186610</v>
      </c>
      <c r="V177" s="28" t="n">
        <v>186610</v>
      </c>
      <c r="W177" s="29" t="n">
        <v>0.12</v>
      </c>
      <c r="X177" s="6" t="n">
        <v>0.055</v>
      </c>
      <c r="Y177" s="29" t="n">
        <v>0.12</v>
      </c>
      <c r="Z177" s="30"/>
      <c r="AA177" s="29" t="n">
        <v>0.04</v>
      </c>
      <c r="AB177" s="31" t="n">
        <v>249124.35</v>
      </c>
      <c r="AE177" s="6" t="n">
        <v>249124.35</v>
      </c>
      <c r="AF177" s="6" t="s">
        <v>58</v>
      </c>
      <c r="AG177" s="6" t="n">
        <v>0</v>
      </c>
      <c r="AH177" s="30" t="s">
        <v>23</v>
      </c>
      <c r="AI177" s="6" t="n">
        <v>0</v>
      </c>
      <c r="AJ177" s="6" t="s">
        <v>400</v>
      </c>
      <c r="AK177" s="6" t="s">
        <v>988</v>
      </c>
      <c r="AL177" s="6" t="s">
        <v>400</v>
      </c>
      <c r="AM177" s="6" t="n">
        <v>0</v>
      </c>
      <c r="AQ177" s="6" t="s">
        <v>410</v>
      </c>
      <c r="AR177" s="6" t="s">
        <v>57</v>
      </c>
    </row>
    <row r="178" customFormat="false" ht="15" hidden="false" customHeight="true" outlineLevel="0" collapsed="false">
      <c r="A178" s="27" t="n">
        <v>113527</v>
      </c>
      <c r="B178" s="6" t="s">
        <v>1388</v>
      </c>
      <c r="C178" s="27" t="n">
        <v>113527</v>
      </c>
      <c r="D178" s="6" t="s">
        <v>413</v>
      </c>
      <c r="E178" s="6" t="s">
        <v>1257</v>
      </c>
      <c r="F178" s="6" t="s">
        <v>1389</v>
      </c>
      <c r="G178" s="6" t="s">
        <v>1173</v>
      </c>
      <c r="H178" s="6" t="s">
        <v>168</v>
      </c>
      <c r="I178" s="6" t="s">
        <v>414</v>
      </c>
      <c r="J178" s="6" t="s">
        <v>23</v>
      </c>
      <c r="K178" s="6" t="s">
        <v>168</v>
      </c>
      <c r="L178" s="6" t="s">
        <v>414</v>
      </c>
      <c r="N178" s="6" t="s">
        <v>109</v>
      </c>
      <c r="O178" s="6" t="s">
        <v>1347</v>
      </c>
      <c r="P178" s="6" t="n">
        <v>1</v>
      </c>
      <c r="R178" s="6" t="s">
        <v>1152</v>
      </c>
      <c r="U178" s="6" t="n">
        <v>160800</v>
      </c>
      <c r="V178" s="28" t="n">
        <v>147936</v>
      </c>
      <c r="W178" s="29" t="n">
        <v>0.15</v>
      </c>
      <c r="Y178" s="29" t="n">
        <v>0.05</v>
      </c>
      <c r="Z178" s="30" t="n">
        <v>2910</v>
      </c>
      <c r="AA178" s="29" t="n">
        <v>0.03</v>
      </c>
      <c r="AB178" s="31" t="n">
        <v>184871.28</v>
      </c>
      <c r="AC178" s="6" t="n">
        <v>113527</v>
      </c>
      <c r="AE178" s="6" t="n">
        <v>184871.28</v>
      </c>
      <c r="AF178" s="6" t="s">
        <v>58</v>
      </c>
      <c r="AG178" s="6" t="n">
        <v>0</v>
      </c>
      <c r="AH178" s="30" t="s">
        <v>23</v>
      </c>
      <c r="AI178" s="6" t="n">
        <v>0</v>
      </c>
      <c r="AJ178" s="6" t="s">
        <v>414</v>
      </c>
      <c r="AK178" s="6" t="s">
        <v>988</v>
      </c>
      <c r="AL178" s="6" t="s">
        <v>414</v>
      </c>
      <c r="AM178" s="6" t="n">
        <v>0</v>
      </c>
      <c r="AQ178" s="6" t="s">
        <v>412</v>
      </c>
      <c r="AR178" s="6" t="s">
        <v>109</v>
      </c>
    </row>
    <row r="179" customFormat="false" ht="15" hidden="false" customHeight="true" outlineLevel="0" collapsed="false">
      <c r="A179" s="27" t="n">
        <v>101166</v>
      </c>
      <c r="B179" s="6" t="s">
        <v>1390</v>
      </c>
      <c r="C179" s="27" t="n">
        <v>101166</v>
      </c>
      <c r="D179" s="6" t="s">
        <v>413</v>
      </c>
      <c r="E179" s="6" t="s">
        <v>1257</v>
      </c>
      <c r="F179" s="6" t="s">
        <v>1389</v>
      </c>
      <c r="G179" s="6" t="s">
        <v>1173</v>
      </c>
      <c r="H179" s="6" t="s">
        <v>168</v>
      </c>
      <c r="I179" s="6" t="s">
        <v>414</v>
      </c>
      <c r="J179" s="6" t="s">
        <v>23</v>
      </c>
      <c r="K179" s="6" t="s">
        <v>168</v>
      </c>
      <c r="L179" s="6" t="s">
        <v>414</v>
      </c>
      <c r="N179" s="6" t="s">
        <v>1023</v>
      </c>
      <c r="O179" s="6" t="s">
        <v>1347</v>
      </c>
      <c r="P179" s="6" t="n">
        <v>1</v>
      </c>
      <c r="R179" s="6" t="s">
        <v>1152</v>
      </c>
      <c r="U179" s="6" t="n">
        <v>173470</v>
      </c>
      <c r="V179" s="28" t="n">
        <v>173470</v>
      </c>
      <c r="W179" s="29" t="n">
        <v>0.12</v>
      </c>
      <c r="X179" s="6" t="n">
        <v>0.055</v>
      </c>
      <c r="Y179" s="29" t="n">
        <v>0.12</v>
      </c>
      <c r="Z179" s="30"/>
      <c r="AA179" s="29" t="n">
        <v>0.04</v>
      </c>
      <c r="AB179" s="31" t="n">
        <v>231582.45</v>
      </c>
      <c r="AE179" s="6" t="n">
        <v>231582.45</v>
      </c>
      <c r="AF179" s="6" t="s">
        <v>58</v>
      </c>
      <c r="AG179" s="6" t="n">
        <v>0</v>
      </c>
      <c r="AH179" s="30" t="s">
        <v>23</v>
      </c>
      <c r="AI179" s="6" t="n">
        <v>0</v>
      </c>
      <c r="AJ179" s="6" t="s">
        <v>414</v>
      </c>
      <c r="AK179" s="6" t="s">
        <v>988</v>
      </c>
      <c r="AL179" s="6" t="s">
        <v>414</v>
      </c>
      <c r="AM179" s="6" t="n">
        <v>0</v>
      </c>
      <c r="AQ179" s="6" t="s">
        <v>415</v>
      </c>
      <c r="AR179" s="6" t="s">
        <v>57</v>
      </c>
    </row>
    <row r="180" customFormat="false" ht="15" hidden="false" customHeight="true" outlineLevel="0" collapsed="false">
      <c r="A180" s="27" t="s">
        <v>1138</v>
      </c>
      <c r="B180" s="6" t="s">
        <v>1063</v>
      </c>
      <c r="C180" s="27" t="s">
        <v>1138</v>
      </c>
      <c r="D180" s="6" t="s">
        <v>372</v>
      </c>
      <c r="E180" s="6" t="s">
        <v>1391</v>
      </c>
      <c r="F180" s="6" t="s">
        <v>464</v>
      </c>
      <c r="G180" s="6" t="s">
        <v>1076</v>
      </c>
      <c r="H180" s="6" t="s">
        <v>28</v>
      </c>
      <c r="I180" s="6" t="s">
        <v>1318</v>
      </c>
      <c r="J180" s="6" t="s">
        <v>24</v>
      </c>
      <c r="K180" s="6" t="s">
        <v>1367</v>
      </c>
      <c r="L180" s="6" t="s">
        <v>127</v>
      </c>
      <c r="N180" s="6" t="s">
        <v>1023</v>
      </c>
      <c r="O180" s="6" t="s">
        <v>1347</v>
      </c>
      <c r="P180" s="6" t="n">
        <v>1</v>
      </c>
      <c r="R180" s="6" t="s">
        <v>1143</v>
      </c>
      <c r="U180" s="6" t="n">
        <v>173550</v>
      </c>
      <c r="V180" s="28" t="n">
        <v>173550</v>
      </c>
      <c r="W180" s="29" t="n">
        <v>0.12</v>
      </c>
      <c r="X180" s="6" t="n">
        <v>0.055</v>
      </c>
      <c r="Y180" s="29" t="n">
        <v>0.12</v>
      </c>
      <c r="Z180" s="30"/>
      <c r="AA180" s="29" t="n">
        <v>0.04</v>
      </c>
      <c r="AB180" s="31" t="n">
        <v>231689.25</v>
      </c>
      <c r="AE180" s="6" t="n">
        <v>231689.25</v>
      </c>
      <c r="AF180" s="6" t="s">
        <v>1063</v>
      </c>
      <c r="AG180" s="6" t="n">
        <v>0</v>
      </c>
      <c r="AH180" s="30" t="s">
        <v>24</v>
      </c>
      <c r="AI180" s="6" t="n">
        <v>0</v>
      </c>
      <c r="AJ180" s="6" t="s">
        <v>127</v>
      </c>
      <c r="AK180" s="6" t="s">
        <v>988</v>
      </c>
      <c r="AL180" s="6" t="s">
        <v>127</v>
      </c>
      <c r="AM180" s="6" t="n">
        <v>0</v>
      </c>
      <c r="AQ180" s="6" t="s">
        <v>416</v>
      </c>
      <c r="AR180" s="6" t="s">
        <v>57</v>
      </c>
      <c r="AY180" s="34"/>
    </row>
    <row r="181" customFormat="false" ht="15" hidden="false" customHeight="true" outlineLevel="0" collapsed="false">
      <c r="A181" s="27" t="n">
        <v>81395</v>
      </c>
      <c r="B181" s="6" t="s">
        <v>1392</v>
      </c>
      <c r="C181" s="27" t="n">
        <v>81395</v>
      </c>
      <c r="D181" s="6" t="s">
        <v>226</v>
      </c>
      <c r="E181" s="6" t="s">
        <v>1240</v>
      </c>
      <c r="F181" s="6" t="s">
        <v>1393</v>
      </c>
      <c r="G181" s="6" t="s">
        <v>1058</v>
      </c>
      <c r="H181" s="6" t="s">
        <v>1059</v>
      </c>
      <c r="I181" s="6" t="s">
        <v>1242</v>
      </c>
      <c r="J181" s="6" t="s">
        <v>25</v>
      </c>
      <c r="K181" s="6" t="s">
        <v>1243</v>
      </c>
      <c r="L181" s="6" t="s">
        <v>1394</v>
      </c>
      <c r="N181" s="6" t="s">
        <v>1023</v>
      </c>
      <c r="O181" s="6" t="s">
        <v>1347</v>
      </c>
      <c r="P181" s="6" t="n">
        <v>1</v>
      </c>
      <c r="R181" s="6" t="s">
        <v>1152</v>
      </c>
      <c r="U181" s="6" t="n">
        <v>176400</v>
      </c>
      <c r="V181" s="28" t="n">
        <v>176400</v>
      </c>
      <c r="W181" s="29" t="n">
        <v>0.12</v>
      </c>
      <c r="X181" s="6" t="n">
        <v>0.055</v>
      </c>
      <c r="Y181" s="29" t="n">
        <v>0.12</v>
      </c>
      <c r="Z181" s="30"/>
      <c r="AA181" s="29" t="n">
        <v>0.04</v>
      </c>
      <c r="AB181" s="31" t="n">
        <v>235494</v>
      </c>
      <c r="AE181" s="6" t="n">
        <v>235494</v>
      </c>
      <c r="AF181" s="6" t="s">
        <v>58</v>
      </c>
      <c r="AG181" s="6" t="n">
        <v>0</v>
      </c>
      <c r="AH181" s="30" t="s">
        <v>25</v>
      </c>
      <c r="AI181" s="6" t="n">
        <v>0</v>
      </c>
      <c r="AJ181" s="6" t="s">
        <v>1394</v>
      </c>
      <c r="AK181" s="6" t="s">
        <v>988</v>
      </c>
      <c r="AL181" s="6" t="s">
        <v>1394</v>
      </c>
      <c r="AM181" s="6" t="n">
        <v>0</v>
      </c>
      <c r="AQ181" s="6" t="s">
        <v>417</v>
      </c>
      <c r="AR181" s="6" t="s">
        <v>57</v>
      </c>
      <c r="AY181" s="34"/>
    </row>
    <row r="182" customFormat="false" ht="15" hidden="false" customHeight="true" outlineLevel="0" collapsed="false">
      <c r="A182" s="27" t="n">
        <v>99707</v>
      </c>
      <c r="B182" s="6" t="s">
        <v>1395</v>
      </c>
      <c r="C182" s="27" t="n">
        <v>99707</v>
      </c>
      <c r="D182" s="6" t="s">
        <v>420</v>
      </c>
      <c r="E182" s="6" t="s">
        <v>1380</v>
      </c>
      <c r="F182" s="6" t="s">
        <v>397</v>
      </c>
      <c r="G182" s="6" t="s">
        <v>1164</v>
      </c>
      <c r="H182" s="6" t="s">
        <v>157</v>
      </c>
      <c r="I182" s="6" t="s">
        <v>26</v>
      </c>
      <c r="J182" s="6" t="s">
        <v>26</v>
      </c>
      <c r="K182" s="6" t="s">
        <v>26</v>
      </c>
      <c r="L182" s="6" t="s">
        <v>26</v>
      </c>
      <c r="N182" s="6" t="s">
        <v>1023</v>
      </c>
      <c r="O182" s="6" t="s">
        <v>1347</v>
      </c>
      <c r="P182" s="6" t="n">
        <v>1</v>
      </c>
      <c r="R182" s="6" t="s">
        <v>1152</v>
      </c>
      <c r="U182" s="6" t="n">
        <v>213740</v>
      </c>
      <c r="V182" s="28" t="n">
        <v>213740</v>
      </c>
      <c r="W182" s="29" t="n">
        <v>0.12</v>
      </c>
      <c r="X182" s="6" t="n">
        <v>0.055</v>
      </c>
      <c r="Y182" s="29" t="n">
        <v>0.12</v>
      </c>
      <c r="Z182" s="30"/>
      <c r="AA182" s="29" t="n">
        <v>0.04</v>
      </c>
      <c r="AB182" s="31" t="n">
        <v>285342.9</v>
      </c>
      <c r="AE182" s="6" t="n">
        <v>285342.9</v>
      </c>
      <c r="AF182" s="6" t="s">
        <v>58</v>
      </c>
      <c r="AG182" s="6" t="n">
        <v>0</v>
      </c>
      <c r="AH182" s="30" t="s">
        <v>1165</v>
      </c>
      <c r="AI182" s="6" t="n">
        <v>0</v>
      </c>
      <c r="AJ182" s="6" t="s">
        <v>157</v>
      </c>
      <c r="AK182" s="6" t="s">
        <v>988</v>
      </c>
      <c r="AL182" s="6" t="s">
        <v>157</v>
      </c>
      <c r="AM182" s="6" t="n">
        <v>0</v>
      </c>
      <c r="AQ182" s="6" t="s">
        <v>419</v>
      </c>
      <c r="AR182" s="6" t="s">
        <v>57</v>
      </c>
      <c r="AY182" s="34"/>
    </row>
    <row r="183" customFormat="false" ht="15" hidden="false" customHeight="true" outlineLevel="0" collapsed="false">
      <c r="A183" s="27" t="n">
        <v>102385</v>
      </c>
      <c r="B183" s="6" t="s">
        <v>1396</v>
      </c>
      <c r="C183" s="27" t="n">
        <v>102385</v>
      </c>
      <c r="D183" s="6" t="s">
        <v>422</v>
      </c>
      <c r="E183" s="6" t="s">
        <v>1380</v>
      </c>
      <c r="F183" s="6" t="s">
        <v>1397</v>
      </c>
      <c r="G183" s="6" t="s">
        <v>1164</v>
      </c>
      <c r="H183" s="6" t="s">
        <v>157</v>
      </c>
      <c r="I183" s="6" t="s">
        <v>26</v>
      </c>
      <c r="J183" s="6" t="s">
        <v>26</v>
      </c>
      <c r="K183" s="6" t="s">
        <v>26</v>
      </c>
      <c r="L183" s="6" t="s">
        <v>26</v>
      </c>
      <c r="N183" s="6" t="s">
        <v>1023</v>
      </c>
      <c r="O183" s="6" t="s">
        <v>1347</v>
      </c>
      <c r="P183" s="6" t="n">
        <v>1</v>
      </c>
      <c r="R183" s="6" t="s">
        <v>1152</v>
      </c>
      <c r="U183" s="6" t="n">
        <v>212250</v>
      </c>
      <c r="V183" s="28" t="n">
        <v>212250</v>
      </c>
      <c r="W183" s="29" t="n">
        <v>0.12</v>
      </c>
      <c r="X183" s="6" t="n">
        <v>0.055</v>
      </c>
      <c r="Y183" s="29" t="n">
        <v>0.12</v>
      </c>
      <c r="Z183" s="30"/>
      <c r="AA183" s="29" t="n">
        <v>0.04</v>
      </c>
      <c r="AB183" s="31" t="n">
        <v>283353.75</v>
      </c>
      <c r="AE183" s="6" t="n">
        <v>283353.75</v>
      </c>
      <c r="AF183" s="6" t="s">
        <v>58</v>
      </c>
      <c r="AG183" s="6" t="n">
        <v>0</v>
      </c>
      <c r="AH183" s="30" t="s">
        <v>1165</v>
      </c>
      <c r="AI183" s="6" t="n">
        <v>0</v>
      </c>
      <c r="AJ183" s="6" t="s">
        <v>157</v>
      </c>
      <c r="AK183" s="6" t="s">
        <v>988</v>
      </c>
      <c r="AL183" s="6" t="s">
        <v>157</v>
      </c>
      <c r="AM183" s="6" t="n">
        <v>0</v>
      </c>
      <c r="AQ183" s="6" t="s">
        <v>421</v>
      </c>
      <c r="AR183" s="6" t="s">
        <v>57</v>
      </c>
      <c r="AY183" s="34"/>
    </row>
    <row r="184" customFormat="false" ht="15" hidden="false" customHeight="true" outlineLevel="0" collapsed="false">
      <c r="A184" s="27" t="n">
        <v>104966</v>
      </c>
      <c r="B184" s="6" t="s">
        <v>1398</v>
      </c>
      <c r="C184" s="27" t="n">
        <v>104966</v>
      </c>
      <c r="D184" s="6" t="s">
        <v>422</v>
      </c>
      <c r="E184" s="6" t="s">
        <v>1380</v>
      </c>
      <c r="G184" s="6" t="s">
        <v>1164</v>
      </c>
      <c r="H184" s="6" t="s">
        <v>157</v>
      </c>
      <c r="I184" s="6" t="s">
        <v>26</v>
      </c>
      <c r="J184" s="6" t="s">
        <v>26</v>
      </c>
      <c r="K184" s="6" t="s">
        <v>26</v>
      </c>
      <c r="L184" s="6" t="s">
        <v>26</v>
      </c>
      <c r="N184" s="6" t="s">
        <v>1023</v>
      </c>
      <c r="O184" s="6" t="s">
        <v>1347</v>
      </c>
      <c r="P184" s="6" t="n">
        <v>1</v>
      </c>
      <c r="R184" s="6" t="s">
        <v>1152</v>
      </c>
      <c r="U184" s="6" t="n">
        <v>169500</v>
      </c>
      <c r="V184" s="28" t="n">
        <v>169500</v>
      </c>
      <c r="W184" s="29" t="n">
        <v>0.12</v>
      </c>
      <c r="X184" s="6" t="n">
        <v>0.055</v>
      </c>
      <c r="Y184" s="29" t="n">
        <v>0.12</v>
      </c>
      <c r="Z184" s="30"/>
      <c r="AA184" s="29" t="n">
        <v>0.04</v>
      </c>
      <c r="AB184" s="31" t="n">
        <v>226282.5</v>
      </c>
      <c r="AE184" s="6" t="n">
        <v>226282.5</v>
      </c>
      <c r="AF184" s="6" t="s">
        <v>58</v>
      </c>
      <c r="AG184" s="6" t="n">
        <v>0</v>
      </c>
      <c r="AH184" s="30" t="s">
        <v>1165</v>
      </c>
      <c r="AI184" s="6" t="n">
        <v>0</v>
      </c>
      <c r="AJ184" s="6" t="s">
        <v>157</v>
      </c>
      <c r="AK184" s="6" t="s">
        <v>988</v>
      </c>
      <c r="AL184" s="6" t="s">
        <v>157</v>
      </c>
      <c r="AM184" s="6" t="n">
        <v>0</v>
      </c>
      <c r="AQ184" s="6" t="s">
        <v>423</v>
      </c>
      <c r="AR184" s="6" t="s">
        <v>57</v>
      </c>
      <c r="AY184" s="34"/>
    </row>
    <row r="185" customFormat="false" ht="15" hidden="false" customHeight="true" outlineLevel="0" collapsed="false">
      <c r="A185" s="27" t="n">
        <v>113562</v>
      </c>
      <c r="B185" s="6" t="s">
        <v>1399</v>
      </c>
      <c r="C185" s="27" t="n">
        <v>113562</v>
      </c>
      <c r="D185" s="6" t="s">
        <v>425</v>
      </c>
      <c r="E185" s="6" t="s">
        <v>1400</v>
      </c>
      <c r="F185" s="6" t="s">
        <v>1401</v>
      </c>
      <c r="G185" s="6" t="s">
        <v>1076</v>
      </c>
      <c r="H185" s="6" t="s">
        <v>28</v>
      </c>
      <c r="I185" s="6" t="s">
        <v>1318</v>
      </c>
      <c r="J185" s="6" t="s">
        <v>24</v>
      </c>
      <c r="K185" s="6" t="s">
        <v>426</v>
      </c>
      <c r="L185" s="6" t="s">
        <v>426</v>
      </c>
      <c r="N185" s="6" t="s">
        <v>109</v>
      </c>
      <c r="O185" s="6" t="s">
        <v>1347</v>
      </c>
      <c r="P185" s="6" t="n">
        <v>1</v>
      </c>
      <c r="R185" s="6" t="s">
        <v>1152</v>
      </c>
      <c r="U185" s="6" t="n">
        <v>160470</v>
      </c>
      <c r="V185" s="28" t="n">
        <v>147632.4</v>
      </c>
      <c r="W185" s="29" t="n">
        <v>0.15</v>
      </c>
      <c r="Y185" s="29" t="n">
        <v>0.05</v>
      </c>
      <c r="Z185" s="30" t="n">
        <v>2910</v>
      </c>
      <c r="AA185" s="29" t="n">
        <v>0.03</v>
      </c>
      <c r="AB185" s="31" t="n">
        <v>184497.852</v>
      </c>
      <c r="AE185" s="6" t="n">
        <v>184497.852</v>
      </c>
      <c r="AF185" s="6" t="s">
        <v>58</v>
      </c>
      <c r="AG185" s="6" t="n">
        <v>0</v>
      </c>
      <c r="AH185" s="30" t="s">
        <v>24</v>
      </c>
      <c r="AI185" s="6" t="n">
        <v>0</v>
      </c>
      <c r="AJ185" s="6" t="s">
        <v>426</v>
      </c>
      <c r="AK185" s="6" t="s">
        <v>988</v>
      </c>
      <c r="AL185" s="6" t="s">
        <v>426</v>
      </c>
      <c r="AM185" s="6" t="n">
        <v>0</v>
      </c>
      <c r="AQ185" s="6" t="s">
        <v>424</v>
      </c>
      <c r="AR185" s="6" t="s">
        <v>109</v>
      </c>
      <c r="AY185" s="34"/>
    </row>
    <row r="186" customFormat="false" ht="15" hidden="false" customHeight="true" outlineLevel="0" collapsed="false">
      <c r="A186" s="27" t="n">
        <v>113587</v>
      </c>
      <c r="B186" s="6" t="s">
        <v>1402</v>
      </c>
      <c r="C186" s="27" t="n">
        <v>113587</v>
      </c>
      <c r="D186" s="6" t="s">
        <v>425</v>
      </c>
      <c r="E186" s="6" t="s">
        <v>1400</v>
      </c>
      <c r="F186" s="6" t="s">
        <v>1401</v>
      </c>
      <c r="G186" s="6" t="s">
        <v>1076</v>
      </c>
      <c r="H186" s="6" t="s">
        <v>28</v>
      </c>
      <c r="I186" s="6" t="s">
        <v>1318</v>
      </c>
      <c r="J186" s="6" t="s">
        <v>24</v>
      </c>
      <c r="K186" s="6" t="s">
        <v>426</v>
      </c>
      <c r="L186" s="6" t="s">
        <v>426</v>
      </c>
      <c r="N186" s="6" t="s">
        <v>109</v>
      </c>
      <c r="O186" s="6" t="s">
        <v>1347</v>
      </c>
      <c r="P186" s="6" t="n">
        <v>1</v>
      </c>
      <c r="R186" s="6" t="s">
        <v>1152</v>
      </c>
      <c r="U186" s="6" t="n">
        <v>155550</v>
      </c>
      <c r="V186" s="28" t="n">
        <v>143106</v>
      </c>
      <c r="W186" s="29" t="n">
        <v>0.15</v>
      </c>
      <c r="Y186" s="29" t="n">
        <v>0.05</v>
      </c>
      <c r="Z186" s="30" t="n">
        <v>2910</v>
      </c>
      <c r="AA186" s="29" t="n">
        <v>0.03</v>
      </c>
      <c r="AB186" s="31" t="n">
        <v>178930.38</v>
      </c>
      <c r="AE186" s="6" t="n">
        <v>178930.38</v>
      </c>
      <c r="AF186" s="6" t="s">
        <v>58</v>
      </c>
      <c r="AG186" s="6" t="n">
        <v>0</v>
      </c>
      <c r="AH186" s="30" t="s">
        <v>24</v>
      </c>
      <c r="AI186" s="6" t="n">
        <v>0</v>
      </c>
      <c r="AJ186" s="6" t="s">
        <v>426</v>
      </c>
      <c r="AK186" s="6" t="s">
        <v>988</v>
      </c>
      <c r="AL186" s="6" t="s">
        <v>426</v>
      </c>
      <c r="AM186" s="6" t="n">
        <v>0</v>
      </c>
      <c r="AQ186" s="6" t="s">
        <v>427</v>
      </c>
      <c r="AR186" s="6" t="s">
        <v>109</v>
      </c>
      <c r="AY186" s="34"/>
    </row>
    <row r="187" customFormat="false" ht="15" hidden="false" customHeight="true" outlineLevel="0" collapsed="false">
      <c r="A187" s="27" t="s">
        <v>1138</v>
      </c>
      <c r="B187" s="6" t="s">
        <v>1063</v>
      </c>
      <c r="C187" s="27" t="s">
        <v>1138</v>
      </c>
      <c r="D187" s="6" t="s">
        <v>372</v>
      </c>
      <c r="E187" s="6" t="s">
        <v>1403</v>
      </c>
      <c r="F187" s="6" t="s">
        <v>464</v>
      </c>
      <c r="G187" s="6" t="s">
        <v>1076</v>
      </c>
      <c r="H187" s="6" t="s">
        <v>28</v>
      </c>
      <c r="I187" s="6" t="s">
        <v>1318</v>
      </c>
      <c r="J187" s="6" t="s">
        <v>24</v>
      </c>
      <c r="K187" s="6" t="s">
        <v>1367</v>
      </c>
      <c r="L187" s="6" t="s">
        <v>127</v>
      </c>
      <c r="N187" s="6" t="s">
        <v>1023</v>
      </c>
      <c r="O187" s="6" t="s">
        <v>1347</v>
      </c>
      <c r="P187" s="6" t="n">
        <v>1</v>
      </c>
      <c r="R187" s="6" t="s">
        <v>1143</v>
      </c>
      <c r="U187" s="6" t="n">
        <v>173550</v>
      </c>
      <c r="V187" s="28" t="n">
        <v>173550</v>
      </c>
      <c r="W187" s="29" t="n">
        <v>0.12</v>
      </c>
      <c r="X187" s="6" t="n">
        <v>0.055</v>
      </c>
      <c r="Y187" s="29" t="n">
        <v>0.12</v>
      </c>
      <c r="Z187" s="30"/>
      <c r="AA187" s="29" t="n">
        <v>0.04</v>
      </c>
      <c r="AB187" s="31" t="n">
        <v>231689.25</v>
      </c>
      <c r="AE187" s="6" t="n">
        <v>231689.25</v>
      </c>
      <c r="AF187" s="6" t="s">
        <v>1063</v>
      </c>
      <c r="AG187" s="6" t="n">
        <v>0</v>
      </c>
      <c r="AH187" s="30" t="s">
        <v>24</v>
      </c>
      <c r="AI187" s="6" t="n">
        <v>0</v>
      </c>
      <c r="AJ187" s="6" t="s">
        <v>127</v>
      </c>
      <c r="AK187" s="6" t="s">
        <v>988</v>
      </c>
      <c r="AL187" s="6" t="s">
        <v>127</v>
      </c>
      <c r="AM187" s="6" t="n">
        <v>0</v>
      </c>
      <c r="AQ187" s="6" t="s">
        <v>428</v>
      </c>
      <c r="AR187" s="6" t="s">
        <v>57</v>
      </c>
    </row>
    <row r="188" customFormat="false" ht="15" hidden="false" customHeight="true" outlineLevel="0" collapsed="false">
      <c r="A188" s="27" t="n">
        <v>113516</v>
      </c>
      <c r="B188" s="6" t="s">
        <v>1404</v>
      </c>
      <c r="C188" s="27" t="n">
        <v>113516</v>
      </c>
      <c r="D188" s="6" t="s">
        <v>430</v>
      </c>
      <c r="E188" s="6" t="s">
        <v>1277</v>
      </c>
      <c r="F188" s="6" t="s">
        <v>397</v>
      </c>
      <c r="G188" s="6" t="s">
        <v>1164</v>
      </c>
      <c r="H188" s="6" t="s">
        <v>160</v>
      </c>
      <c r="I188" s="6" t="s">
        <v>1405</v>
      </c>
      <c r="J188" s="6" t="s">
        <v>26</v>
      </c>
      <c r="K188" s="6" t="s">
        <v>26</v>
      </c>
      <c r="L188" s="6" t="s">
        <v>26</v>
      </c>
      <c r="N188" s="6" t="s">
        <v>109</v>
      </c>
      <c r="O188" s="6" t="s">
        <v>1347</v>
      </c>
      <c r="P188" s="6" t="n">
        <v>1</v>
      </c>
      <c r="R188" s="6" t="s">
        <v>1152</v>
      </c>
      <c r="U188" s="6" t="n">
        <v>165310</v>
      </c>
      <c r="V188" s="28" t="n">
        <v>152085.2</v>
      </c>
      <c r="W188" s="29" t="n">
        <v>0.15</v>
      </c>
      <c r="Y188" s="29" t="n">
        <v>0.05</v>
      </c>
      <c r="Z188" s="30" t="n">
        <v>2910</v>
      </c>
      <c r="AA188" s="29" t="n">
        <v>0.03</v>
      </c>
      <c r="AB188" s="31" t="n">
        <v>189974.796</v>
      </c>
      <c r="AE188" s="6" t="n">
        <v>189974.796</v>
      </c>
      <c r="AF188" s="6" t="s">
        <v>58</v>
      </c>
      <c r="AG188" s="6" t="n">
        <v>0</v>
      </c>
      <c r="AH188" s="30" t="s">
        <v>1169</v>
      </c>
      <c r="AI188" s="6" t="n">
        <v>0</v>
      </c>
      <c r="AJ188" s="6" t="s">
        <v>160</v>
      </c>
      <c r="AK188" s="6" t="s">
        <v>988</v>
      </c>
      <c r="AL188" s="6" t="s">
        <v>160</v>
      </c>
      <c r="AM188" s="6" t="n">
        <v>0</v>
      </c>
      <c r="AQ188" s="6" t="s">
        <v>429</v>
      </c>
      <c r="AR188" s="6" t="s">
        <v>109</v>
      </c>
      <c r="AY188" s="34"/>
    </row>
    <row r="189" customFormat="false" ht="15" hidden="false" customHeight="true" outlineLevel="0" collapsed="false">
      <c r="A189" s="27" t="n">
        <v>91635</v>
      </c>
      <c r="B189" s="6" t="s">
        <v>1406</v>
      </c>
      <c r="C189" s="27" t="n">
        <v>91635</v>
      </c>
      <c r="D189" s="6" t="s">
        <v>432</v>
      </c>
      <c r="E189" s="6" t="s">
        <v>1084</v>
      </c>
      <c r="F189" s="6" t="s">
        <v>1085</v>
      </c>
      <c r="G189" s="6" t="s">
        <v>1076</v>
      </c>
      <c r="H189" s="6" t="s">
        <v>1086</v>
      </c>
      <c r="I189" s="6" t="s">
        <v>1087</v>
      </c>
      <c r="J189" s="6" t="s">
        <v>30</v>
      </c>
      <c r="K189" s="6" t="s">
        <v>30</v>
      </c>
      <c r="L189" s="6" t="s">
        <v>1407</v>
      </c>
      <c r="N189" s="6" t="s">
        <v>1023</v>
      </c>
      <c r="O189" s="6" t="s">
        <v>1347</v>
      </c>
      <c r="P189" s="6" t="n">
        <v>1</v>
      </c>
      <c r="R189" s="6" t="s">
        <v>1152</v>
      </c>
      <c r="U189" s="6" t="n">
        <v>203672</v>
      </c>
      <c r="V189" s="28" t="n">
        <v>203672</v>
      </c>
      <c r="W189" s="29" t="n">
        <v>0.12</v>
      </c>
      <c r="X189" s="6" t="n">
        <v>0.055</v>
      </c>
      <c r="Y189" s="29" t="n">
        <v>0.12</v>
      </c>
      <c r="Z189" s="30"/>
      <c r="AA189" s="29" t="n">
        <v>0.04</v>
      </c>
      <c r="AB189" s="31" t="n">
        <v>271902.12</v>
      </c>
      <c r="AE189" s="6" t="n">
        <v>271902.12</v>
      </c>
      <c r="AF189" s="6" t="s">
        <v>58</v>
      </c>
      <c r="AG189" s="6" t="n">
        <v>0</v>
      </c>
      <c r="AH189" s="30" t="s">
        <v>1076</v>
      </c>
      <c r="AI189" s="6" t="n">
        <v>0</v>
      </c>
      <c r="AJ189" s="6" t="s">
        <v>1408</v>
      </c>
      <c r="AK189" s="6" t="s">
        <v>988</v>
      </c>
      <c r="AL189" s="6" t="s">
        <v>1408</v>
      </c>
      <c r="AM189" s="6" t="n">
        <v>0</v>
      </c>
      <c r="AQ189" s="6" t="s">
        <v>431</v>
      </c>
      <c r="AR189" s="6" t="s">
        <v>57</v>
      </c>
      <c r="AY189" s="34"/>
    </row>
    <row r="190" customFormat="false" ht="15" hidden="false" customHeight="true" outlineLevel="0" collapsed="false">
      <c r="A190" s="27" t="n">
        <v>115503</v>
      </c>
      <c r="B190" s="6" t="s">
        <v>1409</v>
      </c>
      <c r="C190" s="27" t="n">
        <v>115503</v>
      </c>
      <c r="D190" s="6" t="s">
        <v>389</v>
      </c>
      <c r="E190" s="6" t="s">
        <v>1084</v>
      </c>
      <c r="F190" s="6" t="s">
        <v>1085</v>
      </c>
      <c r="G190" s="6" t="s">
        <v>1076</v>
      </c>
      <c r="H190" s="6" t="s">
        <v>1086</v>
      </c>
      <c r="I190" s="6" t="s">
        <v>1087</v>
      </c>
      <c r="J190" s="6" t="s">
        <v>30</v>
      </c>
      <c r="K190" s="6" t="s">
        <v>30</v>
      </c>
      <c r="L190" s="6" t="s">
        <v>1407</v>
      </c>
      <c r="N190" s="6" t="s">
        <v>109</v>
      </c>
      <c r="O190" s="6" t="s">
        <v>1347</v>
      </c>
      <c r="P190" s="6" t="n">
        <v>1</v>
      </c>
      <c r="R190" s="6" t="s">
        <v>1152</v>
      </c>
      <c r="U190" s="6" t="n">
        <v>154830</v>
      </c>
      <c r="V190" s="28" t="n">
        <v>142443.6</v>
      </c>
      <c r="W190" s="29" t="n">
        <v>0.15</v>
      </c>
      <c r="Y190" s="29" t="n">
        <v>0.05</v>
      </c>
      <c r="Z190" s="30" t="n">
        <v>2910</v>
      </c>
      <c r="AA190" s="29" t="n">
        <v>0.03</v>
      </c>
      <c r="AB190" s="31" t="n">
        <v>178115.628</v>
      </c>
      <c r="AE190" s="6" t="n">
        <v>178115.628</v>
      </c>
      <c r="AF190" s="6" t="s">
        <v>58</v>
      </c>
      <c r="AG190" s="6" t="n">
        <v>0</v>
      </c>
      <c r="AH190" s="30" t="s">
        <v>1076</v>
      </c>
      <c r="AI190" s="6" t="n">
        <v>0</v>
      </c>
      <c r="AJ190" s="6" t="s">
        <v>1408</v>
      </c>
      <c r="AK190" s="6" t="s">
        <v>988</v>
      </c>
      <c r="AL190" s="6" t="s">
        <v>1408</v>
      </c>
      <c r="AM190" s="6" t="n">
        <v>0</v>
      </c>
      <c r="AQ190" s="6" t="s">
        <v>434</v>
      </c>
      <c r="AR190" s="6" t="s">
        <v>109</v>
      </c>
    </row>
    <row r="191" customFormat="false" ht="15" hidden="false" customHeight="true" outlineLevel="0" collapsed="false">
      <c r="A191" s="27" t="n">
        <v>113593</v>
      </c>
      <c r="B191" s="6" t="s">
        <v>1410</v>
      </c>
      <c r="C191" s="27" t="n">
        <v>113593</v>
      </c>
      <c r="D191" s="6" t="s">
        <v>113</v>
      </c>
      <c r="E191" s="6" t="s">
        <v>1084</v>
      </c>
      <c r="F191" s="6" t="s">
        <v>1085</v>
      </c>
      <c r="G191" s="6" t="s">
        <v>1076</v>
      </c>
      <c r="H191" s="6" t="s">
        <v>1086</v>
      </c>
      <c r="I191" s="6" t="s">
        <v>1087</v>
      </c>
      <c r="J191" s="6" t="s">
        <v>30</v>
      </c>
      <c r="K191" s="6" t="s">
        <v>30</v>
      </c>
      <c r="L191" s="6" t="s">
        <v>1407</v>
      </c>
      <c r="N191" s="6" t="s">
        <v>109</v>
      </c>
      <c r="O191" s="6" t="s">
        <v>1347</v>
      </c>
      <c r="P191" s="6" t="n">
        <v>1</v>
      </c>
      <c r="R191" s="6" t="s">
        <v>1152</v>
      </c>
      <c r="U191" s="6" t="n">
        <v>188510</v>
      </c>
      <c r="V191" s="28" t="n">
        <v>173429.2</v>
      </c>
      <c r="W191" s="29" t="n">
        <v>0.15</v>
      </c>
      <c r="Y191" s="29" t="n">
        <v>0.05</v>
      </c>
      <c r="Z191" s="30" t="n">
        <v>2910</v>
      </c>
      <c r="AA191" s="29" t="n">
        <v>0.03</v>
      </c>
      <c r="AB191" s="31" t="n">
        <v>216227.916</v>
      </c>
      <c r="AE191" s="6" t="n">
        <v>216227.916</v>
      </c>
      <c r="AF191" s="6" t="s">
        <v>58</v>
      </c>
      <c r="AG191" s="6" t="n">
        <v>0</v>
      </c>
      <c r="AH191" s="30" t="s">
        <v>1076</v>
      </c>
      <c r="AI191" s="6" t="n">
        <v>0</v>
      </c>
      <c r="AJ191" s="6" t="s">
        <v>1408</v>
      </c>
      <c r="AK191" s="6" t="s">
        <v>988</v>
      </c>
      <c r="AL191" s="6" t="s">
        <v>1408</v>
      </c>
      <c r="AM191" s="6" t="n">
        <v>0</v>
      </c>
      <c r="AQ191" s="6" t="s">
        <v>435</v>
      </c>
      <c r="AR191" s="6" t="s">
        <v>109</v>
      </c>
    </row>
    <row r="192" customFormat="false" ht="15" hidden="false" customHeight="true" outlineLevel="0" collapsed="false">
      <c r="A192" s="27" t="s">
        <v>1138</v>
      </c>
      <c r="B192" s="6" t="s">
        <v>1063</v>
      </c>
      <c r="C192" s="27" t="s">
        <v>1138</v>
      </c>
      <c r="D192" s="6" t="s">
        <v>437</v>
      </c>
      <c r="E192" s="6" t="s">
        <v>1084</v>
      </c>
      <c r="F192" s="6" t="s">
        <v>1085</v>
      </c>
      <c r="G192" s="6" t="s">
        <v>1076</v>
      </c>
      <c r="H192" s="6" t="s">
        <v>1086</v>
      </c>
      <c r="I192" s="6" t="s">
        <v>1087</v>
      </c>
      <c r="J192" s="6" t="s">
        <v>30</v>
      </c>
      <c r="K192" s="6" t="s">
        <v>30</v>
      </c>
      <c r="L192" s="6" t="s">
        <v>1407</v>
      </c>
      <c r="N192" s="6" t="s">
        <v>1023</v>
      </c>
      <c r="O192" s="6" t="s">
        <v>1347</v>
      </c>
      <c r="P192" s="6" t="n">
        <v>1</v>
      </c>
      <c r="R192" s="6" t="s">
        <v>1143</v>
      </c>
      <c r="U192" s="6" t="n">
        <v>173550</v>
      </c>
      <c r="V192" s="28" t="n">
        <v>173550</v>
      </c>
      <c r="W192" s="29" t="n">
        <v>0.12</v>
      </c>
      <c r="X192" s="6" t="n">
        <v>0.055</v>
      </c>
      <c r="Y192" s="29" t="n">
        <v>0.12</v>
      </c>
      <c r="Z192" s="30"/>
      <c r="AA192" s="29" t="n">
        <v>0.04</v>
      </c>
      <c r="AB192" s="31" t="n">
        <v>231689.25</v>
      </c>
      <c r="AE192" s="6" t="n">
        <v>231689.25</v>
      </c>
      <c r="AF192" s="6" t="s">
        <v>1063</v>
      </c>
      <c r="AG192" s="6" t="n">
        <v>0</v>
      </c>
      <c r="AH192" s="30" t="s">
        <v>1076</v>
      </c>
      <c r="AI192" s="6" t="n">
        <v>0</v>
      </c>
      <c r="AJ192" s="6" t="s">
        <v>1408</v>
      </c>
      <c r="AK192" s="6" t="s">
        <v>988</v>
      </c>
      <c r="AL192" s="6" t="s">
        <v>1408</v>
      </c>
      <c r="AM192" s="6" t="n">
        <v>0</v>
      </c>
      <c r="AQ192" s="6" t="s">
        <v>436</v>
      </c>
      <c r="AR192" s="6" t="s">
        <v>57</v>
      </c>
    </row>
    <row r="193" customFormat="false" ht="15" hidden="false" customHeight="true" outlineLevel="0" collapsed="false">
      <c r="A193" s="27" t="n">
        <v>95018</v>
      </c>
      <c r="B193" s="6" t="s">
        <v>1411</v>
      </c>
      <c r="C193" s="27" t="n">
        <v>95018</v>
      </c>
      <c r="D193" s="6" t="s">
        <v>439</v>
      </c>
      <c r="E193" s="6" t="s">
        <v>1285</v>
      </c>
      <c r="F193" s="6" t="s">
        <v>1286</v>
      </c>
      <c r="G193" s="6" t="s">
        <v>1076</v>
      </c>
      <c r="H193" s="6" t="s">
        <v>1086</v>
      </c>
      <c r="I193" s="6" t="s">
        <v>1412</v>
      </c>
      <c r="J193" s="6" t="s">
        <v>30</v>
      </c>
      <c r="K193" s="6" t="s">
        <v>30</v>
      </c>
      <c r="L193" s="6" t="s">
        <v>1412</v>
      </c>
      <c r="N193" s="6" t="s">
        <v>1023</v>
      </c>
      <c r="O193" s="6" t="s">
        <v>1347</v>
      </c>
      <c r="P193" s="6" t="n">
        <v>1</v>
      </c>
      <c r="R193" s="6" t="s">
        <v>1152</v>
      </c>
      <c r="U193" s="6" t="n">
        <v>165450</v>
      </c>
      <c r="V193" s="28" t="n">
        <v>165450</v>
      </c>
      <c r="W193" s="29" t="n">
        <v>0.12</v>
      </c>
      <c r="X193" s="6" t="n">
        <v>0.055</v>
      </c>
      <c r="Y193" s="29" t="n">
        <v>0.12</v>
      </c>
      <c r="Z193" s="30"/>
      <c r="AA193" s="29" t="n">
        <v>0.04</v>
      </c>
      <c r="AB193" s="31" t="n">
        <v>220875.75</v>
      </c>
      <c r="AE193" s="6" t="n">
        <v>220875.75</v>
      </c>
      <c r="AF193" s="6" t="s">
        <v>58</v>
      </c>
      <c r="AG193" s="6" t="n">
        <v>0</v>
      </c>
      <c r="AH193" s="30" t="s">
        <v>1076</v>
      </c>
      <c r="AI193" s="6" t="n">
        <v>0</v>
      </c>
      <c r="AJ193" s="6" t="s">
        <v>1412</v>
      </c>
      <c r="AK193" s="6" t="s">
        <v>988</v>
      </c>
      <c r="AL193" s="6" t="s">
        <v>1412</v>
      </c>
      <c r="AM193" s="6" t="n">
        <v>0</v>
      </c>
      <c r="AQ193" s="6" t="s">
        <v>438</v>
      </c>
      <c r="AR193" s="6" t="s">
        <v>57</v>
      </c>
    </row>
    <row r="194" customFormat="false" ht="15" hidden="false" customHeight="true" outlineLevel="0" collapsed="false">
      <c r="A194" s="27" t="n">
        <v>105531</v>
      </c>
      <c r="B194" s="6" t="s">
        <v>1413</v>
      </c>
      <c r="C194" s="27" t="n">
        <v>105531</v>
      </c>
      <c r="D194" s="6" t="s">
        <v>55</v>
      </c>
      <c r="E194" s="6" t="s">
        <v>1237</v>
      </c>
      <c r="F194" s="6" t="s">
        <v>1414</v>
      </c>
      <c r="G194" s="6" t="s">
        <v>1058</v>
      </c>
      <c r="H194" s="6" t="s">
        <v>1059</v>
      </c>
      <c r="I194" s="6" t="s">
        <v>1238</v>
      </c>
      <c r="J194" s="6" t="s">
        <v>25</v>
      </c>
      <c r="K194" s="6" t="s">
        <v>1243</v>
      </c>
      <c r="L194" s="6" t="s">
        <v>1394</v>
      </c>
      <c r="N194" s="6" t="s">
        <v>1023</v>
      </c>
      <c r="O194" s="6" t="s">
        <v>1347</v>
      </c>
      <c r="P194" s="6" t="n">
        <v>1</v>
      </c>
      <c r="R194" s="6" t="s">
        <v>1152</v>
      </c>
      <c r="U194" s="6" t="n">
        <v>192870</v>
      </c>
      <c r="V194" s="28" t="n">
        <v>192870</v>
      </c>
      <c r="W194" s="29" t="n">
        <v>0.12</v>
      </c>
      <c r="X194" s="6" t="n">
        <v>0.055</v>
      </c>
      <c r="Y194" s="29" t="n">
        <v>0.12</v>
      </c>
      <c r="Z194" s="30"/>
      <c r="AA194" s="29" t="n">
        <v>0.04</v>
      </c>
      <c r="AB194" s="31" t="n">
        <v>257481.45</v>
      </c>
      <c r="AE194" s="6" t="n">
        <v>257481.45</v>
      </c>
      <c r="AF194" s="6" t="s">
        <v>58</v>
      </c>
      <c r="AG194" s="6" t="n">
        <v>0</v>
      </c>
      <c r="AH194" s="30" t="s">
        <v>25</v>
      </c>
      <c r="AI194" s="6" t="n">
        <v>0</v>
      </c>
      <c r="AJ194" s="6" t="s">
        <v>1394</v>
      </c>
      <c r="AK194" s="6" t="s">
        <v>988</v>
      </c>
      <c r="AL194" s="6" t="s">
        <v>1394</v>
      </c>
      <c r="AM194" s="6" t="n">
        <v>0</v>
      </c>
      <c r="AQ194" s="6" t="s">
        <v>441</v>
      </c>
      <c r="AR194" s="6" t="s">
        <v>57</v>
      </c>
    </row>
    <row r="195" customFormat="false" ht="15" hidden="false" customHeight="true" outlineLevel="0" collapsed="false">
      <c r="A195" s="27" t="n">
        <v>110044</v>
      </c>
      <c r="B195" s="6" t="s">
        <v>1415</v>
      </c>
      <c r="C195" s="27" t="n">
        <v>110044</v>
      </c>
      <c r="D195" s="6" t="s">
        <v>55</v>
      </c>
      <c r="E195" s="6" t="s">
        <v>1237</v>
      </c>
      <c r="F195" s="6" t="s">
        <v>1414</v>
      </c>
      <c r="G195" s="6" t="s">
        <v>1058</v>
      </c>
      <c r="H195" s="6" t="s">
        <v>1059</v>
      </c>
      <c r="I195" s="6" t="s">
        <v>1238</v>
      </c>
      <c r="J195" s="6" t="s">
        <v>443</v>
      </c>
      <c r="K195" s="6" t="s">
        <v>1313</v>
      </c>
      <c r="L195" s="6" t="s">
        <v>1314</v>
      </c>
      <c r="N195" s="6" t="s">
        <v>1023</v>
      </c>
      <c r="O195" s="6" t="s">
        <v>1347</v>
      </c>
      <c r="P195" s="6" t="n">
        <v>1</v>
      </c>
      <c r="R195" s="6" t="s">
        <v>1152</v>
      </c>
      <c r="U195" s="6" t="n">
        <v>189620</v>
      </c>
      <c r="V195" s="28" t="n">
        <v>189620</v>
      </c>
      <c r="W195" s="29" t="n">
        <v>0.12</v>
      </c>
      <c r="X195" s="6" t="n">
        <v>0.055</v>
      </c>
      <c r="Y195" s="29" t="n">
        <v>0.12</v>
      </c>
      <c r="Z195" s="30"/>
      <c r="AA195" s="29" t="n">
        <v>0.04</v>
      </c>
      <c r="AB195" s="31" t="n">
        <v>253142.7</v>
      </c>
      <c r="AE195" s="6" t="n">
        <v>253142.7</v>
      </c>
      <c r="AF195" s="6" t="s">
        <v>58</v>
      </c>
      <c r="AG195" s="6" t="n">
        <v>0</v>
      </c>
      <c r="AH195" s="30" t="s">
        <v>1133</v>
      </c>
      <c r="AI195" s="6" t="n">
        <v>0</v>
      </c>
      <c r="AJ195" s="6" t="s">
        <v>313</v>
      </c>
      <c r="AK195" s="6" t="s">
        <v>988</v>
      </c>
      <c r="AL195" s="6" t="s">
        <v>313</v>
      </c>
      <c r="AM195" s="6" t="n">
        <v>0</v>
      </c>
      <c r="AQ195" s="6" t="s">
        <v>442</v>
      </c>
      <c r="AR195" s="6" t="s">
        <v>57</v>
      </c>
    </row>
    <row r="196" customFormat="false" ht="15" hidden="false" customHeight="true" outlineLevel="0" collapsed="false">
      <c r="A196" s="27" t="n">
        <v>105488</v>
      </c>
      <c r="B196" s="6" t="s">
        <v>1416</v>
      </c>
      <c r="C196" s="27" t="n">
        <v>105488</v>
      </c>
      <c r="D196" s="6" t="s">
        <v>55</v>
      </c>
      <c r="E196" s="6" t="s">
        <v>1237</v>
      </c>
      <c r="F196" s="6" t="s">
        <v>1414</v>
      </c>
      <c r="G196" s="6" t="s">
        <v>1058</v>
      </c>
      <c r="H196" s="6" t="s">
        <v>1059</v>
      </c>
      <c r="I196" s="6" t="s">
        <v>1238</v>
      </c>
      <c r="J196" s="6" t="s">
        <v>25</v>
      </c>
      <c r="K196" s="6" t="s">
        <v>1234</v>
      </c>
      <c r="L196" s="6" t="s">
        <v>227</v>
      </c>
      <c r="N196" s="6" t="s">
        <v>1023</v>
      </c>
      <c r="O196" s="6" t="s">
        <v>1347</v>
      </c>
      <c r="P196" s="6" t="n">
        <v>1</v>
      </c>
      <c r="R196" s="6" t="s">
        <v>1152</v>
      </c>
      <c r="U196" s="6" t="n">
        <v>192110</v>
      </c>
      <c r="V196" s="28" t="n">
        <v>192110</v>
      </c>
      <c r="W196" s="29" t="n">
        <v>0.12</v>
      </c>
      <c r="X196" s="6" t="n">
        <v>0.055</v>
      </c>
      <c r="Y196" s="29" t="n">
        <v>0.12</v>
      </c>
      <c r="Z196" s="30"/>
      <c r="AA196" s="29" t="n">
        <v>0.04</v>
      </c>
      <c r="AB196" s="31" t="n">
        <v>256466.85</v>
      </c>
      <c r="AE196" s="6" t="n">
        <v>256466.85</v>
      </c>
      <c r="AF196" s="6" t="s">
        <v>58</v>
      </c>
      <c r="AG196" s="6" t="n">
        <v>0</v>
      </c>
      <c r="AH196" s="30" t="s">
        <v>25</v>
      </c>
      <c r="AI196" s="6" t="n">
        <v>0</v>
      </c>
      <c r="AJ196" s="6" t="s">
        <v>227</v>
      </c>
      <c r="AK196" s="6" t="s">
        <v>988</v>
      </c>
      <c r="AL196" s="6" t="s">
        <v>227</v>
      </c>
      <c r="AM196" s="6" t="n">
        <v>0</v>
      </c>
      <c r="AQ196" s="6" t="s">
        <v>444</v>
      </c>
      <c r="AR196" s="6" t="s">
        <v>57</v>
      </c>
    </row>
    <row r="197" customFormat="false" ht="15" hidden="false" customHeight="true" outlineLevel="0" collapsed="false">
      <c r="A197" s="27" t="n">
        <v>6307</v>
      </c>
      <c r="B197" s="6" t="s">
        <v>1417</v>
      </c>
      <c r="C197" s="27" t="n">
        <v>6307</v>
      </c>
      <c r="D197" s="6" t="s">
        <v>1418</v>
      </c>
      <c r="E197" s="6" t="s">
        <v>1166</v>
      </c>
      <c r="F197" s="6" t="s">
        <v>1195</v>
      </c>
      <c r="G197" s="6" t="s">
        <v>1164</v>
      </c>
      <c r="H197" s="6" t="s">
        <v>160</v>
      </c>
      <c r="I197" s="6" t="s">
        <v>26</v>
      </c>
      <c r="J197" s="6" t="s">
        <v>26</v>
      </c>
      <c r="K197" s="6" t="s">
        <v>26</v>
      </c>
      <c r="L197" s="6" t="s">
        <v>26</v>
      </c>
      <c r="N197" s="6" t="s">
        <v>1023</v>
      </c>
      <c r="O197" s="6" t="s">
        <v>1347</v>
      </c>
      <c r="P197" s="6" t="n">
        <v>1</v>
      </c>
      <c r="R197" s="6" t="s">
        <v>1152</v>
      </c>
      <c r="U197" s="6" t="n">
        <v>205950</v>
      </c>
      <c r="V197" s="28" t="n">
        <v>205950</v>
      </c>
      <c r="W197" s="29" t="n">
        <v>0.12</v>
      </c>
      <c r="X197" s="6" t="n">
        <v>0.055</v>
      </c>
      <c r="Y197" s="29" t="n">
        <v>0.12</v>
      </c>
      <c r="Z197" s="30"/>
      <c r="AA197" s="29" t="n">
        <v>0.04</v>
      </c>
      <c r="AB197" s="31" t="n">
        <v>274943.25</v>
      </c>
      <c r="AE197" s="6" t="n">
        <v>274943.25</v>
      </c>
      <c r="AF197" s="6" t="s">
        <v>58</v>
      </c>
      <c r="AG197" s="6" t="n">
        <v>0</v>
      </c>
      <c r="AH197" s="30" t="s">
        <v>1169</v>
      </c>
      <c r="AI197" s="6" t="n">
        <v>0</v>
      </c>
      <c r="AJ197" s="6" t="s">
        <v>160</v>
      </c>
      <c r="AK197" s="6" t="s">
        <v>988</v>
      </c>
      <c r="AL197" s="6" t="s">
        <v>160</v>
      </c>
      <c r="AM197" s="6" t="n">
        <v>0</v>
      </c>
      <c r="AQ197" s="6" t="s">
        <v>445</v>
      </c>
      <c r="AR197" s="6" t="s">
        <v>57</v>
      </c>
    </row>
    <row r="198" customFormat="false" ht="15" hidden="false" customHeight="true" outlineLevel="0" collapsed="false">
      <c r="A198" s="27" t="n">
        <v>84274</v>
      </c>
      <c r="B198" s="6" t="s">
        <v>1419</v>
      </c>
      <c r="C198" s="27" t="n">
        <v>84274</v>
      </c>
      <c r="D198" s="6" t="s">
        <v>1420</v>
      </c>
      <c r="E198" s="6" t="s">
        <v>1166</v>
      </c>
      <c r="F198" s="6" t="s">
        <v>1249</v>
      </c>
      <c r="G198" s="6" t="s">
        <v>1164</v>
      </c>
      <c r="H198" s="6" t="s">
        <v>160</v>
      </c>
      <c r="I198" s="6" t="s">
        <v>26</v>
      </c>
      <c r="J198" s="6" t="s">
        <v>26</v>
      </c>
      <c r="K198" s="6" t="s">
        <v>26</v>
      </c>
      <c r="L198" s="6" t="s">
        <v>26</v>
      </c>
      <c r="N198" s="6" t="s">
        <v>1023</v>
      </c>
      <c r="O198" s="6" t="s">
        <v>1347</v>
      </c>
      <c r="P198" s="6" t="n">
        <v>1</v>
      </c>
      <c r="R198" s="6" t="s">
        <v>1152</v>
      </c>
      <c r="U198" s="6" t="n">
        <v>182250</v>
      </c>
      <c r="V198" s="28" t="n">
        <v>182250</v>
      </c>
      <c r="W198" s="29" t="n">
        <v>0.12</v>
      </c>
      <c r="X198" s="6" t="n">
        <v>0.055</v>
      </c>
      <c r="Y198" s="29" t="n">
        <v>0.12</v>
      </c>
      <c r="Z198" s="30"/>
      <c r="AA198" s="29" t="n">
        <v>0.04</v>
      </c>
      <c r="AB198" s="31" t="n">
        <v>243303.75</v>
      </c>
      <c r="AE198" s="6" t="n">
        <v>243303.75</v>
      </c>
      <c r="AF198" s="6" t="s">
        <v>58</v>
      </c>
      <c r="AG198" s="6" t="n">
        <v>0</v>
      </c>
      <c r="AH198" s="30" t="s">
        <v>1169</v>
      </c>
      <c r="AI198" s="6" t="n">
        <v>0</v>
      </c>
      <c r="AJ198" s="6" t="s">
        <v>160</v>
      </c>
      <c r="AK198" s="6" t="s">
        <v>988</v>
      </c>
      <c r="AL198" s="6" t="s">
        <v>160</v>
      </c>
      <c r="AM198" s="6" t="n">
        <v>0</v>
      </c>
      <c r="AQ198" s="6" t="s">
        <v>447</v>
      </c>
      <c r="AR198" s="6" t="s">
        <v>57</v>
      </c>
    </row>
    <row r="199" customFormat="false" ht="15" hidden="false" customHeight="true" outlineLevel="0" collapsed="false">
      <c r="A199" s="27" t="n">
        <v>100330</v>
      </c>
      <c r="B199" s="6" t="s">
        <v>1421</v>
      </c>
      <c r="C199" s="27" t="n">
        <v>100330</v>
      </c>
      <c r="D199" s="6" t="s">
        <v>450</v>
      </c>
      <c r="E199" s="6" t="s">
        <v>1175</v>
      </c>
      <c r="F199" s="6" t="s">
        <v>1207</v>
      </c>
      <c r="G199" s="6" t="s">
        <v>1173</v>
      </c>
      <c r="H199" s="6" t="s">
        <v>168</v>
      </c>
      <c r="I199" s="6" t="s">
        <v>1177</v>
      </c>
      <c r="L199" s="6" t="s">
        <v>1259</v>
      </c>
      <c r="N199" s="6" t="s">
        <v>1023</v>
      </c>
      <c r="O199" s="6" t="s">
        <v>1347</v>
      </c>
      <c r="P199" s="6" t="n">
        <v>1</v>
      </c>
      <c r="R199" s="6" t="s">
        <v>1152</v>
      </c>
      <c r="U199" s="6" t="n">
        <v>198940</v>
      </c>
      <c r="V199" s="28" t="n">
        <v>198940</v>
      </c>
      <c r="W199" s="29" t="n">
        <v>0.12</v>
      </c>
      <c r="X199" s="6" t="n">
        <v>0.055</v>
      </c>
      <c r="Y199" s="29" t="n">
        <v>0.12</v>
      </c>
      <c r="Z199" s="30"/>
      <c r="AA199" s="29" t="n">
        <v>0.04</v>
      </c>
      <c r="AB199" s="31" t="n">
        <v>265584.9</v>
      </c>
      <c r="AE199" s="6" t="n">
        <v>265584.9</v>
      </c>
      <c r="AF199" s="6" t="s">
        <v>58</v>
      </c>
      <c r="AG199" s="6" t="n">
        <v>0</v>
      </c>
      <c r="AH199" s="30" t="s">
        <v>1178</v>
      </c>
      <c r="AI199" s="6" t="n">
        <v>0</v>
      </c>
      <c r="AJ199" s="6" t="s">
        <v>253</v>
      </c>
      <c r="AK199" s="6" t="s">
        <v>988</v>
      </c>
      <c r="AL199" s="6" t="s">
        <v>253</v>
      </c>
      <c r="AM199" s="6" t="n">
        <v>0</v>
      </c>
      <c r="AO199" s="6" t="s">
        <v>1422</v>
      </c>
      <c r="AQ199" s="6" t="s">
        <v>449</v>
      </c>
      <c r="AR199" s="6" t="s">
        <v>57</v>
      </c>
    </row>
    <row r="200" customFormat="false" ht="15" hidden="false" customHeight="true" outlineLevel="0" collapsed="false">
      <c r="A200" s="27" t="n">
        <v>99522</v>
      </c>
      <c r="B200" s="6" t="s">
        <v>1423</v>
      </c>
      <c r="C200" s="27" t="n">
        <v>99522</v>
      </c>
      <c r="D200" s="6" t="s">
        <v>452</v>
      </c>
      <c r="E200" s="6" t="s">
        <v>1175</v>
      </c>
      <c r="F200" s="6" t="s">
        <v>1207</v>
      </c>
      <c r="G200" s="6" t="s">
        <v>1173</v>
      </c>
      <c r="H200" s="6" t="s">
        <v>168</v>
      </c>
      <c r="I200" s="6" t="s">
        <v>1177</v>
      </c>
      <c r="N200" s="6" t="s">
        <v>1023</v>
      </c>
      <c r="O200" s="6" t="s">
        <v>1347</v>
      </c>
      <c r="P200" s="6" t="n">
        <v>1</v>
      </c>
      <c r="R200" s="6" t="s">
        <v>1152</v>
      </c>
      <c r="U200" s="6" t="n">
        <v>169280</v>
      </c>
      <c r="V200" s="28" t="n">
        <v>169280</v>
      </c>
      <c r="W200" s="29" t="n">
        <v>0.12</v>
      </c>
      <c r="X200" s="6" t="n">
        <v>0.055</v>
      </c>
      <c r="Y200" s="29" t="n">
        <v>0.12</v>
      </c>
      <c r="Z200" s="30"/>
      <c r="AA200" s="29" t="n">
        <v>0.04</v>
      </c>
      <c r="AB200" s="31" t="n">
        <v>225988.8</v>
      </c>
      <c r="AE200" s="6" t="n">
        <v>225988.8</v>
      </c>
      <c r="AF200" s="6" t="s">
        <v>58</v>
      </c>
      <c r="AG200" s="6" t="n">
        <v>0</v>
      </c>
      <c r="AH200" s="30" t="s">
        <v>1178</v>
      </c>
      <c r="AI200" s="6" t="n">
        <v>0</v>
      </c>
      <c r="AJ200" s="6" t="s">
        <v>168</v>
      </c>
      <c r="AK200" s="6" t="s">
        <v>988</v>
      </c>
      <c r="AL200" s="6" t="s">
        <v>168</v>
      </c>
      <c r="AM200" s="6" t="n">
        <v>0</v>
      </c>
      <c r="AQ200" s="6" t="s">
        <v>451</v>
      </c>
      <c r="AR200" s="6" t="s">
        <v>57</v>
      </c>
    </row>
    <row r="201" customFormat="false" ht="15" hidden="false" customHeight="true" outlineLevel="0" collapsed="false">
      <c r="A201" s="27" t="n">
        <v>113580</v>
      </c>
      <c r="B201" s="6" t="s">
        <v>1424</v>
      </c>
      <c r="C201" s="27" t="n">
        <v>113580</v>
      </c>
      <c r="D201" s="6" t="s">
        <v>454</v>
      </c>
      <c r="E201" s="6" t="s">
        <v>1287</v>
      </c>
      <c r="F201" s="6" t="s">
        <v>1288</v>
      </c>
      <c r="G201" s="6" t="s">
        <v>1076</v>
      </c>
      <c r="H201" s="6" t="s">
        <v>1290</v>
      </c>
      <c r="I201" s="6" t="s">
        <v>455</v>
      </c>
      <c r="J201" s="6" t="s">
        <v>30</v>
      </c>
      <c r="K201" s="6" t="s">
        <v>30</v>
      </c>
      <c r="L201" s="6" t="s">
        <v>455</v>
      </c>
      <c r="N201" s="6" t="s">
        <v>109</v>
      </c>
      <c r="O201" s="6" t="s">
        <v>1347</v>
      </c>
      <c r="P201" s="6" t="n">
        <v>1</v>
      </c>
      <c r="R201" s="6" t="s">
        <v>1152</v>
      </c>
      <c r="U201" s="6" t="n">
        <v>159200</v>
      </c>
      <c r="V201" s="28" t="n">
        <v>146464</v>
      </c>
      <c r="W201" s="29" t="n">
        <v>0.15</v>
      </c>
      <c r="Y201" s="29" t="n">
        <v>0.05</v>
      </c>
      <c r="Z201" s="30" t="n">
        <v>2910</v>
      </c>
      <c r="AA201" s="29" t="n">
        <v>0.03</v>
      </c>
      <c r="AB201" s="31" t="n">
        <v>183060.72</v>
      </c>
      <c r="AE201" s="6" t="n">
        <v>183060.72</v>
      </c>
      <c r="AF201" s="6" t="s">
        <v>58</v>
      </c>
      <c r="AG201" s="6" t="n">
        <v>0</v>
      </c>
      <c r="AH201" s="30" t="s">
        <v>1076</v>
      </c>
      <c r="AI201" s="6" t="n">
        <v>0</v>
      </c>
      <c r="AJ201" s="6" t="s">
        <v>455</v>
      </c>
      <c r="AK201" s="6" t="s">
        <v>988</v>
      </c>
      <c r="AL201" s="6" t="s">
        <v>455</v>
      </c>
      <c r="AM201" s="6" t="n">
        <v>0</v>
      </c>
      <c r="AQ201" s="6" t="s">
        <v>453</v>
      </c>
      <c r="AR201" s="6" t="s">
        <v>109</v>
      </c>
    </row>
    <row r="202" customFormat="false" ht="15" hidden="false" customHeight="true" outlineLevel="0" collapsed="false">
      <c r="A202" s="27" t="n">
        <v>117818</v>
      </c>
      <c r="B202" s="6" t="s">
        <v>1425</v>
      </c>
      <c r="C202" s="27" t="n">
        <v>117818</v>
      </c>
      <c r="D202" s="6" t="s">
        <v>457</v>
      </c>
      <c r="E202" s="6" t="s">
        <v>1287</v>
      </c>
      <c r="F202" s="6" t="s">
        <v>1288</v>
      </c>
      <c r="G202" s="6" t="s">
        <v>1076</v>
      </c>
      <c r="H202" s="6" t="s">
        <v>1290</v>
      </c>
      <c r="I202" s="6" t="s">
        <v>1426</v>
      </c>
      <c r="J202" s="6" t="s">
        <v>21</v>
      </c>
      <c r="K202" s="6" t="s">
        <v>21</v>
      </c>
      <c r="L202" s="6" t="s">
        <v>98</v>
      </c>
      <c r="N202" s="6" t="s">
        <v>109</v>
      </c>
      <c r="O202" s="6" t="s">
        <v>1347</v>
      </c>
      <c r="P202" s="6" t="n">
        <v>1</v>
      </c>
      <c r="R202" s="6" t="s">
        <v>1152</v>
      </c>
      <c r="U202" s="6" t="n">
        <v>173600</v>
      </c>
      <c r="V202" s="28" t="n">
        <v>159712</v>
      </c>
      <c r="W202" s="29" t="n">
        <v>0.15</v>
      </c>
      <c r="Y202" s="29" t="n">
        <v>0.05</v>
      </c>
      <c r="Z202" s="30" t="n">
        <v>2910</v>
      </c>
      <c r="AA202" s="29" t="n">
        <v>0.03</v>
      </c>
      <c r="AB202" s="31" t="n">
        <v>199355.76</v>
      </c>
      <c r="AE202" s="6" t="n">
        <v>199355.76</v>
      </c>
      <c r="AF202" s="6" t="s">
        <v>58</v>
      </c>
      <c r="AG202" s="6" t="n">
        <v>0</v>
      </c>
      <c r="AH202" s="30" t="s">
        <v>1076</v>
      </c>
      <c r="AI202" s="6" t="n">
        <v>0</v>
      </c>
      <c r="AJ202" s="6" t="s">
        <v>98</v>
      </c>
      <c r="AK202" s="6" t="s">
        <v>988</v>
      </c>
      <c r="AL202" s="6" t="s">
        <v>98</v>
      </c>
      <c r="AM202" s="6" t="n">
        <v>1</v>
      </c>
      <c r="AQ202" s="6" t="s">
        <v>456</v>
      </c>
      <c r="AR202" s="6" t="s">
        <v>109</v>
      </c>
    </row>
    <row r="203" customFormat="false" ht="15" hidden="false" customHeight="true" outlineLevel="0" collapsed="false">
      <c r="A203" s="27" t="n">
        <v>115802</v>
      </c>
      <c r="B203" s="6" t="s">
        <v>1427</v>
      </c>
      <c r="C203" s="27" t="n">
        <v>115802</v>
      </c>
      <c r="D203" s="6" t="s">
        <v>459</v>
      </c>
      <c r="E203" s="6" t="s">
        <v>1287</v>
      </c>
      <c r="F203" s="6" t="s">
        <v>1288</v>
      </c>
      <c r="G203" s="6" t="s">
        <v>1076</v>
      </c>
      <c r="H203" s="6" t="s">
        <v>1290</v>
      </c>
      <c r="I203" s="6" t="s">
        <v>455</v>
      </c>
      <c r="J203" s="6" t="s">
        <v>30</v>
      </c>
      <c r="K203" s="6" t="s">
        <v>30</v>
      </c>
      <c r="L203" s="6" t="s">
        <v>455</v>
      </c>
      <c r="N203" s="6" t="s">
        <v>109</v>
      </c>
      <c r="O203" s="6" t="s">
        <v>1347</v>
      </c>
      <c r="P203" s="6" t="n">
        <v>1</v>
      </c>
      <c r="R203" s="6" t="s">
        <v>1152</v>
      </c>
      <c r="U203" s="6" t="n">
        <v>175000</v>
      </c>
      <c r="V203" s="28" t="n">
        <v>161000</v>
      </c>
      <c r="W203" s="29" t="n">
        <v>0.15</v>
      </c>
      <c r="Y203" s="29" t="n">
        <v>0.05</v>
      </c>
      <c r="Z203" s="30" t="n">
        <v>2910</v>
      </c>
      <c r="AA203" s="29" t="n">
        <v>0.03</v>
      </c>
      <c r="AB203" s="31" t="n">
        <v>200940</v>
      </c>
      <c r="AE203" s="6" t="n">
        <v>200940</v>
      </c>
      <c r="AF203" s="6" t="s">
        <v>58</v>
      </c>
      <c r="AG203" s="6" t="n">
        <v>0</v>
      </c>
      <c r="AH203" s="30" t="s">
        <v>1076</v>
      </c>
      <c r="AI203" s="6" t="n">
        <v>0</v>
      </c>
      <c r="AJ203" s="6" t="s">
        <v>455</v>
      </c>
      <c r="AK203" s="6" t="s">
        <v>988</v>
      </c>
      <c r="AL203" s="6" t="s">
        <v>455</v>
      </c>
      <c r="AM203" s="6" t="n">
        <v>0</v>
      </c>
      <c r="AQ203" s="6" t="s">
        <v>458</v>
      </c>
      <c r="AR203" s="6" t="s">
        <v>109</v>
      </c>
    </row>
    <row r="204" customFormat="false" ht="15" hidden="false" customHeight="true" outlineLevel="0" collapsed="false">
      <c r="A204" s="27" t="s">
        <v>1138</v>
      </c>
      <c r="B204" s="6" t="s">
        <v>1063</v>
      </c>
      <c r="C204" s="27" t="s">
        <v>1138</v>
      </c>
      <c r="D204" s="6" t="s">
        <v>461</v>
      </c>
      <c r="E204" s="6" t="s">
        <v>1287</v>
      </c>
      <c r="F204" s="6" t="s">
        <v>1288</v>
      </c>
      <c r="G204" s="6" t="s">
        <v>1076</v>
      </c>
      <c r="H204" s="6" t="s">
        <v>1290</v>
      </c>
      <c r="I204" s="6" t="s">
        <v>455</v>
      </c>
      <c r="J204" s="6" t="s">
        <v>30</v>
      </c>
      <c r="K204" s="6" t="s">
        <v>30</v>
      </c>
      <c r="L204" s="6" t="s">
        <v>455</v>
      </c>
      <c r="N204" s="6" t="s">
        <v>1023</v>
      </c>
      <c r="O204" s="6" t="s">
        <v>1347</v>
      </c>
      <c r="P204" s="6" t="n">
        <v>1</v>
      </c>
      <c r="R204" s="6" t="s">
        <v>1143</v>
      </c>
      <c r="U204" s="6" t="n">
        <v>173550</v>
      </c>
      <c r="V204" s="28" t="n">
        <v>173550</v>
      </c>
      <c r="W204" s="29" t="n">
        <v>0.12</v>
      </c>
      <c r="X204" s="6" t="n">
        <v>0.055</v>
      </c>
      <c r="Y204" s="29" t="n">
        <v>0.12</v>
      </c>
      <c r="Z204" s="30"/>
      <c r="AA204" s="29" t="n">
        <v>0.04</v>
      </c>
      <c r="AB204" s="31" t="n">
        <v>231689.25</v>
      </c>
      <c r="AE204" s="6" t="n">
        <v>231689.25</v>
      </c>
      <c r="AF204" s="6" t="s">
        <v>1063</v>
      </c>
      <c r="AG204" s="6" t="n">
        <v>0</v>
      </c>
      <c r="AH204" s="30" t="s">
        <v>1076</v>
      </c>
      <c r="AI204" s="6" t="n">
        <v>0</v>
      </c>
      <c r="AJ204" s="6" t="s">
        <v>455</v>
      </c>
      <c r="AK204" s="6" t="s">
        <v>988</v>
      </c>
      <c r="AL204" s="6" t="s">
        <v>455</v>
      </c>
      <c r="AM204" s="6" t="n">
        <v>0</v>
      </c>
      <c r="AQ204" s="6" t="s">
        <v>460</v>
      </c>
      <c r="AR204" s="6" t="s">
        <v>57</v>
      </c>
    </row>
    <row r="205" customFormat="false" ht="15" hidden="false" customHeight="true" outlineLevel="0" collapsed="false">
      <c r="A205" s="27" t="n">
        <v>14148</v>
      </c>
      <c r="B205" s="6" t="s">
        <v>1428</v>
      </c>
      <c r="C205" s="27" t="n">
        <v>14148</v>
      </c>
      <c r="D205" s="6" t="s">
        <v>464</v>
      </c>
      <c r="E205" s="6" t="s">
        <v>1114</v>
      </c>
      <c r="F205" s="6" t="s">
        <v>1429</v>
      </c>
      <c r="G205" s="6" t="s">
        <v>1076</v>
      </c>
      <c r="H205" s="6" t="s">
        <v>28</v>
      </c>
      <c r="I205" s="6" t="s">
        <v>1318</v>
      </c>
      <c r="J205" s="6" t="s">
        <v>21</v>
      </c>
      <c r="K205" s="6" t="s">
        <v>21</v>
      </c>
      <c r="L205" s="6" t="s">
        <v>465</v>
      </c>
      <c r="N205" s="6" t="s">
        <v>1023</v>
      </c>
      <c r="O205" s="6" t="s">
        <v>1347</v>
      </c>
      <c r="P205" s="6" t="n">
        <v>1</v>
      </c>
      <c r="R205" s="6" t="s">
        <v>1152</v>
      </c>
      <c r="U205" s="6" t="n">
        <v>181070</v>
      </c>
      <c r="V205" s="28" t="n">
        <v>181070</v>
      </c>
      <c r="W205" s="29" t="n">
        <v>0.12</v>
      </c>
      <c r="X205" s="6" t="n">
        <v>0.055</v>
      </c>
      <c r="Y205" s="29" t="n">
        <v>0.12</v>
      </c>
      <c r="Z205" s="30"/>
      <c r="AA205" s="29" t="n">
        <v>0.04</v>
      </c>
      <c r="AB205" s="31" t="n">
        <v>241728.45</v>
      </c>
      <c r="AE205" s="6" t="n">
        <v>241728.45</v>
      </c>
      <c r="AF205" s="6" t="s">
        <v>58</v>
      </c>
      <c r="AG205" s="6" t="n">
        <v>0</v>
      </c>
      <c r="AH205" s="30" t="s">
        <v>24</v>
      </c>
      <c r="AI205" s="6" t="n">
        <v>0</v>
      </c>
      <c r="AJ205" s="6" t="s">
        <v>465</v>
      </c>
      <c r="AK205" s="6" t="s">
        <v>988</v>
      </c>
      <c r="AL205" s="6" t="s">
        <v>465</v>
      </c>
      <c r="AM205" s="6" t="n">
        <v>1</v>
      </c>
      <c r="AQ205" s="6" t="s">
        <v>463</v>
      </c>
      <c r="AR205" s="6" t="s">
        <v>57</v>
      </c>
    </row>
    <row r="206" customFormat="false" ht="15" hidden="false" customHeight="true" outlineLevel="0" collapsed="false">
      <c r="A206" s="27" t="n">
        <v>11241</v>
      </c>
      <c r="B206" s="6" t="s">
        <v>1391</v>
      </c>
      <c r="C206" s="27" t="n">
        <v>11241</v>
      </c>
      <c r="D206" s="6" t="s">
        <v>464</v>
      </c>
      <c r="E206" s="6" t="s">
        <v>1114</v>
      </c>
      <c r="F206" s="6" t="s">
        <v>1429</v>
      </c>
      <c r="G206" s="6" t="s">
        <v>1076</v>
      </c>
      <c r="H206" s="6" t="s">
        <v>28</v>
      </c>
      <c r="I206" s="6" t="s">
        <v>1318</v>
      </c>
      <c r="J206" s="6" t="s">
        <v>24</v>
      </c>
      <c r="K206" s="6" t="s">
        <v>1367</v>
      </c>
      <c r="L206" s="6" t="s">
        <v>127</v>
      </c>
      <c r="N206" s="6" t="s">
        <v>1023</v>
      </c>
      <c r="O206" s="6" t="s">
        <v>1347</v>
      </c>
      <c r="P206" s="6" t="n">
        <v>1</v>
      </c>
      <c r="R206" s="6" t="s">
        <v>1152</v>
      </c>
      <c r="U206" s="6" t="n">
        <v>179700</v>
      </c>
      <c r="V206" s="28" t="n">
        <v>179700</v>
      </c>
      <c r="W206" s="29" t="n">
        <v>0.12</v>
      </c>
      <c r="X206" s="6" t="n">
        <v>0.055</v>
      </c>
      <c r="Y206" s="29" t="n">
        <v>0.12</v>
      </c>
      <c r="Z206" s="30"/>
      <c r="AA206" s="29" t="n">
        <v>0.04</v>
      </c>
      <c r="AB206" s="31" t="n">
        <v>239899.5</v>
      </c>
      <c r="AE206" s="6" t="n">
        <v>239899.5</v>
      </c>
      <c r="AF206" s="6" t="s">
        <v>58</v>
      </c>
      <c r="AG206" s="6" t="n">
        <v>0</v>
      </c>
      <c r="AH206" s="30" t="s">
        <v>24</v>
      </c>
      <c r="AI206" s="6" t="n">
        <v>0</v>
      </c>
      <c r="AJ206" s="6" t="s">
        <v>127</v>
      </c>
      <c r="AK206" s="6" t="s">
        <v>988</v>
      </c>
      <c r="AL206" s="6" t="s">
        <v>127</v>
      </c>
      <c r="AM206" s="6" t="n">
        <v>0</v>
      </c>
      <c r="AQ206" s="6" t="s">
        <v>466</v>
      </c>
      <c r="AR206" s="6" t="s">
        <v>57</v>
      </c>
    </row>
    <row r="207" customFormat="false" ht="15" hidden="false" customHeight="true" outlineLevel="0" collapsed="false">
      <c r="A207" s="27" t="n">
        <v>113581</v>
      </c>
      <c r="B207" s="6" t="s">
        <v>1400</v>
      </c>
      <c r="C207" s="27" t="n">
        <v>113581</v>
      </c>
      <c r="D207" s="6" t="s">
        <v>468</v>
      </c>
      <c r="E207" s="6" t="s">
        <v>1114</v>
      </c>
      <c r="F207" s="6" t="s">
        <v>1429</v>
      </c>
      <c r="G207" s="6" t="s">
        <v>1076</v>
      </c>
      <c r="H207" s="6" t="s">
        <v>28</v>
      </c>
      <c r="I207" s="6" t="s">
        <v>1318</v>
      </c>
      <c r="J207" s="6" t="s">
        <v>24</v>
      </c>
      <c r="K207" s="6" t="s">
        <v>426</v>
      </c>
      <c r="L207" s="6" t="s">
        <v>426</v>
      </c>
      <c r="N207" s="6" t="s">
        <v>109</v>
      </c>
      <c r="O207" s="6" t="s">
        <v>1347</v>
      </c>
      <c r="P207" s="6" t="n">
        <v>1</v>
      </c>
      <c r="R207" s="6" t="s">
        <v>1152</v>
      </c>
      <c r="U207" s="6" t="n">
        <v>172490</v>
      </c>
      <c r="V207" s="28" t="n">
        <v>158690.8</v>
      </c>
      <c r="W207" s="29" t="n">
        <v>0.15</v>
      </c>
      <c r="Y207" s="29" t="n">
        <v>0.05</v>
      </c>
      <c r="Z207" s="30" t="n">
        <v>2910</v>
      </c>
      <c r="AA207" s="29" t="n">
        <v>0.03</v>
      </c>
      <c r="AB207" s="31" t="n">
        <v>198099.684</v>
      </c>
      <c r="AE207" s="6" t="n">
        <v>198099.684</v>
      </c>
      <c r="AF207" s="6" t="s">
        <v>58</v>
      </c>
      <c r="AG207" s="6" t="n">
        <v>0</v>
      </c>
      <c r="AH207" s="30" t="s">
        <v>24</v>
      </c>
      <c r="AI207" s="6" t="n">
        <v>0</v>
      </c>
      <c r="AJ207" s="6" t="s">
        <v>426</v>
      </c>
      <c r="AK207" s="6" t="s">
        <v>988</v>
      </c>
      <c r="AL207" s="6" t="s">
        <v>426</v>
      </c>
      <c r="AM207" s="6" t="n">
        <v>0</v>
      </c>
      <c r="AQ207" s="6" t="s">
        <v>467</v>
      </c>
      <c r="AR207" s="6" t="s">
        <v>109</v>
      </c>
    </row>
    <row r="208" customFormat="false" ht="15" hidden="false" customHeight="true" outlineLevel="0" collapsed="false">
      <c r="A208" s="27" t="n">
        <v>4251</v>
      </c>
      <c r="B208" s="6" t="s">
        <v>1403</v>
      </c>
      <c r="C208" s="27" t="n">
        <v>4251</v>
      </c>
      <c r="D208" s="6" t="s">
        <v>464</v>
      </c>
      <c r="E208" s="6" t="s">
        <v>1114</v>
      </c>
      <c r="F208" s="6" t="s">
        <v>1429</v>
      </c>
      <c r="G208" s="6" t="s">
        <v>1076</v>
      </c>
      <c r="H208" s="6" t="s">
        <v>28</v>
      </c>
      <c r="I208" s="6" t="s">
        <v>1318</v>
      </c>
      <c r="J208" s="6" t="s">
        <v>24</v>
      </c>
      <c r="K208" s="6" t="s">
        <v>1367</v>
      </c>
      <c r="L208" s="6" t="s">
        <v>127</v>
      </c>
      <c r="N208" s="6" t="s">
        <v>1023</v>
      </c>
      <c r="O208" s="6" t="s">
        <v>1347</v>
      </c>
      <c r="P208" s="6" t="n">
        <v>1</v>
      </c>
      <c r="R208" s="6" t="s">
        <v>1152</v>
      </c>
      <c r="U208" s="6" t="n">
        <v>160370</v>
      </c>
      <c r="V208" s="28" t="n">
        <v>160370</v>
      </c>
      <c r="W208" s="29" t="n">
        <v>0.12</v>
      </c>
      <c r="X208" s="6" t="n">
        <v>0.055</v>
      </c>
      <c r="Y208" s="29" t="n">
        <v>0.12</v>
      </c>
      <c r="Z208" s="30"/>
      <c r="AA208" s="29" t="n">
        <v>0.04</v>
      </c>
      <c r="AB208" s="31" t="n">
        <v>214093.95</v>
      </c>
      <c r="AE208" s="6" t="n">
        <v>214093.95</v>
      </c>
      <c r="AF208" s="6" t="s">
        <v>58</v>
      </c>
      <c r="AG208" s="6" t="n">
        <v>0</v>
      </c>
      <c r="AH208" s="30" t="s">
        <v>24</v>
      </c>
      <c r="AI208" s="6" t="n">
        <v>0</v>
      </c>
      <c r="AJ208" s="6" t="s">
        <v>127</v>
      </c>
      <c r="AK208" s="6" t="s">
        <v>988</v>
      </c>
      <c r="AL208" s="6" t="s">
        <v>127</v>
      </c>
      <c r="AM208" s="6" t="n">
        <v>0</v>
      </c>
      <c r="AQ208" s="6" t="s">
        <v>469</v>
      </c>
      <c r="AR208" s="6" t="s">
        <v>57</v>
      </c>
    </row>
    <row r="209" customFormat="false" ht="15" hidden="false" customHeight="true" outlineLevel="0" collapsed="false">
      <c r="A209" s="27" t="s">
        <v>1138</v>
      </c>
      <c r="B209" s="6" t="s">
        <v>1063</v>
      </c>
      <c r="C209" s="27" t="s">
        <v>1138</v>
      </c>
      <c r="D209" s="6" t="s">
        <v>372</v>
      </c>
      <c r="E209" s="6" t="s">
        <v>1114</v>
      </c>
      <c r="F209" s="6" t="s">
        <v>1429</v>
      </c>
      <c r="G209" s="6" t="s">
        <v>1076</v>
      </c>
      <c r="H209" s="6" t="s">
        <v>28</v>
      </c>
      <c r="I209" s="6" t="s">
        <v>1318</v>
      </c>
      <c r="J209" s="6" t="s">
        <v>24</v>
      </c>
      <c r="K209" s="6" t="s">
        <v>1367</v>
      </c>
      <c r="L209" s="6" t="s">
        <v>127</v>
      </c>
      <c r="N209" s="6" t="s">
        <v>1023</v>
      </c>
      <c r="O209" s="6" t="s">
        <v>1347</v>
      </c>
      <c r="P209" s="6" t="n">
        <v>1</v>
      </c>
      <c r="R209" s="6" t="s">
        <v>1143</v>
      </c>
      <c r="U209" s="6" t="n">
        <v>173550</v>
      </c>
      <c r="V209" s="28" t="n">
        <v>173550</v>
      </c>
      <c r="W209" s="29" t="n">
        <v>0.12</v>
      </c>
      <c r="X209" s="6" t="n">
        <v>0.055</v>
      </c>
      <c r="Y209" s="29" t="n">
        <v>0.12</v>
      </c>
      <c r="Z209" s="30"/>
      <c r="AA209" s="29" t="n">
        <v>0.04</v>
      </c>
      <c r="AB209" s="31" t="n">
        <v>231689.25</v>
      </c>
      <c r="AE209" s="6" t="n">
        <v>231689.25</v>
      </c>
      <c r="AF209" s="6" t="s">
        <v>1063</v>
      </c>
      <c r="AG209" s="6" t="n">
        <v>0</v>
      </c>
      <c r="AH209" s="30" t="s">
        <v>24</v>
      </c>
      <c r="AI209" s="6" t="n">
        <v>0</v>
      </c>
      <c r="AJ209" s="6" t="s">
        <v>127</v>
      </c>
      <c r="AK209" s="6" t="s">
        <v>988</v>
      </c>
      <c r="AL209" s="6" t="s">
        <v>127</v>
      </c>
      <c r="AM209" s="6" t="n">
        <v>0</v>
      </c>
      <c r="AQ209" s="6" t="s">
        <v>470</v>
      </c>
      <c r="AR209" s="6" t="s">
        <v>57</v>
      </c>
    </row>
    <row r="210" customFormat="false" ht="15" hidden="false" customHeight="true" outlineLevel="0" collapsed="false">
      <c r="A210" s="27" t="s">
        <v>1138</v>
      </c>
      <c r="B210" s="6" t="s">
        <v>1063</v>
      </c>
      <c r="C210" s="27" t="s">
        <v>1138</v>
      </c>
      <c r="D210" s="6" t="s">
        <v>472</v>
      </c>
      <c r="E210" s="6" t="s">
        <v>1114</v>
      </c>
      <c r="F210" s="6" t="s">
        <v>1429</v>
      </c>
      <c r="G210" s="6" t="s">
        <v>1076</v>
      </c>
      <c r="H210" s="6" t="s">
        <v>28</v>
      </c>
      <c r="I210" s="6" t="s">
        <v>1318</v>
      </c>
      <c r="J210" s="6" t="s">
        <v>24</v>
      </c>
      <c r="K210" s="6" t="s">
        <v>1367</v>
      </c>
      <c r="L210" s="6" t="s">
        <v>127</v>
      </c>
      <c r="N210" s="6" t="s">
        <v>1047</v>
      </c>
      <c r="O210" s="6" t="s">
        <v>1347</v>
      </c>
      <c r="P210" s="6" t="n">
        <v>1</v>
      </c>
      <c r="R210" s="6" t="s">
        <v>1143</v>
      </c>
      <c r="U210" s="6" t="n">
        <v>173550</v>
      </c>
      <c r="V210" s="28" t="n">
        <v>173550</v>
      </c>
      <c r="W210" s="29" t="n">
        <v>0.12</v>
      </c>
      <c r="X210" s="6" t="n">
        <v>0.055</v>
      </c>
      <c r="Y210" s="29" t="n">
        <v>0.12</v>
      </c>
      <c r="Z210" s="30"/>
      <c r="AA210" s="29" t="n">
        <v>0.04</v>
      </c>
      <c r="AB210" s="31" t="n">
        <v>231689.25</v>
      </c>
      <c r="AE210" s="6" t="n">
        <v>231689.25</v>
      </c>
      <c r="AF210" s="6" t="s">
        <v>1063</v>
      </c>
      <c r="AG210" s="6" t="n">
        <v>0</v>
      </c>
      <c r="AH210" s="30" t="s">
        <v>24</v>
      </c>
      <c r="AI210" s="6" t="n">
        <v>0</v>
      </c>
      <c r="AJ210" s="6" t="s">
        <v>127</v>
      </c>
      <c r="AK210" s="6" t="s">
        <v>988</v>
      </c>
      <c r="AL210" s="6" t="s">
        <v>127</v>
      </c>
      <c r="AM210" s="6" t="n">
        <v>0</v>
      </c>
      <c r="AQ210" s="6" t="s">
        <v>471</v>
      </c>
      <c r="AR210" s="6" t="s">
        <v>57</v>
      </c>
    </row>
    <row r="211" customFormat="false" ht="15" hidden="false" customHeight="true" outlineLevel="0" collapsed="false">
      <c r="A211" s="27" t="n">
        <v>113609</v>
      </c>
      <c r="B211" s="6" t="s">
        <v>1430</v>
      </c>
      <c r="C211" s="27" t="n">
        <v>113609</v>
      </c>
      <c r="D211" s="6" t="s">
        <v>474</v>
      </c>
      <c r="E211" s="6" t="s">
        <v>1250</v>
      </c>
      <c r="G211" s="6" t="s">
        <v>1164</v>
      </c>
      <c r="H211" s="6" t="s">
        <v>244</v>
      </c>
      <c r="I211" s="6" t="s">
        <v>26</v>
      </c>
      <c r="J211" s="6" t="s">
        <v>26</v>
      </c>
      <c r="K211" s="6" t="s">
        <v>26</v>
      </c>
      <c r="L211" s="6" t="s">
        <v>26</v>
      </c>
      <c r="N211" s="6" t="s">
        <v>109</v>
      </c>
      <c r="O211" s="6" t="s">
        <v>1347</v>
      </c>
      <c r="P211" s="6" t="n">
        <v>1</v>
      </c>
      <c r="R211" s="6" t="s">
        <v>1152</v>
      </c>
      <c r="U211" s="6" t="n">
        <v>185550</v>
      </c>
      <c r="V211" s="28" t="n">
        <v>170706</v>
      </c>
      <c r="W211" s="29" t="n">
        <v>0.15</v>
      </c>
      <c r="Y211" s="29" t="n">
        <v>0.05</v>
      </c>
      <c r="Z211" s="30" t="n">
        <v>2910</v>
      </c>
      <c r="AA211" s="29" t="n">
        <v>0.03</v>
      </c>
      <c r="AB211" s="31" t="n">
        <v>212878.38</v>
      </c>
      <c r="AE211" s="6" t="n">
        <v>212878.38</v>
      </c>
      <c r="AF211" s="6" t="s">
        <v>58</v>
      </c>
      <c r="AG211" s="6" t="n">
        <v>0</v>
      </c>
      <c r="AH211" s="30" t="s">
        <v>1165</v>
      </c>
      <c r="AI211" s="6" t="n">
        <v>0</v>
      </c>
      <c r="AJ211" s="6" t="s">
        <v>244</v>
      </c>
      <c r="AK211" s="6" t="s">
        <v>988</v>
      </c>
      <c r="AL211" s="6" t="s">
        <v>244</v>
      </c>
      <c r="AM211" s="6" t="n">
        <v>0</v>
      </c>
      <c r="AQ211" s="6" t="s">
        <v>473</v>
      </c>
      <c r="AR211" s="6" t="s">
        <v>109</v>
      </c>
    </row>
    <row r="212" customFormat="false" ht="15" hidden="false" customHeight="true" outlineLevel="0" collapsed="false">
      <c r="A212" s="27" t="n">
        <v>113517</v>
      </c>
      <c r="B212" s="6" t="s">
        <v>1431</v>
      </c>
      <c r="C212" s="27" t="n">
        <v>113517</v>
      </c>
      <c r="D212" s="6" t="s">
        <v>476</v>
      </c>
      <c r="E212" s="6" t="s">
        <v>1063</v>
      </c>
      <c r="F212" s="6" t="s">
        <v>1432</v>
      </c>
      <c r="G212" s="6" t="s">
        <v>1076</v>
      </c>
      <c r="H212" s="6" t="s">
        <v>1290</v>
      </c>
      <c r="I212" s="6" t="s">
        <v>1433</v>
      </c>
      <c r="J212" s="6" t="s">
        <v>30</v>
      </c>
      <c r="K212" s="6" t="s">
        <v>30</v>
      </c>
      <c r="L212" s="6" t="s">
        <v>477</v>
      </c>
      <c r="N212" s="6" t="s">
        <v>109</v>
      </c>
      <c r="O212" s="6" t="s">
        <v>1347</v>
      </c>
      <c r="P212" s="6" t="n">
        <v>1</v>
      </c>
      <c r="R212" s="6" t="s">
        <v>1152</v>
      </c>
      <c r="U212" s="6" t="n">
        <v>169750</v>
      </c>
      <c r="V212" s="28" t="n">
        <v>156170</v>
      </c>
      <c r="W212" s="29" t="n">
        <v>0.15</v>
      </c>
      <c r="Y212" s="29" t="n">
        <v>0.05</v>
      </c>
      <c r="Z212" s="30" t="n">
        <v>2910</v>
      </c>
      <c r="AA212" s="29" t="n">
        <v>0.03</v>
      </c>
      <c r="AB212" s="31" t="n">
        <v>194999.1</v>
      </c>
      <c r="AE212" s="6" t="n">
        <v>194999.1</v>
      </c>
      <c r="AF212" s="6" t="s">
        <v>58</v>
      </c>
      <c r="AG212" s="6" t="n">
        <v>0</v>
      </c>
      <c r="AH212" s="30" t="s">
        <v>1076</v>
      </c>
      <c r="AI212" s="6" t="n">
        <v>0</v>
      </c>
      <c r="AJ212" s="6" t="s">
        <v>477</v>
      </c>
      <c r="AK212" s="6" t="s">
        <v>988</v>
      </c>
      <c r="AL212" s="6" t="s">
        <v>477</v>
      </c>
      <c r="AM212" s="6" t="n">
        <v>0</v>
      </c>
      <c r="AQ212" s="6" t="s">
        <v>475</v>
      </c>
      <c r="AR212" s="6" t="s">
        <v>109</v>
      </c>
    </row>
    <row r="213" customFormat="false" ht="15" hidden="false" customHeight="true" outlineLevel="0" collapsed="false">
      <c r="A213" s="27" t="n">
        <v>96568</v>
      </c>
      <c r="B213" s="6" t="s">
        <v>1434</v>
      </c>
      <c r="C213" s="27" t="n">
        <v>96568</v>
      </c>
      <c r="D213" s="6" t="s">
        <v>476</v>
      </c>
      <c r="E213" s="6" t="s">
        <v>1063</v>
      </c>
      <c r="F213" s="6" t="s">
        <v>1432</v>
      </c>
      <c r="G213" s="6" t="s">
        <v>1076</v>
      </c>
      <c r="H213" s="6" t="s">
        <v>1290</v>
      </c>
      <c r="I213" s="6" t="s">
        <v>1433</v>
      </c>
      <c r="J213" s="6" t="s">
        <v>30</v>
      </c>
      <c r="K213" s="6" t="s">
        <v>30</v>
      </c>
      <c r="L213" s="6" t="s">
        <v>477</v>
      </c>
      <c r="N213" s="6" t="s">
        <v>1023</v>
      </c>
      <c r="O213" s="6" t="s">
        <v>1347</v>
      </c>
      <c r="P213" s="6" t="n">
        <v>1</v>
      </c>
      <c r="R213" s="6" t="s">
        <v>1152</v>
      </c>
      <c r="U213" s="6" t="n">
        <v>191260</v>
      </c>
      <c r="V213" s="28" t="n">
        <v>191260</v>
      </c>
      <c r="W213" s="29" t="n">
        <v>0.12</v>
      </c>
      <c r="X213" s="6" t="n">
        <v>0.055</v>
      </c>
      <c r="Y213" s="29" t="n">
        <v>0.12</v>
      </c>
      <c r="Z213" s="30"/>
      <c r="AA213" s="29" t="n">
        <v>0.04</v>
      </c>
      <c r="AB213" s="31" t="n">
        <v>255332.1</v>
      </c>
      <c r="AE213" s="6" t="n">
        <v>255332.1</v>
      </c>
      <c r="AF213" s="6" t="s">
        <v>58</v>
      </c>
      <c r="AG213" s="6" t="n">
        <v>0</v>
      </c>
      <c r="AH213" s="30" t="s">
        <v>1076</v>
      </c>
      <c r="AI213" s="6" t="n">
        <v>0</v>
      </c>
      <c r="AJ213" s="6" t="s">
        <v>477</v>
      </c>
      <c r="AK213" s="6" t="s">
        <v>988</v>
      </c>
      <c r="AL213" s="6" t="s">
        <v>477</v>
      </c>
      <c r="AM213" s="6" t="n">
        <v>0</v>
      </c>
      <c r="AQ213" s="6" t="s">
        <v>478</v>
      </c>
      <c r="AR213" s="6" t="s">
        <v>57</v>
      </c>
    </row>
    <row r="214" customFormat="false" ht="15" hidden="false" customHeight="true" outlineLevel="0" collapsed="false">
      <c r="A214" s="27" t="n">
        <v>92821</v>
      </c>
      <c r="B214" s="6" t="s">
        <v>1435</v>
      </c>
      <c r="C214" s="27" t="n">
        <v>92821</v>
      </c>
      <c r="D214" s="6" t="s">
        <v>476</v>
      </c>
      <c r="E214" s="6" t="s">
        <v>1063</v>
      </c>
      <c r="F214" s="6" t="s">
        <v>1432</v>
      </c>
      <c r="G214" s="6" t="s">
        <v>1076</v>
      </c>
      <c r="H214" s="6" t="s">
        <v>1290</v>
      </c>
      <c r="I214" s="6" t="s">
        <v>1433</v>
      </c>
      <c r="J214" s="6" t="s">
        <v>30</v>
      </c>
      <c r="K214" s="6" t="s">
        <v>30</v>
      </c>
      <c r="L214" s="6" t="s">
        <v>477</v>
      </c>
      <c r="N214" s="6" t="s">
        <v>1023</v>
      </c>
      <c r="O214" s="6" t="s">
        <v>1347</v>
      </c>
      <c r="P214" s="6" t="n">
        <v>1</v>
      </c>
      <c r="R214" s="6" t="s">
        <v>1152</v>
      </c>
      <c r="U214" s="6" t="n">
        <v>190660</v>
      </c>
      <c r="V214" s="28" t="n">
        <v>190660</v>
      </c>
      <c r="W214" s="29" t="n">
        <v>0.12</v>
      </c>
      <c r="X214" s="6" t="n">
        <v>0.055</v>
      </c>
      <c r="Y214" s="29" t="n">
        <v>0.12</v>
      </c>
      <c r="Z214" s="30"/>
      <c r="AA214" s="29" t="n">
        <v>0.04</v>
      </c>
      <c r="AB214" s="31" t="n">
        <v>254531.1</v>
      </c>
      <c r="AE214" s="6" t="n">
        <v>254531.1</v>
      </c>
      <c r="AF214" s="6" t="s">
        <v>58</v>
      </c>
      <c r="AG214" s="6" t="n">
        <v>0</v>
      </c>
      <c r="AH214" s="30" t="s">
        <v>1076</v>
      </c>
      <c r="AI214" s="6" t="n">
        <v>0</v>
      </c>
      <c r="AJ214" s="6" t="s">
        <v>477</v>
      </c>
      <c r="AK214" s="6" t="s">
        <v>988</v>
      </c>
      <c r="AL214" s="6" t="s">
        <v>477</v>
      </c>
      <c r="AM214" s="6" t="n">
        <v>0</v>
      </c>
      <c r="AQ214" s="6" t="s">
        <v>479</v>
      </c>
      <c r="AR214" s="6" t="s">
        <v>57</v>
      </c>
    </row>
    <row r="215" customFormat="false" ht="15" hidden="false" customHeight="true" outlineLevel="0" collapsed="false">
      <c r="A215" s="27" t="s">
        <v>1138</v>
      </c>
      <c r="B215" s="6" t="s">
        <v>1063</v>
      </c>
      <c r="C215" s="27" t="s">
        <v>1138</v>
      </c>
      <c r="D215" s="6" t="s">
        <v>481</v>
      </c>
      <c r="E215" s="6" t="s">
        <v>1063</v>
      </c>
      <c r="F215" s="6" t="s">
        <v>290</v>
      </c>
      <c r="G215" s="6" t="s">
        <v>1141</v>
      </c>
      <c r="H215" s="6" t="s">
        <v>191</v>
      </c>
      <c r="I215" s="6" t="s">
        <v>26</v>
      </c>
      <c r="J215" s="6" t="s">
        <v>26</v>
      </c>
      <c r="K215" s="6" t="s">
        <v>26</v>
      </c>
      <c r="L215" s="6" t="s">
        <v>26</v>
      </c>
      <c r="N215" s="6" t="s">
        <v>1023</v>
      </c>
      <c r="O215" s="6" t="s">
        <v>1347</v>
      </c>
      <c r="P215" s="6" t="n">
        <v>1</v>
      </c>
      <c r="R215" s="6" t="s">
        <v>1138</v>
      </c>
      <c r="U215" s="6" t="n">
        <v>173550</v>
      </c>
      <c r="V215" s="28" t="n">
        <v>173550</v>
      </c>
      <c r="W215" s="29" t="n">
        <v>0.12</v>
      </c>
      <c r="X215" s="6" t="n">
        <v>0.055</v>
      </c>
      <c r="Y215" s="29" t="n">
        <v>0.12</v>
      </c>
      <c r="Z215" s="30"/>
      <c r="AA215" s="29" t="n">
        <v>0.04</v>
      </c>
      <c r="AB215" s="31" t="n">
        <v>231689.25</v>
      </c>
      <c r="AE215" s="6" t="n">
        <v>231689.25</v>
      </c>
      <c r="AF215" s="6" t="s">
        <v>1063</v>
      </c>
      <c r="AG215" s="6" t="n">
        <v>0</v>
      </c>
      <c r="AH215" s="30" t="s">
        <v>1144</v>
      </c>
      <c r="AI215" s="6" t="n">
        <v>0</v>
      </c>
      <c r="AJ215" s="6" t="s">
        <v>191</v>
      </c>
      <c r="AK215" s="6" t="s">
        <v>988</v>
      </c>
      <c r="AL215" s="6" t="s">
        <v>191</v>
      </c>
      <c r="AM215" s="6" t="n">
        <v>0</v>
      </c>
      <c r="AQ215" s="6" t="s">
        <v>480</v>
      </c>
      <c r="AR215" s="6" t="s">
        <v>57</v>
      </c>
    </row>
    <row r="216" customFormat="false" ht="15" hidden="false" customHeight="true" outlineLevel="0" collapsed="false">
      <c r="A216" s="27" t="n">
        <v>113509</v>
      </c>
      <c r="B216" s="6" t="s">
        <v>1436</v>
      </c>
      <c r="C216" s="27" t="n">
        <v>113509</v>
      </c>
      <c r="D216" s="6" t="s">
        <v>55</v>
      </c>
      <c r="E216" s="6" t="s">
        <v>1063</v>
      </c>
      <c r="F216" s="6" t="s">
        <v>205</v>
      </c>
      <c r="G216" s="6" t="s">
        <v>1058</v>
      </c>
      <c r="H216" s="6" t="s">
        <v>19</v>
      </c>
      <c r="I216" s="6" t="s">
        <v>1437</v>
      </c>
      <c r="J216" s="6" t="s">
        <v>19</v>
      </c>
      <c r="K216" s="6" t="s">
        <v>1374</v>
      </c>
      <c r="L216" s="6" t="s">
        <v>390</v>
      </c>
      <c r="N216" s="6" t="s">
        <v>109</v>
      </c>
      <c r="O216" s="6" t="s">
        <v>1347</v>
      </c>
      <c r="P216" s="6" t="n">
        <v>1</v>
      </c>
      <c r="R216" s="6" t="s">
        <v>1152</v>
      </c>
      <c r="U216" s="6" t="n">
        <v>163830</v>
      </c>
      <c r="V216" s="28" t="n">
        <v>150723.6</v>
      </c>
      <c r="W216" s="29" t="n">
        <v>0.15</v>
      </c>
      <c r="Y216" s="29" t="n">
        <v>0.05</v>
      </c>
      <c r="Z216" s="30" t="n">
        <v>2910</v>
      </c>
      <c r="AA216" s="29" t="n">
        <v>0.03</v>
      </c>
      <c r="AB216" s="31" t="n">
        <v>188300.028</v>
      </c>
      <c r="AE216" s="6" t="n">
        <v>188300.028</v>
      </c>
      <c r="AF216" s="6" t="s">
        <v>58</v>
      </c>
      <c r="AG216" s="6" t="n">
        <v>0</v>
      </c>
      <c r="AH216" s="30" t="s">
        <v>1206</v>
      </c>
      <c r="AI216" s="6" t="n">
        <v>0</v>
      </c>
      <c r="AJ216" s="6" t="s">
        <v>390</v>
      </c>
      <c r="AK216" s="6" t="s">
        <v>988</v>
      </c>
      <c r="AL216" s="6" t="s">
        <v>390</v>
      </c>
      <c r="AM216" s="6" t="n">
        <v>0</v>
      </c>
      <c r="AQ216" s="6" t="s">
        <v>482</v>
      </c>
      <c r="AR216" s="6" t="s">
        <v>109</v>
      </c>
    </row>
    <row r="217" customFormat="false" ht="15" hidden="false" customHeight="true" outlineLevel="0" collapsed="false">
      <c r="A217" s="27" t="n">
        <v>106829</v>
      </c>
      <c r="B217" s="6" t="s">
        <v>1438</v>
      </c>
      <c r="C217" s="27" t="n">
        <v>106829</v>
      </c>
      <c r="D217" s="6" t="s">
        <v>484</v>
      </c>
      <c r="E217" s="6" t="s">
        <v>1063</v>
      </c>
      <c r="F217" s="6" t="s">
        <v>205</v>
      </c>
      <c r="G217" s="6" t="s">
        <v>1076</v>
      </c>
      <c r="H217" s="6" t="s">
        <v>1086</v>
      </c>
      <c r="I217" s="6" t="s">
        <v>1439</v>
      </c>
      <c r="J217" s="6" t="s">
        <v>30</v>
      </c>
      <c r="K217" s="6" t="s">
        <v>30</v>
      </c>
      <c r="L217" s="6" t="s">
        <v>477</v>
      </c>
      <c r="N217" s="6" t="s">
        <v>1023</v>
      </c>
      <c r="O217" s="6" t="s">
        <v>1347</v>
      </c>
      <c r="P217" s="6" t="n">
        <v>1</v>
      </c>
      <c r="R217" s="6" t="s">
        <v>1152</v>
      </c>
      <c r="U217" s="6" t="n">
        <v>186640</v>
      </c>
      <c r="V217" s="28" t="n">
        <v>186640</v>
      </c>
      <c r="W217" s="29" t="n">
        <v>0.12</v>
      </c>
      <c r="X217" s="6" t="n">
        <v>0.055</v>
      </c>
      <c r="Y217" s="29" t="n">
        <v>0.12</v>
      </c>
      <c r="Z217" s="30"/>
      <c r="AA217" s="29" t="n">
        <v>0.04</v>
      </c>
      <c r="AB217" s="31" t="n">
        <v>249164.4</v>
      </c>
      <c r="AE217" s="6" t="n">
        <v>249164.4</v>
      </c>
      <c r="AF217" s="6" t="s">
        <v>58</v>
      </c>
      <c r="AG217" s="6" t="n">
        <v>0</v>
      </c>
      <c r="AH217" s="30" t="s">
        <v>1076</v>
      </c>
      <c r="AI217" s="6" t="n">
        <v>0</v>
      </c>
      <c r="AJ217" s="6" t="s">
        <v>477</v>
      </c>
      <c r="AK217" s="6" t="s">
        <v>988</v>
      </c>
      <c r="AL217" s="6" t="s">
        <v>477</v>
      </c>
      <c r="AM217" s="6" t="n">
        <v>0</v>
      </c>
      <c r="AQ217" s="6" t="s">
        <v>483</v>
      </c>
      <c r="AR217" s="6" t="s">
        <v>57</v>
      </c>
    </row>
    <row r="218" customFormat="false" ht="15" hidden="false" customHeight="true" outlineLevel="0" collapsed="false">
      <c r="A218" s="27" t="n">
        <v>105532</v>
      </c>
      <c r="B218" s="6" t="s">
        <v>1440</v>
      </c>
      <c r="C218" s="27" t="n">
        <v>105532</v>
      </c>
      <c r="D218" s="6" t="s">
        <v>55</v>
      </c>
      <c r="E218" s="6" t="s">
        <v>1063</v>
      </c>
      <c r="F218" s="6" t="s">
        <v>205</v>
      </c>
      <c r="G218" s="6" t="s">
        <v>1058</v>
      </c>
      <c r="H218" s="6" t="s">
        <v>19</v>
      </c>
      <c r="I218" s="6" t="s">
        <v>1437</v>
      </c>
      <c r="J218" s="6" t="s">
        <v>19</v>
      </c>
      <c r="K218" s="6" t="s">
        <v>374</v>
      </c>
      <c r="L218" s="6" t="s">
        <v>374</v>
      </c>
      <c r="N218" s="6" t="s">
        <v>1023</v>
      </c>
      <c r="O218" s="6" t="s">
        <v>1347</v>
      </c>
      <c r="P218" s="6" t="n">
        <v>1</v>
      </c>
      <c r="R218" s="6" t="s">
        <v>1152</v>
      </c>
      <c r="U218" s="6" t="n">
        <v>199710</v>
      </c>
      <c r="V218" s="28" t="n">
        <v>199710</v>
      </c>
      <c r="W218" s="29" t="n">
        <v>0.12</v>
      </c>
      <c r="X218" s="6" t="n">
        <v>0.055</v>
      </c>
      <c r="Y218" s="29" t="n">
        <v>0.12</v>
      </c>
      <c r="Z218" s="30"/>
      <c r="AA218" s="29" t="n">
        <v>0.04</v>
      </c>
      <c r="AB218" s="31" t="n">
        <v>266612.85</v>
      </c>
      <c r="AE218" s="6" t="n">
        <v>266612.85</v>
      </c>
      <c r="AF218" s="6" t="s">
        <v>58</v>
      </c>
      <c r="AG218" s="6" t="n">
        <v>0</v>
      </c>
      <c r="AH218" s="30" t="s">
        <v>1206</v>
      </c>
      <c r="AI218" s="6" t="n">
        <v>0</v>
      </c>
      <c r="AJ218" s="6" t="s">
        <v>374</v>
      </c>
      <c r="AK218" s="6" t="s">
        <v>988</v>
      </c>
      <c r="AL218" s="6" t="s">
        <v>374</v>
      </c>
      <c r="AM218" s="6" t="n">
        <v>0</v>
      </c>
      <c r="AQ218" s="6" t="s">
        <v>485</v>
      </c>
      <c r="AR218" s="6" t="s">
        <v>57</v>
      </c>
    </row>
    <row r="219" customFormat="false" ht="15" hidden="false" customHeight="true" outlineLevel="0" collapsed="false">
      <c r="A219" s="27" t="n">
        <v>113577</v>
      </c>
      <c r="B219" s="6" t="s">
        <v>1441</v>
      </c>
      <c r="C219" s="27" t="n">
        <v>113577</v>
      </c>
      <c r="D219" s="6" t="s">
        <v>487</v>
      </c>
      <c r="E219" s="6" t="s">
        <v>1063</v>
      </c>
      <c r="F219" s="6" t="s">
        <v>205</v>
      </c>
      <c r="G219" s="6" t="s">
        <v>1076</v>
      </c>
      <c r="H219" s="6" t="s">
        <v>1086</v>
      </c>
      <c r="I219" s="6" t="s">
        <v>1439</v>
      </c>
      <c r="J219" s="6" t="s">
        <v>30</v>
      </c>
      <c r="K219" s="6" t="s">
        <v>30</v>
      </c>
      <c r="L219" s="6" t="s">
        <v>1408</v>
      </c>
      <c r="N219" s="6" t="s">
        <v>109</v>
      </c>
      <c r="O219" s="6" t="s">
        <v>1347</v>
      </c>
      <c r="P219" s="6" t="n">
        <v>1</v>
      </c>
      <c r="R219" s="6" t="s">
        <v>1152</v>
      </c>
      <c r="U219" s="6" t="n">
        <v>176220</v>
      </c>
      <c r="V219" s="28" t="n">
        <v>162122.4</v>
      </c>
      <c r="W219" s="29" t="n">
        <v>0.15</v>
      </c>
      <c r="Y219" s="29" t="n">
        <v>0.05</v>
      </c>
      <c r="Z219" s="30" t="n">
        <v>2910</v>
      </c>
      <c r="AA219" s="29" t="n">
        <v>0.03</v>
      </c>
      <c r="AB219" s="31" t="n">
        <v>202320.552</v>
      </c>
      <c r="AE219" s="6" t="n">
        <v>202320.552</v>
      </c>
      <c r="AF219" s="6" t="s">
        <v>58</v>
      </c>
      <c r="AG219" s="6" t="n">
        <v>0</v>
      </c>
      <c r="AH219" s="30" t="s">
        <v>1076</v>
      </c>
      <c r="AI219" s="6" t="n">
        <v>0</v>
      </c>
      <c r="AJ219" s="6" t="s">
        <v>1408</v>
      </c>
      <c r="AK219" s="6" t="s">
        <v>988</v>
      </c>
      <c r="AL219" s="6" t="s">
        <v>1408</v>
      </c>
      <c r="AM219" s="6" t="n">
        <v>0</v>
      </c>
      <c r="AQ219" s="6" t="s">
        <v>486</v>
      </c>
      <c r="AR219" s="6" t="s">
        <v>109</v>
      </c>
    </row>
    <row r="220" customFormat="false" ht="15" hidden="false" customHeight="true" outlineLevel="0" collapsed="false">
      <c r="A220" s="27" t="n">
        <v>106907</v>
      </c>
      <c r="B220" s="6" t="s">
        <v>1442</v>
      </c>
      <c r="C220" s="27" t="n">
        <v>106907</v>
      </c>
      <c r="D220" s="6" t="s">
        <v>55</v>
      </c>
      <c r="E220" s="6" t="s">
        <v>1063</v>
      </c>
      <c r="F220" s="6" t="s">
        <v>205</v>
      </c>
      <c r="G220" s="6" t="s">
        <v>1058</v>
      </c>
      <c r="H220" s="6" t="s">
        <v>20</v>
      </c>
      <c r="I220" s="6" t="s">
        <v>1275</v>
      </c>
      <c r="J220" s="6" t="s">
        <v>20</v>
      </c>
      <c r="K220" s="6" t="s">
        <v>275</v>
      </c>
      <c r="L220" s="6" t="s">
        <v>275</v>
      </c>
      <c r="N220" s="6" t="s">
        <v>1023</v>
      </c>
      <c r="O220" s="6" t="s">
        <v>1347</v>
      </c>
      <c r="P220" s="6" t="n">
        <v>1</v>
      </c>
      <c r="R220" s="6" t="s">
        <v>1152</v>
      </c>
      <c r="U220" s="6" t="n">
        <v>190260</v>
      </c>
      <c r="V220" s="28" t="n">
        <v>190260</v>
      </c>
      <c r="W220" s="29" t="n">
        <v>0.12</v>
      </c>
      <c r="X220" s="6" t="n">
        <v>0.055</v>
      </c>
      <c r="Y220" s="29" t="n">
        <v>0.12</v>
      </c>
      <c r="Z220" s="30"/>
      <c r="AA220" s="29" t="n">
        <v>0.04</v>
      </c>
      <c r="AB220" s="31" t="n">
        <v>253997.1</v>
      </c>
      <c r="AE220" s="6" t="n">
        <v>253997.1</v>
      </c>
      <c r="AF220" s="6" t="s">
        <v>58</v>
      </c>
      <c r="AG220" s="6" t="n">
        <v>0</v>
      </c>
      <c r="AH220" s="30" t="s">
        <v>20</v>
      </c>
      <c r="AI220" s="6" t="n">
        <v>0</v>
      </c>
      <c r="AJ220" s="6" t="s">
        <v>275</v>
      </c>
      <c r="AK220" s="6" t="s">
        <v>988</v>
      </c>
      <c r="AL220" s="6" t="s">
        <v>275</v>
      </c>
      <c r="AM220" s="6" t="n">
        <v>0</v>
      </c>
      <c r="AQ220" s="6" t="s">
        <v>488</v>
      </c>
      <c r="AR220" s="6" t="s">
        <v>57</v>
      </c>
    </row>
    <row r="221" customFormat="false" ht="15" hidden="false" customHeight="true" outlineLevel="0" collapsed="false">
      <c r="A221" s="27" t="n">
        <v>115935</v>
      </c>
      <c r="B221" s="6" t="s">
        <v>1443</v>
      </c>
      <c r="C221" s="27" t="n">
        <v>115935</v>
      </c>
      <c r="D221" s="6" t="s">
        <v>490</v>
      </c>
      <c r="E221" s="6" t="s">
        <v>1063</v>
      </c>
      <c r="F221" s="6" t="s">
        <v>205</v>
      </c>
      <c r="G221" s="6" t="s">
        <v>1058</v>
      </c>
      <c r="H221" s="6" t="s">
        <v>20</v>
      </c>
      <c r="I221" s="6" t="s">
        <v>1275</v>
      </c>
      <c r="J221" s="6" t="s">
        <v>20</v>
      </c>
      <c r="K221" s="6" t="s">
        <v>275</v>
      </c>
      <c r="L221" s="6" t="s">
        <v>275</v>
      </c>
      <c r="N221" s="6" t="s">
        <v>1189</v>
      </c>
      <c r="O221" s="6" t="s">
        <v>1347</v>
      </c>
      <c r="P221" s="6" t="n">
        <v>1</v>
      </c>
      <c r="R221" s="6" t="s">
        <v>1152</v>
      </c>
      <c r="U221" s="6" t="n">
        <v>205000</v>
      </c>
      <c r="V221" s="28" t="n">
        <v>248050</v>
      </c>
      <c r="W221" s="29" t="n">
        <v>0.25</v>
      </c>
      <c r="Y221" s="29" t="n">
        <v>0.17</v>
      </c>
      <c r="Z221" s="30" t="n">
        <v>3310</v>
      </c>
      <c r="AA221" s="29" t="n">
        <v>0.045</v>
      </c>
      <c r="AB221" s="31" t="n">
        <v>366703.25</v>
      </c>
      <c r="AE221" s="6" t="n">
        <v>366703.25</v>
      </c>
      <c r="AF221" s="6" t="s">
        <v>58</v>
      </c>
      <c r="AG221" s="6" t="n">
        <v>0</v>
      </c>
      <c r="AH221" s="30" t="s">
        <v>20</v>
      </c>
      <c r="AI221" s="6" t="n">
        <v>0</v>
      </c>
      <c r="AJ221" s="6" t="s">
        <v>275</v>
      </c>
      <c r="AK221" s="6" t="s">
        <v>988</v>
      </c>
      <c r="AL221" s="6" t="s">
        <v>275</v>
      </c>
      <c r="AM221" s="6" t="n">
        <v>0</v>
      </c>
      <c r="AQ221" s="6" t="s">
        <v>489</v>
      </c>
      <c r="AR221" s="6" t="s">
        <v>57</v>
      </c>
    </row>
    <row r="222" customFormat="false" ht="15" hidden="false" customHeight="true" outlineLevel="0" collapsed="false">
      <c r="A222" s="27" t="n">
        <v>106221</v>
      </c>
      <c r="B222" s="6" t="s">
        <v>1444</v>
      </c>
      <c r="C222" s="27" t="n">
        <v>106221</v>
      </c>
      <c r="D222" s="6" t="s">
        <v>411</v>
      </c>
      <c r="E222" s="6" t="s">
        <v>1063</v>
      </c>
      <c r="F222" s="6" t="s">
        <v>205</v>
      </c>
      <c r="G222" s="6" t="s">
        <v>1058</v>
      </c>
      <c r="H222" s="6" t="s">
        <v>20</v>
      </c>
      <c r="I222" s="6" t="s">
        <v>1275</v>
      </c>
      <c r="J222" s="6" t="s">
        <v>20</v>
      </c>
      <c r="K222" s="6" t="s">
        <v>351</v>
      </c>
      <c r="L222" s="6" t="s">
        <v>351</v>
      </c>
      <c r="N222" s="6" t="s">
        <v>1189</v>
      </c>
      <c r="O222" s="6" t="s">
        <v>1347</v>
      </c>
      <c r="P222" s="6" t="n">
        <v>1</v>
      </c>
      <c r="R222" s="6" t="s">
        <v>1152</v>
      </c>
      <c r="U222" s="6" t="n">
        <v>196770</v>
      </c>
      <c r="V222" s="28" t="n">
        <v>238091.7</v>
      </c>
      <c r="W222" s="29" t="n">
        <v>0.25</v>
      </c>
      <c r="Y222" s="29" t="n">
        <v>0.17</v>
      </c>
      <c r="Z222" s="30" t="n">
        <v>3310</v>
      </c>
      <c r="AA222" s="29" t="n">
        <v>0.045</v>
      </c>
      <c r="AB222" s="31" t="n">
        <v>352114.3405</v>
      </c>
      <c r="AE222" s="6" t="n">
        <v>352114.3405</v>
      </c>
      <c r="AF222" s="6" t="s">
        <v>58</v>
      </c>
      <c r="AG222" s="6" t="n">
        <v>0</v>
      </c>
      <c r="AH222" s="30" t="s">
        <v>20</v>
      </c>
      <c r="AI222" s="6" t="n">
        <v>0</v>
      </c>
      <c r="AJ222" s="6" t="s">
        <v>351</v>
      </c>
      <c r="AK222" s="6" t="s">
        <v>988</v>
      </c>
      <c r="AL222" s="6" t="s">
        <v>351</v>
      </c>
      <c r="AM222" s="6" t="n">
        <v>0</v>
      </c>
      <c r="AQ222" s="6" t="s">
        <v>491</v>
      </c>
      <c r="AR222" s="6" t="s">
        <v>57</v>
      </c>
    </row>
    <row r="223" customFormat="false" ht="15" hidden="false" customHeight="true" outlineLevel="0" collapsed="false">
      <c r="A223" s="27" t="s">
        <v>1138</v>
      </c>
      <c r="B223" s="6" t="s">
        <v>1063</v>
      </c>
      <c r="C223" s="27" t="s">
        <v>1138</v>
      </c>
      <c r="D223" s="6" t="s">
        <v>55</v>
      </c>
      <c r="E223" s="6" t="s">
        <v>1063</v>
      </c>
      <c r="F223" s="6" t="s">
        <v>205</v>
      </c>
      <c r="G223" s="6" t="s">
        <v>1058</v>
      </c>
      <c r="H223" s="6" t="s">
        <v>20</v>
      </c>
      <c r="I223" s="6" t="s">
        <v>1275</v>
      </c>
      <c r="J223" s="6" t="s">
        <v>20</v>
      </c>
      <c r="K223" s="6" t="s">
        <v>493</v>
      </c>
      <c r="L223" s="6" t="s">
        <v>493</v>
      </c>
      <c r="N223" s="6" t="s">
        <v>1023</v>
      </c>
      <c r="O223" s="6" t="s">
        <v>1347</v>
      </c>
      <c r="P223" s="6" t="n">
        <v>1</v>
      </c>
      <c r="R223" s="6" t="s">
        <v>1138</v>
      </c>
      <c r="U223" s="6" t="n">
        <v>173550</v>
      </c>
      <c r="V223" s="28" t="n">
        <v>173550</v>
      </c>
      <c r="W223" s="29" t="n">
        <v>0.12</v>
      </c>
      <c r="X223" s="6" t="n">
        <v>0.055</v>
      </c>
      <c r="Y223" s="29" t="n">
        <v>0.12</v>
      </c>
      <c r="Z223" s="30"/>
      <c r="AA223" s="29" t="n">
        <v>0.04</v>
      </c>
      <c r="AB223" s="31" t="n">
        <v>231689.25</v>
      </c>
      <c r="AE223" s="6" t="n">
        <v>231689.25</v>
      </c>
      <c r="AF223" s="6" t="s">
        <v>1063</v>
      </c>
      <c r="AG223" s="6" t="n">
        <v>0</v>
      </c>
      <c r="AH223" s="30" t="s">
        <v>20</v>
      </c>
      <c r="AI223" s="6" t="n">
        <v>0</v>
      </c>
      <c r="AJ223" s="6" t="s">
        <v>493</v>
      </c>
      <c r="AK223" s="6" t="s">
        <v>988</v>
      </c>
      <c r="AL223" s="6" t="s">
        <v>493</v>
      </c>
      <c r="AM223" s="6" t="n">
        <v>0</v>
      </c>
      <c r="AQ223" s="6" t="s">
        <v>492</v>
      </c>
      <c r="AR223" s="6" t="s">
        <v>57</v>
      </c>
    </row>
    <row r="224" customFormat="false" ht="15" hidden="false" customHeight="true" outlineLevel="0" collapsed="false">
      <c r="A224" s="27" t="s">
        <v>1138</v>
      </c>
      <c r="B224" s="6" t="s">
        <v>1063</v>
      </c>
      <c r="C224" s="27" t="s">
        <v>1138</v>
      </c>
      <c r="D224" s="6" t="s">
        <v>55</v>
      </c>
      <c r="E224" s="6" t="s">
        <v>1063</v>
      </c>
      <c r="F224" s="6" t="s">
        <v>205</v>
      </c>
      <c r="G224" s="6" t="s">
        <v>1058</v>
      </c>
      <c r="H224" s="6" t="s">
        <v>20</v>
      </c>
      <c r="I224" s="6" t="s">
        <v>1275</v>
      </c>
      <c r="J224" s="6" t="s">
        <v>20</v>
      </c>
      <c r="K224" s="6" t="s">
        <v>351</v>
      </c>
      <c r="L224" s="6" t="s">
        <v>351</v>
      </c>
      <c r="N224" s="6" t="s">
        <v>1023</v>
      </c>
      <c r="O224" s="6" t="s">
        <v>1347</v>
      </c>
      <c r="P224" s="6" t="n">
        <v>1</v>
      </c>
      <c r="R224" s="6" t="s">
        <v>1138</v>
      </c>
      <c r="U224" s="6" t="n">
        <v>173550</v>
      </c>
      <c r="V224" s="28" t="n">
        <v>173550</v>
      </c>
      <c r="W224" s="29" t="n">
        <v>0.12</v>
      </c>
      <c r="X224" s="6" t="n">
        <v>0.055</v>
      </c>
      <c r="Y224" s="29" t="n">
        <v>0.12</v>
      </c>
      <c r="Z224" s="30"/>
      <c r="AA224" s="29" t="n">
        <v>0.04</v>
      </c>
      <c r="AB224" s="31" t="n">
        <v>231689.25</v>
      </c>
      <c r="AE224" s="6" t="n">
        <v>231689.25</v>
      </c>
      <c r="AF224" s="6" t="s">
        <v>1063</v>
      </c>
      <c r="AG224" s="6" t="n">
        <v>0</v>
      </c>
      <c r="AH224" s="30" t="s">
        <v>20</v>
      </c>
      <c r="AI224" s="6" t="n">
        <v>0</v>
      </c>
      <c r="AJ224" s="6" t="s">
        <v>351</v>
      </c>
      <c r="AK224" s="6" t="s">
        <v>988</v>
      </c>
      <c r="AL224" s="6" t="s">
        <v>351</v>
      </c>
      <c r="AM224" s="6" t="n">
        <v>0</v>
      </c>
      <c r="AQ224" s="6" t="s">
        <v>494</v>
      </c>
      <c r="AR224" s="6" t="s">
        <v>57</v>
      </c>
    </row>
    <row r="225" customFormat="false" ht="15" hidden="false" customHeight="true" outlineLevel="0" collapsed="false">
      <c r="A225" s="27" t="n">
        <v>106791</v>
      </c>
      <c r="B225" s="6" t="s">
        <v>1445</v>
      </c>
      <c r="C225" s="27" t="n">
        <v>106791</v>
      </c>
      <c r="D225" s="6" t="s">
        <v>55</v>
      </c>
      <c r="E225" s="6" t="s">
        <v>1063</v>
      </c>
      <c r="F225" s="6" t="s">
        <v>205</v>
      </c>
      <c r="G225" s="6" t="s">
        <v>1058</v>
      </c>
      <c r="H225" s="6" t="s">
        <v>19</v>
      </c>
      <c r="I225" s="6" t="s">
        <v>1437</v>
      </c>
      <c r="J225" s="6" t="s">
        <v>443</v>
      </c>
      <c r="K225" s="6" t="s">
        <v>1313</v>
      </c>
      <c r="L225" s="6" t="s">
        <v>1314</v>
      </c>
      <c r="N225" s="6" t="s">
        <v>1023</v>
      </c>
      <c r="O225" s="6" t="s">
        <v>1347</v>
      </c>
      <c r="P225" s="6" t="n">
        <v>1</v>
      </c>
      <c r="R225" s="6" t="s">
        <v>1152</v>
      </c>
      <c r="U225" s="6" t="n">
        <v>185360</v>
      </c>
      <c r="V225" s="28" t="n">
        <v>185360</v>
      </c>
      <c r="W225" s="29" t="n">
        <v>0.12</v>
      </c>
      <c r="X225" s="6" t="n">
        <v>0.055</v>
      </c>
      <c r="Y225" s="29" t="n">
        <v>0.12</v>
      </c>
      <c r="Z225" s="30"/>
      <c r="AA225" s="29" t="n">
        <v>0.04</v>
      </c>
      <c r="AB225" s="31" t="n">
        <v>247455.6</v>
      </c>
      <c r="AE225" s="6" t="n">
        <v>247455.6</v>
      </c>
      <c r="AF225" s="6" t="s">
        <v>58</v>
      </c>
      <c r="AG225" s="6" t="n">
        <v>0</v>
      </c>
      <c r="AH225" s="30" t="s">
        <v>1133</v>
      </c>
      <c r="AI225" s="6" t="n">
        <v>0</v>
      </c>
      <c r="AJ225" s="6" t="s">
        <v>313</v>
      </c>
      <c r="AK225" s="6" t="s">
        <v>988</v>
      </c>
      <c r="AL225" s="6" t="s">
        <v>313</v>
      </c>
      <c r="AM225" s="6" t="n">
        <v>0</v>
      </c>
      <c r="AQ225" s="6" t="s">
        <v>495</v>
      </c>
      <c r="AR225" s="6" t="s">
        <v>57</v>
      </c>
    </row>
    <row r="226" customFormat="false" ht="15" hidden="false" customHeight="true" outlineLevel="0" collapsed="false">
      <c r="A226" s="27" t="n">
        <v>113592</v>
      </c>
      <c r="B226" s="6" t="s">
        <v>1446</v>
      </c>
      <c r="C226" s="27" t="n">
        <v>113592</v>
      </c>
      <c r="D226" s="6" t="s">
        <v>490</v>
      </c>
      <c r="E226" s="6" t="s">
        <v>1063</v>
      </c>
      <c r="F226" s="6" t="s">
        <v>1447</v>
      </c>
      <c r="G226" s="6" t="s">
        <v>1076</v>
      </c>
      <c r="H226" s="6" t="s">
        <v>28</v>
      </c>
      <c r="I226" s="6" t="s">
        <v>1319</v>
      </c>
      <c r="J226" s="6" t="s">
        <v>27</v>
      </c>
      <c r="K226" s="6" t="s">
        <v>27</v>
      </c>
      <c r="L226" s="6" t="s">
        <v>27</v>
      </c>
      <c r="N226" s="6" t="s">
        <v>109</v>
      </c>
      <c r="O226" s="6" t="s">
        <v>1347</v>
      </c>
      <c r="P226" s="6" t="n">
        <v>1</v>
      </c>
      <c r="R226" s="6" t="s">
        <v>1152</v>
      </c>
      <c r="U226" s="6" t="n">
        <v>168300</v>
      </c>
      <c r="V226" s="28" t="n">
        <v>154836</v>
      </c>
      <c r="W226" s="29" t="n">
        <v>0.15</v>
      </c>
      <c r="Y226" s="29" t="n">
        <v>0.05</v>
      </c>
      <c r="Z226" s="30" t="n">
        <v>2910</v>
      </c>
      <c r="AA226" s="29" t="n">
        <v>0.03</v>
      </c>
      <c r="AB226" s="31" t="n">
        <v>193358.28</v>
      </c>
      <c r="AE226" s="6" t="n">
        <v>193358.28</v>
      </c>
      <c r="AF226" s="6" t="s">
        <v>58</v>
      </c>
      <c r="AG226" s="6" t="n">
        <v>0</v>
      </c>
      <c r="AH226" s="30" t="s">
        <v>27</v>
      </c>
      <c r="AI226" s="6" t="n">
        <v>0</v>
      </c>
      <c r="AJ226" s="6" t="s">
        <v>27</v>
      </c>
      <c r="AK226" s="6" t="s">
        <v>988</v>
      </c>
      <c r="AL226" s="6" t="s">
        <v>27</v>
      </c>
      <c r="AM226" s="6" t="n">
        <v>0</v>
      </c>
      <c r="AQ226" s="6" t="s">
        <v>496</v>
      </c>
      <c r="AR226" s="6" t="s">
        <v>109</v>
      </c>
    </row>
    <row r="227" customFormat="false" ht="15" hidden="false" customHeight="true" outlineLevel="0" collapsed="false">
      <c r="A227" s="27" t="n">
        <v>99876</v>
      </c>
      <c r="B227" s="6" t="s">
        <v>1448</v>
      </c>
      <c r="C227" s="27" t="n">
        <v>99876</v>
      </c>
      <c r="D227" s="6" t="s">
        <v>498</v>
      </c>
      <c r="E227" s="6" t="s">
        <v>1063</v>
      </c>
      <c r="F227" s="6" t="s">
        <v>1447</v>
      </c>
      <c r="G227" s="6" t="s">
        <v>1076</v>
      </c>
      <c r="H227" s="6" t="s">
        <v>28</v>
      </c>
      <c r="I227" s="6" t="s">
        <v>1319</v>
      </c>
      <c r="J227" s="6" t="s">
        <v>27</v>
      </c>
      <c r="K227" s="6" t="s">
        <v>27</v>
      </c>
      <c r="L227" s="6" t="s">
        <v>27</v>
      </c>
      <c r="N227" s="6" t="s">
        <v>1023</v>
      </c>
      <c r="O227" s="6" t="s">
        <v>1347</v>
      </c>
      <c r="P227" s="6" t="n">
        <v>1</v>
      </c>
      <c r="R227" s="6" t="s">
        <v>1152</v>
      </c>
      <c r="U227" s="6" t="n">
        <v>188380</v>
      </c>
      <c r="V227" s="28" t="n">
        <v>188380</v>
      </c>
      <c r="W227" s="29" t="n">
        <v>0.12</v>
      </c>
      <c r="X227" s="6" t="n">
        <v>0.055</v>
      </c>
      <c r="Y227" s="29" t="n">
        <v>0.12</v>
      </c>
      <c r="Z227" s="30"/>
      <c r="AA227" s="29" t="n">
        <v>0.04</v>
      </c>
      <c r="AB227" s="31" t="n">
        <v>251487.3</v>
      </c>
      <c r="AE227" s="6" t="n">
        <v>251487.3</v>
      </c>
      <c r="AF227" s="6" t="s">
        <v>58</v>
      </c>
      <c r="AG227" s="6" t="n">
        <v>0</v>
      </c>
      <c r="AH227" s="30" t="s">
        <v>27</v>
      </c>
      <c r="AI227" s="6" t="n">
        <v>0</v>
      </c>
      <c r="AJ227" s="6" t="s">
        <v>27</v>
      </c>
      <c r="AK227" s="6" t="s">
        <v>988</v>
      </c>
      <c r="AL227" s="6" t="s">
        <v>27</v>
      </c>
      <c r="AM227" s="6" t="n">
        <v>0</v>
      </c>
      <c r="AQ227" s="6" t="s">
        <v>497</v>
      </c>
      <c r="AR227" s="6" t="s">
        <v>57</v>
      </c>
    </row>
    <row r="228" customFormat="false" ht="15" hidden="false" customHeight="true" outlineLevel="0" collapsed="false">
      <c r="A228" s="27" t="s">
        <v>1138</v>
      </c>
      <c r="B228" s="6" t="s">
        <v>1063</v>
      </c>
      <c r="C228" s="27" t="s">
        <v>1138</v>
      </c>
      <c r="D228" s="6" t="s">
        <v>500</v>
      </c>
      <c r="E228" s="6" t="s">
        <v>1063</v>
      </c>
      <c r="F228" s="6" t="s">
        <v>1447</v>
      </c>
      <c r="G228" s="6" t="s">
        <v>1076</v>
      </c>
      <c r="H228" s="6" t="s">
        <v>28</v>
      </c>
      <c r="I228" s="6" t="s">
        <v>1319</v>
      </c>
      <c r="J228" s="6" t="s">
        <v>24</v>
      </c>
      <c r="K228" s="6" t="s">
        <v>426</v>
      </c>
      <c r="L228" s="6" t="s">
        <v>426</v>
      </c>
      <c r="N228" s="6" t="s">
        <v>1023</v>
      </c>
      <c r="O228" s="6" t="s">
        <v>1347</v>
      </c>
      <c r="P228" s="6" t="n">
        <v>1</v>
      </c>
      <c r="R228" s="6" t="s">
        <v>1138</v>
      </c>
      <c r="U228" s="6" t="n">
        <v>173550</v>
      </c>
      <c r="V228" s="28" t="n">
        <v>173550</v>
      </c>
      <c r="W228" s="29" t="n">
        <v>0.12</v>
      </c>
      <c r="X228" s="6" t="n">
        <v>0.055</v>
      </c>
      <c r="Y228" s="29" t="n">
        <v>0.12</v>
      </c>
      <c r="Z228" s="30"/>
      <c r="AA228" s="29" t="n">
        <v>0.04</v>
      </c>
      <c r="AB228" s="31" t="n">
        <v>231689.25</v>
      </c>
      <c r="AE228" s="6" t="n">
        <v>231689.25</v>
      </c>
      <c r="AF228" s="6" t="s">
        <v>1063</v>
      </c>
      <c r="AG228" s="6" t="n">
        <v>0</v>
      </c>
      <c r="AH228" s="30" t="s">
        <v>24</v>
      </c>
      <c r="AI228" s="6" t="n">
        <v>0</v>
      </c>
      <c r="AJ228" s="6" t="s">
        <v>426</v>
      </c>
      <c r="AK228" s="6" t="s">
        <v>988</v>
      </c>
      <c r="AL228" s="6" t="s">
        <v>426</v>
      </c>
      <c r="AM228" s="6" t="n">
        <v>0</v>
      </c>
      <c r="AQ228" s="6" t="s">
        <v>499</v>
      </c>
      <c r="AR228" s="6" t="s">
        <v>57</v>
      </c>
    </row>
    <row r="229" customFormat="false" ht="15" hidden="false" customHeight="true" outlineLevel="0" collapsed="false">
      <c r="A229" s="27" t="s">
        <v>1138</v>
      </c>
      <c r="B229" s="6" t="s">
        <v>1063</v>
      </c>
      <c r="C229" s="27" t="s">
        <v>1138</v>
      </c>
      <c r="D229" s="6" t="s">
        <v>502</v>
      </c>
      <c r="E229" s="6" t="s">
        <v>1063</v>
      </c>
      <c r="F229" s="6" t="s">
        <v>1447</v>
      </c>
      <c r="G229" s="6" t="s">
        <v>1076</v>
      </c>
      <c r="H229" s="6" t="s">
        <v>28</v>
      </c>
      <c r="I229" s="6" t="s">
        <v>1319</v>
      </c>
      <c r="J229" s="6" t="s">
        <v>27</v>
      </c>
      <c r="K229" s="6" t="s">
        <v>27</v>
      </c>
      <c r="L229" s="6" t="s">
        <v>503</v>
      </c>
      <c r="N229" s="6" t="s">
        <v>1023</v>
      </c>
      <c r="O229" s="6" t="s">
        <v>1347</v>
      </c>
      <c r="P229" s="6" t="n">
        <v>1</v>
      </c>
      <c r="R229" s="6" t="s">
        <v>1138</v>
      </c>
      <c r="U229" s="6" t="n">
        <v>173550</v>
      </c>
      <c r="V229" s="28" t="n">
        <v>173550</v>
      </c>
      <c r="W229" s="29" t="n">
        <v>0.12</v>
      </c>
      <c r="X229" s="6" t="n">
        <v>0.055</v>
      </c>
      <c r="Y229" s="29" t="n">
        <v>0.12</v>
      </c>
      <c r="Z229" s="30"/>
      <c r="AA229" s="29" t="n">
        <v>0.04</v>
      </c>
      <c r="AB229" s="31" t="n">
        <v>231689.25</v>
      </c>
      <c r="AE229" s="6" t="n">
        <v>231689.25</v>
      </c>
      <c r="AF229" s="6" t="s">
        <v>1063</v>
      </c>
      <c r="AG229" s="6" t="n">
        <v>0</v>
      </c>
      <c r="AH229" s="30" t="s">
        <v>27</v>
      </c>
      <c r="AI229" s="6" t="n">
        <v>0</v>
      </c>
      <c r="AJ229" s="6" t="s">
        <v>503</v>
      </c>
      <c r="AK229" s="6" t="s">
        <v>988</v>
      </c>
      <c r="AL229" s="6" t="s">
        <v>503</v>
      </c>
      <c r="AM229" s="6" t="n">
        <v>0</v>
      </c>
      <c r="AQ229" s="6" t="s">
        <v>501</v>
      </c>
      <c r="AR229" s="6" t="s">
        <v>57</v>
      </c>
    </row>
    <row r="230" customFormat="false" ht="15" hidden="false" customHeight="true" outlineLevel="0" collapsed="false">
      <c r="A230" s="27" t="s">
        <v>1138</v>
      </c>
      <c r="B230" s="6" t="s">
        <v>1063</v>
      </c>
      <c r="C230" s="27" t="s">
        <v>1138</v>
      </c>
      <c r="D230" s="6" t="s">
        <v>505</v>
      </c>
      <c r="E230" s="6" t="s">
        <v>1063</v>
      </c>
      <c r="F230" s="6" t="s">
        <v>1447</v>
      </c>
      <c r="G230" s="6" t="s">
        <v>1076</v>
      </c>
      <c r="H230" s="6" t="s">
        <v>28</v>
      </c>
      <c r="I230" s="6" t="s">
        <v>1319</v>
      </c>
      <c r="J230" s="6" t="s">
        <v>24</v>
      </c>
      <c r="K230" s="6" t="s">
        <v>1367</v>
      </c>
      <c r="L230" s="6" t="s">
        <v>127</v>
      </c>
      <c r="N230" s="6" t="s">
        <v>1023</v>
      </c>
      <c r="O230" s="6" t="s">
        <v>1347</v>
      </c>
      <c r="P230" s="6" t="n">
        <v>1</v>
      </c>
      <c r="R230" s="6" t="s">
        <v>1138</v>
      </c>
      <c r="U230" s="6" t="n">
        <v>173550</v>
      </c>
      <c r="V230" s="28" t="n">
        <v>173550</v>
      </c>
      <c r="W230" s="29" t="n">
        <v>0.12</v>
      </c>
      <c r="X230" s="6" t="n">
        <v>0.055</v>
      </c>
      <c r="Y230" s="29" t="n">
        <v>0.12</v>
      </c>
      <c r="Z230" s="30"/>
      <c r="AA230" s="29" t="n">
        <v>0.04</v>
      </c>
      <c r="AB230" s="31" t="n">
        <v>231689.25</v>
      </c>
      <c r="AE230" s="6" t="n">
        <v>231689.25</v>
      </c>
      <c r="AF230" s="6" t="s">
        <v>1063</v>
      </c>
      <c r="AG230" s="6" t="n">
        <v>0</v>
      </c>
      <c r="AH230" s="30" t="s">
        <v>24</v>
      </c>
      <c r="AI230" s="6" t="n">
        <v>0</v>
      </c>
      <c r="AJ230" s="6" t="s">
        <v>127</v>
      </c>
      <c r="AK230" s="6" t="s">
        <v>988</v>
      </c>
      <c r="AL230" s="6" t="s">
        <v>127</v>
      </c>
      <c r="AM230" s="6" t="n">
        <v>0</v>
      </c>
      <c r="AQ230" s="6" t="s">
        <v>504</v>
      </c>
      <c r="AR230" s="6" t="s">
        <v>57</v>
      </c>
    </row>
    <row r="231" customFormat="false" ht="15" hidden="false" customHeight="true" outlineLevel="0" collapsed="false">
      <c r="A231" s="27" t="n">
        <v>113067</v>
      </c>
      <c r="B231" s="6" t="s">
        <v>1449</v>
      </c>
      <c r="C231" s="27" t="n">
        <v>113067</v>
      </c>
      <c r="D231" s="6" t="s">
        <v>507</v>
      </c>
      <c r="E231" s="6" t="s">
        <v>1063</v>
      </c>
      <c r="F231" s="6" t="s">
        <v>1447</v>
      </c>
      <c r="G231" s="6" t="s">
        <v>1076</v>
      </c>
      <c r="H231" s="6" t="s">
        <v>21</v>
      </c>
      <c r="J231" s="6" t="s">
        <v>21</v>
      </c>
      <c r="K231" s="6" t="s">
        <v>21</v>
      </c>
      <c r="L231" s="6" t="s">
        <v>508</v>
      </c>
      <c r="N231" s="6" t="s">
        <v>1023</v>
      </c>
      <c r="O231" s="6" t="s">
        <v>1347</v>
      </c>
      <c r="P231" s="6" t="n">
        <v>1</v>
      </c>
      <c r="R231" s="6" t="s">
        <v>1152</v>
      </c>
      <c r="U231" s="6" t="n">
        <v>179000</v>
      </c>
      <c r="V231" s="28" t="n">
        <v>179000</v>
      </c>
      <c r="W231" s="29" t="n">
        <v>0.12</v>
      </c>
      <c r="X231" s="6" t="n">
        <v>0.055</v>
      </c>
      <c r="Y231" s="29" t="n">
        <v>0.12</v>
      </c>
      <c r="Z231" s="30"/>
      <c r="AA231" s="29" t="n">
        <v>0.04</v>
      </c>
      <c r="AB231" s="31" t="n">
        <v>238965</v>
      </c>
      <c r="AE231" s="6" t="n">
        <v>238965</v>
      </c>
      <c r="AF231" s="6" t="s">
        <v>58</v>
      </c>
      <c r="AG231" s="6" t="n">
        <v>0</v>
      </c>
      <c r="AH231" s="30" t="s">
        <v>27</v>
      </c>
      <c r="AI231" s="6" t="n">
        <v>0</v>
      </c>
      <c r="AJ231" s="6" t="s">
        <v>508</v>
      </c>
      <c r="AK231" s="6" t="s">
        <v>988</v>
      </c>
      <c r="AL231" s="6" t="s">
        <v>508</v>
      </c>
      <c r="AM231" s="6" t="n">
        <v>1</v>
      </c>
      <c r="AQ231" s="6" t="s">
        <v>506</v>
      </c>
      <c r="AR231" s="6" t="s">
        <v>57</v>
      </c>
    </row>
    <row r="232" customFormat="false" ht="15" hidden="false" customHeight="true" outlineLevel="0" collapsed="false">
      <c r="A232" s="27" t="n">
        <v>113513</v>
      </c>
      <c r="B232" s="6" t="s">
        <v>1450</v>
      </c>
      <c r="C232" s="27" t="n">
        <v>113513</v>
      </c>
      <c r="D232" s="6" t="s">
        <v>490</v>
      </c>
      <c r="E232" s="6" t="s">
        <v>1063</v>
      </c>
      <c r="F232" s="6" t="s">
        <v>1451</v>
      </c>
      <c r="G232" s="6" t="s">
        <v>1073</v>
      </c>
      <c r="H232" s="6" t="s">
        <v>1074</v>
      </c>
      <c r="I232" s="6" t="s">
        <v>1306</v>
      </c>
      <c r="J232" s="6" t="s">
        <v>22</v>
      </c>
      <c r="K232" s="6" t="s">
        <v>21</v>
      </c>
      <c r="L232" s="6" t="s">
        <v>139</v>
      </c>
      <c r="N232" s="6" t="s">
        <v>109</v>
      </c>
      <c r="O232" s="6" t="s">
        <v>1347</v>
      </c>
      <c r="P232" s="6" t="n">
        <v>0.8</v>
      </c>
      <c r="R232" s="6" t="s">
        <v>1105</v>
      </c>
      <c r="U232" s="6" t="n">
        <v>170290</v>
      </c>
      <c r="V232" s="28" t="n">
        <v>156666.8</v>
      </c>
      <c r="W232" s="29" t="n">
        <v>0.15</v>
      </c>
      <c r="Y232" s="29" t="n">
        <v>0.05</v>
      </c>
      <c r="Z232" s="30" t="n">
        <v>2910</v>
      </c>
      <c r="AA232" s="29" t="n">
        <v>0.03</v>
      </c>
      <c r="AB232" s="31" t="n">
        <v>195610.164</v>
      </c>
      <c r="AE232" s="6" t="n">
        <v>156488.1312</v>
      </c>
      <c r="AF232" s="6" t="s">
        <v>58</v>
      </c>
      <c r="AG232" s="6" t="n">
        <v>0</v>
      </c>
      <c r="AH232" s="30" t="s">
        <v>1133</v>
      </c>
      <c r="AI232" s="6" t="n">
        <v>0</v>
      </c>
      <c r="AJ232" s="6" t="s">
        <v>139</v>
      </c>
      <c r="AK232" s="6" t="s">
        <v>988</v>
      </c>
      <c r="AL232" s="6" t="s">
        <v>139</v>
      </c>
      <c r="AM232" s="6" t="n">
        <v>1</v>
      </c>
      <c r="AQ232" s="6" t="s">
        <v>509</v>
      </c>
      <c r="AR232" s="6" t="s">
        <v>109</v>
      </c>
    </row>
    <row r="233" customFormat="false" ht="15" hidden="false" customHeight="true" outlineLevel="0" collapsed="false">
      <c r="A233" s="27" t="n">
        <v>113545</v>
      </c>
      <c r="B233" s="6" t="s">
        <v>1452</v>
      </c>
      <c r="C233" s="27" t="n">
        <v>113545</v>
      </c>
      <c r="D233" s="6" t="s">
        <v>55</v>
      </c>
      <c r="E233" s="6" t="s">
        <v>1063</v>
      </c>
      <c r="F233" s="6" t="s">
        <v>1451</v>
      </c>
      <c r="G233" s="6" t="s">
        <v>1073</v>
      </c>
      <c r="H233" s="6" t="s">
        <v>1074</v>
      </c>
      <c r="I233" s="6" t="s">
        <v>1306</v>
      </c>
      <c r="J233" s="6" t="s">
        <v>31</v>
      </c>
      <c r="K233" s="6" t="s">
        <v>380</v>
      </c>
      <c r="L233" s="6" t="s">
        <v>380</v>
      </c>
      <c r="N233" s="6" t="s">
        <v>109</v>
      </c>
      <c r="O233" s="6" t="s">
        <v>1347</v>
      </c>
      <c r="P233" s="6" t="n">
        <v>1</v>
      </c>
      <c r="R233" s="6" t="s">
        <v>1152</v>
      </c>
      <c r="U233" s="6" t="n">
        <v>179340</v>
      </c>
      <c r="V233" s="28" t="n">
        <v>179340</v>
      </c>
      <c r="W233" s="29" t="n">
        <v>0.12</v>
      </c>
      <c r="X233" s="6" t="n">
        <v>0.055</v>
      </c>
      <c r="Y233" s="29" t="n">
        <v>0.12</v>
      </c>
      <c r="Z233" s="30"/>
      <c r="AA233" s="29" t="n">
        <v>0.04</v>
      </c>
      <c r="AB233" s="31" t="n">
        <v>239418.9</v>
      </c>
      <c r="AE233" s="6" t="n">
        <v>239418.9</v>
      </c>
      <c r="AF233" s="6" t="s">
        <v>58</v>
      </c>
      <c r="AG233" s="6" t="n">
        <v>0</v>
      </c>
      <c r="AH233" s="30" t="s">
        <v>1214</v>
      </c>
      <c r="AI233" s="6" t="n">
        <v>0</v>
      </c>
      <c r="AJ233" s="6" t="s">
        <v>380</v>
      </c>
      <c r="AK233" s="6" t="s">
        <v>988</v>
      </c>
      <c r="AL233" s="6" t="s">
        <v>380</v>
      </c>
      <c r="AM233" s="6" t="n">
        <v>0</v>
      </c>
      <c r="AQ233" s="6" t="s">
        <v>510</v>
      </c>
      <c r="AR233" s="6" t="s">
        <v>109</v>
      </c>
    </row>
    <row r="234" customFormat="false" ht="15" hidden="false" customHeight="true" outlineLevel="0" collapsed="false">
      <c r="A234" s="27" t="n">
        <v>115493</v>
      </c>
      <c r="B234" s="6" t="s">
        <v>1453</v>
      </c>
      <c r="C234" s="27" t="n">
        <v>115493</v>
      </c>
      <c r="D234" s="6" t="s">
        <v>55</v>
      </c>
      <c r="E234" s="6" t="s">
        <v>1063</v>
      </c>
      <c r="F234" s="6" t="s">
        <v>1451</v>
      </c>
      <c r="G234" s="6" t="s">
        <v>1073</v>
      </c>
      <c r="H234" s="6" t="s">
        <v>1074</v>
      </c>
      <c r="I234" s="6" t="s">
        <v>1306</v>
      </c>
      <c r="J234" s="6" t="s">
        <v>31</v>
      </c>
      <c r="K234" s="6" t="s">
        <v>1356</v>
      </c>
      <c r="L234" s="6" t="s">
        <v>1358</v>
      </c>
      <c r="N234" s="6" t="s">
        <v>109</v>
      </c>
      <c r="O234" s="6" t="s">
        <v>1347</v>
      </c>
      <c r="P234" s="6" t="n">
        <v>1</v>
      </c>
      <c r="R234" s="6" t="s">
        <v>1152</v>
      </c>
      <c r="U234" s="6" t="n">
        <v>135000</v>
      </c>
      <c r="V234" s="28" t="n">
        <v>135000</v>
      </c>
      <c r="W234" s="29" t="n">
        <v>0.12</v>
      </c>
      <c r="X234" s="6" t="n">
        <v>0.055</v>
      </c>
      <c r="Y234" s="29" t="n">
        <v>0.12</v>
      </c>
      <c r="Z234" s="30"/>
      <c r="AA234" s="29" t="n">
        <v>0.04</v>
      </c>
      <c r="AB234" s="31" t="n">
        <v>180225</v>
      </c>
      <c r="AE234" s="6" t="n">
        <v>180225</v>
      </c>
      <c r="AF234" s="6" t="s">
        <v>58</v>
      </c>
      <c r="AG234" s="6" t="n">
        <v>0</v>
      </c>
      <c r="AH234" s="30" t="s">
        <v>1214</v>
      </c>
      <c r="AI234" s="6" t="n">
        <v>0</v>
      </c>
      <c r="AJ234" s="6" t="s">
        <v>361</v>
      </c>
      <c r="AK234" s="6" t="s">
        <v>988</v>
      </c>
      <c r="AL234" s="6" t="s">
        <v>361</v>
      </c>
      <c r="AM234" s="6" t="n">
        <v>0</v>
      </c>
      <c r="AQ234" s="6" t="s">
        <v>511</v>
      </c>
      <c r="AR234" s="6" t="s">
        <v>109</v>
      </c>
    </row>
    <row r="235" customFormat="false" ht="15" hidden="false" customHeight="true" outlineLevel="0" collapsed="false">
      <c r="A235" s="27" t="n">
        <v>113619</v>
      </c>
      <c r="B235" s="6" t="s">
        <v>1454</v>
      </c>
      <c r="C235" s="27" t="n">
        <v>113619</v>
      </c>
      <c r="D235" s="6" t="s">
        <v>55</v>
      </c>
      <c r="E235" s="6" t="s">
        <v>1063</v>
      </c>
      <c r="F235" s="6" t="s">
        <v>1451</v>
      </c>
      <c r="G235" s="6" t="s">
        <v>1073</v>
      </c>
      <c r="H235" s="6" t="s">
        <v>1074</v>
      </c>
      <c r="I235" s="6" t="s">
        <v>1306</v>
      </c>
      <c r="J235" s="6" t="s">
        <v>31</v>
      </c>
      <c r="K235" s="6" t="s">
        <v>1356</v>
      </c>
      <c r="L235" s="6" t="s">
        <v>359</v>
      </c>
      <c r="N235" s="6" t="s">
        <v>109</v>
      </c>
      <c r="O235" s="6" t="s">
        <v>1347</v>
      </c>
      <c r="P235" s="6" t="n">
        <v>1</v>
      </c>
      <c r="R235" s="6" t="s">
        <v>1152</v>
      </c>
      <c r="U235" s="6" t="n">
        <v>189604</v>
      </c>
      <c r="V235" s="28" t="n">
        <v>189604</v>
      </c>
      <c r="W235" s="29" t="n">
        <v>0.14</v>
      </c>
      <c r="X235" s="6" t="n">
        <v>0.055</v>
      </c>
      <c r="Y235" s="29" t="n">
        <v>0.12</v>
      </c>
      <c r="Z235" s="30"/>
      <c r="AA235" s="29" t="n">
        <v>0.04</v>
      </c>
      <c r="AB235" s="31" t="n">
        <v>256913.42</v>
      </c>
      <c r="AE235" s="6" t="n">
        <v>256913.42</v>
      </c>
      <c r="AF235" s="6" t="s">
        <v>58</v>
      </c>
      <c r="AG235" s="6" t="n">
        <v>0</v>
      </c>
      <c r="AH235" s="30" t="s">
        <v>1214</v>
      </c>
      <c r="AI235" s="6" t="n">
        <v>0</v>
      </c>
      <c r="AJ235" s="6" t="s">
        <v>359</v>
      </c>
      <c r="AK235" s="6" t="s">
        <v>988</v>
      </c>
      <c r="AL235" s="6" t="s">
        <v>359</v>
      </c>
      <c r="AM235" s="6" t="n">
        <v>0</v>
      </c>
      <c r="AQ235" s="6" t="s">
        <v>512</v>
      </c>
      <c r="AR235" s="6" t="s">
        <v>109</v>
      </c>
    </row>
    <row r="236" customFormat="false" ht="15" hidden="false" customHeight="true" outlineLevel="0" collapsed="false">
      <c r="A236" s="27" t="s">
        <v>1138</v>
      </c>
      <c r="B236" s="6" t="s">
        <v>1063</v>
      </c>
      <c r="C236" s="27" t="s">
        <v>1138</v>
      </c>
      <c r="D236" s="6" t="s">
        <v>55</v>
      </c>
      <c r="E236" s="6" t="s">
        <v>1063</v>
      </c>
      <c r="F236" s="6" t="s">
        <v>1451</v>
      </c>
      <c r="G236" s="6" t="s">
        <v>1073</v>
      </c>
      <c r="H236" s="6" t="s">
        <v>1074</v>
      </c>
      <c r="I236" s="6" t="s">
        <v>1306</v>
      </c>
      <c r="J236" s="6" t="s">
        <v>29</v>
      </c>
      <c r="K236" s="6" t="s">
        <v>1211</v>
      </c>
      <c r="L236" s="6" t="s">
        <v>1455</v>
      </c>
      <c r="N236" s="6" t="s">
        <v>1023</v>
      </c>
      <c r="O236" s="6" t="s">
        <v>1347</v>
      </c>
      <c r="P236" s="6" t="n">
        <v>1</v>
      </c>
      <c r="R236" s="6" t="s">
        <v>1138</v>
      </c>
      <c r="U236" s="6" t="n">
        <v>151950</v>
      </c>
      <c r="V236" s="28" t="n">
        <v>151950</v>
      </c>
      <c r="W236" s="29" t="n">
        <v>0.12</v>
      </c>
      <c r="X236" s="6" t="n">
        <v>0.055</v>
      </c>
      <c r="Y236" s="29" t="n">
        <v>0.12</v>
      </c>
      <c r="Z236" s="30"/>
      <c r="AA236" s="29" t="n">
        <v>0.04</v>
      </c>
      <c r="AB236" s="31" t="n">
        <v>202853.25</v>
      </c>
      <c r="AE236" s="6" t="n">
        <v>202853.25</v>
      </c>
      <c r="AF236" s="6" t="s">
        <v>1063</v>
      </c>
      <c r="AG236" s="6" t="n">
        <v>0</v>
      </c>
      <c r="AH236" s="30" t="s">
        <v>1133</v>
      </c>
      <c r="AI236" s="6" t="n">
        <v>0</v>
      </c>
      <c r="AJ236" s="6" t="s">
        <v>514</v>
      </c>
      <c r="AK236" s="6" t="s">
        <v>988</v>
      </c>
      <c r="AL236" s="6" t="s">
        <v>514</v>
      </c>
      <c r="AM236" s="6" t="n">
        <v>0</v>
      </c>
      <c r="AQ236" s="6" t="s">
        <v>513</v>
      </c>
      <c r="AR236" s="6" t="s">
        <v>57</v>
      </c>
    </row>
    <row r="237" customFormat="false" ht="15" hidden="false" customHeight="true" outlineLevel="0" collapsed="false">
      <c r="A237" s="27" t="s">
        <v>1138</v>
      </c>
      <c r="B237" s="6" t="s">
        <v>1063</v>
      </c>
      <c r="C237" s="27" t="s">
        <v>1138</v>
      </c>
      <c r="D237" s="6" t="s">
        <v>55</v>
      </c>
      <c r="E237" s="6" t="s">
        <v>1063</v>
      </c>
      <c r="F237" s="6" t="s">
        <v>1451</v>
      </c>
      <c r="G237" s="6" t="s">
        <v>1073</v>
      </c>
      <c r="H237" s="6" t="s">
        <v>1074</v>
      </c>
      <c r="I237" s="6" t="s">
        <v>1306</v>
      </c>
      <c r="J237" s="6" t="s">
        <v>31</v>
      </c>
      <c r="K237" s="6" t="s">
        <v>1213</v>
      </c>
      <c r="L237" s="6" t="s">
        <v>1456</v>
      </c>
      <c r="N237" s="6" t="s">
        <v>1023</v>
      </c>
      <c r="O237" s="6" t="s">
        <v>1347</v>
      </c>
      <c r="P237" s="6" t="n">
        <v>1</v>
      </c>
      <c r="R237" s="6" t="s">
        <v>1138</v>
      </c>
      <c r="U237" s="6" t="n">
        <v>203550</v>
      </c>
      <c r="V237" s="28" t="n">
        <v>203550</v>
      </c>
      <c r="W237" s="29" t="n">
        <v>0.14</v>
      </c>
      <c r="X237" s="6" t="n">
        <v>0.055</v>
      </c>
      <c r="Y237" s="29" t="n">
        <v>0.12</v>
      </c>
      <c r="Z237" s="30"/>
      <c r="AA237" s="29" t="n">
        <v>0.04</v>
      </c>
      <c r="AB237" s="31" t="n">
        <v>275810.25</v>
      </c>
      <c r="AE237" s="6" t="n">
        <v>275810.25</v>
      </c>
      <c r="AF237" s="6" t="s">
        <v>1063</v>
      </c>
      <c r="AG237" s="6" t="n">
        <v>0</v>
      </c>
      <c r="AH237" s="30" t="s">
        <v>1214</v>
      </c>
      <c r="AI237" s="6" t="n">
        <v>0</v>
      </c>
      <c r="AJ237" s="6" t="s">
        <v>516</v>
      </c>
      <c r="AK237" s="6" t="s">
        <v>988</v>
      </c>
      <c r="AL237" s="6" t="s">
        <v>516</v>
      </c>
      <c r="AM237" s="6" t="n">
        <v>0</v>
      </c>
      <c r="AQ237" s="6" t="s">
        <v>515</v>
      </c>
      <c r="AR237" s="6" t="s">
        <v>57</v>
      </c>
    </row>
    <row r="238" customFormat="false" ht="15" hidden="false" customHeight="true" outlineLevel="0" collapsed="false">
      <c r="A238" s="27"/>
      <c r="B238" s="6" t="s">
        <v>1294</v>
      </c>
      <c r="C238" s="27"/>
      <c r="D238" s="6" t="s">
        <v>1457</v>
      </c>
      <c r="E238" s="6" t="s">
        <v>1063</v>
      </c>
      <c r="F238" s="6" t="s">
        <v>175</v>
      </c>
      <c r="G238" s="6" t="s">
        <v>1173</v>
      </c>
      <c r="H238" s="6" t="s">
        <v>278</v>
      </c>
      <c r="I238" s="6" t="s">
        <v>278</v>
      </c>
      <c r="N238" s="6" t="s">
        <v>1023</v>
      </c>
      <c r="O238" s="6" t="s">
        <v>1347</v>
      </c>
      <c r="P238" s="6" t="n">
        <v>1</v>
      </c>
      <c r="R238" s="6" t="s">
        <v>1143</v>
      </c>
      <c r="U238" s="6" t="n">
        <v>173550</v>
      </c>
      <c r="V238" s="28" t="n">
        <v>173550</v>
      </c>
      <c r="W238" s="29" t="n">
        <v>0.12</v>
      </c>
      <c r="X238" s="6" t="n">
        <v>0.055</v>
      </c>
      <c r="Y238" s="29" t="n">
        <v>0.12</v>
      </c>
      <c r="Z238" s="30"/>
      <c r="AA238" s="29" t="n">
        <v>0.04</v>
      </c>
      <c r="AB238" s="31" t="n">
        <v>231689.25</v>
      </c>
      <c r="AE238" s="6" t="n">
        <v>231689.25</v>
      </c>
      <c r="AF238" s="6" t="s">
        <v>1063</v>
      </c>
      <c r="AG238" s="6" t="n">
        <v>1</v>
      </c>
      <c r="AH238" s="30" t="s">
        <v>1178</v>
      </c>
      <c r="AI238" s="6" t="n">
        <v>0</v>
      </c>
      <c r="AJ238" s="6" t="s">
        <v>278</v>
      </c>
      <c r="AK238" s="6" t="s">
        <v>1281</v>
      </c>
      <c r="AL238" s="6" t="s">
        <v>278</v>
      </c>
      <c r="AM238" s="6" t="n">
        <v>0</v>
      </c>
      <c r="AQ238" s="6" t="s">
        <v>517</v>
      </c>
      <c r="AR238" s="6" t="s">
        <v>57</v>
      </c>
    </row>
    <row r="239" customFormat="false" ht="15" hidden="false" customHeight="true" outlineLevel="0" collapsed="false">
      <c r="A239" s="27"/>
      <c r="B239" s="6" t="s">
        <v>1294</v>
      </c>
      <c r="C239" s="27"/>
      <c r="D239" s="6" t="s">
        <v>520</v>
      </c>
      <c r="E239" s="6" t="s">
        <v>1063</v>
      </c>
      <c r="F239" s="6" t="s">
        <v>175</v>
      </c>
      <c r="G239" s="6" t="s">
        <v>1173</v>
      </c>
      <c r="H239" s="6" t="s">
        <v>278</v>
      </c>
      <c r="I239" s="6" t="s">
        <v>278</v>
      </c>
      <c r="N239" s="6" t="s">
        <v>1023</v>
      </c>
      <c r="O239" s="6" t="s">
        <v>1347</v>
      </c>
      <c r="P239" s="6" t="n">
        <v>1</v>
      </c>
      <c r="R239" s="6" t="s">
        <v>1143</v>
      </c>
      <c r="U239" s="6" t="n">
        <v>173550</v>
      </c>
      <c r="V239" s="28" t="n">
        <v>173550</v>
      </c>
      <c r="W239" s="29" t="n">
        <v>0.12</v>
      </c>
      <c r="X239" s="6" t="n">
        <v>0.055</v>
      </c>
      <c r="Y239" s="29" t="n">
        <v>0.12</v>
      </c>
      <c r="Z239" s="30"/>
      <c r="AA239" s="29" t="n">
        <v>0.04</v>
      </c>
      <c r="AB239" s="31" t="n">
        <v>231689.25</v>
      </c>
      <c r="AE239" s="6" t="n">
        <v>231689.25</v>
      </c>
      <c r="AF239" s="6" t="s">
        <v>1063</v>
      </c>
      <c r="AG239" s="6" t="n">
        <v>1</v>
      </c>
      <c r="AH239" s="30" t="s">
        <v>1178</v>
      </c>
      <c r="AI239" s="6" t="n">
        <v>0</v>
      </c>
      <c r="AJ239" s="6" t="s">
        <v>278</v>
      </c>
      <c r="AK239" s="6" t="s">
        <v>1281</v>
      </c>
      <c r="AL239" s="6" t="s">
        <v>278</v>
      </c>
      <c r="AM239" s="6" t="n">
        <v>0</v>
      </c>
      <c r="AQ239" s="6" t="s">
        <v>519</v>
      </c>
      <c r="AR239" s="6" t="s">
        <v>57</v>
      </c>
    </row>
    <row r="240" customFormat="false" ht="15" hidden="false" customHeight="true" outlineLevel="0" collapsed="false">
      <c r="A240" s="27"/>
      <c r="B240" s="6" t="s">
        <v>1294</v>
      </c>
      <c r="C240" s="27"/>
      <c r="D240" s="6" t="s">
        <v>522</v>
      </c>
      <c r="E240" s="6" t="s">
        <v>1063</v>
      </c>
      <c r="F240" s="6" t="s">
        <v>175</v>
      </c>
      <c r="G240" s="6" t="s">
        <v>1173</v>
      </c>
      <c r="H240" s="6" t="s">
        <v>278</v>
      </c>
      <c r="I240" s="6" t="s">
        <v>278</v>
      </c>
      <c r="N240" s="6" t="s">
        <v>1023</v>
      </c>
      <c r="O240" s="6" t="s">
        <v>1347</v>
      </c>
      <c r="P240" s="6" t="n">
        <v>1</v>
      </c>
      <c r="R240" s="6" t="s">
        <v>1143</v>
      </c>
      <c r="U240" s="6" t="n">
        <v>173550</v>
      </c>
      <c r="V240" s="28" t="n">
        <v>173550</v>
      </c>
      <c r="W240" s="29" t="n">
        <v>0.12</v>
      </c>
      <c r="X240" s="6" t="n">
        <v>0.055</v>
      </c>
      <c r="Y240" s="29" t="n">
        <v>0.12</v>
      </c>
      <c r="Z240" s="30"/>
      <c r="AA240" s="29" t="n">
        <v>0.04</v>
      </c>
      <c r="AB240" s="31" t="n">
        <v>231689.25</v>
      </c>
      <c r="AE240" s="6" t="n">
        <v>231689.25</v>
      </c>
      <c r="AF240" s="6" t="s">
        <v>1063</v>
      </c>
      <c r="AG240" s="6" t="n">
        <v>1</v>
      </c>
      <c r="AH240" s="30" t="s">
        <v>1178</v>
      </c>
      <c r="AI240" s="6" t="n">
        <v>0</v>
      </c>
      <c r="AJ240" s="6" t="s">
        <v>278</v>
      </c>
      <c r="AK240" s="6" t="s">
        <v>1281</v>
      </c>
      <c r="AL240" s="6" t="s">
        <v>278</v>
      </c>
      <c r="AM240" s="6" t="n">
        <v>0</v>
      </c>
      <c r="AQ240" s="6" t="s">
        <v>521</v>
      </c>
      <c r="AR240" s="6" t="s">
        <v>57</v>
      </c>
    </row>
    <row r="241" customFormat="false" ht="15" hidden="false" customHeight="true" outlineLevel="0" collapsed="false">
      <c r="A241" s="27" t="n">
        <v>109802</v>
      </c>
      <c r="B241" s="6" t="s">
        <v>1458</v>
      </c>
      <c r="C241" s="27" t="n">
        <v>109802</v>
      </c>
      <c r="D241" s="6" t="s">
        <v>524</v>
      </c>
      <c r="E241" s="6" t="s">
        <v>1063</v>
      </c>
      <c r="F241" s="6" t="s">
        <v>1296</v>
      </c>
      <c r="G241" s="6" t="s">
        <v>1173</v>
      </c>
      <c r="H241" s="6" t="s">
        <v>1185</v>
      </c>
      <c r="I241" s="6" t="s">
        <v>1185</v>
      </c>
      <c r="N241" s="6" t="s">
        <v>1023</v>
      </c>
      <c r="O241" s="6" t="s">
        <v>1347</v>
      </c>
      <c r="P241" s="6" t="n">
        <v>1</v>
      </c>
      <c r="R241" s="6" t="s">
        <v>1152</v>
      </c>
      <c r="U241" s="6" t="n">
        <v>187450</v>
      </c>
      <c r="V241" s="28" t="n">
        <v>187450</v>
      </c>
      <c r="W241" s="29" t="n">
        <v>0.12</v>
      </c>
      <c r="X241" s="6" t="n">
        <v>0.055</v>
      </c>
      <c r="Y241" s="29" t="n">
        <v>0.12</v>
      </c>
      <c r="Z241" s="30"/>
      <c r="AA241" s="29" t="n">
        <v>0.04</v>
      </c>
      <c r="AB241" s="31" t="n">
        <v>250245.75</v>
      </c>
      <c r="AE241" s="6" t="n">
        <v>250245.75</v>
      </c>
      <c r="AF241" s="6" t="s">
        <v>58</v>
      </c>
      <c r="AG241" s="6" t="n">
        <v>0</v>
      </c>
      <c r="AH241" s="30" t="s">
        <v>1178</v>
      </c>
      <c r="AI241" s="6" t="n">
        <v>0</v>
      </c>
      <c r="AJ241" s="6" t="s">
        <v>1185</v>
      </c>
      <c r="AK241" s="6" t="s">
        <v>988</v>
      </c>
      <c r="AL241" s="6" t="s">
        <v>1185</v>
      </c>
      <c r="AM241" s="6" t="n">
        <v>0</v>
      </c>
      <c r="AQ241" s="6" t="s">
        <v>523</v>
      </c>
      <c r="AR241" s="6" t="s">
        <v>57</v>
      </c>
    </row>
    <row r="242" customFormat="false" ht="15" hidden="false" customHeight="true" outlineLevel="0" collapsed="false">
      <c r="A242" s="27" t="n">
        <v>83658</v>
      </c>
      <c r="B242" s="6" t="s">
        <v>1459</v>
      </c>
      <c r="C242" s="27" t="n">
        <v>83658</v>
      </c>
      <c r="D242" s="6" t="s">
        <v>526</v>
      </c>
      <c r="E242" s="6" t="s">
        <v>1063</v>
      </c>
      <c r="F242" s="6" t="s">
        <v>1249</v>
      </c>
      <c r="G242" s="6" t="s">
        <v>1141</v>
      </c>
      <c r="H242" s="6" t="s">
        <v>191</v>
      </c>
      <c r="I242" s="6" t="s">
        <v>26</v>
      </c>
      <c r="J242" s="6" t="s">
        <v>26</v>
      </c>
      <c r="K242" s="6" t="s">
        <v>26</v>
      </c>
      <c r="L242" s="6" t="s">
        <v>26</v>
      </c>
      <c r="N242" s="6" t="s">
        <v>1023</v>
      </c>
      <c r="O242" s="6" t="s">
        <v>1347</v>
      </c>
      <c r="P242" s="6" t="n">
        <v>1</v>
      </c>
      <c r="R242" s="6" t="s">
        <v>1152</v>
      </c>
      <c r="U242" s="6" t="n">
        <v>169130</v>
      </c>
      <c r="V242" s="28" t="n">
        <v>169130</v>
      </c>
      <c r="W242" s="29" t="n">
        <v>0.12</v>
      </c>
      <c r="X242" s="6" t="n">
        <v>0.055</v>
      </c>
      <c r="Y242" s="29" t="n">
        <v>0.12</v>
      </c>
      <c r="Z242" s="30"/>
      <c r="AA242" s="29" t="n">
        <v>0.04</v>
      </c>
      <c r="AB242" s="31" t="n">
        <v>225788.55</v>
      </c>
      <c r="AE242" s="6" t="n">
        <v>225788.55</v>
      </c>
      <c r="AF242" s="6" t="s">
        <v>58</v>
      </c>
      <c r="AG242" s="6" t="n">
        <v>0</v>
      </c>
      <c r="AH242" s="30" t="s">
        <v>1144</v>
      </c>
      <c r="AI242" s="6" t="n">
        <v>0</v>
      </c>
      <c r="AJ242" s="6" t="s">
        <v>191</v>
      </c>
      <c r="AK242" s="6" t="s">
        <v>988</v>
      </c>
      <c r="AL242" s="6" t="s">
        <v>191</v>
      </c>
      <c r="AM242" s="6" t="n">
        <v>0</v>
      </c>
      <c r="AQ242" s="6" t="s">
        <v>525</v>
      </c>
      <c r="AR242" s="6" t="s">
        <v>57</v>
      </c>
    </row>
    <row r="243" customFormat="false" ht="15" hidden="false" customHeight="true" outlineLevel="0" collapsed="false">
      <c r="A243" s="27" t="n">
        <v>97800</v>
      </c>
      <c r="B243" s="6" t="s">
        <v>1460</v>
      </c>
      <c r="C243" s="27" t="n">
        <v>97800</v>
      </c>
      <c r="D243" s="6" t="s">
        <v>1461</v>
      </c>
      <c r="E243" s="6" t="s">
        <v>1063</v>
      </c>
      <c r="F243" s="6" t="s">
        <v>1432</v>
      </c>
      <c r="G243" s="6" t="s">
        <v>1076</v>
      </c>
      <c r="H243" s="6" t="s">
        <v>1290</v>
      </c>
      <c r="I243" s="6" t="s">
        <v>1433</v>
      </c>
      <c r="J243" s="6" t="s">
        <v>30</v>
      </c>
      <c r="K243" s="6" t="s">
        <v>30</v>
      </c>
      <c r="L243" s="6" t="s">
        <v>477</v>
      </c>
      <c r="N243" s="6" t="s">
        <v>1023</v>
      </c>
      <c r="O243" s="6" t="s">
        <v>1347</v>
      </c>
      <c r="P243" s="6" t="n">
        <v>1</v>
      </c>
      <c r="R243" s="6" t="s">
        <v>1152</v>
      </c>
      <c r="U243" s="6" t="n">
        <v>184640</v>
      </c>
      <c r="V243" s="28" t="n">
        <v>184640</v>
      </c>
      <c r="W243" s="29" t="n">
        <v>0.12</v>
      </c>
      <c r="X243" s="6" t="n">
        <v>0.055</v>
      </c>
      <c r="Y243" s="29" t="n">
        <v>0.12</v>
      </c>
      <c r="Z243" s="30"/>
      <c r="AA243" s="29" t="n">
        <v>0.04</v>
      </c>
      <c r="AB243" s="31" t="n">
        <v>246494.4</v>
      </c>
      <c r="AE243" s="6" t="n">
        <v>246494.4</v>
      </c>
      <c r="AF243" s="6" t="s">
        <v>58</v>
      </c>
      <c r="AG243" s="6" t="n">
        <v>0</v>
      </c>
      <c r="AH243" s="30" t="s">
        <v>1076</v>
      </c>
      <c r="AI243" s="6" t="n">
        <v>0</v>
      </c>
      <c r="AJ243" s="6" t="s">
        <v>477</v>
      </c>
      <c r="AK243" s="6" t="s">
        <v>988</v>
      </c>
      <c r="AL243" s="6" t="s">
        <v>477</v>
      </c>
      <c r="AM243" s="6" t="n">
        <v>0</v>
      </c>
      <c r="AQ243" s="6" t="s">
        <v>527</v>
      </c>
      <c r="AR243" s="6" t="s">
        <v>57</v>
      </c>
    </row>
    <row r="244" customFormat="false" ht="15" hidden="false" customHeight="true" outlineLevel="0" collapsed="false">
      <c r="A244" s="27" t="n">
        <v>97625</v>
      </c>
      <c r="B244" s="6" t="s">
        <v>1462</v>
      </c>
      <c r="C244" s="27" t="n">
        <v>97625</v>
      </c>
      <c r="D244" s="6" t="s">
        <v>530</v>
      </c>
      <c r="E244" s="6" t="s">
        <v>1063</v>
      </c>
      <c r="F244" s="6" t="s">
        <v>1432</v>
      </c>
      <c r="G244" s="6" t="s">
        <v>1076</v>
      </c>
      <c r="H244" s="6" t="s">
        <v>1290</v>
      </c>
      <c r="I244" s="6" t="s">
        <v>1433</v>
      </c>
      <c r="J244" s="6" t="s">
        <v>30</v>
      </c>
      <c r="K244" s="6" t="s">
        <v>30</v>
      </c>
      <c r="L244" s="6" t="s">
        <v>477</v>
      </c>
      <c r="N244" s="6" t="s">
        <v>1023</v>
      </c>
      <c r="O244" s="6" t="s">
        <v>1347</v>
      </c>
      <c r="P244" s="6" t="n">
        <v>1</v>
      </c>
      <c r="R244" s="6" t="s">
        <v>1152</v>
      </c>
      <c r="U244" s="6" t="n">
        <v>194100</v>
      </c>
      <c r="V244" s="28" t="n">
        <v>194100</v>
      </c>
      <c r="W244" s="29" t="n">
        <v>0.12</v>
      </c>
      <c r="X244" s="6" t="n">
        <v>0.055</v>
      </c>
      <c r="Y244" s="29" t="n">
        <v>0.12</v>
      </c>
      <c r="Z244" s="30"/>
      <c r="AA244" s="29" t="n">
        <v>0.04</v>
      </c>
      <c r="AB244" s="31" t="n">
        <v>259123.5</v>
      </c>
      <c r="AE244" s="6" t="n">
        <v>259123.5</v>
      </c>
      <c r="AF244" s="6" t="s">
        <v>58</v>
      </c>
      <c r="AG244" s="6" t="n">
        <v>0</v>
      </c>
      <c r="AH244" s="30" t="s">
        <v>1076</v>
      </c>
      <c r="AI244" s="6" t="n">
        <v>0</v>
      </c>
      <c r="AJ244" s="6" t="s">
        <v>477</v>
      </c>
      <c r="AK244" s="6" t="s">
        <v>988</v>
      </c>
      <c r="AL244" s="6" t="s">
        <v>477</v>
      </c>
      <c r="AM244" s="6" t="n">
        <v>0</v>
      </c>
      <c r="AQ244" s="6" t="s">
        <v>529</v>
      </c>
      <c r="AR244" s="6" t="s">
        <v>57</v>
      </c>
    </row>
    <row r="245" customFormat="false" ht="15" hidden="false" customHeight="true" outlineLevel="0" collapsed="false">
      <c r="A245" s="27" t="n">
        <v>6591</v>
      </c>
      <c r="B245" s="6" t="s">
        <v>1463</v>
      </c>
      <c r="C245" s="27" t="n">
        <v>6591</v>
      </c>
      <c r="D245" s="6" t="s">
        <v>530</v>
      </c>
      <c r="E245" s="6" t="s">
        <v>1063</v>
      </c>
      <c r="F245" s="6" t="s">
        <v>1432</v>
      </c>
      <c r="G245" s="6" t="s">
        <v>1076</v>
      </c>
      <c r="H245" s="6" t="s">
        <v>1290</v>
      </c>
      <c r="I245" s="6" t="s">
        <v>1433</v>
      </c>
      <c r="J245" s="6" t="s">
        <v>30</v>
      </c>
      <c r="K245" s="6" t="s">
        <v>30</v>
      </c>
      <c r="L245" s="6" t="s">
        <v>477</v>
      </c>
      <c r="N245" s="6" t="s">
        <v>1023</v>
      </c>
      <c r="O245" s="6" t="s">
        <v>1347</v>
      </c>
      <c r="P245" s="6" t="n">
        <v>1</v>
      </c>
      <c r="R245" s="6" t="s">
        <v>1152</v>
      </c>
      <c r="U245" s="6" t="n">
        <v>182340</v>
      </c>
      <c r="V245" s="28" t="n">
        <v>182340</v>
      </c>
      <c r="W245" s="29" t="n">
        <v>0.12</v>
      </c>
      <c r="X245" s="6" t="n">
        <v>0.055</v>
      </c>
      <c r="Y245" s="29" t="n">
        <v>0.12</v>
      </c>
      <c r="Z245" s="30"/>
      <c r="AA245" s="29" t="n">
        <v>0.04</v>
      </c>
      <c r="AB245" s="31" t="n">
        <v>243423.9</v>
      </c>
      <c r="AE245" s="6" t="n">
        <v>243423.9</v>
      </c>
      <c r="AF245" s="6" t="s">
        <v>58</v>
      </c>
      <c r="AG245" s="6" t="n">
        <v>0</v>
      </c>
      <c r="AH245" s="30" t="s">
        <v>1076</v>
      </c>
      <c r="AI245" s="6" t="n">
        <v>0</v>
      </c>
      <c r="AJ245" s="6" t="s">
        <v>477</v>
      </c>
      <c r="AK245" s="6" t="s">
        <v>988</v>
      </c>
      <c r="AL245" s="6" t="s">
        <v>477</v>
      </c>
      <c r="AM245" s="6" t="n">
        <v>0</v>
      </c>
      <c r="AQ245" s="6" t="s">
        <v>531</v>
      </c>
      <c r="AR245" s="6" t="s">
        <v>57</v>
      </c>
    </row>
    <row r="246" customFormat="false" ht="15" hidden="false" customHeight="true" outlineLevel="0" collapsed="false">
      <c r="A246" s="27" t="n">
        <v>113039</v>
      </c>
      <c r="B246" s="6" t="s">
        <v>1464</v>
      </c>
      <c r="C246" s="27" t="n">
        <v>113039</v>
      </c>
      <c r="D246" s="6" t="s">
        <v>55</v>
      </c>
      <c r="E246" s="6" t="s">
        <v>1063</v>
      </c>
      <c r="F246" s="6" t="s">
        <v>270</v>
      </c>
      <c r="G246" s="6" t="s">
        <v>1058</v>
      </c>
      <c r="H246" s="6" t="s">
        <v>20</v>
      </c>
      <c r="I246" s="6" t="s">
        <v>1276</v>
      </c>
      <c r="J246" s="6" t="s">
        <v>20</v>
      </c>
      <c r="K246" s="6" t="s">
        <v>351</v>
      </c>
      <c r="L246" s="6" t="s">
        <v>533</v>
      </c>
      <c r="N246" s="6" t="s">
        <v>1189</v>
      </c>
      <c r="O246" s="6" t="s">
        <v>1347</v>
      </c>
      <c r="P246" s="6" t="n">
        <v>1</v>
      </c>
      <c r="R246" s="6" t="s">
        <v>1322</v>
      </c>
      <c r="U246" s="6" t="n">
        <v>160000</v>
      </c>
      <c r="V246" s="28" t="n">
        <v>193600</v>
      </c>
      <c r="W246" s="29" t="n">
        <v>0.25</v>
      </c>
      <c r="Y246" s="29" t="n">
        <v>0.17</v>
      </c>
      <c r="Z246" s="30" t="n">
        <v>3310</v>
      </c>
      <c r="AA246" s="29" t="n">
        <v>0.045</v>
      </c>
      <c r="AB246" s="31" t="n">
        <v>286934</v>
      </c>
      <c r="AE246" s="6" t="n">
        <v>286934</v>
      </c>
      <c r="AF246" s="6" t="s">
        <v>58</v>
      </c>
      <c r="AG246" s="6" t="n">
        <v>0</v>
      </c>
      <c r="AH246" s="30" t="s">
        <v>20</v>
      </c>
      <c r="AI246" s="6" t="n">
        <v>0</v>
      </c>
      <c r="AJ246" s="6" t="s">
        <v>533</v>
      </c>
      <c r="AK246" s="6" t="s">
        <v>988</v>
      </c>
      <c r="AL246" s="6" t="s">
        <v>533</v>
      </c>
      <c r="AM246" s="6" t="n">
        <v>0</v>
      </c>
      <c r="AQ246" s="6" t="s">
        <v>532</v>
      </c>
      <c r="AR246" s="6" t="s">
        <v>57</v>
      </c>
    </row>
    <row r="247" customFormat="false" ht="15" hidden="false" customHeight="true" outlineLevel="0" collapsed="false">
      <c r="A247" s="27" t="n">
        <v>115847</v>
      </c>
      <c r="B247" s="6" t="s">
        <v>1465</v>
      </c>
      <c r="C247" s="27" t="n">
        <v>115847</v>
      </c>
      <c r="D247" s="6" t="s">
        <v>411</v>
      </c>
      <c r="E247" s="6" t="s">
        <v>1063</v>
      </c>
      <c r="F247" s="6" t="s">
        <v>270</v>
      </c>
      <c r="G247" s="6" t="s">
        <v>1058</v>
      </c>
      <c r="H247" s="6" t="s">
        <v>20</v>
      </c>
      <c r="I247" s="6" t="s">
        <v>1276</v>
      </c>
      <c r="J247" s="6" t="s">
        <v>20</v>
      </c>
      <c r="K247" s="6" t="s">
        <v>351</v>
      </c>
      <c r="L247" s="6" t="s">
        <v>533</v>
      </c>
      <c r="N247" s="6" t="s">
        <v>1189</v>
      </c>
      <c r="O247" s="6" t="s">
        <v>1347</v>
      </c>
      <c r="P247" s="6" t="n">
        <v>1</v>
      </c>
      <c r="R247" s="6" t="s">
        <v>1152</v>
      </c>
      <c r="U247" s="6" t="n">
        <v>180000</v>
      </c>
      <c r="V247" s="28" t="n">
        <v>217800</v>
      </c>
      <c r="W247" s="29" t="n">
        <v>0.25</v>
      </c>
      <c r="Y247" s="29" t="n">
        <v>0.17</v>
      </c>
      <c r="Z247" s="30" t="n">
        <v>3310</v>
      </c>
      <c r="AA247" s="29" t="n">
        <v>0.045</v>
      </c>
      <c r="AB247" s="31" t="n">
        <v>322387</v>
      </c>
      <c r="AE247" s="6" t="n">
        <v>322387</v>
      </c>
      <c r="AF247" s="6" t="s">
        <v>58</v>
      </c>
      <c r="AG247" s="6" t="n">
        <v>0</v>
      </c>
      <c r="AH247" s="30" t="s">
        <v>20</v>
      </c>
      <c r="AI247" s="6" t="n">
        <v>0</v>
      </c>
      <c r="AJ247" s="6" t="s">
        <v>533</v>
      </c>
      <c r="AK247" s="6" t="s">
        <v>988</v>
      </c>
      <c r="AL247" s="6" t="s">
        <v>533</v>
      </c>
      <c r="AM247" s="6" t="n">
        <v>0</v>
      </c>
      <c r="AQ247" s="6" t="s">
        <v>534</v>
      </c>
      <c r="AR247" s="6" t="s">
        <v>57</v>
      </c>
    </row>
    <row r="248" customFormat="false" ht="15" hidden="false" customHeight="true" outlineLevel="0" collapsed="false">
      <c r="A248" s="27" t="n">
        <v>115723</v>
      </c>
      <c r="B248" s="6" t="s">
        <v>1466</v>
      </c>
      <c r="C248" s="27" t="n">
        <v>115723</v>
      </c>
      <c r="D248" s="6" t="s">
        <v>536</v>
      </c>
      <c r="E248" s="6" t="s">
        <v>1063</v>
      </c>
      <c r="F248" s="6" t="s">
        <v>270</v>
      </c>
      <c r="G248" s="6" t="s">
        <v>1058</v>
      </c>
      <c r="H248" s="6" t="s">
        <v>20</v>
      </c>
      <c r="I248" s="6" t="s">
        <v>1276</v>
      </c>
      <c r="J248" s="6" t="s">
        <v>20</v>
      </c>
      <c r="K248" s="6" t="s">
        <v>351</v>
      </c>
      <c r="L248" s="6" t="s">
        <v>533</v>
      </c>
      <c r="N248" s="6" t="s">
        <v>1189</v>
      </c>
      <c r="O248" s="6" t="s">
        <v>1347</v>
      </c>
      <c r="P248" s="6" t="n">
        <v>1</v>
      </c>
      <c r="R248" s="6" t="s">
        <v>1152</v>
      </c>
      <c r="U248" s="6" t="n">
        <v>210000</v>
      </c>
      <c r="V248" s="28" t="n">
        <v>254100</v>
      </c>
      <c r="W248" s="29" t="n">
        <v>0.25</v>
      </c>
      <c r="Y248" s="29" t="n">
        <v>0.17</v>
      </c>
      <c r="Z248" s="30" t="n">
        <v>3310</v>
      </c>
      <c r="AA248" s="29" t="n">
        <v>0.045</v>
      </c>
      <c r="AB248" s="31" t="n">
        <v>375566.5</v>
      </c>
      <c r="AE248" s="6" t="n">
        <v>375566.5</v>
      </c>
      <c r="AF248" s="6" t="s">
        <v>58</v>
      </c>
      <c r="AG248" s="6" t="n">
        <v>0</v>
      </c>
      <c r="AH248" s="30" t="s">
        <v>20</v>
      </c>
      <c r="AI248" s="6" t="n">
        <v>0</v>
      </c>
      <c r="AJ248" s="6" t="s">
        <v>533</v>
      </c>
      <c r="AK248" s="6" t="s">
        <v>988</v>
      </c>
      <c r="AL248" s="6" t="s">
        <v>533</v>
      </c>
      <c r="AM248" s="6" t="n">
        <v>0</v>
      </c>
      <c r="AQ248" s="6" t="s">
        <v>535</v>
      </c>
      <c r="AR248" s="6" t="s">
        <v>57</v>
      </c>
    </row>
    <row r="249" customFormat="false" ht="15" hidden="false" customHeight="true" outlineLevel="0" collapsed="false">
      <c r="A249" s="27" t="n">
        <v>110185</v>
      </c>
      <c r="B249" s="6" t="s">
        <v>1467</v>
      </c>
      <c r="C249" s="27" t="n">
        <v>110185</v>
      </c>
      <c r="D249" s="6" t="s">
        <v>538</v>
      </c>
      <c r="E249" s="6" t="s">
        <v>1063</v>
      </c>
      <c r="F249" s="6" t="s">
        <v>270</v>
      </c>
      <c r="G249" s="6" t="s">
        <v>1058</v>
      </c>
      <c r="H249" s="6" t="s">
        <v>20</v>
      </c>
      <c r="I249" s="6" t="s">
        <v>1276</v>
      </c>
      <c r="J249" s="6" t="s">
        <v>20</v>
      </c>
      <c r="K249" s="6" t="s">
        <v>351</v>
      </c>
      <c r="L249" s="6" t="s">
        <v>533</v>
      </c>
      <c r="N249" s="6" t="s">
        <v>1189</v>
      </c>
      <c r="O249" s="6" t="s">
        <v>1347</v>
      </c>
      <c r="P249" s="6" t="n">
        <v>1</v>
      </c>
      <c r="R249" s="6" t="s">
        <v>1152</v>
      </c>
      <c r="U249" s="6" t="n">
        <v>181860</v>
      </c>
      <c r="V249" s="28" t="n">
        <v>220050.6</v>
      </c>
      <c r="W249" s="29" t="n">
        <v>0.25</v>
      </c>
      <c r="Y249" s="29" t="n">
        <v>0.17</v>
      </c>
      <c r="Z249" s="30" t="n">
        <v>3310</v>
      </c>
      <c r="AA249" s="29" t="n">
        <v>0.045</v>
      </c>
      <c r="AB249" s="31" t="n">
        <v>325684.129</v>
      </c>
      <c r="AE249" s="6" t="n">
        <v>325684.129</v>
      </c>
      <c r="AF249" s="6" t="s">
        <v>58</v>
      </c>
      <c r="AG249" s="6" t="n">
        <v>0</v>
      </c>
      <c r="AH249" s="30" t="s">
        <v>20</v>
      </c>
      <c r="AI249" s="6" t="n">
        <v>0</v>
      </c>
      <c r="AJ249" s="6" t="s">
        <v>533</v>
      </c>
      <c r="AK249" s="6" t="s">
        <v>988</v>
      </c>
      <c r="AL249" s="6" t="s">
        <v>533</v>
      </c>
      <c r="AM249" s="6" t="n">
        <v>0</v>
      </c>
      <c r="AQ249" s="6" t="s">
        <v>537</v>
      </c>
      <c r="AR249" s="6" t="s">
        <v>57</v>
      </c>
    </row>
    <row r="250" customFormat="false" ht="15" hidden="false" customHeight="true" outlineLevel="0" collapsed="false">
      <c r="A250" s="27" t="n">
        <v>97284</v>
      </c>
      <c r="B250" s="6" t="s">
        <v>1468</v>
      </c>
      <c r="C250" s="27" t="n">
        <v>97284</v>
      </c>
      <c r="D250" s="6" t="s">
        <v>113</v>
      </c>
      <c r="E250" s="6" t="s">
        <v>1063</v>
      </c>
      <c r="F250" s="6" t="s">
        <v>224</v>
      </c>
      <c r="G250" s="6" t="s">
        <v>1058</v>
      </c>
      <c r="H250" s="6" t="s">
        <v>20</v>
      </c>
      <c r="I250" s="6" t="s">
        <v>1469</v>
      </c>
      <c r="J250" s="6" t="s">
        <v>20</v>
      </c>
      <c r="K250" s="6" t="s">
        <v>275</v>
      </c>
      <c r="L250" s="6" t="s">
        <v>275</v>
      </c>
      <c r="N250" s="6" t="s">
        <v>1023</v>
      </c>
      <c r="O250" s="6" t="s">
        <v>1347</v>
      </c>
      <c r="P250" s="6" t="n">
        <v>1</v>
      </c>
      <c r="R250" s="6" t="s">
        <v>1152</v>
      </c>
      <c r="U250" s="6" t="n">
        <v>207470</v>
      </c>
      <c r="V250" s="28" t="n">
        <v>207470</v>
      </c>
      <c r="W250" s="29" t="n">
        <v>0.12</v>
      </c>
      <c r="X250" s="6" t="n">
        <v>0.055</v>
      </c>
      <c r="Y250" s="29" t="n">
        <v>0.12</v>
      </c>
      <c r="Z250" s="30"/>
      <c r="AA250" s="29" t="n">
        <v>0.04</v>
      </c>
      <c r="AB250" s="31" t="n">
        <v>276972.45</v>
      </c>
      <c r="AE250" s="6" t="n">
        <v>276972.45</v>
      </c>
      <c r="AF250" s="6" t="s">
        <v>58</v>
      </c>
      <c r="AG250" s="6" t="n">
        <v>0</v>
      </c>
      <c r="AH250" s="30" t="s">
        <v>20</v>
      </c>
      <c r="AI250" s="6" t="n">
        <v>0</v>
      </c>
      <c r="AJ250" s="6" t="s">
        <v>275</v>
      </c>
      <c r="AK250" s="6" t="s">
        <v>988</v>
      </c>
      <c r="AL250" s="6" t="s">
        <v>275</v>
      </c>
      <c r="AM250" s="6" t="n">
        <v>0</v>
      </c>
      <c r="AQ250" s="6" t="s">
        <v>539</v>
      </c>
      <c r="AR250" s="6" t="s">
        <v>57</v>
      </c>
    </row>
    <row r="251" customFormat="false" ht="15" hidden="false" customHeight="true" outlineLevel="0" collapsed="false">
      <c r="A251" s="27" t="n">
        <v>115506</v>
      </c>
      <c r="B251" s="6" t="s">
        <v>1470</v>
      </c>
      <c r="C251" s="27" t="n">
        <v>115506</v>
      </c>
      <c r="D251" s="6" t="s">
        <v>337</v>
      </c>
      <c r="E251" s="6" t="s">
        <v>1063</v>
      </c>
      <c r="F251" s="6" t="s">
        <v>224</v>
      </c>
      <c r="G251" s="6" t="s">
        <v>1058</v>
      </c>
      <c r="H251" s="6" t="s">
        <v>20</v>
      </c>
      <c r="I251" s="6" t="s">
        <v>1469</v>
      </c>
      <c r="J251" s="6" t="s">
        <v>20</v>
      </c>
      <c r="K251" s="6" t="s">
        <v>275</v>
      </c>
      <c r="L251" s="6" t="s">
        <v>275</v>
      </c>
      <c r="N251" s="6" t="s">
        <v>109</v>
      </c>
      <c r="O251" s="6" t="s">
        <v>1347</v>
      </c>
      <c r="P251" s="6" t="n">
        <v>1</v>
      </c>
      <c r="R251" s="6" t="s">
        <v>1152</v>
      </c>
      <c r="U251" s="6" t="n">
        <v>157060</v>
      </c>
      <c r="V251" s="28" t="n">
        <v>144495.2</v>
      </c>
      <c r="W251" s="29" t="n">
        <v>0.15</v>
      </c>
      <c r="Y251" s="29" t="n">
        <v>0.05</v>
      </c>
      <c r="Z251" s="30" t="n">
        <v>2910</v>
      </c>
      <c r="AA251" s="29" t="n">
        <v>0.03</v>
      </c>
      <c r="AB251" s="31" t="n">
        <v>180639.096</v>
      </c>
      <c r="AE251" s="6" t="n">
        <v>180639.096</v>
      </c>
      <c r="AF251" s="6" t="s">
        <v>58</v>
      </c>
      <c r="AG251" s="6" t="n">
        <v>0</v>
      </c>
      <c r="AH251" s="30" t="s">
        <v>20</v>
      </c>
      <c r="AI251" s="6" t="n">
        <v>0</v>
      </c>
      <c r="AJ251" s="6" t="s">
        <v>275</v>
      </c>
      <c r="AK251" s="6" t="s">
        <v>988</v>
      </c>
      <c r="AL251" s="6" t="s">
        <v>275</v>
      </c>
      <c r="AM251" s="6" t="n">
        <v>0</v>
      </c>
      <c r="AQ251" s="6" t="s">
        <v>540</v>
      </c>
      <c r="AR251" s="6" t="s">
        <v>109</v>
      </c>
    </row>
    <row r="252" customFormat="false" ht="15" hidden="false" customHeight="true" outlineLevel="0" collapsed="false">
      <c r="A252" s="27" t="n">
        <v>114717</v>
      </c>
      <c r="B252" s="6" t="s">
        <v>1471</v>
      </c>
      <c r="C252" s="27" t="n">
        <v>114717</v>
      </c>
      <c r="D252" s="6" t="s">
        <v>542</v>
      </c>
      <c r="E252" s="6" t="s">
        <v>1063</v>
      </c>
      <c r="F252" s="6" t="s">
        <v>224</v>
      </c>
      <c r="G252" s="6" t="s">
        <v>1058</v>
      </c>
      <c r="H252" s="6" t="s">
        <v>20</v>
      </c>
      <c r="I252" s="6" t="s">
        <v>1469</v>
      </c>
      <c r="J252" s="6" t="s">
        <v>20</v>
      </c>
      <c r="K252" s="6" t="s">
        <v>275</v>
      </c>
      <c r="L252" s="6" t="s">
        <v>275</v>
      </c>
      <c r="N252" s="6" t="s">
        <v>1023</v>
      </c>
      <c r="O252" s="6" t="s">
        <v>1347</v>
      </c>
      <c r="P252" s="6" t="n">
        <v>1</v>
      </c>
      <c r="R252" s="6" t="s">
        <v>1152</v>
      </c>
      <c r="U252" s="6" t="n">
        <v>210000</v>
      </c>
      <c r="V252" s="28" t="n">
        <v>210000</v>
      </c>
      <c r="W252" s="29" t="n">
        <v>0.12</v>
      </c>
      <c r="X252" s="6" t="n">
        <v>0.055</v>
      </c>
      <c r="Y252" s="29" t="n">
        <v>0.12</v>
      </c>
      <c r="Z252" s="30"/>
      <c r="AA252" s="29" t="n">
        <v>0.04</v>
      </c>
      <c r="AB252" s="31" t="n">
        <v>280350</v>
      </c>
      <c r="AE252" s="6" t="n">
        <v>280350</v>
      </c>
      <c r="AF252" s="6" t="s">
        <v>58</v>
      </c>
      <c r="AG252" s="6" t="n">
        <v>0</v>
      </c>
      <c r="AH252" s="30" t="s">
        <v>20</v>
      </c>
      <c r="AI252" s="6" t="n">
        <v>0</v>
      </c>
      <c r="AJ252" s="6" t="s">
        <v>275</v>
      </c>
      <c r="AK252" s="6" t="s">
        <v>988</v>
      </c>
      <c r="AL252" s="6" t="s">
        <v>275</v>
      </c>
      <c r="AM252" s="6" t="n">
        <v>0</v>
      </c>
      <c r="AQ252" s="6" t="s">
        <v>541</v>
      </c>
      <c r="AR252" s="6" t="s">
        <v>57</v>
      </c>
    </row>
    <row r="253" customFormat="false" ht="15" hidden="false" customHeight="true" outlineLevel="0" collapsed="false">
      <c r="A253" s="27" t="n">
        <v>113544</v>
      </c>
      <c r="B253" s="6" t="s">
        <v>1472</v>
      </c>
      <c r="C253" s="27" t="n">
        <v>113544</v>
      </c>
      <c r="D253" s="6" t="s">
        <v>389</v>
      </c>
      <c r="E253" s="6" t="s">
        <v>1063</v>
      </c>
      <c r="F253" s="6" t="s">
        <v>224</v>
      </c>
      <c r="G253" s="6" t="s">
        <v>1058</v>
      </c>
      <c r="H253" s="6" t="s">
        <v>20</v>
      </c>
      <c r="I253" s="6" t="s">
        <v>1469</v>
      </c>
      <c r="J253" s="6" t="s">
        <v>20</v>
      </c>
      <c r="K253" s="6" t="s">
        <v>275</v>
      </c>
      <c r="L253" s="6" t="s">
        <v>275</v>
      </c>
      <c r="N253" s="6" t="s">
        <v>109</v>
      </c>
      <c r="O253" s="6" t="s">
        <v>1347</v>
      </c>
      <c r="P253" s="6" t="n">
        <v>1</v>
      </c>
      <c r="R253" s="6" t="s">
        <v>1152</v>
      </c>
      <c r="U253" s="6" t="n">
        <v>171800</v>
      </c>
      <c r="V253" s="28" t="n">
        <v>158056</v>
      </c>
      <c r="W253" s="29" t="n">
        <v>0.15</v>
      </c>
      <c r="Y253" s="29" t="n">
        <v>0.05</v>
      </c>
      <c r="Z253" s="30" t="n">
        <v>2910</v>
      </c>
      <c r="AA253" s="29" t="n">
        <v>0.03</v>
      </c>
      <c r="AB253" s="31" t="n">
        <v>197318.88</v>
      </c>
      <c r="AE253" s="6" t="n">
        <v>197318.88</v>
      </c>
      <c r="AF253" s="6" t="s">
        <v>58</v>
      </c>
      <c r="AG253" s="6" t="n">
        <v>0</v>
      </c>
      <c r="AH253" s="30" t="s">
        <v>20</v>
      </c>
      <c r="AI253" s="6" t="n">
        <v>0</v>
      </c>
      <c r="AJ253" s="6" t="s">
        <v>275</v>
      </c>
      <c r="AK253" s="6" t="s">
        <v>988</v>
      </c>
      <c r="AL253" s="6" t="s">
        <v>275</v>
      </c>
      <c r="AM253" s="6" t="n">
        <v>0</v>
      </c>
      <c r="AQ253" s="6" t="s">
        <v>543</v>
      </c>
      <c r="AR253" s="6" t="s">
        <v>109</v>
      </c>
    </row>
    <row r="254" customFormat="false" ht="15" hidden="false" customHeight="true" outlineLevel="0" collapsed="false">
      <c r="A254" s="27" t="s">
        <v>1138</v>
      </c>
      <c r="B254" s="6" t="s">
        <v>1063</v>
      </c>
      <c r="C254" s="27" t="s">
        <v>1138</v>
      </c>
      <c r="D254" s="6" t="s">
        <v>545</v>
      </c>
      <c r="E254" s="6" t="s">
        <v>1063</v>
      </c>
      <c r="F254" s="6" t="s">
        <v>1310</v>
      </c>
      <c r="G254" s="6" t="s">
        <v>1058</v>
      </c>
      <c r="H254" s="6" t="s">
        <v>1059</v>
      </c>
      <c r="I254" s="6" t="s">
        <v>1244</v>
      </c>
      <c r="J254" s="6" t="s">
        <v>25</v>
      </c>
      <c r="K254" s="6" t="s">
        <v>1061</v>
      </c>
      <c r="L254" s="6" t="s">
        <v>1061</v>
      </c>
      <c r="N254" s="6" t="s">
        <v>1023</v>
      </c>
      <c r="O254" s="6" t="s">
        <v>1347</v>
      </c>
      <c r="P254" s="6" t="n">
        <v>1</v>
      </c>
      <c r="R254" s="6" t="s">
        <v>1143</v>
      </c>
      <c r="U254" s="6" t="n">
        <v>173550</v>
      </c>
      <c r="V254" s="28" t="n">
        <v>173550</v>
      </c>
      <c r="W254" s="29" t="n">
        <v>0.12</v>
      </c>
      <c r="X254" s="6" t="n">
        <v>0.055</v>
      </c>
      <c r="Y254" s="29" t="n">
        <v>0.12</v>
      </c>
      <c r="Z254" s="30"/>
      <c r="AA254" s="29" t="n">
        <v>0.04</v>
      </c>
      <c r="AB254" s="31" t="n">
        <v>231689.25</v>
      </c>
      <c r="AE254" s="6" t="n">
        <v>231689.25</v>
      </c>
      <c r="AF254" s="6" t="s">
        <v>1063</v>
      </c>
      <c r="AG254" s="6" t="n">
        <v>0</v>
      </c>
      <c r="AH254" s="30" t="s">
        <v>25</v>
      </c>
      <c r="AI254" s="6" t="n">
        <v>0</v>
      </c>
      <c r="AJ254" s="6" t="s">
        <v>89</v>
      </c>
      <c r="AK254" s="6" t="s">
        <v>988</v>
      </c>
      <c r="AL254" s="6" t="s">
        <v>89</v>
      </c>
      <c r="AM254" s="6" t="n">
        <v>0</v>
      </c>
      <c r="AQ254" s="6" t="s">
        <v>544</v>
      </c>
      <c r="AR254" s="6" t="s">
        <v>57</v>
      </c>
    </row>
    <row r="255" customFormat="false" ht="15" hidden="false" customHeight="true" outlineLevel="0" collapsed="false">
      <c r="A255" s="27" t="s">
        <v>1138</v>
      </c>
      <c r="B255" s="6" t="s">
        <v>1063</v>
      </c>
      <c r="C255" s="27" t="s">
        <v>1138</v>
      </c>
      <c r="D255" s="6" t="s">
        <v>547</v>
      </c>
      <c r="E255" s="6" t="s">
        <v>1063</v>
      </c>
      <c r="F255" s="6" t="s">
        <v>1304</v>
      </c>
      <c r="G255" s="6" t="s">
        <v>1141</v>
      </c>
      <c r="H255" s="6" t="s">
        <v>191</v>
      </c>
      <c r="I255" s="6" t="s">
        <v>26</v>
      </c>
      <c r="J255" s="6" t="s">
        <v>26</v>
      </c>
      <c r="K255" s="6" t="s">
        <v>26</v>
      </c>
      <c r="L255" s="6" t="s">
        <v>26</v>
      </c>
      <c r="N255" s="6" t="s">
        <v>1023</v>
      </c>
      <c r="O255" s="6" t="s">
        <v>1347</v>
      </c>
      <c r="P255" s="6" t="n">
        <v>1</v>
      </c>
      <c r="R255" s="6" t="s">
        <v>1138</v>
      </c>
      <c r="U255" s="6" t="n">
        <v>173550</v>
      </c>
      <c r="V255" s="28" t="n">
        <v>173550</v>
      </c>
      <c r="W255" s="29" t="n">
        <v>0.12</v>
      </c>
      <c r="X255" s="6" t="n">
        <v>0.055</v>
      </c>
      <c r="Y255" s="29" t="n">
        <v>0.12</v>
      </c>
      <c r="Z255" s="30"/>
      <c r="AA255" s="29" t="n">
        <v>0.04</v>
      </c>
      <c r="AB255" s="31" t="n">
        <v>231689.25</v>
      </c>
      <c r="AE255" s="6" t="n">
        <v>231689.25</v>
      </c>
      <c r="AF255" s="6" t="s">
        <v>1063</v>
      </c>
      <c r="AG255" s="6" t="n">
        <v>0</v>
      </c>
      <c r="AH255" s="30" t="s">
        <v>1144</v>
      </c>
      <c r="AI255" s="6" t="n">
        <v>0</v>
      </c>
      <c r="AJ255" s="6" t="s">
        <v>191</v>
      </c>
      <c r="AK255" s="6" t="s">
        <v>988</v>
      </c>
      <c r="AL255" s="6" t="s">
        <v>191</v>
      </c>
      <c r="AM255" s="6" t="n">
        <v>0</v>
      </c>
      <c r="AQ255" s="6" t="s">
        <v>546</v>
      </c>
      <c r="AR255" s="6" t="s">
        <v>57</v>
      </c>
    </row>
    <row r="256" customFormat="false" ht="15" hidden="false" customHeight="true" outlineLevel="0" collapsed="false">
      <c r="A256" s="27" t="s">
        <v>1138</v>
      </c>
      <c r="B256" s="6" t="s">
        <v>1063</v>
      </c>
      <c r="C256" s="27" t="s">
        <v>1138</v>
      </c>
      <c r="D256" s="6" t="s">
        <v>337</v>
      </c>
      <c r="E256" s="6" t="s">
        <v>1300</v>
      </c>
      <c r="F256" s="6" t="s">
        <v>302</v>
      </c>
      <c r="G256" s="6" t="s">
        <v>1073</v>
      </c>
      <c r="H256" s="6" t="s">
        <v>1133</v>
      </c>
      <c r="I256" s="6" t="s">
        <v>1301</v>
      </c>
      <c r="J256" s="6" t="s">
        <v>29</v>
      </c>
      <c r="K256" s="6" t="s">
        <v>554</v>
      </c>
      <c r="L256" s="6" t="s">
        <v>549</v>
      </c>
      <c r="N256" s="6" t="s">
        <v>1023</v>
      </c>
      <c r="O256" s="6" t="s">
        <v>1347</v>
      </c>
      <c r="P256" s="6" t="n">
        <v>1</v>
      </c>
      <c r="R256" s="6" t="s">
        <v>1143</v>
      </c>
      <c r="U256" s="6" t="n">
        <v>168160</v>
      </c>
      <c r="V256" s="28" t="n">
        <v>168160</v>
      </c>
      <c r="W256" s="29" t="n">
        <v>0.12</v>
      </c>
      <c r="X256" s="6" t="n">
        <v>0.055</v>
      </c>
      <c r="Y256" s="29" t="n">
        <v>0.12</v>
      </c>
      <c r="Z256" s="30"/>
      <c r="AA256" s="29" t="n">
        <v>0.04</v>
      </c>
      <c r="AB256" s="31" t="n">
        <v>224493.6</v>
      </c>
      <c r="AE256" s="6" t="n">
        <v>224493.6</v>
      </c>
      <c r="AF256" s="6" t="s">
        <v>1063</v>
      </c>
      <c r="AG256" s="6" t="n">
        <v>0</v>
      </c>
      <c r="AH256" s="30" t="s">
        <v>1133</v>
      </c>
      <c r="AI256" s="6" t="n">
        <v>0</v>
      </c>
      <c r="AJ256" s="6" t="s">
        <v>549</v>
      </c>
      <c r="AK256" s="6" t="s">
        <v>988</v>
      </c>
      <c r="AL256" s="6" t="s">
        <v>549</v>
      </c>
      <c r="AM256" s="6" t="n">
        <v>0</v>
      </c>
      <c r="AQ256" s="6" t="s">
        <v>548</v>
      </c>
      <c r="AR256" s="6" t="s">
        <v>57</v>
      </c>
    </row>
    <row r="257" customFormat="false" ht="15" hidden="false" customHeight="true" outlineLevel="0" collapsed="false">
      <c r="A257" s="27" t="n">
        <v>97784</v>
      </c>
      <c r="B257" s="6" t="s">
        <v>1473</v>
      </c>
      <c r="C257" s="27" t="n">
        <v>97784</v>
      </c>
      <c r="D257" s="6" t="s">
        <v>55</v>
      </c>
      <c r="E257" s="6" t="s">
        <v>1131</v>
      </c>
      <c r="F257" s="6" t="s">
        <v>1132</v>
      </c>
      <c r="G257" s="6" t="s">
        <v>1073</v>
      </c>
      <c r="H257" s="6" t="s">
        <v>1133</v>
      </c>
      <c r="I257" s="6" t="s">
        <v>1134</v>
      </c>
      <c r="J257" s="6" t="s">
        <v>29</v>
      </c>
      <c r="K257" s="6" t="s">
        <v>1313</v>
      </c>
      <c r="L257" s="6" t="s">
        <v>1314</v>
      </c>
      <c r="N257" s="6" t="s">
        <v>1023</v>
      </c>
      <c r="O257" s="6" t="s">
        <v>1347</v>
      </c>
      <c r="P257" s="6" t="n">
        <v>1</v>
      </c>
      <c r="R257" s="6" t="s">
        <v>1152</v>
      </c>
      <c r="U257" s="6" t="n">
        <v>178018</v>
      </c>
      <c r="V257" s="28" t="n">
        <v>178018</v>
      </c>
      <c r="W257" s="29" t="n">
        <v>0.12</v>
      </c>
      <c r="X257" s="6" t="n">
        <v>0.055</v>
      </c>
      <c r="Y257" s="29" t="n">
        <v>0.12</v>
      </c>
      <c r="Z257" s="30"/>
      <c r="AA257" s="29" t="n">
        <v>0.04</v>
      </c>
      <c r="AB257" s="31" t="n">
        <v>237654.03</v>
      </c>
      <c r="AE257" s="6" t="n">
        <v>237654.03</v>
      </c>
      <c r="AF257" s="6" t="s">
        <v>58</v>
      </c>
      <c r="AG257" s="6" t="n">
        <v>0</v>
      </c>
      <c r="AH257" s="30" t="s">
        <v>1133</v>
      </c>
      <c r="AI257" s="6" t="n">
        <v>0</v>
      </c>
      <c r="AJ257" s="6" t="s">
        <v>313</v>
      </c>
      <c r="AK257" s="6" t="s">
        <v>988</v>
      </c>
      <c r="AL257" s="6" t="s">
        <v>313</v>
      </c>
      <c r="AM257" s="6" t="n">
        <v>0</v>
      </c>
      <c r="AQ257" s="6" t="s">
        <v>550</v>
      </c>
      <c r="AR257" s="6" t="s">
        <v>57</v>
      </c>
    </row>
    <row r="258" customFormat="false" ht="15" hidden="false" customHeight="true" outlineLevel="0" collapsed="false">
      <c r="A258" s="27" t="n">
        <v>110704</v>
      </c>
      <c r="B258" s="6" t="s">
        <v>1474</v>
      </c>
      <c r="C258" s="27" t="n">
        <v>110704</v>
      </c>
      <c r="D258" s="6" t="s">
        <v>55</v>
      </c>
      <c r="E258" s="6" t="s">
        <v>1131</v>
      </c>
      <c r="F258" s="6" t="s">
        <v>1132</v>
      </c>
      <c r="G258" s="6" t="s">
        <v>1073</v>
      </c>
      <c r="H258" s="6" t="s">
        <v>1133</v>
      </c>
      <c r="I258" s="6" t="s">
        <v>1134</v>
      </c>
      <c r="J258" s="6" t="s">
        <v>29</v>
      </c>
      <c r="K258" s="6" t="s">
        <v>1313</v>
      </c>
      <c r="L258" s="6" t="s">
        <v>1314</v>
      </c>
      <c r="N258" s="6" t="s">
        <v>1023</v>
      </c>
      <c r="O258" s="6" t="s">
        <v>1347</v>
      </c>
      <c r="P258" s="6" t="n">
        <v>1</v>
      </c>
      <c r="R258" s="6" t="s">
        <v>1152</v>
      </c>
      <c r="U258" s="6" t="n">
        <v>140000</v>
      </c>
      <c r="V258" s="28" t="n">
        <v>128800</v>
      </c>
      <c r="W258" s="29" t="n">
        <v>0.15</v>
      </c>
      <c r="Y258" s="29" t="n">
        <v>0.05</v>
      </c>
      <c r="Z258" s="30" t="n">
        <v>2910</v>
      </c>
      <c r="AA258" s="29" t="n">
        <v>0.03</v>
      </c>
      <c r="AB258" s="31" t="n">
        <v>161334</v>
      </c>
      <c r="AE258" s="6" t="n">
        <v>161334</v>
      </c>
      <c r="AF258" s="6" t="s">
        <v>58</v>
      </c>
      <c r="AG258" s="6" t="n">
        <v>0</v>
      </c>
      <c r="AH258" s="30" t="s">
        <v>1133</v>
      </c>
      <c r="AI258" s="6" t="n">
        <v>0</v>
      </c>
      <c r="AJ258" s="6" t="s">
        <v>313</v>
      </c>
      <c r="AK258" s="6" t="s">
        <v>988</v>
      </c>
      <c r="AL258" s="6" t="s">
        <v>313</v>
      </c>
      <c r="AM258" s="6" t="n">
        <v>0</v>
      </c>
      <c r="AQ258" s="6" t="s">
        <v>551</v>
      </c>
      <c r="AR258" s="6" t="s">
        <v>57</v>
      </c>
    </row>
    <row r="259" customFormat="false" ht="15" hidden="false" customHeight="true" outlineLevel="0" collapsed="false">
      <c r="A259" s="27" t="n">
        <v>4259</v>
      </c>
      <c r="B259" s="6" t="s">
        <v>1475</v>
      </c>
      <c r="C259" s="27" t="n">
        <v>4259</v>
      </c>
      <c r="D259" s="6" t="s">
        <v>553</v>
      </c>
      <c r="E259" s="6" t="s">
        <v>1269</v>
      </c>
      <c r="F259" s="6" t="s">
        <v>263</v>
      </c>
      <c r="G259" s="6" t="s">
        <v>1073</v>
      </c>
      <c r="H259" s="6" t="s">
        <v>1133</v>
      </c>
      <c r="I259" s="6" t="s">
        <v>1270</v>
      </c>
      <c r="J259" s="6" t="s">
        <v>29</v>
      </c>
      <c r="K259" s="6" t="s">
        <v>554</v>
      </c>
      <c r="L259" s="6" t="s">
        <v>554</v>
      </c>
      <c r="N259" s="6" t="s">
        <v>1023</v>
      </c>
      <c r="O259" s="6" t="s">
        <v>1347</v>
      </c>
      <c r="P259" s="6" t="n">
        <v>1</v>
      </c>
      <c r="R259" s="6" t="s">
        <v>1152</v>
      </c>
      <c r="U259" s="6" t="n">
        <v>68900</v>
      </c>
      <c r="V259" s="28" t="n">
        <v>63388</v>
      </c>
      <c r="W259" s="29" t="n">
        <v>0.1</v>
      </c>
      <c r="Y259" s="29" t="n">
        <v>0.05</v>
      </c>
      <c r="Z259" s="30" t="n">
        <v>2910</v>
      </c>
      <c r="AA259" s="29" t="n">
        <v>0.03</v>
      </c>
      <c r="AB259" s="31" t="n">
        <v>77707.84</v>
      </c>
      <c r="AE259" s="6" t="n">
        <v>77707.84</v>
      </c>
      <c r="AF259" s="6" t="s">
        <v>58</v>
      </c>
      <c r="AG259" s="6" t="n">
        <v>0</v>
      </c>
      <c r="AH259" s="30" t="s">
        <v>1133</v>
      </c>
      <c r="AI259" s="6" t="n">
        <v>0</v>
      </c>
      <c r="AJ259" s="6" t="s">
        <v>554</v>
      </c>
      <c r="AK259" s="6" t="s">
        <v>988</v>
      </c>
      <c r="AL259" s="6" t="s">
        <v>554</v>
      </c>
      <c r="AM259" s="6" t="n">
        <v>0</v>
      </c>
      <c r="AQ259" s="6" t="s">
        <v>552</v>
      </c>
      <c r="AR259" s="6" t="s">
        <v>57</v>
      </c>
    </row>
    <row r="260" customFormat="false" ht="15" hidden="false" customHeight="true" outlineLevel="0" collapsed="false">
      <c r="A260" s="27" t="n">
        <v>111835</v>
      </c>
      <c r="B260" s="6" t="s">
        <v>1476</v>
      </c>
      <c r="C260" s="27" t="n">
        <v>111835</v>
      </c>
      <c r="D260" s="6" t="s">
        <v>556</v>
      </c>
      <c r="E260" s="6" t="s">
        <v>1269</v>
      </c>
      <c r="F260" s="6" t="s">
        <v>263</v>
      </c>
      <c r="G260" s="6" t="s">
        <v>1073</v>
      </c>
      <c r="H260" s="6" t="s">
        <v>1133</v>
      </c>
      <c r="I260" s="6" t="s">
        <v>1270</v>
      </c>
      <c r="J260" s="6" t="s">
        <v>29</v>
      </c>
      <c r="K260" s="6" t="s">
        <v>554</v>
      </c>
      <c r="L260" s="6" t="s">
        <v>557</v>
      </c>
      <c r="N260" s="6" t="s">
        <v>1023</v>
      </c>
      <c r="O260" s="6" t="s">
        <v>1347</v>
      </c>
      <c r="P260" s="6" t="n">
        <v>1</v>
      </c>
      <c r="R260" s="6" t="s">
        <v>1152</v>
      </c>
      <c r="U260" s="6" t="n">
        <v>118020</v>
      </c>
      <c r="V260" s="28" t="n">
        <v>108578.4</v>
      </c>
      <c r="W260" s="29" t="n">
        <v>0.15</v>
      </c>
      <c r="Y260" s="29" t="n">
        <v>0.05</v>
      </c>
      <c r="Z260" s="30" t="n">
        <v>2910</v>
      </c>
      <c r="AA260" s="29" t="n">
        <v>0.03</v>
      </c>
      <c r="AB260" s="31" t="n">
        <v>136461.432</v>
      </c>
      <c r="AE260" s="6" t="n">
        <v>136461.432</v>
      </c>
      <c r="AF260" s="6" t="s">
        <v>58</v>
      </c>
      <c r="AG260" s="6" t="n">
        <v>0</v>
      </c>
      <c r="AH260" s="30" t="s">
        <v>1133</v>
      </c>
      <c r="AI260" s="6" t="n">
        <v>0</v>
      </c>
      <c r="AJ260" s="6" t="s">
        <v>557</v>
      </c>
      <c r="AK260" s="6" t="s">
        <v>988</v>
      </c>
      <c r="AL260" s="6" t="s">
        <v>557</v>
      </c>
      <c r="AM260" s="6" t="n">
        <v>0</v>
      </c>
      <c r="AQ260" s="6" t="s">
        <v>555</v>
      </c>
      <c r="AR260" s="6" t="s">
        <v>57</v>
      </c>
    </row>
    <row r="261" customFormat="false" ht="15" hidden="false" customHeight="true" outlineLevel="0" collapsed="false">
      <c r="A261" s="27" t="n">
        <v>95286</v>
      </c>
      <c r="B261" s="6" t="s">
        <v>1477</v>
      </c>
      <c r="C261" s="27" t="n">
        <v>95286</v>
      </c>
      <c r="D261" s="6" t="s">
        <v>113</v>
      </c>
      <c r="E261" s="6" t="s">
        <v>1269</v>
      </c>
      <c r="F261" s="6" t="s">
        <v>263</v>
      </c>
      <c r="G261" s="6" t="s">
        <v>1073</v>
      </c>
      <c r="H261" s="6" t="s">
        <v>1133</v>
      </c>
      <c r="I261" s="6" t="s">
        <v>1270</v>
      </c>
      <c r="J261" s="6" t="s">
        <v>22</v>
      </c>
      <c r="K261" s="6" t="s">
        <v>21</v>
      </c>
      <c r="L261" s="6" t="s">
        <v>139</v>
      </c>
      <c r="N261" s="6" t="s">
        <v>1023</v>
      </c>
      <c r="O261" s="6" t="s">
        <v>1347</v>
      </c>
      <c r="P261" s="6" t="n">
        <v>1</v>
      </c>
      <c r="R261" s="6" t="s">
        <v>1152</v>
      </c>
      <c r="U261" s="6" t="n">
        <v>100000</v>
      </c>
      <c r="V261" s="28" t="n">
        <v>100000</v>
      </c>
      <c r="W261" s="29" t="n">
        <v>0.12</v>
      </c>
      <c r="X261" s="6" t="n">
        <v>0.055</v>
      </c>
      <c r="Y261" s="29" t="n">
        <v>0.12</v>
      </c>
      <c r="Z261" s="30"/>
      <c r="AA261" s="29" t="n">
        <v>0.04</v>
      </c>
      <c r="AB261" s="31" t="n">
        <v>133500</v>
      </c>
      <c r="AE261" s="6" t="n">
        <v>133500</v>
      </c>
      <c r="AF261" s="6" t="s">
        <v>58</v>
      </c>
      <c r="AG261" s="6" t="n">
        <v>0</v>
      </c>
      <c r="AH261" s="30" t="s">
        <v>1133</v>
      </c>
      <c r="AI261" s="6" t="n">
        <v>0</v>
      </c>
      <c r="AJ261" s="6" t="s">
        <v>139</v>
      </c>
      <c r="AK261" s="6" t="s">
        <v>988</v>
      </c>
      <c r="AL261" s="6" t="s">
        <v>139</v>
      </c>
      <c r="AM261" s="6" t="n">
        <v>1</v>
      </c>
      <c r="AQ261" s="6" t="s">
        <v>558</v>
      </c>
      <c r="AR261" s="6" t="s">
        <v>57</v>
      </c>
    </row>
    <row r="262" customFormat="false" ht="15" hidden="false" customHeight="true" outlineLevel="0" collapsed="false">
      <c r="A262" s="27" t="n">
        <v>98007</v>
      </c>
      <c r="B262" s="6" t="s">
        <v>1478</v>
      </c>
      <c r="C262" s="27" t="n">
        <v>98007</v>
      </c>
      <c r="D262" s="6" t="s">
        <v>113</v>
      </c>
      <c r="E262" s="6" t="s">
        <v>1269</v>
      </c>
      <c r="F262" s="6" t="s">
        <v>263</v>
      </c>
      <c r="G262" s="6" t="s">
        <v>1073</v>
      </c>
      <c r="H262" s="6" t="s">
        <v>1133</v>
      </c>
      <c r="I262" s="6" t="s">
        <v>1270</v>
      </c>
      <c r="J262" s="6" t="s">
        <v>22</v>
      </c>
      <c r="K262" s="6" t="s">
        <v>21</v>
      </c>
      <c r="L262" s="6" t="s">
        <v>139</v>
      </c>
      <c r="N262" s="6" t="s">
        <v>1023</v>
      </c>
      <c r="O262" s="6" t="s">
        <v>1347</v>
      </c>
      <c r="P262" s="6" t="n">
        <v>1</v>
      </c>
      <c r="R262" s="6" t="s">
        <v>1152</v>
      </c>
      <c r="U262" s="6" t="n">
        <v>200410</v>
      </c>
      <c r="V262" s="28" t="n">
        <v>200410</v>
      </c>
      <c r="W262" s="29" t="n">
        <v>0.12</v>
      </c>
      <c r="X262" s="6" t="n">
        <v>0.055</v>
      </c>
      <c r="Y262" s="29" t="n">
        <v>0.12</v>
      </c>
      <c r="Z262" s="30"/>
      <c r="AA262" s="29" t="n">
        <v>0.04</v>
      </c>
      <c r="AB262" s="31" t="n">
        <v>267547.35</v>
      </c>
      <c r="AE262" s="6" t="n">
        <v>267547.35</v>
      </c>
      <c r="AF262" s="6" t="s">
        <v>58</v>
      </c>
      <c r="AG262" s="6" t="n">
        <v>0</v>
      </c>
      <c r="AH262" s="30" t="s">
        <v>1133</v>
      </c>
      <c r="AI262" s="6" t="n">
        <v>0</v>
      </c>
      <c r="AJ262" s="6" t="s">
        <v>139</v>
      </c>
      <c r="AK262" s="6" t="s">
        <v>988</v>
      </c>
      <c r="AL262" s="6" t="s">
        <v>139</v>
      </c>
      <c r="AM262" s="6" t="n">
        <v>1</v>
      </c>
      <c r="AQ262" s="6" t="s">
        <v>559</v>
      </c>
      <c r="AR262" s="6" t="s">
        <v>57</v>
      </c>
    </row>
    <row r="263" customFormat="false" ht="15" hidden="false" customHeight="true" outlineLevel="0" collapsed="false">
      <c r="A263" s="27" t="n">
        <v>114990</v>
      </c>
      <c r="B263" s="6" t="s">
        <v>1479</v>
      </c>
      <c r="C263" s="27" t="n">
        <v>114990</v>
      </c>
      <c r="D263" s="6" t="s">
        <v>113</v>
      </c>
      <c r="E263" s="6" t="s">
        <v>1269</v>
      </c>
      <c r="F263" s="6" t="s">
        <v>263</v>
      </c>
      <c r="G263" s="6" t="s">
        <v>1073</v>
      </c>
      <c r="H263" s="6" t="s">
        <v>1133</v>
      </c>
      <c r="I263" s="6" t="s">
        <v>1270</v>
      </c>
      <c r="J263" s="6" t="s">
        <v>29</v>
      </c>
      <c r="K263" s="6" t="s">
        <v>561</v>
      </c>
      <c r="L263" s="6" t="s">
        <v>561</v>
      </c>
      <c r="N263" s="6" t="s">
        <v>1023</v>
      </c>
      <c r="O263" s="6" t="s">
        <v>1347</v>
      </c>
      <c r="P263" s="6" t="n">
        <v>1</v>
      </c>
      <c r="R263" s="6" t="s">
        <v>1152</v>
      </c>
      <c r="U263" s="6" t="n">
        <v>182500</v>
      </c>
      <c r="V263" s="28" t="n">
        <v>182500</v>
      </c>
      <c r="W263" s="29" t="n">
        <v>0.12</v>
      </c>
      <c r="X263" s="6" t="n">
        <v>0.055</v>
      </c>
      <c r="Y263" s="29" t="n">
        <v>0.12</v>
      </c>
      <c r="Z263" s="30"/>
      <c r="AA263" s="29" t="n">
        <v>0.04</v>
      </c>
      <c r="AB263" s="31" t="n">
        <v>243637.5</v>
      </c>
      <c r="AE263" s="6" t="n">
        <v>243637.5</v>
      </c>
      <c r="AF263" s="6" t="s">
        <v>58</v>
      </c>
      <c r="AG263" s="6" t="n">
        <v>0</v>
      </c>
      <c r="AH263" s="30" t="s">
        <v>1133</v>
      </c>
      <c r="AI263" s="6" t="n">
        <v>0</v>
      </c>
      <c r="AJ263" s="6" t="s">
        <v>561</v>
      </c>
      <c r="AK263" s="6" t="s">
        <v>988</v>
      </c>
      <c r="AL263" s="6" t="s">
        <v>561</v>
      </c>
      <c r="AM263" s="6" t="n">
        <v>0</v>
      </c>
      <c r="AQ263" s="6" t="s">
        <v>560</v>
      </c>
      <c r="AR263" s="6" t="s">
        <v>57</v>
      </c>
    </row>
    <row r="264" customFormat="false" ht="15" hidden="false" customHeight="true" outlineLevel="0" collapsed="false">
      <c r="A264" s="27" t="n">
        <v>98924</v>
      </c>
      <c r="B264" s="6" t="s">
        <v>1480</v>
      </c>
      <c r="C264" s="27" t="n">
        <v>98924</v>
      </c>
      <c r="D264" s="6" t="s">
        <v>563</v>
      </c>
      <c r="E264" s="6" t="s">
        <v>1252</v>
      </c>
      <c r="F264" s="6" t="s">
        <v>1397</v>
      </c>
      <c r="G264" s="6" t="s">
        <v>1164</v>
      </c>
      <c r="H264" s="6" t="s">
        <v>157</v>
      </c>
      <c r="I264" s="6" t="s">
        <v>26</v>
      </c>
      <c r="J264" s="6" t="s">
        <v>26</v>
      </c>
      <c r="K264" s="6" t="s">
        <v>26</v>
      </c>
      <c r="L264" s="6" t="s">
        <v>26</v>
      </c>
      <c r="N264" s="6" t="s">
        <v>1023</v>
      </c>
      <c r="O264" s="6" t="s">
        <v>1347</v>
      </c>
      <c r="P264" s="6" t="n">
        <v>1</v>
      </c>
      <c r="R264" s="6" t="s">
        <v>1152</v>
      </c>
      <c r="U264" s="6" t="n">
        <v>193690</v>
      </c>
      <c r="V264" s="28" t="n">
        <v>193690</v>
      </c>
      <c r="W264" s="29" t="n">
        <v>0.12</v>
      </c>
      <c r="X264" s="6" t="n">
        <v>0.055</v>
      </c>
      <c r="Y264" s="29" t="n">
        <v>0.12</v>
      </c>
      <c r="Z264" s="30"/>
      <c r="AA264" s="29" t="n">
        <v>0.04</v>
      </c>
      <c r="AB264" s="31" t="n">
        <v>258576.15</v>
      </c>
      <c r="AE264" s="6" t="n">
        <v>258576.15</v>
      </c>
      <c r="AF264" s="6" t="s">
        <v>58</v>
      </c>
      <c r="AG264" s="6" t="n">
        <v>0</v>
      </c>
      <c r="AH264" s="30" t="s">
        <v>1254</v>
      </c>
      <c r="AI264" s="6" t="n">
        <v>0</v>
      </c>
      <c r="AJ264" s="6" t="s">
        <v>247</v>
      </c>
      <c r="AK264" s="6" t="s">
        <v>988</v>
      </c>
      <c r="AL264" s="6" t="s">
        <v>247</v>
      </c>
      <c r="AM264" s="6" t="n">
        <v>0</v>
      </c>
      <c r="AQ264" s="6" t="s">
        <v>562</v>
      </c>
      <c r="AR264" s="6" t="s">
        <v>57</v>
      </c>
    </row>
    <row r="265" customFormat="false" ht="15" hidden="false" customHeight="true" outlineLevel="0" collapsed="false">
      <c r="A265" s="27" t="n">
        <v>117595</v>
      </c>
      <c r="B265" s="6" t="s">
        <v>1481</v>
      </c>
      <c r="C265" s="27" t="n">
        <v>117595</v>
      </c>
      <c r="D265" s="6" t="s">
        <v>138</v>
      </c>
      <c r="E265" s="6" t="s">
        <v>1018</v>
      </c>
      <c r="F265" s="6" t="s">
        <v>1019</v>
      </c>
      <c r="G265" s="6" t="s">
        <v>1020</v>
      </c>
      <c r="H265" s="6" t="s">
        <v>1021</v>
      </c>
      <c r="I265" s="6" t="s">
        <v>1022</v>
      </c>
      <c r="J265" s="6" t="s">
        <v>22</v>
      </c>
      <c r="K265" s="6" t="s">
        <v>21</v>
      </c>
      <c r="L265" s="6" t="s">
        <v>56</v>
      </c>
      <c r="N265" s="6" t="s">
        <v>1023</v>
      </c>
      <c r="O265" s="6" t="s">
        <v>1482</v>
      </c>
      <c r="P265" s="6" t="n">
        <v>1</v>
      </c>
      <c r="R265" s="6" t="s">
        <v>1152</v>
      </c>
      <c r="U265" s="6" t="n">
        <v>165000</v>
      </c>
      <c r="V265" s="28" t="n">
        <v>203550</v>
      </c>
      <c r="W265" s="29" t="n">
        <v>0.12</v>
      </c>
      <c r="X265" s="6" t="n">
        <v>0.055</v>
      </c>
      <c r="Y265" s="29" t="n">
        <v>0.12</v>
      </c>
      <c r="Z265" s="30"/>
      <c r="AA265" s="29" t="n">
        <v>0.04</v>
      </c>
      <c r="AB265" s="31" t="n">
        <v>216047.05</v>
      </c>
      <c r="AE265" s="6" t="n">
        <v>216047.05</v>
      </c>
      <c r="AF265" s="6" t="s">
        <v>58</v>
      </c>
      <c r="AG265" s="6" t="n">
        <v>0</v>
      </c>
      <c r="AH265" s="30" t="s">
        <v>1020</v>
      </c>
      <c r="AI265" s="6" t="n">
        <v>0</v>
      </c>
      <c r="AJ265" s="6" t="s">
        <v>56</v>
      </c>
      <c r="AK265" s="6" t="s">
        <v>988</v>
      </c>
      <c r="AL265" s="6" t="s">
        <v>56</v>
      </c>
      <c r="AM265" s="6" t="n">
        <v>1</v>
      </c>
      <c r="AN265" s="6" t="s">
        <v>58</v>
      </c>
      <c r="AQ265" s="6" t="s">
        <v>564</v>
      </c>
      <c r="AR265" s="6" t="s">
        <v>57</v>
      </c>
    </row>
    <row r="266" customFormat="false" ht="15" hidden="false" customHeight="true" outlineLevel="0" collapsed="false">
      <c r="A266" s="27" t="n">
        <v>98144</v>
      </c>
      <c r="B266" s="6" t="s">
        <v>1483</v>
      </c>
      <c r="C266" s="27" t="n">
        <v>98144</v>
      </c>
      <c r="D266" s="6" t="s">
        <v>566</v>
      </c>
      <c r="E266" s="6" t="s">
        <v>1344</v>
      </c>
      <c r="F266" s="6" t="s">
        <v>347</v>
      </c>
      <c r="G266" s="6" t="s">
        <v>1020</v>
      </c>
      <c r="H266" s="6" t="s">
        <v>1021</v>
      </c>
      <c r="I266" s="6" t="s">
        <v>1122</v>
      </c>
      <c r="J266" s="6" t="s">
        <v>22</v>
      </c>
      <c r="K266" s="6" t="s">
        <v>21</v>
      </c>
      <c r="L266" s="6" t="s">
        <v>56</v>
      </c>
      <c r="N266" s="6" t="s">
        <v>1023</v>
      </c>
      <c r="O266" s="6" t="s">
        <v>1482</v>
      </c>
      <c r="P266" s="6" t="n">
        <v>1</v>
      </c>
      <c r="R266" s="6" t="s">
        <v>1152</v>
      </c>
      <c r="U266" s="6" t="n">
        <v>163990</v>
      </c>
      <c r="V266" s="28" t="n">
        <v>163990</v>
      </c>
      <c r="W266" s="29" t="n">
        <v>0.12</v>
      </c>
      <c r="X266" s="6" t="n">
        <v>0.055</v>
      </c>
      <c r="Y266" s="29" t="n">
        <v>0.12</v>
      </c>
      <c r="Z266" s="30"/>
      <c r="AA266" s="29" t="n">
        <v>0.04</v>
      </c>
      <c r="AB266" s="31" t="n">
        <v>218926.65</v>
      </c>
      <c r="AE266" s="6" t="n">
        <v>218926.65</v>
      </c>
      <c r="AF266" s="6" t="s">
        <v>58</v>
      </c>
      <c r="AG266" s="6" t="n">
        <v>0</v>
      </c>
      <c r="AH266" s="30" t="s">
        <v>1020</v>
      </c>
      <c r="AI266" s="6" t="n">
        <v>0</v>
      </c>
      <c r="AJ266" s="6" t="s">
        <v>56</v>
      </c>
      <c r="AK266" s="6" t="s">
        <v>988</v>
      </c>
      <c r="AL266" s="6" t="s">
        <v>56</v>
      </c>
      <c r="AM266" s="6" t="n">
        <v>1</v>
      </c>
      <c r="AN266" s="6" t="s">
        <v>58</v>
      </c>
      <c r="AQ266" s="6" t="s">
        <v>565</v>
      </c>
      <c r="AR266" s="6" t="s">
        <v>57</v>
      </c>
    </row>
    <row r="267" customFormat="false" ht="15" hidden="false" customHeight="true" outlineLevel="0" collapsed="false">
      <c r="A267" s="27" t="n">
        <v>114411</v>
      </c>
      <c r="B267" s="6" t="s">
        <v>1484</v>
      </c>
      <c r="C267" s="27" t="n">
        <v>114411</v>
      </c>
      <c r="D267" s="6" t="s">
        <v>568</v>
      </c>
      <c r="E267" s="6" t="s">
        <v>1344</v>
      </c>
      <c r="F267" s="6" t="s">
        <v>347</v>
      </c>
      <c r="G267" s="6" t="s">
        <v>1020</v>
      </c>
      <c r="H267" s="6" t="s">
        <v>1021</v>
      </c>
      <c r="I267" s="6" t="s">
        <v>1122</v>
      </c>
      <c r="J267" s="6" t="s">
        <v>18</v>
      </c>
      <c r="K267" s="6" t="s">
        <v>1028</v>
      </c>
      <c r="L267" s="6" t="s">
        <v>66</v>
      </c>
      <c r="N267" s="6" t="s">
        <v>1023</v>
      </c>
      <c r="O267" s="6" t="s">
        <v>1482</v>
      </c>
      <c r="P267" s="6" t="n">
        <v>1</v>
      </c>
      <c r="R267" s="6" t="s">
        <v>1152</v>
      </c>
      <c r="U267" s="6" t="n">
        <v>161830</v>
      </c>
      <c r="V267" s="28" t="n">
        <v>161830</v>
      </c>
      <c r="W267" s="29" t="n">
        <v>0.12</v>
      </c>
      <c r="X267" s="6" t="n">
        <v>0.055</v>
      </c>
      <c r="Y267" s="29" t="n">
        <v>0.12</v>
      </c>
      <c r="Z267" s="30"/>
      <c r="AA267" s="29" t="n">
        <v>0.04</v>
      </c>
      <c r="AB267" s="31" t="n">
        <v>216043.05</v>
      </c>
      <c r="AE267" s="6" t="n">
        <v>216043.05</v>
      </c>
      <c r="AF267" s="6" t="s">
        <v>58</v>
      </c>
      <c r="AG267" s="6" t="n">
        <v>0</v>
      </c>
      <c r="AH267" s="30" t="s">
        <v>1020</v>
      </c>
      <c r="AI267" s="6" t="n">
        <v>0</v>
      </c>
      <c r="AJ267" s="6" t="s">
        <v>66</v>
      </c>
      <c r="AK267" s="6" t="s">
        <v>988</v>
      </c>
      <c r="AL267" s="6" t="s">
        <v>66</v>
      </c>
      <c r="AM267" s="6" t="n">
        <v>0</v>
      </c>
      <c r="AN267" s="6" t="s">
        <v>58</v>
      </c>
      <c r="AQ267" s="6" t="s">
        <v>567</v>
      </c>
      <c r="AR267" s="6" t="s">
        <v>57</v>
      </c>
    </row>
    <row r="268" customFormat="false" ht="15" hidden="false" customHeight="true" outlineLevel="0" collapsed="false">
      <c r="A268" s="27" t="n">
        <v>108287</v>
      </c>
      <c r="B268" s="6" t="s">
        <v>1485</v>
      </c>
      <c r="C268" s="27" t="n">
        <v>108287</v>
      </c>
      <c r="D268" s="6" t="s">
        <v>570</v>
      </c>
      <c r="E268" s="6" t="s">
        <v>1092</v>
      </c>
      <c r="F268" s="6" t="s">
        <v>1093</v>
      </c>
      <c r="G268" s="6" t="s">
        <v>1020</v>
      </c>
      <c r="H268" s="6" t="s">
        <v>1021</v>
      </c>
      <c r="I268" s="6" t="s">
        <v>1094</v>
      </c>
      <c r="J268" s="6" t="s">
        <v>18</v>
      </c>
      <c r="K268" s="6" t="s">
        <v>1028</v>
      </c>
      <c r="L268" s="6" t="s">
        <v>66</v>
      </c>
      <c r="N268" s="6" t="s">
        <v>1023</v>
      </c>
      <c r="O268" s="6" t="s">
        <v>1482</v>
      </c>
      <c r="P268" s="6" t="n">
        <v>1</v>
      </c>
      <c r="R268" s="6" t="s">
        <v>1152</v>
      </c>
      <c r="U268" s="6" t="n">
        <v>163310</v>
      </c>
      <c r="V268" s="28" t="n">
        <v>163310</v>
      </c>
      <c r="W268" s="29" t="n">
        <v>0.12</v>
      </c>
      <c r="X268" s="6" t="n">
        <v>0.055</v>
      </c>
      <c r="Y268" s="29" t="n">
        <v>0.12</v>
      </c>
      <c r="Z268" s="30"/>
      <c r="AA268" s="29" t="n">
        <v>0.04</v>
      </c>
      <c r="AB268" s="31" t="n">
        <v>218018.85</v>
      </c>
      <c r="AE268" s="6" t="n">
        <v>218018.85</v>
      </c>
      <c r="AF268" s="6" t="s">
        <v>58</v>
      </c>
      <c r="AG268" s="6" t="n">
        <v>0</v>
      </c>
      <c r="AH268" s="30" t="s">
        <v>1020</v>
      </c>
      <c r="AI268" s="6" t="n">
        <v>0</v>
      </c>
      <c r="AJ268" s="6" t="s">
        <v>66</v>
      </c>
      <c r="AK268" s="6" t="s">
        <v>988</v>
      </c>
      <c r="AL268" s="6" t="s">
        <v>66</v>
      </c>
      <c r="AM268" s="6" t="n">
        <v>0</v>
      </c>
      <c r="AN268" s="6" t="s">
        <v>58</v>
      </c>
      <c r="AQ268" s="6" t="s">
        <v>569</v>
      </c>
      <c r="AR268" s="6" t="s">
        <v>57</v>
      </c>
    </row>
    <row r="269" customFormat="false" ht="15" hidden="false" customHeight="true" outlineLevel="0" collapsed="false">
      <c r="A269" s="27" t="n">
        <v>109041</v>
      </c>
      <c r="B269" s="6" t="s">
        <v>1486</v>
      </c>
      <c r="C269" s="27" t="n">
        <v>109041</v>
      </c>
      <c r="D269" s="6" t="s">
        <v>572</v>
      </c>
      <c r="E269" s="6" t="s">
        <v>1092</v>
      </c>
      <c r="F269" s="6" t="s">
        <v>1093</v>
      </c>
      <c r="G269" s="6" t="s">
        <v>1020</v>
      </c>
      <c r="H269" s="6" t="s">
        <v>1021</v>
      </c>
      <c r="I269" s="6" t="s">
        <v>1094</v>
      </c>
      <c r="J269" s="6" t="s">
        <v>18</v>
      </c>
      <c r="K269" s="6" t="s">
        <v>1028</v>
      </c>
      <c r="L269" s="6" t="s">
        <v>62</v>
      </c>
      <c r="N269" s="6" t="s">
        <v>1023</v>
      </c>
      <c r="O269" s="6" t="s">
        <v>1482</v>
      </c>
      <c r="P269" s="6" t="n">
        <v>1</v>
      </c>
      <c r="R269" s="6" t="s">
        <v>1152</v>
      </c>
      <c r="U269" s="6" t="n">
        <v>155320</v>
      </c>
      <c r="V269" s="28" t="n">
        <v>155320</v>
      </c>
      <c r="W269" s="29" t="n">
        <v>0.12</v>
      </c>
      <c r="X269" s="6" t="n">
        <v>0.055</v>
      </c>
      <c r="Y269" s="29" t="n">
        <v>0.12</v>
      </c>
      <c r="Z269" s="30"/>
      <c r="AA269" s="29" t="n">
        <v>0.04</v>
      </c>
      <c r="AB269" s="31" t="n">
        <v>207352.2</v>
      </c>
      <c r="AE269" s="6" t="n">
        <v>207352.2</v>
      </c>
      <c r="AF269" s="6" t="s">
        <v>58</v>
      </c>
      <c r="AG269" s="6" t="n">
        <v>0</v>
      </c>
      <c r="AH269" s="30" t="s">
        <v>1020</v>
      </c>
      <c r="AI269" s="6" t="n">
        <v>0</v>
      </c>
      <c r="AJ269" s="6" t="s">
        <v>62</v>
      </c>
      <c r="AK269" s="6" t="s">
        <v>988</v>
      </c>
      <c r="AL269" s="6" t="s">
        <v>62</v>
      </c>
      <c r="AM269" s="6" t="n">
        <v>0</v>
      </c>
      <c r="AN269" s="6" t="s">
        <v>58</v>
      </c>
      <c r="AQ269" s="6" t="s">
        <v>571</v>
      </c>
      <c r="AR269" s="6" t="s">
        <v>57</v>
      </c>
    </row>
    <row r="270" customFormat="false" ht="15" hidden="false" customHeight="true" outlineLevel="0" collapsed="false">
      <c r="A270" s="27" t="n">
        <v>116957</v>
      </c>
      <c r="B270" s="6" t="s">
        <v>1487</v>
      </c>
      <c r="C270" s="27" t="n">
        <v>116957</v>
      </c>
      <c r="D270" s="6" t="s">
        <v>574</v>
      </c>
      <c r="E270" s="6" t="s">
        <v>1092</v>
      </c>
      <c r="F270" s="6" t="s">
        <v>1093</v>
      </c>
      <c r="G270" s="6" t="s">
        <v>1020</v>
      </c>
      <c r="H270" s="6" t="s">
        <v>1021</v>
      </c>
      <c r="I270" s="6" t="s">
        <v>1230</v>
      </c>
      <c r="J270" s="6" t="s">
        <v>18</v>
      </c>
      <c r="K270" s="6" t="s">
        <v>1028</v>
      </c>
      <c r="L270" s="6" t="s">
        <v>66</v>
      </c>
      <c r="N270" s="6" t="s">
        <v>1023</v>
      </c>
      <c r="O270" s="6" t="s">
        <v>1482</v>
      </c>
      <c r="P270" s="6" t="n">
        <v>1</v>
      </c>
      <c r="R270" s="6" t="s">
        <v>1322</v>
      </c>
      <c r="U270" s="6" t="n">
        <v>165000</v>
      </c>
      <c r="V270" s="28" t="n">
        <v>165000</v>
      </c>
      <c r="W270" s="29" t="n">
        <v>0.12</v>
      </c>
      <c r="X270" s="6" t="n">
        <v>0.055</v>
      </c>
      <c r="Y270" s="29" t="n">
        <v>0.12</v>
      </c>
      <c r="Z270" s="30"/>
      <c r="AA270" s="29" t="n">
        <v>0.04</v>
      </c>
      <c r="AB270" s="31" t="n">
        <v>216046.05</v>
      </c>
      <c r="AC270" s="6" t="s">
        <v>1488</v>
      </c>
      <c r="AE270" s="6" t="n">
        <v>216046.05</v>
      </c>
      <c r="AF270" s="6" t="s">
        <v>58</v>
      </c>
      <c r="AG270" s="6" t="n">
        <v>0</v>
      </c>
      <c r="AH270" s="30" t="s">
        <v>1020</v>
      </c>
      <c r="AI270" s="6" t="n">
        <v>0</v>
      </c>
      <c r="AJ270" s="6" t="s">
        <v>66</v>
      </c>
      <c r="AK270" s="6" t="s">
        <v>988</v>
      </c>
      <c r="AL270" s="6" t="s">
        <v>66</v>
      </c>
      <c r="AM270" s="6" t="n">
        <v>0</v>
      </c>
      <c r="AN270" s="6" t="s">
        <v>58</v>
      </c>
      <c r="AO270" s="6" t="s">
        <v>1488</v>
      </c>
      <c r="AP270" s="32" t="n">
        <v>46514</v>
      </c>
      <c r="AQ270" s="6" t="s">
        <v>573</v>
      </c>
      <c r="AR270" s="6" t="s">
        <v>57</v>
      </c>
    </row>
    <row r="271" customFormat="false" ht="15" hidden="false" customHeight="true" outlineLevel="0" collapsed="false">
      <c r="A271" s="27" t="n">
        <v>107781</v>
      </c>
      <c r="B271" s="6" t="s">
        <v>1489</v>
      </c>
      <c r="C271" s="27" t="n">
        <v>107781</v>
      </c>
      <c r="D271" s="6" t="s">
        <v>113</v>
      </c>
      <c r="E271" s="6" t="s">
        <v>1092</v>
      </c>
      <c r="F271" s="6" t="s">
        <v>1093</v>
      </c>
      <c r="G271" s="6" t="s">
        <v>1020</v>
      </c>
      <c r="H271" s="6" t="s">
        <v>1021</v>
      </c>
      <c r="I271" s="6" t="s">
        <v>1094</v>
      </c>
      <c r="J271" s="6" t="s">
        <v>22</v>
      </c>
      <c r="K271" s="6" t="s">
        <v>21</v>
      </c>
      <c r="L271" s="6" t="s">
        <v>56</v>
      </c>
      <c r="N271" s="6" t="s">
        <v>1023</v>
      </c>
      <c r="O271" s="6" t="s">
        <v>1482</v>
      </c>
      <c r="P271" s="6" t="n">
        <v>1</v>
      </c>
      <c r="R271" s="6" t="s">
        <v>1152</v>
      </c>
      <c r="U271" s="6" t="n">
        <v>167750</v>
      </c>
      <c r="V271" s="28" t="n">
        <v>167750</v>
      </c>
      <c r="W271" s="29" t="n">
        <v>0.12</v>
      </c>
      <c r="X271" s="6" t="n">
        <v>0.055</v>
      </c>
      <c r="Y271" s="29" t="n">
        <v>0.12</v>
      </c>
      <c r="Z271" s="30"/>
      <c r="AA271" s="29" t="n">
        <v>0.04</v>
      </c>
      <c r="AB271" s="31" t="n">
        <v>223946.25</v>
      </c>
      <c r="AE271" s="6" t="n">
        <v>223946.25</v>
      </c>
      <c r="AF271" s="6" t="s">
        <v>58</v>
      </c>
      <c r="AG271" s="6" t="n">
        <v>0</v>
      </c>
      <c r="AH271" s="30" t="s">
        <v>1020</v>
      </c>
      <c r="AI271" s="6" t="n">
        <v>0</v>
      </c>
      <c r="AJ271" s="6" t="s">
        <v>56</v>
      </c>
      <c r="AK271" s="6" t="s">
        <v>988</v>
      </c>
      <c r="AL271" s="6" t="s">
        <v>56</v>
      </c>
      <c r="AM271" s="6" t="n">
        <v>1</v>
      </c>
      <c r="AN271" s="6" t="s">
        <v>58</v>
      </c>
      <c r="AQ271" s="6" t="s">
        <v>575</v>
      </c>
      <c r="AR271" s="6" t="s">
        <v>57</v>
      </c>
    </row>
    <row r="272" customFormat="false" ht="15" hidden="false" customHeight="true" outlineLevel="0" collapsed="false">
      <c r="A272" s="27" t="n">
        <v>114395</v>
      </c>
      <c r="B272" s="6" t="s">
        <v>1490</v>
      </c>
      <c r="C272" s="27" t="n">
        <v>114395</v>
      </c>
      <c r="D272" s="6" t="s">
        <v>577</v>
      </c>
      <c r="E272" s="6" t="s">
        <v>1092</v>
      </c>
      <c r="F272" s="6" t="s">
        <v>1093</v>
      </c>
      <c r="G272" s="6" t="s">
        <v>1020</v>
      </c>
      <c r="H272" s="6" t="s">
        <v>1021</v>
      </c>
      <c r="I272" s="6" t="s">
        <v>1094</v>
      </c>
      <c r="J272" s="6" t="s">
        <v>22</v>
      </c>
      <c r="K272" s="6" t="s">
        <v>21</v>
      </c>
      <c r="L272" s="6" t="s">
        <v>56</v>
      </c>
      <c r="N272" s="6" t="s">
        <v>1023</v>
      </c>
      <c r="O272" s="6" t="s">
        <v>1482</v>
      </c>
      <c r="P272" s="6" t="n">
        <v>1</v>
      </c>
      <c r="R272" s="6" t="s">
        <v>1152</v>
      </c>
      <c r="U272" s="6" t="n">
        <v>148310</v>
      </c>
      <c r="V272" s="28" t="n">
        <v>148310</v>
      </c>
      <c r="W272" s="29" t="n">
        <v>0.12</v>
      </c>
      <c r="X272" s="6" t="n">
        <v>0.055</v>
      </c>
      <c r="Y272" s="29" t="n">
        <v>0.12</v>
      </c>
      <c r="Z272" s="30"/>
      <c r="AA272" s="29" t="n">
        <v>0.04</v>
      </c>
      <c r="AB272" s="31" t="n">
        <v>197993.85</v>
      </c>
      <c r="AE272" s="6" t="n">
        <v>197993.85</v>
      </c>
      <c r="AF272" s="6" t="s">
        <v>58</v>
      </c>
      <c r="AG272" s="6" t="n">
        <v>0</v>
      </c>
      <c r="AH272" s="30" t="s">
        <v>1020</v>
      </c>
      <c r="AI272" s="6" t="n">
        <v>0</v>
      </c>
      <c r="AJ272" s="6" t="s">
        <v>56</v>
      </c>
      <c r="AK272" s="6" t="s">
        <v>988</v>
      </c>
      <c r="AL272" s="6" t="s">
        <v>56</v>
      </c>
      <c r="AM272" s="6" t="n">
        <v>1</v>
      </c>
      <c r="AN272" s="6" t="s">
        <v>58</v>
      </c>
      <c r="AQ272" s="6" t="s">
        <v>576</v>
      </c>
      <c r="AR272" s="6" t="s">
        <v>57</v>
      </c>
    </row>
    <row r="273" customFormat="false" ht="15" hidden="false" customHeight="true" outlineLevel="0" collapsed="false">
      <c r="A273" s="27" t="n">
        <v>115964</v>
      </c>
      <c r="B273" s="6" t="s">
        <v>1491</v>
      </c>
      <c r="C273" s="27" t="n">
        <v>115964</v>
      </c>
      <c r="D273" s="6" t="s">
        <v>579</v>
      </c>
      <c r="E273" s="6" t="s">
        <v>1092</v>
      </c>
      <c r="F273" s="6" t="s">
        <v>1093</v>
      </c>
      <c r="G273" s="6" t="s">
        <v>1020</v>
      </c>
      <c r="H273" s="6" t="s">
        <v>1021</v>
      </c>
      <c r="I273" s="6" t="s">
        <v>1094</v>
      </c>
      <c r="J273" s="6" t="s">
        <v>18</v>
      </c>
      <c r="K273" s="6" t="s">
        <v>1028</v>
      </c>
      <c r="L273" s="6" t="s">
        <v>66</v>
      </c>
      <c r="N273" s="6" t="s">
        <v>1023</v>
      </c>
      <c r="O273" s="6" t="s">
        <v>1482</v>
      </c>
      <c r="P273" s="6" t="n">
        <v>1</v>
      </c>
      <c r="R273" s="6" t="s">
        <v>1152</v>
      </c>
      <c r="U273" s="6" t="n">
        <v>126350</v>
      </c>
      <c r="V273" s="28" t="n">
        <v>203550</v>
      </c>
      <c r="W273" s="29" t="n">
        <v>0.12</v>
      </c>
      <c r="X273" s="6" t="n">
        <v>0.055</v>
      </c>
      <c r="Y273" s="29" t="n">
        <v>0.12</v>
      </c>
      <c r="Z273" s="30"/>
      <c r="AA273" s="29" t="n">
        <v>0.04</v>
      </c>
      <c r="AB273" s="31" t="n">
        <v>216044.05</v>
      </c>
      <c r="AE273" s="6" t="n">
        <v>216044.05</v>
      </c>
      <c r="AF273" s="6" t="s">
        <v>58</v>
      </c>
      <c r="AG273" s="6" t="n">
        <v>0</v>
      </c>
      <c r="AH273" s="30" t="s">
        <v>1020</v>
      </c>
      <c r="AI273" s="6" t="n">
        <v>0</v>
      </c>
      <c r="AJ273" s="6" t="s">
        <v>66</v>
      </c>
      <c r="AK273" s="6" t="s">
        <v>988</v>
      </c>
      <c r="AL273" s="6" t="s">
        <v>66</v>
      </c>
      <c r="AM273" s="6" t="n">
        <v>0</v>
      </c>
      <c r="AN273" s="6" t="s">
        <v>58</v>
      </c>
      <c r="AQ273" s="6" t="s">
        <v>578</v>
      </c>
      <c r="AR273" s="6" t="s">
        <v>57</v>
      </c>
    </row>
    <row r="274" customFormat="false" ht="15" hidden="false" customHeight="true" outlineLevel="0" collapsed="false">
      <c r="A274" s="27" t="s">
        <v>1138</v>
      </c>
      <c r="B274" s="6" t="s">
        <v>1063</v>
      </c>
      <c r="C274" s="27" t="s">
        <v>1138</v>
      </c>
      <c r="D274" s="6" t="s">
        <v>581</v>
      </c>
      <c r="E274" s="6" t="s">
        <v>1063</v>
      </c>
      <c r="F274" s="6" t="s">
        <v>1492</v>
      </c>
      <c r="G274" s="6" t="s">
        <v>1020</v>
      </c>
      <c r="H274" s="6" t="s">
        <v>1222</v>
      </c>
      <c r="J274" s="6" t="s">
        <v>18</v>
      </c>
      <c r="K274" s="6" t="s">
        <v>1223</v>
      </c>
      <c r="L274" s="6" t="s">
        <v>212</v>
      </c>
      <c r="N274" s="6" t="s">
        <v>1023</v>
      </c>
      <c r="O274" s="6" t="s">
        <v>1482</v>
      </c>
      <c r="P274" s="6" t="n">
        <v>1</v>
      </c>
      <c r="R274" s="6" t="s">
        <v>1063</v>
      </c>
      <c r="U274" s="6" t="n">
        <v>145910</v>
      </c>
      <c r="V274" s="28" t="n">
        <v>145910</v>
      </c>
      <c r="W274" s="29" t="n">
        <v>0.12</v>
      </c>
      <c r="X274" s="6" t="n">
        <v>0.055</v>
      </c>
      <c r="Y274" s="29" t="n">
        <v>0.12</v>
      </c>
      <c r="Z274" s="30"/>
      <c r="AA274" s="29" t="n">
        <v>0.04</v>
      </c>
      <c r="AB274" s="31" t="n">
        <v>194789.85</v>
      </c>
      <c r="AE274" s="6" t="n">
        <v>194789.85</v>
      </c>
      <c r="AF274" s="6" t="s">
        <v>58</v>
      </c>
      <c r="AG274" s="6" t="n">
        <v>0</v>
      </c>
      <c r="AH274" s="30" t="s">
        <v>1020</v>
      </c>
      <c r="AI274" s="6" t="n">
        <v>0</v>
      </c>
      <c r="AJ274" s="6" t="s">
        <v>212</v>
      </c>
      <c r="AK274" s="6" t="s">
        <v>988</v>
      </c>
      <c r="AL274" s="6" t="s">
        <v>212</v>
      </c>
      <c r="AM274" s="6" t="n">
        <v>0</v>
      </c>
      <c r="AN274" s="6" t="s">
        <v>1063</v>
      </c>
      <c r="AQ274" s="6" t="s">
        <v>580</v>
      </c>
      <c r="AR274" s="6" t="s">
        <v>57</v>
      </c>
    </row>
    <row r="275" customFormat="false" ht="15" hidden="false" customHeight="true" outlineLevel="0" collapsed="false">
      <c r="A275" s="27" t="s">
        <v>1138</v>
      </c>
      <c r="B275" s="6" t="s">
        <v>1063</v>
      </c>
      <c r="C275" s="27" t="s">
        <v>1138</v>
      </c>
      <c r="D275" s="6" t="s">
        <v>583</v>
      </c>
      <c r="E275" s="6" t="s">
        <v>1063</v>
      </c>
      <c r="F275" s="6" t="s">
        <v>1492</v>
      </c>
      <c r="G275" s="6" t="s">
        <v>1020</v>
      </c>
      <c r="H275" s="6" t="s">
        <v>1222</v>
      </c>
      <c r="J275" s="6" t="s">
        <v>18</v>
      </c>
      <c r="K275" s="6" t="s">
        <v>1223</v>
      </c>
      <c r="L275" s="6" t="s">
        <v>212</v>
      </c>
      <c r="N275" s="6" t="s">
        <v>1023</v>
      </c>
      <c r="O275" s="6" t="s">
        <v>1482</v>
      </c>
      <c r="P275" s="6" t="n">
        <v>1</v>
      </c>
      <c r="R275" s="6" t="s">
        <v>1063</v>
      </c>
      <c r="U275" s="6" t="n">
        <v>145910</v>
      </c>
      <c r="V275" s="28" t="n">
        <v>145910</v>
      </c>
      <c r="W275" s="29" t="n">
        <v>0.12</v>
      </c>
      <c r="X275" s="6" t="n">
        <v>0.055</v>
      </c>
      <c r="Y275" s="29" t="n">
        <v>0.12</v>
      </c>
      <c r="Z275" s="30"/>
      <c r="AA275" s="29" t="n">
        <v>0.04</v>
      </c>
      <c r="AB275" s="31" t="n">
        <v>194789.85</v>
      </c>
      <c r="AE275" s="6" t="n">
        <v>194789.85</v>
      </c>
      <c r="AF275" s="6" t="s">
        <v>1063</v>
      </c>
      <c r="AG275" s="6" t="n">
        <v>0</v>
      </c>
      <c r="AH275" s="30" t="s">
        <v>1020</v>
      </c>
      <c r="AI275" s="6" t="n">
        <v>0</v>
      </c>
      <c r="AJ275" s="6" t="s">
        <v>212</v>
      </c>
      <c r="AK275" s="6" t="s">
        <v>988</v>
      </c>
      <c r="AL275" s="6" t="s">
        <v>212</v>
      </c>
      <c r="AM275" s="6" t="n">
        <v>0</v>
      </c>
      <c r="AN275" s="6" t="s">
        <v>1063</v>
      </c>
      <c r="AQ275" s="6" t="s">
        <v>582</v>
      </c>
      <c r="AR275" s="6" t="s">
        <v>57</v>
      </c>
    </row>
    <row r="276" customFormat="false" ht="15" hidden="false" customHeight="true" outlineLevel="0" collapsed="false">
      <c r="A276" s="27" t="n">
        <v>116387</v>
      </c>
      <c r="B276" s="6" t="s">
        <v>1493</v>
      </c>
      <c r="C276" s="27" t="n">
        <v>116387</v>
      </c>
      <c r="D276" s="6" t="s">
        <v>138</v>
      </c>
      <c r="E276" s="6" t="s">
        <v>1063</v>
      </c>
      <c r="F276" s="6" t="s">
        <v>1494</v>
      </c>
      <c r="G276" s="6" t="s">
        <v>1020</v>
      </c>
      <c r="H276" s="6" t="s">
        <v>1224</v>
      </c>
      <c r="J276" s="6" t="s">
        <v>18</v>
      </c>
      <c r="K276" s="6" t="s">
        <v>56</v>
      </c>
      <c r="L276" s="6" t="s">
        <v>1225</v>
      </c>
      <c r="N276" s="6" t="s">
        <v>1023</v>
      </c>
      <c r="O276" s="6" t="s">
        <v>1482</v>
      </c>
      <c r="P276" s="6" t="n">
        <v>1</v>
      </c>
      <c r="R276" s="6" t="s">
        <v>1322</v>
      </c>
      <c r="U276" s="6" t="n">
        <v>165000</v>
      </c>
      <c r="V276" s="28" t="n">
        <v>165000</v>
      </c>
      <c r="W276" s="29" t="n">
        <v>0.12</v>
      </c>
      <c r="X276" s="6" t="n">
        <v>0.055</v>
      </c>
      <c r="Y276" s="29" t="n">
        <v>0.12</v>
      </c>
      <c r="Z276" s="30"/>
      <c r="AA276" s="29" t="n">
        <v>0.04</v>
      </c>
      <c r="AB276" s="31" t="n">
        <v>216045.05</v>
      </c>
      <c r="AC276" s="6" t="s">
        <v>1342</v>
      </c>
      <c r="AE276" s="6" t="n">
        <v>216045.05</v>
      </c>
      <c r="AF276" s="6" t="s">
        <v>58</v>
      </c>
      <c r="AG276" s="6" t="n">
        <v>0</v>
      </c>
      <c r="AH276" s="30" t="s">
        <v>1020</v>
      </c>
      <c r="AI276" s="6" t="n">
        <v>0</v>
      </c>
      <c r="AJ276" s="6" t="s">
        <v>1225</v>
      </c>
      <c r="AK276" s="6" t="s">
        <v>988</v>
      </c>
      <c r="AL276" s="6" t="s">
        <v>56</v>
      </c>
      <c r="AM276" s="6" t="n">
        <v>1</v>
      </c>
      <c r="AN276" s="6" t="s">
        <v>58</v>
      </c>
      <c r="AO276" s="6" t="s">
        <v>1342</v>
      </c>
      <c r="AP276" s="32" t="n">
        <v>46455</v>
      </c>
      <c r="AQ276" s="6" t="s">
        <v>584</v>
      </c>
      <c r="AR276" s="6" t="s">
        <v>57</v>
      </c>
    </row>
    <row r="277" customFormat="false" ht="15" hidden="false" customHeight="true" outlineLevel="0" collapsed="false">
      <c r="A277" s="27" t="n">
        <v>97241</v>
      </c>
      <c r="B277" s="6" t="s">
        <v>1495</v>
      </c>
      <c r="C277" s="27" t="n">
        <v>97241</v>
      </c>
      <c r="D277" s="6" t="s">
        <v>586</v>
      </c>
      <c r="E277" s="6" t="s">
        <v>1216</v>
      </c>
      <c r="F277" s="6" t="s">
        <v>1496</v>
      </c>
      <c r="G277" s="6" t="s">
        <v>1020</v>
      </c>
      <c r="H277" s="6" t="s">
        <v>1066</v>
      </c>
      <c r="I277" s="6" t="s">
        <v>1218</v>
      </c>
      <c r="J277" s="6" t="s">
        <v>18</v>
      </c>
      <c r="K277" s="6" t="s">
        <v>92</v>
      </c>
      <c r="L277" s="6" t="s">
        <v>92</v>
      </c>
      <c r="N277" s="6" t="s">
        <v>1023</v>
      </c>
      <c r="O277" s="6" t="s">
        <v>1482</v>
      </c>
      <c r="P277" s="6" t="n">
        <v>1</v>
      </c>
      <c r="R277" s="6" t="s">
        <v>1152</v>
      </c>
      <c r="U277" s="6" t="n">
        <v>155040</v>
      </c>
      <c r="V277" s="28" t="n">
        <v>155040</v>
      </c>
      <c r="W277" s="29" t="n">
        <v>0.12</v>
      </c>
      <c r="X277" s="6" t="n">
        <v>0.055</v>
      </c>
      <c r="Y277" s="29" t="n">
        <v>0.12</v>
      </c>
      <c r="Z277" s="30"/>
      <c r="AA277" s="29" t="n">
        <v>0.04</v>
      </c>
      <c r="AB277" s="31" t="n">
        <v>206978.4</v>
      </c>
      <c r="AE277" s="6" t="n">
        <v>206978.4</v>
      </c>
      <c r="AF277" s="6" t="s">
        <v>58</v>
      </c>
      <c r="AG277" s="6" t="n">
        <v>0</v>
      </c>
      <c r="AH277" s="30" t="s">
        <v>1020</v>
      </c>
      <c r="AI277" s="6" t="n">
        <v>0</v>
      </c>
      <c r="AJ277" s="6" t="s">
        <v>92</v>
      </c>
      <c r="AK277" s="6" t="s">
        <v>988</v>
      </c>
      <c r="AL277" s="6" t="s">
        <v>92</v>
      </c>
      <c r="AM277" s="6" t="n">
        <v>0</v>
      </c>
      <c r="AN277" s="6" t="s">
        <v>58</v>
      </c>
      <c r="AQ277" s="6" t="s">
        <v>585</v>
      </c>
      <c r="AR277" s="6" t="s">
        <v>57</v>
      </c>
    </row>
    <row r="278" customFormat="false" ht="15" hidden="false" customHeight="true" outlineLevel="0" collapsed="false">
      <c r="A278" s="27" t="n">
        <v>111777</v>
      </c>
      <c r="B278" s="6" t="s">
        <v>1497</v>
      </c>
      <c r="C278" s="27" t="n">
        <v>111777</v>
      </c>
      <c r="D278" s="6" t="s">
        <v>588</v>
      </c>
      <c r="E278" s="6" t="s">
        <v>1216</v>
      </c>
      <c r="F278" s="6" t="s">
        <v>1496</v>
      </c>
      <c r="G278" s="6" t="s">
        <v>1020</v>
      </c>
      <c r="H278" s="6" t="s">
        <v>1066</v>
      </c>
      <c r="I278" s="6" t="s">
        <v>1218</v>
      </c>
      <c r="J278" s="6" t="s">
        <v>18</v>
      </c>
      <c r="K278" s="6" t="s">
        <v>92</v>
      </c>
      <c r="L278" s="6" t="s">
        <v>92</v>
      </c>
      <c r="N278" s="6" t="s">
        <v>1023</v>
      </c>
      <c r="O278" s="6" t="s">
        <v>1482</v>
      </c>
      <c r="P278" s="6" t="n">
        <v>1</v>
      </c>
      <c r="R278" s="6" t="s">
        <v>1152</v>
      </c>
      <c r="U278" s="6" t="n">
        <v>145910</v>
      </c>
      <c r="V278" s="28" t="n">
        <v>145910</v>
      </c>
      <c r="W278" s="29" t="n">
        <v>0.12</v>
      </c>
      <c r="X278" s="6" t="n">
        <v>0.055</v>
      </c>
      <c r="Y278" s="29" t="n">
        <v>0.12</v>
      </c>
      <c r="Z278" s="30"/>
      <c r="AA278" s="29" t="n">
        <v>0.04</v>
      </c>
      <c r="AB278" s="31" t="n">
        <v>194789.85</v>
      </c>
      <c r="AE278" s="6" t="n">
        <v>194789.85</v>
      </c>
      <c r="AF278" s="6" t="s">
        <v>58</v>
      </c>
      <c r="AG278" s="6" t="n">
        <v>0</v>
      </c>
      <c r="AH278" s="30" t="s">
        <v>1020</v>
      </c>
      <c r="AI278" s="6" t="n">
        <v>0</v>
      </c>
      <c r="AJ278" s="6" t="s">
        <v>92</v>
      </c>
      <c r="AK278" s="6" t="s">
        <v>988</v>
      </c>
      <c r="AL278" s="6" t="s">
        <v>92</v>
      </c>
      <c r="AM278" s="6" t="n">
        <v>0</v>
      </c>
      <c r="AN278" s="6" t="s">
        <v>58</v>
      </c>
      <c r="AQ278" s="6" t="s">
        <v>587</v>
      </c>
      <c r="AR278" s="6" t="s">
        <v>57</v>
      </c>
    </row>
    <row r="279" customFormat="false" ht="15" hidden="false" customHeight="true" outlineLevel="0" collapsed="false">
      <c r="A279" s="27" t="s">
        <v>1138</v>
      </c>
      <c r="B279" s="6" t="s">
        <v>1063</v>
      </c>
      <c r="C279" s="27" t="s">
        <v>1138</v>
      </c>
      <c r="D279" s="6" t="s">
        <v>588</v>
      </c>
      <c r="E279" s="6" t="s">
        <v>1216</v>
      </c>
      <c r="F279" s="6" t="s">
        <v>1496</v>
      </c>
      <c r="G279" s="6" t="s">
        <v>1020</v>
      </c>
      <c r="H279" s="6" t="s">
        <v>1066</v>
      </c>
      <c r="I279" s="6" t="s">
        <v>1218</v>
      </c>
      <c r="J279" s="6" t="s">
        <v>18</v>
      </c>
      <c r="K279" s="6" t="s">
        <v>92</v>
      </c>
      <c r="L279" s="6" t="s">
        <v>92</v>
      </c>
      <c r="N279" s="6" t="s">
        <v>1023</v>
      </c>
      <c r="O279" s="6" t="s">
        <v>1482</v>
      </c>
      <c r="P279" s="6" t="n">
        <v>1</v>
      </c>
      <c r="R279" s="6" t="s">
        <v>1063</v>
      </c>
      <c r="U279" s="6" t="n">
        <v>145910</v>
      </c>
      <c r="V279" s="28" t="n">
        <v>145910</v>
      </c>
      <c r="W279" s="29" t="n">
        <v>0.12</v>
      </c>
      <c r="X279" s="6" t="n">
        <v>0.055</v>
      </c>
      <c r="Y279" s="29" t="n">
        <v>0.12</v>
      </c>
      <c r="Z279" s="30"/>
      <c r="AA279" s="29" t="n">
        <v>0.04</v>
      </c>
      <c r="AB279" s="31" t="n">
        <v>194789.85</v>
      </c>
      <c r="AE279" s="6" t="n">
        <v>194789.85</v>
      </c>
      <c r="AF279" s="6" t="s">
        <v>1063</v>
      </c>
      <c r="AG279" s="6" t="n">
        <v>0</v>
      </c>
      <c r="AH279" s="30" t="s">
        <v>1020</v>
      </c>
      <c r="AI279" s="6" t="n">
        <v>0</v>
      </c>
      <c r="AJ279" s="6" t="s">
        <v>92</v>
      </c>
      <c r="AK279" s="6" t="s">
        <v>988</v>
      </c>
      <c r="AL279" s="6" t="s">
        <v>92</v>
      </c>
      <c r="AM279" s="6" t="n">
        <v>0</v>
      </c>
      <c r="AN279" s="6" t="s">
        <v>1063</v>
      </c>
      <c r="AQ279" s="6" t="s">
        <v>589</v>
      </c>
      <c r="AR279" s="6" t="s">
        <v>57</v>
      </c>
    </row>
    <row r="280" customFormat="false" ht="15" hidden="false" customHeight="true" outlineLevel="0" collapsed="false">
      <c r="A280" s="27" t="s">
        <v>1138</v>
      </c>
      <c r="B280" s="6" t="s">
        <v>1063</v>
      </c>
      <c r="C280" s="27" t="s">
        <v>1138</v>
      </c>
      <c r="D280" s="6" t="s">
        <v>591</v>
      </c>
      <c r="E280" s="6" t="s">
        <v>1216</v>
      </c>
      <c r="F280" s="6" t="s">
        <v>1496</v>
      </c>
      <c r="G280" s="6" t="s">
        <v>1020</v>
      </c>
      <c r="H280" s="6" t="s">
        <v>1066</v>
      </c>
      <c r="I280" s="6" t="s">
        <v>1218</v>
      </c>
      <c r="J280" s="6" t="s">
        <v>18</v>
      </c>
      <c r="K280" s="6" t="s">
        <v>92</v>
      </c>
      <c r="L280" s="6" t="s">
        <v>92</v>
      </c>
      <c r="N280" s="6" t="s">
        <v>1023</v>
      </c>
      <c r="O280" s="6" t="s">
        <v>1482</v>
      </c>
      <c r="P280" s="6" t="n">
        <v>1</v>
      </c>
      <c r="R280" s="6" t="s">
        <v>1063</v>
      </c>
      <c r="U280" s="6" t="n">
        <v>145910</v>
      </c>
      <c r="V280" s="28" t="n">
        <v>145910</v>
      </c>
      <c r="W280" s="29" t="n">
        <v>0.12</v>
      </c>
      <c r="X280" s="6" t="n">
        <v>0.055</v>
      </c>
      <c r="Y280" s="29" t="n">
        <v>0.12</v>
      </c>
      <c r="Z280" s="30"/>
      <c r="AA280" s="29" t="n">
        <v>0.04</v>
      </c>
      <c r="AB280" s="31" t="n">
        <v>194789.85</v>
      </c>
      <c r="AE280" s="6" t="n">
        <v>194789.85</v>
      </c>
      <c r="AF280" s="6" t="s">
        <v>1063</v>
      </c>
      <c r="AG280" s="6" t="n">
        <v>0</v>
      </c>
      <c r="AH280" s="30" t="s">
        <v>1020</v>
      </c>
      <c r="AI280" s="6" t="n">
        <v>0</v>
      </c>
      <c r="AJ280" s="6" t="s">
        <v>92</v>
      </c>
      <c r="AK280" s="6" t="s">
        <v>988</v>
      </c>
      <c r="AL280" s="6" t="s">
        <v>92</v>
      </c>
      <c r="AM280" s="6" t="n">
        <v>0</v>
      </c>
      <c r="AN280" s="6" t="s">
        <v>1063</v>
      </c>
      <c r="AQ280" s="6" t="s">
        <v>590</v>
      </c>
      <c r="AR280" s="6" t="s">
        <v>57</v>
      </c>
    </row>
    <row r="281" customFormat="false" ht="15" hidden="false" customHeight="true" outlineLevel="0" collapsed="false">
      <c r="A281" s="27" t="s">
        <v>1138</v>
      </c>
      <c r="B281" s="6" t="s">
        <v>1063</v>
      </c>
      <c r="C281" s="27" t="s">
        <v>1138</v>
      </c>
      <c r="D281" s="6" t="s">
        <v>593</v>
      </c>
      <c r="E281" s="6" t="s">
        <v>1216</v>
      </c>
      <c r="F281" s="6" t="s">
        <v>1496</v>
      </c>
      <c r="G281" s="6" t="s">
        <v>1020</v>
      </c>
      <c r="H281" s="6" t="s">
        <v>1066</v>
      </c>
      <c r="I281" s="6" t="s">
        <v>1218</v>
      </c>
      <c r="J281" s="6" t="s">
        <v>18</v>
      </c>
      <c r="K281" s="6" t="s">
        <v>92</v>
      </c>
      <c r="L281" s="6" t="s">
        <v>92</v>
      </c>
      <c r="N281" s="6" t="s">
        <v>1023</v>
      </c>
      <c r="O281" s="6" t="s">
        <v>1482</v>
      </c>
      <c r="P281" s="6" t="n">
        <v>1</v>
      </c>
      <c r="R281" s="6" t="s">
        <v>1063</v>
      </c>
      <c r="U281" s="6" t="n">
        <v>145910</v>
      </c>
      <c r="V281" s="28" t="n">
        <v>145910</v>
      </c>
      <c r="W281" s="29" t="n">
        <v>0.12</v>
      </c>
      <c r="X281" s="6" t="n">
        <v>0.055</v>
      </c>
      <c r="Y281" s="29" t="n">
        <v>0.12</v>
      </c>
      <c r="Z281" s="30"/>
      <c r="AA281" s="29" t="n">
        <v>0.04</v>
      </c>
      <c r="AB281" s="31" t="n">
        <v>194789.85</v>
      </c>
      <c r="AE281" s="6" t="n">
        <v>194789.85</v>
      </c>
      <c r="AF281" s="6" t="s">
        <v>1063</v>
      </c>
      <c r="AG281" s="6" t="n">
        <v>0</v>
      </c>
      <c r="AH281" s="30" t="s">
        <v>1020</v>
      </c>
      <c r="AI281" s="6" t="n">
        <v>0</v>
      </c>
      <c r="AJ281" s="6" t="s">
        <v>92</v>
      </c>
      <c r="AK281" s="6" t="s">
        <v>988</v>
      </c>
      <c r="AL281" s="6" t="s">
        <v>92</v>
      </c>
      <c r="AM281" s="6" t="n">
        <v>0</v>
      </c>
      <c r="AN281" s="6" t="s">
        <v>1063</v>
      </c>
      <c r="AQ281" s="6" t="s">
        <v>592</v>
      </c>
      <c r="AR281" s="6" t="s">
        <v>57</v>
      </c>
    </row>
    <row r="282" customFormat="false" ht="15" hidden="false" customHeight="true" outlineLevel="0" collapsed="false">
      <c r="A282" s="27" t="n">
        <v>105010</v>
      </c>
      <c r="B282" s="6" t="s">
        <v>1498</v>
      </c>
      <c r="C282" s="27" t="n">
        <v>105010</v>
      </c>
      <c r="D282" s="6" t="s">
        <v>595</v>
      </c>
      <c r="E282" s="6" t="s">
        <v>1170</v>
      </c>
      <c r="F282" s="6" t="s">
        <v>1171</v>
      </c>
      <c r="G282" s="6" t="s">
        <v>1173</v>
      </c>
      <c r="H282" s="6" t="s">
        <v>168</v>
      </c>
      <c r="I282" s="6" t="s">
        <v>1174</v>
      </c>
      <c r="J282" s="6" t="s">
        <v>23</v>
      </c>
      <c r="K282" s="6" t="s">
        <v>168</v>
      </c>
      <c r="L282" s="6" t="s">
        <v>1259</v>
      </c>
      <c r="N282" s="6" t="s">
        <v>1023</v>
      </c>
      <c r="O282" s="6" t="s">
        <v>1499</v>
      </c>
      <c r="P282" s="6" t="n">
        <v>1</v>
      </c>
      <c r="R282" s="6" t="s">
        <v>1152</v>
      </c>
      <c r="U282" s="6" t="n">
        <v>182760</v>
      </c>
      <c r="V282" s="28" t="n">
        <v>182760</v>
      </c>
      <c r="W282" s="29" t="n">
        <v>0.12</v>
      </c>
      <c r="X282" s="6" t="n">
        <v>0.055</v>
      </c>
      <c r="Y282" s="29" t="n">
        <v>0.12</v>
      </c>
      <c r="Z282" s="30"/>
      <c r="AA282" s="29" t="n">
        <v>0.04</v>
      </c>
      <c r="AB282" s="31" t="n">
        <v>243984.6</v>
      </c>
      <c r="AE282" s="6" t="n">
        <v>243984.6</v>
      </c>
      <c r="AF282" s="6" t="s">
        <v>58</v>
      </c>
      <c r="AG282" s="6" t="n">
        <v>0</v>
      </c>
      <c r="AH282" s="30" t="s">
        <v>23</v>
      </c>
      <c r="AI282" s="6" t="n">
        <v>0</v>
      </c>
      <c r="AJ282" s="6" t="s">
        <v>253</v>
      </c>
      <c r="AK282" s="6" t="s">
        <v>988</v>
      </c>
      <c r="AL282" s="6" t="s">
        <v>253</v>
      </c>
      <c r="AM282" s="6" t="n">
        <v>0</v>
      </c>
      <c r="AQ282" s="6" t="s">
        <v>594</v>
      </c>
      <c r="AR282" s="6" t="s">
        <v>57</v>
      </c>
    </row>
    <row r="283" customFormat="false" ht="15" hidden="false" customHeight="true" outlineLevel="0" collapsed="false">
      <c r="A283" s="27" t="n">
        <v>103651</v>
      </c>
      <c r="B283" s="6" t="s">
        <v>1500</v>
      </c>
      <c r="C283" s="27" t="n">
        <v>103651</v>
      </c>
      <c r="D283" s="6" t="s">
        <v>597</v>
      </c>
      <c r="E283" s="6" t="s">
        <v>1273</v>
      </c>
      <c r="F283" s="6" t="s">
        <v>1346</v>
      </c>
      <c r="G283" s="6" t="s">
        <v>1058</v>
      </c>
      <c r="H283" s="6" t="s">
        <v>20</v>
      </c>
      <c r="I283" s="6" t="s">
        <v>1274</v>
      </c>
      <c r="J283" s="6" t="s">
        <v>20</v>
      </c>
      <c r="K283" s="6" t="s">
        <v>351</v>
      </c>
      <c r="L283" s="6" t="s">
        <v>351</v>
      </c>
      <c r="N283" s="6" t="s">
        <v>1189</v>
      </c>
      <c r="O283" s="6" t="s">
        <v>1501</v>
      </c>
      <c r="P283" s="6" t="n">
        <v>1</v>
      </c>
      <c r="R283" s="6" t="s">
        <v>1152</v>
      </c>
      <c r="U283" s="6" t="n">
        <v>163780</v>
      </c>
      <c r="V283" s="28" t="n">
        <v>198173.8</v>
      </c>
      <c r="W283" s="29" t="n">
        <v>0.25</v>
      </c>
      <c r="Y283" s="29" t="n">
        <v>0.17</v>
      </c>
      <c r="Z283" s="30" t="n">
        <v>3310</v>
      </c>
      <c r="AA283" s="29" t="n">
        <v>0.045</v>
      </c>
      <c r="AB283" s="31" t="n">
        <v>293634.617</v>
      </c>
      <c r="AE283" s="6" t="n">
        <v>293634.617</v>
      </c>
      <c r="AF283" s="6" t="s">
        <v>58</v>
      </c>
      <c r="AG283" s="6" t="n">
        <v>0</v>
      </c>
      <c r="AH283" s="30" t="s">
        <v>20</v>
      </c>
      <c r="AI283" s="6" t="n">
        <v>0</v>
      </c>
      <c r="AJ283" s="6" t="s">
        <v>351</v>
      </c>
      <c r="AK283" s="6" t="s">
        <v>988</v>
      </c>
      <c r="AL283" s="6" t="s">
        <v>351</v>
      </c>
      <c r="AM283" s="6" t="n">
        <v>0</v>
      </c>
      <c r="AQ283" s="6" t="s">
        <v>596</v>
      </c>
      <c r="AR283" s="6" t="s">
        <v>57</v>
      </c>
    </row>
    <row r="284" customFormat="false" ht="15" hidden="false" customHeight="true" outlineLevel="0" collapsed="false">
      <c r="A284" s="27" t="n">
        <v>6511</v>
      </c>
      <c r="B284" s="6" t="s">
        <v>1502</v>
      </c>
      <c r="C284" s="27" t="n">
        <v>6511</v>
      </c>
      <c r="D284" s="6" t="s">
        <v>599</v>
      </c>
      <c r="E284" s="6" t="s">
        <v>1273</v>
      </c>
      <c r="F284" s="6" t="s">
        <v>1346</v>
      </c>
      <c r="G284" s="6" t="s">
        <v>1058</v>
      </c>
      <c r="H284" s="6" t="s">
        <v>20</v>
      </c>
      <c r="I284" s="6" t="s">
        <v>1274</v>
      </c>
      <c r="J284" s="6" t="s">
        <v>20</v>
      </c>
      <c r="K284" s="6" t="s">
        <v>351</v>
      </c>
      <c r="L284" s="6" t="s">
        <v>351</v>
      </c>
      <c r="N284" s="6" t="s">
        <v>1023</v>
      </c>
      <c r="O284" s="6" t="s">
        <v>1501</v>
      </c>
      <c r="P284" s="6" t="n">
        <v>1</v>
      </c>
      <c r="R284" s="6" t="s">
        <v>1152</v>
      </c>
      <c r="U284" s="6" t="n">
        <v>159220</v>
      </c>
      <c r="V284" s="28" t="n">
        <v>159220</v>
      </c>
      <c r="W284" s="29" t="n">
        <v>0.12</v>
      </c>
      <c r="X284" s="6" t="n">
        <v>0.055</v>
      </c>
      <c r="Y284" s="29" t="n">
        <v>0.12</v>
      </c>
      <c r="Z284" s="30"/>
      <c r="AA284" s="29" t="n">
        <v>0.04</v>
      </c>
      <c r="AB284" s="31" t="n">
        <v>212558.7</v>
      </c>
      <c r="AE284" s="6" t="n">
        <v>212558.7</v>
      </c>
      <c r="AF284" s="6" t="s">
        <v>58</v>
      </c>
      <c r="AG284" s="6" t="n">
        <v>0</v>
      </c>
      <c r="AH284" s="30" t="s">
        <v>20</v>
      </c>
      <c r="AI284" s="6" t="n">
        <v>0</v>
      </c>
      <c r="AJ284" s="6" t="s">
        <v>351</v>
      </c>
      <c r="AK284" s="6" t="s">
        <v>988</v>
      </c>
      <c r="AL284" s="6" t="s">
        <v>351</v>
      </c>
      <c r="AM284" s="6" t="n">
        <v>0</v>
      </c>
      <c r="AQ284" s="6" t="s">
        <v>598</v>
      </c>
      <c r="AR284" s="6" t="s">
        <v>57</v>
      </c>
    </row>
    <row r="285" customFormat="false" ht="15" hidden="false" customHeight="true" outlineLevel="0" collapsed="false">
      <c r="A285" s="27" t="s">
        <v>1138</v>
      </c>
      <c r="B285" s="6" t="s">
        <v>1063</v>
      </c>
      <c r="C285" s="27" t="s">
        <v>1138</v>
      </c>
      <c r="D285" s="6" t="s">
        <v>601</v>
      </c>
      <c r="E285" s="6" t="s">
        <v>1273</v>
      </c>
      <c r="F285" s="6" t="s">
        <v>1346</v>
      </c>
      <c r="G285" s="6" t="s">
        <v>1058</v>
      </c>
      <c r="H285" s="6" t="s">
        <v>20</v>
      </c>
      <c r="I285" s="6" t="s">
        <v>1274</v>
      </c>
      <c r="J285" s="6" t="s">
        <v>20</v>
      </c>
      <c r="K285" s="6" t="s">
        <v>493</v>
      </c>
      <c r="L285" s="6" t="s">
        <v>493</v>
      </c>
      <c r="N285" s="6" t="s">
        <v>1023</v>
      </c>
      <c r="O285" s="6" t="s">
        <v>1501</v>
      </c>
      <c r="P285" s="6" t="n">
        <v>1</v>
      </c>
      <c r="R285" s="6" t="s">
        <v>1143</v>
      </c>
      <c r="U285" s="6" t="n">
        <v>151950</v>
      </c>
      <c r="V285" s="28" t="n">
        <v>151950</v>
      </c>
      <c r="W285" s="29" t="n">
        <v>0.12</v>
      </c>
      <c r="X285" s="6" t="n">
        <v>0.055</v>
      </c>
      <c r="Y285" s="29" t="n">
        <v>0.12</v>
      </c>
      <c r="Z285" s="30"/>
      <c r="AA285" s="29" t="n">
        <v>0.04</v>
      </c>
      <c r="AB285" s="31" t="n">
        <v>202853.25</v>
      </c>
      <c r="AE285" s="6" t="n">
        <v>202853.25</v>
      </c>
      <c r="AF285" s="6" t="s">
        <v>1063</v>
      </c>
      <c r="AG285" s="6" t="n">
        <v>0</v>
      </c>
      <c r="AH285" s="30" t="s">
        <v>20</v>
      </c>
      <c r="AI285" s="6" t="n">
        <v>0</v>
      </c>
      <c r="AJ285" s="6" t="s">
        <v>493</v>
      </c>
      <c r="AK285" s="6" t="s">
        <v>988</v>
      </c>
      <c r="AL285" s="6" t="s">
        <v>493</v>
      </c>
      <c r="AM285" s="6" t="n">
        <v>0</v>
      </c>
      <c r="AQ285" s="6" t="s">
        <v>600</v>
      </c>
      <c r="AR285" s="6" t="s">
        <v>57</v>
      </c>
    </row>
    <row r="286" customFormat="false" ht="15" hidden="false" customHeight="true" outlineLevel="0" collapsed="false">
      <c r="A286" s="27" t="s">
        <v>1138</v>
      </c>
      <c r="B286" s="6" t="s">
        <v>1503</v>
      </c>
      <c r="C286" s="27" t="s">
        <v>1138</v>
      </c>
      <c r="D286" s="6" t="s">
        <v>601</v>
      </c>
      <c r="E286" s="6" t="s">
        <v>1273</v>
      </c>
      <c r="F286" s="6" t="s">
        <v>1346</v>
      </c>
      <c r="G286" s="6" t="s">
        <v>1058</v>
      </c>
      <c r="H286" s="6" t="s">
        <v>20</v>
      </c>
      <c r="I286" s="6" t="s">
        <v>1274</v>
      </c>
      <c r="J286" s="6" t="s">
        <v>20</v>
      </c>
      <c r="K286" s="6" t="s">
        <v>493</v>
      </c>
      <c r="L286" s="6" t="s">
        <v>493</v>
      </c>
      <c r="N286" s="6" t="s">
        <v>1023</v>
      </c>
      <c r="O286" s="6" t="s">
        <v>1501</v>
      </c>
      <c r="P286" s="6" t="n">
        <v>1</v>
      </c>
      <c r="R286" s="6" t="s">
        <v>1143</v>
      </c>
      <c r="U286" s="6" t="n">
        <v>151950</v>
      </c>
      <c r="V286" s="28" t="n">
        <v>151950</v>
      </c>
      <c r="W286" s="29" t="n">
        <v>0.12</v>
      </c>
      <c r="X286" s="6" t="n">
        <v>0.055</v>
      </c>
      <c r="Y286" s="29" t="n">
        <v>0.12</v>
      </c>
      <c r="Z286" s="30"/>
      <c r="AA286" s="29" t="n">
        <v>0.04</v>
      </c>
      <c r="AB286" s="31" t="n">
        <v>202853.25</v>
      </c>
      <c r="AE286" s="6" t="n">
        <v>202853.25</v>
      </c>
      <c r="AF286" s="6" t="s">
        <v>1063</v>
      </c>
      <c r="AG286" s="6" t="n">
        <v>0</v>
      </c>
      <c r="AH286" s="30" t="s">
        <v>20</v>
      </c>
      <c r="AI286" s="6" t="n">
        <v>0</v>
      </c>
      <c r="AJ286" s="6" t="s">
        <v>493</v>
      </c>
      <c r="AK286" s="6" t="s">
        <v>988</v>
      </c>
      <c r="AL286" s="6" t="s">
        <v>493</v>
      </c>
      <c r="AM286" s="6" t="n">
        <v>0</v>
      </c>
      <c r="AQ286" s="6" t="s">
        <v>602</v>
      </c>
      <c r="AR286" s="6" t="s">
        <v>57</v>
      </c>
    </row>
    <row r="287" customFormat="false" ht="15" hidden="false" customHeight="true" outlineLevel="0" collapsed="false">
      <c r="A287" s="27" t="n">
        <v>96830</v>
      </c>
      <c r="B287" s="6" t="s">
        <v>1504</v>
      </c>
      <c r="C287" s="27" t="n">
        <v>96830</v>
      </c>
      <c r="D287" s="6" t="s">
        <v>604</v>
      </c>
      <c r="E287" s="6" t="s">
        <v>1419</v>
      </c>
      <c r="F287" s="6" t="s">
        <v>1246</v>
      </c>
      <c r="G287" s="6" t="s">
        <v>1164</v>
      </c>
      <c r="H287" s="6" t="s">
        <v>160</v>
      </c>
      <c r="I287" s="6" t="s">
        <v>26</v>
      </c>
      <c r="J287" s="6" t="s">
        <v>26</v>
      </c>
      <c r="K287" s="6" t="s">
        <v>26</v>
      </c>
      <c r="L287" s="6" t="s">
        <v>26</v>
      </c>
      <c r="N287" s="6" t="s">
        <v>1023</v>
      </c>
      <c r="O287" s="6" t="s">
        <v>1501</v>
      </c>
      <c r="P287" s="6" t="n">
        <v>1</v>
      </c>
      <c r="R287" s="6" t="s">
        <v>1152</v>
      </c>
      <c r="U287" s="6" t="n">
        <v>152800</v>
      </c>
      <c r="V287" s="28" t="n">
        <v>152800</v>
      </c>
      <c r="W287" s="29" t="n">
        <v>0.12</v>
      </c>
      <c r="X287" s="6" t="n">
        <v>0.055</v>
      </c>
      <c r="Y287" s="29" t="n">
        <v>0.12</v>
      </c>
      <c r="Z287" s="30"/>
      <c r="AA287" s="29" t="n">
        <v>0.04</v>
      </c>
      <c r="AB287" s="31" t="n">
        <v>203988</v>
      </c>
      <c r="AE287" s="6" t="n">
        <v>203988</v>
      </c>
      <c r="AF287" s="6" t="s">
        <v>58</v>
      </c>
      <c r="AG287" s="6" t="n">
        <v>0</v>
      </c>
      <c r="AH287" s="30" t="s">
        <v>1169</v>
      </c>
      <c r="AI287" s="6" t="n">
        <v>0</v>
      </c>
      <c r="AJ287" s="6" t="s">
        <v>160</v>
      </c>
      <c r="AK287" s="6" t="s">
        <v>988</v>
      </c>
      <c r="AL287" s="6" t="s">
        <v>160</v>
      </c>
      <c r="AM287" s="6" t="n">
        <v>0</v>
      </c>
      <c r="AQ287" s="6" t="s">
        <v>603</v>
      </c>
      <c r="AR287" s="6" t="s">
        <v>57</v>
      </c>
    </row>
    <row r="288" customFormat="false" ht="15" hidden="false" customHeight="true" outlineLevel="0" collapsed="false">
      <c r="A288" s="27" t="n">
        <v>92681</v>
      </c>
      <c r="B288" s="6" t="s">
        <v>1505</v>
      </c>
      <c r="C288" s="27" t="n">
        <v>92681</v>
      </c>
      <c r="D288" s="6" t="s">
        <v>606</v>
      </c>
      <c r="E288" s="6" t="s">
        <v>1419</v>
      </c>
      <c r="F288" s="6" t="s">
        <v>1168</v>
      </c>
      <c r="G288" s="6" t="s">
        <v>1164</v>
      </c>
      <c r="H288" s="6" t="s">
        <v>160</v>
      </c>
      <c r="I288" s="6" t="s">
        <v>26</v>
      </c>
      <c r="J288" s="6" t="s">
        <v>26</v>
      </c>
      <c r="K288" s="6" t="s">
        <v>26</v>
      </c>
      <c r="L288" s="6" t="s">
        <v>26</v>
      </c>
      <c r="N288" s="6" t="s">
        <v>1023</v>
      </c>
      <c r="O288" s="6" t="s">
        <v>1501</v>
      </c>
      <c r="P288" s="6" t="n">
        <v>1</v>
      </c>
      <c r="R288" s="6" t="s">
        <v>1152</v>
      </c>
      <c r="U288" s="6" t="n">
        <v>152690</v>
      </c>
      <c r="V288" s="28" t="n">
        <v>152690</v>
      </c>
      <c r="W288" s="29" t="n">
        <v>0.12</v>
      </c>
      <c r="X288" s="6" t="n">
        <v>0.055</v>
      </c>
      <c r="Y288" s="29" t="n">
        <v>0.12</v>
      </c>
      <c r="Z288" s="30"/>
      <c r="AA288" s="29" t="n">
        <v>0.04</v>
      </c>
      <c r="AB288" s="31" t="n">
        <v>203841.15</v>
      </c>
      <c r="AE288" s="6" t="n">
        <v>203841.15</v>
      </c>
      <c r="AF288" s="6" t="s">
        <v>58</v>
      </c>
      <c r="AG288" s="6" t="n">
        <v>0</v>
      </c>
      <c r="AH288" s="30" t="s">
        <v>1169</v>
      </c>
      <c r="AI288" s="6" t="n">
        <v>0</v>
      </c>
      <c r="AJ288" s="6" t="s">
        <v>160</v>
      </c>
      <c r="AK288" s="6" t="s">
        <v>988</v>
      </c>
      <c r="AL288" s="6" t="s">
        <v>160</v>
      </c>
      <c r="AM288" s="6" t="n">
        <v>0</v>
      </c>
      <c r="AQ288" s="6" t="s">
        <v>605</v>
      </c>
      <c r="AR288" s="6" t="s">
        <v>57</v>
      </c>
    </row>
    <row r="289" customFormat="false" ht="15" hidden="false" customHeight="true" outlineLevel="0" collapsed="false">
      <c r="A289" s="27" t="n">
        <v>108728</v>
      </c>
      <c r="B289" s="6" t="s">
        <v>1506</v>
      </c>
      <c r="C289" s="27" t="n">
        <v>108728</v>
      </c>
      <c r="D289" s="6" t="s">
        <v>608</v>
      </c>
      <c r="E289" s="6" t="s">
        <v>1417</v>
      </c>
      <c r="F289" s="6" t="s">
        <v>240</v>
      </c>
      <c r="G289" s="6" t="s">
        <v>1164</v>
      </c>
      <c r="H289" s="6" t="s">
        <v>160</v>
      </c>
      <c r="I289" s="6" t="s">
        <v>26</v>
      </c>
      <c r="J289" s="6" t="s">
        <v>26</v>
      </c>
      <c r="K289" s="6" t="s">
        <v>26</v>
      </c>
      <c r="L289" s="6" t="s">
        <v>26</v>
      </c>
      <c r="N289" s="6" t="s">
        <v>1023</v>
      </c>
      <c r="O289" s="6" t="s">
        <v>1501</v>
      </c>
      <c r="P289" s="6" t="n">
        <v>1</v>
      </c>
      <c r="R289" s="6" t="s">
        <v>1152</v>
      </c>
      <c r="U289" s="6" t="n">
        <v>165450</v>
      </c>
      <c r="V289" s="28" t="n">
        <v>165450</v>
      </c>
      <c r="W289" s="29" t="n">
        <v>0.12</v>
      </c>
      <c r="X289" s="6" t="n">
        <v>0.055</v>
      </c>
      <c r="Y289" s="29" t="n">
        <v>0.12</v>
      </c>
      <c r="Z289" s="30"/>
      <c r="AA289" s="29" t="n">
        <v>0.04</v>
      </c>
      <c r="AB289" s="31" t="n">
        <v>220875.75</v>
      </c>
      <c r="AE289" s="6" t="n">
        <v>220875.75</v>
      </c>
      <c r="AF289" s="6" t="s">
        <v>58</v>
      </c>
      <c r="AG289" s="6" t="n">
        <v>0</v>
      </c>
      <c r="AH289" s="30" t="s">
        <v>1169</v>
      </c>
      <c r="AI289" s="6" t="n">
        <v>0</v>
      </c>
      <c r="AJ289" s="6" t="s">
        <v>160</v>
      </c>
      <c r="AK289" s="6" t="s">
        <v>988</v>
      </c>
      <c r="AL289" s="6" t="s">
        <v>160</v>
      </c>
      <c r="AM289" s="6" t="n">
        <v>0</v>
      </c>
      <c r="AQ289" s="6" t="s">
        <v>607</v>
      </c>
      <c r="AR289" s="6" t="s">
        <v>57</v>
      </c>
    </row>
    <row r="290" customFormat="false" ht="15" hidden="false" customHeight="true" outlineLevel="0" collapsed="false">
      <c r="A290" s="27" t="s">
        <v>1138</v>
      </c>
      <c r="B290" s="6" t="s">
        <v>1063</v>
      </c>
      <c r="C290" s="27" t="s">
        <v>1138</v>
      </c>
      <c r="D290" s="6" t="s">
        <v>610</v>
      </c>
      <c r="E290" s="6" t="s">
        <v>1315</v>
      </c>
      <c r="F290" s="6" t="s">
        <v>1362</v>
      </c>
      <c r="G290" s="6" t="s">
        <v>1076</v>
      </c>
      <c r="H290" s="6" t="s">
        <v>28</v>
      </c>
      <c r="I290" s="6" t="s">
        <v>1316</v>
      </c>
      <c r="J290" s="6" t="s">
        <v>27</v>
      </c>
      <c r="K290" s="6" t="s">
        <v>27</v>
      </c>
      <c r="L290" s="6" t="s">
        <v>27</v>
      </c>
      <c r="N290" s="6" t="s">
        <v>1023</v>
      </c>
      <c r="O290" s="6" t="s">
        <v>1507</v>
      </c>
      <c r="P290" s="6" t="n">
        <v>1</v>
      </c>
      <c r="R290" s="6" t="s">
        <v>1138</v>
      </c>
      <c r="U290" s="6" t="n">
        <v>151950</v>
      </c>
      <c r="V290" s="28" t="n">
        <v>151950</v>
      </c>
      <c r="W290" s="29" t="n">
        <v>0.12</v>
      </c>
      <c r="X290" s="6" t="n">
        <v>0.055</v>
      </c>
      <c r="Y290" s="29" t="n">
        <v>0.12</v>
      </c>
      <c r="Z290" s="30"/>
      <c r="AA290" s="29" t="n">
        <v>0.04</v>
      </c>
      <c r="AB290" s="31" t="n">
        <v>202853.25</v>
      </c>
      <c r="AE290" s="6" t="n">
        <v>202853.25</v>
      </c>
      <c r="AF290" s="6" t="s">
        <v>1063</v>
      </c>
      <c r="AG290" s="6" t="n">
        <v>0</v>
      </c>
      <c r="AH290" s="30" t="s">
        <v>27</v>
      </c>
      <c r="AI290" s="6" t="n">
        <v>0</v>
      </c>
      <c r="AJ290" s="6" t="s">
        <v>27</v>
      </c>
      <c r="AK290" s="6" t="s">
        <v>988</v>
      </c>
      <c r="AL290" s="6" t="s">
        <v>27</v>
      </c>
      <c r="AM290" s="6" t="n">
        <v>0</v>
      </c>
      <c r="AQ290" s="6" t="s">
        <v>609</v>
      </c>
      <c r="AR290" s="6" t="s">
        <v>57</v>
      </c>
    </row>
    <row r="291" customFormat="false" ht="15" hidden="false" customHeight="true" outlineLevel="0" collapsed="false">
      <c r="A291" s="27" t="s">
        <v>1138</v>
      </c>
      <c r="B291" s="6" t="s">
        <v>1063</v>
      </c>
      <c r="C291" s="27" t="s">
        <v>1138</v>
      </c>
      <c r="D291" s="6" t="s">
        <v>610</v>
      </c>
      <c r="E291" s="6" t="s">
        <v>1315</v>
      </c>
      <c r="F291" s="6" t="s">
        <v>1362</v>
      </c>
      <c r="G291" s="6" t="s">
        <v>1076</v>
      </c>
      <c r="H291" s="6" t="s">
        <v>28</v>
      </c>
      <c r="I291" s="6" t="s">
        <v>1316</v>
      </c>
      <c r="J291" s="6" t="s">
        <v>27</v>
      </c>
      <c r="K291" s="6" t="s">
        <v>27</v>
      </c>
      <c r="L291" s="6" t="s">
        <v>27</v>
      </c>
      <c r="N291" s="6" t="s">
        <v>1023</v>
      </c>
      <c r="O291" s="6" t="s">
        <v>1507</v>
      </c>
      <c r="P291" s="6" t="n">
        <v>1</v>
      </c>
      <c r="R291" s="6" t="s">
        <v>1138</v>
      </c>
      <c r="U291" s="6" t="n">
        <v>151950</v>
      </c>
      <c r="V291" s="28" t="n">
        <v>151950</v>
      </c>
      <c r="W291" s="29" t="n">
        <v>0.12</v>
      </c>
      <c r="X291" s="6" t="n">
        <v>0.055</v>
      </c>
      <c r="Y291" s="29" t="n">
        <v>0.12</v>
      </c>
      <c r="Z291" s="30"/>
      <c r="AA291" s="29" t="n">
        <v>0.04</v>
      </c>
      <c r="AB291" s="31" t="n">
        <v>202853.25</v>
      </c>
      <c r="AE291" s="6" t="n">
        <v>202853.25</v>
      </c>
      <c r="AF291" s="6" t="s">
        <v>1063</v>
      </c>
      <c r="AG291" s="6" t="n">
        <v>0</v>
      </c>
      <c r="AH291" s="30" t="s">
        <v>27</v>
      </c>
      <c r="AI291" s="6" t="n">
        <v>0</v>
      </c>
      <c r="AJ291" s="6" t="s">
        <v>27</v>
      </c>
      <c r="AK291" s="6" t="s">
        <v>988</v>
      </c>
      <c r="AL291" s="6" t="s">
        <v>27</v>
      </c>
      <c r="AM291" s="6" t="n">
        <v>0</v>
      </c>
      <c r="AQ291" s="6" t="s">
        <v>611</v>
      </c>
      <c r="AR291" s="6" t="s">
        <v>57</v>
      </c>
    </row>
    <row r="292" customFormat="false" ht="15" hidden="false" customHeight="true" outlineLevel="0" collapsed="false">
      <c r="A292" s="27" t="s">
        <v>1138</v>
      </c>
      <c r="B292" s="6" t="s">
        <v>1063</v>
      </c>
      <c r="C292" s="27" t="s">
        <v>1138</v>
      </c>
      <c r="D292" s="6" t="s">
        <v>610</v>
      </c>
      <c r="E292" s="6" t="s">
        <v>1315</v>
      </c>
      <c r="F292" s="6" t="s">
        <v>1362</v>
      </c>
      <c r="G292" s="6" t="s">
        <v>1076</v>
      </c>
      <c r="H292" s="6" t="s">
        <v>28</v>
      </c>
      <c r="I292" s="6" t="s">
        <v>1316</v>
      </c>
      <c r="J292" s="6" t="s">
        <v>27</v>
      </c>
      <c r="K292" s="6" t="s">
        <v>27</v>
      </c>
      <c r="L292" s="6" t="s">
        <v>503</v>
      </c>
      <c r="N292" s="6" t="s">
        <v>1023</v>
      </c>
      <c r="O292" s="6" t="s">
        <v>1501</v>
      </c>
      <c r="P292" s="6" t="n">
        <v>1</v>
      </c>
      <c r="R292" s="6" t="s">
        <v>1138</v>
      </c>
      <c r="U292" s="6" t="n">
        <v>151950</v>
      </c>
      <c r="V292" s="28" t="n">
        <v>151950</v>
      </c>
      <c r="W292" s="29" t="n">
        <v>0.12</v>
      </c>
      <c r="X292" s="6" t="n">
        <v>0.055</v>
      </c>
      <c r="Y292" s="29" t="n">
        <v>0.12</v>
      </c>
      <c r="Z292" s="30"/>
      <c r="AA292" s="29" t="n">
        <v>0.04</v>
      </c>
      <c r="AB292" s="31" t="n">
        <v>202853.25</v>
      </c>
      <c r="AE292" s="6" t="n">
        <v>202853.25</v>
      </c>
      <c r="AF292" s="6" t="s">
        <v>1063</v>
      </c>
      <c r="AG292" s="6" t="n">
        <v>0</v>
      </c>
      <c r="AH292" s="30" t="s">
        <v>27</v>
      </c>
      <c r="AI292" s="6" t="n">
        <v>0</v>
      </c>
      <c r="AJ292" s="6" t="s">
        <v>503</v>
      </c>
      <c r="AK292" s="6" t="s">
        <v>988</v>
      </c>
      <c r="AL292" s="6" t="s">
        <v>503</v>
      </c>
      <c r="AM292" s="6" t="n">
        <v>0</v>
      </c>
      <c r="AQ292" s="6" t="s">
        <v>612</v>
      </c>
      <c r="AR292" s="6" t="s">
        <v>57</v>
      </c>
    </row>
    <row r="293" customFormat="false" ht="15" hidden="false" customHeight="true" outlineLevel="0" collapsed="false">
      <c r="A293" s="27" t="s">
        <v>1138</v>
      </c>
      <c r="B293" s="6" t="s">
        <v>1063</v>
      </c>
      <c r="C293" s="27" t="s">
        <v>1138</v>
      </c>
      <c r="D293" s="6" t="s">
        <v>614</v>
      </c>
      <c r="E293" s="6" t="s">
        <v>1255</v>
      </c>
      <c r="F293" s="6" t="s">
        <v>249</v>
      </c>
      <c r="G293" s="6" t="s">
        <v>1173</v>
      </c>
      <c r="H293" s="6" t="s">
        <v>168</v>
      </c>
      <c r="I293" s="6" t="s">
        <v>1256</v>
      </c>
      <c r="J293" s="6" t="s">
        <v>23</v>
      </c>
      <c r="K293" s="6" t="s">
        <v>173</v>
      </c>
      <c r="N293" s="6" t="s">
        <v>1023</v>
      </c>
      <c r="O293" s="6" t="s">
        <v>1501</v>
      </c>
      <c r="P293" s="6" t="n">
        <v>1</v>
      </c>
      <c r="R293" s="6" t="s">
        <v>1143</v>
      </c>
      <c r="U293" s="6" t="n">
        <v>151950</v>
      </c>
      <c r="V293" s="28" t="n">
        <v>151950</v>
      </c>
      <c r="W293" s="29" t="n">
        <v>0.12</v>
      </c>
      <c r="X293" s="6" t="n">
        <v>0.055</v>
      </c>
      <c r="Y293" s="29" t="n">
        <v>0.12</v>
      </c>
      <c r="Z293" s="30"/>
      <c r="AA293" s="29" t="n">
        <v>0.04</v>
      </c>
      <c r="AB293" s="31" t="n">
        <v>202853.25</v>
      </c>
      <c r="AE293" s="6" t="n">
        <v>202853.25</v>
      </c>
      <c r="AF293" s="6" t="s">
        <v>1063</v>
      </c>
      <c r="AG293" s="6" t="n">
        <v>0</v>
      </c>
      <c r="AH293" s="30" t="s">
        <v>23</v>
      </c>
      <c r="AI293" s="6" t="n">
        <v>1</v>
      </c>
      <c r="AJ293" s="6" t="s">
        <v>173</v>
      </c>
      <c r="AK293" s="6" t="s">
        <v>988</v>
      </c>
      <c r="AL293" s="6" t="s">
        <v>173</v>
      </c>
      <c r="AM293" s="6" t="n">
        <v>0</v>
      </c>
      <c r="AQ293" s="6" t="s">
        <v>613</v>
      </c>
      <c r="AR293" s="6" t="s">
        <v>57</v>
      </c>
    </row>
    <row r="294" customFormat="false" ht="15" hidden="false" customHeight="true" outlineLevel="0" collapsed="false">
      <c r="A294" s="27" t="n">
        <v>106044</v>
      </c>
      <c r="B294" s="6" t="s">
        <v>1508</v>
      </c>
      <c r="C294" s="27" t="n">
        <v>106044</v>
      </c>
      <c r="D294" s="6" t="s">
        <v>616</v>
      </c>
      <c r="E294" s="6" t="s">
        <v>1498</v>
      </c>
      <c r="F294" s="6" t="s">
        <v>595</v>
      </c>
      <c r="G294" s="6" t="s">
        <v>1173</v>
      </c>
      <c r="H294" s="6" t="s">
        <v>168</v>
      </c>
      <c r="I294" s="6" t="s">
        <v>1174</v>
      </c>
      <c r="J294" s="6" t="s">
        <v>23</v>
      </c>
      <c r="K294" s="6" t="s">
        <v>168</v>
      </c>
      <c r="L294" s="6" t="s">
        <v>1259</v>
      </c>
      <c r="N294" s="6" t="s">
        <v>1023</v>
      </c>
      <c r="O294" s="6" t="s">
        <v>1501</v>
      </c>
      <c r="P294" s="6" t="n">
        <v>1</v>
      </c>
      <c r="R294" s="6" t="s">
        <v>1152</v>
      </c>
      <c r="U294" s="6" t="n">
        <v>159820</v>
      </c>
      <c r="V294" s="28" t="n">
        <v>159820</v>
      </c>
      <c r="W294" s="29" t="n">
        <v>0.12</v>
      </c>
      <c r="X294" s="6" t="n">
        <v>0.055</v>
      </c>
      <c r="Y294" s="29" t="n">
        <v>0.12</v>
      </c>
      <c r="Z294" s="30"/>
      <c r="AA294" s="29" t="n">
        <v>0.04</v>
      </c>
      <c r="AB294" s="31" t="n">
        <v>213359.7</v>
      </c>
      <c r="AE294" s="6" t="n">
        <v>213359.7</v>
      </c>
      <c r="AF294" s="6" t="s">
        <v>58</v>
      </c>
      <c r="AG294" s="6" t="n">
        <v>0</v>
      </c>
      <c r="AH294" s="30" t="s">
        <v>23</v>
      </c>
      <c r="AI294" s="6" t="n">
        <v>0</v>
      </c>
      <c r="AJ294" s="6" t="s">
        <v>253</v>
      </c>
      <c r="AK294" s="6" t="s">
        <v>988</v>
      </c>
      <c r="AL294" s="6" t="s">
        <v>253</v>
      </c>
      <c r="AM294" s="6" t="n">
        <v>0</v>
      </c>
      <c r="AQ294" s="6" t="s">
        <v>615</v>
      </c>
      <c r="AR294" s="6" t="s">
        <v>57</v>
      </c>
    </row>
    <row r="295" customFormat="false" ht="15" hidden="false" customHeight="true" outlineLevel="0" collapsed="false">
      <c r="A295" s="27" t="n">
        <v>109491</v>
      </c>
      <c r="B295" s="6" t="s">
        <v>1509</v>
      </c>
      <c r="C295" s="27" t="n">
        <v>109491</v>
      </c>
      <c r="D295" s="6" t="s">
        <v>618</v>
      </c>
      <c r="E295" s="6" t="s">
        <v>1248</v>
      </c>
      <c r="G295" s="6" t="s">
        <v>1164</v>
      </c>
      <c r="H295" s="6" t="s">
        <v>241</v>
      </c>
      <c r="I295" s="6" t="s">
        <v>26</v>
      </c>
      <c r="J295" s="6" t="s">
        <v>26</v>
      </c>
      <c r="K295" s="6" t="s">
        <v>26</v>
      </c>
      <c r="L295" s="6" t="s">
        <v>26</v>
      </c>
      <c r="N295" s="6" t="s">
        <v>1023</v>
      </c>
      <c r="O295" s="6" t="s">
        <v>1501</v>
      </c>
      <c r="P295" s="6" t="n">
        <v>1</v>
      </c>
      <c r="R295" s="6" t="s">
        <v>1152</v>
      </c>
      <c r="U295" s="6" t="n">
        <v>152390</v>
      </c>
      <c r="V295" s="28" t="n">
        <v>152390</v>
      </c>
      <c r="W295" s="29" t="n">
        <v>0.12</v>
      </c>
      <c r="X295" s="6" t="n">
        <v>0.055</v>
      </c>
      <c r="Y295" s="29" t="n">
        <v>0.12</v>
      </c>
      <c r="Z295" s="30"/>
      <c r="AA295" s="29" t="n">
        <v>0.04</v>
      </c>
      <c r="AB295" s="31" t="n">
        <v>203440.65</v>
      </c>
      <c r="AE295" s="6" t="n">
        <v>203440.65</v>
      </c>
      <c r="AF295" s="6" t="s">
        <v>58</v>
      </c>
      <c r="AG295" s="6" t="n">
        <v>0</v>
      </c>
      <c r="AH295" s="30" t="s">
        <v>1165</v>
      </c>
      <c r="AI295" s="6" t="n">
        <v>0</v>
      </c>
      <c r="AJ295" s="6" t="s">
        <v>241</v>
      </c>
      <c r="AK295" s="6" t="s">
        <v>988</v>
      </c>
      <c r="AL295" s="6" t="s">
        <v>241</v>
      </c>
      <c r="AM295" s="6" t="n">
        <v>0</v>
      </c>
      <c r="AQ295" s="6" t="s">
        <v>617</v>
      </c>
      <c r="AR295" s="6" t="s">
        <v>57</v>
      </c>
    </row>
    <row r="296" customFormat="false" ht="15" hidden="false" customHeight="true" outlineLevel="0" collapsed="false">
      <c r="A296" s="27" t="n">
        <v>104805</v>
      </c>
      <c r="B296" s="6" t="s">
        <v>1510</v>
      </c>
      <c r="C296" s="27" t="n">
        <v>104805</v>
      </c>
      <c r="D296" s="6" t="s">
        <v>618</v>
      </c>
      <c r="E296" s="6" t="s">
        <v>1248</v>
      </c>
      <c r="G296" s="6" t="s">
        <v>1164</v>
      </c>
      <c r="H296" s="6" t="s">
        <v>241</v>
      </c>
      <c r="I296" s="6" t="s">
        <v>26</v>
      </c>
      <c r="J296" s="6" t="s">
        <v>26</v>
      </c>
      <c r="K296" s="6" t="s">
        <v>26</v>
      </c>
      <c r="L296" s="6" t="s">
        <v>26</v>
      </c>
      <c r="N296" s="6" t="s">
        <v>1023</v>
      </c>
      <c r="O296" s="6" t="s">
        <v>1501</v>
      </c>
      <c r="P296" s="6" t="n">
        <v>1</v>
      </c>
      <c r="R296" s="6" t="s">
        <v>1152</v>
      </c>
      <c r="U296" s="6" t="n">
        <v>171450</v>
      </c>
      <c r="V296" s="28" t="n">
        <v>171450</v>
      </c>
      <c r="W296" s="29" t="n">
        <v>0.12</v>
      </c>
      <c r="X296" s="6" t="n">
        <v>0.055</v>
      </c>
      <c r="Y296" s="29" t="n">
        <v>0.12</v>
      </c>
      <c r="Z296" s="30"/>
      <c r="AA296" s="29" t="n">
        <v>0.04</v>
      </c>
      <c r="AB296" s="31" t="n">
        <v>228885.75</v>
      </c>
      <c r="AE296" s="6" t="n">
        <v>228885.75</v>
      </c>
      <c r="AF296" s="6" t="s">
        <v>58</v>
      </c>
      <c r="AG296" s="6" t="n">
        <v>0</v>
      </c>
      <c r="AH296" s="30" t="s">
        <v>1165</v>
      </c>
      <c r="AI296" s="6" t="n">
        <v>0</v>
      </c>
      <c r="AJ296" s="6" t="s">
        <v>241</v>
      </c>
      <c r="AK296" s="6" t="s">
        <v>988</v>
      </c>
      <c r="AL296" s="6" t="s">
        <v>241</v>
      </c>
      <c r="AM296" s="6" t="n">
        <v>0</v>
      </c>
      <c r="AQ296" s="6" t="s">
        <v>619</v>
      </c>
      <c r="AR296" s="6" t="s">
        <v>57</v>
      </c>
    </row>
    <row r="297" customFormat="false" ht="15" hidden="false" customHeight="true" outlineLevel="0" collapsed="false">
      <c r="A297" s="27" t="n">
        <v>90813</v>
      </c>
      <c r="B297" s="6" t="s">
        <v>1511</v>
      </c>
      <c r="C297" s="27" t="n">
        <v>90813</v>
      </c>
      <c r="D297" s="6" t="s">
        <v>621</v>
      </c>
      <c r="E297" s="6" t="s">
        <v>1263</v>
      </c>
      <c r="F297" s="6" t="s">
        <v>1261</v>
      </c>
      <c r="G297" s="6" t="s">
        <v>1058</v>
      </c>
      <c r="H297" s="6" t="s">
        <v>19</v>
      </c>
      <c r="I297" s="6" t="s">
        <v>1264</v>
      </c>
      <c r="J297" s="6" t="s">
        <v>19</v>
      </c>
      <c r="K297" s="6" t="s">
        <v>374</v>
      </c>
      <c r="L297" s="6" t="s">
        <v>374</v>
      </c>
      <c r="N297" s="6" t="s">
        <v>1023</v>
      </c>
      <c r="O297" s="6" t="s">
        <v>1501</v>
      </c>
      <c r="P297" s="6" t="n">
        <v>1</v>
      </c>
      <c r="R297" s="6" t="s">
        <v>1152</v>
      </c>
      <c r="U297" s="6" t="n">
        <v>140000</v>
      </c>
      <c r="V297" s="28" t="n">
        <v>140000</v>
      </c>
      <c r="W297" s="29" t="n">
        <v>0.12</v>
      </c>
      <c r="X297" s="6" t="n">
        <v>0.055</v>
      </c>
      <c r="Y297" s="29" t="n">
        <v>0.12</v>
      </c>
      <c r="Z297" s="30"/>
      <c r="AA297" s="29" t="n">
        <v>0.04</v>
      </c>
      <c r="AB297" s="31" t="n">
        <v>186900</v>
      </c>
      <c r="AE297" s="6" t="n">
        <v>186900</v>
      </c>
      <c r="AF297" s="6" t="s">
        <v>58</v>
      </c>
      <c r="AG297" s="6" t="n">
        <v>0</v>
      </c>
      <c r="AH297" s="30" t="s">
        <v>1206</v>
      </c>
      <c r="AI297" s="6" t="n">
        <v>0</v>
      </c>
      <c r="AJ297" s="6" t="s">
        <v>374</v>
      </c>
      <c r="AK297" s="6" t="s">
        <v>988</v>
      </c>
      <c r="AL297" s="6" t="s">
        <v>374</v>
      </c>
      <c r="AM297" s="6" t="n">
        <v>0</v>
      </c>
      <c r="AQ297" s="6" t="s">
        <v>620</v>
      </c>
      <c r="AR297" s="6" t="s">
        <v>57</v>
      </c>
    </row>
    <row r="298" customFormat="false" ht="15" hidden="false" customHeight="true" outlineLevel="0" collapsed="false">
      <c r="A298" s="27" t="s">
        <v>1138</v>
      </c>
      <c r="B298" s="6" t="s">
        <v>1063</v>
      </c>
      <c r="C298" s="27" t="s">
        <v>1138</v>
      </c>
      <c r="D298" s="6" t="s">
        <v>623</v>
      </c>
      <c r="E298" s="6" t="s">
        <v>1263</v>
      </c>
      <c r="F298" s="6" t="s">
        <v>1261</v>
      </c>
      <c r="G298" s="6" t="s">
        <v>1058</v>
      </c>
      <c r="H298" s="6" t="s">
        <v>19</v>
      </c>
      <c r="I298" s="6" t="s">
        <v>1264</v>
      </c>
      <c r="J298" s="6" t="s">
        <v>19</v>
      </c>
      <c r="K298" s="6" t="s">
        <v>374</v>
      </c>
      <c r="L298" s="6" t="s">
        <v>374</v>
      </c>
      <c r="N298" s="6" t="s">
        <v>1023</v>
      </c>
      <c r="O298" s="6" t="s">
        <v>1501</v>
      </c>
      <c r="P298" s="6" t="n">
        <v>1</v>
      </c>
      <c r="R298" s="6" t="s">
        <v>1138</v>
      </c>
      <c r="U298" s="6" t="n">
        <v>151950</v>
      </c>
      <c r="V298" s="28" t="n">
        <v>151950</v>
      </c>
      <c r="W298" s="29" t="n">
        <v>0.12</v>
      </c>
      <c r="X298" s="6" t="n">
        <v>0.055</v>
      </c>
      <c r="Y298" s="29" t="n">
        <v>0.12</v>
      </c>
      <c r="Z298" s="30"/>
      <c r="AA298" s="29" t="n">
        <v>0.04</v>
      </c>
      <c r="AB298" s="31" t="n">
        <v>202853.25</v>
      </c>
      <c r="AE298" s="6" t="n">
        <v>202853.25</v>
      </c>
      <c r="AF298" s="6" t="s">
        <v>1063</v>
      </c>
      <c r="AG298" s="6" t="n">
        <v>0</v>
      </c>
      <c r="AH298" s="30" t="s">
        <v>1206</v>
      </c>
      <c r="AI298" s="6" t="n">
        <v>0</v>
      </c>
      <c r="AJ298" s="6" t="s">
        <v>374</v>
      </c>
      <c r="AK298" s="6" t="s">
        <v>988</v>
      </c>
      <c r="AL298" s="6" t="s">
        <v>374</v>
      </c>
      <c r="AM298" s="6" t="n">
        <v>0</v>
      </c>
      <c r="AN298" s="6" t="s">
        <v>1063</v>
      </c>
      <c r="AQ298" s="6" t="s">
        <v>622</v>
      </c>
      <c r="AR298" s="6" t="s">
        <v>57</v>
      </c>
    </row>
    <row r="299" customFormat="false" ht="15" hidden="false" customHeight="true" outlineLevel="0" collapsed="false">
      <c r="A299" s="27" t="n">
        <v>115813</v>
      </c>
      <c r="B299" s="6" t="s">
        <v>1512</v>
      </c>
      <c r="C299" s="27" t="n">
        <v>115813</v>
      </c>
      <c r="D299" s="6" t="s">
        <v>625</v>
      </c>
      <c r="E299" s="6" t="s">
        <v>1291</v>
      </c>
      <c r="F299" s="6" t="s">
        <v>224</v>
      </c>
      <c r="G299" s="6" t="s">
        <v>1073</v>
      </c>
      <c r="H299" s="6" t="s">
        <v>1074</v>
      </c>
      <c r="I299" s="6" t="s">
        <v>1292</v>
      </c>
      <c r="J299" s="6" t="s">
        <v>31</v>
      </c>
      <c r="K299" s="6" t="s">
        <v>380</v>
      </c>
      <c r="L299" s="6" t="s">
        <v>380</v>
      </c>
      <c r="N299" s="6" t="s">
        <v>109</v>
      </c>
      <c r="O299" s="6" t="s">
        <v>1501</v>
      </c>
      <c r="P299" s="6" t="n">
        <v>1</v>
      </c>
      <c r="R299" s="6" t="s">
        <v>1152</v>
      </c>
      <c r="U299" s="6" t="n">
        <v>168160</v>
      </c>
      <c r="V299" s="28" t="n">
        <v>168160</v>
      </c>
      <c r="W299" s="29" t="n">
        <v>0.12</v>
      </c>
      <c r="X299" s="6" t="n">
        <v>0.055</v>
      </c>
      <c r="Y299" s="29" t="n">
        <v>0.12</v>
      </c>
      <c r="Z299" s="30"/>
      <c r="AA299" s="29" t="n">
        <v>0.04</v>
      </c>
      <c r="AB299" s="31" t="n">
        <v>224493.6</v>
      </c>
      <c r="AE299" s="6" t="n">
        <v>224493.6</v>
      </c>
      <c r="AF299" s="6" t="s">
        <v>58</v>
      </c>
      <c r="AG299" s="6" t="n">
        <v>0</v>
      </c>
      <c r="AH299" s="30" t="s">
        <v>1214</v>
      </c>
      <c r="AI299" s="6" t="n">
        <v>0</v>
      </c>
      <c r="AJ299" s="6" t="s">
        <v>380</v>
      </c>
      <c r="AK299" s="6" t="s">
        <v>988</v>
      </c>
      <c r="AL299" s="6" t="s">
        <v>380</v>
      </c>
      <c r="AM299" s="6" t="n">
        <v>0</v>
      </c>
      <c r="AQ299" s="6" t="s">
        <v>624</v>
      </c>
      <c r="AR299" s="6" t="s">
        <v>109</v>
      </c>
    </row>
    <row r="300" customFormat="false" ht="15" hidden="false" customHeight="true" outlineLevel="0" collapsed="false">
      <c r="A300" s="27" t="s">
        <v>1138</v>
      </c>
      <c r="B300" s="6" t="s">
        <v>1063</v>
      </c>
      <c r="C300" s="27" t="s">
        <v>1138</v>
      </c>
      <c r="D300" s="6" t="s">
        <v>627</v>
      </c>
      <c r="E300" s="6" t="s">
        <v>1291</v>
      </c>
      <c r="F300" s="6" t="s">
        <v>224</v>
      </c>
      <c r="G300" s="6" t="s">
        <v>1073</v>
      </c>
      <c r="H300" s="6" t="s">
        <v>1074</v>
      </c>
      <c r="I300" s="6" t="s">
        <v>1292</v>
      </c>
      <c r="J300" s="6" t="s">
        <v>31</v>
      </c>
      <c r="K300" s="6" t="s">
        <v>1356</v>
      </c>
      <c r="L300" s="6" t="s">
        <v>1358</v>
      </c>
      <c r="N300" s="6" t="s">
        <v>1047</v>
      </c>
      <c r="O300" s="6" t="s">
        <v>1507</v>
      </c>
      <c r="P300" s="6" t="n">
        <v>1</v>
      </c>
      <c r="R300" s="6" t="s">
        <v>1143</v>
      </c>
      <c r="U300" s="6" t="n">
        <v>173550</v>
      </c>
      <c r="V300" s="28" t="n">
        <v>173550</v>
      </c>
      <c r="W300" s="29" t="n">
        <v>0.12</v>
      </c>
      <c r="X300" s="6" t="n">
        <v>0.055</v>
      </c>
      <c r="Y300" s="29" t="n">
        <v>0.12</v>
      </c>
      <c r="Z300" s="30"/>
      <c r="AA300" s="29" t="n">
        <v>0.04</v>
      </c>
      <c r="AB300" s="31" t="n">
        <v>231689.25</v>
      </c>
      <c r="AE300" s="6" t="n">
        <v>231689.25</v>
      </c>
      <c r="AF300" s="6" t="s">
        <v>1063</v>
      </c>
      <c r="AG300" s="6" t="n">
        <v>0</v>
      </c>
      <c r="AH300" s="30" t="s">
        <v>1214</v>
      </c>
      <c r="AI300" s="6" t="n">
        <v>0</v>
      </c>
      <c r="AJ300" s="6" t="s">
        <v>361</v>
      </c>
      <c r="AK300" s="6" t="s">
        <v>988</v>
      </c>
      <c r="AL300" s="6" t="s">
        <v>361</v>
      </c>
      <c r="AM300" s="6" t="n">
        <v>0</v>
      </c>
      <c r="AN300" s="6" t="s">
        <v>1063</v>
      </c>
      <c r="AQ300" s="6" t="s">
        <v>626</v>
      </c>
      <c r="AR300" s="6" t="s">
        <v>57</v>
      </c>
    </row>
    <row r="301" customFormat="false" ht="15" hidden="false" customHeight="true" outlineLevel="0" collapsed="false">
      <c r="A301" s="27" t="n">
        <v>113524</v>
      </c>
      <c r="B301" s="6" t="s">
        <v>1513</v>
      </c>
      <c r="C301" s="27" t="n">
        <v>113524</v>
      </c>
      <c r="D301" s="6" t="s">
        <v>629</v>
      </c>
      <c r="E301" s="6" t="s">
        <v>1260</v>
      </c>
      <c r="F301" s="6" t="s">
        <v>1261</v>
      </c>
      <c r="G301" s="6" t="s">
        <v>1058</v>
      </c>
      <c r="H301" s="6" t="s">
        <v>19</v>
      </c>
      <c r="I301" s="6" t="s">
        <v>1262</v>
      </c>
      <c r="J301" s="6" t="s">
        <v>19</v>
      </c>
      <c r="K301" s="6" t="s">
        <v>1374</v>
      </c>
      <c r="L301" s="6" t="s">
        <v>390</v>
      </c>
      <c r="N301" s="6" t="s">
        <v>109</v>
      </c>
      <c r="O301" s="6" t="s">
        <v>1501</v>
      </c>
      <c r="P301" s="6" t="n">
        <v>1</v>
      </c>
      <c r="R301" s="6" t="s">
        <v>1152</v>
      </c>
      <c r="U301" s="6" t="n">
        <v>125000</v>
      </c>
      <c r="V301" s="28" t="n">
        <v>115000</v>
      </c>
      <c r="W301" s="29" t="n">
        <v>0.15</v>
      </c>
      <c r="Y301" s="29" t="n">
        <v>0.05</v>
      </c>
      <c r="Z301" s="30" t="n">
        <v>2910</v>
      </c>
      <c r="AA301" s="29" t="n">
        <v>0.03</v>
      </c>
      <c r="AB301" s="31" t="n">
        <v>144360</v>
      </c>
      <c r="AE301" s="6" t="n">
        <v>144360</v>
      </c>
      <c r="AF301" s="6" t="s">
        <v>58</v>
      </c>
      <c r="AG301" s="6" t="n">
        <v>0</v>
      </c>
      <c r="AH301" s="30" t="s">
        <v>1206</v>
      </c>
      <c r="AI301" s="6" t="n">
        <v>0</v>
      </c>
      <c r="AJ301" s="6" t="s">
        <v>390</v>
      </c>
      <c r="AK301" s="6" t="s">
        <v>988</v>
      </c>
      <c r="AL301" s="6" t="s">
        <v>390</v>
      </c>
      <c r="AM301" s="6" t="n">
        <v>0</v>
      </c>
      <c r="AQ301" s="6" t="s">
        <v>628</v>
      </c>
      <c r="AR301" s="6" t="s">
        <v>109</v>
      </c>
    </row>
    <row r="302" customFormat="false" ht="15" hidden="false" customHeight="true" outlineLevel="0" collapsed="false">
      <c r="A302" s="27" t="n">
        <v>107550</v>
      </c>
      <c r="B302" s="6" t="s">
        <v>1514</v>
      </c>
      <c r="C302" s="27" t="n">
        <v>107550</v>
      </c>
      <c r="D302" s="6" t="s">
        <v>337</v>
      </c>
      <c r="E302" s="6" t="s">
        <v>1260</v>
      </c>
      <c r="F302" s="6" t="s">
        <v>1261</v>
      </c>
      <c r="G302" s="6" t="s">
        <v>1058</v>
      </c>
      <c r="H302" s="6" t="s">
        <v>19</v>
      </c>
      <c r="I302" s="6" t="s">
        <v>1262</v>
      </c>
      <c r="J302" s="6" t="s">
        <v>19</v>
      </c>
      <c r="K302" s="6" t="s">
        <v>1374</v>
      </c>
      <c r="L302" s="6" t="s">
        <v>387</v>
      </c>
      <c r="N302" s="6" t="s">
        <v>1023</v>
      </c>
      <c r="O302" s="6" t="s">
        <v>1501</v>
      </c>
      <c r="P302" s="6" t="n">
        <v>1</v>
      </c>
      <c r="R302" s="6" t="s">
        <v>1152</v>
      </c>
      <c r="U302" s="6" t="n">
        <v>156160</v>
      </c>
      <c r="V302" s="28" t="n">
        <v>156160</v>
      </c>
      <c r="W302" s="29" t="n">
        <v>0.12</v>
      </c>
      <c r="X302" s="6" t="n">
        <v>0.055</v>
      </c>
      <c r="Y302" s="29" t="n">
        <v>0.12</v>
      </c>
      <c r="Z302" s="30"/>
      <c r="AA302" s="29" t="n">
        <v>0.04</v>
      </c>
      <c r="AB302" s="31" t="n">
        <v>208473.6</v>
      </c>
      <c r="AE302" s="6" t="n">
        <v>208473.6</v>
      </c>
      <c r="AF302" s="6" t="s">
        <v>58</v>
      </c>
      <c r="AG302" s="6" t="n">
        <v>0</v>
      </c>
      <c r="AH302" s="30" t="s">
        <v>1206</v>
      </c>
      <c r="AI302" s="6" t="n">
        <v>0</v>
      </c>
      <c r="AJ302" s="6" t="s">
        <v>387</v>
      </c>
      <c r="AK302" s="6" t="s">
        <v>988</v>
      </c>
      <c r="AL302" s="6" t="s">
        <v>387</v>
      </c>
      <c r="AM302" s="6" t="n">
        <v>0</v>
      </c>
      <c r="AQ302" s="6" t="s">
        <v>630</v>
      </c>
      <c r="AR302" s="6" t="s">
        <v>57</v>
      </c>
    </row>
    <row r="303" customFormat="false" ht="15" hidden="false" customHeight="true" outlineLevel="0" collapsed="false">
      <c r="A303" s="27" t="n">
        <v>104159</v>
      </c>
      <c r="B303" s="6" t="s">
        <v>1515</v>
      </c>
      <c r="C303" s="27" t="n">
        <v>104159</v>
      </c>
      <c r="D303" s="6" t="s">
        <v>601</v>
      </c>
      <c r="E303" s="6" t="s">
        <v>1260</v>
      </c>
      <c r="F303" s="6" t="s">
        <v>1261</v>
      </c>
      <c r="G303" s="6" t="s">
        <v>1058</v>
      </c>
      <c r="H303" s="6" t="s">
        <v>19</v>
      </c>
      <c r="I303" s="6" t="s">
        <v>1262</v>
      </c>
      <c r="J303" s="6" t="s">
        <v>19</v>
      </c>
      <c r="K303" s="6" t="s">
        <v>1374</v>
      </c>
      <c r="L303" s="6" t="s">
        <v>387</v>
      </c>
      <c r="N303" s="6" t="s">
        <v>1023</v>
      </c>
      <c r="O303" s="6" t="s">
        <v>1501</v>
      </c>
      <c r="P303" s="6" t="n">
        <v>1</v>
      </c>
      <c r="R303" s="6" t="s">
        <v>1152</v>
      </c>
      <c r="U303" s="6" t="n">
        <v>159950</v>
      </c>
      <c r="V303" s="28" t="n">
        <v>159950</v>
      </c>
      <c r="W303" s="29" t="n">
        <v>0.12</v>
      </c>
      <c r="X303" s="6" t="n">
        <v>0.055</v>
      </c>
      <c r="Y303" s="29" t="n">
        <v>0.12</v>
      </c>
      <c r="Z303" s="30"/>
      <c r="AA303" s="29" t="n">
        <v>0.04</v>
      </c>
      <c r="AB303" s="31" t="n">
        <v>213533.25</v>
      </c>
      <c r="AE303" s="6" t="n">
        <v>213533.25</v>
      </c>
      <c r="AF303" s="6" t="s">
        <v>58</v>
      </c>
      <c r="AG303" s="6" t="n">
        <v>0</v>
      </c>
      <c r="AH303" s="30" t="s">
        <v>1206</v>
      </c>
      <c r="AI303" s="6" t="n">
        <v>0</v>
      </c>
      <c r="AJ303" s="6" t="s">
        <v>387</v>
      </c>
      <c r="AK303" s="6" t="s">
        <v>988</v>
      </c>
      <c r="AL303" s="6" t="s">
        <v>387</v>
      </c>
      <c r="AM303" s="6" t="n">
        <v>0</v>
      </c>
      <c r="AQ303" s="6" t="s">
        <v>631</v>
      </c>
      <c r="AR303" s="6" t="s">
        <v>57</v>
      </c>
    </row>
    <row r="304" customFormat="false" ht="15" hidden="false" customHeight="true" outlineLevel="0" collapsed="false">
      <c r="A304" s="27" t="s">
        <v>1138</v>
      </c>
      <c r="B304" s="6" t="s">
        <v>1063</v>
      </c>
      <c r="C304" s="27" t="s">
        <v>1138</v>
      </c>
      <c r="D304" s="6" t="s">
        <v>633</v>
      </c>
      <c r="E304" s="6" t="s">
        <v>1260</v>
      </c>
      <c r="F304" s="6" t="s">
        <v>1261</v>
      </c>
      <c r="G304" s="6" t="s">
        <v>1058</v>
      </c>
      <c r="H304" s="6" t="s">
        <v>19</v>
      </c>
      <c r="I304" s="6" t="s">
        <v>1262</v>
      </c>
      <c r="J304" s="6" t="s">
        <v>19</v>
      </c>
      <c r="K304" s="6" t="s">
        <v>1374</v>
      </c>
      <c r="L304" s="6" t="s">
        <v>387</v>
      </c>
      <c r="N304" s="6" t="s">
        <v>1023</v>
      </c>
      <c r="O304" s="6" t="s">
        <v>1501</v>
      </c>
      <c r="P304" s="6" t="n">
        <v>1</v>
      </c>
      <c r="R304" s="6" t="s">
        <v>1138</v>
      </c>
      <c r="U304" s="6" t="n">
        <v>151950</v>
      </c>
      <c r="V304" s="28" t="n">
        <v>151950</v>
      </c>
      <c r="W304" s="29" t="n">
        <v>0.12</v>
      </c>
      <c r="X304" s="6" t="n">
        <v>0.055</v>
      </c>
      <c r="Y304" s="29" t="n">
        <v>0.12</v>
      </c>
      <c r="Z304" s="30"/>
      <c r="AA304" s="29" t="n">
        <v>0.04</v>
      </c>
      <c r="AB304" s="31" t="n">
        <v>202853.25</v>
      </c>
      <c r="AE304" s="6" t="n">
        <v>202853.25</v>
      </c>
      <c r="AF304" s="6" t="s">
        <v>1063</v>
      </c>
      <c r="AG304" s="6" t="n">
        <v>0</v>
      </c>
      <c r="AH304" s="30" t="s">
        <v>1206</v>
      </c>
      <c r="AI304" s="6" t="n">
        <v>0</v>
      </c>
      <c r="AJ304" s="6" t="s">
        <v>387</v>
      </c>
      <c r="AK304" s="6" t="s">
        <v>988</v>
      </c>
      <c r="AL304" s="6" t="s">
        <v>387</v>
      </c>
      <c r="AM304" s="6" t="n">
        <v>0</v>
      </c>
      <c r="AQ304" s="6" t="s">
        <v>632</v>
      </c>
      <c r="AR304" s="6" t="s">
        <v>57</v>
      </c>
    </row>
    <row r="305" customFormat="false" ht="15" hidden="false" customHeight="true" outlineLevel="0" collapsed="false">
      <c r="A305" s="27" t="s">
        <v>1138</v>
      </c>
      <c r="B305" s="6" t="s">
        <v>1063</v>
      </c>
      <c r="C305" s="27" t="s">
        <v>1138</v>
      </c>
      <c r="D305" s="6" t="s">
        <v>629</v>
      </c>
      <c r="E305" s="6" t="s">
        <v>1260</v>
      </c>
      <c r="F305" s="6" t="s">
        <v>1261</v>
      </c>
      <c r="G305" s="6" t="s">
        <v>1058</v>
      </c>
      <c r="H305" s="6" t="s">
        <v>19</v>
      </c>
      <c r="I305" s="6" t="s">
        <v>1262</v>
      </c>
      <c r="J305" s="6" t="s">
        <v>19</v>
      </c>
      <c r="K305" s="6" t="s">
        <v>1374</v>
      </c>
      <c r="L305" s="6" t="s">
        <v>387</v>
      </c>
      <c r="N305" s="6" t="s">
        <v>1023</v>
      </c>
      <c r="O305" s="6" t="s">
        <v>1501</v>
      </c>
      <c r="P305" s="6" t="n">
        <v>1</v>
      </c>
      <c r="R305" s="6" t="s">
        <v>1143</v>
      </c>
      <c r="U305" s="6" t="n">
        <v>151950</v>
      </c>
      <c r="V305" s="28" t="n">
        <v>151950</v>
      </c>
      <c r="W305" s="29" t="n">
        <v>0.12</v>
      </c>
      <c r="X305" s="6" t="n">
        <v>0.055</v>
      </c>
      <c r="Y305" s="29" t="n">
        <v>0.12</v>
      </c>
      <c r="Z305" s="30"/>
      <c r="AA305" s="29" t="n">
        <v>0.04</v>
      </c>
      <c r="AB305" s="31" t="n">
        <v>202853.25</v>
      </c>
      <c r="AE305" s="6" t="n">
        <v>202853.25</v>
      </c>
      <c r="AF305" s="6" t="s">
        <v>1063</v>
      </c>
      <c r="AG305" s="6" t="n">
        <v>0</v>
      </c>
      <c r="AH305" s="30" t="s">
        <v>1206</v>
      </c>
      <c r="AI305" s="6" t="n">
        <v>0</v>
      </c>
      <c r="AJ305" s="6" t="s">
        <v>387</v>
      </c>
      <c r="AK305" s="6" t="s">
        <v>988</v>
      </c>
      <c r="AL305" s="6" t="s">
        <v>387</v>
      </c>
      <c r="AM305" s="6" t="n">
        <v>0</v>
      </c>
      <c r="AQ305" s="6" t="s">
        <v>634</v>
      </c>
      <c r="AR305" s="6" t="s">
        <v>57</v>
      </c>
    </row>
    <row r="306" customFormat="false" ht="15" hidden="false" customHeight="true" outlineLevel="0" collapsed="false">
      <c r="A306" s="27" t="s">
        <v>1138</v>
      </c>
      <c r="B306" s="6" t="s">
        <v>1063</v>
      </c>
      <c r="C306" s="27" t="s">
        <v>1138</v>
      </c>
      <c r="D306" s="6" t="s">
        <v>636</v>
      </c>
      <c r="E306" s="6" t="s">
        <v>1170</v>
      </c>
      <c r="F306" s="6" t="s">
        <v>1171</v>
      </c>
      <c r="G306" s="6" t="s">
        <v>1173</v>
      </c>
      <c r="H306" s="6" t="s">
        <v>168</v>
      </c>
      <c r="I306" s="6" t="s">
        <v>1174</v>
      </c>
      <c r="J306" s="6" t="s">
        <v>23</v>
      </c>
      <c r="K306" s="6" t="s">
        <v>168</v>
      </c>
      <c r="L306" s="6" t="s">
        <v>1259</v>
      </c>
      <c r="N306" s="6" t="s">
        <v>1023</v>
      </c>
      <c r="O306" s="6" t="s">
        <v>1507</v>
      </c>
      <c r="P306" s="6" t="n">
        <v>1</v>
      </c>
      <c r="R306" s="6" t="s">
        <v>1138</v>
      </c>
      <c r="U306" s="6" t="n">
        <v>151950</v>
      </c>
      <c r="V306" s="28" t="n">
        <v>151950</v>
      </c>
      <c r="W306" s="29" t="n">
        <v>0.12</v>
      </c>
      <c r="X306" s="6" t="n">
        <v>0.055</v>
      </c>
      <c r="Y306" s="29" t="n">
        <v>0.12</v>
      </c>
      <c r="Z306" s="30"/>
      <c r="AA306" s="29" t="n">
        <v>0.04</v>
      </c>
      <c r="AB306" s="31" t="n">
        <v>202853.25</v>
      </c>
      <c r="AE306" s="6" t="n">
        <v>202853.25</v>
      </c>
      <c r="AF306" s="6" t="s">
        <v>1063</v>
      </c>
      <c r="AG306" s="6" t="n">
        <v>0</v>
      </c>
      <c r="AH306" s="30" t="s">
        <v>23</v>
      </c>
      <c r="AI306" s="6" t="n">
        <v>0</v>
      </c>
      <c r="AJ306" s="6" t="s">
        <v>253</v>
      </c>
      <c r="AK306" s="6" t="s">
        <v>988</v>
      </c>
      <c r="AL306" s="6" t="s">
        <v>253</v>
      </c>
      <c r="AM306" s="6" t="n">
        <v>0</v>
      </c>
      <c r="AQ306" s="6" t="s">
        <v>635</v>
      </c>
      <c r="AR306" s="6" t="s">
        <v>57</v>
      </c>
    </row>
    <row r="307" customFormat="false" ht="15" hidden="false" customHeight="true" outlineLevel="0" collapsed="false">
      <c r="A307" s="27" t="n">
        <v>116090</v>
      </c>
      <c r="B307" s="6" t="s">
        <v>1516</v>
      </c>
      <c r="C307" s="27" t="n">
        <v>116090</v>
      </c>
      <c r="D307" s="6" t="s">
        <v>627</v>
      </c>
      <c r="E307" s="6" t="s">
        <v>1056</v>
      </c>
      <c r="F307" s="6" t="s">
        <v>1057</v>
      </c>
      <c r="G307" s="6" t="s">
        <v>1058</v>
      </c>
      <c r="H307" s="6" t="s">
        <v>1059</v>
      </c>
      <c r="I307" s="6" t="s">
        <v>1060</v>
      </c>
      <c r="J307" s="6" t="s">
        <v>25</v>
      </c>
      <c r="K307" s="6" t="s">
        <v>1234</v>
      </c>
      <c r="L307" s="6" t="s">
        <v>1235</v>
      </c>
      <c r="N307" s="6" t="s">
        <v>1023</v>
      </c>
      <c r="O307" s="6" t="s">
        <v>1501</v>
      </c>
      <c r="P307" s="6" t="n">
        <v>1</v>
      </c>
      <c r="R307" s="6" t="s">
        <v>1152</v>
      </c>
      <c r="U307" s="6" t="n">
        <v>145000</v>
      </c>
      <c r="V307" s="28" t="n">
        <v>145000</v>
      </c>
      <c r="W307" s="29" t="n">
        <v>0.12</v>
      </c>
      <c r="X307" s="6" t="n">
        <v>0.055</v>
      </c>
      <c r="Y307" s="29" t="n">
        <v>0.12</v>
      </c>
      <c r="Z307" s="30"/>
      <c r="AA307" s="29" t="n">
        <v>0.04</v>
      </c>
      <c r="AB307" s="31" t="n">
        <v>193575</v>
      </c>
      <c r="AE307" s="6" t="n">
        <v>193575</v>
      </c>
      <c r="AF307" s="6" t="s">
        <v>58</v>
      </c>
      <c r="AG307" s="6" t="n">
        <v>0</v>
      </c>
      <c r="AH307" s="30" t="s">
        <v>25</v>
      </c>
      <c r="AI307" s="6" t="n">
        <v>0</v>
      </c>
      <c r="AJ307" s="6" t="s">
        <v>227</v>
      </c>
      <c r="AK307" s="6" t="s">
        <v>988</v>
      </c>
      <c r="AL307" s="6" t="s">
        <v>227</v>
      </c>
      <c r="AM307" s="6" t="n">
        <v>0</v>
      </c>
      <c r="AQ307" s="6" t="s">
        <v>637</v>
      </c>
      <c r="AR307" s="6" t="s">
        <v>57</v>
      </c>
    </row>
    <row r="308" customFormat="false" ht="15" hidden="false" customHeight="true" outlineLevel="0" collapsed="false">
      <c r="A308" s="27" t="n">
        <v>98087</v>
      </c>
      <c r="B308" s="6" t="s">
        <v>1517</v>
      </c>
      <c r="C308" s="27" t="n">
        <v>98087</v>
      </c>
      <c r="D308" s="6" t="s">
        <v>226</v>
      </c>
      <c r="E308" s="6" t="s">
        <v>1056</v>
      </c>
      <c r="F308" s="6" t="s">
        <v>1057</v>
      </c>
      <c r="G308" s="6" t="s">
        <v>1058</v>
      </c>
      <c r="H308" s="6" t="s">
        <v>1059</v>
      </c>
      <c r="I308" s="6" t="s">
        <v>1060</v>
      </c>
      <c r="J308" s="6" t="s">
        <v>25</v>
      </c>
      <c r="K308" s="6" t="s">
        <v>1234</v>
      </c>
      <c r="L308" s="6" t="s">
        <v>227</v>
      </c>
      <c r="N308" s="6" t="s">
        <v>1023</v>
      </c>
      <c r="O308" s="6" t="s">
        <v>1501</v>
      </c>
      <c r="P308" s="6" t="n">
        <v>1</v>
      </c>
      <c r="R308" s="6" t="s">
        <v>1152</v>
      </c>
      <c r="U308" s="6" t="n">
        <v>159820</v>
      </c>
      <c r="V308" s="28" t="n">
        <v>159820</v>
      </c>
      <c r="W308" s="29" t="n">
        <v>0.12</v>
      </c>
      <c r="X308" s="6" t="n">
        <v>0.055</v>
      </c>
      <c r="Y308" s="29" t="n">
        <v>0.12</v>
      </c>
      <c r="Z308" s="30"/>
      <c r="AA308" s="29" t="n">
        <v>0.04</v>
      </c>
      <c r="AB308" s="31" t="n">
        <v>213359.7</v>
      </c>
      <c r="AE308" s="6" t="n">
        <v>213359.7</v>
      </c>
      <c r="AF308" s="6" t="s">
        <v>58</v>
      </c>
      <c r="AG308" s="6" t="n">
        <v>0</v>
      </c>
      <c r="AH308" s="30" t="s">
        <v>25</v>
      </c>
      <c r="AI308" s="6" t="n">
        <v>0</v>
      </c>
      <c r="AJ308" s="6" t="s">
        <v>227</v>
      </c>
      <c r="AK308" s="6" t="s">
        <v>988</v>
      </c>
      <c r="AL308" s="6" t="s">
        <v>227</v>
      </c>
      <c r="AM308" s="6" t="n">
        <v>0</v>
      </c>
      <c r="AQ308" s="6" t="s">
        <v>638</v>
      </c>
      <c r="AR308" s="6" t="s">
        <v>57</v>
      </c>
    </row>
    <row r="309" customFormat="false" ht="15" hidden="false" customHeight="true" outlineLevel="0" collapsed="false">
      <c r="A309" s="27" t="n">
        <v>87951</v>
      </c>
      <c r="B309" s="6" t="s">
        <v>1518</v>
      </c>
      <c r="C309" s="27" t="n">
        <v>87951</v>
      </c>
      <c r="D309" s="6" t="s">
        <v>640</v>
      </c>
      <c r="E309" s="6" t="s">
        <v>1378</v>
      </c>
      <c r="F309" s="6" t="s">
        <v>1519</v>
      </c>
      <c r="G309" s="6" t="s">
        <v>1164</v>
      </c>
      <c r="H309" s="6" t="s">
        <v>157</v>
      </c>
      <c r="I309" s="6" t="s">
        <v>26</v>
      </c>
      <c r="J309" s="6" t="s">
        <v>26</v>
      </c>
      <c r="K309" s="6" t="s">
        <v>26</v>
      </c>
      <c r="L309" s="6" t="s">
        <v>26</v>
      </c>
      <c r="N309" s="6" t="s">
        <v>1023</v>
      </c>
      <c r="O309" s="6" t="s">
        <v>1501</v>
      </c>
      <c r="P309" s="6" t="n">
        <v>1</v>
      </c>
      <c r="R309" s="6" t="s">
        <v>1152</v>
      </c>
      <c r="U309" s="6" t="n">
        <v>161560</v>
      </c>
      <c r="V309" s="28" t="n">
        <v>161560</v>
      </c>
      <c r="W309" s="29" t="n">
        <v>0.12</v>
      </c>
      <c r="X309" s="6" t="n">
        <v>0.055</v>
      </c>
      <c r="Y309" s="29" t="n">
        <v>0.12</v>
      </c>
      <c r="Z309" s="30"/>
      <c r="AA309" s="29" t="n">
        <v>0.04</v>
      </c>
      <c r="AB309" s="31" t="n">
        <v>215682.6</v>
      </c>
      <c r="AE309" s="6" t="n">
        <v>215682.6</v>
      </c>
      <c r="AF309" s="6" t="s">
        <v>58</v>
      </c>
      <c r="AG309" s="6" t="n">
        <v>0</v>
      </c>
      <c r="AH309" s="30" t="s">
        <v>1254</v>
      </c>
      <c r="AI309" s="6" t="n">
        <v>0</v>
      </c>
      <c r="AJ309" s="6" t="s">
        <v>395</v>
      </c>
      <c r="AK309" s="6" t="s">
        <v>988</v>
      </c>
      <c r="AL309" s="6" t="s">
        <v>395</v>
      </c>
      <c r="AM309" s="6" t="n">
        <v>0</v>
      </c>
      <c r="AQ309" s="6" t="s">
        <v>639</v>
      </c>
      <c r="AR309" s="6" t="s">
        <v>57</v>
      </c>
    </row>
    <row r="310" customFormat="false" ht="15" hidden="false" customHeight="true" outlineLevel="0" collapsed="false">
      <c r="A310" s="27" t="s">
        <v>1138</v>
      </c>
      <c r="B310" s="6" t="s">
        <v>1063</v>
      </c>
      <c r="C310" s="27" t="s">
        <v>1138</v>
      </c>
      <c r="D310" s="6" t="s">
        <v>138</v>
      </c>
      <c r="E310" s="6" t="s">
        <v>1181</v>
      </c>
      <c r="F310" s="6" t="s">
        <v>1182</v>
      </c>
      <c r="G310" s="6" t="s">
        <v>1173</v>
      </c>
      <c r="H310" s="6" t="s">
        <v>1183</v>
      </c>
      <c r="J310" s="6" t="s">
        <v>23</v>
      </c>
      <c r="K310" s="6" t="s">
        <v>21</v>
      </c>
      <c r="L310" s="6" t="s">
        <v>400</v>
      </c>
      <c r="N310" s="6" t="s">
        <v>1023</v>
      </c>
      <c r="O310" s="6" t="s">
        <v>1501</v>
      </c>
      <c r="P310" s="6" t="n">
        <v>1</v>
      </c>
      <c r="R310" s="6" t="s">
        <v>1295</v>
      </c>
      <c r="U310" s="6" t="n">
        <v>151950</v>
      </c>
      <c r="V310" s="28" t="n">
        <v>151950</v>
      </c>
      <c r="W310" s="29" t="n">
        <v>0.12</v>
      </c>
      <c r="X310" s="6" t="n">
        <v>0.055</v>
      </c>
      <c r="Y310" s="29" t="n">
        <v>0.12</v>
      </c>
      <c r="Z310" s="30"/>
      <c r="AA310" s="29" t="n">
        <v>0.04</v>
      </c>
      <c r="AB310" s="31" t="n">
        <v>202853.25</v>
      </c>
      <c r="AE310" s="6" t="n">
        <v>202853.25</v>
      </c>
      <c r="AF310" s="6" t="s">
        <v>1063</v>
      </c>
      <c r="AG310" s="6" t="n">
        <v>0</v>
      </c>
      <c r="AH310" s="30" t="s">
        <v>23</v>
      </c>
      <c r="AI310" s="6" t="n">
        <v>0</v>
      </c>
      <c r="AJ310" s="6" t="s">
        <v>400</v>
      </c>
      <c r="AK310" s="6" t="s">
        <v>988</v>
      </c>
      <c r="AL310" s="6" t="s">
        <v>405</v>
      </c>
      <c r="AM310" s="6" t="n">
        <v>1</v>
      </c>
      <c r="AQ310" s="6" t="s">
        <v>641</v>
      </c>
      <c r="AR310" s="6" t="s">
        <v>57</v>
      </c>
    </row>
    <row r="311" customFormat="false" ht="15" hidden="false" customHeight="true" outlineLevel="0" collapsed="false">
      <c r="A311" s="27" t="s">
        <v>1138</v>
      </c>
      <c r="B311" s="6" t="s">
        <v>1063</v>
      </c>
      <c r="C311" s="27" t="s">
        <v>1138</v>
      </c>
      <c r="D311" s="6" t="s">
        <v>138</v>
      </c>
      <c r="E311" s="6" t="s">
        <v>1181</v>
      </c>
      <c r="F311" s="6" t="s">
        <v>1182</v>
      </c>
      <c r="G311" s="6" t="s">
        <v>1173</v>
      </c>
      <c r="H311" s="6" t="s">
        <v>1183</v>
      </c>
      <c r="J311" s="6" t="s">
        <v>23</v>
      </c>
      <c r="K311" s="6" t="s">
        <v>168</v>
      </c>
      <c r="L311" s="6" t="s">
        <v>1259</v>
      </c>
      <c r="N311" s="6" t="s">
        <v>1023</v>
      </c>
      <c r="O311" s="6" t="s">
        <v>1501</v>
      </c>
      <c r="P311" s="6" t="n">
        <v>1</v>
      </c>
      <c r="R311" s="6" t="s">
        <v>1138</v>
      </c>
      <c r="U311" s="6" t="n">
        <v>151950</v>
      </c>
      <c r="V311" s="28" t="n">
        <v>151950</v>
      </c>
      <c r="W311" s="29" t="n">
        <v>0.12</v>
      </c>
      <c r="X311" s="6" t="n">
        <v>0.055</v>
      </c>
      <c r="Y311" s="29" t="n">
        <v>0.12</v>
      </c>
      <c r="Z311" s="30"/>
      <c r="AA311" s="29" t="n">
        <v>0.04</v>
      </c>
      <c r="AB311" s="31" t="n">
        <v>202853.25</v>
      </c>
      <c r="AE311" s="6" t="n">
        <v>202853.25</v>
      </c>
      <c r="AF311" s="6" t="s">
        <v>1063</v>
      </c>
      <c r="AG311" s="6" t="n">
        <v>0</v>
      </c>
      <c r="AH311" s="30" t="s">
        <v>23</v>
      </c>
      <c r="AI311" s="6" t="n">
        <v>0</v>
      </c>
      <c r="AJ311" s="6" t="s">
        <v>253</v>
      </c>
      <c r="AK311" s="6" t="s">
        <v>988</v>
      </c>
      <c r="AL311" s="6" t="s">
        <v>253</v>
      </c>
      <c r="AM311" s="6" t="n">
        <v>0</v>
      </c>
      <c r="AQ311" s="6" t="s">
        <v>642</v>
      </c>
      <c r="AR311" s="6" t="s">
        <v>57</v>
      </c>
    </row>
    <row r="312" customFormat="false" ht="15" hidden="false" customHeight="true" outlineLevel="0" collapsed="false">
      <c r="A312" s="27" t="n">
        <v>110830</v>
      </c>
      <c r="B312" s="6" t="s">
        <v>1520</v>
      </c>
      <c r="C312" s="27" t="n">
        <v>110830</v>
      </c>
      <c r="D312" s="6" t="s">
        <v>644</v>
      </c>
      <c r="E312" s="6" t="s">
        <v>1460</v>
      </c>
      <c r="F312" s="6" t="s">
        <v>1461</v>
      </c>
      <c r="G312" s="6" t="s">
        <v>1076</v>
      </c>
      <c r="H312" s="6" t="s">
        <v>1290</v>
      </c>
      <c r="I312" s="6" t="s">
        <v>1433</v>
      </c>
      <c r="J312" s="6" t="s">
        <v>30</v>
      </c>
      <c r="K312" s="6" t="s">
        <v>30</v>
      </c>
      <c r="L312" s="6" t="s">
        <v>477</v>
      </c>
      <c r="N312" s="6" t="s">
        <v>1023</v>
      </c>
      <c r="O312" s="6" t="s">
        <v>1501</v>
      </c>
      <c r="P312" s="6" t="n">
        <v>1</v>
      </c>
      <c r="R312" s="6" t="s">
        <v>1152</v>
      </c>
      <c r="U312" s="6" t="n">
        <v>154450</v>
      </c>
      <c r="V312" s="28" t="n">
        <v>154450</v>
      </c>
      <c r="W312" s="29" t="n">
        <v>0.12</v>
      </c>
      <c r="X312" s="6" t="n">
        <v>0.055</v>
      </c>
      <c r="Y312" s="29" t="n">
        <v>0.12</v>
      </c>
      <c r="Z312" s="30"/>
      <c r="AA312" s="29" t="n">
        <v>0.04</v>
      </c>
      <c r="AB312" s="31" t="n">
        <v>206190.75</v>
      </c>
      <c r="AE312" s="6" t="n">
        <v>206190.75</v>
      </c>
      <c r="AF312" s="6" t="s">
        <v>58</v>
      </c>
      <c r="AG312" s="6" t="n">
        <v>0</v>
      </c>
      <c r="AH312" s="30" t="s">
        <v>1076</v>
      </c>
      <c r="AI312" s="6" t="n">
        <v>0</v>
      </c>
      <c r="AJ312" s="6" t="s">
        <v>477</v>
      </c>
      <c r="AK312" s="6" t="s">
        <v>988</v>
      </c>
      <c r="AL312" s="6" t="s">
        <v>477</v>
      </c>
      <c r="AM312" s="6" t="n">
        <v>0</v>
      </c>
      <c r="AQ312" s="6" t="s">
        <v>643</v>
      </c>
      <c r="AR312" s="6" t="s">
        <v>57</v>
      </c>
    </row>
    <row r="313" customFormat="false" ht="15" hidden="false" customHeight="true" outlineLevel="0" collapsed="false">
      <c r="A313" s="27" t="n">
        <v>106117</v>
      </c>
      <c r="B313" s="6" t="s">
        <v>1521</v>
      </c>
      <c r="C313" s="27" t="n">
        <v>106117</v>
      </c>
      <c r="D313" s="6" t="s">
        <v>646</v>
      </c>
      <c r="E313" s="6" t="s">
        <v>1460</v>
      </c>
      <c r="F313" s="6" t="s">
        <v>1461</v>
      </c>
      <c r="G313" s="6" t="s">
        <v>1076</v>
      </c>
      <c r="H313" s="6" t="s">
        <v>1290</v>
      </c>
      <c r="I313" s="6" t="s">
        <v>1433</v>
      </c>
      <c r="J313" s="6" t="s">
        <v>30</v>
      </c>
      <c r="K313" s="6" t="s">
        <v>30</v>
      </c>
      <c r="L313" s="6" t="s">
        <v>477</v>
      </c>
      <c r="N313" s="6" t="s">
        <v>1023</v>
      </c>
      <c r="O313" s="6" t="s">
        <v>1501</v>
      </c>
      <c r="P313" s="6" t="n">
        <v>1</v>
      </c>
      <c r="R313" s="6" t="s">
        <v>1152</v>
      </c>
      <c r="U313" s="6" t="n">
        <v>163040</v>
      </c>
      <c r="V313" s="28" t="n">
        <v>163040</v>
      </c>
      <c r="W313" s="29" t="n">
        <v>0.12</v>
      </c>
      <c r="X313" s="6" t="n">
        <v>0.055</v>
      </c>
      <c r="Y313" s="29" t="n">
        <v>0.12</v>
      </c>
      <c r="Z313" s="30"/>
      <c r="AA313" s="29" t="n">
        <v>0.04</v>
      </c>
      <c r="AB313" s="31" t="n">
        <v>217658.4</v>
      </c>
      <c r="AE313" s="6" t="n">
        <v>217658.4</v>
      </c>
      <c r="AF313" s="6" t="s">
        <v>58</v>
      </c>
      <c r="AG313" s="6" t="n">
        <v>0</v>
      </c>
      <c r="AH313" s="30" t="s">
        <v>1076</v>
      </c>
      <c r="AI313" s="6" t="n">
        <v>0</v>
      </c>
      <c r="AJ313" s="6" t="s">
        <v>477</v>
      </c>
      <c r="AK313" s="6" t="s">
        <v>988</v>
      </c>
      <c r="AL313" s="6" t="s">
        <v>477</v>
      </c>
      <c r="AM313" s="6" t="n">
        <v>0</v>
      </c>
      <c r="AQ313" s="6" t="s">
        <v>645</v>
      </c>
      <c r="AR313" s="6" t="s">
        <v>57</v>
      </c>
    </row>
    <row r="314" customFormat="false" ht="15" hidden="false" customHeight="true" outlineLevel="0" collapsed="false">
      <c r="A314" s="27" t="s">
        <v>1138</v>
      </c>
      <c r="B314" s="6" t="s">
        <v>1063</v>
      </c>
      <c r="C314" s="27" t="s">
        <v>1138</v>
      </c>
      <c r="D314" s="6" t="s">
        <v>648</v>
      </c>
      <c r="E314" s="6" t="s">
        <v>1460</v>
      </c>
      <c r="F314" s="6" t="s">
        <v>1461</v>
      </c>
      <c r="G314" s="6" t="s">
        <v>1076</v>
      </c>
      <c r="H314" s="6" t="s">
        <v>1290</v>
      </c>
      <c r="I314" s="6" t="s">
        <v>1433</v>
      </c>
      <c r="J314" s="6" t="s">
        <v>30</v>
      </c>
      <c r="K314" s="6" t="s">
        <v>30</v>
      </c>
      <c r="L314" s="6" t="s">
        <v>477</v>
      </c>
      <c r="N314" s="6" t="s">
        <v>1023</v>
      </c>
      <c r="O314" s="6" t="s">
        <v>1501</v>
      </c>
      <c r="P314" s="6" t="n">
        <v>1</v>
      </c>
      <c r="R314" s="6" t="s">
        <v>1143</v>
      </c>
      <c r="U314" s="6" t="n">
        <v>151950</v>
      </c>
      <c r="V314" s="28" t="n">
        <v>151950</v>
      </c>
      <c r="W314" s="29" t="n">
        <v>0.12</v>
      </c>
      <c r="X314" s="6" t="n">
        <v>0.055</v>
      </c>
      <c r="Y314" s="29" t="n">
        <v>0.12</v>
      </c>
      <c r="Z314" s="30"/>
      <c r="AA314" s="29" t="n">
        <v>0.04</v>
      </c>
      <c r="AB314" s="31" t="n">
        <v>202853.25</v>
      </c>
      <c r="AE314" s="6" t="n">
        <v>202853.25</v>
      </c>
      <c r="AF314" s="6" t="s">
        <v>1063</v>
      </c>
      <c r="AG314" s="6" t="n">
        <v>0</v>
      </c>
      <c r="AH314" s="30" t="s">
        <v>1076</v>
      </c>
      <c r="AI314" s="6" t="n">
        <v>0</v>
      </c>
      <c r="AJ314" s="6" t="s">
        <v>477</v>
      </c>
      <c r="AK314" s="6" t="s">
        <v>988</v>
      </c>
      <c r="AL314" s="6" t="s">
        <v>477</v>
      </c>
      <c r="AM314" s="6" t="n">
        <v>0</v>
      </c>
      <c r="AQ314" s="6" t="s">
        <v>647</v>
      </c>
      <c r="AR314" s="6" t="s">
        <v>57</v>
      </c>
    </row>
    <row r="315" customFormat="false" ht="15" hidden="false" customHeight="true" outlineLevel="0" collapsed="false">
      <c r="A315" s="27" t="s">
        <v>1143</v>
      </c>
      <c r="B315" s="6" t="s">
        <v>1304</v>
      </c>
      <c r="C315" s="27" t="s">
        <v>1143</v>
      </c>
      <c r="D315" s="6" t="s">
        <v>650</v>
      </c>
      <c r="E315" s="6" t="s">
        <v>1460</v>
      </c>
      <c r="F315" s="6" t="s">
        <v>1461</v>
      </c>
      <c r="G315" s="6" t="s">
        <v>1076</v>
      </c>
      <c r="H315" s="6" t="s">
        <v>1290</v>
      </c>
      <c r="I315" s="6" t="s">
        <v>1433</v>
      </c>
      <c r="J315" s="6" t="s">
        <v>30</v>
      </c>
      <c r="K315" s="6" t="s">
        <v>30</v>
      </c>
      <c r="L315" s="6" t="s">
        <v>477</v>
      </c>
      <c r="N315" s="6" t="s">
        <v>1023</v>
      </c>
      <c r="O315" s="6" t="s">
        <v>1501</v>
      </c>
      <c r="P315" s="6" t="n">
        <v>1</v>
      </c>
      <c r="R315" s="6" t="s">
        <v>1143</v>
      </c>
      <c r="U315" s="6" t="n">
        <v>151950</v>
      </c>
      <c r="V315" s="28" t="n">
        <v>151950</v>
      </c>
      <c r="W315" s="29" t="n">
        <v>0.12</v>
      </c>
      <c r="X315" s="6" t="n">
        <v>0.055</v>
      </c>
      <c r="Y315" s="29" t="n">
        <v>0.12</v>
      </c>
      <c r="Z315" s="30"/>
      <c r="AA315" s="29" t="n">
        <v>0.04</v>
      </c>
      <c r="AB315" s="31" t="n">
        <v>202853.25</v>
      </c>
      <c r="AE315" s="6" t="n">
        <v>202853.25</v>
      </c>
      <c r="AF315" s="6" t="s">
        <v>1063</v>
      </c>
      <c r="AG315" s="6" t="n">
        <v>0</v>
      </c>
      <c r="AH315" s="30" t="s">
        <v>1076</v>
      </c>
      <c r="AI315" s="6" t="n">
        <v>0</v>
      </c>
      <c r="AJ315" s="6" t="s">
        <v>477</v>
      </c>
      <c r="AK315" s="6" t="s">
        <v>988</v>
      </c>
      <c r="AL315" s="6" t="s">
        <v>477</v>
      </c>
      <c r="AM315" s="6" t="n">
        <v>0</v>
      </c>
      <c r="AQ315" s="6" t="s">
        <v>649</v>
      </c>
      <c r="AR315" s="6" t="s">
        <v>57</v>
      </c>
    </row>
    <row r="316" customFormat="false" ht="15" hidden="false" customHeight="true" outlineLevel="0" collapsed="false">
      <c r="A316" s="27" t="n">
        <v>107154</v>
      </c>
      <c r="B316" s="6" t="s">
        <v>1522</v>
      </c>
      <c r="C316" s="27" t="n">
        <v>107154</v>
      </c>
      <c r="D316" s="6" t="s">
        <v>652</v>
      </c>
      <c r="E316" s="6" t="s">
        <v>1257</v>
      </c>
      <c r="F316" s="6" t="s">
        <v>1389</v>
      </c>
      <c r="G316" s="6" t="s">
        <v>1173</v>
      </c>
      <c r="H316" s="6" t="s">
        <v>168</v>
      </c>
      <c r="I316" s="6" t="s">
        <v>414</v>
      </c>
      <c r="J316" s="6" t="s">
        <v>23</v>
      </c>
      <c r="K316" s="6" t="s">
        <v>168</v>
      </c>
      <c r="L316" s="6" t="s">
        <v>414</v>
      </c>
      <c r="N316" s="6" t="s">
        <v>1023</v>
      </c>
      <c r="O316" s="6" t="s">
        <v>1501</v>
      </c>
      <c r="P316" s="6" t="n">
        <v>1</v>
      </c>
      <c r="R316" s="6" t="s">
        <v>1152</v>
      </c>
      <c r="U316" s="6" t="n">
        <v>156160</v>
      </c>
      <c r="V316" s="28" t="n">
        <v>156160</v>
      </c>
      <c r="W316" s="29" t="n">
        <v>0.12</v>
      </c>
      <c r="X316" s="6" t="n">
        <v>0.055</v>
      </c>
      <c r="Y316" s="29" t="n">
        <v>0.12</v>
      </c>
      <c r="Z316" s="30"/>
      <c r="AA316" s="29" t="n">
        <v>0.04</v>
      </c>
      <c r="AB316" s="31" t="n">
        <v>208473.6</v>
      </c>
      <c r="AE316" s="6" t="n">
        <v>208473.6</v>
      </c>
      <c r="AF316" s="6" t="s">
        <v>58</v>
      </c>
      <c r="AG316" s="6" t="n">
        <v>0</v>
      </c>
      <c r="AH316" s="30" t="s">
        <v>23</v>
      </c>
      <c r="AI316" s="6" t="n">
        <v>0</v>
      </c>
      <c r="AJ316" s="6" t="s">
        <v>414</v>
      </c>
      <c r="AK316" s="6" t="s">
        <v>988</v>
      </c>
      <c r="AL316" s="6" t="s">
        <v>414</v>
      </c>
      <c r="AM316" s="6" t="n">
        <v>0</v>
      </c>
      <c r="AQ316" s="6" t="s">
        <v>651</v>
      </c>
      <c r="AR316" s="6" t="s">
        <v>57</v>
      </c>
    </row>
    <row r="317" customFormat="false" ht="15" hidden="false" customHeight="true" outlineLevel="0" collapsed="false">
      <c r="A317" s="27" t="n">
        <v>97776</v>
      </c>
      <c r="B317" s="6" t="s">
        <v>1523</v>
      </c>
      <c r="C317" s="27" t="n">
        <v>97776</v>
      </c>
      <c r="D317" s="6" t="s">
        <v>226</v>
      </c>
      <c r="E317" s="6" t="s">
        <v>1240</v>
      </c>
      <c r="F317" s="6" t="s">
        <v>1393</v>
      </c>
      <c r="G317" s="6" t="s">
        <v>1058</v>
      </c>
      <c r="H317" s="6" t="s">
        <v>1059</v>
      </c>
      <c r="I317" s="6" t="s">
        <v>1242</v>
      </c>
      <c r="J317" s="6" t="s">
        <v>25</v>
      </c>
      <c r="K317" s="6" t="s">
        <v>1243</v>
      </c>
      <c r="L317" s="6" t="s">
        <v>1394</v>
      </c>
      <c r="N317" s="6" t="s">
        <v>1023</v>
      </c>
      <c r="O317" s="6" t="s">
        <v>1501</v>
      </c>
      <c r="P317" s="6" t="n">
        <v>1</v>
      </c>
      <c r="R317" s="6" t="s">
        <v>1152</v>
      </c>
      <c r="U317" s="6" t="n">
        <v>161340</v>
      </c>
      <c r="V317" s="28" t="n">
        <v>161340</v>
      </c>
      <c r="W317" s="29" t="n">
        <v>0.12</v>
      </c>
      <c r="X317" s="6" t="n">
        <v>0.055</v>
      </c>
      <c r="Y317" s="29" t="n">
        <v>0.12</v>
      </c>
      <c r="Z317" s="30"/>
      <c r="AA317" s="29" t="n">
        <v>0.04</v>
      </c>
      <c r="AB317" s="31" t="n">
        <v>215388.9</v>
      </c>
      <c r="AE317" s="6" t="n">
        <v>215388.9</v>
      </c>
      <c r="AF317" s="6" t="s">
        <v>58</v>
      </c>
      <c r="AG317" s="6" t="n">
        <v>0</v>
      </c>
      <c r="AH317" s="30" t="s">
        <v>25</v>
      </c>
      <c r="AI317" s="6" t="n">
        <v>0</v>
      </c>
      <c r="AJ317" s="6" t="s">
        <v>1394</v>
      </c>
      <c r="AK317" s="6" t="s">
        <v>988</v>
      </c>
      <c r="AL317" s="6" t="s">
        <v>1394</v>
      </c>
      <c r="AM317" s="6" t="n">
        <v>0</v>
      </c>
      <c r="AQ317" s="6" t="s">
        <v>653</v>
      </c>
      <c r="AR317" s="6" t="s">
        <v>57</v>
      </c>
    </row>
    <row r="318" customFormat="false" ht="15" hidden="false" customHeight="true" outlineLevel="0" collapsed="false">
      <c r="A318" s="27" t="n">
        <v>113202</v>
      </c>
      <c r="B318" s="6" t="s">
        <v>1524</v>
      </c>
      <c r="C318" s="27" t="n">
        <v>113202</v>
      </c>
      <c r="D318" s="6" t="s">
        <v>226</v>
      </c>
      <c r="E318" s="6" t="s">
        <v>1240</v>
      </c>
      <c r="F318" s="6" t="s">
        <v>1393</v>
      </c>
      <c r="G318" s="6" t="s">
        <v>1058</v>
      </c>
      <c r="H318" s="6" t="s">
        <v>1059</v>
      </c>
      <c r="I318" s="6" t="s">
        <v>1242</v>
      </c>
      <c r="J318" s="6" t="s">
        <v>25</v>
      </c>
      <c r="K318" s="6" t="s">
        <v>1243</v>
      </c>
      <c r="L318" s="6" t="s">
        <v>1394</v>
      </c>
      <c r="N318" s="6" t="s">
        <v>1023</v>
      </c>
      <c r="O318" s="6" t="s">
        <v>1501</v>
      </c>
      <c r="P318" s="6" t="n">
        <v>1</v>
      </c>
      <c r="R318" s="6" t="s">
        <v>1152</v>
      </c>
      <c r="U318" s="6" t="n">
        <v>156850</v>
      </c>
      <c r="V318" s="28" t="n">
        <v>156850</v>
      </c>
      <c r="W318" s="29" t="n">
        <v>0.12</v>
      </c>
      <c r="X318" s="6" t="n">
        <v>0.055</v>
      </c>
      <c r="Y318" s="29" t="n">
        <v>0.12</v>
      </c>
      <c r="Z318" s="30"/>
      <c r="AA318" s="29" t="n">
        <v>0.04</v>
      </c>
      <c r="AB318" s="31" t="n">
        <v>209394.75</v>
      </c>
      <c r="AE318" s="6" t="n">
        <v>209394.75</v>
      </c>
      <c r="AF318" s="6" t="s">
        <v>58</v>
      </c>
      <c r="AG318" s="6" t="n">
        <v>0</v>
      </c>
      <c r="AH318" s="30" t="s">
        <v>25</v>
      </c>
      <c r="AI318" s="6" t="n">
        <v>0</v>
      </c>
      <c r="AJ318" s="6" t="s">
        <v>1394</v>
      </c>
      <c r="AK318" s="6" t="s">
        <v>988</v>
      </c>
      <c r="AL318" s="6" t="s">
        <v>1394</v>
      </c>
      <c r="AM318" s="6" t="n">
        <v>0</v>
      </c>
      <c r="AQ318" s="6" t="s">
        <v>654</v>
      </c>
      <c r="AR318" s="6" t="s">
        <v>57</v>
      </c>
    </row>
    <row r="319" customFormat="false" ht="15" hidden="false" customHeight="true" outlineLevel="0" collapsed="false">
      <c r="A319" s="27" t="n">
        <v>116253</v>
      </c>
      <c r="B319" s="6" t="s">
        <v>1525</v>
      </c>
      <c r="C319" s="27" t="n">
        <v>116253</v>
      </c>
      <c r="D319" s="6" t="s">
        <v>656</v>
      </c>
      <c r="E319" s="6" t="s">
        <v>1240</v>
      </c>
      <c r="F319" s="6" t="s">
        <v>1393</v>
      </c>
      <c r="G319" s="6" t="s">
        <v>1058</v>
      </c>
      <c r="H319" s="6" t="s">
        <v>1059</v>
      </c>
      <c r="I319" s="6" t="s">
        <v>1242</v>
      </c>
      <c r="J319" s="6" t="s">
        <v>25</v>
      </c>
      <c r="K319" s="6" t="s">
        <v>1243</v>
      </c>
      <c r="L319" s="6" t="s">
        <v>1394</v>
      </c>
      <c r="N319" s="6" t="s">
        <v>1023</v>
      </c>
      <c r="O319" s="6" t="s">
        <v>1501</v>
      </c>
      <c r="P319" s="6" t="n">
        <v>1</v>
      </c>
      <c r="R319" s="6" t="s">
        <v>1152</v>
      </c>
      <c r="U319" s="6" t="n">
        <v>160000</v>
      </c>
      <c r="V319" s="28" t="n">
        <v>160000</v>
      </c>
      <c r="W319" s="29" t="n">
        <v>0.12</v>
      </c>
      <c r="X319" s="6" t="n">
        <v>0.055</v>
      </c>
      <c r="Y319" s="29" t="n">
        <v>0.12</v>
      </c>
      <c r="Z319" s="30"/>
      <c r="AA319" s="29" t="n">
        <v>0.04</v>
      </c>
      <c r="AB319" s="31" t="n">
        <v>213600</v>
      </c>
      <c r="AE319" s="6" t="n">
        <v>213600</v>
      </c>
      <c r="AF319" s="6" t="s">
        <v>58</v>
      </c>
      <c r="AG319" s="6" t="n">
        <v>0</v>
      </c>
      <c r="AH319" s="30" t="s">
        <v>25</v>
      </c>
      <c r="AI319" s="6" t="n">
        <v>0</v>
      </c>
      <c r="AJ319" s="6" t="s">
        <v>1394</v>
      </c>
      <c r="AK319" s="6" t="s">
        <v>988</v>
      </c>
      <c r="AL319" s="6" t="s">
        <v>1394</v>
      </c>
      <c r="AM319" s="6" t="n">
        <v>0</v>
      </c>
      <c r="AQ319" s="6" t="s">
        <v>655</v>
      </c>
      <c r="AR319" s="6" t="s">
        <v>57</v>
      </c>
    </row>
    <row r="320" customFormat="false" ht="15" hidden="false" customHeight="true" outlineLevel="0" collapsed="false">
      <c r="A320" s="27" t="n">
        <v>101059</v>
      </c>
      <c r="B320" s="6" t="s">
        <v>1526</v>
      </c>
      <c r="C320" s="27" t="n">
        <v>101059</v>
      </c>
      <c r="D320" s="6" t="s">
        <v>597</v>
      </c>
      <c r="E320" s="6" t="s">
        <v>1240</v>
      </c>
      <c r="F320" s="6" t="s">
        <v>1393</v>
      </c>
      <c r="G320" s="6" t="s">
        <v>1058</v>
      </c>
      <c r="H320" s="6" t="s">
        <v>1059</v>
      </c>
      <c r="I320" s="6" t="s">
        <v>1242</v>
      </c>
      <c r="J320" s="6" t="s">
        <v>25</v>
      </c>
      <c r="K320" s="6" t="s">
        <v>1243</v>
      </c>
      <c r="L320" s="6" t="s">
        <v>1394</v>
      </c>
      <c r="N320" s="6" t="s">
        <v>1023</v>
      </c>
      <c r="O320" s="6" t="s">
        <v>1501</v>
      </c>
      <c r="P320" s="6" t="n">
        <v>1</v>
      </c>
      <c r="R320" s="6" t="s">
        <v>1152</v>
      </c>
      <c r="U320" s="6" t="n">
        <v>166360</v>
      </c>
      <c r="V320" s="28" t="n">
        <v>166360</v>
      </c>
      <c r="W320" s="29" t="n">
        <v>0.12</v>
      </c>
      <c r="X320" s="6" t="n">
        <v>0.055</v>
      </c>
      <c r="Y320" s="29" t="n">
        <v>0.12</v>
      </c>
      <c r="Z320" s="30"/>
      <c r="AA320" s="29" t="n">
        <v>0.04</v>
      </c>
      <c r="AB320" s="31" t="n">
        <v>222090.6</v>
      </c>
      <c r="AE320" s="6" t="n">
        <v>222090.6</v>
      </c>
      <c r="AF320" s="6" t="s">
        <v>58</v>
      </c>
      <c r="AG320" s="6" t="n">
        <v>0</v>
      </c>
      <c r="AH320" s="30" t="s">
        <v>25</v>
      </c>
      <c r="AI320" s="6" t="n">
        <v>0</v>
      </c>
      <c r="AJ320" s="6" t="s">
        <v>1394</v>
      </c>
      <c r="AK320" s="6" t="s">
        <v>988</v>
      </c>
      <c r="AL320" s="6" t="s">
        <v>1394</v>
      </c>
      <c r="AM320" s="6" t="n">
        <v>0</v>
      </c>
      <c r="AQ320" s="6" t="s">
        <v>657</v>
      </c>
      <c r="AR320" s="6" t="s">
        <v>57</v>
      </c>
    </row>
    <row r="321" customFormat="false" ht="15" hidden="false" customHeight="true" outlineLevel="0" collapsed="false">
      <c r="A321" s="27" t="s">
        <v>1138</v>
      </c>
      <c r="B321" s="6" t="s">
        <v>1063</v>
      </c>
      <c r="C321" s="27" t="s">
        <v>1138</v>
      </c>
      <c r="D321" s="6" t="s">
        <v>588</v>
      </c>
      <c r="E321" s="6" t="s">
        <v>1072</v>
      </c>
      <c r="F321" s="6" t="s">
        <v>270</v>
      </c>
      <c r="G321" s="6" t="s">
        <v>1073</v>
      </c>
      <c r="H321" s="6" t="s">
        <v>1074</v>
      </c>
      <c r="I321" s="6" t="s">
        <v>1075</v>
      </c>
      <c r="J321" s="6" t="s">
        <v>29</v>
      </c>
      <c r="K321" s="6" t="s">
        <v>1211</v>
      </c>
      <c r="L321" s="6" t="s">
        <v>1455</v>
      </c>
      <c r="N321" s="6" t="s">
        <v>1023</v>
      </c>
      <c r="O321" s="6" t="s">
        <v>1501</v>
      </c>
      <c r="P321" s="6" t="n">
        <v>1</v>
      </c>
      <c r="R321" s="6" t="s">
        <v>1138</v>
      </c>
      <c r="U321" s="6" t="n">
        <v>151000</v>
      </c>
      <c r="V321" s="28" t="n">
        <v>151000</v>
      </c>
      <c r="W321" s="29" t="n">
        <v>0.12</v>
      </c>
      <c r="X321" s="6" t="n">
        <v>0.055</v>
      </c>
      <c r="Y321" s="29" t="n">
        <v>0.12</v>
      </c>
      <c r="Z321" s="30"/>
      <c r="AA321" s="29" t="n">
        <v>0.04</v>
      </c>
      <c r="AB321" s="31" t="n">
        <v>201585</v>
      </c>
      <c r="AE321" s="6" t="n">
        <v>201585</v>
      </c>
      <c r="AF321" s="6" t="s">
        <v>1063</v>
      </c>
      <c r="AG321" s="6" t="n">
        <v>0</v>
      </c>
      <c r="AH321" s="30" t="s">
        <v>1133</v>
      </c>
      <c r="AI321" s="6" t="n">
        <v>0</v>
      </c>
      <c r="AJ321" s="6" t="s">
        <v>514</v>
      </c>
      <c r="AK321" s="6" t="s">
        <v>988</v>
      </c>
      <c r="AL321" s="6" t="s">
        <v>514</v>
      </c>
      <c r="AM321" s="6" t="n">
        <v>0</v>
      </c>
      <c r="AN321" s="6" t="s">
        <v>1063</v>
      </c>
      <c r="AQ321" s="6" t="s">
        <v>658</v>
      </c>
      <c r="AR321" s="6" t="s">
        <v>57</v>
      </c>
    </row>
    <row r="322" customFormat="false" ht="15" hidden="false" customHeight="true" outlineLevel="0" collapsed="false">
      <c r="A322" s="27" t="s">
        <v>1138</v>
      </c>
      <c r="B322" s="6" t="s">
        <v>1063</v>
      </c>
      <c r="C322" s="27" t="s">
        <v>1138</v>
      </c>
      <c r="D322" s="6" t="s">
        <v>588</v>
      </c>
      <c r="E322" s="6" t="s">
        <v>1072</v>
      </c>
      <c r="F322" s="6" t="s">
        <v>270</v>
      </c>
      <c r="G322" s="6" t="s">
        <v>1073</v>
      </c>
      <c r="H322" s="6" t="s">
        <v>1074</v>
      </c>
      <c r="I322" s="6" t="s">
        <v>1075</v>
      </c>
      <c r="J322" s="6" t="s">
        <v>29</v>
      </c>
      <c r="K322" s="6" t="s">
        <v>1211</v>
      </c>
      <c r="L322" s="6" t="s">
        <v>1455</v>
      </c>
      <c r="N322" s="6" t="s">
        <v>1023</v>
      </c>
      <c r="O322" s="6" t="s">
        <v>1501</v>
      </c>
      <c r="P322" s="6" t="n">
        <v>1</v>
      </c>
      <c r="R322" s="6" t="s">
        <v>1138</v>
      </c>
      <c r="U322" s="6" t="n">
        <v>173550</v>
      </c>
      <c r="V322" s="28" t="n">
        <v>173550</v>
      </c>
      <c r="W322" s="29" t="n">
        <v>0.12</v>
      </c>
      <c r="X322" s="6" t="n">
        <v>0.055</v>
      </c>
      <c r="Y322" s="29" t="n">
        <v>0.12</v>
      </c>
      <c r="Z322" s="30"/>
      <c r="AA322" s="29" t="n">
        <v>0.04</v>
      </c>
      <c r="AB322" s="31" t="n">
        <v>231689.25</v>
      </c>
      <c r="AE322" s="6" t="n">
        <v>231689.25</v>
      </c>
      <c r="AF322" s="6" t="s">
        <v>1063</v>
      </c>
      <c r="AG322" s="6" t="n">
        <v>0</v>
      </c>
      <c r="AH322" s="30" t="s">
        <v>1133</v>
      </c>
      <c r="AI322" s="6" t="n">
        <v>0</v>
      </c>
      <c r="AJ322" s="6" t="s">
        <v>514</v>
      </c>
      <c r="AK322" s="6" t="s">
        <v>988</v>
      </c>
      <c r="AL322" s="6" t="s">
        <v>514</v>
      </c>
      <c r="AM322" s="6" t="n">
        <v>0</v>
      </c>
      <c r="AN322" s="6" t="s">
        <v>1063</v>
      </c>
      <c r="AQ322" s="6" t="s">
        <v>659</v>
      </c>
      <c r="AR322" s="6" t="s">
        <v>57</v>
      </c>
    </row>
    <row r="323" customFormat="false" ht="15" hidden="false" customHeight="true" outlineLevel="0" collapsed="false">
      <c r="A323" s="27" t="s">
        <v>1138</v>
      </c>
      <c r="B323" s="6" t="s">
        <v>1063</v>
      </c>
      <c r="C323" s="27" t="s">
        <v>1138</v>
      </c>
      <c r="D323" s="6" t="s">
        <v>661</v>
      </c>
      <c r="E323" s="6" t="s">
        <v>1072</v>
      </c>
      <c r="F323" s="6" t="s">
        <v>270</v>
      </c>
      <c r="G323" s="6" t="s">
        <v>1073</v>
      </c>
      <c r="H323" s="6" t="s">
        <v>1074</v>
      </c>
      <c r="I323" s="6" t="s">
        <v>1075</v>
      </c>
      <c r="J323" s="6" t="s">
        <v>29</v>
      </c>
      <c r="K323" s="6" t="s">
        <v>1211</v>
      </c>
      <c r="L323" s="6" t="s">
        <v>1455</v>
      </c>
      <c r="N323" s="6" t="s">
        <v>1023</v>
      </c>
      <c r="O323" s="6" t="s">
        <v>1501</v>
      </c>
      <c r="P323" s="6" t="n">
        <v>1</v>
      </c>
      <c r="R323" s="6" t="s">
        <v>1138</v>
      </c>
      <c r="U323" s="6" t="n">
        <v>151950</v>
      </c>
      <c r="V323" s="28" t="n">
        <v>151950</v>
      </c>
      <c r="W323" s="29" t="n">
        <v>0.12</v>
      </c>
      <c r="X323" s="6" t="n">
        <v>0.055</v>
      </c>
      <c r="Y323" s="29" t="n">
        <v>0.12</v>
      </c>
      <c r="Z323" s="30"/>
      <c r="AA323" s="29" t="n">
        <v>0.04</v>
      </c>
      <c r="AB323" s="31" t="n">
        <v>202853.25</v>
      </c>
      <c r="AE323" s="6" t="n">
        <v>202853.25</v>
      </c>
      <c r="AF323" s="6" t="s">
        <v>1063</v>
      </c>
      <c r="AG323" s="6" t="n">
        <v>0</v>
      </c>
      <c r="AH323" s="30" t="s">
        <v>1133</v>
      </c>
      <c r="AI323" s="6" t="n">
        <v>0</v>
      </c>
      <c r="AJ323" s="6" t="s">
        <v>514</v>
      </c>
      <c r="AK323" s="6" t="s">
        <v>988</v>
      </c>
      <c r="AL323" s="6" t="s">
        <v>514</v>
      </c>
      <c r="AM323" s="6" t="n">
        <v>0</v>
      </c>
      <c r="AQ323" s="6" t="s">
        <v>660</v>
      </c>
      <c r="AR323" s="6" t="s">
        <v>57</v>
      </c>
    </row>
    <row r="324" customFormat="false" ht="15" hidden="false" customHeight="true" outlineLevel="0" collapsed="false">
      <c r="A324" s="27" t="s">
        <v>1138</v>
      </c>
      <c r="B324" s="6" t="s">
        <v>1063</v>
      </c>
      <c r="C324" s="27" t="s">
        <v>1138</v>
      </c>
      <c r="D324" s="6" t="s">
        <v>661</v>
      </c>
      <c r="E324" s="6" t="s">
        <v>1072</v>
      </c>
      <c r="F324" s="6" t="s">
        <v>270</v>
      </c>
      <c r="G324" s="6" t="s">
        <v>1073</v>
      </c>
      <c r="H324" s="6" t="s">
        <v>1074</v>
      </c>
      <c r="I324" s="6" t="s">
        <v>1075</v>
      </c>
      <c r="J324" s="6" t="s">
        <v>29</v>
      </c>
      <c r="K324" s="6" t="s">
        <v>1211</v>
      </c>
      <c r="L324" s="6" t="s">
        <v>1455</v>
      </c>
      <c r="N324" s="6" t="s">
        <v>1023</v>
      </c>
      <c r="O324" s="6" t="s">
        <v>1501</v>
      </c>
      <c r="P324" s="6" t="n">
        <v>1</v>
      </c>
      <c r="R324" s="6" t="s">
        <v>1138</v>
      </c>
      <c r="U324" s="6" t="n">
        <v>151950</v>
      </c>
      <c r="V324" s="28" t="n">
        <v>151950</v>
      </c>
      <c r="W324" s="29" t="n">
        <v>0.12</v>
      </c>
      <c r="X324" s="6" t="n">
        <v>0.055</v>
      </c>
      <c r="Y324" s="29" t="n">
        <v>0.12</v>
      </c>
      <c r="Z324" s="30"/>
      <c r="AA324" s="29" t="n">
        <v>0.04</v>
      </c>
      <c r="AB324" s="31" t="n">
        <v>202853.25</v>
      </c>
      <c r="AE324" s="6" t="n">
        <v>202853.25</v>
      </c>
      <c r="AF324" s="6" t="s">
        <v>1063</v>
      </c>
      <c r="AG324" s="6" t="n">
        <v>0</v>
      </c>
      <c r="AH324" s="30" t="s">
        <v>1133</v>
      </c>
      <c r="AI324" s="6" t="n">
        <v>0</v>
      </c>
      <c r="AJ324" s="6" t="s">
        <v>514</v>
      </c>
      <c r="AK324" s="6" t="s">
        <v>988</v>
      </c>
      <c r="AL324" s="6" t="s">
        <v>514</v>
      </c>
      <c r="AM324" s="6" t="n">
        <v>0</v>
      </c>
      <c r="AQ324" s="6" t="s">
        <v>662</v>
      </c>
      <c r="AR324" s="6" t="s">
        <v>57</v>
      </c>
    </row>
    <row r="325" customFormat="false" ht="15" hidden="false" customHeight="true" outlineLevel="0" collapsed="false">
      <c r="A325" s="27" t="s">
        <v>1138</v>
      </c>
      <c r="B325" s="6" t="s">
        <v>1063</v>
      </c>
      <c r="C325" s="27" t="s">
        <v>1138</v>
      </c>
      <c r="D325" s="6" t="s">
        <v>661</v>
      </c>
      <c r="E325" s="6" t="s">
        <v>1072</v>
      </c>
      <c r="F325" s="6" t="s">
        <v>270</v>
      </c>
      <c r="G325" s="6" t="s">
        <v>1073</v>
      </c>
      <c r="H325" s="6" t="s">
        <v>1074</v>
      </c>
      <c r="I325" s="6" t="s">
        <v>1075</v>
      </c>
      <c r="J325" s="6" t="s">
        <v>29</v>
      </c>
      <c r="K325" s="6" t="s">
        <v>1211</v>
      </c>
      <c r="L325" s="6" t="s">
        <v>1455</v>
      </c>
      <c r="N325" s="6" t="s">
        <v>1023</v>
      </c>
      <c r="O325" s="6" t="s">
        <v>1501</v>
      </c>
      <c r="P325" s="6" t="n">
        <v>1</v>
      </c>
      <c r="R325" s="6" t="s">
        <v>1143</v>
      </c>
      <c r="U325" s="6" t="n">
        <v>129650</v>
      </c>
      <c r="V325" s="28" t="n">
        <v>129650</v>
      </c>
      <c r="W325" s="29" t="n">
        <v>0.1</v>
      </c>
      <c r="X325" s="6" t="n">
        <v>0.055</v>
      </c>
      <c r="Y325" s="29" t="n">
        <v>0.12</v>
      </c>
      <c r="Z325" s="30"/>
      <c r="AA325" s="29" t="n">
        <v>0.04</v>
      </c>
      <c r="AB325" s="31" t="n">
        <v>170489.75</v>
      </c>
      <c r="AE325" s="6" t="n">
        <v>170489.75</v>
      </c>
      <c r="AF325" s="6" t="s">
        <v>1063</v>
      </c>
      <c r="AG325" s="6" t="n">
        <v>0</v>
      </c>
      <c r="AH325" s="30" t="s">
        <v>1133</v>
      </c>
      <c r="AI325" s="6" t="n">
        <v>0</v>
      </c>
      <c r="AJ325" s="6" t="s">
        <v>514</v>
      </c>
      <c r="AK325" s="6" t="s">
        <v>988</v>
      </c>
      <c r="AL325" s="6" t="s">
        <v>514</v>
      </c>
      <c r="AM325" s="6" t="n">
        <v>0</v>
      </c>
      <c r="AQ325" s="6" t="s">
        <v>663</v>
      </c>
      <c r="AR325" s="6" t="s">
        <v>57</v>
      </c>
    </row>
    <row r="326" customFormat="false" ht="15" hidden="false" customHeight="true" outlineLevel="0" collapsed="false">
      <c r="A326" s="27" t="s">
        <v>1138</v>
      </c>
      <c r="B326" s="6" t="s">
        <v>1063</v>
      </c>
      <c r="C326" s="27" t="s">
        <v>1138</v>
      </c>
      <c r="D326" s="6" t="s">
        <v>661</v>
      </c>
      <c r="E326" s="6" t="s">
        <v>1072</v>
      </c>
      <c r="F326" s="6" t="s">
        <v>270</v>
      </c>
      <c r="G326" s="6" t="s">
        <v>1073</v>
      </c>
      <c r="H326" s="6" t="s">
        <v>1074</v>
      </c>
      <c r="I326" s="6" t="s">
        <v>1075</v>
      </c>
      <c r="J326" s="6" t="s">
        <v>31</v>
      </c>
      <c r="K326" s="6" t="s">
        <v>1213</v>
      </c>
      <c r="L326" s="6" t="s">
        <v>1456</v>
      </c>
      <c r="N326" s="6" t="s">
        <v>1023</v>
      </c>
      <c r="O326" s="6" t="s">
        <v>1501</v>
      </c>
      <c r="P326" s="6" t="n">
        <v>1</v>
      </c>
      <c r="R326" s="6" t="s">
        <v>1138</v>
      </c>
      <c r="U326" s="6" t="n">
        <v>151950</v>
      </c>
      <c r="V326" s="28" t="n">
        <v>151950</v>
      </c>
      <c r="W326" s="29" t="n">
        <v>0.12</v>
      </c>
      <c r="X326" s="6" t="n">
        <v>0.055</v>
      </c>
      <c r="Y326" s="29" t="n">
        <v>0.12</v>
      </c>
      <c r="Z326" s="30"/>
      <c r="AA326" s="29" t="n">
        <v>0.04</v>
      </c>
      <c r="AB326" s="31" t="n">
        <v>202853.25</v>
      </c>
      <c r="AE326" s="6" t="n">
        <v>202853.25</v>
      </c>
      <c r="AF326" s="6" t="s">
        <v>1063</v>
      </c>
      <c r="AG326" s="6" t="n">
        <v>0</v>
      </c>
      <c r="AH326" s="30" t="s">
        <v>1214</v>
      </c>
      <c r="AI326" s="6" t="n">
        <v>0</v>
      </c>
      <c r="AJ326" s="6" t="s">
        <v>516</v>
      </c>
      <c r="AK326" s="6" t="s">
        <v>988</v>
      </c>
      <c r="AL326" s="6" t="s">
        <v>516</v>
      </c>
      <c r="AM326" s="6" t="n">
        <v>0</v>
      </c>
      <c r="AQ326" s="6" t="s">
        <v>664</v>
      </c>
      <c r="AR326" s="6" t="s">
        <v>57</v>
      </c>
    </row>
    <row r="327" customFormat="false" ht="15" hidden="false" customHeight="true" outlineLevel="0" collapsed="false">
      <c r="A327" s="27" t="s">
        <v>1138</v>
      </c>
      <c r="B327" s="6" t="s">
        <v>1063</v>
      </c>
      <c r="C327" s="27" t="s">
        <v>1138</v>
      </c>
      <c r="D327" s="6" t="s">
        <v>666</v>
      </c>
      <c r="E327" s="6" t="s">
        <v>1179</v>
      </c>
      <c r="F327" s="6" t="s">
        <v>1180</v>
      </c>
      <c r="G327" s="6" t="s">
        <v>1173</v>
      </c>
      <c r="H327" s="6" t="s">
        <v>1036</v>
      </c>
      <c r="K327" s="6" t="s">
        <v>173</v>
      </c>
      <c r="N327" s="6" t="s">
        <v>1023</v>
      </c>
      <c r="O327" s="6" t="s">
        <v>1501</v>
      </c>
      <c r="P327" s="6" t="n">
        <v>1</v>
      </c>
      <c r="R327" s="6" t="s">
        <v>1143</v>
      </c>
      <c r="U327" s="6" t="n">
        <v>140000</v>
      </c>
      <c r="V327" s="28" t="n">
        <v>140000</v>
      </c>
      <c r="W327" s="29" t="n">
        <v>0.12</v>
      </c>
      <c r="X327" s="6" t="n">
        <v>0.055</v>
      </c>
      <c r="Y327" s="29" t="n">
        <v>0.12</v>
      </c>
      <c r="Z327" s="30"/>
      <c r="AA327" s="29" t="n">
        <v>0.04</v>
      </c>
      <c r="AB327" s="31" t="n">
        <v>186900</v>
      </c>
      <c r="AE327" s="6" t="n">
        <v>186900</v>
      </c>
      <c r="AF327" s="6" t="s">
        <v>1063</v>
      </c>
      <c r="AG327" s="6" t="n">
        <v>0</v>
      </c>
      <c r="AH327" s="30" t="s">
        <v>1178</v>
      </c>
      <c r="AI327" s="6" t="n">
        <v>1</v>
      </c>
      <c r="AJ327" s="6" t="s">
        <v>173</v>
      </c>
      <c r="AK327" s="6" t="s">
        <v>988</v>
      </c>
      <c r="AL327" s="6" t="s">
        <v>173</v>
      </c>
      <c r="AM327" s="6" t="n">
        <v>0</v>
      </c>
      <c r="AQ327" s="6" t="s">
        <v>665</v>
      </c>
      <c r="AR327" s="6" t="s">
        <v>57</v>
      </c>
    </row>
    <row r="328" customFormat="false" ht="15" hidden="false" customHeight="true" outlineLevel="0" collapsed="false">
      <c r="A328" s="27" t="n">
        <v>111451</v>
      </c>
      <c r="B328" s="6" t="s">
        <v>1527</v>
      </c>
      <c r="C328" s="27" t="n">
        <v>111451</v>
      </c>
      <c r="D328" s="6" t="s">
        <v>668</v>
      </c>
      <c r="E328" s="6" t="s">
        <v>1476</v>
      </c>
      <c r="F328" s="6" t="s">
        <v>556</v>
      </c>
      <c r="G328" s="6" t="s">
        <v>1073</v>
      </c>
      <c r="H328" s="6" t="s">
        <v>1133</v>
      </c>
      <c r="I328" s="6" t="s">
        <v>1270</v>
      </c>
      <c r="J328" s="6" t="s">
        <v>29</v>
      </c>
      <c r="K328" s="6" t="s">
        <v>554</v>
      </c>
      <c r="L328" s="6" t="s">
        <v>557</v>
      </c>
      <c r="N328" s="6" t="s">
        <v>1023</v>
      </c>
      <c r="O328" s="6" t="s">
        <v>1501</v>
      </c>
      <c r="P328" s="6" t="n">
        <v>1</v>
      </c>
      <c r="R328" s="6" t="s">
        <v>1322</v>
      </c>
      <c r="U328" s="6" t="n">
        <v>150000</v>
      </c>
      <c r="V328" s="28" t="n">
        <v>150000</v>
      </c>
      <c r="W328" s="29" t="n">
        <v>0.12</v>
      </c>
      <c r="X328" s="6" t="n">
        <v>0.055</v>
      </c>
      <c r="Y328" s="29" t="n">
        <v>0.12</v>
      </c>
      <c r="Z328" s="30"/>
      <c r="AA328" s="29" t="n">
        <v>0.04</v>
      </c>
      <c r="AB328" s="31" t="n">
        <v>200250</v>
      </c>
      <c r="AE328" s="6" t="n">
        <v>200250</v>
      </c>
      <c r="AF328" s="6" t="s">
        <v>58</v>
      </c>
      <c r="AG328" s="6" t="n">
        <v>0</v>
      </c>
      <c r="AH328" s="30" t="s">
        <v>1133</v>
      </c>
      <c r="AI328" s="6" t="n">
        <v>0</v>
      </c>
      <c r="AJ328" s="6" t="s">
        <v>557</v>
      </c>
      <c r="AK328" s="6" t="s">
        <v>988</v>
      </c>
      <c r="AL328" s="6" t="s">
        <v>557</v>
      </c>
      <c r="AM328" s="6" t="n">
        <v>0</v>
      </c>
      <c r="AQ328" s="6" t="s">
        <v>667</v>
      </c>
      <c r="AR328" s="6" t="s">
        <v>57</v>
      </c>
    </row>
    <row r="329" customFormat="false" ht="15" hidden="false" customHeight="true" outlineLevel="0" collapsed="false">
      <c r="A329" s="27" t="n">
        <v>95128</v>
      </c>
      <c r="B329" s="6" t="s">
        <v>1528</v>
      </c>
      <c r="C329" s="27" t="n">
        <v>95128</v>
      </c>
      <c r="D329" s="6" t="s">
        <v>670</v>
      </c>
      <c r="E329" s="6" t="s">
        <v>1476</v>
      </c>
      <c r="F329" s="6" t="s">
        <v>556</v>
      </c>
      <c r="G329" s="6" t="s">
        <v>1073</v>
      </c>
      <c r="H329" s="6" t="s">
        <v>1133</v>
      </c>
      <c r="I329" s="6" t="s">
        <v>1270</v>
      </c>
      <c r="J329" s="6" t="s">
        <v>29</v>
      </c>
      <c r="K329" s="6" t="s">
        <v>554</v>
      </c>
      <c r="L329" s="6" t="s">
        <v>557</v>
      </c>
      <c r="N329" s="6" t="s">
        <v>1023</v>
      </c>
      <c r="O329" s="6" t="s">
        <v>1501</v>
      </c>
      <c r="P329" s="6" t="n">
        <v>1</v>
      </c>
      <c r="R329" s="6" t="s">
        <v>1152</v>
      </c>
      <c r="U329" s="6" t="n">
        <v>153920</v>
      </c>
      <c r="V329" s="28" t="n">
        <v>153920</v>
      </c>
      <c r="W329" s="29" t="n">
        <v>0.12</v>
      </c>
      <c r="X329" s="6" t="n">
        <v>0.055</v>
      </c>
      <c r="Y329" s="29" t="n">
        <v>0.12</v>
      </c>
      <c r="Z329" s="30"/>
      <c r="AA329" s="29" t="n">
        <v>0.04</v>
      </c>
      <c r="AB329" s="31" t="n">
        <v>205483.2</v>
      </c>
      <c r="AE329" s="6" t="n">
        <v>205483.2</v>
      </c>
      <c r="AF329" s="6" t="s">
        <v>58</v>
      </c>
      <c r="AG329" s="6" t="n">
        <v>0</v>
      </c>
      <c r="AH329" s="30" t="s">
        <v>1133</v>
      </c>
      <c r="AI329" s="6" t="n">
        <v>0</v>
      </c>
      <c r="AJ329" s="6" t="s">
        <v>557</v>
      </c>
      <c r="AK329" s="6" t="s">
        <v>988</v>
      </c>
      <c r="AL329" s="6" t="s">
        <v>557</v>
      </c>
      <c r="AM329" s="6" t="n">
        <v>0</v>
      </c>
      <c r="AQ329" s="6" t="s">
        <v>669</v>
      </c>
      <c r="AR329" s="6" t="s">
        <v>57</v>
      </c>
    </row>
    <row r="330" customFormat="false" ht="15" hidden="false" customHeight="true" outlineLevel="0" collapsed="false">
      <c r="A330" s="27" t="s">
        <v>1138</v>
      </c>
      <c r="B330" s="6" t="s">
        <v>1063</v>
      </c>
      <c r="C330" s="27" t="s">
        <v>1138</v>
      </c>
      <c r="D330" s="6" t="s">
        <v>672</v>
      </c>
      <c r="E330" s="6" t="s">
        <v>1277</v>
      </c>
      <c r="F330" s="6" t="s">
        <v>1249</v>
      </c>
      <c r="G330" s="6" t="s">
        <v>1164</v>
      </c>
      <c r="H330" s="6" t="s">
        <v>160</v>
      </c>
      <c r="I330" s="6" t="s">
        <v>26</v>
      </c>
      <c r="J330" s="6" t="s">
        <v>26</v>
      </c>
      <c r="K330" s="6" t="s">
        <v>26</v>
      </c>
      <c r="L330" s="6" t="s">
        <v>26</v>
      </c>
      <c r="N330" s="6" t="s">
        <v>1023</v>
      </c>
      <c r="O330" s="6" t="s">
        <v>1501</v>
      </c>
      <c r="P330" s="6" t="n">
        <v>1</v>
      </c>
      <c r="R330" s="6" t="s">
        <v>1143</v>
      </c>
      <c r="U330" s="6" t="n">
        <v>151950</v>
      </c>
      <c r="V330" s="28" t="n">
        <v>151950</v>
      </c>
      <c r="W330" s="29" t="n">
        <v>0.12</v>
      </c>
      <c r="X330" s="6" t="n">
        <v>0.055</v>
      </c>
      <c r="Y330" s="29" t="n">
        <v>0.12</v>
      </c>
      <c r="Z330" s="30"/>
      <c r="AA330" s="29" t="n">
        <v>0.04</v>
      </c>
      <c r="AB330" s="31" t="n">
        <v>202853.25</v>
      </c>
      <c r="AE330" s="6" t="n">
        <v>202853.25</v>
      </c>
      <c r="AF330" s="6" t="s">
        <v>1063</v>
      </c>
      <c r="AG330" s="6" t="n">
        <v>0</v>
      </c>
      <c r="AH330" s="30" t="s">
        <v>1169</v>
      </c>
      <c r="AI330" s="6" t="n">
        <v>0</v>
      </c>
      <c r="AJ330" s="6" t="s">
        <v>160</v>
      </c>
      <c r="AK330" s="6" t="s">
        <v>988</v>
      </c>
      <c r="AL330" s="6" t="s">
        <v>160</v>
      </c>
      <c r="AM330" s="6" t="n">
        <v>0</v>
      </c>
      <c r="AQ330" s="6" t="s">
        <v>671</v>
      </c>
      <c r="AR330" s="6" t="s">
        <v>57</v>
      </c>
    </row>
    <row r="331" customFormat="false" ht="15" hidden="false" customHeight="true" outlineLevel="0" collapsed="false">
      <c r="A331" s="27" t="s">
        <v>1138</v>
      </c>
      <c r="B331" s="6" t="s">
        <v>1063</v>
      </c>
      <c r="C331" s="27" t="s">
        <v>1138</v>
      </c>
      <c r="D331" s="6" t="s">
        <v>1529</v>
      </c>
      <c r="E331" s="6" t="s">
        <v>1277</v>
      </c>
      <c r="F331" s="6" t="s">
        <v>1307</v>
      </c>
      <c r="G331" s="6" t="s">
        <v>1164</v>
      </c>
      <c r="H331" s="6" t="s">
        <v>160</v>
      </c>
      <c r="I331" s="6" t="s">
        <v>26</v>
      </c>
      <c r="J331" s="6" t="s">
        <v>26</v>
      </c>
      <c r="K331" s="6" t="s">
        <v>26</v>
      </c>
      <c r="L331" s="6" t="s">
        <v>26</v>
      </c>
      <c r="N331" s="6" t="s">
        <v>1023</v>
      </c>
      <c r="O331" s="6" t="s">
        <v>1501</v>
      </c>
      <c r="P331" s="6" t="n">
        <v>1</v>
      </c>
      <c r="R331" s="6" t="s">
        <v>1143</v>
      </c>
      <c r="U331" s="6" t="n">
        <v>151950</v>
      </c>
      <c r="V331" s="28" t="n">
        <v>151950</v>
      </c>
      <c r="W331" s="29" t="n">
        <v>0.12</v>
      </c>
      <c r="X331" s="6" t="n">
        <v>0.055</v>
      </c>
      <c r="Y331" s="29" t="n">
        <v>0.12</v>
      </c>
      <c r="Z331" s="30"/>
      <c r="AA331" s="29" t="n">
        <v>0.04</v>
      </c>
      <c r="AB331" s="31" t="n">
        <v>202853.25</v>
      </c>
      <c r="AE331" s="6" t="n">
        <v>202853.25</v>
      </c>
      <c r="AF331" s="6" t="s">
        <v>1063</v>
      </c>
      <c r="AG331" s="6" t="n">
        <v>0</v>
      </c>
      <c r="AH331" s="30" t="s">
        <v>1169</v>
      </c>
      <c r="AI331" s="6" t="n">
        <v>0</v>
      </c>
      <c r="AJ331" s="6" t="s">
        <v>160</v>
      </c>
      <c r="AK331" s="6" t="s">
        <v>988</v>
      </c>
      <c r="AL331" s="6" t="s">
        <v>160</v>
      </c>
      <c r="AM331" s="6" t="n">
        <v>0</v>
      </c>
      <c r="AQ331" s="6" t="s">
        <v>673</v>
      </c>
      <c r="AR331" s="6" t="s">
        <v>57</v>
      </c>
    </row>
    <row r="332" customFormat="false" ht="15" hidden="false" customHeight="true" outlineLevel="0" collapsed="false">
      <c r="A332" s="27" t="n">
        <v>114367</v>
      </c>
      <c r="B332" s="6" t="s">
        <v>1530</v>
      </c>
      <c r="C332" s="27" t="n">
        <v>114367</v>
      </c>
      <c r="D332" s="6" t="s">
        <v>676</v>
      </c>
      <c r="E332" s="6" t="s">
        <v>1084</v>
      </c>
      <c r="F332" s="6" t="s">
        <v>1085</v>
      </c>
      <c r="G332" s="6" t="s">
        <v>1076</v>
      </c>
      <c r="H332" s="6" t="s">
        <v>1086</v>
      </c>
      <c r="I332" s="6" t="s">
        <v>1087</v>
      </c>
      <c r="J332" s="6" t="s">
        <v>30</v>
      </c>
      <c r="K332" s="6" t="s">
        <v>30</v>
      </c>
      <c r="L332" s="6" t="s">
        <v>1407</v>
      </c>
      <c r="N332" s="6" t="s">
        <v>1023</v>
      </c>
      <c r="O332" s="6" t="s">
        <v>1501</v>
      </c>
      <c r="P332" s="6" t="n">
        <v>1</v>
      </c>
      <c r="R332" s="6" t="s">
        <v>1152</v>
      </c>
      <c r="U332" s="6" t="n">
        <v>140000</v>
      </c>
      <c r="V332" s="28" t="n">
        <v>140000</v>
      </c>
      <c r="W332" s="29" t="n">
        <v>0.12</v>
      </c>
      <c r="X332" s="6" t="n">
        <v>0.055</v>
      </c>
      <c r="Y332" s="29" t="n">
        <v>0.12</v>
      </c>
      <c r="Z332" s="30"/>
      <c r="AA332" s="29" t="n">
        <v>0.04</v>
      </c>
      <c r="AB332" s="31" t="n">
        <v>186900</v>
      </c>
      <c r="AE332" s="6" t="n">
        <v>186900</v>
      </c>
      <c r="AF332" s="6" t="s">
        <v>58</v>
      </c>
      <c r="AG332" s="6" t="n">
        <v>0</v>
      </c>
      <c r="AH332" s="30" t="s">
        <v>1076</v>
      </c>
      <c r="AI332" s="6" t="n">
        <v>0</v>
      </c>
      <c r="AJ332" s="6" t="s">
        <v>1408</v>
      </c>
      <c r="AK332" s="6" t="s">
        <v>988</v>
      </c>
      <c r="AL332" s="6" t="s">
        <v>1408</v>
      </c>
      <c r="AM332" s="6" t="n">
        <v>0</v>
      </c>
      <c r="AQ332" s="6" t="s">
        <v>675</v>
      </c>
      <c r="AR332" s="6" t="s">
        <v>57</v>
      </c>
    </row>
    <row r="333" customFormat="false" ht="15" hidden="false" customHeight="true" outlineLevel="0" collapsed="false">
      <c r="A333" s="27" t="n">
        <v>106024</v>
      </c>
      <c r="B333" s="6" t="s">
        <v>1531</v>
      </c>
      <c r="C333" s="27" t="n">
        <v>106024</v>
      </c>
      <c r="D333" s="6" t="s">
        <v>678</v>
      </c>
      <c r="E333" s="6" t="s">
        <v>1285</v>
      </c>
      <c r="F333" s="6" t="s">
        <v>1286</v>
      </c>
      <c r="G333" s="6" t="s">
        <v>1076</v>
      </c>
      <c r="H333" s="6" t="s">
        <v>1086</v>
      </c>
      <c r="I333" s="6" t="s">
        <v>1412</v>
      </c>
      <c r="J333" s="6" t="s">
        <v>30</v>
      </c>
      <c r="K333" s="6" t="s">
        <v>30</v>
      </c>
      <c r="L333" s="6" t="s">
        <v>1412</v>
      </c>
      <c r="N333" s="6" t="s">
        <v>1023</v>
      </c>
      <c r="O333" s="6" t="s">
        <v>1501</v>
      </c>
      <c r="P333" s="6" t="n">
        <v>1</v>
      </c>
      <c r="R333" s="6" t="s">
        <v>1152</v>
      </c>
      <c r="U333" s="6" t="n">
        <v>159130</v>
      </c>
      <c r="V333" s="28" t="n">
        <v>159130</v>
      </c>
      <c r="W333" s="29" t="n">
        <v>0.12</v>
      </c>
      <c r="X333" s="6" t="n">
        <v>0.055</v>
      </c>
      <c r="Y333" s="29" t="n">
        <v>0.12</v>
      </c>
      <c r="Z333" s="30"/>
      <c r="AA333" s="29" t="n">
        <v>0.04</v>
      </c>
      <c r="AB333" s="31" t="n">
        <v>212438.55</v>
      </c>
      <c r="AE333" s="6" t="n">
        <v>212438.55</v>
      </c>
      <c r="AF333" s="6" t="s">
        <v>58</v>
      </c>
      <c r="AG333" s="6" t="n">
        <v>0</v>
      </c>
      <c r="AH333" s="30" t="s">
        <v>1076</v>
      </c>
      <c r="AI333" s="6" t="n">
        <v>0</v>
      </c>
      <c r="AJ333" s="6" t="s">
        <v>1412</v>
      </c>
      <c r="AK333" s="6" t="s">
        <v>988</v>
      </c>
      <c r="AL333" s="6" t="s">
        <v>1412</v>
      </c>
      <c r="AM333" s="6" t="n">
        <v>0</v>
      </c>
      <c r="AQ333" s="6" t="s">
        <v>677</v>
      </c>
      <c r="AR333" s="6" t="s">
        <v>57</v>
      </c>
    </row>
    <row r="334" customFormat="false" ht="15" hidden="false" customHeight="true" outlineLevel="0" collapsed="false">
      <c r="A334" s="27" t="s">
        <v>1138</v>
      </c>
      <c r="B334" s="6" t="s">
        <v>1063</v>
      </c>
      <c r="C334" s="27" t="s">
        <v>1138</v>
      </c>
      <c r="D334" s="6" t="s">
        <v>680</v>
      </c>
      <c r="E334" s="6" t="s">
        <v>1285</v>
      </c>
      <c r="F334" s="6" t="s">
        <v>1286</v>
      </c>
      <c r="G334" s="6" t="s">
        <v>1076</v>
      </c>
      <c r="H334" s="6" t="s">
        <v>1086</v>
      </c>
      <c r="I334" s="6" t="s">
        <v>1412</v>
      </c>
      <c r="J334" s="6" t="s">
        <v>30</v>
      </c>
      <c r="K334" s="6" t="s">
        <v>30</v>
      </c>
      <c r="L334" s="6" t="s">
        <v>1412</v>
      </c>
      <c r="N334" s="6" t="s">
        <v>1023</v>
      </c>
      <c r="O334" s="6" t="s">
        <v>1501</v>
      </c>
      <c r="P334" s="6" t="n">
        <v>1</v>
      </c>
      <c r="R334" s="6" t="s">
        <v>1138</v>
      </c>
      <c r="U334" s="6" t="n">
        <v>151950</v>
      </c>
      <c r="V334" s="28" t="n">
        <v>151950</v>
      </c>
      <c r="W334" s="29" t="n">
        <v>0.12</v>
      </c>
      <c r="X334" s="6" t="n">
        <v>0.055</v>
      </c>
      <c r="Y334" s="29" t="n">
        <v>0.12</v>
      </c>
      <c r="Z334" s="30"/>
      <c r="AA334" s="29" t="n">
        <v>0.04</v>
      </c>
      <c r="AB334" s="31" t="n">
        <v>202853.25</v>
      </c>
      <c r="AE334" s="6" t="n">
        <v>202853.25</v>
      </c>
      <c r="AF334" s="6" t="s">
        <v>1063</v>
      </c>
      <c r="AG334" s="6" t="n">
        <v>0</v>
      </c>
      <c r="AH334" s="30" t="s">
        <v>1076</v>
      </c>
      <c r="AI334" s="6" t="n">
        <v>0</v>
      </c>
      <c r="AJ334" s="6" t="s">
        <v>1412</v>
      </c>
      <c r="AK334" s="6" t="s">
        <v>988</v>
      </c>
      <c r="AL334" s="6" t="s">
        <v>1412</v>
      </c>
      <c r="AM334" s="6" t="n">
        <v>0</v>
      </c>
      <c r="AQ334" s="6" t="s">
        <v>679</v>
      </c>
      <c r="AR334" s="6" t="s">
        <v>57</v>
      </c>
    </row>
    <row r="335" customFormat="false" ht="15" hidden="false" customHeight="true" outlineLevel="0" collapsed="false">
      <c r="A335" s="27" t="n">
        <v>102098</v>
      </c>
      <c r="B335" s="6" t="s">
        <v>1532</v>
      </c>
      <c r="C335" s="27" t="n">
        <v>102098</v>
      </c>
      <c r="D335" s="6" t="s">
        <v>88</v>
      </c>
      <c r="E335" s="6" t="s">
        <v>1381</v>
      </c>
      <c r="F335" s="6" t="s">
        <v>1533</v>
      </c>
      <c r="G335" s="6" t="s">
        <v>1173</v>
      </c>
      <c r="H335" s="6" t="s">
        <v>168</v>
      </c>
      <c r="I335" s="6" t="s">
        <v>1174</v>
      </c>
      <c r="J335" s="6" t="s">
        <v>23</v>
      </c>
      <c r="K335" s="6" t="s">
        <v>168</v>
      </c>
      <c r="L335" s="6" t="s">
        <v>400</v>
      </c>
      <c r="N335" s="6" t="s">
        <v>1023</v>
      </c>
      <c r="O335" s="6" t="s">
        <v>1501</v>
      </c>
      <c r="P335" s="6" t="n">
        <v>1</v>
      </c>
      <c r="R335" s="6" t="s">
        <v>1152</v>
      </c>
      <c r="U335" s="6" t="n">
        <v>166560</v>
      </c>
      <c r="V335" s="28" t="n">
        <v>166560</v>
      </c>
      <c r="W335" s="29" t="n">
        <v>0.12</v>
      </c>
      <c r="X335" s="6" t="n">
        <v>0.055</v>
      </c>
      <c r="Y335" s="29" t="n">
        <v>0.12</v>
      </c>
      <c r="Z335" s="30"/>
      <c r="AA335" s="29" t="n">
        <v>0.04</v>
      </c>
      <c r="AB335" s="31" t="n">
        <v>222357.6</v>
      </c>
      <c r="AE335" s="6" t="n">
        <v>222357.6</v>
      </c>
      <c r="AF335" s="6" t="s">
        <v>58</v>
      </c>
      <c r="AG335" s="6" t="n">
        <v>0</v>
      </c>
      <c r="AH335" s="30" t="s">
        <v>23</v>
      </c>
      <c r="AI335" s="6" t="n">
        <v>0</v>
      </c>
      <c r="AJ335" s="6" t="s">
        <v>400</v>
      </c>
      <c r="AK335" s="6" t="s">
        <v>988</v>
      </c>
      <c r="AL335" s="6" t="s">
        <v>400</v>
      </c>
      <c r="AM335" s="6" t="n">
        <v>0</v>
      </c>
      <c r="AQ335" s="6" t="s">
        <v>681</v>
      </c>
      <c r="AR335" s="6" t="s">
        <v>57</v>
      </c>
    </row>
    <row r="336" customFormat="false" ht="15" hidden="false" customHeight="true" outlineLevel="0" collapsed="false">
      <c r="A336" s="27" t="s">
        <v>1138</v>
      </c>
      <c r="B336" s="6" t="s">
        <v>1534</v>
      </c>
      <c r="C336" s="27" t="s">
        <v>1138</v>
      </c>
      <c r="D336" s="6" t="s">
        <v>1535</v>
      </c>
      <c r="E336" s="6" t="s">
        <v>1381</v>
      </c>
      <c r="F336" s="6" t="s">
        <v>1533</v>
      </c>
      <c r="G336" s="6" t="s">
        <v>1173</v>
      </c>
      <c r="H336" s="6" t="s">
        <v>168</v>
      </c>
      <c r="I336" s="6" t="s">
        <v>1174</v>
      </c>
      <c r="J336" s="6" t="s">
        <v>23</v>
      </c>
      <c r="K336" s="6" t="s">
        <v>168</v>
      </c>
      <c r="L336" s="6" t="s">
        <v>400</v>
      </c>
      <c r="N336" s="6" t="s">
        <v>1023</v>
      </c>
      <c r="O336" s="6" t="s">
        <v>1501</v>
      </c>
      <c r="P336" s="6" t="n">
        <v>1</v>
      </c>
      <c r="R336" s="6" t="s">
        <v>1143</v>
      </c>
      <c r="U336" s="6" t="n">
        <v>151950</v>
      </c>
      <c r="V336" s="28" t="n">
        <v>151950</v>
      </c>
      <c r="W336" s="29" t="n">
        <v>0.12</v>
      </c>
      <c r="X336" s="6" t="n">
        <v>0.055</v>
      </c>
      <c r="Y336" s="29" t="n">
        <v>0.12</v>
      </c>
      <c r="Z336" s="30"/>
      <c r="AA336" s="29" t="n">
        <v>0.04</v>
      </c>
      <c r="AB336" s="31" t="n">
        <v>202853.25</v>
      </c>
      <c r="AE336" s="6" t="n">
        <v>202853.25</v>
      </c>
      <c r="AF336" s="6" t="s">
        <v>1063</v>
      </c>
      <c r="AG336" s="6" t="n">
        <v>0</v>
      </c>
      <c r="AH336" s="30" t="s">
        <v>23</v>
      </c>
      <c r="AI336" s="6" t="n">
        <v>0</v>
      </c>
      <c r="AJ336" s="6" t="s">
        <v>400</v>
      </c>
      <c r="AK336" s="6" t="s">
        <v>988</v>
      </c>
      <c r="AL336" s="6" t="s">
        <v>400</v>
      </c>
      <c r="AM336" s="6" t="n">
        <v>0</v>
      </c>
      <c r="AQ336" s="6" t="s">
        <v>682</v>
      </c>
      <c r="AR336" s="6" t="s">
        <v>57</v>
      </c>
    </row>
    <row r="337" customFormat="false" ht="15" hidden="false" customHeight="true" outlineLevel="0" collapsed="false">
      <c r="A337" s="27" t="n">
        <v>106026</v>
      </c>
      <c r="B337" s="6" t="s">
        <v>1536</v>
      </c>
      <c r="C337" s="27" t="n">
        <v>106026</v>
      </c>
      <c r="D337" s="6" t="s">
        <v>88</v>
      </c>
      <c r="E337" s="6" t="s">
        <v>1381</v>
      </c>
      <c r="F337" s="6" t="s">
        <v>1533</v>
      </c>
      <c r="G337" s="6" t="s">
        <v>1173</v>
      </c>
      <c r="H337" s="6" t="s">
        <v>168</v>
      </c>
      <c r="I337" s="6" t="s">
        <v>1174</v>
      </c>
      <c r="J337" s="6" t="s">
        <v>23</v>
      </c>
      <c r="K337" s="6" t="s">
        <v>168</v>
      </c>
      <c r="L337" s="6" t="s">
        <v>400</v>
      </c>
      <c r="N337" s="6" t="s">
        <v>1023</v>
      </c>
      <c r="O337" s="6" t="s">
        <v>1501</v>
      </c>
      <c r="P337" s="6" t="n">
        <v>1</v>
      </c>
      <c r="R337" s="6" t="s">
        <v>1152</v>
      </c>
      <c r="U337" s="6" t="n">
        <v>134550</v>
      </c>
      <c r="V337" s="28" t="n">
        <v>134550</v>
      </c>
      <c r="W337" s="29" t="n">
        <v>0.12</v>
      </c>
      <c r="X337" s="6" t="n">
        <v>0.055</v>
      </c>
      <c r="Y337" s="29" t="n">
        <v>0.12</v>
      </c>
      <c r="Z337" s="30"/>
      <c r="AA337" s="29" t="n">
        <v>0.04</v>
      </c>
      <c r="AB337" s="31" t="n">
        <v>179624.25</v>
      </c>
      <c r="AE337" s="6" t="n">
        <v>179624.25</v>
      </c>
      <c r="AF337" s="6" t="s">
        <v>58</v>
      </c>
      <c r="AG337" s="6" t="n">
        <v>0</v>
      </c>
      <c r="AH337" s="30" t="s">
        <v>23</v>
      </c>
      <c r="AI337" s="6" t="n">
        <v>0</v>
      </c>
      <c r="AJ337" s="6" t="s">
        <v>400</v>
      </c>
      <c r="AK337" s="6" t="s">
        <v>988</v>
      </c>
      <c r="AL337" s="6" t="s">
        <v>400</v>
      </c>
      <c r="AM337" s="6" t="n">
        <v>0</v>
      </c>
      <c r="AQ337" s="6" t="s">
        <v>684</v>
      </c>
      <c r="AR337" s="6" t="s">
        <v>57</v>
      </c>
    </row>
    <row r="338" customFormat="false" ht="15" hidden="false" customHeight="true" outlineLevel="0" collapsed="false">
      <c r="A338" s="27" t="n">
        <v>107588</v>
      </c>
      <c r="B338" s="6" t="s">
        <v>1537</v>
      </c>
      <c r="C338" s="27" t="n">
        <v>107588</v>
      </c>
      <c r="D338" s="6" t="s">
        <v>61</v>
      </c>
      <c r="E338" s="6" t="s">
        <v>1237</v>
      </c>
      <c r="F338" s="6" t="s">
        <v>1414</v>
      </c>
      <c r="G338" s="6" t="s">
        <v>1058</v>
      </c>
      <c r="H338" s="6" t="s">
        <v>1059</v>
      </c>
      <c r="I338" s="6" t="s">
        <v>1238</v>
      </c>
      <c r="J338" s="6" t="s">
        <v>25</v>
      </c>
      <c r="K338" s="6" t="s">
        <v>1234</v>
      </c>
      <c r="L338" s="6" t="s">
        <v>227</v>
      </c>
      <c r="N338" s="6" t="s">
        <v>1023</v>
      </c>
      <c r="O338" s="6" t="s">
        <v>1501</v>
      </c>
      <c r="P338" s="6" t="n">
        <v>1</v>
      </c>
      <c r="R338" s="6" t="s">
        <v>1152</v>
      </c>
      <c r="U338" s="6" t="n">
        <v>166140</v>
      </c>
      <c r="V338" s="28" t="n">
        <v>166140</v>
      </c>
      <c r="W338" s="29" t="n">
        <v>0.12</v>
      </c>
      <c r="X338" s="6" t="n">
        <v>0.055</v>
      </c>
      <c r="Y338" s="29" t="n">
        <v>0.12</v>
      </c>
      <c r="Z338" s="30"/>
      <c r="AA338" s="29" t="n">
        <v>0.04</v>
      </c>
      <c r="AB338" s="31" t="n">
        <v>221796.9</v>
      </c>
      <c r="AE338" s="6" t="n">
        <v>221796.9</v>
      </c>
      <c r="AF338" s="6" t="s">
        <v>58</v>
      </c>
      <c r="AG338" s="6" t="n">
        <v>0</v>
      </c>
      <c r="AH338" s="30" t="s">
        <v>25</v>
      </c>
      <c r="AI338" s="6" t="n">
        <v>0</v>
      </c>
      <c r="AJ338" s="6" t="s">
        <v>227</v>
      </c>
      <c r="AK338" s="6" t="s">
        <v>988</v>
      </c>
      <c r="AL338" s="6" t="s">
        <v>227</v>
      </c>
      <c r="AM338" s="6" t="n">
        <v>0</v>
      </c>
      <c r="AQ338" s="6" t="s">
        <v>685</v>
      </c>
      <c r="AR338" s="6" t="s">
        <v>57</v>
      </c>
    </row>
    <row r="339" customFormat="false" ht="15" hidden="false" customHeight="true" outlineLevel="0" collapsed="false">
      <c r="A339" s="27" t="n">
        <v>97884</v>
      </c>
      <c r="B339" s="6" t="s">
        <v>1538</v>
      </c>
      <c r="C339" s="27" t="n">
        <v>97884</v>
      </c>
      <c r="D339" s="6" t="s">
        <v>61</v>
      </c>
      <c r="E339" s="6" t="s">
        <v>1237</v>
      </c>
      <c r="F339" s="6" t="s">
        <v>1414</v>
      </c>
      <c r="G339" s="6" t="s">
        <v>1058</v>
      </c>
      <c r="H339" s="6" t="s">
        <v>1059</v>
      </c>
      <c r="I339" s="6" t="s">
        <v>1238</v>
      </c>
      <c r="J339" s="6" t="s">
        <v>25</v>
      </c>
      <c r="K339" s="6" t="s">
        <v>1243</v>
      </c>
      <c r="L339" s="6" t="s">
        <v>1394</v>
      </c>
      <c r="N339" s="6" t="s">
        <v>1023</v>
      </c>
      <c r="O339" s="6" t="s">
        <v>1501</v>
      </c>
      <c r="P339" s="6" t="n">
        <v>1</v>
      </c>
      <c r="R339" s="6" t="s">
        <v>1152</v>
      </c>
      <c r="U339" s="6" t="n">
        <v>174780</v>
      </c>
      <c r="V339" s="28" t="n">
        <v>174780</v>
      </c>
      <c r="W339" s="29" t="n">
        <v>0.12</v>
      </c>
      <c r="X339" s="6" t="n">
        <v>0.055</v>
      </c>
      <c r="Y339" s="29" t="n">
        <v>0.12</v>
      </c>
      <c r="Z339" s="30"/>
      <c r="AA339" s="29" t="n">
        <v>0.04</v>
      </c>
      <c r="AB339" s="31" t="n">
        <v>233331.3</v>
      </c>
      <c r="AE339" s="6" t="n">
        <v>233331.3</v>
      </c>
      <c r="AF339" s="6" t="s">
        <v>58</v>
      </c>
      <c r="AG339" s="6" t="n">
        <v>0</v>
      </c>
      <c r="AH339" s="30" t="s">
        <v>25</v>
      </c>
      <c r="AI339" s="6" t="n">
        <v>0</v>
      </c>
      <c r="AJ339" s="6" t="s">
        <v>1394</v>
      </c>
      <c r="AK339" s="6" t="s">
        <v>988</v>
      </c>
      <c r="AL339" s="6" t="s">
        <v>1394</v>
      </c>
      <c r="AM339" s="6" t="n">
        <v>0</v>
      </c>
      <c r="AQ339" s="6" t="s">
        <v>686</v>
      </c>
      <c r="AR339" s="6" t="s">
        <v>57</v>
      </c>
    </row>
    <row r="340" customFormat="false" ht="15" hidden="false" customHeight="true" outlineLevel="0" collapsed="false">
      <c r="A340" s="27" t="s">
        <v>1138</v>
      </c>
      <c r="B340" s="6" t="s">
        <v>1063</v>
      </c>
      <c r="C340" s="27" t="s">
        <v>1138</v>
      </c>
      <c r="D340" s="6" t="s">
        <v>138</v>
      </c>
      <c r="E340" s="6" t="s">
        <v>1237</v>
      </c>
      <c r="F340" s="6" t="s">
        <v>1414</v>
      </c>
      <c r="G340" s="6" t="s">
        <v>1058</v>
      </c>
      <c r="H340" s="6" t="s">
        <v>1059</v>
      </c>
      <c r="I340" s="6" t="s">
        <v>1238</v>
      </c>
      <c r="J340" s="6" t="s">
        <v>25</v>
      </c>
      <c r="K340" s="6" t="s">
        <v>1243</v>
      </c>
      <c r="L340" s="6" t="s">
        <v>1394</v>
      </c>
      <c r="N340" s="6" t="s">
        <v>1023</v>
      </c>
      <c r="O340" s="6" t="s">
        <v>1501</v>
      </c>
      <c r="P340" s="6" t="n">
        <v>1</v>
      </c>
      <c r="R340" s="6" t="s">
        <v>1138</v>
      </c>
      <c r="U340" s="6" t="n">
        <v>151950</v>
      </c>
      <c r="V340" s="28" t="n">
        <v>151950</v>
      </c>
      <c r="W340" s="29" t="n">
        <v>0.12</v>
      </c>
      <c r="X340" s="6" t="n">
        <v>0.055</v>
      </c>
      <c r="Y340" s="29" t="n">
        <v>0.12</v>
      </c>
      <c r="Z340" s="30"/>
      <c r="AA340" s="29" t="n">
        <v>0.04</v>
      </c>
      <c r="AB340" s="31" t="n">
        <v>202853.25</v>
      </c>
      <c r="AE340" s="6" t="n">
        <v>202853.25</v>
      </c>
      <c r="AF340" s="6" t="s">
        <v>1063</v>
      </c>
      <c r="AG340" s="6" t="n">
        <v>0</v>
      </c>
      <c r="AH340" s="30" t="s">
        <v>25</v>
      </c>
      <c r="AI340" s="6" t="n">
        <v>0</v>
      </c>
      <c r="AJ340" s="6" t="s">
        <v>1394</v>
      </c>
      <c r="AK340" s="6" t="s">
        <v>988</v>
      </c>
      <c r="AL340" s="6" t="s">
        <v>1394</v>
      </c>
      <c r="AM340" s="6" t="n">
        <v>0</v>
      </c>
      <c r="AQ340" s="6" t="s">
        <v>687</v>
      </c>
      <c r="AR340" s="6" t="s">
        <v>57</v>
      </c>
    </row>
    <row r="341" customFormat="false" ht="15" hidden="false" customHeight="true" outlineLevel="0" collapsed="false">
      <c r="A341" s="27" t="s">
        <v>1138</v>
      </c>
      <c r="B341" s="6" t="s">
        <v>1304</v>
      </c>
      <c r="C341" s="27" t="s">
        <v>1138</v>
      </c>
      <c r="D341" s="6" t="s">
        <v>661</v>
      </c>
      <c r="E341" s="6" t="s">
        <v>1382</v>
      </c>
      <c r="F341" s="6" t="s">
        <v>1539</v>
      </c>
      <c r="G341" s="6" t="s">
        <v>1173</v>
      </c>
      <c r="H341" s="6" t="s">
        <v>168</v>
      </c>
      <c r="I341" s="6" t="s">
        <v>1174</v>
      </c>
      <c r="J341" s="6" t="s">
        <v>23</v>
      </c>
      <c r="K341" s="6" t="s">
        <v>168</v>
      </c>
      <c r="L341" s="6" t="s">
        <v>1259</v>
      </c>
      <c r="N341" s="6" t="s">
        <v>1023</v>
      </c>
      <c r="O341" s="6" t="s">
        <v>1501</v>
      </c>
      <c r="P341" s="6" t="n">
        <v>1</v>
      </c>
      <c r="R341" s="6" t="s">
        <v>1138</v>
      </c>
      <c r="U341" s="6" t="n">
        <v>151950</v>
      </c>
      <c r="V341" s="28" t="n">
        <v>151950</v>
      </c>
      <c r="W341" s="29" t="n">
        <v>0.12</v>
      </c>
      <c r="X341" s="6" t="n">
        <v>0.055</v>
      </c>
      <c r="Y341" s="29" t="n">
        <v>0.12</v>
      </c>
      <c r="Z341" s="30"/>
      <c r="AA341" s="29" t="n">
        <v>0.04</v>
      </c>
      <c r="AB341" s="31" t="n">
        <v>202853.25</v>
      </c>
      <c r="AE341" s="6" t="n">
        <v>202853.25</v>
      </c>
      <c r="AF341" s="6" t="s">
        <v>1063</v>
      </c>
      <c r="AG341" s="6" t="n">
        <v>0</v>
      </c>
      <c r="AH341" s="30" t="s">
        <v>23</v>
      </c>
      <c r="AI341" s="6" t="n">
        <v>0</v>
      </c>
      <c r="AJ341" s="6" t="s">
        <v>253</v>
      </c>
      <c r="AK341" s="6" t="s">
        <v>988</v>
      </c>
      <c r="AL341" s="6" t="s">
        <v>253</v>
      </c>
      <c r="AM341" s="6" t="n">
        <v>0</v>
      </c>
      <c r="AQ341" s="6" t="s">
        <v>688</v>
      </c>
      <c r="AR341" s="6" t="s">
        <v>57</v>
      </c>
    </row>
    <row r="342" customFormat="false" ht="15" hidden="false" customHeight="true" outlineLevel="0" collapsed="false">
      <c r="A342" s="27" t="s">
        <v>1138</v>
      </c>
      <c r="B342" s="6" t="s">
        <v>1063</v>
      </c>
      <c r="C342" s="27" t="s">
        <v>1138</v>
      </c>
      <c r="D342" s="6" t="s">
        <v>690</v>
      </c>
      <c r="E342" s="6" t="s">
        <v>1308</v>
      </c>
      <c r="F342" s="6" t="s">
        <v>1540</v>
      </c>
      <c r="G342" s="6" t="s">
        <v>1141</v>
      </c>
      <c r="H342" s="6" t="s">
        <v>191</v>
      </c>
      <c r="I342" s="6" t="s">
        <v>26</v>
      </c>
      <c r="J342" s="6" t="s">
        <v>26</v>
      </c>
      <c r="K342" s="6" t="s">
        <v>26</v>
      </c>
      <c r="L342" s="6" t="s">
        <v>26</v>
      </c>
      <c r="N342" s="6" t="s">
        <v>1023</v>
      </c>
      <c r="O342" s="6" t="s">
        <v>1507</v>
      </c>
      <c r="P342" s="6" t="n">
        <v>1</v>
      </c>
      <c r="R342" s="6" t="s">
        <v>1138</v>
      </c>
      <c r="U342" s="6" t="n">
        <v>151950</v>
      </c>
      <c r="V342" s="28" t="n">
        <v>151950</v>
      </c>
      <c r="W342" s="29" t="n">
        <v>0.12</v>
      </c>
      <c r="X342" s="6" t="n">
        <v>0.055</v>
      </c>
      <c r="Y342" s="29" t="n">
        <v>0.12</v>
      </c>
      <c r="Z342" s="30"/>
      <c r="AA342" s="29" t="n">
        <v>0.04</v>
      </c>
      <c r="AB342" s="31" t="n">
        <v>202853.25</v>
      </c>
      <c r="AE342" s="6" t="n">
        <v>202853.25</v>
      </c>
      <c r="AF342" s="6" t="s">
        <v>1063</v>
      </c>
      <c r="AG342" s="6" t="n">
        <v>0</v>
      </c>
      <c r="AH342" s="30" t="s">
        <v>1144</v>
      </c>
      <c r="AI342" s="6" t="n">
        <v>0</v>
      </c>
      <c r="AJ342" s="6" t="s">
        <v>191</v>
      </c>
      <c r="AK342" s="6" t="s">
        <v>988</v>
      </c>
      <c r="AL342" s="6" t="s">
        <v>191</v>
      </c>
      <c r="AM342" s="6" t="n">
        <v>0</v>
      </c>
      <c r="AQ342" s="6" t="s">
        <v>689</v>
      </c>
      <c r="AR342" s="6" t="s">
        <v>57</v>
      </c>
    </row>
    <row r="343" customFormat="false" ht="15" hidden="false" customHeight="true" outlineLevel="0" collapsed="false">
      <c r="A343" s="27" t="n">
        <v>116032</v>
      </c>
      <c r="B343" s="6" t="s">
        <v>1541</v>
      </c>
      <c r="C343" s="27" t="n">
        <v>116032</v>
      </c>
      <c r="D343" s="6" t="s">
        <v>1542</v>
      </c>
      <c r="E343" s="6" t="s">
        <v>1383</v>
      </c>
      <c r="F343" s="6" t="s">
        <v>1543</v>
      </c>
      <c r="G343" s="6" t="s">
        <v>1173</v>
      </c>
      <c r="H343" s="6" t="s">
        <v>168</v>
      </c>
      <c r="I343" s="6" t="s">
        <v>1174</v>
      </c>
      <c r="J343" s="6" t="s">
        <v>23</v>
      </c>
      <c r="K343" s="6" t="s">
        <v>21</v>
      </c>
      <c r="L343" s="6" t="s">
        <v>400</v>
      </c>
      <c r="N343" s="6" t="s">
        <v>1023</v>
      </c>
      <c r="O343" s="6" t="s">
        <v>1501</v>
      </c>
      <c r="P343" s="6" t="n">
        <v>1</v>
      </c>
      <c r="R343" s="6" t="s">
        <v>1152</v>
      </c>
      <c r="U343" s="6" t="n">
        <v>180000</v>
      </c>
      <c r="V343" s="28" t="n">
        <v>180000</v>
      </c>
      <c r="W343" s="29" t="n">
        <v>0.12</v>
      </c>
      <c r="X343" s="6" t="n">
        <v>0.055</v>
      </c>
      <c r="Y343" s="29" t="n">
        <v>0.12</v>
      </c>
      <c r="Z343" s="30"/>
      <c r="AA343" s="29" t="n">
        <v>0.04</v>
      </c>
      <c r="AB343" s="31" t="n">
        <v>240300</v>
      </c>
      <c r="AE343" s="6" t="n">
        <v>240300</v>
      </c>
      <c r="AF343" s="6" t="s">
        <v>58</v>
      </c>
      <c r="AG343" s="6" t="n">
        <v>0</v>
      </c>
      <c r="AH343" s="30" t="s">
        <v>23</v>
      </c>
      <c r="AI343" s="6" t="n">
        <v>0</v>
      </c>
      <c r="AJ343" s="6" t="s">
        <v>400</v>
      </c>
      <c r="AK343" s="6" t="s">
        <v>988</v>
      </c>
      <c r="AL343" s="6" t="s">
        <v>405</v>
      </c>
      <c r="AM343" s="6" t="n">
        <v>1</v>
      </c>
      <c r="AQ343" s="6" t="s">
        <v>691</v>
      </c>
      <c r="AR343" s="6" t="s">
        <v>57</v>
      </c>
    </row>
    <row r="344" customFormat="false" ht="15" hidden="false" customHeight="true" outlineLevel="0" collapsed="false">
      <c r="A344" s="27" t="n">
        <v>83092</v>
      </c>
      <c r="B344" s="6" t="s">
        <v>1544</v>
      </c>
      <c r="C344" s="27" t="n">
        <v>83092</v>
      </c>
      <c r="D344" s="6" t="s">
        <v>694</v>
      </c>
      <c r="E344" s="6" t="s">
        <v>1383</v>
      </c>
      <c r="F344" s="6" t="s">
        <v>1543</v>
      </c>
      <c r="G344" s="6" t="s">
        <v>1173</v>
      </c>
      <c r="H344" s="6" t="s">
        <v>168</v>
      </c>
      <c r="I344" s="6" t="s">
        <v>1174</v>
      </c>
      <c r="J344" s="6" t="s">
        <v>23</v>
      </c>
      <c r="K344" s="6" t="s">
        <v>21</v>
      </c>
      <c r="L344" s="6" t="s">
        <v>400</v>
      </c>
      <c r="N344" s="6" t="s">
        <v>1023</v>
      </c>
      <c r="O344" s="6" t="s">
        <v>1501</v>
      </c>
      <c r="P344" s="6" t="n">
        <v>1</v>
      </c>
      <c r="R344" s="6" t="s">
        <v>1152</v>
      </c>
      <c r="U344" s="6" t="n">
        <v>178100</v>
      </c>
      <c r="V344" s="28" t="n">
        <v>178100</v>
      </c>
      <c r="W344" s="29" t="n">
        <v>0.12</v>
      </c>
      <c r="X344" s="6" t="n">
        <v>0.055</v>
      </c>
      <c r="Y344" s="29" t="n">
        <v>0.12</v>
      </c>
      <c r="Z344" s="30"/>
      <c r="AA344" s="29" t="n">
        <v>0.04</v>
      </c>
      <c r="AB344" s="31" t="n">
        <v>237763.5</v>
      </c>
      <c r="AE344" s="6" t="n">
        <v>237763.5</v>
      </c>
      <c r="AF344" s="6" t="s">
        <v>58</v>
      </c>
      <c r="AG344" s="6" t="n">
        <v>0</v>
      </c>
      <c r="AH344" s="30" t="s">
        <v>23</v>
      </c>
      <c r="AI344" s="6" t="n">
        <v>0</v>
      </c>
      <c r="AJ344" s="6" t="s">
        <v>400</v>
      </c>
      <c r="AK344" s="6" t="s">
        <v>988</v>
      </c>
      <c r="AL344" s="6" t="s">
        <v>405</v>
      </c>
      <c r="AM344" s="6" t="n">
        <v>1</v>
      </c>
      <c r="AQ344" s="6" t="s">
        <v>693</v>
      </c>
      <c r="AR344" s="6" t="s">
        <v>57</v>
      </c>
    </row>
    <row r="345" customFormat="false" ht="15" hidden="false" customHeight="true" outlineLevel="0" collapsed="false">
      <c r="A345" s="27" t="n">
        <v>80549</v>
      </c>
      <c r="B345" s="6" t="s">
        <v>1545</v>
      </c>
      <c r="C345" s="27" t="n">
        <v>80549</v>
      </c>
      <c r="D345" s="6" t="s">
        <v>694</v>
      </c>
      <c r="E345" s="6" t="s">
        <v>1383</v>
      </c>
      <c r="F345" s="6" t="s">
        <v>1543</v>
      </c>
      <c r="G345" s="6" t="s">
        <v>1173</v>
      </c>
      <c r="H345" s="6" t="s">
        <v>168</v>
      </c>
      <c r="I345" s="6" t="s">
        <v>1174</v>
      </c>
      <c r="J345" s="6" t="s">
        <v>23</v>
      </c>
      <c r="K345" s="6" t="s">
        <v>21</v>
      </c>
      <c r="L345" s="6" t="s">
        <v>400</v>
      </c>
      <c r="N345" s="6" t="s">
        <v>1023</v>
      </c>
      <c r="O345" s="6" t="s">
        <v>1501</v>
      </c>
      <c r="P345" s="6" t="n">
        <v>1</v>
      </c>
      <c r="R345" s="6" t="s">
        <v>1152</v>
      </c>
      <c r="U345" s="6" t="n">
        <v>182000</v>
      </c>
      <c r="V345" s="28" t="n">
        <v>182000</v>
      </c>
      <c r="W345" s="29" t="n">
        <v>0.12</v>
      </c>
      <c r="X345" s="6" t="n">
        <v>0.055</v>
      </c>
      <c r="Y345" s="29" t="n">
        <v>0.12</v>
      </c>
      <c r="Z345" s="30"/>
      <c r="AA345" s="29" t="n">
        <v>0.04</v>
      </c>
      <c r="AB345" s="31" t="n">
        <v>242970</v>
      </c>
      <c r="AE345" s="6" t="n">
        <v>242970</v>
      </c>
      <c r="AF345" s="6" t="s">
        <v>58</v>
      </c>
      <c r="AG345" s="6" t="n">
        <v>0</v>
      </c>
      <c r="AH345" s="30" t="s">
        <v>23</v>
      </c>
      <c r="AI345" s="6" t="n">
        <v>0</v>
      </c>
      <c r="AJ345" s="6" t="s">
        <v>400</v>
      </c>
      <c r="AK345" s="6" t="s">
        <v>988</v>
      </c>
      <c r="AL345" s="6" t="s">
        <v>405</v>
      </c>
      <c r="AM345" s="6" t="n">
        <v>1</v>
      </c>
      <c r="AQ345" s="6" t="s">
        <v>695</v>
      </c>
      <c r="AR345" s="6" t="s">
        <v>57</v>
      </c>
    </row>
    <row r="346" customFormat="false" ht="15" hidden="false" customHeight="true" outlineLevel="0" collapsed="false">
      <c r="A346" s="27" t="n">
        <v>116845</v>
      </c>
      <c r="B346" s="6" t="s">
        <v>1546</v>
      </c>
      <c r="C346" s="27" t="n">
        <v>116845</v>
      </c>
      <c r="D346" s="6" t="s">
        <v>1547</v>
      </c>
      <c r="E346" s="6" t="s">
        <v>1383</v>
      </c>
      <c r="F346" s="6" t="s">
        <v>1543</v>
      </c>
      <c r="G346" s="6" t="s">
        <v>1173</v>
      </c>
      <c r="H346" s="6" t="s">
        <v>168</v>
      </c>
      <c r="I346" s="6" t="s">
        <v>1174</v>
      </c>
      <c r="J346" s="6" t="s">
        <v>23</v>
      </c>
      <c r="K346" s="6" t="s">
        <v>21</v>
      </c>
      <c r="L346" s="6" t="s">
        <v>400</v>
      </c>
      <c r="N346" s="6" t="s">
        <v>1023</v>
      </c>
      <c r="O346" s="6" t="s">
        <v>1501</v>
      </c>
      <c r="P346" s="6" t="n">
        <v>1</v>
      </c>
      <c r="R346" s="6" t="s">
        <v>1322</v>
      </c>
      <c r="U346" s="6" t="n">
        <v>170000</v>
      </c>
      <c r="V346" s="28" t="n">
        <v>170000</v>
      </c>
      <c r="W346" s="29" t="n">
        <v>0.12</v>
      </c>
      <c r="X346" s="6" t="n">
        <v>0.055</v>
      </c>
      <c r="Y346" s="29" t="n">
        <v>0.12</v>
      </c>
      <c r="Z346" s="30"/>
      <c r="AA346" s="29" t="n">
        <v>0.04</v>
      </c>
      <c r="AB346" s="31" t="n">
        <v>226950</v>
      </c>
      <c r="AE346" s="6" t="n">
        <v>226950</v>
      </c>
      <c r="AF346" s="6" t="s">
        <v>58</v>
      </c>
      <c r="AG346" s="6" t="n">
        <v>0</v>
      </c>
      <c r="AH346" s="30" t="s">
        <v>23</v>
      </c>
      <c r="AI346" s="6" t="n">
        <v>0</v>
      </c>
      <c r="AJ346" s="6" t="s">
        <v>400</v>
      </c>
      <c r="AK346" s="6" t="s">
        <v>988</v>
      </c>
      <c r="AL346" s="6" t="s">
        <v>405</v>
      </c>
      <c r="AM346" s="6" t="n">
        <v>1</v>
      </c>
      <c r="AQ346" s="6" t="s">
        <v>696</v>
      </c>
      <c r="AR346" s="6" t="s">
        <v>57</v>
      </c>
    </row>
    <row r="347" customFormat="false" ht="15" hidden="false" customHeight="true" outlineLevel="0" collapsed="false">
      <c r="A347" s="27" t="n">
        <v>82561</v>
      </c>
      <c r="B347" s="6" t="s">
        <v>1548</v>
      </c>
      <c r="C347" s="27" t="n">
        <v>82561</v>
      </c>
      <c r="D347" s="6" t="s">
        <v>699</v>
      </c>
      <c r="E347" s="6" t="s">
        <v>1459</v>
      </c>
      <c r="F347" s="6" t="s">
        <v>1353</v>
      </c>
      <c r="G347" s="6" t="s">
        <v>1141</v>
      </c>
      <c r="H347" s="6" t="s">
        <v>191</v>
      </c>
      <c r="I347" s="6" t="s">
        <v>26</v>
      </c>
      <c r="J347" s="6" t="s">
        <v>26</v>
      </c>
      <c r="K347" s="6" t="s">
        <v>26</v>
      </c>
      <c r="L347" s="6" t="s">
        <v>26</v>
      </c>
      <c r="N347" s="6" t="s">
        <v>1023</v>
      </c>
      <c r="O347" s="6" t="s">
        <v>1501</v>
      </c>
      <c r="P347" s="6" t="n">
        <v>1</v>
      </c>
      <c r="R347" s="6" t="s">
        <v>1152</v>
      </c>
      <c r="U347" s="6" t="n">
        <v>154400</v>
      </c>
      <c r="V347" s="28" t="n">
        <v>154400</v>
      </c>
      <c r="W347" s="29" t="n">
        <v>0.12</v>
      </c>
      <c r="X347" s="6" t="n">
        <v>0.055</v>
      </c>
      <c r="Y347" s="29" t="n">
        <v>0.12</v>
      </c>
      <c r="Z347" s="30"/>
      <c r="AA347" s="29" t="n">
        <v>0.04</v>
      </c>
      <c r="AB347" s="31" t="n">
        <v>206124</v>
      </c>
      <c r="AE347" s="6" t="n">
        <v>206124</v>
      </c>
      <c r="AF347" s="6" t="s">
        <v>58</v>
      </c>
      <c r="AG347" s="6" t="n">
        <v>0</v>
      </c>
      <c r="AH347" s="30" t="s">
        <v>1144</v>
      </c>
      <c r="AI347" s="6" t="n">
        <v>0</v>
      </c>
      <c r="AJ347" s="6" t="s">
        <v>191</v>
      </c>
      <c r="AK347" s="6" t="s">
        <v>988</v>
      </c>
      <c r="AL347" s="6" t="s">
        <v>191</v>
      </c>
      <c r="AM347" s="6" t="n">
        <v>0</v>
      </c>
      <c r="AQ347" s="6" t="s">
        <v>698</v>
      </c>
      <c r="AR347" s="6" t="s">
        <v>57</v>
      </c>
    </row>
    <row r="348" customFormat="false" ht="15" hidden="false" customHeight="true" outlineLevel="0" collapsed="false">
      <c r="A348" s="27" t="n">
        <v>115531</v>
      </c>
      <c r="B348" s="6" t="s">
        <v>1549</v>
      </c>
      <c r="C348" s="27" t="n">
        <v>115531</v>
      </c>
      <c r="D348" s="6" t="s">
        <v>701</v>
      </c>
      <c r="E348" s="6" t="s">
        <v>1175</v>
      </c>
      <c r="F348" s="6" t="s">
        <v>1207</v>
      </c>
      <c r="G348" s="6" t="s">
        <v>1173</v>
      </c>
      <c r="H348" s="6" t="s">
        <v>168</v>
      </c>
      <c r="I348" s="6" t="s">
        <v>1177</v>
      </c>
      <c r="N348" s="6" t="s">
        <v>109</v>
      </c>
      <c r="O348" s="6" t="s">
        <v>1501</v>
      </c>
      <c r="P348" s="6" t="n">
        <v>1</v>
      </c>
      <c r="R348" s="6" t="s">
        <v>1152</v>
      </c>
      <c r="U348" s="6" t="n">
        <v>129760</v>
      </c>
      <c r="V348" s="28" t="n">
        <v>119379.2</v>
      </c>
      <c r="W348" s="29" t="n">
        <v>0.15</v>
      </c>
      <c r="Y348" s="29" t="n">
        <v>0.05</v>
      </c>
      <c r="Z348" s="30" t="n">
        <v>2910</v>
      </c>
      <c r="AA348" s="29" t="n">
        <v>0.03</v>
      </c>
      <c r="AB348" s="31" t="n">
        <v>149746.416</v>
      </c>
      <c r="AC348" s="6" t="n">
        <v>113582</v>
      </c>
      <c r="AE348" s="6" t="n">
        <v>149746.416</v>
      </c>
      <c r="AF348" s="6" t="s">
        <v>58</v>
      </c>
      <c r="AG348" s="6" t="n">
        <v>0</v>
      </c>
      <c r="AH348" s="30" t="s">
        <v>1178</v>
      </c>
      <c r="AI348" s="6" t="n">
        <v>0</v>
      </c>
      <c r="AJ348" s="6" t="s">
        <v>168</v>
      </c>
      <c r="AK348" s="6" t="s">
        <v>988</v>
      </c>
      <c r="AL348" s="6" t="s">
        <v>168</v>
      </c>
      <c r="AM348" s="6" t="n">
        <v>0</v>
      </c>
      <c r="AQ348" s="6" t="s">
        <v>700</v>
      </c>
      <c r="AR348" s="6" t="s">
        <v>109</v>
      </c>
    </row>
    <row r="349" customFormat="false" ht="15" hidden="false" customHeight="true" outlineLevel="0" collapsed="false">
      <c r="A349" s="27" t="n">
        <v>110146</v>
      </c>
      <c r="B349" s="6" t="s">
        <v>1550</v>
      </c>
      <c r="C349" s="27" t="n">
        <v>110146</v>
      </c>
      <c r="D349" s="6" t="s">
        <v>703</v>
      </c>
      <c r="E349" s="6" t="s">
        <v>1175</v>
      </c>
      <c r="F349" s="6" t="s">
        <v>1207</v>
      </c>
      <c r="G349" s="6" t="s">
        <v>1173</v>
      </c>
      <c r="H349" s="6" t="s">
        <v>168</v>
      </c>
      <c r="I349" s="6" t="s">
        <v>1177</v>
      </c>
      <c r="N349" s="6" t="s">
        <v>1023</v>
      </c>
      <c r="O349" s="6" t="s">
        <v>1501</v>
      </c>
      <c r="P349" s="6" t="n">
        <v>1</v>
      </c>
      <c r="R349" s="6" t="s">
        <v>1152</v>
      </c>
      <c r="U349" s="6" t="n">
        <v>170080</v>
      </c>
      <c r="V349" s="28" t="n">
        <v>170080</v>
      </c>
      <c r="W349" s="29" t="n">
        <v>0.12</v>
      </c>
      <c r="X349" s="6" t="n">
        <v>0.055</v>
      </c>
      <c r="Y349" s="29" t="n">
        <v>0.12</v>
      </c>
      <c r="Z349" s="30"/>
      <c r="AA349" s="29" t="n">
        <v>0.04</v>
      </c>
      <c r="AB349" s="31" t="n">
        <v>227056.8</v>
      </c>
      <c r="AE349" s="6" t="n">
        <v>227056.8</v>
      </c>
      <c r="AF349" s="6" t="s">
        <v>58</v>
      </c>
      <c r="AG349" s="6" t="n">
        <v>0</v>
      </c>
      <c r="AH349" s="30" t="s">
        <v>1178</v>
      </c>
      <c r="AI349" s="6" t="n">
        <v>0</v>
      </c>
      <c r="AJ349" s="6" t="s">
        <v>168</v>
      </c>
      <c r="AK349" s="6" t="s">
        <v>988</v>
      </c>
      <c r="AL349" s="6" t="s">
        <v>168</v>
      </c>
      <c r="AM349" s="6" t="n">
        <v>0</v>
      </c>
      <c r="AQ349" s="6" t="s">
        <v>702</v>
      </c>
      <c r="AR349" s="6" t="s">
        <v>57</v>
      </c>
    </row>
    <row r="350" customFormat="false" ht="15" hidden="false" customHeight="true" outlineLevel="0" collapsed="false">
      <c r="A350" s="27" t="n">
        <v>98599</v>
      </c>
      <c r="B350" s="6" t="s">
        <v>1551</v>
      </c>
      <c r="C350" s="27" t="n">
        <v>98599</v>
      </c>
      <c r="D350" s="6" t="s">
        <v>705</v>
      </c>
      <c r="E350" s="6" t="s">
        <v>1175</v>
      </c>
      <c r="F350" s="6" t="s">
        <v>1539</v>
      </c>
      <c r="G350" s="6" t="s">
        <v>1173</v>
      </c>
      <c r="H350" s="6" t="s">
        <v>168</v>
      </c>
      <c r="I350" s="6" t="s">
        <v>1177</v>
      </c>
      <c r="N350" s="6" t="s">
        <v>1023</v>
      </c>
      <c r="O350" s="6" t="s">
        <v>1501</v>
      </c>
      <c r="P350" s="6" t="n">
        <v>1</v>
      </c>
      <c r="R350" s="6" t="s">
        <v>1152</v>
      </c>
      <c r="U350" s="6" t="n">
        <v>131740</v>
      </c>
      <c r="V350" s="28" t="n">
        <v>131740</v>
      </c>
      <c r="W350" s="29" t="n">
        <v>0.12</v>
      </c>
      <c r="X350" s="6" t="n">
        <v>0.055</v>
      </c>
      <c r="Y350" s="29" t="n">
        <v>0.12</v>
      </c>
      <c r="Z350" s="30"/>
      <c r="AA350" s="29" t="n">
        <v>0.04</v>
      </c>
      <c r="AB350" s="31" t="n">
        <v>175872.9</v>
      </c>
      <c r="AE350" s="6" t="n">
        <v>175872.9</v>
      </c>
      <c r="AF350" s="6" t="s">
        <v>58</v>
      </c>
      <c r="AG350" s="6" t="n">
        <v>0</v>
      </c>
      <c r="AH350" s="30" t="s">
        <v>1178</v>
      </c>
      <c r="AI350" s="6" t="n">
        <v>0</v>
      </c>
      <c r="AJ350" s="6" t="s">
        <v>168</v>
      </c>
      <c r="AK350" s="6" t="s">
        <v>988</v>
      </c>
      <c r="AL350" s="6" t="s">
        <v>168</v>
      </c>
      <c r="AM350" s="6" t="n">
        <v>0</v>
      </c>
      <c r="AQ350" s="6" t="s">
        <v>704</v>
      </c>
      <c r="AR350" s="6" t="s">
        <v>57</v>
      </c>
    </row>
    <row r="351" customFormat="false" ht="15" hidden="false" customHeight="true" outlineLevel="0" collapsed="false">
      <c r="A351" s="27" t="s">
        <v>1138</v>
      </c>
      <c r="B351" s="6" t="s">
        <v>1304</v>
      </c>
      <c r="C351" s="27" t="s">
        <v>1138</v>
      </c>
      <c r="D351" s="6" t="s">
        <v>707</v>
      </c>
      <c r="E351" s="6" t="s">
        <v>1287</v>
      </c>
      <c r="F351" s="6" t="s">
        <v>1288</v>
      </c>
      <c r="G351" s="6" t="s">
        <v>1076</v>
      </c>
      <c r="H351" s="6" t="s">
        <v>1290</v>
      </c>
      <c r="I351" s="6" t="s">
        <v>455</v>
      </c>
      <c r="J351" s="6" t="s">
        <v>30</v>
      </c>
      <c r="K351" s="6" t="s">
        <v>30</v>
      </c>
      <c r="L351" s="6" t="s">
        <v>455</v>
      </c>
      <c r="N351" s="6" t="s">
        <v>1023</v>
      </c>
      <c r="O351" s="6" t="s">
        <v>1501</v>
      </c>
      <c r="P351" s="6" t="n">
        <v>1</v>
      </c>
      <c r="R351" s="6" t="s">
        <v>1138</v>
      </c>
      <c r="U351" s="6" t="n">
        <v>151950</v>
      </c>
      <c r="V351" s="28" t="n">
        <v>151950</v>
      </c>
      <c r="W351" s="29" t="n">
        <v>0.12</v>
      </c>
      <c r="X351" s="6" t="n">
        <v>0.055</v>
      </c>
      <c r="Y351" s="29" t="n">
        <v>0.12</v>
      </c>
      <c r="Z351" s="30"/>
      <c r="AA351" s="29" t="n">
        <v>0.04</v>
      </c>
      <c r="AB351" s="31" t="n">
        <v>202853.25</v>
      </c>
      <c r="AE351" s="6" t="n">
        <v>202853.25</v>
      </c>
      <c r="AF351" s="6" t="s">
        <v>1063</v>
      </c>
      <c r="AG351" s="6" t="n">
        <v>0</v>
      </c>
      <c r="AH351" s="30" t="s">
        <v>1076</v>
      </c>
      <c r="AI351" s="6" t="n">
        <v>0</v>
      </c>
      <c r="AJ351" s="6" t="s">
        <v>455</v>
      </c>
      <c r="AK351" s="6" t="s">
        <v>988</v>
      </c>
      <c r="AL351" s="6" t="s">
        <v>455</v>
      </c>
      <c r="AM351" s="6" t="n">
        <v>0</v>
      </c>
      <c r="AQ351" s="6" t="s">
        <v>706</v>
      </c>
      <c r="AR351" s="6" t="s">
        <v>57</v>
      </c>
    </row>
    <row r="352" customFormat="false" ht="15" hidden="false" customHeight="true" outlineLevel="0" collapsed="false">
      <c r="A352" s="27" t="s">
        <v>1138</v>
      </c>
      <c r="B352" s="6" t="s">
        <v>1552</v>
      </c>
      <c r="C352" s="27" t="s">
        <v>1138</v>
      </c>
      <c r="D352" s="6" t="s">
        <v>1553</v>
      </c>
      <c r="E352" s="6" t="s">
        <v>1114</v>
      </c>
      <c r="F352" s="6" t="s">
        <v>1429</v>
      </c>
      <c r="G352" s="6" t="s">
        <v>1076</v>
      </c>
      <c r="H352" s="6" t="s">
        <v>28</v>
      </c>
      <c r="I352" s="6" t="s">
        <v>1318</v>
      </c>
      <c r="J352" s="6" t="s">
        <v>24</v>
      </c>
      <c r="K352" s="6" t="s">
        <v>1367</v>
      </c>
      <c r="L352" s="6" t="s">
        <v>127</v>
      </c>
      <c r="N352" s="6" t="s">
        <v>109</v>
      </c>
      <c r="O352" s="6" t="s">
        <v>1501</v>
      </c>
      <c r="P352" s="6" t="n">
        <v>1</v>
      </c>
      <c r="R352" s="6" t="s">
        <v>1143</v>
      </c>
      <c r="U352" s="6" t="n">
        <v>151950</v>
      </c>
      <c r="V352" s="28" t="n">
        <v>139794</v>
      </c>
      <c r="W352" s="29" t="n">
        <v>0.15</v>
      </c>
      <c r="Y352" s="29" t="n">
        <v>0.05</v>
      </c>
      <c r="Z352" s="30" t="n">
        <v>2910</v>
      </c>
      <c r="AA352" s="29" t="n">
        <v>0.03</v>
      </c>
      <c r="AB352" s="31" t="n">
        <v>174856.62</v>
      </c>
      <c r="AE352" s="6" t="n">
        <v>174856.62</v>
      </c>
      <c r="AF352" s="6" t="s">
        <v>1063</v>
      </c>
      <c r="AG352" s="6" t="n">
        <v>0</v>
      </c>
      <c r="AH352" s="30" t="s">
        <v>24</v>
      </c>
      <c r="AI352" s="6" t="n">
        <v>0</v>
      </c>
      <c r="AJ352" s="6" t="s">
        <v>127</v>
      </c>
      <c r="AK352" s="6" t="s">
        <v>988</v>
      </c>
      <c r="AL352" s="6" t="s">
        <v>127</v>
      </c>
      <c r="AM352" s="6" t="n">
        <v>0</v>
      </c>
      <c r="AQ352" s="6" t="s">
        <v>708</v>
      </c>
      <c r="AR352" s="6" t="s">
        <v>109</v>
      </c>
    </row>
    <row r="353" customFormat="false" ht="15" hidden="false" customHeight="true" outlineLevel="0" collapsed="false">
      <c r="A353" s="27" t="n">
        <v>116057</v>
      </c>
      <c r="B353" s="6" t="s">
        <v>1554</v>
      </c>
      <c r="C353" s="27" t="n">
        <v>116057</v>
      </c>
      <c r="D353" s="6" t="s">
        <v>712</v>
      </c>
      <c r="E353" s="6" t="s">
        <v>1425</v>
      </c>
      <c r="F353" s="6" t="s">
        <v>461</v>
      </c>
      <c r="G353" s="6" t="s">
        <v>1076</v>
      </c>
      <c r="H353" s="6" t="s">
        <v>1290</v>
      </c>
      <c r="I353" s="6" t="s">
        <v>455</v>
      </c>
      <c r="J353" s="6" t="s">
        <v>30</v>
      </c>
      <c r="K353" s="6" t="s">
        <v>30</v>
      </c>
      <c r="L353" s="6" t="s">
        <v>455</v>
      </c>
      <c r="N353" s="6" t="s">
        <v>1023</v>
      </c>
      <c r="O353" s="6" t="s">
        <v>1501</v>
      </c>
      <c r="P353" s="6" t="n">
        <v>1</v>
      </c>
      <c r="R353" s="6" t="s">
        <v>1152</v>
      </c>
      <c r="U353" s="6" t="n">
        <v>145710</v>
      </c>
      <c r="V353" s="28" t="n">
        <v>145710</v>
      </c>
      <c r="W353" s="29" t="n">
        <v>0.12</v>
      </c>
      <c r="X353" s="6" t="n">
        <v>0.055</v>
      </c>
      <c r="Y353" s="29" t="n">
        <v>0.12</v>
      </c>
      <c r="Z353" s="30"/>
      <c r="AA353" s="29" t="n">
        <v>0.04</v>
      </c>
      <c r="AB353" s="31" t="n">
        <v>194522.85</v>
      </c>
      <c r="AE353" s="6" t="n">
        <v>194522.85</v>
      </c>
      <c r="AF353" s="6" t="s">
        <v>58</v>
      </c>
      <c r="AG353" s="6" t="n">
        <v>0</v>
      </c>
      <c r="AH353" s="30" t="s">
        <v>1076</v>
      </c>
      <c r="AI353" s="6" t="n">
        <v>0</v>
      </c>
      <c r="AJ353" s="6" t="s">
        <v>455</v>
      </c>
      <c r="AK353" s="6" t="s">
        <v>988</v>
      </c>
      <c r="AL353" s="6" t="s">
        <v>455</v>
      </c>
      <c r="AM353" s="6" t="n">
        <v>0</v>
      </c>
      <c r="AQ353" s="6" t="s">
        <v>711</v>
      </c>
      <c r="AR353" s="6" t="s">
        <v>57</v>
      </c>
    </row>
    <row r="354" customFormat="false" ht="15" hidden="false" customHeight="true" outlineLevel="0" collapsed="false">
      <c r="A354" s="27" t="s">
        <v>1138</v>
      </c>
      <c r="B354" s="6" t="s">
        <v>1063</v>
      </c>
      <c r="C354" s="27" t="s">
        <v>1138</v>
      </c>
      <c r="D354" s="6" t="s">
        <v>712</v>
      </c>
      <c r="E354" s="6" t="s">
        <v>1425</v>
      </c>
      <c r="F354" s="6" t="s">
        <v>461</v>
      </c>
      <c r="G354" s="6" t="s">
        <v>1076</v>
      </c>
      <c r="H354" s="6" t="s">
        <v>1290</v>
      </c>
      <c r="I354" s="6" t="s">
        <v>455</v>
      </c>
      <c r="J354" s="6" t="s">
        <v>30</v>
      </c>
      <c r="K354" s="6" t="s">
        <v>30</v>
      </c>
      <c r="L354" s="6" t="s">
        <v>455</v>
      </c>
      <c r="N354" s="6" t="s">
        <v>1023</v>
      </c>
      <c r="O354" s="6" t="s">
        <v>1501</v>
      </c>
      <c r="P354" s="6" t="n">
        <v>1</v>
      </c>
      <c r="R354" s="6" t="s">
        <v>1143</v>
      </c>
      <c r="U354" s="6" t="n">
        <v>151950</v>
      </c>
      <c r="V354" s="28" t="n">
        <v>151950</v>
      </c>
      <c r="W354" s="29" t="n">
        <v>0.12</v>
      </c>
      <c r="X354" s="6" t="n">
        <v>0.055</v>
      </c>
      <c r="Y354" s="29" t="n">
        <v>0.12</v>
      </c>
      <c r="Z354" s="30"/>
      <c r="AA354" s="29" t="n">
        <v>0.04</v>
      </c>
      <c r="AB354" s="31" t="n">
        <v>202853.25</v>
      </c>
      <c r="AE354" s="6" t="n">
        <v>202853.25</v>
      </c>
      <c r="AF354" s="6" t="s">
        <v>1063</v>
      </c>
      <c r="AG354" s="6" t="n">
        <v>0</v>
      </c>
      <c r="AH354" s="30" t="s">
        <v>1076</v>
      </c>
      <c r="AI354" s="6" t="n">
        <v>0</v>
      </c>
      <c r="AJ354" s="6" t="s">
        <v>455</v>
      </c>
      <c r="AK354" s="6" t="s">
        <v>988</v>
      </c>
      <c r="AL354" s="6" t="s">
        <v>455</v>
      </c>
      <c r="AM354" s="6" t="n">
        <v>0</v>
      </c>
      <c r="AQ354" s="6" t="s">
        <v>713</v>
      </c>
      <c r="AR354" s="6" t="s">
        <v>57</v>
      </c>
    </row>
    <row r="355" customFormat="false" ht="15" hidden="false" customHeight="true" outlineLevel="0" collapsed="false">
      <c r="A355" s="27" t="n">
        <v>97425</v>
      </c>
      <c r="B355" s="6" t="s">
        <v>1555</v>
      </c>
      <c r="C355" s="27" t="n">
        <v>97425</v>
      </c>
      <c r="D355" s="6" t="s">
        <v>715</v>
      </c>
      <c r="E355" s="6" t="s">
        <v>1250</v>
      </c>
      <c r="G355" s="6" t="s">
        <v>1164</v>
      </c>
      <c r="H355" s="6" t="s">
        <v>244</v>
      </c>
      <c r="I355" s="6" t="s">
        <v>26</v>
      </c>
      <c r="J355" s="6" t="s">
        <v>26</v>
      </c>
      <c r="K355" s="6" t="s">
        <v>26</v>
      </c>
      <c r="L355" s="6" t="s">
        <v>26</v>
      </c>
      <c r="N355" s="6" t="s">
        <v>1023</v>
      </c>
      <c r="O355" s="6" t="s">
        <v>1501</v>
      </c>
      <c r="P355" s="6" t="n">
        <v>1</v>
      </c>
      <c r="R355" s="6" t="s">
        <v>1152</v>
      </c>
      <c r="U355" s="6" t="n">
        <v>161520</v>
      </c>
      <c r="V355" s="28" t="n">
        <v>161520</v>
      </c>
      <c r="W355" s="29" t="n">
        <v>0.12</v>
      </c>
      <c r="X355" s="6" t="n">
        <v>0.055</v>
      </c>
      <c r="Y355" s="29" t="n">
        <v>0.12</v>
      </c>
      <c r="Z355" s="30"/>
      <c r="AA355" s="29" t="n">
        <v>0.04</v>
      </c>
      <c r="AB355" s="31" t="n">
        <v>215629.2</v>
      </c>
      <c r="AE355" s="6" t="n">
        <v>215629.2</v>
      </c>
      <c r="AF355" s="6" t="s">
        <v>58</v>
      </c>
      <c r="AG355" s="6" t="n">
        <v>0</v>
      </c>
      <c r="AH355" s="30" t="s">
        <v>1165</v>
      </c>
      <c r="AI355" s="6" t="n">
        <v>0</v>
      </c>
      <c r="AJ355" s="6" t="s">
        <v>244</v>
      </c>
      <c r="AK355" s="6" t="s">
        <v>988</v>
      </c>
      <c r="AL355" s="6" t="s">
        <v>244</v>
      </c>
      <c r="AM355" s="6" t="n">
        <v>0</v>
      </c>
      <c r="AQ355" s="6" t="s">
        <v>714</v>
      </c>
      <c r="AR355" s="6" t="s">
        <v>57</v>
      </c>
    </row>
    <row r="356" customFormat="false" ht="15" hidden="false" customHeight="true" outlineLevel="0" collapsed="false">
      <c r="A356" s="27" t="n">
        <v>98371</v>
      </c>
      <c r="B356" s="6" t="s">
        <v>1556</v>
      </c>
      <c r="C356" s="27" t="n">
        <v>98371</v>
      </c>
      <c r="D356" s="6" t="s">
        <v>715</v>
      </c>
      <c r="E356" s="6" t="s">
        <v>1250</v>
      </c>
      <c r="G356" s="6" t="s">
        <v>1164</v>
      </c>
      <c r="H356" s="6" t="s">
        <v>244</v>
      </c>
      <c r="I356" s="6" t="s">
        <v>26</v>
      </c>
      <c r="J356" s="6" t="s">
        <v>26</v>
      </c>
      <c r="K356" s="6" t="s">
        <v>26</v>
      </c>
      <c r="L356" s="6" t="s">
        <v>26</v>
      </c>
      <c r="N356" s="6" t="s">
        <v>1023</v>
      </c>
      <c r="O356" s="6" t="s">
        <v>1501</v>
      </c>
      <c r="P356" s="6" t="n">
        <v>1</v>
      </c>
      <c r="R356" s="6" t="s">
        <v>1152</v>
      </c>
      <c r="U356" s="6" t="n">
        <v>163830</v>
      </c>
      <c r="V356" s="28" t="n">
        <v>163830</v>
      </c>
      <c r="W356" s="29" t="n">
        <v>0.12</v>
      </c>
      <c r="X356" s="6" t="n">
        <v>0.055</v>
      </c>
      <c r="Y356" s="29" t="n">
        <v>0.12</v>
      </c>
      <c r="Z356" s="30"/>
      <c r="AA356" s="29" t="n">
        <v>0.04</v>
      </c>
      <c r="AB356" s="31" t="n">
        <v>218713.05</v>
      </c>
      <c r="AE356" s="6" t="n">
        <v>218713.05</v>
      </c>
      <c r="AF356" s="6" t="s">
        <v>58</v>
      </c>
      <c r="AG356" s="6" t="n">
        <v>0</v>
      </c>
      <c r="AH356" s="30" t="s">
        <v>1165</v>
      </c>
      <c r="AI356" s="6" t="n">
        <v>0</v>
      </c>
      <c r="AJ356" s="6" t="s">
        <v>244</v>
      </c>
      <c r="AK356" s="6" t="s">
        <v>988</v>
      </c>
      <c r="AL356" s="6" t="s">
        <v>244</v>
      </c>
      <c r="AM356" s="6" t="n">
        <v>0</v>
      </c>
      <c r="AQ356" s="6" t="s">
        <v>716</v>
      </c>
      <c r="AR356" s="6" t="s">
        <v>57</v>
      </c>
    </row>
    <row r="357" customFormat="false" ht="15" hidden="false" customHeight="true" outlineLevel="0" collapsed="false">
      <c r="A357" s="27" t="n">
        <v>7001</v>
      </c>
      <c r="B357" s="6" t="s">
        <v>1557</v>
      </c>
      <c r="C357" s="27" t="n">
        <v>7001</v>
      </c>
      <c r="D357" s="6" t="s">
        <v>597</v>
      </c>
      <c r="E357" s="6" t="s">
        <v>1265</v>
      </c>
      <c r="F357" s="6" t="s">
        <v>1558</v>
      </c>
      <c r="G357" s="6" t="s">
        <v>1073</v>
      </c>
      <c r="H357" s="6" t="s">
        <v>1133</v>
      </c>
      <c r="I357" s="6" t="s">
        <v>1268</v>
      </c>
      <c r="J357" s="6" t="s">
        <v>29</v>
      </c>
      <c r="K357" s="6" t="s">
        <v>561</v>
      </c>
      <c r="L357" s="6" t="s">
        <v>561</v>
      </c>
      <c r="N357" s="6" t="s">
        <v>1023</v>
      </c>
      <c r="O357" s="6" t="s">
        <v>1501</v>
      </c>
      <c r="P357" s="6" t="n">
        <v>1</v>
      </c>
      <c r="R357" s="6" t="s">
        <v>1152</v>
      </c>
      <c r="U357" s="6" t="n">
        <v>134270</v>
      </c>
      <c r="V357" s="28" t="n">
        <v>134270</v>
      </c>
      <c r="W357" s="29" t="n">
        <v>0.1</v>
      </c>
      <c r="X357" s="6" t="n">
        <v>0.055</v>
      </c>
      <c r="Y357" s="29" t="n">
        <v>0.12</v>
      </c>
      <c r="Z357" s="30"/>
      <c r="AA357" s="29" t="n">
        <v>0.04</v>
      </c>
      <c r="AB357" s="31" t="n">
        <v>176565.05</v>
      </c>
      <c r="AE357" s="6" t="n">
        <v>176565.05</v>
      </c>
      <c r="AF357" s="6" t="s">
        <v>58</v>
      </c>
      <c r="AG357" s="6" t="n">
        <v>0</v>
      </c>
      <c r="AH357" s="30" t="s">
        <v>1133</v>
      </c>
      <c r="AI357" s="6" t="n">
        <v>0</v>
      </c>
      <c r="AJ357" s="6" t="s">
        <v>561</v>
      </c>
      <c r="AK357" s="6" t="s">
        <v>988</v>
      </c>
      <c r="AL357" s="6" t="s">
        <v>561</v>
      </c>
      <c r="AM357" s="6" t="n">
        <v>0</v>
      </c>
      <c r="AQ357" s="6" t="s">
        <v>717</v>
      </c>
      <c r="AR357" s="6" t="s">
        <v>57</v>
      </c>
    </row>
    <row r="358" customFormat="false" ht="15" hidden="false" customHeight="true" outlineLevel="0" collapsed="false">
      <c r="A358" s="27" t="n">
        <v>86743</v>
      </c>
      <c r="B358" s="6" t="s">
        <v>1559</v>
      </c>
      <c r="C358" s="27" t="n">
        <v>86743</v>
      </c>
      <c r="D358" s="6" t="s">
        <v>597</v>
      </c>
      <c r="E358" s="6" t="s">
        <v>1265</v>
      </c>
      <c r="F358" s="6" t="s">
        <v>1558</v>
      </c>
      <c r="G358" s="6" t="s">
        <v>1073</v>
      </c>
      <c r="H358" s="6" t="s">
        <v>1133</v>
      </c>
      <c r="I358" s="6" t="s">
        <v>1268</v>
      </c>
      <c r="J358" s="6" t="s">
        <v>29</v>
      </c>
      <c r="K358" s="6" t="s">
        <v>561</v>
      </c>
      <c r="L358" s="6" t="s">
        <v>561</v>
      </c>
      <c r="N358" s="6" t="s">
        <v>1023</v>
      </c>
      <c r="O358" s="6" t="s">
        <v>1501</v>
      </c>
      <c r="P358" s="6" t="n">
        <v>1</v>
      </c>
      <c r="R358" s="6" t="s">
        <v>1152</v>
      </c>
      <c r="U358" s="6" t="n">
        <v>116170</v>
      </c>
      <c r="V358" s="28" t="n">
        <v>106876.4</v>
      </c>
      <c r="W358" s="29" t="n">
        <v>0.15</v>
      </c>
      <c r="Y358" s="29" t="n">
        <v>0.05</v>
      </c>
      <c r="Z358" s="30" t="n">
        <v>2910</v>
      </c>
      <c r="AA358" s="29" t="n">
        <v>0.03</v>
      </c>
      <c r="AB358" s="31" t="n">
        <v>134367.972</v>
      </c>
      <c r="AE358" s="6" t="n">
        <v>134367.972</v>
      </c>
      <c r="AF358" s="6" t="s">
        <v>58</v>
      </c>
      <c r="AG358" s="6" t="n">
        <v>0</v>
      </c>
      <c r="AH358" s="30" t="s">
        <v>1133</v>
      </c>
      <c r="AI358" s="6" t="n">
        <v>0</v>
      </c>
      <c r="AJ358" s="6" t="s">
        <v>561</v>
      </c>
      <c r="AK358" s="6" t="s">
        <v>988</v>
      </c>
      <c r="AL358" s="6" t="s">
        <v>561</v>
      </c>
      <c r="AM358" s="6" t="n">
        <v>0</v>
      </c>
      <c r="AQ358" s="6" t="s">
        <v>718</v>
      </c>
      <c r="AR358" s="6" t="s">
        <v>57</v>
      </c>
    </row>
    <row r="359" customFormat="false" ht="15" hidden="false" customHeight="true" outlineLevel="0" collapsed="false">
      <c r="A359" s="27" t="n">
        <v>108357</v>
      </c>
      <c r="B359" s="6" t="s">
        <v>1560</v>
      </c>
      <c r="C359" s="27" t="n">
        <v>108357</v>
      </c>
      <c r="D359" s="6" t="s">
        <v>597</v>
      </c>
      <c r="E359" s="6" t="s">
        <v>1265</v>
      </c>
      <c r="F359" s="6" t="s">
        <v>1558</v>
      </c>
      <c r="G359" s="6" t="s">
        <v>1073</v>
      </c>
      <c r="H359" s="6" t="s">
        <v>1133</v>
      </c>
      <c r="I359" s="6" t="s">
        <v>1268</v>
      </c>
      <c r="J359" s="6" t="s">
        <v>29</v>
      </c>
      <c r="K359" s="6" t="s">
        <v>561</v>
      </c>
      <c r="L359" s="6" t="s">
        <v>561</v>
      </c>
      <c r="N359" s="6" t="s">
        <v>1023</v>
      </c>
      <c r="O359" s="6" t="s">
        <v>1501</v>
      </c>
      <c r="P359" s="6" t="n">
        <v>1</v>
      </c>
      <c r="R359" s="6" t="s">
        <v>1152</v>
      </c>
      <c r="U359" s="6" t="n">
        <v>123240</v>
      </c>
      <c r="V359" s="28" t="n">
        <v>123240</v>
      </c>
      <c r="W359" s="29" t="n">
        <v>0.1</v>
      </c>
      <c r="X359" s="6" t="n">
        <v>0.055</v>
      </c>
      <c r="Y359" s="29" t="n">
        <v>0.12</v>
      </c>
      <c r="Z359" s="30"/>
      <c r="AA359" s="29" t="n">
        <v>0.04</v>
      </c>
      <c r="AB359" s="31" t="n">
        <v>162060.6</v>
      </c>
      <c r="AE359" s="6" t="n">
        <v>162060.6</v>
      </c>
      <c r="AF359" s="6" t="s">
        <v>58</v>
      </c>
      <c r="AG359" s="6" t="n">
        <v>0</v>
      </c>
      <c r="AH359" s="30" t="s">
        <v>1133</v>
      </c>
      <c r="AI359" s="6" t="n">
        <v>0</v>
      </c>
      <c r="AJ359" s="6" t="s">
        <v>561</v>
      </c>
      <c r="AK359" s="6" t="s">
        <v>988</v>
      </c>
      <c r="AL359" s="6" t="s">
        <v>561</v>
      </c>
      <c r="AM359" s="6" t="n">
        <v>0</v>
      </c>
      <c r="AQ359" s="6" t="s">
        <v>719</v>
      </c>
      <c r="AR359" s="6" t="s">
        <v>57</v>
      </c>
    </row>
    <row r="360" customFormat="false" ht="15" hidden="false" customHeight="true" outlineLevel="0" collapsed="false">
      <c r="A360" s="27" t="n">
        <v>11424</v>
      </c>
      <c r="B360" s="6" t="s">
        <v>1561</v>
      </c>
      <c r="C360" s="27" t="n">
        <v>11424</v>
      </c>
      <c r="D360" s="6" t="s">
        <v>597</v>
      </c>
      <c r="E360" s="6" t="s">
        <v>1265</v>
      </c>
      <c r="F360" s="6" t="s">
        <v>1558</v>
      </c>
      <c r="G360" s="6" t="s">
        <v>1073</v>
      </c>
      <c r="H360" s="6" t="s">
        <v>1133</v>
      </c>
      <c r="I360" s="6" t="s">
        <v>1268</v>
      </c>
      <c r="J360" s="6" t="s">
        <v>29</v>
      </c>
      <c r="K360" s="6" t="s">
        <v>561</v>
      </c>
      <c r="L360" s="6" t="s">
        <v>561</v>
      </c>
      <c r="N360" s="6" t="s">
        <v>1023</v>
      </c>
      <c r="O360" s="6" t="s">
        <v>1501</v>
      </c>
      <c r="P360" s="6" t="n">
        <v>1</v>
      </c>
      <c r="R360" s="6" t="s">
        <v>1152</v>
      </c>
      <c r="U360" s="6" t="n">
        <v>152220</v>
      </c>
      <c r="V360" s="28" t="n">
        <v>152220</v>
      </c>
      <c r="W360" s="29" t="n">
        <v>0.12</v>
      </c>
      <c r="X360" s="6" t="n">
        <v>0.055</v>
      </c>
      <c r="Y360" s="29" t="n">
        <v>0.12</v>
      </c>
      <c r="Z360" s="30"/>
      <c r="AA360" s="29" t="n">
        <v>0.04</v>
      </c>
      <c r="AB360" s="31" t="n">
        <v>203213.7</v>
      </c>
      <c r="AE360" s="6" t="n">
        <v>203213.7</v>
      </c>
      <c r="AF360" s="6" t="s">
        <v>58</v>
      </c>
      <c r="AG360" s="6" t="n">
        <v>0</v>
      </c>
      <c r="AH360" s="30" t="s">
        <v>1133</v>
      </c>
      <c r="AI360" s="6" t="n">
        <v>0</v>
      </c>
      <c r="AJ360" s="6" t="s">
        <v>561</v>
      </c>
      <c r="AK360" s="6" t="s">
        <v>988</v>
      </c>
      <c r="AL360" s="6" t="s">
        <v>561</v>
      </c>
      <c r="AM360" s="6" t="n">
        <v>0</v>
      </c>
      <c r="AQ360" s="6" t="s">
        <v>720</v>
      </c>
      <c r="AR360" s="6" t="s">
        <v>57</v>
      </c>
    </row>
    <row r="361" customFormat="false" ht="15" hidden="false" customHeight="true" outlineLevel="0" collapsed="false">
      <c r="A361" s="27" t="s">
        <v>1138</v>
      </c>
      <c r="B361" s="6" t="s">
        <v>1063</v>
      </c>
      <c r="C361" s="27" t="s">
        <v>1138</v>
      </c>
      <c r="D361" s="6" t="s">
        <v>722</v>
      </c>
      <c r="E361" s="6" t="s">
        <v>1265</v>
      </c>
      <c r="F361" s="6" t="s">
        <v>1558</v>
      </c>
      <c r="G361" s="6" t="s">
        <v>1073</v>
      </c>
      <c r="H361" s="6" t="s">
        <v>1133</v>
      </c>
      <c r="I361" s="6" t="s">
        <v>1268</v>
      </c>
      <c r="J361" s="6" t="s">
        <v>29</v>
      </c>
      <c r="K361" s="6" t="s">
        <v>561</v>
      </c>
      <c r="L361" s="6" t="s">
        <v>561</v>
      </c>
      <c r="N361" s="6" t="s">
        <v>1023</v>
      </c>
      <c r="O361" s="6" t="s">
        <v>1501</v>
      </c>
      <c r="P361" s="6" t="n">
        <v>1</v>
      </c>
      <c r="R361" s="6" t="s">
        <v>1143</v>
      </c>
      <c r="U361" s="6" t="n">
        <v>129650</v>
      </c>
      <c r="V361" s="28" t="n">
        <v>129650</v>
      </c>
      <c r="W361" s="29" t="n">
        <v>0.1</v>
      </c>
      <c r="X361" s="6" t="n">
        <v>0.055</v>
      </c>
      <c r="Y361" s="29" t="n">
        <v>0.12</v>
      </c>
      <c r="Z361" s="30"/>
      <c r="AA361" s="29" t="n">
        <v>0.04</v>
      </c>
      <c r="AB361" s="31" t="n">
        <v>170489.75</v>
      </c>
      <c r="AE361" s="6" t="n">
        <v>170489.75</v>
      </c>
      <c r="AF361" s="6" t="s">
        <v>1063</v>
      </c>
      <c r="AG361" s="6" t="n">
        <v>0</v>
      </c>
      <c r="AH361" s="30" t="s">
        <v>1133</v>
      </c>
      <c r="AI361" s="6" t="n">
        <v>0</v>
      </c>
      <c r="AJ361" s="6" t="s">
        <v>561</v>
      </c>
      <c r="AK361" s="6" t="s">
        <v>988</v>
      </c>
      <c r="AL361" s="6" t="s">
        <v>561</v>
      </c>
      <c r="AM361" s="6" t="n">
        <v>0</v>
      </c>
      <c r="AQ361" s="6" t="s">
        <v>721</v>
      </c>
      <c r="AR361" s="6" t="s">
        <v>57</v>
      </c>
    </row>
    <row r="362" customFormat="false" ht="15" hidden="false" customHeight="true" outlineLevel="0" collapsed="false">
      <c r="A362" s="27" t="n">
        <v>117167</v>
      </c>
      <c r="B362" s="6" t="s">
        <v>1562</v>
      </c>
      <c r="C362" s="27" t="n">
        <v>117167</v>
      </c>
      <c r="D362" s="6" t="s">
        <v>597</v>
      </c>
      <c r="E362" s="6" t="s">
        <v>1265</v>
      </c>
      <c r="F362" s="6" t="s">
        <v>1558</v>
      </c>
      <c r="G362" s="6" t="s">
        <v>1073</v>
      </c>
      <c r="H362" s="6" t="s">
        <v>1133</v>
      </c>
      <c r="I362" s="6" t="s">
        <v>1268</v>
      </c>
      <c r="J362" s="6" t="s">
        <v>29</v>
      </c>
      <c r="K362" s="6" t="s">
        <v>561</v>
      </c>
      <c r="L362" s="6" t="s">
        <v>561</v>
      </c>
      <c r="N362" s="6" t="s">
        <v>1023</v>
      </c>
      <c r="O362" s="6" t="s">
        <v>1501</v>
      </c>
      <c r="P362" s="6" t="n">
        <v>1</v>
      </c>
      <c r="R362" s="6" t="s">
        <v>1152</v>
      </c>
      <c r="U362" s="6" t="n">
        <v>145000</v>
      </c>
      <c r="V362" s="28" t="n">
        <v>145000</v>
      </c>
      <c r="W362" s="29" t="n">
        <v>0.12</v>
      </c>
      <c r="X362" s="6" t="n">
        <v>0.055</v>
      </c>
      <c r="Y362" s="29" t="n">
        <v>0.12</v>
      </c>
      <c r="Z362" s="30"/>
      <c r="AA362" s="29" t="n">
        <v>0.04</v>
      </c>
      <c r="AB362" s="31" t="n">
        <v>193575</v>
      </c>
      <c r="AE362" s="6" t="n">
        <v>193575</v>
      </c>
      <c r="AF362" s="6" t="s">
        <v>58</v>
      </c>
      <c r="AG362" s="6" t="n">
        <v>0</v>
      </c>
      <c r="AH362" s="30" t="s">
        <v>1133</v>
      </c>
      <c r="AI362" s="6" t="n">
        <v>0</v>
      </c>
      <c r="AJ362" s="6" t="s">
        <v>561</v>
      </c>
      <c r="AK362" s="6" t="s">
        <v>988</v>
      </c>
      <c r="AL362" s="6" t="s">
        <v>561</v>
      </c>
      <c r="AM362" s="6" t="n">
        <v>0</v>
      </c>
      <c r="AQ362" s="6" t="s">
        <v>723</v>
      </c>
      <c r="AR362" s="6" t="s">
        <v>57</v>
      </c>
    </row>
    <row r="363" customFormat="false" ht="15" hidden="false" customHeight="true" outlineLevel="0" collapsed="false">
      <c r="A363" s="27" t="n">
        <v>114829</v>
      </c>
      <c r="B363" s="6" t="s">
        <v>1563</v>
      </c>
      <c r="C363" s="27" t="n">
        <v>114829</v>
      </c>
      <c r="D363" s="6" t="s">
        <v>597</v>
      </c>
      <c r="E363" s="6" t="s">
        <v>1265</v>
      </c>
      <c r="F363" s="6" t="s">
        <v>1558</v>
      </c>
      <c r="G363" s="6" t="s">
        <v>1073</v>
      </c>
      <c r="H363" s="6" t="s">
        <v>1133</v>
      </c>
      <c r="I363" s="6" t="s">
        <v>1268</v>
      </c>
      <c r="J363" s="6" t="s">
        <v>29</v>
      </c>
      <c r="K363" s="6" t="s">
        <v>561</v>
      </c>
      <c r="L363" s="6" t="s">
        <v>561</v>
      </c>
      <c r="N363" s="6" t="s">
        <v>1189</v>
      </c>
      <c r="O363" s="6" t="s">
        <v>1501</v>
      </c>
      <c r="P363" s="6" t="n">
        <v>1</v>
      </c>
      <c r="R363" s="6" t="s">
        <v>1152</v>
      </c>
      <c r="U363" s="6" t="n">
        <v>133000</v>
      </c>
      <c r="V363" s="28" t="n">
        <v>160930</v>
      </c>
      <c r="W363" s="29" t="n">
        <v>0.25</v>
      </c>
      <c r="Y363" s="29" t="n">
        <v>0.17</v>
      </c>
      <c r="Z363" s="30" t="n">
        <v>3310</v>
      </c>
      <c r="AA363" s="29" t="n">
        <v>0.045</v>
      </c>
      <c r="AB363" s="31" t="n">
        <v>239072.45</v>
      </c>
      <c r="AE363" s="6" t="n">
        <v>239072.45</v>
      </c>
      <c r="AF363" s="6" t="s">
        <v>58</v>
      </c>
      <c r="AG363" s="6" t="n">
        <v>0</v>
      </c>
      <c r="AH363" s="30" t="s">
        <v>1133</v>
      </c>
      <c r="AI363" s="6" t="n">
        <v>0</v>
      </c>
      <c r="AJ363" s="6" t="s">
        <v>561</v>
      </c>
      <c r="AK363" s="6" t="s">
        <v>988</v>
      </c>
      <c r="AL363" s="6" t="s">
        <v>561</v>
      </c>
      <c r="AM363" s="6" t="n">
        <v>0</v>
      </c>
      <c r="AQ363" s="6" t="s">
        <v>724</v>
      </c>
      <c r="AR363" s="6" t="s">
        <v>57</v>
      </c>
    </row>
    <row r="364" customFormat="false" ht="15" hidden="false" customHeight="true" outlineLevel="0" collapsed="false">
      <c r="A364" s="27" t="n">
        <v>8005</v>
      </c>
      <c r="B364" s="6" t="s">
        <v>1564</v>
      </c>
      <c r="C364" s="27" t="n">
        <v>8005</v>
      </c>
      <c r="D364" s="6" t="s">
        <v>476</v>
      </c>
      <c r="E364" s="6" t="s">
        <v>1063</v>
      </c>
      <c r="F364" s="6" t="s">
        <v>1432</v>
      </c>
      <c r="G364" s="6" t="s">
        <v>1076</v>
      </c>
      <c r="H364" s="6" t="s">
        <v>1290</v>
      </c>
      <c r="I364" s="6" t="s">
        <v>1433</v>
      </c>
      <c r="J364" s="6" t="s">
        <v>30</v>
      </c>
      <c r="K364" s="6" t="s">
        <v>30</v>
      </c>
      <c r="L364" s="6" t="s">
        <v>477</v>
      </c>
      <c r="N364" s="6" t="s">
        <v>1023</v>
      </c>
      <c r="O364" s="6" t="s">
        <v>1501</v>
      </c>
      <c r="P364" s="6" t="n">
        <v>1</v>
      </c>
      <c r="R364" s="6" t="s">
        <v>1152</v>
      </c>
      <c r="U364" s="6" t="n">
        <v>152280</v>
      </c>
      <c r="V364" s="28" t="n">
        <v>152280</v>
      </c>
      <c r="W364" s="29" t="n">
        <v>0.12</v>
      </c>
      <c r="X364" s="6" t="n">
        <v>0.055</v>
      </c>
      <c r="Y364" s="29" t="n">
        <v>0.12</v>
      </c>
      <c r="Z364" s="30"/>
      <c r="AA364" s="29" t="n">
        <v>0.04</v>
      </c>
      <c r="AB364" s="31" t="n">
        <v>203293.8</v>
      </c>
      <c r="AE364" s="6" t="n">
        <v>203293.8</v>
      </c>
      <c r="AF364" s="6" t="s">
        <v>58</v>
      </c>
      <c r="AG364" s="6" t="n">
        <v>0</v>
      </c>
      <c r="AH364" s="30" t="s">
        <v>1076</v>
      </c>
      <c r="AI364" s="6" t="n">
        <v>0</v>
      </c>
      <c r="AJ364" s="6" t="s">
        <v>477</v>
      </c>
      <c r="AK364" s="6" t="s">
        <v>988</v>
      </c>
      <c r="AL364" s="6" t="s">
        <v>477</v>
      </c>
      <c r="AM364" s="6" t="n">
        <v>0</v>
      </c>
      <c r="AQ364" s="6" t="s">
        <v>725</v>
      </c>
      <c r="AR364" s="6" t="s">
        <v>57</v>
      </c>
    </row>
    <row r="365" customFormat="false" ht="15" hidden="false" customHeight="true" outlineLevel="0" collapsed="false">
      <c r="A365" s="27" t="n">
        <v>111449</v>
      </c>
      <c r="B365" s="6" t="s">
        <v>1565</v>
      </c>
      <c r="C365" s="27" t="n">
        <v>111449</v>
      </c>
      <c r="D365" s="6" t="s">
        <v>588</v>
      </c>
      <c r="E365" s="6" t="s">
        <v>1063</v>
      </c>
      <c r="F365" s="6" t="s">
        <v>1310</v>
      </c>
      <c r="G365" s="6" t="s">
        <v>1058</v>
      </c>
      <c r="H365" s="6" t="s">
        <v>1059</v>
      </c>
      <c r="I365" s="6" t="s">
        <v>1244</v>
      </c>
      <c r="J365" s="6" t="s">
        <v>25</v>
      </c>
      <c r="K365" s="6" t="s">
        <v>1061</v>
      </c>
      <c r="L365" s="6" t="s">
        <v>1061</v>
      </c>
      <c r="N365" s="6" t="s">
        <v>1023</v>
      </c>
      <c r="O365" s="6" t="s">
        <v>1501</v>
      </c>
      <c r="P365" s="6" t="n">
        <v>1</v>
      </c>
      <c r="R365" s="6" t="s">
        <v>1152</v>
      </c>
      <c r="U365" s="6" t="n">
        <v>141930</v>
      </c>
      <c r="V365" s="28" t="n">
        <v>141930</v>
      </c>
      <c r="W365" s="29" t="n">
        <v>0.12</v>
      </c>
      <c r="X365" s="6" t="n">
        <v>0.055</v>
      </c>
      <c r="Y365" s="29" t="n">
        <v>0.12</v>
      </c>
      <c r="Z365" s="30"/>
      <c r="AA365" s="29" t="n">
        <v>0.04</v>
      </c>
      <c r="AB365" s="31" t="n">
        <v>189476.55</v>
      </c>
      <c r="AE365" s="6" t="n">
        <v>189476.55</v>
      </c>
      <c r="AF365" s="6" t="s">
        <v>58</v>
      </c>
      <c r="AG365" s="6" t="n">
        <v>0</v>
      </c>
      <c r="AH365" s="30" t="s">
        <v>25</v>
      </c>
      <c r="AI365" s="6" t="n">
        <v>0</v>
      </c>
      <c r="AJ365" s="6" t="s">
        <v>89</v>
      </c>
      <c r="AK365" s="6" t="s">
        <v>988</v>
      </c>
      <c r="AL365" s="6" t="s">
        <v>89</v>
      </c>
      <c r="AM365" s="6" t="n">
        <v>0</v>
      </c>
      <c r="AQ365" s="6" t="s">
        <v>726</v>
      </c>
      <c r="AR365" s="6" t="s">
        <v>57</v>
      </c>
    </row>
    <row r="366" customFormat="false" ht="15" hidden="false" customHeight="true" outlineLevel="0" collapsed="false">
      <c r="A366" s="27" t="n">
        <v>105068</v>
      </c>
      <c r="B366" s="6" t="s">
        <v>1566</v>
      </c>
      <c r="C366" s="27" t="n">
        <v>105068</v>
      </c>
      <c r="D366" s="6" t="s">
        <v>728</v>
      </c>
      <c r="E366" s="6" t="s">
        <v>1063</v>
      </c>
      <c r="F366" s="6" t="s">
        <v>1310</v>
      </c>
      <c r="G366" s="6" t="s">
        <v>1058</v>
      </c>
      <c r="H366" s="6" t="s">
        <v>1059</v>
      </c>
      <c r="I366" s="6" t="s">
        <v>1244</v>
      </c>
      <c r="J366" s="6" t="s">
        <v>25</v>
      </c>
      <c r="K366" s="6" t="s">
        <v>1061</v>
      </c>
      <c r="L366" s="6" t="s">
        <v>1061</v>
      </c>
      <c r="N366" s="6" t="s">
        <v>1023</v>
      </c>
      <c r="O366" s="6" t="s">
        <v>1501</v>
      </c>
      <c r="P366" s="6" t="n">
        <v>1</v>
      </c>
      <c r="R366" s="6" t="s">
        <v>1152</v>
      </c>
      <c r="U366" s="6" t="n">
        <v>172530</v>
      </c>
      <c r="V366" s="28" t="n">
        <v>172530</v>
      </c>
      <c r="W366" s="29" t="n">
        <v>0.12</v>
      </c>
      <c r="X366" s="6" t="n">
        <v>0.055</v>
      </c>
      <c r="Y366" s="29" t="n">
        <v>0.12</v>
      </c>
      <c r="Z366" s="30"/>
      <c r="AA366" s="29" t="n">
        <v>0.04</v>
      </c>
      <c r="AB366" s="31" t="n">
        <v>230327.55</v>
      </c>
      <c r="AE366" s="6" t="n">
        <v>230327.55</v>
      </c>
      <c r="AF366" s="6" t="s">
        <v>58</v>
      </c>
      <c r="AG366" s="6" t="n">
        <v>0</v>
      </c>
      <c r="AH366" s="30" t="s">
        <v>25</v>
      </c>
      <c r="AI366" s="6" t="n">
        <v>0</v>
      </c>
      <c r="AJ366" s="6" t="s">
        <v>89</v>
      </c>
      <c r="AK366" s="6" t="s">
        <v>988</v>
      </c>
      <c r="AL366" s="6" t="s">
        <v>89</v>
      </c>
      <c r="AM366" s="6" t="n">
        <v>0</v>
      </c>
      <c r="AQ366" s="6" t="s">
        <v>727</v>
      </c>
      <c r="AR366" s="6" t="s">
        <v>57</v>
      </c>
    </row>
    <row r="367" customFormat="false" ht="15" hidden="false" customHeight="true" outlineLevel="0" collapsed="false">
      <c r="A367" s="27" t="n">
        <v>97479</v>
      </c>
      <c r="B367" s="6" t="s">
        <v>1567</v>
      </c>
      <c r="C367" s="27" t="n">
        <v>97479</v>
      </c>
      <c r="D367" s="6" t="s">
        <v>730</v>
      </c>
      <c r="E367" s="6" t="s">
        <v>1063</v>
      </c>
      <c r="F367" s="6" t="s">
        <v>1310</v>
      </c>
      <c r="G367" s="6" t="s">
        <v>1058</v>
      </c>
      <c r="H367" s="6" t="s">
        <v>1059</v>
      </c>
      <c r="I367" s="6" t="s">
        <v>1244</v>
      </c>
      <c r="J367" s="6" t="s">
        <v>25</v>
      </c>
      <c r="K367" s="6" t="s">
        <v>1061</v>
      </c>
      <c r="L367" s="6" t="s">
        <v>1061</v>
      </c>
      <c r="N367" s="6" t="s">
        <v>1023</v>
      </c>
      <c r="O367" s="6" t="s">
        <v>1501</v>
      </c>
      <c r="P367" s="6" t="n">
        <v>1</v>
      </c>
      <c r="R367" s="6" t="s">
        <v>1152</v>
      </c>
      <c r="U367" s="6" t="n">
        <v>154440</v>
      </c>
      <c r="V367" s="28" t="n">
        <v>154440</v>
      </c>
      <c r="W367" s="29" t="n">
        <v>0.12</v>
      </c>
      <c r="X367" s="6" t="n">
        <v>0.055</v>
      </c>
      <c r="Y367" s="29" t="n">
        <v>0.12</v>
      </c>
      <c r="Z367" s="30"/>
      <c r="AA367" s="29" t="n">
        <v>0.04</v>
      </c>
      <c r="AB367" s="31" t="n">
        <v>206177.4</v>
      </c>
      <c r="AE367" s="6" t="n">
        <v>206177.4</v>
      </c>
      <c r="AF367" s="6" t="s">
        <v>58</v>
      </c>
      <c r="AG367" s="6" t="n">
        <v>0</v>
      </c>
      <c r="AH367" s="30" t="s">
        <v>25</v>
      </c>
      <c r="AI367" s="6" t="n">
        <v>0</v>
      </c>
      <c r="AJ367" s="6" t="s">
        <v>89</v>
      </c>
      <c r="AK367" s="6" t="s">
        <v>988</v>
      </c>
      <c r="AL367" s="6" t="s">
        <v>89</v>
      </c>
      <c r="AM367" s="6" t="n">
        <v>0</v>
      </c>
      <c r="AQ367" s="6" t="s">
        <v>729</v>
      </c>
      <c r="AR367" s="6" t="s">
        <v>57</v>
      </c>
    </row>
    <row r="368" customFormat="false" ht="15" hidden="false" customHeight="true" outlineLevel="0" collapsed="false">
      <c r="A368" s="27" t="n">
        <v>95835</v>
      </c>
      <c r="B368" s="6" t="s">
        <v>1568</v>
      </c>
      <c r="C368" s="27" t="n">
        <v>95835</v>
      </c>
      <c r="D368" s="6" t="s">
        <v>732</v>
      </c>
      <c r="E368" s="6" t="s">
        <v>1063</v>
      </c>
      <c r="F368" s="6" t="s">
        <v>143</v>
      </c>
      <c r="G368" s="6" t="s">
        <v>1141</v>
      </c>
      <c r="H368" s="6" t="s">
        <v>144</v>
      </c>
      <c r="I368" s="6" t="s">
        <v>26</v>
      </c>
      <c r="J368" s="6" t="s">
        <v>26</v>
      </c>
      <c r="K368" s="6" t="s">
        <v>26</v>
      </c>
      <c r="L368" s="6" t="s">
        <v>26</v>
      </c>
      <c r="N368" s="6" t="s">
        <v>1023</v>
      </c>
      <c r="O368" s="6" t="s">
        <v>1501</v>
      </c>
      <c r="P368" s="6" t="n">
        <v>1</v>
      </c>
      <c r="R368" s="6" t="s">
        <v>1152</v>
      </c>
      <c r="U368" s="6" t="n">
        <v>153600</v>
      </c>
      <c r="V368" s="28" t="n">
        <v>153600</v>
      </c>
      <c r="W368" s="29" t="n">
        <v>0.12</v>
      </c>
      <c r="X368" s="6" t="n">
        <v>0.055</v>
      </c>
      <c r="Y368" s="29" t="n">
        <v>0.12</v>
      </c>
      <c r="Z368" s="30"/>
      <c r="AA368" s="29" t="n">
        <v>0.04</v>
      </c>
      <c r="AB368" s="31" t="n">
        <v>205056</v>
      </c>
      <c r="AE368" s="6" t="n">
        <v>205056</v>
      </c>
      <c r="AF368" s="6" t="s">
        <v>58</v>
      </c>
      <c r="AG368" s="6" t="n">
        <v>0</v>
      </c>
      <c r="AH368" s="30" t="s">
        <v>1144</v>
      </c>
      <c r="AI368" s="6" t="n">
        <v>0</v>
      </c>
      <c r="AJ368" s="6" t="s">
        <v>144</v>
      </c>
      <c r="AK368" s="6" t="s">
        <v>988</v>
      </c>
      <c r="AL368" s="6" t="s">
        <v>144</v>
      </c>
      <c r="AM368" s="6" t="n">
        <v>0</v>
      </c>
      <c r="AQ368" s="6" t="s">
        <v>731</v>
      </c>
      <c r="AR368" s="6" t="s">
        <v>57</v>
      </c>
    </row>
    <row r="369" customFormat="false" ht="15" hidden="false" customHeight="true" outlineLevel="0" collapsed="false">
      <c r="A369" s="27" t="n">
        <v>113362</v>
      </c>
      <c r="B369" s="6" t="s">
        <v>1569</v>
      </c>
      <c r="C369" s="27" t="n">
        <v>113362</v>
      </c>
      <c r="D369" s="6" t="s">
        <v>734</v>
      </c>
      <c r="E369" s="6" t="s">
        <v>1063</v>
      </c>
      <c r="F369" s="6" t="s">
        <v>143</v>
      </c>
      <c r="G369" s="6" t="s">
        <v>1141</v>
      </c>
      <c r="H369" s="6" t="s">
        <v>144</v>
      </c>
      <c r="I369" s="6" t="s">
        <v>26</v>
      </c>
      <c r="J369" s="6" t="s">
        <v>26</v>
      </c>
      <c r="K369" s="6" t="s">
        <v>26</v>
      </c>
      <c r="L369" s="6" t="s">
        <v>26</v>
      </c>
      <c r="N369" s="6" t="s">
        <v>1023</v>
      </c>
      <c r="O369" s="6" t="s">
        <v>1501</v>
      </c>
      <c r="P369" s="6" t="n">
        <v>1</v>
      </c>
      <c r="R369" s="6" t="s">
        <v>1152</v>
      </c>
      <c r="U369" s="6" t="n">
        <v>137420</v>
      </c>
      <c r="V369" s="28" t="n">
        <v>137420</v>
      </c>
      <c r="W369" s="29" t="n">
        <v>0.12</v>
      </c>
      <c r="X369" s="6" t="n">
        <v>0.055</v>
      </c>
      <c r="Y369" s="29" t="n">
        <v>0.12</v>
      </c>
      <c r="Z369" s="30"/>
      <c r="AA369" s="29" t="n">
        <v>0.04</v>
      </c>
      <c r="AB369" s="31" t="n">
        <v>183455.7</v>
      </c>
      <c r="AE369" s="6" t="n">
        <v>183455.7</v>
      </c>
      <c r="AF369" s="6" t="s">
        <v>58</v>
      </c>
      <c r="AG369" s="6" t="n">
        <v>0</v>
      </c>
      <c r="AH369" s="30" t="s">
        <v>1144</v>
      </c>
      <c r="AI369" s="6" t="n">
        <v>0</v>
      </c>
      <c r="AJ369" s="6" t="s">
        <v>144</v>
      </c>
      <c r="AK369" s="6" t="s">
        <v>988</v>
      </c>
      <c r="AL369" s="6" t="s">
        <v>144</v>
      </c>
      <c r="AM369" s="6" t="n">
        <v>0</v>
      </c>
      <c r="AQ369" s="6" t="s">
        <v>733</v>
      </c>
      <c r="AR369" s="6" t="s">
        <v>57</v>
      </c>
    </row>
    <row r="370" customFormat="false" ht="15" hidden="false" customHeight="true" outlineLevel="0" collapsed="false">
      <c r="A370" s="27" t="n">
        <v>6851</v>
      </c>
      <c r="B370" s="6" t="s">
        <v>1570</v>
      </c>
      <c r="C370" s="27" t="n">
        <v>6851</v>
      </c>
      <c r="D370" s="6" t="s">
        <v>411</v>
      </c>
      <c r="E370" s="6" t="s">
        <v>1063</v>
      </c>
      <c r="F370" s="6" t="s">
        <v>205</v>
      </c>
      <c r="G370" s="6" t="s">
        <v>1058</v>
      </c>
      <c r="H370" s="6" t="s">
        <v>20</v>
      </c>
      <c r="I370" s="6" t="s">
        <v>1275</v>
      </c>
      <c r="J370" s="6" t="s">
        <v>20</v>
      </c>
      <c r="K370" s="6" t="s">
        <v>493</v>
      </c>
      <c r="L370" s="6" t="s">
        <v>493</v>
      </c>
      <c r="N370" s="6" t="s">
        <v>1023</v>
      </c>
      <c r="O370" s="6" t="s">
        <v>1501</v>
      </c>
      <c r="P370" s="6" t="n">
        <v>1</v>
      </c>
      <c r="R370" s="6" t="s">
        <v>1152</v>
      </c>
      <c r="U370" s="6" t="n">
        <v>164050</v>
      </c>
      <c r="V370" s="28" t="n">
        <v>164050</v>
      </c>
      <c r="W370" s="29" t="n">
        <v>0.12</v>
      </c>
      <c r="X370" s="6" t="n">
        <v>0.055</v>
      </c>
      <c r="Y370" s="29" t="n">
        <v>0.12</v>
      </c>
      <c r="Z370" s="30"/>
      <c r="AA370" s="29" t="n">
        <v>0.04</v>
      </c>
      <c r="AB370" s="31" t="n">
        <v>219006.75</v>
      </c>
      <c r="AE370" s="6" t="n">
        <v>219006.75</v>
      </c>
      <c r="AF370" s="6" t="s">
        <v>58</v>
      </c>
      <c r="AG370" s="6" t="n">
        <v>0</v>
      </c>
      <c r="AH370" s="30" t="s">
        <v>20</v>
      </c>
      <c r="AI370" s="6" t="n">
        <v>0</v>
      </c>
      <c r="AJ370" s="6" t="s">
        <v>493</v>
      </c>
      <c r="AK370" s="6" t="s">
        <v>988</v>
      </c>
      <c r="AL370" s="6" t="s">
        <v>493</v>
      </c>
      <c r="AM370" s="6" t="n">
        <v>0</v>
      </c>
      <c r="AQ370" s="6" t="s">
        <v>735</v>
      </c>
      <c r="AR370" s="6" t="s">
        <v>57</v>
      </c>
    </row>
    <row r="371" customFormat="false" ht="15" hidden="false" customHeight="true" outlineLevel="0" collapsed="false">
      <c r="A371" s="27" t="n">
        <v>108075</v>
      </c>
      <c r="B371" s="6" t="s">
        <v>1571</v>
      </c>
      <c r="C371" s="27" t="n">
        <v>108075</v>
      </c>
      <c r="D371" s="6" t="s">
        <v>411</v>
      </c>
      <c r="E371" s="6" t="s">
        <v>1063</v>
      </c>
      <c r="F371" s="6" t="s">
        <v>205</v>
      </c>
      <c r="G371" s="6" t="s">
        <v>1058</v>
      </c>
      <c r="H371" s="6" t="s">
        <v>20</v>
      </c>
      <c r="I371" s="6" t="s">
        <v>1275</v>
      </c>
      <c r="J371" s="6" t="s">
        <v>20</v>
      </c>
      <c r="K371" s="6" t="s">
        <v>351</v>
      </c>
      <c r="L371" s="6" t="s">
        <v>351</v>
      </c>
      <c r="N371" s="6" t="s">
        <v>1023</v>
      </c>
      <c r="O371" s="6" t="s">
        <v>1501</v>
      </c>
      <c r="P371" s="6" t="n">
        <v>1</v>
      </c>
      <c r="R371" s="6" t="s">
        <v>1152</v>
      </c>
      <c r="U371" s="6" t="n">
        <v>169610</v>
      </c>
      <c r="V371" s="28" t="n">
        <v>169610</v>
      </c>
      <c r="W371" s="29" t="n">
        <v>0.12</v>
      </c>
      <c r="X371" s="6" t="n">
        <v>0.055</v>
      </c>
      <c r="Y371" s="29" t="n">
        <v>0.12</v>
      </c>
      <c r="Z371" s="30"/>
      <c r="AA371" s="29" t="n">
        <v>0.04</v>
      </c>
      <c r="AB371" s="31" t="n">
        <v>226429.35</v>
      </c>
      <c r="AE371" s="6" t="n">
        <v>226429.35</v>
      </c>
      <c r="AF371" s="6" t="s">
        <v>58</v>
      </c>
      <c r="AG371" s="6" t="n">
        <v>0</v>
      </c>
      <c r="AH371" s="30" t="s">
        <v>20</v>
      </c>
      <c r="AI371" s="6" t="n">
        <v>0</v>
      </c>
      <c r="AJ371" s="6" t="s">
        <v>351</v>
      </c>
      <c r="AK371" s="6" t="s">
        <v>988</v>
      </c>
      <c r="AL371" s="6" t="s">
        <v>351</v>
      </c>
      <c r="AM371" s="6" t="n">
        <v>0</v>
      </c>
      <c r="AQ371" s="6" t="s">
        <v>736</v>
      </c>
      <c r="AR371" s="6" t="s">
        <v>57</v>
      </c>
    </row>
    <row r="372" customFormat="false" ht="15" hidden="false" customHeight="true" outlineLevel="0" collapsed="false">
      <c r="A372" s="27" t="n">
        <v>85491</v>
      </c>
      <c r="B372" s="6" t="s">
        <v>1572</v>
      </c>
      <c r="C372" s="27" t="n">
        <v>85491</v>
      </c>
      <c r="D372" s="6" t="s">
        <v>411</v>
      </c>
      <c r="E372" s="6" t="s">
        <v>1063</v>
      </c>
      <c r="F372" s="6" t="s">
        <v>205</v>
      </c>
      <c r="G372" s="6" t="s">
        <v>1058</v>
      </c>
      <c r="H372" s="6" t="s">
        <v>19</v>
      </c>
      <c r="I372" s="6" t="s">
        <v>1437</v>
      </c>
      <c r="J372" s="6" t="s">
        <v>19</v>
      </c>
      <c r="K372" s="6" t="s">
        <v>374</v>
      </c>
      <c r="L372" s="6" t="s">
        <v>374</v>
      </c>
      <c r="N372" s="6" t="s">
        <v>1023</v>
      </c>
      <c r="O372" s="6" t="s">
        <v>1501</v>
      </c>
      <c r="P372" s="6" t="n">
        <v>1</v>
      </c>
      <c r="R372" s="6" t="s">
        <v>1152</v>
      </c>
      <c r="U372" s="6" t="n">
        <v>164380</v>
      </c>
      <c r="V372" s="28" t="n">
        <v>164380</v>
      </c>
      <c r="W372" s="29" t="n">
        <v>0.12</v>
      </c>
      <c r="X372" s="6" t="n">
        <v>0.055</v>
      </c>
      <c r="Y372" s="29" t="n">
        <v>0.12</v>
      </c>
      <c r="Z372" s="30"/>
      <c r="AA372" s="29" t="n">
        <v>0.04</v>
      </c>
      <c r="AB372" s="31" t="n">
        <v>219447.3</v>
      </c>
      <c r="AE372" s="6" t="n">
        <v>219447.3</v>
      </c>
      <c r="AF372" s="6" t="s">
        <v>58</v>
      </c>
      <c r="AG372" s="6" t="n">
        <v>0</v>
      </c>
      <c r="AH372" s="30" t="s">
        <v>1206</v>
      </c>
      <c r="AI372" s="6" t="n">
        <v>0</v>
      </c>
      <c r="AJ372" s="6" t="s">
        <v>374</v>
      </c>
      <c r="AK372" s="6" t="s">
        <v>988</v>
      </c>
      <c r="AL372" s="6" t="s">
        <v>374</v>
      </c>
      <c r="AM372" s="6" t="n">
        <v>0</v>
      </c>
      <c r="AQ372" s="6" t="s">
        <v>737</v>
      </c>
      <c r="AR372" s="6" t="s">
        <v>57</v>
      </c>
    </row>
    <row r="373" customFormat="false" ht="15" hidden="false" customHeight="true" outlineLevel="0" collapsed="false">
      <c r="A373" s="27" t="n">
        <v>102187</v>
      </c>
      <c r="B373" s="6" t="s">
        <v>1573</v>
      </c>
      <c r="C373" s="27" t="n">
        <v>102187</v>
      </c>
      <c r="D373" s="6" t="s">
        <v>138</v>
      </c>
      <c r="E373" s="6" t="s">
        <v>1063</v>
      </c>
      <c r="F373" s="6" t="s">
        <v>205</v>
      </c>
      <c r="G373" s="6" t="s">
        <v>1058</v>
      </c>
      <c r="H373" s="6" t="s">
        <v>20</v>
      </c>
      <c r="I373" s="6" t="s">
        <v>1275</v>
      </c>
      <c r="J373" s="6" t="s">
        <v>20</v>
      </c>
      <c r="K373" s="6" t="s">
        <v>275</v>
      </c>
      <c r="L373" s="6" t="s">
        <v>275</v>
      </c>
      <c r="N373" s="6" t="s">
        <v>1189</v>
      </c>
      <c r="O373" s="6" t="s">
        <v>1501</v>
      </c>
      <c r="P373" s="6" t="n">
        <v>1</v>
      </c>
      <c r="R373" s="6" t="s">
        <v>1152</v>
      </c>
      <c r="U373" s="6" t="n">
        <v>155640</v>
      </c>
      <c r="V373" s="28" t="n">
        <v>188324.4</v>
      </c>
      <c r="W373" s="29" t="n">
        <v>0.25</v>
      </c>
      <c r="Y373" s="29" t="n">
        <v>0.17</v>
      </c>
      <c r="Z373" s="30" t="n">
        <v>3310</v>
      </c>
      <c r="AA373" s="29" t="n">
        <v>0.045</v>
      </c>
      <c r="AB373" s="31" t="n">
        <v>279205.246</v>
      </c>
      <c r="AE373" s="6" t="n">
        <v>279205.246</v>
      </c>
      <c r="AF373" s="6" t="s">
        <v>58</v>
      </c>
      <c r="AG373" s="6" t="n">
        <v>0</v>
      </c>
      <c r="AH373" s="30" t="s">
        <v>20</v>
      </c>
      <c r="AI373" s="6" t="n">
        <v>0</v>
      </c>
      <c r="AJ373" s="6" t="s">
        <v>275</v>
      </c>
      <c r="AK373" s="6" t="s">
        <v>988</v>
      </c>
      <c r="AL373" s="6" t="s">
        <v>275</v>
      </c>
      <c r="AM373" s="6" t="n">
        <v>0</v>
      </c>
      <c r="AQ373" s="6" t="s">
        <v>738</v>
      </c>
      <c r="AR373" s="6" t="s">
        <v>57</v>
      </c>
    </row>
    <row r="374" customFormat="false" ht="15" hidden="false" customHeight="true" outlineLevel="0" collapsed="false">
      <c r="A374" s="27" t="s">
        <v>1138</v>
      </c>
      <c r="B374" s="6" t="s">
        <v>1063</v>
      </c>
      <c r="C374" s="27" t="s">
        <v>1138</v>
      </c>
      <c r="D374" s="6" t="s">
        <v>740</v>
      </c>
      <c r="E374" s="6" t="s">
        <v>1063</v>
      </c>
      <c r="F374" s="6" t="s">
        <v>205</v>
      </c>
      <c r="G374" s="6" t="s">
        <v>1076</v>
      </c>
      <c r="H374" s="6" t="s">
        <v>1086</v>
      </c>
      <c r="I374" s="6" t="s">
        <v>1439</v>
      </c>
      <c r="J374" s="6" t="s">
        <v>30</v>
      </c>
      <c r="K374" s="6" t="s">
        <v>30</v>
      </c>
      <c r="L374" s="6" t="s">
        <v>1408</v>
      </c>
      <c r="N374" s="6" t="s">
        <v>1023</v>
      </c>
      <c r="O374" s="6" t="s">
        <v>1501</v>
      </c>
      <c r="P374" s="6" t="n">
        <v>1</v>
      </c>
      <c r="R374" s="6" t="s">
        <v>1138</v>
      </c>
      <c r="U374" s="6" t="n">
        <v>151000</v>
      </c>
      <c r="V374" s="28" t="n">
        <v>151000</v>
      </c>
      <c r="W374" s="29" t="n">
        <v>0.12</v>
      </c>
      <c r="X374" s="6" t="n">
        <v>0.055</v>
      </c>
      <c r="Y374" s="29" t="n">
        <v>0.12</v>
      </c>
      <c r="Z374" s="30"/>
      <c r="AA374" s="29" t="n">
        <v>0.04</v>
      </c>
      <c r="AB374" s="31" t="n">
        <v>201585</v>
      </c>
      <c r="AE374" s="6" t="n">
        <v>201585</v>
      </c>
      <c r="AF374" s="6" t="s">
        <v>1063</v>
      </c>
      <c r="AG374" s="6" t="n">
        <v>0</v>
      </c>
      <c r="AH374" s="30" t="s">
        <v>1076</v>
      </c>
      <c r="AI374" s="6" t="n">
        <v>0</v>
      </c>
      <c r="AJ374" s="6" t="s">
        <v>1408</v>
      </c>
      <c r="AK374" s="6" t="s">
        <v>988</v>
      </c>
      <c r="AL374" s="6" t="s">
        <v>1408</v>
      </c>
      <c r="AM374" s="6" t="n">
        <v>0</v>
      </c>
      <c r="AQ374" s="6" t="s">
        <v>739</v>
      </c>
      <c r="AR374" s="6" t="s">
        <v>57</v>
      </c>
    </row>
    <row r="375" customFormat="false" ht="15" hidden="false" customHeight="true" outlineLevel="0" collapsed="false">
      <c r="A375" s="27" t="s">
        <v>1138</v>
      </c>
      <c r="B375" s="6" t="s">
        <v>1552</v>
      </c>
      <c r="C375" s="27" t="s">
        <v>1138</v>
      </c>
      <c r="D375" s="6" t="s">
        <v>138</v>
      </c>
      <c r="E375" s="6" t="s">
        <v>1063</v>
      </c>
      <c r="F375" s="6" t="s">
        <v>205</v>
      </c>
      <c r="G375" s="6" t="s">
        <v>1058</v>
      </c>
      <c r="H375" s="6" t="s">
        <v>19</v>
      </c>
      <c r="I375" s="6" t="s">
        <v>1437</v>
      </c>
      <c r="J375" s="6" t="s">
        <v>19</v>
      </c>
      <c r="K375" s="6" t="s">
        <v>374</v>
      </c>
      <c r="L375" s="6" t="s">
        <v>374</v>
      </c>
      <c r="N375" s="6" t="s">
        <v>1023</v>
      </c>
      <c r="O375" s="6" t="s">
        <v>1501</v>
      </c>
      <c r="P375" s="6" t="n">
        <v>1</v>
      </c>
      <c r="R375" s="6" t="s">
        <v>1138</v>
      </c>
      <c r="U375" s="6" t="n">
        <v>151950</v>
      </c>
      <c r="V375" s="28" t="n">
        <v>151950</v>
      </c>
      <c r="W375" s="29" t="n">
        <v>0.12</v>
      </c>
      <c r="X375" s="6" t="n">
        <v>0.055</v>
      </c>
      <c r="Y375" s="29" t="n">
        <v>0.12</v>
      </c>
      <c r="Z375" s="30"/>
      <c r="AA375" s="29" t="n">
        <v>0.04</v>
      </c>
      <c r="AB375" s="31" t="n">
        <v>202853.25</v>
      </c>
      <c r="AE375" s="6" t="n">
        <v>202853.25</v>
      </c>
      <c r="AF375" s="6" t="s">
        <v>1063</v>
      </c>
      <c r="AG375" s="6" t="n">
        <v>0</v>
      </c>
      <c r="AH375" s="30" t="s">
        <v>1206</v>
      </c>
      <c r="AI375" s="6" t="n">
        <v>0</v>
      </c>
      <c r="AJ375" s="6" t="s">
        <v>374</v>
      </c>
      <c r="AK375" s="6" t="s">
        <v>988</v>
      </c>
      <c r="AL375" s="6" t="s">
        <v>374</v>
      </c>
      <c r="AM375" s="6" t="n">
        <v>0</v>
      </c>
      <c r="AQ375" s="6" t="s">
        <v>741</v>
      </c>
      <c r="AR375" s="6" t="s">
        <v>57</v>
      </c>
    </row>
    <row r="376" customFormat="false" ht="15" hidden="false" customHeight="true" outlineLevel="0" collapsed="false">
      <c r="A376" s="27" t="s">
        <v>1138</v>
      </c>
      <c r="B376" s="6" t="s">
        <v>1552</v>
      </c>
      <c r="C376" s="27" t="s">
        <v>1138</v>
      </c>
      <c r="D376" s="6" t="s">
        <v>138</v>
      </c>
      <c r="E376" s="6" t="s">
        <v>1063</v>
      </c>
      <c r="F376" s="6" t="s">
        <v>205</v>
      </c>
      <c r="G376" s="6" t="s">
        <v>1058</v>
      </c>
      <c r="H376" s="6" t="s">
        <v>19</v>
      </c>
      <c r="I376" s="6" t="s">
        <v>1437</v>
      </c>
      <c r="J376" s="6" t="s">
        <v>19</v>
      </c>
      <c r="K376" s="6" t="s">
        <v>1374</v>
      </c>
      <c r="L376" s="6" t="s">
        <v>387</v>
      </c>
      <c r="N376" s="6" t="s">
        <v>1023</v>
      </c>
      <c r="O376" s="6" t="s">
        <v>1501</v>
      </c>
      <c r="P376" s="6" t="n">
        <v>1</v>
      </c>
      <c r="R376" s="6" t="s">
        <v>1138</v>
      </c>
      <c r="U376" s="6" t="n">
        <v>151950</v>
      </c>
      <c r="V376" s="28" t="n">
        <v>151950</v>
      </c>
      <c r="W376" s="29" t="n">
        <v>0.12</v>
      </c>
      <c r="X376" s="6" t="n">
        <v>0.055</v>
      </c>
      <c r="Y376" s="29" t="n">
        <v>0.12</v>
      </c>
      <c r="Z376" s="30"/>
      <c r="AA376" s="29" t="n">
        <v>0.04</v>
      </c>
      <c r="AB376" s="31" t="n">
        <v>202853.25</v>
      </c>
      <c r="AE376" s="6" t="n">
        <v>202853.25</v>
      </c>
      <c r="AF376" s="6" t="s">
        <v>1063</v>
      </c>
      <c r="AG376" s="6" t="n">
        <v>0</v>
      </c>
      <c r="AH376" s="30" t="s">
        <v>1206</v>
      </c>
      <c r="AI376" s="6" t="n">
        <v>0</v>
      </c>
      <c r="AJ376" s="6" t="s">
        <v>387</v>
      </c>
      <c r="AK376" s="6" t="s">
        <v>988</v>
      </c>
      <c r="AL376" s="6" t="s">
        <v>387</v>
      </c>
      <c r="AM376" s="6" t="n">
        <v>0</v>
      </c>
      <c r="AQ376" s="6" t="s">
        <v>742</v>
      </c>
      <c r="AR376" s="6" t="s">
        <v>57</v>
      </c>
    </row>
    <row r="377" customFormat="false" ht="15" hidden="false" customHeight="true" outlineLevel="0" collapsed="false">
      <c r="A377" s="27" t="n">
        <v>109092</v>
      </c>
      <c r="B377" s="6" t="s">
        <v>1574</v>
      </c>
      <c r="C377" s="27" t="n">
        <v>109092</v>
      </c>
      <c r="D377" s="6" t="s">
        <v>744</v>
      </c>
      <c r="E377" s="6" t="s">
        <v>1063</v>
      </c>
      <c r="F377" s="6" t="s">
        <v>1575</v>
      </c>
      <c r="G377" s="6" t="s">
        <v>1076</v>
      </c>
      <c r="H377" s="6" t="s">
        <v>1290</v>
      </c>
      <c r="I377" s="6" t="s">
        <v>1439</v>
      </c>
      <c r="J377" s="6" t="s">
        <v>21</v>
      </c>
      <c r="K377" s="6" t="s">
        <v>21</v>
      </c>
      <c r="L377" s="6" t="s">
        <v>98</v>
      </c>
      <c r="N377" s="6" t="s">
        <v>1023</v>
      </c>
      <c r="O377" s="6" t="s">
        <v>1501</v>
      </c>
      <c r="P377" s="6" t="n">
        <v>1</v>
      </c>
      <c r="R377" s="6" t="s">
        <v>1152</v>
      </c>
      <c r="U377" s="6" t="n">
        <v>158050</v>
      </c>
      <c r="V377" s="28" t="n">
        <v>158050</v>
      </c>
      <c r="W377" s="29" t="n">
        <v>0.12</v>
      </c>
      <c r="X377" s="6" t="n">
        <v>0.055</v>
      </c>
      <c r="Y377" s="29" t="n">
        <v>0.12</v>
      </c>
      <c r="Z377" s="30"/>
      <c r="AA377" s="29" t="n">
        <v>0.04</v>
      </c>
      <c r="AB377" s="31" t="n">
        <v>210996.75</v>
      </c>
      <c r="AE377" s="6" t="n">
        <v>210996.75</v>
      </c>
      <c r="AF377" s="6" t="s">
        <v>58</v>
      </c>
      <c r="AG377" s="6" t="n">
        <v>0</v>
      </c>
      <c r="AH377" s="30" t="s">
        <v>1076</v>
      </c>
      <c r="AI377" s="6" t="n">
        <v>0</v>
      </c>
      <c r="AJ377" s="6" t="s">
        <v>98</v>
      </c>
      <c r="AK377" s="6" t="s">
        <v>988</v>
      </c>
      <c r="AL377" s="6" t="s">
        <v>98</v>
      </c>
      <c r="AM377" s="6" t="n">
        <v>1</v>
      </c>
      <c r="AQ377" s="6" t="s">
        <v>743</v>
      </c>
      <c r="AR377" s="6" t="s">
        <v>57</v>
      </c>
    </row>
    <row r="378" customFormat="false" ht="15" hidden="false" customHeight="true" outlineLevel="0" collapsed="false">
      <c r="A378" s="27" t="n">
        <v>105823</v>
      </c>
      <c r="B378" s="6" t="s">
        <v>1576</v>
      </c>
      <c r="C378" s="27" t="n">
        <v>105823</v>
      </c>
      <c r="D378" s="6" t="s">
        <v>61</v>
      </c>
      <c r="E378" s="6" t="s">
        <v>1063</v>
      </c>
      <c r="F378" s="6" t="s">
        <v>1575</v>
      </c>
      <c r="G378" s="6" t="s">
        <v>1076</v>
      </c>
      <c r="H378" s="6" t="s">
        <v>1290</v>
      </c>
      <c r="I378" s="6" t="s">
        <v>1439</v>
      </c>
      <c r="J378" s="6" t="s">
        <v>29</v>
      </c>
      <c r="K378" s="6" t="s">
        <v>313</v>
      </c>
      <c r="L378" s="6" t="s">
        <v>313</v>
      </c>
      <c r="N378" s="6" t="s">
        <v>1023</v>
      </c>
      <c r="O378" s="6" t="s">
        <v>1501</v>
      </c>
      <c r="P378" s="6" t="n">
        <v>1</v>
      </c>
      <c r="R378" s="6" t="s">
        <v>1152</v>
      </c>
      <c r="U378" s="6" t="n">
        <v>157560</v>
      </c>
      <c r="V378" s="28" t="n">
        <v>157560</v>
      </c>
      <c r="W378" s="29" t="n">
        <v>0.12</v>
      </c>
      <c r="X378" s="6" t="n">
        <v>0.055</v>
      </c>
      <c r="Y378" s="29" t="n">
        <v>0.12</v>
      </c>
      <c r="Z378" s="30"/>
      <c r="AA378" s="29" t="n">
        <v>0.04</v>
      </c>
      <c r="AB378" s="31" t="n">
        <v>210342.6</v>
      </c>
      <c r="AE378" s="6" t="n">
        <v>210342.6</v>
      </c>
      <c r="AF378" s="6" t="s">
        <v>58</v>
      </c>
      <c r="AG378" s="6" t="n">
        <v>0</v>
      </c>
      <c r="AH378" s="30" t="s">
        <v>1133</v>
      </c>
      <c r="AI378" s="6" t="n">
        <v>0</v>
      </c>
      <c r="AJ378" s="6" t="s">
        <v>313</v>
      </c>
      <c r="AK378" s="6" t="s">
        <v>988</v>
      </c>
      <c r="AL378" s="6" t="s">
        <v>313</v>
      </c>
      <c r="AM378" s="6" t="n">
        <v>0</v>
      </c>
      <c r="AQ378" s="6" t="s">
        <v>745</v>
      </c>
      <c r="AR378" s="6" t="s">
        <v>57</v>
      </c>
    </row>
    <row r="379" customFormat="false" ht="15" hidden="false" customHeight="true" outlineLevel="0" collapsed="false">
      <c r="A379" s="27" t="s">
        <v>1138</v>
      </c>
      <c r="B379" s="6" t="s">
        <v>1063</v>
      </c>
      <c r="C379" s="27" t="s">
        <v>1138</v>
      </c>
      <c r="D379" s="6" t="s">
        <v>1577</v>
      </c>
      <c r="E379" s="6" t="s">
        <v>1063</v>
      </c>
      <c r="F379" s="6" t="s">
        <v>1575</v>
      </c>
      <c r="G379" s="6" t="s">
        <v>1076</v>
      </c>
      <c r="H379" s="6" t="s">
        <v>1290</v>
      </c>
      <c r="I379" s="6" t="s">
        <v>1439</v>
      </c>
      <c r="J379" s="6" t="s">
        <v>30</v>
      </c>
      <c r="K379" s="6" t="s">
        <v>30</v>
      </c>
      <c r="L379" s="6" t="s">
        <v>1412</v>
      </c>
      <c r="N379" s="6" t="s">
        <v>1023</v>
      </c>
      <c r="O379" s="6" t="s">
        <v>1501</v>
      </c>
      <c r="P379" s="6" t="n">
        <v>1</v>
      </c>
      <c r="R379" s="6" t="s">
        <v>1138</v>
      </c>
      <c r="U379" s="6" t="n">
        <v>151000</v>
      </c>
      <c r="V379" s="28" t="n">
        <v>151000</v>
      </c>
      <c r="W379" s="29" t="n">
        <v>0.12</v>
      </c>
      <c r="X379" s="6" t="n">
        <v>0.055</v>
      </c>
      <c r="Y379" s="29" t="n">
        <v>0.12</v>
      </c>
      <c r="Z379" s="30"/>
      <c r="AA379" s="29" t="n">
        <v>0.04</v>
      </c>
      <c r="AB379" s="31" t="n">
        <v>201585</v>
      </c>
      <c r="AE379" s="6" t="n">
        <v>201585</v>
      </c>
      <c r="AF379" s="6" t="s">
        <v>1063</v>
      </c>
      <c r="AG379" s="6" t="n">
        <v>0</v>
      </c>
      <c r="AH379" s="30" t="s">
        <v>1076</v>
      </c>
      <c r="AI379" s="6" t="n">
        <v>0</v>
      </c>
      <c r="AJ379" s="6" t="s">
        <v>1412</v>
      </c>
      <c r="AK379" s="6" t="s">
        <v>988</v>
      </c>
      <c r="AL379" s="6" t="s">
        <v>1412</v>
      </c>
      <c r="AM379" s="6" t="n">
        <v>0</v>
      </c>
      <c r="AQ379" s="6" t="s">
        <v>746</v>
      </c>
      <c r="AR379" s="6" t="s">
        <v>57</v>
      </c>
    </row>
    <row r="380" customFormat="false" ht="15" hidden="false" customHeight="true" outlineLevel="0" collapsed="false">
      <c r="A380" s="27" t="s">
        <v>1138</v>
      </c>
      <c r="B380" s="6" t="s">
        <v>1063</v>
      </c>
      <c r="C380" s="27" t="s">
        <v>1138</v>
      </c>
      <c r="D380" s="6" t="s">
        <v>749</v>
      </c>
      <c r="E380" s="6" t="s">
        <v>1063</v>
      </c>
      <c r="F380" s="6" t="s">
        <v>1447</v>
      </c>
      <c r="G380" s="6" t="s">
        <v>1076</v>
      </c>
      <c r="H380" s="6" t="s">
        <v>28</v>
      </c>
      <c r="I380" s="6" t="s">
        <v>1319</v>
      </c>
      <c r="J380" s="6" t="s">
        <v>27</v>
      </c>
      <c r="K380" s="6" t="s">
        <v>27</v>
      </c>
      <c r="L380" s="6" t="s">
        <v>503</v>
      </c>
      <c r="N380" s="6" t="s">
        <v>1023</v>
      </c>
      <c r="O380" s="6" t="s">
        <v>1501</v>
      </c>
      <c r="P380" s="6" t="n">
        <v>1</v>
      </c>
      <c r="R380" s="6" t="s">
        <v>1138</v>
      </c>
      <c r="U380" s="6" t="n">
        <v>151000</v>
      </c>
      <c r="V380" s="28" t="n">
        <v>151000</v>
      </c>
      <c r="W380" s="29" t="n">
        <v>0.12</v>
      </c>
      <c r="X380" s="6" t="n">
        <v>0.055</v>
      </c>
      <c r="Y380" s="29" t="n">
        <v>0.12</v>
      </c>
      <c r="Z380" s="30"/>
      <c r="AA380" s="29" t="n">
        <v>0.04</v>
      </c>
      <c r="AB380" s="31" t="n">
        <v>201585</v>
      </c>
      <c r="AE380" s="6" t="n">
        <v>201585</v>
      </c>
      <c r="AF380" s="6" t="s">
        <v>1063</v>
      </c>
      <c r="AG380" s="6" t="n">
        <v>0</v>
      </c>
      <c r="AH380" s="30" t="s">
        <v>27</v>
      </c>
      <c r="AI380" s="6" t="n">
        <v>0</v>
      </c>
      <c r="AJ380" s="6" t="s">
        <v>503</v>
      </c>
      <c r="AK380" s="6" t="s">
        <v>988</v>
      </c>
      <c r="AL380" s="6" t="s">
        <v>503</v>
      </c>
      <c r="AM380" s="6" t="n">
        <v>0</v>
      </c>
      <c r="AQ380" s="6" t="s">
        <v>748</v>
      </c>
      <c r="AR380" s="6" t="s">
        <v>57</v>
      </c>
    </row>
    <row r="381" customFormat="false" ht="15" hidden="false" customHeight="true" outlineLevel="0" collapsed="false">
      <c r="A381" s="27" t="s">
        <v>1138</v>
      </c>
      <c r="B381" s="6" t="s">
        <v>1063</v>
      </c>
      <c r="C381" s="27" t="s">
        <v>1138</v>
      </c>
      <c r="D381" s="6" t="s">
        <v>751</v>
      </c>
      <c r="E381" s="6" t="s">
        <v>1063</v>
      </c>
      <c r="F381" s="6" t="s">
        <v>1296</v>
      </c>
      <c r="G381" s="6" t="s">
        <v>1173</v>
      </c>
      <c r="H381" s="6" t="s">
        <v>1185</v>
      </c>
      <c r="I381" s="6" t="s">
        <v>1185</v>
      </c>
      <c r="N381" s="6" t="s">
        <v>1023</v>
      </c>
      <c r="O381" s="6" t="s">
        <v>1501</v>
      </c>
      <c r="P381" s="6" t="n">
        <v>1</v>
      </c>
      <c r="R381" s="6" t="s">
        <v>1138</v>
      </c>
      <c r="U381" s="6" t="n">
        <v>151950</v>
      </c>
      <c r="V381" s="28" t="n">
        <v>151950</v>
      </c>
      <c r="W381" s="29" t="n">
        <v>0.12</v>
      </c>
      <c r="X381" s="6" t="n">
        <v>0.055</v>
      </c>
      <c r="Y381" s="29" t="n">
        <v>0.12</v>
      </c>
      <c r="Z381" s="30"/>
      <c r="AA381" s="29" t="n">
        <v>0.04</v>
      </c>
      <c r="AB381" s="31" t="n">
        <v>202853.25</v>
      </c>
      <c r="AE381" s="6" t="n">
        <v>202853.25</v>
      </c>
      <c r="AF381" s="6" t="s">
        <v>1063</v>
      </c>
      <c r="AG381" s="6" t="n">
        <v>0</v>
      </c>
      <c r="AH381" s="30" t="s">
        <v>1178</v>
      </c>
      <c r="AI381" s="6" t="n">
        <v>0</v>
      </c>
      <c r="AJ381" s="6" t="s">
        <v>1185</v>
      </c>
      <c r="AK381" s="6" t="s">
        <v>988</v>
      </c>
      <c r="AL381" s="6" t="s">
        <v>1185</v>
      </c>
      <c r="AM381" s="6" t="n">
        <v>0</v>
      </c>
      <c r="AQ381" s="6" t="s">
        <v>750</v>
      </c>
      <c r="AR381" s="6" t="s">
        <v>57</v>
      </c>
    </row>
    <row r="382" customFormat="false" ht="15" hidden="false" customHeight="true" outlineLevel="0" collapsed="false">
      <c r="A382" s="27" t="s">
        <v>1138</v>
      </c>
      <c r="B382" s="6" t="s">
        <v>1063</v>
      </c>
      <c r="C382" s="27" t="s">
        <v>1138</v>
      </c>
      <c r="D382" s="6" t="s">
        <v>753</v>
      </c>
      <c r="E382" s="6" t="s">
        <v>1063</v>
      </c>
      <c r="F382" s="6" t="s">
        <v>337</v>
      </c>
      <c r="G382" s="6" t="s">
        <v>1073</v>
      </c>
      <c r="H382" s="6" t="s">
        <v>1133</v>
      </c>
      <c r="I382" s="6" t="s">
        <v>1301</v>
      </c>
      <c r="J382" s="6" t="s">
        <v>29</v>
      </c>
      <c r="K382" s="6" t="s">
        <v>554</v>
      </c>
      <c r="L382" s="6" t="s">
        <v>549</v>
      </c>
      <c r="N382" s="6" t="s">
        <v>1023</v>
      </c>
      <c r="O382" s="6" t="s">
        <v>1501</v>
      </c>
      <c r="P382" s="6" t="n">
        <v>1</v>
      </c>
      <c r="R382" s="6" t="s">
        <v>1138</v>
      </c>
      <c r="U382" s="6" t="n">
        <v>151950</v>
      </c>
      <c r="V382" s="28" t="n">
        <v>151950</v>
      </c>
      <c r="W382" s="29" t="n">
        <v>0.12</v>
      </c>
      <c r="X382" s="6" t="n">
        <v>0.055</v>
      </c>
      <c r="Y382" s="29" t="n">
        <v>0.12</v>
      </c>
      <c r="Z382" s="30"/>
      <c r="AA382" s="29" t="n">
        <v>0.04</v>
      </c>
      <c r="AB382" s="31" t="n">
        <v>202853.25</v>
      </c>
      <c r="AE382" s="6" t="n">
        <v>202853.25</v>
      </c>
      <c r="AF382" s="6" t="s">
        <v>1063</v>
      </c>
      <c r="AG382" s="6" t="n">
        <v>0</v>
      </c>
      <c r="AH382" s="30" t="s">
        <v>1133</v>
      </c>
      <c r="AI382" s="6" t="n">
        <v>0</v>
      </c>
      <c r="AJ382" s="6" t="s">
        <v>549</v>
      </c>
      <c r="AK382" s="6" t="s">
        <v>988</v>
      </c>
      <c r="AL382" s="6" t="s">
        <v>549</v>
      </c>
      <c r="AM382" s="6" t="n">
        <v>0</v>
      </c>
      <c r="AQ382" s="6" t="s">
        <v>752</v>
      </c>
      <c r="AR382" s="6" t="s">
        <v>57</v>
      </c>
    </row>
    <row r="383" customFormat="false" ht="15" hidden="false" customHeight="true" outlineLevel="0" collapsed="false">
      <c r="A383" s="27" t="n">
        <v>114573</v>
      </c>
      <c r="B383" s="6" t="s">
        <v>1578</v>
      </c>
      <c r="C383" s="27" t="n">
        <v>114573</v>
      </c>
      <c r="D383" s="6" t="s">
        <v>755</v>
      </c>
      <c r="E383" s="6" t="s">
        <v>1063</v>
      </c>
      <c r="F383" s="6" t="s">
        <v>437</v>
      </c>
      <c r="G383" s="6" t="s">
        <v>1076</v>
      </c>
      <c r="H383" s="6" t="s">
        <v>1086</v>
      </c>
      <c r="I383" s="6" t="s">
        <v>1407</v>
      </c>
      <c r="J383" s="6" t="s">
        <v>30</v>
      </c>
      <c r="K383" s="6" t="s">
        <v>30</v>
      </c>
      <c r="L383" s="6" t="s">
        <v>1407</v>
      </c>
      <c r="N383" s="6" t="s">
        <v>1023</v>
      </c>
      <c r="O383" s="6" t="s">
        <v>1501</v>
      </c>
      <c r="P383" s="6" t="n">
        <v>1</v>
      </c>
      <c r="R383" s="6" t="s">
        <v>1152</v>
      </c>
      <c r="U383" s="6" t="n">
        <v>140000</v>
      </c>
      <c r="V383" s="28" t="n">
        <v>140000</v>
      </c>
      <c r="W383" s="29" t="n">
        <v>0.12</v>
      </c>
      <c r="X383" s="6" t="n">
        <v>0.055</v>
      </c>
      <c r="Y383" s="29" t="n">
        <v>0.12</v>
      </c>
      <c r="Z383" s="30"/>
      <c r="AA383" s="29" t="n">
        <v>0.04</v>
      </c>
      <c r="AB383" s="31" t="n">
        <v>186900</v>
      </c>
      <c r="AE383" s="6" t="n">
        <v>186900</v>
      </c>
      <c r="AF383" s="6" t="s">
        <v>58</v>
      </c>
      <c r="AG383" s="6" t="n">
        <v>0</v>
      </c>
      <c r="AH383" s="30" t="s">
        <v>1076</v>
      </c>
      <c r="AI383" s="6" t="n">
        <v>0</v>
      </c>
      <c r="AJ383" s="6" t="s">
        <v>1408</v>
      </c>
      <c r="AK383" s="6" t="s">
        <v>988</v>
      </c>
      <c r="AL383" s="6" t="s">
        <v>1408</v>
      </c>
      <c r="AM383" s="6" t="n">
        <v>0</v>
      </c>
      <c r="AQ383" s="6" t="s">
        <v>754</v>
      </c>
      <c r="AR383" s="6" t="s">
        <v>57</v>
      </c>
    </row>
    <row r="384" customFormat="false" ht="15" hidden="false" customHeight="true" outlineLevel="0" collapsed="false">
      <c r="A384" s="27" t="n">
        <v>111319</v>
      </c>
      <c r="B384" s="6" t="s">
        <v>1579</v>
      </c>
      <c r="C384" s="27" t="n">
        <v>111319</v>
      </c>
      <c r="D384" s="6" t="s">
        <v>757</v>
      </c>
      <c r="E384" s="6" t="s">
        <v>1063</v>
      </c>
      <c r="F384" s="6" t="s">
        <v>270</v>
      </c>
      <c r="G384" s="6" t="s">
        <v>1058</v>
      </c>
      <c r="H384" s="6" t="s">
        <v>20</v>
      </c>
      <c r="I384" s="6" t="s">
        <v>1276</v>
      </c>
      <c r="J384" s="6" t="s">
        <v>20</v>
      </c>
      <c r="K384" s="6" t="s">
        <v>351</v>
      </c>
      <c r="L384" s="6" t="s">
        <v>533</v>
      </c>
      <c r="N384" s="6" t="s">
        <v>1189</v>
      </c>
      <c r="O384" s="6" t="s">
        <v>1501</v>
      </c>
      <c r="P384" s="6" t="n">
        <v>1</v>
      </c>
      <c r="R384" s="6" t="s">
        <v>1152</v>
      </c>
      <c r="U384" s="6" t="n">
        <v>149480</v>
      </c>
      <c r="V384" s="28" t="n">
        <v>180870.8</v>
      </c>
      <c r="W384" s="29" t="n">
        <v>0.25</v>
      </c>
      <c r="Y384" s="29" t="n">
        <v>0.17</v>
      </c>
      <c r="Z384" s="30" t="n">
        <v>3310</v>
      </c>
      <c r="AA384" s="29" t="n">
        <v>0.045</v>
      </c>
      <c r="AB384" s="31" t="n">
        <v>268285.722</v>
      </c>
      <c r="AE384" s="6" t="n">
        <v>268285.722</v>
      </c>
      <c r="AF384" s="6" t="s">
        <v>58</v>
      </c>
      <c r="AG384" s="6" t="n">
        <v>0</v>
      </c>
      <c r="AH384" s="30" t="s">
        <v>20</v>
      </c>
      <c r="AI384" s="6" t="n">
        <v>0</v>
      </c>
      <c r="AJ384" s="6" t="s">
        <v>533</v>
      </c>
      <c r="AK384" s="6" t="s">
        <v>988</v>
      </c>
      <c r="AL384" s="6" t="s">
        <v>533</v>
      </c>
      <c r="AM384" s="6" t="n">
        <v>0</v>
      </c>
      <c r="AQ384" s="6" t="s">
        <v>756</v>
      </c>
      <c r="AR384" s="6" t="s">
        <v>57</v>
      </c>
    </row>
    <row r="385" customFormat="false" ht="15" hidden="false" customHeight="true" outlineLevel="0" collapsed="false">
      <c r="A385" s="27" t="n">
        <v>108033</v>
      </c>
      <c r="B385" s="6" t="s">
        <v>1580</v>
      </c>
      <c r="C385" s="27" t="n">
        <v>108033</v>
      </c>
      <c r="D385" s="6" t="s">
        <v>730</v>
      </c>
      <c r="E385" s="6" t="s">
        <v>1063</v>
      </c>
      <c r="F385" s="6" t="s">
        <v>270</v>
      </c>
      <c r="G385" s="6" t="s">
        <v>1058</v>
      </c>
      <c r="H385" s="6" t="s">
        <v>20</v>
      </c>
      <c r="I385" s="6" t="s">
        <v>1276</v>
      </c>
      <c r="J385" s="6" t="s">
        <v>20</v>
      </c>
      <c r="K385" s="6" t="s">
        <v>351</v>
      </c>
      <c r="L385" s="6" t="s">
        <v>533</v>
      </c>
      <c r="N385" s="6" t="s">
        <v>1189</v>
      </c>
      <c r="O385" s="6" t="s">
        <v>1501</v>
      </c>
      <c r="P385" s="6" t="n">
        <v>1</v>
      </c>
      <c r="R385" s="6" t="s">
        <v>1152</v>
      </c>
      <c r="U385" s="6" t="n">
        <v>145320</v>
      </c>
      <c r="V385" s="28" t="n">
        <v>175837.2</v>
      </c>
      <c r="W385" s="29" t="n">
        <v>0.25</v>
      </c>
      <c r="Y385" s="29" t="n">
        <v>0.17</v>
      </c>
      <c r="Z385" s="30" t="n">
        <v>3310</v>
      </c>
      <c r="AA385" s="29" t="n">
        <v>0.045</v>
      </c>
      <c r="AB385" s="31" t="n">
        <v>260911.498</v>
      </c>
      <c r="AE385" s="6" t="n">
        <v>260911.498</v>
      </c>
      <c r="AF385" s="6" t="s">
        <v>58</v>
      </c>
      <c r="AG385" s="6" t="n">
        <v>0</v>
      </c>
      <c r="AH385" s="30" t="s">
        <v>20</v>
      </c>
      <c r="AI385" s="6" t="n">
        <v>0</v>
      </c>
      <c r="AJ385" s="6" t="s">
        <v>533</v>
      </c>
      <c r="AK385" s="6" t="s">
        <v>988</v>
      </c>
      <c r="AL385" s="6" t="s">
        <v>533</v>
      </c>
      <c r="AM385" s="6" t="n">
        <v>0</v>
      </c>
      <c r="AQ385" s="6" t="s">
        <v>758</v>
      </c>
      <c r="AR385" s="6" t="s">
        <v>57</v>
      </c>
    </row>
    <row r="386" customFormat="false" ht="15" hidden="false" customHeight="true" outlineLevel="0" collapsed="false">
      <c r="A386" s="27" t="n">
        <v>97973</v>
      </c>
      <c r="B386" s="6" t="s">
        <v>1581</v>
      </c>
      <c r="C386" s="27" t="n">
        <v>97973</v>
      </c>
      <c r="D386" s="6" t="s">
        <v>601</v>
      </c>
      <c r="E386" s="6" t="s">
        <v>1063</v>
      </c>
      <c r="F386" s="6" t="s">
        <v>1261</v>
      </c>
      <c r="G386" s="6" t="s">
        <v>1058</v>
      </c>
      <c r="H386" s="6" t="s">
        <v>19</v>
      </c>
      <c r="I386" s="6" t="s">
        <v>1262</v>
      </c>
      <c r="J386" s="6" t="s">
        <v>19</v>
      </c>
      <c r="K386" s="6" t="s">
        <v>1374</v>
      </c>
      <c r="L386" s="6" t="s">
        <v>387</v>
      </c>
      <c r="N386" s="6" t="s">
        <v>1023</v>
      </c>
      <c r="O386" s="6" t="s">
        <v>1501</v>
      </c>
      <c r="P386" s="6" t="n">
        <v>1</v>
      </c>
      <c r="R386" s="6" t="s">
        <v>1152</v>
      </c>
      <c r="U386" s="6" t="n">
        <v>152250</v>
      </c>
      <c r="V386" s="28" t="n">
        <v>152250</v>
      </c>
      <c r="W386" s="29" t="n">
        <v>0.12</v>
      </c>
      <c r="X386" s="6" t="n">
        <v>0.055</v>
      </c>
      <c r="Y386" s="29" t="n">
        <v>0.12</v>
      </c>
      <c r="Z386" s="30"/>
      <c r="AA386" s="29" t="n">
        <v>0.04</v>
      </c>
      <c r="AB386" s="31" t="n">
        <v>203253.75</v>
      </c>
      <c r="AE386" s="6" t="n">
        <v>203253.75</v>
      </c>
      <c r="AF386" s="6" t="s">
        <v>58</v>
      </c>
      <c r="AG386" s="6" t="n">
        <v>0</v>
      </c>
      <c r="AH386" s="30" t="s">
        <v>1206</v>
      </c>
      <c r="AI386" s="6" t="n">
        <v>0</v>
      </c>
      <c r="AJ386" s="6" t="s">
        <v>387</v>
      </c>
      <c r="AK386" s="6" t="s">
        <v>988</v>
      </c>
      <c r="AL386" s="6" t="s">
        <v>387</v>
      </c>
      <c r="AM386" s="6" t="n">
        <v>0</v>
      </c>
      <c r="AQ386" s="6" t="s">
        <v>759</v>
      </c>
      <c r="AR386" s="6" t="s">
        <v>57</v>
      </c>
    </row>
    <row r="387" customFormat="false" ht="15" hidden="false" customHeight="true" outlineLevel="0" collapsed="false">
      <c r="A387" s="27" t="n">
        <v>107463</v>
      </c>
      <c r="B387" s="6" t="s">
        <v>1582</v>
      </c>
      <c r="C387" s="27" t="n">
        <v>107463</v>
      </c>
      <c r="D387" s="6" t="s">
        <v>761</v>
      </c>
      <c r="E387" s="6" t="s">
        <v>1063</v>
      </c>
      <c r="F387" s="6" t="s">
        <v>224</v>
      </c>
      <c r="G387" s="6" t="s">
        <v>1058</v>
      </c>
      <c r="H387" s="6" t="s">
        <v>20</v>
      </c>
      <c r="I387" s="6" t="s">
        <v>1469</v>
      </c>
      <c r="J387" s="6" t="s">
        <v>20</v>
      </c>
      <c r="K387" s="6" t="s">
        <v>275</v>
      </c>
      <c r="L387" s="6" t="s">
        <v>275</v>
      </c>
      <c r="N387" s="6" t="s">
        <v>1023</v>
      </c>
      <c r="O387" s="6" t="s">
        <v>1501</v>
      </c>
      <c r="P387" s="6" t="n">
        <v>1</v>
      </c>
      <c r="R387" s="6" t="s">
        <v>1152</v>
      </c>
      <c r="U387" s="6" t="n">
        <v>145710</v>
      </c>
      <c r="V387" s="28" t="n">
        <v>145710</v>
      </c>
      <c r="W387" s="29" t="n">
        <v>0.12</v>
      </c>
      <c r="X387" s="6" t="n">
        <v>0.055</v>
      </c>
      <c r="Y387" s="29" t="n">
        <v>0.12</v>
      </c>
      <c r="Z387" s="30"/>
      <c r="AA387" s="29" t="n">
        <v>0.04</v>
      </c>
      <c r="AB387" s="31" t="n">
        <v>194522.85</v>
      </c>
      <c r="AE387" s="6" t="n">
        <v>194522.85</v>
      </c>
      <c r="AF387" s="6" t="s">
        <v>58</v>
      </c>
      <c r="AG387" s="6" t="n">
        <v>0</v>
      </c>
      <c r="AH387" s="30" t="s">
        <v>20</v>
      </c>
      <c r="AI387" s="6" t="n">
        <v>0</v>
      </c>
      <c r="AJ387" s="6" t="s">
        <v>275</v>
      </c>
      <c r="AK387" s="6" t="s">
        <v>988</v>
      </c>
      <c r="AL387" s="6" t="s">
        <v>275</v>
      </c>
      <c r="AM387" s="6" t="n">
        <v>0</v>
      </c>
      <c r="AQ387" s="6" t="s">
        <v>760</v>
      </c>
      <c r="AR387" s="6" t="s">
        <v>57</v>
      </c>
    </row>
    <row r="388" customFormat="false" ht="15" hidden="false" customHeight="true" outlineLevel="0" collapsed="false">
      <c r="A388" s="27" t="s">
        <v>1138</v>
      </c>
      <c r="B388" s="6" t="s">
        <v>1552</v>
      </c>
      <c r="C388" s="27" t="s">
        <v>1138</v>
      </c>
      <c r="D388" s="6" t="s">
        <v>623</v>
      </c>
      <c r="E388" s="6" t="s">
        <v>1063</v>
      </c>
      <c r="F388" s="6" t="s">
        <v>224</v>
      </c>
      <c r="G388" s="6" t="s">
        <v>1058</v>
      </c>
      <c r="H388" s="6" t="s">
        <v>20</v>
      </c>
      <c r="I388" s="6" t="s">
        <v>1469</v>
      </c>
      <c r="J388" s="6" t="s">
        <v>20</v>
      </c>
      <c r="K388" s="6" t="s">
        <v>493</v>
      </c>
      <c r="L388" s="6" t="s">
        <v>493</v>
      </c>
      <c r="N388" s="6" t="s">
        <v>1023</v>
      </c>
      <c r="O388" s="6" t="s">
        <v>1501</v>
      </c>
      <c r="P388" s="6" t="n">
        <v>1</v>
      </c>
      <c r="R388" s="6" t="s">
        <v>1138</v>
      </c>
      <c r="U388" s="6" t="n">
        <v>151950</v>
      </c>
      <c r="V388" s="28" t="n">
        <v>151950</v>
      </c>
      <c r="W388" s="29" t="n">
        <v>0.12</v>
      </c>
      <c r="X388" s="6" t="n">
        <v>0.055</v>
      </c>
      <c r="Y388" s="29" t="n">
        <v>0.12</v>
      </c>
      <c r="Z388" s="30"/>
      <c r="AA388" s="29" t="n">
        <v>0.04</v>
      </c>
      <c r="AB388" s="31" t="n">
        <v>202853.25</v>
      </c>
      <c r="AE388" s="6" t="n">
        <v>202853.25</v>
      </c>
      <c r="AF388" s="6" t="s">
        <v>1063</v>
      </c>
      <c r="AG388" s="6" t="n">
        <v>0</v>
      </c>
      <c r="AH388" s="30" t="s">
        <v>20</v>
      </c>
      <c r="AI388" s="6" t="n">
        <v>0</v>
      </c>
      <c r="AJ388" s="6" t="s">
        <v>493</v>
      </c>
      <c r="AK388" s="6" t="s">
        <v>988</v>
      </c>
      <c r="AL388" s="6" t="s">
        <v>493</v>
      </c>
      <c r="AM388" s="6" t="n">
        <v>0</v>
      </c>
      <c r="AN388" s="6" t="s">
        <v>1063</v>
      </c>
      <c r="AQ388" s="6" t="s">
        <v>762</v>
      </c>
      <c r="AR388" s="6" t="s">
        <v>57</v>
      </c>
    </row>
    <row r="389" customFormat="false" ht="15" hidden="false" customHeight="true" outlineLevel="0" collapsed="false">
      <c r="A389" s="27" t="s">
        <v>1138</v>
      </c>
      <c r="B389" s="6" t="s">
        <v>1063</v>
      </c>
      <c r="C389" s="27" t="s">
        <v>1138</v>
      </c>
      <c r="D389" s="6" t="s">
        <v>88</v>
      </c>
      <c r="E389" s="6" t="s">
        <v>1063</v>
      </c>
      <c r="F389" s="6" t="s">
        <v>1310</v>
      </c>
      <c r="G389" s="6" t="s">
        <v>1058</v>
      </c>
      <c r="H389" s="6" t="s">
        <v>1059</v>
      </c>
      <c r="I389" s="6" t="s">
        <v>1244</v>
      </c>
      <c r="J389" s="6" t="s">
        <v>25</v>
      </c>
      <c r="K389" s="6" t="s">
        <v>1061</v>
      </c>
      <c r="L389" s="6" t="s">
        <v>1061</v>
      </c>
      <c r="N389" s="6" t="s">
        <v>1023</v>
      </c>
      <c r="O389" s="6" t="s">
        <v>1501</v>
      </c>
      <c r="P389" s="6" t="n">
        <v>1</v>
      </c>
      <c r="R389" s="6" t="s">
        <v>1143</v>
      </c>
      <c r="U389" s="6" t="n">
        <v>151950</v>
      </c>
      <c r="V389" s="28" t="n">
        <v>151950</v>
      </c>
      <c r="W389" s="29" t="n">
        <v>0.12</v>
      </c>
      <c r="X389" s="6" t="n">
        <v>0.055</v>
      </c>
      <c r="Y389" s="29" t="n">
        <v>0.12</v>
      </c>
      <c r="Z389" s="30"/>
      <c r="AA389" s="29" t="n">
        <v>0.04</v>
      </c>
      <c r="AB389" s="31" t="n">
        <v>202853.25</v>
      </c>
      <c r="AE389" s="6" t="n">
        <v>202853.25</v>
      </c>
      <c r="AF389" s="6" t="s">
        <v>1063</v>
      </c>
      <c r="AG389" s="6" t="n">
        <v>0</v>
      </c>
      <c r="AH389" s="30" t="s">
        <v>25</v>
      </c>
      <c r="AI389" s="6" t="n">
        <v>0</v>
      </c>
      <c r="AJ389" s="6" t="s">
        <v>89</v>
      </c>
      <c r="AK389" s="6" t="s">
        <v>988</v>
      </c>
      <c r="AL389" s="6" t="s">
        <v>89</v>
      </c>
      <c r="AM389" s="6" t="n">
        <v>0</v>
      </c>
      <c r="AQ389" s="6" t="s">
        <v>763</v>
      </c>
      <c r="AR389" s="6" t="s">
        <v>57</v>
      </c>
    </row>
    <row r="390" customFormat="false" ht="15" hidden="false" customHeight="true" outlineLevel="0" collapsed="false">
      <c r="A390" s="27" t="n">
        <v>85321</v>
      </c>
      <c r="B390" s="6" t="s">
        <v>1583</v>
      </c>
      <c r="C390" s="27" t="n">
        <v>85321</v>
      </c>
      <c r="D390" s="6" t="s">
        <v>765</v>
      </c>
      <c r="E390" s="6" t="s">
        <v>1300</v>
      </c>
      <c r="F390" s="6" t="s">
        <v>302</v>
      </c>
      <c r="G390" s="6" t="s">
        <v>1073</v>
      </c>
      <c r="H390" s="6" t="s">
        <v>1133</v>
      </c>
      <c r="I390" s="6" t="s">
        <v>1301</v>
      </c>
      <c r="J390" s="6" t="s">
        <v>29</v>
      </c>
      <c r="K390" s="6" t="s">
        <v>554</v>
      </c>
      <c r="L390" s="6" t="s">
        <v>554</v>
      </c>
      <c r="N390" s="6" t="s">
        <v>1023</v>
      </c>
      <c r="O390" s="6" t="s">
        <v>1501</v>
      </c>
      <c r="P390" s="6" t="n">
        <v>1</v>
      </c>
      <c r="R390" s="6" t="s">
        <v>1152</v>
      </c>
      <c r="U390" s="6" t="n">
        <v>212110</v>
      </c>
      <c r="V390" s="28" t="n">
        <v>195141.2</v>
      </c>
      <c r="W390" s="29" t="n">
        <v>0.15</v>
      </c>
      <c r="Y390" s="29" t="n">
        <v>0.05</v>
      </c>
      <c r="Z390" s="30" t="n">
        <v>2910</v>
      </c>
      <c r="AA390" s="29" t="n">
        <v>0.03</v>
      </c>
      <c r="AB390" s="31" t="n">
        <v>242933.676</v>
      </c>
      <c r="AE390" s="6" t="n">
        <v>242933.676</v>
      </c>
      <c r="AF390" s="6" t="s">
        <v>58</v>
      </c>
      <c r="AG390" s="6" t="n">
        <v>0</v>
      </c>
      <c r="AH390" s="30" t="s">
        <v>1133</v>
      </c>
      <c r="AI390" s="6" t="n">
        <v>0</v>
      </c>
      <c r="AJ390" s="6" t="s">
        <v>554</v>
      </c>
      <c r="AK390" s="6" t="s">
        <v>988</v>
      </c>
      <c r="AL390" s="6" t="s">
        <v>554</v>
      </c>
      <c r="AM390" s="6" t="n">
        <v>0</v>
      </c>
      <c r="AQ390" s="6" t="s">
        <v>764</v>
      </c>
      <c r="AR390" s="6" t="s">
        <v>57</v>
      </c>
    </row>
    <row r="391" customFormat="false" ht="15" hidden="false" customHeight="true" outlineLevel="0" collapsed="false">
      <c r="A391" s="27" t="n">
        <v>85137</v>
      </c>
      <c r="B391" s="6" t="s">
        <v>1584</v>
      </c>
      <c r="C391" s="27" t="n">
        <v>85137</v>
      </c>
      <c r="D391" s="6" t="s">
        <v>597</v>
      </c>
      <c r="E391" s="6" t="s">
        <v>1300</v>
      </c>
      <c r="F391" s="6" t="s">
        <v>302</v>
      </c>
      <c r="G391" s="6" t="s">
        <v>1073</v>
      </c>
      <c r="H391" s="6" t="s">
        <v>1133</v>
      </c>
      <c r="I391" s="6" t="s">
        <v>1301</v>
      </c>
      <c r="J391" s="6" t="s">
        <v>29</v>
      </c>
      <c r="K391" s="6" t="s">
        <v>1313</v>
      </c>
      <c r="L391" s="6" t="s">
        <v>1314</v>
      </c>
      <c r="N391" s="6" t="s">
        <v>1023</v>
      </c>
      <c r="O391" s="6" t="s">
        <v>1501</v>
      </c>
      <c r="P391" s="6" t="n">
        <v>1</v>
      </c>
      <c r="R391" s="6" t="s">
        <v>1152</v>
      </c>
      <c r="U391" s="6" t="n">
        <v>196740</v>
      </c>
      <c r="V391" s="28" t="n">
        <v>196740</v>
      </c>
      <c r="W391" s="29" t="n">
        <v>0.12</v>
      </c>
      <c r="X391" s="6" t="n">
        <v>0.055</v>
      </c>
      <c r="Y391" s="29" t="n">
        <v>0.12</v>
      </c>
      <c r="Z391" s="30"/>
      <c r="AA391" s="29" t="n">
        <v>0.04</v>
      </c>
      <c r="AB391" s="31" t="n">
        <v>262647.9</v>
      </c>
      <c r="AE391" s="6" t="n">
        <v>262647.9</v>
      </c>
      <c r="AF391" s="6" t="s">
        <v>58</v>
      </c>
      <c r="AG391" s="6" t="n">
        <v>0</v>
      </c>
      <c r="AH391" s="30" t="s">
        <v>1133</v>
      </c>
      <c r="AI391" s="6" t="n">
        <v>0</v>
      </c>
      <c r="AJ391" s="6" t="s">
        <v>313</v>
      </c>
      <c r="AK391" s="6" t="s">
        <v>988</v>
      </c>
      <c r="AL391" s="6" t="s">
        <v>313</v>
      </c>
      <c r="AM391" s="6" t="n">
        <v>0</v>
      </c>
      <c r="AQ391" s="6" t="s">
        <v>766</v>
      </c>
      <c r="AR391" s="6" t="s">
        <v>57</v>
      </c>
    </row>
    <row r="392" customFormat="false" ht="15" hidden="false" customHeight="true" outlineLevel="0" collapsed="false">
      <c r="A392" s="27" t="n">
        <v>94420</v>
      </c>
      <c r="B392" s="6" t="s">
        <v>1585</v>
      </c>
      <c r="C392" s="27" t="n">
        <v>94420</v>
      </c>
      <c r="D392" s="6" t="s">
        <v>597</v>
      </c>
      <c r="E392" s="6" t="s">
        <v>1300</v>
      </c>
      <c r="F392" s="6" t="s">
        <v>302</v>
      </c>
      <c r="G392" s="6" t="s">
        <v>1073</v>
      </c>
      <c r="H392" s="6" t="s">
        <v>1133</v>
      </c>
      <c r="I392" s="6" t="s">
        <v>1301</v>
      </c>
      <c r="J392" s="6" t="s">
        <v>29</v>
      </c>
      <c r="K392" s="6" t="s">
        <v>1313</v>
      </c>
      <c r="L392" s="6" t="s">
        <v>1314</v>
      </c>
      <c r="N392" s="6" t="s">
        <v>1023</v>
      </c>
      <c r="O392" s="6" t="s">
        <v>1501</v>
      </c>
      <c r="P392" s="6" t="n">
        <v>1</v>
      </c>
      <c r="R392" s="6" t="s">
        <v>1152</v>
      </c>
      <c r="U392" s="6" t="n">
        <v>127740</v>
      </c>
      <c r="V392" s="28" t="n">
        <v>117520.8</v>
      </c>
      <c r="W392" s="29" t="n">
        <v>0.15</v>
      </c>
      <c r="Y392" s="29" t="n">
        <v>0.05</v>
      </c>
      <c r="Z392" s="30" t="n">
        <v>2910</v>
      </c>
      <c r="AA392" s="29" t="n">
        <v>0.03</v>
      </c>
      <c r="AB392" s="31" t="n">
        <v>147460.584</v>
      </c>
      <c r="AE392" s="6" t="n">
        <v>147460.584</v>
      </c>
      <c r="AF392" s="6" t="s">
        <v>58</v>
      </c>
      <c r="AG392" s="6" t="n">
        <v>0</v>
      </c>
      <c r="AH392" s="30" t="s">
        <v>1133</v>
      </c>
      <c r="AI392" s="6" t="n">
        <v>0</v>
      </c>
      <c r="AJ392" s="6" t="s">
        <v>313</v>
      </c>
      <c r="AK392" s="6" t="s">
        <v>988</v>
      </c>
      <c r="AL392" s="6" t="s">
        <v>313</v>
      </c>
      <c r="AM392" s="6" t="n">
        <v>0</v>
      </c>
      <c r="AQ392" s="6" t="s">
        <v>767</v>
      </c>
      <c r="AR392" s="6" t="s">
        <v>57</v>
      </c>
    </row>
    <row r="393" customFormat="false" ht="15" hidden="false" customHeight="true" outlineLevel="0" collapsed="false">
      <c r="A393" s="27" t="n">
        <v>114003</v>
      </c>
      <c r="B393" s="6" t="s">
        <v>1586</v>
      </c>
      <c r="C393" s="27" t="n">
        <v>114003</v>
      </c>
      <c r="D393" s="6" t="s">
        <v>597</v>
      </c>
      <c r="E393" s="6" t="s">
        <v>1300</v>
      </c>
      <c r="F393" s="6" t="s">
        <v>302</v>
      </c>
      <c r="G393" s="6" t="s">
        <v>1073</v>
      </c>
      <c r="H393" s="6" t="s">
        <v>1133</v>
      </c>
      <c r="I393" s="6" t="s">
        <v>1301</v>
      </c>
      <c r="J393" s="6" t="s">
        <v>29</v>
      </c>
      <c r="K393" s="6" t="s">
        <v>554</v>
      </c>
      <c r="L393" s="6" t="s">
        <v>769</v>
      </c>
      <c r="N393" s="6" t="s">
        <v>1023</v>
      </c>
      <c r="O393" s="6" t="s">
        <v>1501</v>
      </c>
      <c r="P393" s="6" t="n">
        <v>1</v>
      </c>
      <c r="R393" s="6" t="s">
        <v>1152</v>
      </c>
      <c r="U393" s="6" t="n">
        <v>194190</v>
      </c>
      <c r="V393" s="28" t="n">
        <v>194190</v>
      </c>
      <c r="W393" s="29" t="n">
        <v>0.12</v>
      </c>
      <c r="X393" s="6" t="n">
        <v>0.055</v>
      </c>
      <c r="Y393" s="29" t="n">
        <v>0.12</v>
      </c>
      <c r="Z393" s="30"/>
      <c r="AA393" s="29" t="n">
        <v>0.04</v>
      </c>
      <c r="AB393" s="31" t="n">
        <v>259243.65</v>
      </c>
      <c r="AE393" s="6" t="n">
        <v>259243.65</v>
      </c>
      <c r="AF393" s="6" t="s">
        <v>58</v>
      </c>
      <c r="AG393" s="6" t="n">
        <v>0</v>
      </c>
      <c r="AH393" s="30" t="s">
        <v>1133</v>
      </c>
      <c r="AI393" s="6" t="n">
        <v>0</v>
      </c>
      <c r="AJ393" s="6" t="s">
        <v>769</v>
      </c>
      <c r="AK393" s="6" t="s">
        <v>988</v>
      </c>
      <c r="AL393" s="6" t="s">
        <v>769</v>
      </c>
      <c r="AM393" s="6" t="n">
        <v>0</v>
      </c>
      <c r="AQ393" s="6" t="s">
        <v>768</v>
      </c>
      <c r="AR393" s="6" t="s">
        <v>57</v>
      </c>
    </row>
    <row r="394" customFormat="false" ht="15" hidden="false" customHeight="true" outlineLevel="0" collapsed="false">
      <c r="A394" s="27" t="s">
        <v>1138</v>
      </c>
      <c r="B394" s="6" t="s">
        <v>1063</v>
      </c>
      <c r="C394" s="27" t="s">
        <v>1138</v>
      </c>
      <c r="D394" s="6" t="s">
        <v>771</v>
      </c>
      <c r="E394" s="6" t="s">
        <v>1300</v>
      </c>
      <c r="F394" s="6" t="s">
        <v>302</v>
      </c>
      <c r="G394" s="6" t="s">
        <v>1073</v>
      </c>
      <c r="H394" s="6" t="s">
        <v>1133</v>
      </c>
      <c r="I394" s="6" t="s">
        <v>1301</v>
      </c>
      <c r="J394" s="6" t="s">
        <v>29</v>
      </c>
      <c r="K394" s="6" t="s">
        <v>554</v>
      </c>
      <c r="L394" s="6" t="s">
        <v>549</v>
      </c>
      <c r="N394" s="6" t="s">
        <v>1023</v>
      </c>
      <c r="O394" s="6" t="s">
        <v>1501</v>
      </c>
      <c r="P394" s="6" t="n">
        <v>1</v>
      </c>
      <c r="R394" s="6" t="s">
        <v>1143</v>
      </c>
      <c r="U394" s="6" t="n">
        <v>173550</v>
      </c>
      <c r="V394" s="28" t="n">
        <v>173550</v>
      </c>
      <c r="W394" s="29" t="n">
        <v>0.12</v>
      </c>
      <c r="X394" s="6" t="n">
        <v>0.055</v>
      </c>
      <c r="Y394" s="29" t="n">
        <v>0.12</v>
      </c>
      <c r="Z394" s="30"/>
      <c r="AA394" s="29" t="n">
        <v>0.04</v>
      </c>
      <c r="AB394" s="31" t="n">
        <v>231689.25</v>
      </c>
      <c r="AE394" s="6" t="n">
        <v>231689.25</v>
      </c>
      <c r="AF394" s="6" t="s">
        <v>1063</v>
      </c>
      <c r="AG394" s="6" t="n">
        <v>0</v>
      </c>
      <c r="AH394" s="30" t="s">
        <v>1133</v>
      </c>
      <c r="AI394" s="6" t="n">
        <v>0</v>
      </c>
      <c r="AJ394" s="6" t="s">
        <v>549</v>
      </c>
      <c r="AK394" s="6" t="s">
        <v>988</v>
      </c>
      <c r="AL394" s="6" t="s">
        <v>549</v>
      </c>
      <c r="AM394" s="6" t="n">
        <v>0</v>
      </c>
      <c r="AQ394" s="6" t="s">
        <v>770</v>
      </c>
      <c r="AR394" s="6" t="s">
        <v>57</v>
      </c>
    </row>
    <row r="395" customFormat="false" ht="15" hidden="false" customHeight="true" outlineLevel="0" collapsed="false">
      <c r="A395" s="27" t="s">
        <v>1138</v>
      </c>
      <c r="B395" s="6" t="s">
        <v>1063</v>
      </c>
      <c r="C395" s="27" t="s">
        <v>1138</v>
      </c>
      <c r="D395" s="6" t="s">
        <v>773</v>
      </c>
      <c r="E395" s="6" t="s">
        <v>1300</v>
      </c>
      <c r="F395" s="6" t="s">
        <v>302</v>
      </c>
      <c r="G395" s="6" t="s">
        <v>1073</v>
      </c>
      <c r="H395" s="6" t="s">
        <v>1133</v>
      </c>
      <c r="I395" s="6" t="s">
        <v>1301</v>
      </c>
      <c r="J395" s="6" t="s">
        <v>29</v>
      </c>
      <c r="K395" s="6" t="s">
        <v>554</v>
      </c>
      <c r="L395" s="6" t="s">
        <v>554</v>
      </c>
      <c r="N395" s="6" t="s">
        <v>1023</v>
      </c>
      <c r="O395" s="6" t="s">
        <v>1501</v>
      </c>
      <c r="P395" s="6" t="n">
        <v>1</v>
      </c>
      <c r="R395" s="6" t="s">
        <v>1143</v>
      </c>
      <c r="U395" s="6" t="n">
        <v>129659</v>
      </c>
      <c r="V395" s="28" t="n">
        <v>129659</v>
      </c>
      <c r="W395" s="29" t="n">
        <v>0.1</v>
      </c>
      <c r="X395" s="6" t="n">
        <v>0.055</v>
      </c>
      <c r="Y395" s="29" t="n">
        <v>0.12</v>
      </c>
      <c r="Z395" s="30"/>
      <c r="AA395" s="29" t="n">
        <v>0.04</v>
      </c>
      <c r="AB395" s="31" t="n">
        <v>170501.585</v>
      </c>
      <c r="AE395" s="6" t="n">
        <v>170501.585</v>
      </c>
      <c r="AF395" s="6" t="s">
        <v>1063</v>
      </c>
      <c r="AG395" s="6" t="n">
        <v>0</v>
      </c>
      <c r="AH395" s="30" t="s">
        <v>1133</v>
      </c>
      <c r="AI395" s="6" t="n">
        <v>0</v>
      </c>
      <c r="AJ395" s="6" t="s">
        <v>554</v>
      </c>
      <c r="AK395" s="6" t="s">
        <v>988</v>
      </c>
      <c r="AL395" s="6" t="s">
        <v>554</v>
      </c>
      <c r="AM395" s="6" t="n">
        <v>0</v>
      </c>
      <c r="AQ395" s="6" t="s">
        <v>772</v>
      </c>
      <c r="AR395" s="6" t="s">
        <v>57</v>
      </c>
    </row>
    <row r="396" customFormat="false" ht="15" hidden="false" customHeight="true" outlineLevel="0" collapsed="false">
      <c r="A396" s="27" t="s">
        <v>1138</v>
      </c>
      <c r="B396" s="6" t="s">
        <v>1063</v>
      </c>
      <c r="C396" s="27" t="s">
        <v>1138</v>
      </c>
      <c r="D396" s="6" t="s">
        <v>138</v>
      </c>
      <c r="E396" s="6" t="s">
        <v>1131</v>
      </c>
      <c r="F396" s="6" t="s">
        <v>1132</v>
      </c>
      <c r="G396" s="6" t="s">
        <v>1073</v>
      </c>
      <c r="H396" s="6" t="s">
        <v>1133</v>
      </c>
      <c r="I396" s="6" t="s">
        <v>1134</v>
      </c>
      <c r="J396" s="6" t="s">
        <v>29</v>
      </c>
      <c r="K396" s="6" t="s">
        <v>561</v>
      </c>
      <c r="L396" s="6" t="s">
        <v>561</v>
      </c>
      <c r="N396" s="6" t="s">
        <v>1023</v>
      </c>
      <c r="O396" s="6" t="s">
        <v>1501</v>
      </c>
      <c r="P396" s="6" t="n">
        <v>1</v>
      </c>
      <c r="R396" s="6" t="s">
        <v>1138</v>
      </c>
      <c r="U396" s="6" t="n">
        <v>151950</v>
      </c>
      <c r="V396" s="28" t="n">
        <v>151950</v>
      </c>
      <c r="W396" s="29" t="n">
        <v>0.12</v>
      </c>
      <c r="X396" s="6" t="n">
        <v>0.055</v>
      </c>
      <c r="Y396" s="29" t="n">
        <v>0.12</v>
      </c>
      <c r="Z396" s="30"/>
      <c r="AA396" s="29" t="n">
        <v>0.04</v>
      </c>
      <c r="AB396" s="31" t="n">
        <v>202853.25</v>
      </c>
      <c r="AE396" s="6" t="n">
        <v>202853.25</v>
      </c>
      <c r="AF396" s="6" t="s">
        <v>1063</v>
      </c>
      <c r="AG396" s="6" t="n">
        <v>0</v>
      </c>
      <c r="AH396" s="30" t="s">
        <v>1133</v>
      </c>
      <c r="AI396" s="6" t="n">
        <v>0</v>
      </c>
      <c r="AJ396" s="6" t="s">
        <v>561</v>
      </c>
      <c r="AK396" s="6" t="s">
        <v>988</v>
      </c>
      <c r="AL396" s="6" t="s">
        <v>561</v>
      </c>
      <c r="AM396" s="6" t="n">
        <v>0</v>
      </c>
      <c r="AQ396" s="6" t="s">
        <v>774</v>
      </c>
      <c r="AR396" s="6" t="s">
        <v>57</v>
      </c>
    </row>
    <row r="397" customFormat="false" ht="15" hidden="false" customHeight="true" outlineLevel="0" collapsed="false">
      <c r="A397" s="27" t="s">
        <v>1138</v>
      </c>
      <c r="B397" s="6" t="s">
        <v>1063</v>
      </c>
      <c r="C397" s="27" t="s">
        <v>1138</v>
      </c>
      <c r="D397" s="6" t="s">
        <v>138</v>
      </c>
      <c r="E397" s="6" t="s">
        <v>1131</v>
      </c>
      <c r="F397" s="6" t="s">
        <v>1132</v>
      </c>
      <c r="G397" s="6" t="s">
        <v>1073</v>
      </c>
      <c r="H397" s="6" t="s">
        <v>1133</v>
      </c>
      <c r="I397" s="6" t="s">
        <v>1134</v>
      </c>
      <c r="J397" s="6" t="s">
        <v>29</v>
      </c>
      <c r="K397" s="6" t="s">
        <v>1587</v>
      </c>
      <c r="L397" s="6" t="s">
        <v>776</v>
      </c>
      <c r="N397" s="6" t="s">
        <v>1023</v>
      </c>
      <c r="O397" s="6" t="s">
        <v>1501</v>
      </c>
      <c r="P397" s="6" t="n">
        <v>1</v>
      </c>
      <c r="R397" s="6" t="s">
        <v>1138</v>
      </c>
      <c r="U397" s="6" t="n">
        <v>151950</v>
      </c>
      <c r="V397" s="28" t="n">
        <v>151950</v>
      </c>
      <c r="W397" s="29" t="n">
        <v>0.12</v>
      </c>
      <c r="X397" s="6" t="n">
        <v>0.055</v>
      </c>
      <c r="Y397" s="29" t="n">
        <v>0.12</v>
      </c>
      <c r="Z397" s="30"/>
      <c r="AA397" s="29" t="n">
        <v>0.04</v>
      </c>
      <c r="AB397" s="31" t="n">
        <v>202853.25</v>
      </c>
      <c r="AE397" s="6" t="n">
        <v>202853.25</v>
      </c>
      <c r="AF397" s="6" t="s">
        <v>1063</v>
      </c>
      <c r="AG397" s="6" t="n">
        <v>0</v>
      </c>
      <c r="AH397" s="30" t="s">
        <v>1133</v>
      </c>
      <c r="AI397" s="6" t="n">
        <v>0</v>
      </c>
      <c r="AJ397" s="6" t="s">
        <v>776</v>
      </c>
      <c r="AK397" s="6" t="s">
        <v>988</v>
      </c>
      <c r="AL397" s="6" t="s">
        <v>776</v>
      </c>
      <c r="AM397" s="6" t="n">
        <v>0</v>
      </c>
      <c r="AQ397" s="6" t="s">
        <v>775</v>
      </c>
      <c r="AR397" s="6" t="s">
        <v>57</v>
      </c>
    </row>
    <row r="398" customFormat="false" ht="15" hidden="false" customHeight="true" outlineLevel="0" collapsed="false">
      <c r="A398" s="27" t="s">
        <v>1138</v>
      </c>
      <c r="B398" s="6" t="s">
        <v>1063</v>
      </c>
      <c r="C398" s="27" t="s">
        <v>1138</v>
      </c>
      <c r="D398" s="6" t="s">
        <v>138</v>
      </c>
      <c r="E398" s="6" t="s">
        <v>1131</v>
      </c>
      <c r="F398" s="6" t="s">
        <v>1132</v>
      </c>
      <c r="G398" s="6" t="s">
        <v>1073</v>
      </c>
      <c r="H398" s="6" t="s">
        <v>1133</v>
      </c>
      <c r="I398" s="6" t="s">
        <v>1134</v>
      </c>
      <c r="J398" s="6" t="s">
        <v>29</v>
      </c>
      <c r="K398" s="6" t="s">
        <v>554</v>
      </c>
      <c r="L398" s="6" t="s">
        <v>549</v>
      </c>
      <c r="N398" s="6" t="s">
        <v>1023</v>
      </c>
      <c r="O398" s="6" t="s">
        <v>1501</v>
      </c>
      <c r="P398" s="6" t="n">
        <v>1</v>
      </c>
      <c r="R398" s="6" t="s">
        <v>1143</v>
      </c>
      <c r="U398" s="6" t="n">
        <v>129659</v>
      </c>
      <c r="V398" s="28" t="n">
        <v>129659</v>
      </c>
      <c r="W398" s="29" t="n">
        <v>0.1</v>
      </c>
      <c r="X398" s="6" t="n">
        <v>0.055</v>
      </c>
      <c r="Y398" s="29" t="n">
        <v>0.12</v>
      </c>
      <c r="Z398" s="30"/>
      <c r="AA398" s="29" t="n">
        <v>0.04</v>
      </c>
      <c r="AB398" s="31" t="n">
        <v>170501.585</v>
      </c>
      <c r="AE398" s="6" t="n">
        <v>170501.585</v>
      </c>
      <c r="AF398" s="6" t="s">
        <v>1063</v>
      </c>
      <c r="AG398" s="6" t="n">
        <v>0</v>
      </c>
      <c r="AH398" s="30" t="s">
        <v>1133</v>
      </c>
      <c r="AI398" s="6" t="n">
        <v>0</v>
      </c>
      <c r="AJ398" s="6" t="s">
        <v>549</v>
      </c>
      <c r="AK398" s="6" t="s">
        <v>988</v>
      </c>
      <c r="AL398" s="6" t="s">
        <v>549</v>
      </c>
      <c r="AM398" s="6" t="n">
        <v>0</v>
      </c>
      <c r="AQ398" s="6" t="s">
        <v>777</v>
      </c>
      <c r="AR398" s="6" t="s">
        <v>57</v>
      </c>
    </row>
    <row r="399" customFormat="false" ht="15" hidden="false" customHeight="true" outlineLevel="0" collapsed="false">
      <c r="A399" s="27" t="n">
        <v>98158</v>
      </c>
      <c r="B399" s="6" t="s">
        <v>1588</v>
      </c>
      <c r="C399" s="27" t="n">
        <v>98158</v>
      </c>
      <c r="D399" s="6" t="s">
        <v>55</v>
      </c>
      <c r="E399" s="6" t="s">
        <v>1131</v>
      </c>
      <c r="F399" s="6" t="s">
        <v>1132</v>
      </c>
      <c r="G399" s="6" t="s">
        <v>1073</v>
      </c>
      <c r="H399" s="6" t="s">
        <v>1133</v>
      </c>
      <c r="I399" s="6" t="s">
        <v>1134</v>
      </c>
      <c r="J399" s="6" t="s">
        <v>29</v>
      </c>
      <c r="K399" s="6" t="s">
        <v>1587</v>
      </c>
      <c r="L399" s="6" t="s">
        <v>776</v>
      </c>
      <c r="N399" s="6" t="s">
        <v>1023</v>
      </c>
      <c r="O399" s="6" t="s">
        <v>1501</v>
      </c>
      <c r="P399" s="6" t="n">
        <v>1</v>
      </c>
      <c r="R399" s="6" t="s">
        <v>1152</v>
      </c>
      <c r="U399" s="6" t="n">
        <v>136670</v>
      </c>
      <c r="V399" s="28" t="n">
        <v>136670</v>
      </c>
      <c r="W399" s="29" t="n">
        <v>0.12</v>
      </c>
      <c r="X399" s="6" t="n">
        <v>0.055</v>
      </c>
      <c r="Y399" s="29" t="n">
        <v>0.12</v>
      </c>
      <c r="Z399" s="30"/>
      <c r="AA399" s="29" t="n">
        <v>0.04</v>
      </c>
      <c r="AB399" s="31" t="n">
        <v>182454.45</v>
      </c>
      <c r="AE399" s="6" t="n">
        <v>182454.45</v>
      </c>
      <c r="AF399" s="6" t="s">
        <v>58</v>
      </c>
      <c r="AG399" s="6" t="n">
        <v>0</v>
      </c>
      <c r="AH399" s="30" t="s">
        <v>1133</v>
      </c>
      <c r="AI399" s="6" t="n">
        <v>0</v>
      </c>
      <c r="AJ399" s="6" t="s">
        <v>776</v>
      </c>
      <c r="AK399" s="6" t="s">
        <v>988</v>
      </c>
      <c r="AL399" s="6" t="s">
        <v>776</v>
      </c>
      <c r="AM399" s="6" t="n">
        <v>0</v>
      </c>
      <c r="AQ399" s="6" t="s">
        <v>778</v>
      </c>
      <c r="AR399" s="6" t="s">
        <v>57</v>
      </c>
    </row>
    <row r="400" customFormat="false" ht="15" hidden="false" customHeight="true" outlineLevel="0" collapsed="false">
      <c r="A400" s="27" t="n">
        <v>115831</v>
      </c>
      <c r="B400" s="6" t="s">
        <v>1589</v>
      </c>
      <c r="C400" s="27" t="n">
        <v>115831</v>
      </c>
      <c r="D400" s="6" t="s">
        <v>411</v>
      </c>
      <c r="E400" s="6" t="s">
        <v>1131</v>
      </c>
      <c r="F400" s="6" t="s">
        <v>1132</v>
      </c>
      <c r="G400" s="6" t="s">
        <v>1073</v>
      </c>
      <c r="H400" s="6" t="s">
        <v>1133</v>
      </c>
      <c r="I400" s="6" t="s">
        <v>1134</v>
      </c>
      <c r="J400" s="6" t="s">
        <v>29</v>
      </c>
      <c r="K400" s="6" t="s">
        <v>554</v>
      </c>
      <c r="L400" s="6" t="s">
        <v>769</v>
      </c>
      <c r="N400" s="6" t="s">
        <v>1023</v>
      </c>
      <c r="O400" s="6" t="s">
        <v>1501</v>
      </c>
      <c r="P400" s="6" t="n">
        <v>1</v>
      </c>
      <c r="R400" s="6" t="s">
        <v>1152</v>
      </c>
      <c r="U400" s="6" t="n">
        <v>160000</v>
      </c>
      <c r="V400" s="28" t="n">
        <v>160000</v>
      </c>
      <c r="W400" s="29" t="n">
        <v>0.12</v>
      </c>
      <c r="X400" s="6" t="n">
        <v>0.055</v>
      </c>
      <c r="Y400" s="29" t="n">
        <v>0.12</v>
      </c>
      <c r="Z400" s="30"/>
      <c r="AA400" s="29" t="n">
        <v>0.04</v>
      </c>
      <c r="AB400" s="31" t="n">
        <v>213600</v>
      </c>
      <c r="AE400" s="6" t="n">
        <v>213600</v>
      </c>
      <c r="AF400" s="6" t="s">
        <v>58</v>
      </c>
      <c r="AG400" s="6" t="n">
        <v>0</v>
      </c>
      <c r="AH400" s="30" t="s">
        <v>1133</v>
      </c>
      <c r="AI400" s="6" t="n">
        <v>0</v>
      </c>
      <c r="AJ400" s="6" t="s">
        <v>769</v>
      </c>
      <c r="AK400" s="6" t="s">
        <v>988</v>
      </c>
      <c r="AL400" s="6" t="s">
        <v>769</v>
      </c>
      <c r="AM400" s="6" t="n">
        <v>0</v>
      </c>
      <c r="AQ400" s="6" t="s">
        <v>779</v>
      </c>
      <c r="AR400" s="6" t="s">
        <v>57</v>
      </c>
    </row>
    <row r="401" customFormat="false" ht="15" hidden="false" customHeight="true" outlineLevel="0" collapsed="false">
      <c r="A401" s="27" t="n">
        <v>110197</v>
      </c>
      <c r="B401" s="6" t="s">
        <v>1590</v>
      </c>
      <c r="C401" s="27" t="n">
        <v>110197</v>
      </c>
      <c r="D401" s="6" t="s">
        <v>781</v>
      </c>
      <c r="E401" s="6" t="s">
        <v>1269</v>
      </c>
      <c r="F401" s="6" t="s">
        <v>263</v>
      </c>
      <c r="G401" s="6" t="s">
        <v>1073</v>
      </c>
      <c r="H401" s="6" t="s">
        <v>1133</v>
      </c>
      <c r="I401" s="6" t="s">
        <v>1270</v>
      </c>
      <c r="J401" s="6" t="s">
        <v>29</v>
      </c>
      <c r="K401" s="6" t="s">
        <v>554</v>
      </c>
      <c r="L401" s="6" t="s">
        <v>557</v>
      </c>
      <c r="N401" s="6" t="s">
        <v>1023</v>
      </c>
      <c r="O401" s="6" t="s">
        <v>1501</v>
      </c>
      <c r="P401" s="6" t="n">
        <v>1</v>
      </c>
      <c r="R401" s="6" t="s">
        <v>1152</v>
      </c>
      <c r="U401" s="6" t="n">
        <v>154360</v>
      </c>
      <c r="V401" s="28" t="n">
        <v>154360</v>
      </c>
      <c r="W401" s="29" t="n">
        <v>0.12</v>
      </c>
      <c r="X401" s="6" t="n">
        <v>0.055</v>
      </c>
      <c r="Y401" s="29" t="n">
        <v>0.12</v>
      </c>
      <c r="Z401" s="30"/>
      <c r="AA401" s="29" t="n">
        <v>0.04</v>
      </c>
      <c r="AB401" s="31" t="n">
        <v>206070.6</v>
      </c>
      <c r="AE401" s="6" t="n">
        <v>206070.6</v>
      </c>
      <c r="AF401" s="6" t="s">
        <v>58</v>
      </c>
      <c r="AG401" s="6" t="n">
        <v>0</v>
      </c>
      <c r="AH401" s="30" t="s">
        <v>1133</v>
      </c>
      <c r="AI401" s="6" t="n">
        <v>0</v>
      </c>
      <c r="AJ401" s="6" t="s">
        <v>557</v>
      </c>
      <c r="AK401" s="6" t="s">
        <v>988</v>
      </c>
      <c r="AL401" s="6" t="s">
        <v>557</v>
      </c>
      <c r="AM401" s="6" t="n">
        <v>0</v>
      </c>
      <c r="AQ401" s="6" t="s">
        <v>780</v>
      </c>
      <c r="AR401" s="6" t="s">
        <v>57</v>
      </c>
    </row>
    <row r="402" customFormat="false" ht="15" hidden="false" customHeight="true" outlineLevel="0" collapsed="false">
      <c r="A402" s="27" t="n">
        <v>91356</v>
      </c>
      <c r="B402" s="6" t="s">
        <v>1591</v>
      </c>
      <c r="C402" s="27" t="n">
        <v>91356</v>
      </c>
      <c r="D402" s="6" t="s">
        <v>113</v>
      </c>
      <c r="E402" s="6" t="s">
        <v>1269</v>
      </c>
      <c r="F402" s="6" t="s">
        <v>263</v>
      </c>
      <c r="G402" s="6" t="s">
        <v>1073</v>
      </c>
      <c r="H402" s="6" t="s">
        <v>1133</v>
      </c>
      <c r="I402" s="6" t="s">
        <v>1270</v>
      </c>
      <c r="J402" s="6" t="s">
        <v>29</v>
      </c>
      <c r="K402" s="6" t="s">
        <v>1587</v>
      </c>
      <c r="L402" s="6" t="s">
        <v>776</v>
      </c>
      <c r="N402" s="6" t="s">
        <v>1023</v>
      </c>
      <c r="O402" s="6" t="s">
        <v>1501</v>
      </c>
      <c r="P402" s="6" t="n">
        <v>1</v>
      </c>
      <c r="R402" s="6" t="s">
        <v>1152</v>
      </c>
      <c r="U402" s="6" t="n">
        <v>115000</v>
      </c>
      <c r="V402" s="28" t="n">
        <v>105800</v>
      </c>
      <c r="W402" s="29" t="n">
        <v>0.15</v>
      </c>
      <c r="Y402" s="29" t="n">
        <v>0.05</v>
      </c>
      <c r="Z402" s="30" t="n">
        <v>2910</v>
      </c>
      <c r="AA402" s="29" t="n">
        <v>0.03</v>
      </c>
      <c r="AB402" s="31" t="n">
        <v>133044</v>
      </c>
      <c r="AE402" s="6" t="n">
        <v>133044</v>
      </c>
      <c r="AF402" s="6" t="s">
        <v>58</v>
      </c>
      <c r="AG402" s="6" t="n">
        <v>0</v>
      </c>
      <c r="AH402" s="30" t="s">
        <v>1133</v>
      </c>
      <c r="AI402" s="6" t="n">
        <v>0</v>
      </c>
      <c r="AJ402" s="6" t="s">
        <v>776</v>
      </c>
      <c r="AK402" s="6" t="s">
        <v>988</v>
      </c>
      <c r="AL402" s="6" t="s">
        <v>776</v>
      </c>
      <c r="AM402" s="6" t="n">
        <v>0</v>
      </c>
      <c r="AQ402" s="6" t="s">
        <v>782</v>
      </c>
      <c r="AR402" s="6" t="s">
        <v>57</v>
      </c>
    </row>
    <row r="403" customFormat="false" ht="15" hidden="false" customHeight="true" outlineLevel="0" collapsed="false">
      <c r="A403" s="27" t="n">
        <v>114616</v>
      </c>
      <c r="B403" s="6" t="s">
        <v>1592</v>
      </c>
      <c r="C403" s="27" t="n">
        <v>114616</v>
      </c>
      <c r="D403" s="6" t="s">
        <v>597</v>
      </c>
      <c r="E403" s="6" t="s">
        <v>1269</v>
      </c>
      <c r="F403" s="6" t="s">
        <v>263</v>
      </c>
      <c r="G403" s="6" t="s">
        <v>1073</v>
      </c>
      <c r="H403" s="6" t="s">
        <v>1133</v>
      </c>
      <c r="I403" s="6" t="s">
        <v>1270</v>
      </c>
      <c r="J403" s="6" t="s">
        <v>22</v>
      </c>
      <c r="K403" s="6" t="s">
        <v>21</v>
      </c>
      <c r="L403" s="6" t="s">
        <v>139</v>
      </c>
      <c r="N403" s="6" t="s">
        <v>1023</v>
      </c>
      <c r="O403" s="6" t="s">
        <v>1501</v>
      </c>
      <c r="P403" s="6" t="n">
        <v>1</v>
      </c>
      <c r="R403" s="6" t="s">
        <v>1152</v>
      </c>
      <c r="U403" s="6" t="n">
        <v>185140</v>
      </c>
      <c r="V403" s="28" t="n">
        <v>185140</v>
      </c>
      <c r="W403" s="29" t="n">
        <v>0.12</v>
      </c>
      <c r="X403" s="6" t="n">
        <v>0.055</v>
      </c>
      <c r="Y403" s="29" t="n">
        <v>0.12</v>
      </c>
      <c r="Z403" s="30"/>
      <c r="AA403" s="29" t="n">
        <v>0.04</v>
      </c>
      <c r="AB403" s="31" t="n">
        <v>247161.9</v>
      </c>
      <c r="AE403" s="6" t="n">
        <v>247161.9</v>
      </c>
      <c r="AF403" s="6" t="s">
        <v>58</v>
      </c>
      <c r="AG403" s="6" t="n">
        <v>0</v>
      </c>
      <c r="AH403" s="30" t="s">
        <v>1133</v>
      </c>
      <c r="AI403" s="6" t="n">
        <v>0</v>
      </c>
      <c r="AJ403" s="6" t="s">
        <v>139</v>
      </c>
      <c r="AK403" s="6" t="s">
        <v>988</v>
      </c>
      <c r="AL403" s="6" t="s">
        <v>139</v>
      </c>
      <c r="AM403" s="6" t="n">
        <v>1</v>
      </c>
      <c r="AQ403" s="6" t="s">
        <v>783</v>
      </c>
      <c r="AR403" s="6" t="s">
        <v>57</v>
      </c>
    </row>
    <row r="404" customFormat="false" ht="15" hidden="false" customHeight="true" outlineLevel="0" collapsed="false">
      <c r="A404" s="27" t="n">
        <v>106511</v>
      </c>
      <c r="B404" s="6" t="s">
        <v>1593</v>
      </c>
      <c r="C404" s="27" t="n">
        <v>106511</v>
      </c>
      <c r="D404" s="6" t="s">
        <v>785</v>
      </c>
      <c r="E404" s="6" t="s">
        <v>1252</v>
      </c>
      <c r="F404" s="6" t="s">
        <v>1594</v>
      </c>
      <c r="G404" s="6" t="s">
        <v>1164</v>
      </c>
      <c r="H404" s="6" t="s">
        <v>157</v>
      </c>
      <c r="I404" s="6" t="s">
        <v>1595</v>
      </c>
      <c r="J404" s="6" t="s">
        <v>26</v>
      </c>
      <c r="K404" s="6" t="s">
        <v>26</v>
      </c>
      <c r="L404" s="6" t="s">
        <v>26</v>
      </c>
      <c r="N404" s="6" t="s">
        <v>1023</v>
      </c>
      <c r="O404" s="6" t="s">
        <v>1501</v>
      </c>
      <c r="P404" s="6" t="n">
        <v>1</v>
      </c>
      <c r="R404" s="6" t="s">
        <v>1152</v>
      </c>
      <c r="U404" s="6" t="n">
        <v>170160</v>
      </c>
      <c r="V404" s="28" t="n">
        <v>170160</v>
      </c>
      <c r="W404" s="29" t="n">
        <v>0.12</v>
      </c>
      <c r="X404" s="6" t="n">
        <v>0.055</v>
      </c>
      <c r="Y404" s="29" t="n">
        <v>0.12</v>
      </c>
      <c r="Z404" s="30"/>
      <c r="AA404" s="29" t="n">
        <v>0.04</v>
      </c>
      <c r="AB404" s="31" t="n">
        <v>227163.6</v>
      </c>
      <c r="AE404" s="6" t="n">
        <v>227163.6</v>
      </c>
      <c r="AF404" s="6" t="s">
        <v>58</v>
      </c>
      <c r="AG404" s="6" t="n">
        <v>0</v>
      </c>
      <c r="AH404" s="30" t="s">
        <v>1254</v>
      </c>
      <c r="AI404" s="6" t="n">
        <v>0</v>
      </c>
      <c r="AJ404" s="6" t="s">
        <v>247</v>
      </c>
      <c r="AK404" s="6" t="s">
        <v>988</v>
      </c>
      <c r="AL404" s="6" t="s">
        <v>247</v>
      </c>
      <c r="AM404" s="6" t="n">
        <v>0</v>
      </c>
      <c r="AQ404" s="6" t="s">
        <v>784</v>
      </c>
      <c r="AR404" s="6" t="s">
        <v>57</v>
      </c>
    </row>
    <row r="405" customFormat="false" ht="15" hidden="false" customHeight="true" outlineLevel="0" collapsed="false">
      <c r="A405" s="27" t="n">
        <v>114383</v>
      </c>
      <c r="B405" s="6" t="s">
        <v>1596</v>
      </c>
      <c r="C405" s="27" t="n">
        <v>114383</v>
      </c>
      <c r="D405" s="6" t="s">
        <v>787</v>
      </c>
      <c r="E405" s="6" t="s">
        <v>1252</v>
      </c>
      <c r="F405" s="6" t="s">
        <v>1594</v>
      </c>
      <c r="G405" s="6" t="s">
        <v>1164</v>
      </c>
      <c r="H405" s="6" t="s">
        <v>157</v>
      </c>
      <c r="I405" s="6" t="s">
        <v>26</v>
      </c>
      <c r="J405" s="6" t="s">
        <v>26</v>
      </c>
      <c r="K405" s="6" t="s">
        <v>26</v>
      </c>
      <c r="L405" s="6" t="s">
        <v>26</v>
      </c>
      <c r="N405" s="6" t="s">
        <v>1023</v>
      </c>
      <c r="O405" s="6" t="s">
        <v>1501</v>
      </c>
      <c r="P405" s="6" t="n">
        <v>1</v>
      </c>
      <c r="R405" s="6" t="s">
        <v>1152</v>
      </c>
      <c r="U405" s="6" t="n">
        <v>160000</v>
      </c>
      <c r="V405" s="28" t="n">
        <v>160000</v>
      </c>
      <c r="W405" s="29" t="n">
        <v>0.12</v>
      </c>
      <c r="X405" s="6" t="n">
        <v>0.055</v>
      </c>
      <c r="Y405" s="29" t="n">
        <v>0.12</v>
      </c>
      <c r="Z405" s="30"/>
      <c r="AA405" s="29" t="n">
        <v>0.04</v>
      </c>
      <c r="AB405" s="31" t="n">
        <v>213600</v>
      </c>
      <c r="AE405" s="6" t="n">
        <v>213600</v>
      </c>
      <c r="AF405" s="6" t="s">
        <v>58</v>
      </c>
      <c r="AG405" s="6" t="n">
        <v>0</v>
      </c>
      <c r="AH405" s="30" t="s">
        <v>1254</v>
      </c>
      <c r="AI405" s="6" t="n">
        <v>0</v>
      </c>
      <c r="AJ405" s="6" t="s">
        <v>247</v>
      </c>
      <c r="AK405" s="6" t="s">
        <v>988</v>
      </c>
      <c r="AL405" s="6" t="s">
        <v>247</v>
      </c>
      <c r="AM405" s="6" t="n">
        <v>0</v>
      </c>
      <c r="AQ405" s="6" t="s">
        <v>786</v>
      </c>
      <c r="AR405" s="6" t="s">
        <v>57</v>
      </c>
    </row>
    <row r="406" customFormat="false" ht="15" hidden="false" customHeight="true" outlineLevel="0" collapsed="false">
      <c r="A406" s="27" t="n">
        <v>113904</v>
      </c>
      <c r="B406" s="6" t="s">
        <v>1597</v>
      </c>
      <c r="C406" s="27" t="n">
        <v>113904</v>
      </c>
      <c r="D406" s="6" t="s">
        <v>789</v>
      </c>
      <c r="E406" s="6" t="s">
        <v>1227</v>
      </c>
      <c r="F406" s="6" t="s">
        <v>217</v>
      </c>
      <c r="G406" s="6" t="s">
        <v>1020</v>
      </c>
      <c r="H406" s="6" t="s">
        <v>1021</v>
      </c>
      <c r="I406" s="6" t="s">
        <v>1228</v>
      </c>
      <c r="J406" s="6" t="s">
        <v>32</v>
      </c>
      <c r="K406" s="6" t="s">
        <v>1229</v>
      </c>
      <c r="L406" s="6" t="s">
        <v>218</v>
      </c>
      <c r="N406" s="6" t="s">
        <v>109</v>
      </c>
      <c r="O406" s="6" t="s">
        <v>1598</v>
      </c>
      <c r="P406" s="6" t="n">
        <v>1</v>
      </c>
      <c r="R406" s="6" t="s">
        <v>1152</v>
      </c>
      <c r="U406" s="6" t="n">
        <v>98480</v>
      </c>
      <c r="V406" s="28" t="n">
        <v>90601.6</v>
      </c>
      <c r="W406" s="29" t="n">
        <v>0.15</v>
      </c>
      <c r="Y406" s="29" t="n">
        <v>0.05</v>
      </c>
      <c r="Z406" s="30" t="n">
        <v>2910</v>
      </c>
      <c r="AA406" s="29" t="n">
        <v>0.03</v>
      </c>
      <c r="AB406" s="31" t="n">
        <v>114349.968</v>
      </c>
      <c r="AE406" s="6" t="n">
        <v>114349.968</v>
      </c>
      <c r="AF406" s="6" t="s">
        <v>58</v>
      </c>
      <c r="AG406" s="6" t="n">
        <v>0</v>
      </c>
      <c r="AH406" s="30" t="s">
        <v>1020</v>
      </c>
      <c r="AI406" s="6" t="n">
        <v>0</v>
      </c>
      <c r="AJ406" s="6" t="s">
        <v>218</v>
      </c>
      <c r="AK406" s="6" t="s">
        <v>988</v>
      </c>
      <c r="AL406" s="6" t="s">
        <v>218</v>
      </c>
      <c r="AM406" s="6" t="n">
        <v>0</v>
      </c>
      <c r="AN406" s="6" t="s">
        <v>58</v>
      </c>
      <c r="AQ406" s="6" t="s">
        <v>788</v>
      </c>
      <c r="AR406" s="6" t="s">
        <v>109</v>
      </c>
    </row>
    <row r="407" customFormat="false" ht="15" hidden="false" customHeight="true" outlineLevel="0" collapsed="false">
      <c r="A407" s="27" t="n">
        <v>113590</v>
      </c>
      <c r="B407" s="6" t="s">
        <v>1599</v>
      </c>
      <c r="C407" s="27" t="n">
        <v>113590</v>
      </c>
      <c r="D407" s="6" t="s">
        <v>138</v>
      </c>
      <c r="E407" s="6" t="s">
        <v>1064</v>
      </c>
      <c r="F407" s="6" t="s">
        <v>1065</v>
      </c>
      <c r="G407" s="6" t="s">
        <v>1020</v>
      </c>
      <c r="H407" s="6" t="s">
        <v>1066</v>
      </c>
      <c r="I407" s="6" t="s">
        <v>1067</v>
      </c>
      <c r="J407" s="6" t="s">
        <v>32</v>
      </c>
      <c r="K407" s="6" t="s">
        <v>333</v>
      </c>
      <c r="L407" s="6" t="s">
        <v>333</v>
      </c>
      <c r="N407" s="6" t="s">
        <v>109</v>
      </c>
      <c r="O407" s="6" t="s">
        <v>1598</v>
      </c>
      <c r="P407" s="6" t="n">
        <v>0.8</v>
      </c>
      <c r="R407" s="6" t="s">
        <v>1105</v>
      </c>
      <c r="U407" s="6" t="n">
        <v>128530</v>
      </c>
      <c r="V407" s="28" t="n">
        <v>118247.6</v>
      </c>
      <c r="W407" s="29" t="n">
        <v>0.15</v>
      </c>
      <c r="Y407" s="29" t="n">
        <v>0.05</v>
      </c>
      <c r="Z407" s="30" t="n">
        <v>2910</v>
      </c>
      <c r="AA407" s="29" t="n">
        <v>0.03</v>
      </c>
      <c r="AB407" s="31" t="n">
        <v>148354.548</v>
      </c>
      <c r="AE407" s="6" t="n">
        <v>118683.6384</v>
      </c>
      <c r="AF407" s="6" t="s">
        <v>58</v>
      </c>
      <c r="AG407" s="6" t="n">
        <v>0</v>
      </c>
      <c r="AH407" s="30" t="s">
        <v>1020</v>
      </c>
      <c r="AI407" s="6" t="n">
        <v>0</v>
      </c>
      <c r="AJ407" s="6" t="s">
        <v>333</v>
      </c>
      <c r="AK407" s="6" t="s">
        <v>988</v>
      </c>
      <c r="AL407" s="6" t="s">
        <v>333</v>
      </c>
      <c r="AM407" s="6" t="n">
        <v>0</v>
      </c>
      <c r="AN407" s="6" t="s">
        <v>58</v>
      </c>
      <c r="AQ407" s="6" t="s">
        <v>790</v>
      </c>
      <c r="AR407" s="6" t="s">
        <v>109</v>
      </c>
    </row>
    <row r="408" customFormat="false" ht="15" hidden="false" customHeight="true" outlineLevel="0" collapsed="false">
      <c r="A408" s="27" t="n">
        <v>113614</v>
      </c>
      <c r="B408" s="6" t="s">
        <v>1600</v>
      </c>
      <c r="C408" s="27" t="n">
        <v>113614</v>
      </c>
      <c r="D408" s="6" t="s">
        <v>138</v>
      </c>
      <c r="E408" s="6" t="s">
        <v>1064</v>
      </c>
      <c r="F408" s="6" t="s">
        <v>1065</v>
      </c>
      <c r="G408" s="6" t="s">
        <v>1020</v>
      </c>
      <c r="H408" s="6" t="s">
        <v>1066</v>
      </c>
      <c r="I408" s="6" t="s">
        <v>1067</v>
      </c>
      <c r="J408" s="6" t="s">
        <v>32</v>
      </c>
      <c r="K408" s="6" t="s">
        <v>333</v>
      </c>
      <c r="L408" s="6" t="s">
        <v>333</v>
      </c>
      <c r="N408" s="6" t="s">
        <v>109</v>
      </c>
      <c r="O408" s="6" t="s">
        <v>1598</v>
      </c>
      <c r="P408" s="6" t="n">
        <v>1</v>
      </c>
      <c r="R408" s="6" t="s">
        <v>1152</v>
      </c>
      <c r="U408" s="6" t="n">
        <v>133930</v>
      </c>
      <c r="V408" s="28" t="n">
        <v>123215.6</v>
      </c>
      <c r="W408" s="29" t="n">
        <v>0.15</v>
      </c>
      <c r="Y408" s="29" t="n">
        <v>0.05</v>
      </c>
      <c r="Z408" s="30" t="n">
        <v>2910</v>
      </c>
      <c r="AA408" s="29" t="n">
        <v>0.03</v>
      </c>
      <c r="AB408" s="31" t="n">
        <v>154465.188</v>
      </c>
      <c r="AE408" s="6" t="n">
        <v>154465.188</v>
      </c>
      <c r="AF408" s="6" t="s">
        <v>58</v>
      </c>
      <c r="AG408" s="6" t="n">
        <v>0</v>
      </c>
      <c r="AH408" s="30" t="s">
        <v>1020</v>
      </c>
      <c r="AI408" s="6" t="n">
        <v>0</v>
      </c>
      <c r="AJ408" s="6" t="s">
        <v>333</v>
      </c>
      <c r="AK408" s="6" t="s">
        <v>988</v>
      </c>
      <c r="AL408" s="6" t="s">
        <v>333</v>
      </c>
      <c r="AM408" s="6" t="n">
        <v>0</v>
      </c>
      <c r="AN408" s="6" t="s">
        <v>58</v>
      </c>
      <c r="AQ408" s="6" t="s">
        <v>791</v>
      </c>
      <c r="AR408" s="6" t="s">
        <v>109</v>
      </c>
    </row>
    <row r="409" customFormat="false" ht="15" hidden="false" customHeight="true" outlineLevel="0" collapsed="false">
      <c r="A409" s="27" t="n">
        <v>107144</v>
      </c>
      <c r="B409" s="6" t="s">
        <v>1601</v>
      </c>
      <c r="C409" s="27" t="n">
        <v>107144</v>
      </c>
      <c r="D409" s="6" t="s">
        <v>793</v>
      </c>
      <c r="E409" s="6" t="s">
        <v>1343</v>
      </c>
      <c r="F409" s="6" t="s">
        <v>347</v>
      </c>
      <c r="G409" s="6" t="s">
        <v>1020</v>
      </c>
      <c r="H409" s="6" t="s">
        <v>1021</v>
      </c>
      <c r="I409" s="6" t="s">
        <v>1122</v>
      </c>
      <c r="J409" s="6" t="s">
        <v>18</v>
      </c>
      <c r="K409" s="6" t="s">
        <v>1028</v>
      </c>
      <c r="L409" s="6" t="s">
        <v>387</v>
      </c>
      <c r="N409" s="6" t="s">
        <v>1023</v>
      </c>
      <c r="O409" s="6" t="s">
        <v>1598</v>
      </c>
      <c r="P409" s="6" t="n">
        <v>1</v>
      </c>
      <c r="R409" s="6" t="s">
        <v>1152</v>
      </c>
      <c r="U409" s="6" t="n">
        <v>104000</v>
      </c>
      <c r="V409" s="28" t="n">
        <v>104000</v>
      </c>
      <c r="W409" s="29" t="n">
        <v>0.1</v>
      </c>
      <c r="X409" s="6" t="n">
        <v>0.055</v>
      </c>
      <c r="Y409" s="29" t="n">
        <v>0.12</v>
      </c>
      <c r="Z409" s="30"/>
      <c r="AA409" s="29" t="n">
        <v>0.04</v>
      </c>
      <c r="AB409" s="31" t="n">
        <v>136760</v>
      </c>
      <c r="AE409" s="6" t="n">
        <v>136760</v>
      </c>
      <c r="AF409" s="6" t="s">
        <v>58</v>
      </c>
      <c r="AG409" s="6" t="n">
        <v>0</v>
      </c>
      <c r="AH409" s="30" t="s">
        <v>1020</v>
      </c>
      <c r="AI409" s="6" t="n">
        <v>0</v>
      </c>
      <c r="AJ409" s="6" t="s">
        <v>387</v>
      </c>
      <c r="AK409" s="6" t="s">
        <v>988</v>
      </c>
      <c r="AL409" s="6" t="s">
        <v>387</v>
      </c>
      <c r="AM409" s="6" t="n">
        <v>0</v>
      </c>
      <c r="AN409" s="6" t="s">
        <v>58</v>
      </c>
      <c r="AQ409" s="6" t="s">
        <v>792</v>
      </c>
      <c r="AR409" s="6" t="s">
        <v>57</v>
      </c>
    </row>
    <row r="410" customFormat="false" ht="15" hidden="false" customHeight="true" outlineLevel="0" collapsed="false">
      <c r="A410" s="27" t="n">
        <v>115607</v>
      </c>
      <c r="B410" s="6" t="s">
        <v>1602</v>
      </c>
      <c r="C410" s="27" t="n">
        <v>115607</v>
      </c>
      <c r="D410" s="6" t="s">
        <v>133</v>
      </c>
      <c r="E410" s="6" t="s">
        <v>1343</v>
      </c>
      <c r="F410" s="6" t="s">
        <v>347</v>
      </c>
      <c r="G410" s="6" t="s">
        <v>1020</v>
      </c>
      <c r="H410" s="6" t="s">
        <v>1021</v>
      </c>
      <c r="I410" s="6" t="s">
        <v>1122</v>
      </c>
      <c r="J410" s="6" t="s">
        <v>18</v>
      </c>
      <c r="K410" s="6" t="s">
        <v>1028</v>
      </c>
      <c r="L410" s="6" t="s">
        <v>62</v>
      </c>
      <c r="N410" s="6" t="s">
        <v>1023</v>
      </c>
      <c r="O410" s="6" t="s">
        <v>1598</v>
      </c>
      <c r="P410" s="6" t="n">
        <v>1</v>
      </c>
      <c r="R410" s="6" t="s">
        <v>1152</v>
      </c>
      <c r="U410" s="6" t="n">
        <v>135000</v>
      </c>
      <c r="V410" s="28" t="n">
        <v>135000</v>
      </c>
      <c r="W410" s="29" t="n">
        <v>0.1</v>
      </c>
      <c r="X410" s="6" t="n">
        <v>0.055</v>
      </c>
      <c r="Y410" s="29" t="n">
        <v>0.12</v>
      </c>
      <c r="Z410" s="30"/>
      <c r="AA410" s="29" t="n">
        <v>0.04</v>
      </c>
      <c r="AB410" s="31" t="n">
        <v>177525</v>
      </c>
      <c r="AE410" s="6" t="n">
        <v>177525</v>
      </c>
      <c r="AF410" s="6" t="s">
        <v>58</v>
      </c>
      <c r="AG410" s="6" t="n">
        <v>0</v>
      </c>
      <c r="AH410" s="30" t="s">
        <v>1020</v>
      </c>
      <c r="AI410" s="6" t="n">
        <v>0</v>
      </c>
      <c r="AJ410" s="6" t="s">
        <v>62</v>
      </c>
      <c r="AK410" s="6" t="s">
        <v>988</v>
      </c>
      <c r="AL410" s="6" t="s">
        <v>62</v>
      </c>
      <c r="AM410" s="6" t="n">
        <v>0</v>
      </c>
      <c r="AN410" s="6" t="s">
        <v>58</v>
      </c>
      <c r="AQ410" s="6" t="s">
        <v>794</v>
      </c>
      <c r="AR410" s="6" t="s">
        <v>57</v>
      </c>
    </row>
    <row r="411" customFormat="false" ht="15" hidden="false" customHeight="true" outlineLevel="0" collapsed="false">
      <c r="A411" s="27" t="n">
        <v>113526</v>
      </c>
      <c r="B411" s="6" t="s">
        <v>1603</v>
      </c>
      <c r="C411" s="27" t="n">
        <v>113526</v>
      </c>
      <c r="D411" s="6" t="s">
        <v>796</v>
      </c>
      <c r="E411" s="6" t="s">
        <v>1219</v>
      </c>
      <c r="F411" s="6" t="s">
        <v>1335</v>
      </c>
      <c r="G411" s="6" t="s">
        <v>1020</v>
      </c>
      <c r="H411" s="6" t="s">
        <v>1066</v>
      </c>
      <c r="I411" s="6" t="s">
        <v>1221</v>
      </c>
      <c r="J411" s="6" t="s">
        <v>32</v>
      </c>
      <c r="K411" s="6" t="s">
        <v>333</v>
      </c>
      <c r="L411" s="6" t="s">
        <v>333</v>
      </c>
      <c r="N411" s="6" t="s">
        <v>109</v>
      </c>
      <c r="O411" s="6" t="s">
        <v>1598</v>
      </c>
      <c r="P411" s="6" t="n">
        <v>1</v>
      </c>
      <c r="R411" s="6" t="s">
        <v>1152</v>
      </c>
      <c r="U411" s="6" t="n">
        <v>137040</v>
      </c>
      <c r="V411" s="28" t="n">
        <v>126076.8</v>
      </c>
      <c r="W411" s="29" t="n">
        <v>0.15</v>
      </c>
      <c r="Y411" s="29" t="n">
        <v>0.05</v>
      </c>
      <c r="Z411" s="30" t="n">
        <v>2910</v>
      </c>
      <c r="AA411" s="29" t="n">
        <v>0.03</v>
      </c>
      <c r="AB411" s="31" t="n">
        <v>157984.464</v>
      </c>
      <c r="AE411" s="6" t="n">
        <v>157984.464</v>
      </c>
      <c r="AF411" s="6" t="s">
        <v>58</v>
      </c>
      <c r="AG411" s="6" t="n">
        <v>0</v>
      </c>
      <c r="AH411" s="30" t="s">
        <v>1020</v>
      </c>
      <c r="AI411" s="6" t="n">
        <v>0</v>
      </c>
      <c r="AJ411" s="6" t="s">
        <v>333</v>
      </c>
      <c r="AK411" s="6" t="s">
        <v>988</v>
      </c>
      <c r="AL411" s="6" t="s">
        <v>333</v>
      </c>
      <c r="AM411" s="6" t="n">
        <v>0</v>
      </c>
      <c r="AN411" s="6" t="s">
        <v>58</v>
      </c>
      <c r="AQ411" s="6" t="s">
        <v>795</v>
      </c>
      <c r="AR411" s="6" t="s">
        <v>109</v>
      </c>
    </row>
    <row r="412" customFormat="false" ht="15" hidden="false" customHeight="true" outlineLevel="0" collapsed="false">
      <c r="A412" s="27" t="n">
        <v>115807</v>
      </c>
      <c r="B412" s="6" t="s">
        <v>1604</v>
      </c>
      <c r="C412" s="27" t="n">
        <v>115807</v>
      </c>
      <c r="D412" s="6" t="s">
        <v>796</v>
      </c>
      <c r="E412" s="6" t="s">
        <v>1219</v>
      </c>
      <c r="F412" s="6" t="s">
        <v>1335</v>
      </c>
      <c r="G412" s="6" t="s">
        <v>1020</v>
      </c>
      <c r="H412" s="6" t="s">
        <v>1066</v>
      </c>
      <c r="I412" s="6" t="s">
        <v>1221</v>
      </c>
      <c r="J412" s="6" t="s">
        <v>32</v>
      </c>
      <c r="K412" s="6" t="s">
        <v>333</v>
      </c>
      <c r="L412" s="6" t="s">
        <v>333</v>
      </c>
      <c r="N412" s="6" t="s">
        <v>109</v>
      </c>
      <c r="O412" s="6" t="s">
        <v>1598</v>
      </c>
      <c r="P412" s="6" t="n">
        <v>1</v>
      </c>
      <c r="R412" s="6" t="s">
        <v>1152</v>
      </c>
      <c r="U412" s="6" t="n">
        <v>119630</v>
      </c>
      <c r="V412" s="28" t="n">
        <v>110059.6</v>
      </c>
      <c r="W412" s="29" t="n">
        <v>0.15</v>
      </c>
      <c r="Y412" s="29" t="n">
        <v>0.05</v>
      </c>
      <c r="Z412" s="30" t="n">
        <v>2911</v>
      </c>
      <c r="AA412" s="29" t="n">
        <v>0.03</v>
      </c>
      <c r="AB412" s="31" t="n">
        <v>138284.308</v>
      </c>
      <c r="AE412" s="6" t="n">
        <v>138284.308</v>
      </c>
      <c r="AF412" s="6" t="s">
        <v>58</v>
      </c>
      <c r="AG412" s="6" t="n">
        <v>0</v>
      </c>
      <c r="AH412" s="30" t="s">
        <v>1020</v>
      </c>
      <c r="AI412" s="6" t="n">
        <v>0</v>
      </c>
      <c r="AJ412" s="6" t="s">
        <v>333</v>
      </c>
      <c r="AK412" s="6" t="s">
        <v>988</v>
      </c>
      <c r="AL412" s="6" t="s">
        <v>333</v>
      </c>
      <c r="AM412" s="6" t="n">
        <v>0</v>
      </c>
      <c r="AN412" s="6" t="s">
        <v>58</v>
      </c>
      <c r="AQ412" s="6" t="s">
        <v>797</v>
      </c>
      <c r="AR412" s="6" t="s">
        <v>109</v>
      </c>
    </row>
    <row r="413" customFormat="false" ht="15" hidden="false" customHeight="true" outlineLevel="0" collapsed="false">
      <c r="A413" s="27" t="n">
        <v>117151</v>
      </c>
      <c r="B413" s="6" t="s">
        <v>1605</v>
      </c>
      <c r="C413" s="27" t="n">
        <v>117151</v>
      </c>
      <c r="D413" s="6" t="s">
        <v>796</v>
      </c>
      <c r="E413" s="6" t="s">
        <v>1219</v>
      </c>
      <c r="F413" s="6" t="s">
        <v>1335</v>
      </c>
      <c r="G413" s="6" t="s">
        <v>1020</v>
      </c>
      <c r="H413" s="6" t="s">
        <v>1066</v>
      </c>
      <c r="I413" s="6" t="s">
        <v>1221</v>
      </c>
      <c r="J413" s="6" t="s">
        <v>32</v>
      </c>
      <c r="K413" s="6" t="s">
        <v>333</v>
      </c>
      <c r="L413" s="6" t="s">
        <v>333</v>
      </c>
      <c r="N413" s="6" t="s">
        <v>109</v>
      </c>
      <c r="O413" s="6" t="s">
        <v>1598</v>
      </c>
      <c r="P413" s="6" t="n">
        <v>1</v>
      </c>
      <c r="R413" s="6" t="s">
        <v>1152</v>
      </c>
      <c r="U413" s="6" t="n">
        <v>130000</v>
      </c>
      <c r="V413" s="28" t="n">
        <v>119600</v>
      </c>
      <c r="W413" s="29" t="n">
        <v>0.15</v>
      </c>
      <c r="Y413" s="29" t="n">
        <v>0.05</v>
      </c>
      <c r="Z413" s="30" t="n">
        <v>2913</v>
      </c>
      <c r="AA413" s="29" t="n">
        <v>0.03</v>
      </c>
      <c r="AB413" s="31" t="n">
        <v>150021</v>
      </c>
      <c r="AE413" s="6" t="n">
        <v>150021</v>
      </c>
      <c r="AF413" s="6" t="s">
        <v>58</v>
      </c>
      <c r="AG413" s="6" t="n">
        <v>0</v>
      </c>
      <c r="AH413" s="30" t="s">
        <v>1020</v>
      </c>
      <c r="AI413" s="6" t="n">
        <v>0</v>
      </c>
      <c r="AJ413" s="6" t="s">
        <v>333</v>
      </c>
      <c r="AK413" s="6" t="s">
        <v>988</v>
      </c>
      <c r="AL413" s="6" t="s">
        <v>333</v>
      </c>
      <c r="AM413" s="6" t="n">
        <v>0</v>
      </c>
      <c r="AN413" s="6" t="s">
        <v>58</v>
      </c>
      <c r="AQ413" s="6" t="s">
        <v>798</v>
      </c>
      <c r="AR413" s="6" t="s">
        <v>109</v>
      </c>
    </row>
    <row r="414" customFormat="false" ht="15" hidden="false" customHeight="true" outlineLevel="0" collapsed="false">
      <c r="A414" s="27" t="n">
        <v>97357</v>
      </c>
      <c r="B414" s="6" t="s">
        <v>1606</v>
      </c>
      <c r="C414" s="27" t="n">
        <v>97357</v>
      </c>
      <c r="D414" s="6" t="s">
        <v>800</v>
      </c>
      <c r="E414" s="6" t="s">
        <v>1079</v>
      </c>
      <c r="F414" s="6" t="s">
        <v>1080</v>
      </c>
      <c r="G414" s="6" t="s">
        <v>1020</v>
      </c>
      <c r="H414" s="6" t="s">
        <v>1021</v>
      </c>
      <c r="I414" s="6" t="s">
        <v>1081</v>
      </c>
      <c r="J414" s="6" t="s">
        <v>18</v>
      </c>
      <c r="K414" s="6" t="s">
        <v>1028</v>
      </c>
      <c r="L414" s="6" t="s">
        <v>101</v>
      </c>
      <c r="N414" s="6" t="s">
        <v>1023</v>
      </c>
      <c r="O414" s="6" t="s">
        <v>1598</v>
      </c>
      <c r="P414" s="6" t="n">
        <v>1</v>
      </c>
      <c r="R414" s="6" t="s">
        <v>1152</v>
      </c>
      <c r="U414" s="6" t="n">
        <v>126130</v>
      </c>
      <c r="V414" s="28" t="n">
        <v>126130</v>
      </c>
      <c r="W414" s="29" t="n">
        <v>0.1</v>
      </c>
      <c r="X414" s="6" t="n">
        <v>0.055</v>
      </c>
      <c r="Y414" s="29" t="n">
        <v>0.12</v>
      </c>
      <c r="Z414" s="30"/>
      <c r="AA414" s="29" t="n">
        <v>0.04</v>
      </c>
      <c r="AB414" s="31" t="n">
        <v>165860.95</v>
      </c>
      <c r="AE414" s="6" t="n">
        <v>165860.95</v>
      </c>
      <c r="AF414" s="6" t="s">
        <v>58</v>
      </c>
      <c r="AG414" s="6" t="n">
        <v>0</v>
      </c>
      <c r="AH414" s="30" t="s">
        <v>1020</v>
      </c>
      <c r="AI414" s="6" t="n">
        <v>0</v>
      </c>
      <c r="AJ414" s="6" t="s">
        <v>101</v>
      </c>
      <c r="AK414" s="6" t="s">
        <v>988</v>
      </c>
      <c r="AL414" s="6" t="s">
        <v>101</v>
      </c>
      <c r="AM414" s="6" t="n">
        <v>0</v>
      </c>
      <c r="AN414" s="6" t="s">
        <v>58</v>
      </c>
      <c r="AQ414" s="6" t="s">
        <v>799</v>
      </c>
      <c r="AR414" s="6" t="s">
        <v>57</v>
      </c>
    </row>
    <row r="415" customFormat="false" ht="15" hidden="false" customHeight="true" outlineLevel="0" collapsed="false">
      <c r="A415" s="27" t="n">
        <v>117426</v>
      </c>
      <c r="B415" s="6" t="s">
        <v>1607</v>
      </c>
      <c r="C415" s="27" t="n">
        <v>117426</v>
      </c>
      <c r="D415" s="6" t="s">
        <v>588</v>
      </c>
      <c r="E415" s="6" t="s">
        <v>1216</v>
      </c>
      <c r="F415" s="6" t="s">
        <v>1496</v>
      </c>
      <c r="G415" s="6" t="s">
        <v>1020</v>
      </c>
      <c r="H415" s="6" t="s">
        <v>1066</v>
      </c>
      <c r="I415" s="6" t="s">
        <v>1218</v>
      </c>
      <c r="J415" s="6" t="s">
        <v>32</v>
      </c>
      <c r="K415" s="6" t="s">
        <v>333</v>
      </c>
      <c r="L415" s="6" t="s">
        <v>333</v>
      </c>
      <c r="N415" s="6" t="s">
        <v>109</v>
      </c>
      <c r="O415" s="6" t="s">
        <v>1598</v>
      </c>
      <c r="P415" s="6" t="n">
        <v>1</v>
      </c>
      <c r="R415" s="6" t="s">
        <v>1322</v>
      </c>
      <c r="U415" s="6" t="n">
        <v>135000</v>
      </c>
      <c r="V415" s="28" t="n">
        <v>124200</v>
      </c>
      <c r="W415" s="29" t="n">
        <v>0.15</v>
      </c>
      <c r="Y415" s="29" t="n">
        <v>0.05</v>
      </c>
      <c r="Z415" s="30" t="n">
        <v>2914</v>
      </c>
      <c r="AA415" s="29" t="n">
        <v>0.03</v>
      </c>
      <c r="AB415" s="31" t="n">
        <v>155680</v>
      </c>
      <c r="AC415" s="6" t="s">
        <v>1608</v>
      </c>
      <c r="AE415" s="6" t="n">
        <v>155680</v>
      </c>
      <c r="AF415" s="6" t="s">
        <v>58</v>
      </c>
      <c r="AG415" s="6" t="n">
        <v>0</v>
      </c>
      <c r="AH415" s="30" t="s">
        <v>1020</v>
      </c>
      <c r="AI415" s="6" t="n">
        <v>0</v>
      </c>
      <c r="AJ415" s="6" t="s">
        <v>333</v>
      </c>
      <c r="AK415" s="6" t="s">
        <v>988</v>
      </c>
      <c r="AL415" s="6" t="s">
        <v>333</v>
      </c>
      <c r="AM415" s="6" t="n">
        <v>0</v>
      </c>
      <c r="AN415" s="6" t="s">
        <v>58</v>
      </c>
      <c r="AO415" s="6" t="s">
        <v>1608</v>
      </c>
      <c r="AP415" s="32" t="n">
        <v>46542</v>
      </c>
      <c r="AQ415" s="6" t="s">
        <v>801</v>
      </c>
      <c r="AR415" s="6" t="s">
        <v>109</v>
      </c>
    </row>
    <row r="416" customFormat="false" ht="15" hidden="false" customHeight="true" outlineLevel="0" collapsed="false">
      <c r="A416" s="27" t="n">
        <v>115809</v>
      </c>
      <c r="B416" s="6" t="s">
        <v>1609</v>
      </c>
      <c r="C416" s="27" t="n">
        <v>115809</v>
      </c>
      <c r="D416" s="6" t="s">
        <v>588</v>
      </c>
      <c r="E416" s="6" t="s">
        <v>1216</v>
      </c>
      <c r="F416" s="6" t="s">
        <v>1496</v>
      </c>
      <c r="G416" s="6" t="s">
        <v>1020</v>
      </c>
      <c r="H416" s="6" t="s">
        <v>1066</v>
      </c>
      <c r="I416" s="6" t="s">
        <v>1218</v>
      </c>
      <c r="J416" s="6" t="s">
        <v>22</v>
      </c>
      <c r="K416" s="6" t="s">
        <v>21</v>
      </c>
      <c r="L416" s="6" t="s">
        <v>56</v>
      </c>
      <c r="N416" s="6" t="s">
        <v>109</v>
      </c>
      <c r="O416" s="6" t="s">
        <v>1598</v>
      </c>
      <c r="P416" s="6" t="n">
        <v>1</v>
      </c>
      <c r="R416" s="6" t="s">
        <v>1152</v>
      </c>
      <c r="U416" s="6" t="n">
        <v>120000</v>
      </c>
      <c r="V416" s="28" t="n">
        <v>110400</v>
      </c>
      <c r="W416" s="29" t="n">
        <v>0.15</v>
      </c>
      <c r="Y416" s="29" t="n">
        <v>0.05</v>
      </c>
      <c r="Z416" s="30" t="n">
        <v>2912</v>
      </c>
      <c r="AA416" s="29" t="n">
        <v>0.03</v>
      </c>
      <c r="AB416" s="31" t="n">
        <v>138704</v>
      </c>
      <c r="AE416" s="6" t="n">
        <v>138704</v>
      </c>
      <c r="AF416" s="6" t="s">
        <v>58</v>
      </c>
      <c r="AG416" s="6" t="n">
        <v>0</v>
      </c>
      <c r="AH416" s="30" t="s">
        <v>1020</v>
      </c>
      <c r="AI416" s="6" t="n">
        <v>0</v>
      </c>
      <c r="AJ416" s="6" t="s">
        <v>56</v>
      </c>
      <c r="AK416" s="6" t="s">
        <v>988</v>
      </c>
      <c r="AL416" s="6" t="s">
        <v>56</v>
      </c>
      <c r="AM416" s="6" t="n">
        <v>1</v>
      </c>
      <c r="AN416" s="6" t="s">
        <v>58</v>
      </c>
      <c r="AQ416" s="6" t="s">
        <v>802</v>
      </c>
      <c r="AR416" s="6" t="s">
        <v>109</v>
      </c>
    </row>
    <row r="417" customFormat="false" ht="15" hidden="false" customHeight="true" outlineLevel="0" collapsed="false">
      <c r="A417" s="27" t="n">
        <v>14013</v>
      </c>
      <c r="B417" s="6" t="s">
        <v>1610</v>
      </c>
      <c r="C417" s="27" t="n">
        <v>14013</v>
      </c>
      <c r="D417" s="6" t="s">
        <v>601</v>
      </c>
      <c r="E417" s="6" t="s">
        <v>1273</v>
      </c>
      <c r="F417" s="6" t="s">
        <v>1346</v>
      </c>
      <c r="G417" s="6" t="s">
        <v>1058</v>
      </c>
      <c r="H417" s="6" t="s">
        <v>20</v>
      </c>
      <c r="I417" s="6" t="s">
        <v>1274</v>
      </c>
      <c r="J417" s="6" t="s">
        <v>20</v>
      </c>
      <c r="K417" s="6" t="s">
        <v>351</v>
      </c>
      <c r="L417" s="6" t="s">
        <v>351</v>
      </c>
      <c r="N417" s="6" t="s">
        <v>1023</v>
      </c>
      <c r="O417" s="6" t="s">
        <v>1611</v>
      </c>
      <c r="P417" s="6" t="n">
        <v>1</v>
      </c>
      <c r="R417" s="6" t="s">
        <v>1152</v>
      </c>
      <c r="U417" s="6" t="n">
        <v>136890</v>
      </c>
      <c r="V417" s="28" t="n">
        <v>136890</v>
      </c>
      <c r="W417" s="29" t="n">
        <v>0.1</v>
      </c>
      <c r="X417" s="6" t="n">
        <v>0.055</v>
      </c>
      <c r="Y417" s="29" t="n">
        <v>0.12</v>
      </c>
      <c r="Z417" s="30"/>
      <c r="AA417" s="29" t="n">
        <v>0.04</v>
      </c>
      <c r="AB417" s="31" t="n">
        <v>180010.35</v>
      </c>
      <c r="AE417" s="6" t="n">
        <v>180010.35</v>
      </c>
      <c r="AF417" s="6" t="s">
        <v>58</v>
      </c>
      <c r="AG417" s="6" t="n">
        <v>0</v>
      </c>
      <c r="AH417" s="30" t="s">
        <v>20</v>
      </c>
      <c r="AI417" s="6" t="n">
        <v>0</v>
      </c>
      <c r="AJ417" s="6" t="s">
        <v>351</v>
      </c>
      <c r="AK417" s="6" t="s">
        <v>988</v>
      </c>
      <c r="AL417" s="6" t="s">
        <v>351</v>
      </c>
      <c r="AM417" s="6" t="n">
        <v>0</v>
      </c>
      <c r="AQ417" s="6" t="s">
        <v>803</v>
      </c>
      <c r="AR417" s="6" t="s">
        <v>57</v>
      </c>
    </row>
    <row r="418" customFormat="false" ht="15" hidden="false" customHeight="true" outlineLevel="0" collapsed="false">
      <c r="A418" s="27" t="n">
        <v>115836</v>
      </c>
      <c r="B418" s="6" t="s">
        <v>1612</v>
      </c>
      <c r="C418" s="27" t="n">
        <v>115836</v>
      </c>
      <c r="D418" s="6" t="s">
        <v>805</v>
      </c>
      <c r="E418" s="6" t="s">
        <v>1273</v>
      </c>
      <c r="F418" s="6" t="s">
        <v>1346</v>
      </c>
      <c r="G418" s="6" t="s">
        <v>1058</v>
      </c>
      <c r="H418" s="6" t="s">
        <v>20</v>
      </c>
      <c r="I418" s="6" t="s">
        <v>1274</v>
      </c>
      <c r="J418" s="6" t="s">
        <v>20</v>
      </c>
      <c r="K418" s="6" t="s">
        <v>351</v>
      </c>
      <c r="L418" s="6" t="s">
        <v>351</v>
      </c>
      <c r="N418" s="6" t="s">
        <v>1613</v>
      </c>
      <c r="O418" s="6" t="s">
        <v>1611</v>
      </c>
      <c r="P418" s="6" t="n">
        <v>1</v>
      </c>
      <c r="R418" s="6" t="s">
        <v>1152</v>
      </c>
      <c r="U418" s="6" t="n">
        <v>92000</v>
      </c>
      <c r="V418" s="28" t="n">
        <v>140760</v>
      </c>
      <c r="W418" s="29" t="n">
        <v>0</v>
      </c>
      <c r="X418" s="6" t="n">
        <v>0</v>
      </c>
      <c r="Y418" s="29" t="n">
        <v>0</v>
      </c>
      <c r="Z418" s="30" t="n">
        <v>0</v>
      </c>
      <c r="AA418" s="29" t="n">
        <v>0.04</v>
      </c>
      <c r="AB418" s="31" t="n">
        <v>146390.4</v>
      </c>
      <c r="AE418" s="6" t="n">
        <v>146390.4</v>
      </c>
      <c r="AF418" s="6" t="s">
        <v>58</v>
      </c>
      <c r="AG418" s="6" t="n">
        <v>0</v>
      </c>
      <c r="AH418" s="30" t="s">
        <v>20</v>
      </c>
      <c r="AI418" s="6" t="n">
        <v>0</v>
      </c>
      <c r="AJ418" s="6" t="s">
        <v>351</v>
      </c>
      <c r="AK418" s="6" t="s">
        <v>988</v>
      </c>
      <c r="AL418" s="6" t="s">
        <v>351</v>
      </c>
      <c r="AM418" s="6" t="n">
        <v>0</v>
      </c>
      <c r="AQ418" s="6" t="s">
        <v>804</v>
      </c>
      <c r="AR418" s="6" t="s">
        <v>57</v>
      </c>
    </row>
    <row r="419" customFormat="false" ht="15" hidden="false" customHeight="true" outlineLevel="0" collapsed="false">
      <c r="A419" s="27" t="n">
        <v>11661</v>
      </c>
      <c r="B419" s="6" t="s">
        <v>1614</v>
      </c>
      <c r="C419" s="27" t="n">
        <v>11661</v>
      </c>
      <c r="D419" s="6" t="s">
        <v>601</v>
      </c>
      <c r="E419" s="6" t="s">
        <v>1273</v>
      </c>
      <c r="F419" s="6" t="s">
        <v>1346</v>
      </c>
      <c r="G419" s="6" t="s">
        <v>1058</v>
      </c>
      <c r="H419" s="6" t="s">
        <v>20</v>
      </c>
      <c r="I419" s="6" t="s">
        <v>1274</v>
      </c>
      <c r="J419" s="6" t="s">
        <v>20</v>
      </c>
      <c r="K419" s="6" t="s">
        <v>351</v>
      </c>
      <c r="L419" s="6" t="s">
        <v>351</v>
      </c>
      <c r="N419" s="6" t="s">
        <v>1023</v>
      </c>
      <c r="O419" s="6" t="s">
        <v>1611</v>
      </c>
      <c r="P419" s="6" t="n">
        <v>1</v>
      </c>
      <c r="R419" s="6" t="s">
        <v>1152</v>
      </c>
      <c r="U419" s="6" t="n">
        <v>136860</v>
      </c>
      <c r="V419" s="28" t="n">
        <v>136860</v>
      </c>
      <c r="W419" s="29" t="n">
        <v>0.1</v>
      </c>
      <c r="X419" s="6" t="n">
        <v>0.055</v>
      </c>
      <c r="Y419" s="29" t="n">
        <v>0.12</v>
      </c>
      <c r="Z419" s="30"/>
      <c r="AA419" s="29" t="n">
        <v>0.04</v>
      </c>
      <c r="AB419" s="31" t="n">
        <v>179970.9</v>
      </c>
      <c r="AE419" s="6" t="n">
        <v>179970.9</v>
      </c>
      <c r="AF419" s="6" t="s">
        <v>58</v>
      </c>
      <c r="AG419" s="6" t="n">
        <v>0</v>
      </c>
      <c r="AH419" s="30" t="s">
        <v>20</v>
      </c>
      <c r="AI419" s="6" t="n">
        <v>0</v>
      </c>
      <c r="AJ419" s="6" t="s">
        <v>351</v>
      </c>
      <c r="AK419" s="6" t="s">
        <v>988</v>
      </c>
      <c r="AL419" s="6" t="s">
        <v>351</v>
      </c>
      <c r="AM419" s="6" t="n">
        <v>0</v>
      </c>
      <c r="AQ419" s="6" t="s">
        <v>806</v>
      </c>
      <c r="AR419" s="6" t="s">
        <v>57</v>
      </c>
    </row>
    <row r="420" customFormat="false" ht="15" hidden="false" customHeight="true" outlineLevel="0" collapsed="false">
      <c r="A420" s="27" t="n">
        <v>14920</v>
      </c>
      <c r="B420" s="6" t="s">
        <v>1615</v>
      </c>
      <c r="C420" s="27" t="n">
        <v>14920</v>
      </c>
      <c r="D420" s="6" t="s">
        <v>808</v>
      </c>
      <c r="E420" s="6" t="s">
        <v>1273</v>
      </c>
      <c r="F420" s="6" t="s">
        <v>1346</v>
      </c>
      <c r="G420" s="6" t="s">
        <v>1058</v>
      </c>
      <c r="H420" s="6" t="s">
        <v>20</v>
      </c>
      <c r="I420" s="6" t="s">
        <v>1274</v>
      </c>
      <c r="J420" s="6" t="s">
        <v>20</v>
      </c>
      <c r="K420" s="6" t="s">
        <v>351</v>
      </c>
      <c r="L420" s="6" t="s">
        <v>351</v>
      </c>
      <c r="N420" s="6" t="s">
        <v>1189</v>
      </c>
      <c r="O420" s="6" t="s">
        <v>1611</v>
      </c>
      <c r="P420" s="6" t="n">
        <v>1</v>
      </c>
      <c r="R420" s="6" t="s">
        <v>1152</v>
      </c>
      <c r="U420" s="6" t="n">
        <v>126380</v>
      </c>
      <c r="V420" s="28" t="n">
        <v>152919.8</v>
      </c>
      <c r="W420" s="29" t="n">
        <v>0.18</v>
      </c>
      <c r="Y420" s="29" t="n">
        <v>0.17</v>
      </c>
      <c r="Z420" s="30" t="n">
        <v>3310</v>
      </c>
      <c r="AA420" s="29" t="n">
        <v>0.045</v>
      </c>
      <c r="AB420" s="31" t="n">
        <v>216633.121</v>
      </c>
      <c r="AE420" s="6" t="n">
        <v>216633.121</v>
      </c>
      <c r="AF420" s="6" t="s">
        <v>58</v>
      </c>
      <c r="AG420" s="6" t="n">
        <v>0</v>
      </c>
      <c r="AH420" s="30" t="s">
        <v>20</v>
      </c>
      <c r="AI420" s="6" t="n">
        <v>0</v>
      </c>
      <c r="AJ420" s="6" t="s">
        <v>351</v>
      </c>
      <c r="AK420" s="6" t="s">
        <v>988</v>
      </c>
      <c r="AL420" s="6" t="s">
        <v>351</v>
      </c>
      <c r="AM420" s="6" t="n">
        <v>0</v>
      </c>
      <c r="AQ420" s="6" t="s">
        <v>807</v>
      </c>
      <c r="AR420" s="6" t="s">
        <v>57</v>
      </c>
    </row>
    <row r="421" customFormat="false" ht="15" hidden="false" customHeight="true" outlineLevel="0" collapsed="false">
      <c r="A421" s="27" t="n">
        <v>113530</v>
      </c>
      <c r="B421" s="6" t="s">
        <v>1616</v>
      </c>
      <c r="C421" s="27" t="n">
        <v>113530</v>
      </c>
      <c r="D421" s="6" t="s">
        <v>668</v>
      </c>
      <c r="E421" s="6" t="s">
        <v>1303</v>
      </c>
      <c r="F421" s="6" t="s">
        <v>1355</v>
      </c>
      <c r="G421" s="6" t="s">
        <v>1073</v>
      </c>
      <c r="H421" s="6" t="s">
        <v>1074</v>
      </c>
      <c r="I421" s="6" t="s">
        <v>1305</v>
      </c>
      <c r="J421" s="6" t="s">
        <v>31</v>
      </c>
      <c r="K421" s="6" t="s">
        <v>1356</v>
      </c>
      <c r="L421" s="6" t="s">
        <v>359</v>
      </c>
      <c r="N421" s="6" t="s">
        <v>109</v>
      </c>
      <c r="O421" s="6" t="s">
        <v>1611</v>
      </c>
      <c r="P421" s="6" t="n">
        <v>1</v>
      </c>
      <c r="R421" s="6" t="s">
        <v>1152</v>
      </c>
      <c r="U421" s="6" t="n">
        <v>118000</v>
      </c>
      <c r="V421" s="28" t="n">
        <v>108560</v>
      </c>
      <c r="W421" s="29" t="n">
        <v>0.15</v>
      </c>
      <c r="Y421" s="29" t="n">
        <v>0.05</v>
      </c>
      <c r="Z421" s="30" t="n">
        <v>2910</v>
      </c>
      <c r="AA421" s="29" t="n">
        <v>0.03</v>
      </c>
      <c r="AB421" s="31" t="n">
        <v>136438.8</v>
      </c>
      <c r="AE421" s="6" t="n">
        <v>136438.8</v>
      </c>
      <c r="AF421" s="6" t="s">
        <v>58</v>
      </c>
      <c r="AG421" s="6" t="n">
        <v>0</v>
      </c>
      <c r="AH421" s="30" t="s">
        <v>1214</v>
      </c>
      <c r="AI421" s="6" t="n">
        <v>0</v>
      </c>
      <c r="AJ421" s="6" t="s">
        <v>359</v>
      </c>
      <c r="AK421" s="6" t="s">
        <v>988</v>
      </c>
      <c r="AL421" s="6" t="s">
        <v>359</v>
      </c>
      <c r="AM421" s="6" t="n">
        <v>0</v>
      </c>
      <c r="AQ421" s="6" t="s">
        <v>809</v>
      </c>
      <c r="AR421" s="6" t="s">
        <v>109</v>
      </c>
    </row>
    <row r="422" customFormat="false" ht="15" hidden="false" customHeight="true" outlineLevel="0" collapsed="false">
      <c r="A422" s="27" t="n">
        <v>113608</v>
      </c>
      <c r="B422" s="6" t="s">
        <v>1617</v>
      </c>
      <c r="C422" s="27" t="n">
        <v>113608</v>
      </c>
      <c r="D422" s="6" t="s">
        <v>811</v>
      </c>
      <c r="E422" s="6" t="s">
        <v>1303</v>
      </c>
      <c r="F422" s="6" t="s">
        <v>1355</v>
      </c>
      <c r="G422" s="6" t="s">
        <v>1073</v>
      </c>
      <c r="H422" s="6" t="s">
        <v>1074</v>
      </c>
      <c r="I422" s="6" t="s">
        <v>1305</v>
      </c>
      <c r="J422" s="6" t="s">
        <v>31</v>
      </c>
      <c r="K422" s="6" t="s">
        <v>1356</v>
      </c>
      <c r="L422" s="6" t="s">
        <v>359</v>
      </c>
      <c r="N422" s="6" t="s">
        <v>109</v>
      </c>
      <c r="O422" s="6" t="s">
        <v>1611</v>
      </c>
      <c r="P422" s="6" t="n">
        <v>1</v>
      </c>
      <c r="R422" s="6" t="s">
        <v>1152</v>
      </c>
      <c r="U422" s="6" t="n">
        <v>133110</v>
      </c>
      <c r="V422" s="28" t="n">
        <v>133110</v>
      </c>
      <c r="W422" s="29" t="n">
        <v>0.1</v>
      </c>
      <c r="X422" s="6" t="n">
        <v>0.055</v>
      </c>
      <c r="Y422" s="29" t="n">
        <v>0.12</v>
      </c>
      <c r="Z422" s="30"/>
      <c r="AA422" s="29" t="n">
        <v>0.04</v>
      </c>
      <c r="AB422" s="31" t="n">
        <v>175039.65</v>
      </c>
      <c r="AE422" s="6" t="n">
        <v>175039.65</v>
      </c>
      <c r="AF422" s="6" t="s">
        <v>58</v>
      </c>
      <c r="AG422" s="6" t="n">
        <v>0</v>
      </c>
      <c r="AH422" s="30" t="s">
        <v>1214</v>
      </c>
      <c r="AI422" s="6" t="n">
        <v>0</v>
      </c>
      <c r="AJ422" s="6" t="s">
        <v>359</v>
      </c>
      <c r="AK422" s="6" t="s">
        <v>988</v>
      </c>
      <c r="AL422" s="6" t="s">
        <v>359</v>
      </c>
      <c r="AM422" s="6" t="n">
        <v>0</v>
      </c>
      <c r="AQ422" s="6" t="s">
        <v>810</v>
      </c>
      <c r="AR422" s="6" t="s">
        <v>109</v>
      </c>
    </row>
    <row r="423" customFormat="false" ht="15" hidden="false" customHeight="true" outlineLevel="0" collapsed="false">
      <c r="A423" s="27" t="n">
        <v>113624</v>
      </c>
      <c r="B423" s="6" t="s">
        <v>1618</v>
      </c>
      <c r="C423" s="27" t="n">
        <v>113624</v>
      </c>
      <c r="D423" s="6" t="s">
        <v>813</v>
      </c>
      <c r="E423" s="6" t="s">
        <v>1303</v>
      </c>
      <c r="F423" s="6" t="s">
        <v>1355</v>
      </c>
      <c r="G423" s="6" t="s">
        <v>1073</v>
      </c>
      <c r="H423" s="6" t="s">
        <v>1074</v>
      </c>
      <c r="I423" s="6" t="s">
        <v>1305</v>
      </c>
      <c r="J423" s="6" t="s">
        <v>31</v>
      </c>
      <c r="K423" s="6" t="s">
        <v>1356</v>
      </c>
      <c r="L423" s="6" t="s">
        <v>359</v>
      </c>
      <c r="N423" s="6" t="s">
        <v>109</v>
      </c>
      <c r="O423" s="6" t="s">
        <v>1611</v>
      </c>
      <c r="P423" s="6" t="n">
        <v>1</v>
      </c>
      <c r="R423" s="6" t="s">
        <v>1152</v>
      </c>
      <c r="U423" s="6" t="n">
        <v>116710</v>
      </c>
      <c r="V423" s="28" t="n">
        <v>107373.2</v>
      </c>
      <c r="W423" s="29" t="n">
        <v>0.15</v>
      </c>
      <c r="Y423" s="29" t="n">
        <v>0.05</v>
      </c>
      <c r="Z423" s="30" t="n">
        <v>2910</v>
      </c>
      <c r="AA423" s="29" t="n">
        <v>0.03</v>
      </c>
      <c r="AB423" s="31" t="n">
        <v>134979.036</v>
      </c>
      <c r="AE423" s="6" t="n">
        <v>134979.036</v>
      </c>
      <c r="AF423" s="6" t="s">
        <v>58</v>
      </c>
      <c r="AG423" s="6" t="n">
        <v>0</v>
      </c>
      <c r="AH423" s="30" t="s">
        <v>1214</v>
      </c>
      <c r="AI423" s="6" t="n">
        <v>0</v>
      </c>
      <c r="AJ423" s="6" t="s">
        <v>359</v>
      </c>
      <c r="AK423" s="6" t="s">
        <v>988</v>
      </c>
      <c r="AL423" s="6" t="s">
        <v>359</v>
      </c>
      <c r="AM423" s="6" t="n">
        <v>0</v>
      </c>
      <c r="AQ423" s="6" t="s">
        <v>812</v>
      </c>
      <c r="AR423" s="6" t="s">
        <v>109</v>
      </c>
    </row>
    <row r="424" customFormat="false" ht="15" hidden="false" customHeight="true" outlineLevel="0" collapsed="false">
      <c r="A424" s="27" t="s">
        <v>1138</v>
      </c>
      <c r="B424" s="6" t="s">
        <v>1063</v>
      </c>
      <c r="C424" s="27" t="s">
        <v>1138</v>
      </c>
      <c r="D424" s="6" t="s">
        <v>815</v>
      </c>
      <c r="E424" s="6" t="s">
        <v>1417</v>
      </c>
      <c r="F424" s="6" t="s">
        <v>240</v>
      </c>
      <c r="G424" s="6" t="s">
        <v>1164</v>
      </c>
      <c r="H424" s="6" t="s">
        <v>160</v>
      </c>
      <c r="I424" s="6" t="s">
        <v>26</v>
      </c>
      <c r="J424" s="6" t="s">
        <v>26</v>
      </c>
      <c r="K424" s="6" t="s">
        <v>26</v>
      </c>
      <c r="L424" s="6" t="s">
        <v>26</v>
      </c>
      <c r="N424" s="6" t="s">
        <v>1023</v>
      </c>
      <c r="O424" s="6" t="s">
        <v>1611</v>
      </c>
      <c r="P424" s="6" t="n">
        <v>1</v>
      </c>
      <c r="R424" s="6" t="s">
        <v>1143</v>
      </c>
      <c r="U424" s="6" t="n">
        <v>129650</v>
      </c>
      <c r="V424" s="28" t="n">
        <v>129650</v>
      </c>
      <c r="W424" s="29" t="n">
        <v>0.1</v>
      </c>
      <c r="X424" s="6" t="n">
        <v>0.055</v>
      </c>
      <c r="Y424" s="29" t="n">
        <v>0.12</v>
      </c>
      <c r="Z424" s="30"/>
      <c r="AA424" s="29" t="n">
        <v>0.04</v>
      </c>
      <c r="AB424" s="31" t="n">
        <v>170489.75</v>
      </c>
      <c r="AE424" s="6" t="n">
        <v>170489.75</v>
      </c>
      <c r="AF424" s="6" t="s">
        <v>1063</v>
      </c>
      <c r="AG424" s="6" t="n">
        <v>0</v>
      </c>
      <c r="AH424" s="30" t="s">
        <v>1169</v>
      </c>
      <c r="AI424" s="6" t="n">
        <v>0</v>
      </c>
      <c r="AJ424" s="6" t="s">
        <v>160</v>
      </c>
      <c r="AK424" s="6" t="s">
        <v>988</v>
      </c>
      <c r="AL424" s="6" t="s">
        <v>160</v>
      </c>
      <c r="AM424" s="6" t="n">
        <v>0</v>
      </c>
      <c r="AQ424" s="6" t="s">
        <v>814</v>
      </c>
      <c r="AR424" s="6" t="s">
        <v>57</v>
      </c>
    </row>
    <row r="425" customFormat="false" ht="15" hidden="false" customHeight="true" outlineLevel="0" collapsed="false">
      <c r="A425" s="27" t="s">
        <v>1138</v>
      </c>
      <c r="B425" s="6" t="s">
        <v>1063</v>
      </c>
      <c r="C425" s="27" t="s">
        <v>1138</v>
      </c>
      <c r="D425" s="6" t="s">
        <v>117</v>
      </c>
      <c r="E425" s="6" t="s">
        <v>1315</v>
      </c>
      <c r="F425" s="6" t="s">
        <v>1362</v>
      </c>
      <c r="G425" s="6" t="s">
        <v>1076</v>
      </c>
      <c r="H425" s="6" t="s">
        <v>28</v>
      </c>
      <c r="I425" s="6" t="s">
        <v>1316</v>
      </c>
      <c r="J425" s="6" t="s">
        <v>27</v>
      </c>
      <c r="K425" s="6" t="s">
        <v>27</v>
      </c>
      <c r="L425" s="6" t="s">
        <v>27</v>
      </c>
      <c r="N425" s="6" t="s">
        <v>1023</v>
      </c>
      <c r="O425" s="6" t="s">
        <v>1611</v>
      </c>
      <c r="P425" s="6" t="n">
        <v>1</v>
      </c>
      <c r="R425" s="6" t="s">
        <v>1143</v>
      </c>
      <c r="U425" s="6" t="n">
        <v>129650</v>
      </c>
      <c r="V425" s="28" t="n">
        <v>129650</v>
      </c>
      <c r="W425" s="29" t="n">
        <v>0.1</v>
      </c>
      <c r="X425" s="6" t="n">
        <v>0.055</v>
      </c>
      <c r="Y425" s="29" t="n">
        <v>0.12</v>
      </c>
      <c r="Z425" s="30"/>
      <c r="AA425" s="29" t="n">
        <v>0.04</v>
      </c>
      <c r="AB425" s="31" t="n">
        <v>170489.75</v>
      </c>
      <c r="AE425" s="6" t="n">
        <v>170489.75</v>
      </c>
      <c r="AF425" s="6" t="s">
        <v>1063</v>
      </c>
      <c r="AG425" s="6" t="n">
        <v>0</v>
      </c>
      <c r="AH425" s="30" t="s">
        <v>27</v>
      </c>
      <c r="AI425" s="6" t="n">
        <v>0</v>
      </c>
      <c r="AJ425" s="6" t="s">
        <v>27</v>
      </c>
      <c r="AK425" s="6" t="s">
        <v>988</v>
      </c>
      <c r="AL425" s="6" t="s">
        <v>27</v>
      </c>
      <c r="AM425" s="6" t="n">
        <v>0</v>
      </c>
      <c r="AQ425" s="6" t="s">
        <v>816</v>
      </c>
      <c r="AR425" s="6" t="s">
        <v>57</v>
      </c>
    </row>
    <row r="426" customFormat="false" ht="15" hidden="false" customHeight="true" outlineLevel="0" collapsed="false">
      <c r="A426" s="27" t="s">
        <v>1138</v>
      </c>
      <c r="B426" s="6" t="s">
        <v>1063</v>
      </c>
      <c r="C426" s="27" t="s">
        <v>1138</v>
      </c>
      <c r="D426" s="6" t="s">
        <v>117</v>
      </c>
      <c r="E426" s="6" t="s">
        <v>1315</v>
      </c>
      <c r="F426" s="6" t="s">
        <v>1362</v>
      </c>
      <c r="G426" s="6" t="s">
        <v>1076</v>
      </c>
      <c r="H426" s="6" t="s">
        <v>28</v>
      </c>
      <c r="I426" s="6" t="s">
        <v>1316</v>
      </c>
      <c r="J426" s="6" t="s">
        <v>27</v>
      </c>
      <c r="K426" s="6" t="s">
        <v>27</v>
      </c>
      <c r="L426" s="6" t="s">
        <v>503</v>
      </c>
      <c r="N426" s="6" t="s">
        <v>1023</v>
      </c>
      <c r="O426" s="6" t="s">
        <v>1611</v>
      </c>
      <c r="P426" s="6" t="n">
        <v>1</v>
      </c>
      <c r="R426" s="6" t="s">
        <v>1143</v>
      </c>
      <c r="U426" s="6" t="n">
        <v>129650</v>
      </c>
      <c r="V426" s="28" t="n">
        <v>129650</v>
      </c>
      <c r="W426" s="29" t="n">
        <v>0.1</v>
      </c>
      <c r="X426" s="6" t="n">
        <v>0.055</v>
      </c>
      <c r="Y426" s="29" t="n">
        <v>0.12</v>
      </c>
      <c r="Z426" s="30"/>
      <c r="AA426" s="29" t="n">
        <v>0.04</v>
      </c>
      <c r="AB426" s="31" t="n">
        <v>170489.75</v>
      </c>
      <c r="AE426" s="6" t="n">
        <v>170489.75</v>
      </c>
      <c r="AF426" s="6" t="s">
        <v>1063</v>
      </c>
      <c r="AG426" s="6" t="n">
        <v>0</v>
      </c>
      <c r="AH426" s="30" t="s">
        <v>27</v>
      </c>
      <c r="AI426" s="6" t="n">
        <v>0</v>
      </c>
      <c r="AJ426" s="6" t="s">
        <v>503</v>
      </c>
      <c r="AK426" s="6" t="s">
        <v>988</v>
      </c>
      <c r="AL426" s="6" t="s">
        <v>503</v>
      </c>
      <c r="AM426" s="6" t="n">
        <v>0</v>
      </c>
      <c r="AQ426" s="6" t="s">
        <v>817</v>
      </c>
      <c r="AR426" s="6" t="s">
        <v>57</v>
      </c>
    </row>
    <row r="427" customFormat="false" ht="15" hidden="false" customHeight="true" outlineLevel="0" collapsed="false">
      <c r="A427" s="27" t="s">
        <v>1138</v>
      </c>
      <c r="B427" s="6" t="s">
        <v>1063</v>
      </c>
      <c r="C427" s="27" t="s">
        <v>1138</v>
      </c>
      <c r="D427" s="6" t="s">
        <v>819</v>
      </c>
      <c r="E427" s="6" t="s">
        <v>1315</v>
      </c>
      <c r="F427" s="6" t="s">
        <v>1362</v>
      </c>
      <c r="G427" s="6" t="s">
        <v>1076</v>
      </c>
      <c r="H427" s="6" t="s">
        <v>28</v>
      </c>
      <c r="I427" s="6" t="s">
        <v>1316</v>
      </c>
      <c r="J427" s="6" t="s">
        <v>27</v>
      </c>
      <c r="K427" s="6" t="s">
        <v>27</v>
      </c>
      <c r="L427" s="6" t="s">
        <v>503</v>
      </c>
      <c r="N427" s="6" t="s">
        <v>1023</v>
      </c>
      <c r="O427" s="6" t="s">
        <v>1611</v>
      </c>
      <c r="P427" s="6" t="n">
        <v>1</v>
      </c>
      <c r="R427" s="6" t="s">
        <v>1143</v>
      </c>
      <c r="U427" s="6" t="n">
        <v>136860</v>
      </c>
      <c r="V427" s="28" t="n">
        <v>136860</v>
      </c>
      <c r="W427" s="29" t="n">
        <v>0.1</v>
      </c>
      <c r="X427" s="6" t="n">
        <v>0.055</v>
      </c>
      <c r="Y427" s="29" t="n">
        <v>0.12</v>
      </c>
      <c r="Z427" s="30"/>
      <c r="AA427" s="29" t="n">
        <v>0.04</v>
      </c>
      <c r="AB427" s="31" t="n">
        <v>179970.9</v>
      </c>
      <c r="AE427" s="6" t="n">
        <v>179970.9</v>
      </c>
      <c r="AF427" s="6" t="s">
        <v>1063</v>
      </c>
      <c r="AG427" s="6" t="n">
        <v>0</v>
      </c>
      <c r="AH427" s="30" t="s">
        <v>27</v>
      </c>
      <c r="AI427" s="6" t="n">
        <v>0</v>
      </c>
      <c r="AJ427" s="6" t="s">
        <v>503</v>
      </c>
      <c r="AK427" s="6" t="s">
        <v>988</v>
      </c>
      <c r="AL427" s="6" t="s">
        <v>503</v>
      </c>
      <c r="AM427" s="6" t="n">
        <v>0</v>
      </c>
      <c r="AQ427" s="6" t="s">
        <v>818</v>
      </c>
      <c r="AR427" s="6" t="s">
        <v>57</v>
      </c>
    </row>
    <row r="428" customFormat="false" ht="15" hidden="false" customHeight="true" outlineLevel="0" collapsed="false">
      <c r="A428" s="27" t="s">
        <v>1138</v>
      </c>
      <c r="B428" s="6" t="s">
        <v>1063</v>
      </c>
      <c r="C428" s="27" t="s">
        <v>1138</v>
      </c>
      <c r="D428" s="6" t="s">
        <v>117</v>
      </c>
      <c r="E428" s="6" t="s">
        <v>1498</v>
      </c>
      <c r="F428" s="6" t="s">
        <v>595</v>
      </c>
      <c r="G428" s="6" t="s">
        <v>1173</v>
      </c>
      <c r="H428" s="6" t="s">
        <v>168</v>
      </c>
      <c r="I428" s="6" t="s">
        <v>1174</v>
      </c>
      <c r="J428" s="6" t="s">
        <v>23</v>
      </c>
      <c r="K428" s="6" t="s">
        <v>168</v>
      </c>
      <c r="L428" s="6" t="s">
        <v>1259</v>
      </c>
      <c r="N428" s="6" t="s">
        <v>1023</v>
      </c>
      <c r="O428" s="6" t="s">
        <v>1611</v>
      </c>
      <c r="P428" s="6" t="n">
        <v>1</v>
      </c>
      <c r="R428" s="6" t="s">
        <v>1143</v>
      </c>
      <c r="U428" s="6" t="n">
        <v>129650</v>
      </c>
      <c r="V428" s="28" t="n">
        <v>129650</v>
      </c>
      <c r="W428" s="29" t="n">
        <v>0.1</v>
      </c>
      <c r="X428" s="6" t="n">
        <v>0.055</v>
      </c>
      <c r="Y428" s="29" t="n">
        <v>0.12</v>
      </c>
      <c r="Z428" s="30"/>
      <c r="AA428" s="29" t="n">
        <v>0.04</v>
      </c>
      <c r="AB428" s="31" t="n">
        <v>170489.75</v>
      </c>
      <c r="AE428" s="6" t="n">
        <v>170489.75</v>
      </c>
      <c r="AF428" s="6" t="s">
        <v>1063</v>
      </c>
      <c r="AG428" s="6" t="n">
        <v>0</v>
      </c>
      <c r="AH428" s="30" t="s">
        <v>23</v>
      </c>
      <c r="AI428" s="6" t="n">
        <v>0</v>
      </c>
      <c r="AJ428" s="6" t="s">
        <v>253</v>
      </c>
      <c r="AK428" s="6" t="s">
        <v>988</v>
      </c>
      <c r="AL428" s="6" t="s">
        <v>253</v>
      </c>
      <c r="AM428" s="6" t="n">
        <v>0</v>
      </c>
      <c r="AQ428" s="6" t="s">
        <v>820</v>
      </c>
      <c r="AR428" s="6" t="s">
        <v>57</v>
      </c>
    </row>
    <row r="429" customFormat="false" ht="15" hidden="false" customHeight="true" outlineLevel="0" collapsed="false">
      <c r="A429" s="27" t="n">
        <v>115490</v>
      </c>
      <c r="B429" s="6" t="s">
        <v>1619</v>
      </c>
      <c r="C429" s="27" t="n">
        <v>115490</v>
      </c>
      <c r="D429" s="6" t="s">
        <v>618</v>
      </c>
      <c r="E429" s="6" t="s">
        <v>1248</v>
      </c>
      <c r="G429" s="6" t="s">
        <v>1164</v>
      </c>
      <c r="H429" s="6" t="s">
        <v>241</v>
      </c>
      <c r="I429" s="6" t="s">
        <v>26</v>
      </c>
      <c r="J429" s="6" t="s">
        <v>26</v>
      </c>
      <c r="K429" s="6" t="s">
        <v>26</v>
      </c>
      <c r="L429" s="6" t="s">
        <v>26</v>
      </c>
      <c r="N429" s="6" t="s">
        <v>109</v>
      </c>
      <c r="O429" s="6" t="s">
        <v>1611</v>
      </c>
      <c r="P429" s="6" t="n">
        <v>1</v>
      </c>
      <c r="R429" s="6" t="s">
        <v>1152</v>
      </c>
      <c r="U429" s="6" t="n">
        <v>113930</v>
      </c>
      <c r="V429" s="28" t="n">
        <v>104815.6</v>
      </c>
      <c r="W429" s="29" t="n">
        <v>0.15</v>
      </c>
      <c r="Y429" s="29" t="n">
        <v>0.05</v>
      </c>
      <c r="Z429" s="30" t="n">
        <v>2910</v>
      </c>
      <c r="AA429" s="29" t="n">
        <v>0.03</v>
      </c>
      <c r="AB429" s="31" t="n">
        <v>131833.188</v>
      </c>
      <c r="AE429" s="6" t="n">
        <v>131833.188</v>
      </c>
      <c r="AF429" s="6" t="s">
        <v>58</v>
      </c>
      <c r="AG429" s="6" t="n">
        <v>0</v>
      </c>
      <c r="AH429" s="30" t="s">
        <v>1165</v>
      </c>
      <c r="AI429" s="6" t="n">
        <v>0</v>
      </c>
      <c r="AJ429" s="6" t="s">
        <v>241</v>
      </c>
      <c r="AK429" s="6" t="s">
        <v>988</v>
      </c>
      <c r="AL429" s="6" t="s">
        <v>241</v>
      </c>
      <c r="AM429" s="6" t="n">
        <v>0</v>
      </c>
      <c r="AQ429" s="6" t="s">
        <v>821</v>
      </c>
      <c r="AR429" s="6" t="s">
        <v>109</v>
      </c>
    </row>
    <row r="430" customFormat="false" ht="15" hidden="false" customHeight="true" outlineLevel="0" collapsed="false">
      <c r="A430" s="27" t="n">
        <v>105799</v>
      </c>
      <c r="B430" s="6" t="s">
        <v>1620</v>
      </c>
      <c r="C430" s="27" t="n">
        <v>105799</v>
      </c>
      <c r="D430" s="6" t="s">
        <v>823</v>
      </c>
      <c r="E430" s="6" t="s">
        <v>1263</v>
      </c>
      <c r="F430" s="6" t="s">
        <v>1261</v>
      </c>
      <c r="G430" s="6" t="s">
        <v>1058</v>
      </c>
      <c r="H430" s="6" t="s">
        <v>19</v>
      </c>
      <c r="I430" s="6" t="s">
        <v>1264</v>
      </c>
      <c r="J430" s="6" t="s">
        <v>19</v>
      </c>
      <c r="K430" s="6" t="s">
        <v>374</v>
      </c>
      <c r="L430" s="6" t="s">
        <v>374</v>
      </c>
      <c r="N430" s="6" t="s">
        <v>1023</v>
      </c>
      <c r="O430" s="6" t="s">
        <v>1611</v>
      </c>
      <c r="P430" s="6" t="n">
        <v>1</v>
      </c>
      <c r="R430" s="6" t="s">
        <v>1152</v>
      </c>
      <c r="U430" s="6" t="n">
        <v>144720</v>
      </c>
      <c r="V430" s="28" t="n">
        <v>144720</v>
      </c>
      <c r="W430" s="29" t="n">
        <v>0.1</v>
      </c>
      <c r="X430" s="6" t="n">
        <v>0.055</v>
      </c>
      <c r="Y430" s="29" t="n">
        <v>0.12</v>
      </c>
      <c r="Z430" s="30"/>
      <c r="AA430" s="29" t="n">
        <v>0.04</v>
      </c>
      <c r="AB430" s="31" t="n">
        <v>190306.8</v>
      </c>
      <c r="AE430" s="6" t="n">
        <v>190306.8</v>
      </c>
      <c r="AF430" s="6" t="s">
        <v>58</v>
      </c>
      <c r="AG430" s="6" t="n">
        <v>0</v>
      </c>
      <c r="AH430" s="30" t="s">
        <v>1206</v>
      </c>
      <c r="AI430" s="6" t="n">
        <v>0</v>
      </c>
      <c r="AJ430" s="6" t="s">
        <v>374</v>
      </c>
      <c r="AK430" s="6" t="s">
        <v>988</v>
      </c>
      <c r="AL430" s="6" t="s">
        <v>374</v>
      </c>
      <c r="AM430" s="6" t="n">
        <v>0</v>
      </c>
      <c r="AQ430" s="6" t="s">
        <v>822</v>
      </c>
      <c r="AR430" s="6" t="s">
        <v>57</v>
      </c>
    </row>
    <row r="431" customFormat="false" ht="15" hidden="false" customHeight="true" outlineLevel="0" collapsed="false">
      <c r="A431" s="27" t="n">
        <v>113606</v>
      </c>
      <c r="B431" s="6" t="s">
        <v>1621</v>
      </c>
      <c r="C431" s="27" t="n">
        <v>113606</v>
      </c>
      <c r="D431" s="6" t="s">
        <v>629</v>
      </c>
      <c r="E431" s="6" t="s">
        <v>1263</v>
      </c>
      <c r="F431" s="6" t="s">
        <v>1261</v>
      </c>
      <c r="G431" s="6" t="s">
        <v>1058</v>
      </c>
      <c r="H431" s="6" t="s">
        <v>19</v>
      </c>
      <c r="I431" s="6" t="s">
        <v>1264</v>
      </c>
      <c r="J431" s="6" t="s">
        <v>19</v>
      </c>
      <c r="K431" s="6" t="s">
        <v>374</v>
      </c>
      <c r="L431" s="6" t="s">
        <v>374</v>
      </c>
      <c r="N431" s="6" t="s">
        <v>109</v>
      </c>
      <c r="O431" s="6" t="s">
        <v>1611</v>
      </c>
      <c r="P431" s="6" t="n">
        <v>1</v>
      </c>
      <c r="R431" s="6" t="s">
        <v>1152</v>
      </c>
      <c r="U431" s="6" t="n">
        <v>142200</v>
      </c>
      <c r="V431" s="28" t="n">
        <v>130824</v>
      </c>
      <c r="W431" s="29" t="n">
        <v>0.15</v>
      </c>
      <c r="Y431" s="29" t="n">
        <v>0.05</v>
      </c>
      <c r="Z431" s="30" t="n">
        <v>2910</v>
      </c>
      <c r="AA431" s="29" t="n">
        <v>0.03</v>
      </c>
      <c r="AB431" s="31" t="n">
        <v>163823.52</v>
      </c>
      <c r="AE431" s="6" t="n">
        <v>163823.52</v>
      </c>
      <c r="AF431" s="6" t="s">
        <v>58</v>
      </c>
      <c r="AG431" s="6" t="n">
        <v>0</v>
      </c>
      <c r="AH431" s="30" t="s">
        <v>1206</v>
      </c>
      <c r="AI431" s="6" t="n">
        <v>0</v>
      </c>
      <c r="AJ431" s="6" t="s">
        <v>374</v>
      </c>
      <c r="AK431" s="6" t="s">
        <v>988</v>
      </c>
      <c r="AL431" s="6" t="s">
        <v>374</v>
      </c>
      <c r="AM431" s="6" t="n">
        <v>0</v>
      </c>
      <c r="AQ431" s="6" t="s">
        <v>824</v>
      </c>
      <c r="AR431" s="6" t="s">
        <v>109</v>
      </c>
    </row>
    <row r="432" customFormat="false" ht="15" hidden="false" customHeight="true" outlineLevel="0" collapsed="false">
      <c r="A432" s="27" t="n">
        <v>113501</v>
      </c>
      <c r="B432" s="6" t="s">
        <v>1622</v>
      </c>
      <c r="C432" s="27" t="n">
        <v>113501</v>
      </c>
      <c r="D432" s="6" t="s">
        <v>826</v>
      </c>
      <c r="E432" s="6" t="s">
        <v>1291</v>
      </c>
      <c r="F432" s="6" t="s">
        <v>224</v>
      </c>
      <c r="G432" s="6" t="s">
        <v>1073</v>
      </c>
      <c r="H432" s="6" t="s">
        <v>1074</v>
      </c>
      <c r="I432" s="6" t="s">
        <v>1292</v>
      </c>
      <c r="J432" s="6" t="s">
        <v>31</v>
      </c>
      <c r="K432" s="6" t="s">
        <v>1356</v>
      </c>
      <c r="L432" s="6" t="s">
        <v>1358</v>
      </c>
      <c r="N432" s="6" t="s">
        <v>109</v>
      </c>
      <c r="O432" s="6" t="s">
        <v>1611</v>
      </c>
      <c r="P432" s="6" t="n">
        <v>1</v>
      </c>
      <c r="R432" s="6" t="s">
        <v>1152</v>
      </c>
      <c r="U432" s="6" t="n">
        <v>123710</v>
      </c>
      <c r="V432" s="28" t="n">
        <v>113813.2</v>
      </c>
      <c r="W432" s="29" t="n">
        <v>0.15</v>
      </c>
      <c r="Y432" s="29" t="n">
        <v>0.05</v>
      </c>
      <c r="Z432" s="30" t="n">
        <v>2910</v>
      </c>
      <c r="AA432" s="29" t="n">
        <v>0.03</v>
      </c>
      <c r="AB432" s="31" t="n">
        <v>142900.236</v>
      </c>
      <c r="AE432" s="6" t="n">
        <v>142900.236</v>
      </c>
      <c r="AF432" s="6" t="s">
        <v>58</v>
      </c>
      <c r="AG432" s="6" t="n">
        <v>0</v>
      </c>
      <c r="AH432" s="30" t="s">
        <v>1214</v>
      </c>
      <c r="AI432" s="6" t="n">
        <v>0</v>
      </c>
      <c r="AJ432" s="6" t="s">
        <v>361</v>
      </c>
      <c r="AK432" s="6" t="s">
        <v>988</v>
      </c>
      <c r="AL432" s="6" t="s">
        <v>361</v>
      </c>
      <c r="AM432" s="6" t="n">
        <v>0</v>
      </c>
      <c r="AQ432" s="6" t="s">
        <v>825</v>
      </c>
      <c r="AR432" s="6" t="s">
        <v>109</v>
      </c>
    </row>
    <row r="433" customFormat="false" ht="15" hidden="false" customHeight="true" outlineLevel="0" collapsed="false">
      <c r="A433" s="27" t="n">
        <v>113556</v>
      </c>
      <c r="B433" s="6" t="s">
        <v>1623</v>
      </c>
      <c r="C433" s="27" t="n">
        <v>113556</v>
      </c>
      <c r="D433" s="6" t="s">
        <v>570</v>
      </c>
      <c r="E433" s="6" t="s">
        <v>1291</v>
      </c>
      <c r="F433" s="6" t="s">
        <v>224</v>
      </c>
      <c r="G433" s="6" t="s">
        <v>1073</v>
      </c>
      <c r="H433" s="6" t="s">
        <v>1074</v>
      </c>
      <c r="I433" s="6" t="s">
        <v>1292</v>
      </c>
      <c r="J433" s="6" t="s">
        <v>31</v>
      </c>
      <c r="K433" s="6" t="s">
        <v>380</v>
      </c>
      <c r="L433" s="6" t="s">
        <v>380</v>
      </c>
      <c r="N433" s="6" t="s">
        <v>109</v>
      </c>
      <c r="O433" s="6" t="s">
        <v>1611</v>
      </c>
      <c r="P433" s="6" t="n">
        <v>1</v>
      </c>
      <c r="R433" s="6" t="s">
        <v>1152</v>
      </c>
      <c r="U433" s="6" t="n">
        <v>93640</v>
      </c>
      <c r="V433" s="28" t="n">
        <v>86148.8</v>
      </c>
      <c r="W433" s="29" t="n">
        <v>0.1</v>
      </c>
      <c r="Y433" s="29" t="n">
        <v>0.05</v>
      </c>
      <c r="Z433" s="30" t="n">
        <v>2910</v>
      </c>
      <c r="AA433" s="29" t="n">
        <v>0.03</v>
      </c>
      <c r="AB433" s="31" t="n">
        <v>104565.584</v>
      </c>
      <c r="AE433" s="6" t="n">
        <v>104565.584</v>
      </c>
      <c r="AF433" s="6" t="s">
        <v>58</v>
      </c>
      <c r="AG433" s="6" t="n">
        <v>0</v>
      </c>
      <c r="AH433" s="30" t="s">
        <v>1214</v>
      </c>
      <c r="AI433" s="6" t="n">
        <v>0</v>
      </c>
      <c r="AJ433" s="6" t="s">
        <v>380</v>
      </c>
      <c r="AK433" s="6" t="s">
        <v>988</v>
      </c>
      <c r="AL433" s="6" t="s">
        <v>380</v>
      </c>
      <c r="AM433" s="6" t="n">
        <v>0</v>
      </c>
      <c r="AQ433" s="6" t="s">
        <v>827</v>
      </c>
      <c r="AR433" s="6" t="s">
        <v>109</v>
      </c>
    </row>
    <row r="434" customFormat="false" ht="15" hidden="false" customHeight="true" outlineLevel="0" collapsed="false">
      <c r="A434" s="27" t="n">
        <v>113584</v>
      </c>
      <c r="B434" s="6" t="s">
        <v>1624</v>
      </c>
      <c r="C434" s="27" t="n">
        <v>113584</v>
      </c>
      <c r="D434" s="6" t="s">
        <v>570</v>
      </c>
      <c r="E434" s="6" t="s">
        <v>1291</v>
      </c>
      <c r="F434" s="6" t="s">
        <v>224</v>
      </c>
      <c r="G434" s="6" t="s">
        <v>1073</v>
      </c>
      <c r="H434" s="6" t="s">
        <v>1074</v>
      </c>
      <c r="I434" s="6" t="s">
        <v>1292</v>
      </c>
      <c r="J434" s="6" t="s">
        <v>31</v>
      </c>
      <c r="K434" s="6" t="s">
        <v>1356</v>
      </c>
      <c r="L434" s="6" t="s">
        <v>1358</v>
      </c>
      <c r="N434" s="6" t="s">
        <v>109</v>
      </c>
      <c r="O434" s="6" t="s">
        <v>1611</v>
      </c>
      <c r="P434" s="6" t="n">
        <v>1</v>
      </c>
      <c r="R434" s="6" t="s">
        <v>1152</v>
      </c>
      <c r="U434" s="6" t="n">
        <v>173620</v>
      </c>
      <c r="V434" s="28" t="n">
        <v>159730.4</v>
      </c>
      <c r="W434" s="29" t="n">
        <v>0.15</v>
      </c>
      <c r="Y434" s="29" t="n">
        <v>0.05</v>
      </c>
      <c r="Z434" s="30" t="n">
        <v>2910</v>
      </c>
      <c r="AA434" s="29" t="n">
        <v>0.03</v>
      </c>
      <c r="AB434" s="31" t="n">
        <v>199378.392</v>
      </c>
      <c r="AE434" s="6" t="n">
        <v>199378.392</v>
      </c>
      <c r="AF434" s="6" t="s">
        <v>58</v>
      </c>
      <c r="AG434" s="6" t="n">
        <v>0</v>
      </c>
      <c r="AH434" s="30" t="s">
        <v>1214</v>
      </c>
      <c r="AI434" s="6" t="n">
        <v>0</v>
      </c>
      <c r="AJ434" s="6" t="s">
        <v>361</v>
      </c>
      <c r="AK434" s="6" t="s">
        <v>988</v>
      </c>
      <c r="AL434" s="6" t="s">
        <v>361</v>
      </c>
      <c r="AM434" s="6" t="n">
        <v>0</v>
      </c>
      <c r="AQ434" s="6" t="s">
        <v>828</v>
      </c>
      <c r="AR434" s="6" t="s">
        <v>109</v>
      </c>
    </row>
    <row r="435" customFormat="false" ht="15" hidden="false" customHeight="true" outlineLevel="0" collapsed="false">
      <c r="A435" s="27" t="s">
        <v>1138</v>
      </c>
      <c r="B435" s="6" t="s">
        <v>1063</v>
      </c>
      <c r="C435" s="27" t="s">
        <v>1138</v>
      </c>
      <c r="D435" s="6" t="s">
        <v>117</v>
      </c>
      <c r="E435" s="6" t="s">
        <v>1291</v>
      </c>
      <c r="F435" s="6" t="s">
        <v>224</v>
      </c>
      <c r="G435" s="6" t="s">
        <v>1073</v>
      </c>
      <c r="H435" s="6" t="s">
        <v>1074</v>
      </c>
      <c r="I435" s="6" t="s">
        <v>1292</v>
      </c>
      <c r="J435" s="6" t="s">
        <v>31</v>
      </c>
      <c r="K435" s="6" t="s">
        <v>380</v>
      </c>
      <c r="L435" s="6" t="s">
        <v>380</v>
      </c>
      <c r="N435" s="6" t="s">
        <v>1023</v>
      </c>
      <c r="O435" s="6" t="s">
        <v>1611</v>
      </c>
      <c r="P435" s="6" t="n">
        <v>1</v>
      </c>
      <c r="R435" s="6" t="s">
        <v>1143</v>
      </c>
      <c r="U435" s="6" t="n">
        <v>203550</v>
      </c>
      <c r="V435" s="28" t="n">
        <v>203550</v>
      </c>
      <c r="W435" s="29" t="n">
        <v>0.14</v>
      </c>
      <c r="X435" s="6" t="n">
        <v>0.055</v>
      </c>
      <c r="Y435" s="29" t="n">
        <v>0.12</v>
      </c>
      <c r="Z435" s="30"/>
      <c r="AA435" s="29" t="n">
        <v>0.04</v>
      </c>
      <c r="AB435" s="31" t="n">
        <v>275810.25</v>
      </c>
      <c r="AE435" s="6" t="n">
        <v>275810.25</v>
      </c>
      <c r="AF435" s="6" t="s">
        <v>1063</v>
      </c>
      <c r="AG435" s="6" t="n">
        <v>0</v>
      </c>
      <c r="AH435" s="30" t="s">
        <v>1214</v>
      </c>
      <c r="AI435" s="6" t="n">
        <v>0</v>
      </c>
      <c r="AJ435" s="6" t="s">
        <v>380</v>
      </c>
      <c r="AK435" s="6" t="s">
        <v>988</v>
      </c>
      <c r="AL435" s="6" t="s">
        <v>380</v>
      </c>
      <c r="AM435" s="6" t="n">
        <v>0</v>
      </c>
      <c r="AQ435" s="6" t="s">
        <v>829</v>
      </c>
      <c r="AR435" s="6" t="s">
        <v>57</v>
      </c>
    </row>
    <row r="436" customFormat="false" ht="15" hidden="false" customHeight="true" outlineLevel="0" collapsed="false">
      <c r="A436" s="27" t="n">
        <v>8445</v>
      </c>
      <c r="B436" s="6" t="s">
        <v>1625</v>
      </c>
      <c r="C436" s="27" t="n">
        <v>8445</v>
      </c>
      <c r="D436" s="6" t="s">
        <v>1626</v>
      </c>
      <c r="E436" s="6" t="s">
        <v>1475</v>
      </c>
      <c r="F436" s="6" t="s">
        <v>1627</v>
      </c>
      <c r="G436" s="6" t="s">
        <v>1073</v>
      </c>
      <c r="H436" s="6" t="s">
        <v>1133</v>
      </c>
      <c r="I436" s="6" t="s">
        <v>1270</v>
      </c>
      <c r="J436" s="6" t="s">
        <v>29</v>
      </c>
      <c r="K436" s="6" t="s">
        <v>554</v>
      </c>
      <c r="L436" s="6" t="s">
        <v>554</v>
      </c>
      <c r="N436" s="6" t="s">
        <v>1023</v>
      </c>
      <c r="O436" s="6" t="s">
        <v>1611</v>
      </c>
      <c r="P436" s="6" t="n">
        <v>1</v>
      </c>
      <c r="R436" s="6" t="s">
        <v>1152</v>
      </c>
      <c r="U436" s="6" t="n">
        <v>127270</v>
      </c>
      <c r="V436" s="28" t="n">
        <v>127270</v>
      </c>
      <c r="W436" s="29" t="n">
        <v>0.1</v>
      </c>
      <c r="X436" s="6" t="n">
        <v>0.055</v>
      </c>
      <c r="Y436" s="29" t="n">
        <v>0.12</v>
      </c>
      <c r="Z436" s="30"/>
      <c r="AA436" s="29" t="n">
        <v>0.04</v>
      </c>
      <c r="AB436" s="31" t="n">
        <v>167360.05</v>
      </c>
      <c r="AE436" s="6" t="n">
        <v>167360.05</v>
      </c>
      <c r="AF436" s="6" t="s">
        <v>58</v>
      </c>
      <c r="AG436" s="6" t="n">
        <v>0</v>
      </c>
      <c r="AH436" s="30" t="s">
        <v>1133</v>
      </c>
      <c r="AI436" s="6" t="n">
        <v>0</v>
      </c>
      <c r="AJ436" s="6" t="s">
        <v>554</v>
      </c>
      <c r="AK436" s="6" t="s">
        <v>988</v>
      </c>
      <c r="AL436" s="6" t="s">
        <v>554</v>
      </c>
      <c r="AM436" s="6" t="n">
        <v>0</v>
      </c>
      <c r="AQ436" s="6" t="s">
        <v>830</v>
      </c>
      <c r="AR436" s="6" t="s">
        <v>57</v>
      </c>
    </row>
    <row r="437" customFormat="false" ht="15" hidden="false" customHeight="true" outlineLevel="0" collapsed="false">
      <c r="A437" s="27" t="n">
        <v>109974</v>
      </c>
      <c r="B437" s="6" t="s">
        <v>1628</v>
      </c>
      <c r="C437" s="27" t="n">
        <v>109974</v>
      </c>
      <c r="D437" s="6" t="s">
        <v>1629</v>
      </c>
      <c r="E437" s="6" t="s">
        <v>1475</v>
      </c>
      <c r="F437" s="6" t="s">
        <v>1627</v>
      </c>
      <c r="G437" s="6" t="s">
        <v>1073</v>
      </c>
      <c r="H437" s="6" t="s">
        <v>1133</v>
      </c>
      <c r="I437" s="6" t="s">
        <v>1270</v>
      </c>
      <c r="J437" s="6" t="s">
        <v>29</v>
      </c>
      <c r="K437" s="6" t="s">
        <v>554</v>
      </c>
      <c r="L437" s="6" t="s">
        <v>554</v>
      </c>
      <c r="N437" s="6" t="s">
        <v>1023</v>
      </c>
      <c r="O437" s="6" t="s">
        <v>1611</v>
      </c>
      <c r="P437" s="6" t="n">
        <v>1</v>
      </c>
      <c r="R437" s="6" t="s">
        <v>1152</v>
      </c>
      <c r="U437" s="6" t="n">
        <v>165470</v>
      </c>
      <c r="V437" s="28" t="n">
        <v>152232.4</v>
      </c>
      <c r="W437" s="29" t="n">
        <v>0.15</v>
      </c>
      <c r="Y437" s="29" t="n">
        <v>0.05</v>
      </c>
      <c r="Z437" s="30" t="n">
        <v>2910</v>
      </c>
      <c r="AA437" s="29" t="n">
        <v>0.03</v>
      </c>
      <c r="AB437" s="31" t="n">
        <v>190155.852</v>
      </c>
      <c r="AE437" s="6" t="n">
        <v>190155.852</v>
      </c>
      <c r="AF437" s="6" t="s">
        <v>58</v>
      </c>
      <c r="AG437" s="6" t="n">
        <v>0</v>
      </c>
      <c r="AH437" s="30" t="s">
        <v>1133</v>
      </c>
      <c r="AI437" s="6" t="n">
        <v>0</v>
      </c>
      <c r="AJ437" s="6" t="s">
        <v>554</v>
      </c>
      <c r="AK437" s="6" t="s">
        <v>988</v>
      </c>
      <c r="AL437" s="6" t="s">
        <v>554</v>
      </c>
      <c r="AM437" s="6" t="n">
        <v>0</v>
      </c>
      <c r="AQ437" s="6" t="s">
        <v>832</v>
      </c>
      <c r="AR437" s="6" t="s">
        <v>57</v>
      </c>
    </row>
    <row r="438" customFormat="false" ht="15" hidden="false" customHeight="true" outlineLevel="0" collapsed="false">
      <c r="A438" s="27" t="n">
        <v>85136</v>
      </c>
      <c r="B438" s="6" t="s">
        <v>1630</v>
      </c>
      <c r="C438" s="27" t="n">
        <v>85136</v>
      </c>
      <c r="D438" s="6" t="s">
        <v>1631</v>
      </c>
      <c r="E438" s="6" t="s">
        <v>1475</v>
      </c>
      <c r="F438" s="6" t="s">
        <v>1627</v>
      </c>
      <c r="G438" s="6" t="s">
        <v>1073</v>
      </c>
      <c r="H438" s="6" t="s">
        <v>1133</v>
      </c>
      <c r="I438" s="6" t="s">
        <v>1270</v>
      </c>
      <c r="J438" s="6" t="s">
        <v>29</v>
      </c>
      <c r="K438" s="6" t="s">
        <v>554</v>
      </c>
      <c r="L438" s="6" t="s">
        <v>554</v>
      </c>
      <c r="N438" s="6" t="s">
        <v>1023</v>
      </c>
      <c r="O438" s="6" t="s">
        <v>1611</v>
      </c>
      <c r="P438" s="6" t="n">
        <v>1</v>
      </c>
      <c r="R438" s="6" t="s">
        <v>1138</v>
      </c>
      <c r="U438" s="6" t="n">
        <v>151950</v>
      </c>
      <c r="V438" s="28" t="n">
        <v>151950</v>
      </c>
      <c r="W438" s="29" t="n">
        <v>0.12</v>
      </c>
      <c r="X438" s="6" t="n">
        <v>0.055</v>
      </c>
      <c r="Y438" s="29" t="n">
        <v>0.12</v>
      </c>
      <c r="Z438" s="30"/>
      <c r="AA438" s="29" t="n">
        <v>0.04</v>
      </c>
      <c r="AB438" s="31" t="n">
        <v>202853.25</v>
      </c>
      <c r="AE438" s="6" t="n">
        <v>202853.25</v>
      </c>
      <c r="AF438" s="6" t="s">
        <v>58</v>
      </c>
      <c r="AG438" s="6" t="n">
        <v>0</v>
      </c>
      <c r="AH438" s="30" t="s">
        <v>1133</v>
      </c>
      <c r="AI438" s="6" t="n">
        <v>0</v>
      </c>
      <c r="AJ438" s="6" t="s">
        <v>554</v>
      </c>
      <c r="AK438" s="6" t="s">
        <v>988</v>
      </c>
      <c r="AL438" s="6" t="s">
        <v>554</v>
      </c>
      <c r="AM438" s="6" t="n">
        <v>0</v>
      </c>
      <c r="AQ438" s="6" t="s">
        <v>834</v>
      </c>
      <c r="AR438" s="6" t="s">
        <v>57</v>
      </c>
    </row>
    <row r="439" customFormat="false" ht="15" hidden="false" customHeight="true" outlineLevel="0" collapsed="false">
      <c r="A439" s="27" t="n">
        <v>4534</v>
      </c>
      <c r="B439" s="6" t="s">
        <v>1632</v>
      </c>
      <c r="C439" s="27" t="n">
        <v>4534</v>
      </c>
      <c r="D439" s="6" t="s">
        <v>837</v>
      </c>
      <c r="E439" s="6" t="s">
        <v>1633</v>
      </c>
      <c r="F439" s="6" t="s">
        <v>1627</v>
      </c>
      <c r="G439" s="6" t="s">
        <v>1073</v>
      </c>
      <c r="H439" s="6" t="s">
        <v>1133</v>
      </c>
      <c r="I439" s="6" t="s">
        <v>1270</v>
      </c>
      <c r="J439" s="6" t="s">
        <v>29</v>
      </c>
      <c r="K439" s="6" t="s">
        <v>554</v>
      </c>
      <c r="L439" s="6" t="s">
        <v>554</v>
      </c>
      <c r="N439" s="6" t="s">
        <v>1023</v>
      </c>
      <c r="O439" s="6" t="s">
        <v>1611</v>
      </c>
      <c r="P439" s="6" t="n">
        <v>1</v>
      </c>
      <c r="R439" s="6" t="s">
        <v>1152</v>
      </c>
      <c r="U439" s="6" t="n">
        <v>124740</v>
      </c>
      <c r="V439" s="28" t="n">
        <v>124740</v>
      </c>
      <c r="W439" s="29" t="n">
        <v>0.1</v>
      </c>
      <c r="X439" s="6" t="n">
        <v>0.055</v>
      </c>
      <c r="Y439" s="29" t="n">
        <v>0.12</v>
      </c>
      <c r="Z439" s="30"/>
      <c r="AA439" s="29" t="n">
        <v>0.04</v>
      </c>
      <c r="AB439" s="31" t="n">
        <v>164033.1</v>
      </c>
      <c r="AE439" s="6" t="n">
        <v>164033.1</v>
      </c>
      <c r="AF439" s="6" t="s">
        <v>58</v>
      </c>
      <c r="AG439" s="6" t="n">
        <v>0</v>
      </c>
      <c r="AH439" s="30" t="s">
        <v>1133</v>
      </c>
      <c r="AI439" s="6" t="n">
        <v>0</v>
      </c>
      <c r="AJ439" s="6" t="s">
        <v>554</v>
      </c>
      <c r="AK439" s="6" t="s">
        <v>988</v>
      </c>
      <c r="AL439" s="6" t="s">
        <v>554</v>
      </c>
      <c r="AM439" s="6" t="n">
        <v>0</v>
      </c>
      <c r="AQ439" s="6" t="s">
        <v>836</v>
      </c>
      <c r="AR439" s="6" t="s">
        <v>57</v>
      </c>
    </row>
    <row r="440" customFormat="false" ht="15" hidden="false" customHeight="true" outlineLevel="0" collapsed="false">
      <c r="A440" s="27" t="n">
        <v>90097</v>
      </c>
      <c r="B440" s="6" t="s">
        <v>1634</v>
      </c>
      <c r="C440" s="27" t="n">
        <v>90097</v>
      </c>
      <c r="D440" s="6" t="s">
        <v>839</v>
      </c>
      <c r="E440" s="6" t="s">
        <v>1633</v>
      </c>
      <c r="F440" s="6" t="s">
        <v>1627</v>
      </c>
      <c r="G440" s="6" t="s">
        <v>1073</v>
      </c>
      <c r="H440" s="6" t="s">
        <v>1133</v>
      </c>
      <c r="I440" s="6" t="s">
        <v>1270</v>
      </c>
      <c r="J440" s="6" t="s">
        <v>29</v>
      </c>
      <c r="K440" s="6" t="s">
        <v>554</v>
      </c>
      <c r="L440" s="6" t="s">
        <v>554</v>
      </c>
      <c r="N440" s="6" t="s">
        <v>1023</v>
      </c>
      <c r="O440" s="6" t="s">
        <v>1611</v>
      </c>
      <c r="P440" s="6" t="n">
        <v>1</v>
      </c>
      <c r="R440" s="6" t="s">
        <v>1152</v>
      </c>
      <c r="U440" s="6" t="n">
        <v>160460</v>
      </c>
      <c r="V440" s="28" t="n">
        <v>160460</v>
      </c>
      <c r="W440" s="29" t="n">
        <v>0.12</v>
      </c>
      <c r="X440" s="6" t="n">
        <v>0.055</v>
      </c>
      <c r="Y440" s="29" t="n">
        <v>0.12</v>
      </c>
      <c r="Z440" s="30"/>
      <c r="AA440" s="29" t="n">
        <v>0.04</v>
      </c>
      <c r="AB440" s="31" t="n">
        <v>214214.1</v>
      </c>
      <c r="AE440" s="6" t="n">
        <v>214214.1</v>
      </c>
      <c r="AF440" s="6" t="s">
        <v>58</v>
      </c>
      <c r="AG440" s="6" t="n">
        <v>0</v>
      </c>
      <c r="AH440" s="30" t="s">
        <v>1133</v>
      </c>
      <c r="AI440" s="6" t="n">
        <v>0</v>
      </c>
      <c r="AJ440" s="6" t="s">
        <v>554</v>
      </c>
      <c r="AK440" s="6" t="s">
        <v>988</v>
      </c>
      <c r="AL440" s="6" t="s">
        <v>554</v>
      </c>
      <c r="AM440" s="6" t="n">
        <v>0</v>
      </c>
      <c r="AQ440" s="6" t="s">
        <v>838</v>
      </c>
      <c r="AR440" s="6" t="s">
        <v>57</v>
      </c>
    </row>
    <row r="441" customFormat="false" ht="15" hidden="false" customHeight="true" outlineLevel="0" collapsed="false">
      <c r="A441" s="27" t="n">
        <v>92699</v>
      </c>
      <c r="B441" s="6" t="s">
        <v>1635</v>
      </c>
      <c r="C441" s="27" t="n">
        <v>92699</v>
      </c>
      <c r="D441" s="6" t="s">
        <v>1636</v>
      </c>
      <c r="E441" s="6" t="s">
        <v>1637</v>
      </c>
      <c r="F441" s="6" t="s">
        <v>1638</v>
      </c>
      <c r="G441" s="6" t="s">
        <v>1058</v>
      </c>
      <c r="H441" s="6" t="s">
        <v>1059</v>
      </c>
      <c r="I441" s="6" t="s">
        <v>1060</v>
      </c>
      <c r="J441" s="6" t="s">
        <v>25</v>
      </c>
      <c r="K441" s="6" t="s">
        <v>1059</v>
      </c>
      <c r="L441" s="6" t="s">
        <v>1639</v>
      </c>
      <c r="N441" s="6" t="s">
        <v>1023</v>
      </c>
      <c r="O441" s="6" t="s">
        <v>1611</v>
      </c>
      <c r="P441" s="6" t="n">
        <v>1</v>
      </c>
      <c r="R441" s="6" t="s">
        <v>1152</v>
      </c>
      <c r="U441" s="6" t="n">
        <v>123906</v>
      </c>
      <c r="V441" s="28" t="n">
        <v>123906</v>
      </c>
      <c r="W441" s="29" t="n">
        <v>0.1</v>
      </c>
      <c r="X441" s="6" t="n">
        <v>0.055</v>
      </c>
      <c r="Y441" s="29" t="n">
        <v>0.12</v>
      </c>
      <c r="Z441" s="30"/>
      <c r="AA441" s="29" t="n">
        <v>0.04</v>
      </c>
      <c r="AB441" s="31" t="n">
        <v>162936.39</v>
      </c>
      <c r="AE441" s="6" t="n">
        <v>162936.39</v>
      </c>
      <c r="AF441" s="6" t="s">
        <v>58</v>
      </c>
      <c r="AG441" s="6" t="n">
        <v>0</v>
      </c>
      <c r="AH441" s="30" t="s">
        <v>25</v>
      </c>
      <c r="AI441" s="6" t="n">
        <v>0</v>
      </c>
      <c r="AJ441" s="6" t="s">
        <v>842</v>
      </c>
      <c r="AK441" s="6" t="s">
        <v>988</v>
      </c>
      <c r="AL441" s="6" t="s">
        <v>842</v>
      </c>
      <c r="AM441" s="6" t="n">
        <v>0</v>
      </c>
      <c r="AQ441" s="6" t="s">
        <v>840</v>
      </c>
      <c r="AR441" s="6" t="s">
        <v>57</v>
      </c>
    </row>
    <row r="442" customFormat="false" ht="15" hidden="false" customHeight="true" outlineLevel="0" collapsed="false">
      <c r="A442" s="27" t="n">
        <v>92697</v>
      </c>
      <c r="B442" s="6" t="s">
        <v>1640</v>
      </c>
      <c r="C442" s="27" t="n">
        <v>92697</v>
      </c>
      <c r="D442" s="6" t="s">
        <v>1636</v>
      </c>
      <c r="E442" s="6" t="s">
        <v>1637</v>
      </c>
      <c r="F442" s="6" t="s">
        <v>1638</v>
      </c>
      <c r="G442" s="6" t="s">
        <v>1058</v>
      </c>
      <c r="H442" s="6" t="s">
        <v>1059</v>
      </c>
      <c r="I442" s="6" t="s">
        <v>1060</v>
      </c>
      <c r="J442" s="6" t="s">
        <v>25</v>
      </c>
      <c r="K442" s="6" t="s">
        <v>1059</v>
      </c>
      <c r="L442" s="6" t="s">
        <v>1639</v>
      </c>
      <c r="N442" s="6" t="s">
        <v>1023</v>
      </c>
      <c r="O442" s="6" t="s">
        <v>1611</v>
      </c>
      <c r="P442" s="6" t="n">
        <v>1</v>
      </c>
      <c r="R442" s="6" t="s">
        <v>1152</v>
      </c>
      <c r="U442" s="6" t="n">
        <v>116880</v>
      </c>
      <c r="V442" s="28" t="n">
        <v>116880</v>
      </c>
      <c r="W442" s="29" t="n">
        <v>0.1</v>
      </c>
      <c r="X442" s="6" t="n">
        <v>0.055</v>
      </c>
      <c r="Y442" s="29" t="n">
        <v>0.12</v>
      </c>
      <c r="Z442" s="30"/>
      <c r="AA442" s="29" t="n">
        <v>0.04</v>
      </c>
      <c r="AB442" s="31" t="n">
        <v>153697.2</v>
      </c>
      <c r="AE442" s="6" t="n">
        <v>153697.2</v>
      </c>
      <c r="AF442" s="6" t="s">
        <v>58</v>
      </c>
      <c r="AG442" s="6" t="n">
        <v>0</v>
      </c>
      <c r="AH442" s="30" t="s">
        <v>25</v>
      </c>
      <c r="AI442" s="6" t="n">
        <v>0</v>
      </c>
      <c r="AJ442" s="6" t="s">
        <v>842</v>
      </c>
      <c r="AK442" s="6" t="s">
        <v>988</v>
      </c>
      <c r="AL442" s="6" t="s">
        <v>842</v>
      </c>
      <c r="AM442" s="6" t="n">
        <v>0</v>
      </c>
      <c r="AQ442" s="6" t="s">
        <v>843</v>
      </c>
      <c r="AR442" s="6" t="s">
        <v>57</v>
      </c>
    </row>
    <row r="443" customFormat="false" ht="15" hidden="false" customHeight="true" outlineLevel="0" collapsed="false">
      <c r="A443" s="27" t="n">
        <v>109362</v>
      </c>
      <c r="B443" s="6" t="s">
        <v>1641</v>
      </c>
      <c r="C443" s="27" t="n">
        <v>109362</v>
      </c>
      <c r="D443" s="6" t="s">
        <v>1636</v>
      </c>
      <c r="E443" s="6" t="s">
        <v>1637</v>
      </c>
      <c r="F443" s="6" t="s">
        <v>1638</v>
      </c>
      <c r="G443" s="6" t="s">
        <v>1058</v>
      </c>
      <c r="H443" s="6" t="s">
        <v>1059</v>
      </c>
      <c r="I443" s="6" t="s">
        <v>1060</v>
      </c>
      <c r="J443" s="6" t="s">
        <v>25</v>
      </c>
      <c r="K443" s="6" t="s">
        <v>1059</v>
      </c>
      <c r="L443" s="6" t="s">
        <v>1639</v>
      </c>
      <c r="N443" s="6" t="s">
        <v>1023</v>
      </c>
      <c r="O443" s="6" t="s">
        <v>1611</v>
      </c>
      <c r="P443" s="6" t="n">
        <v>1</v>
      </c>
      <c r="R443" s="6" t="s">
        <v>1152</v>
      </c>
      <c r="U443" s="6" t="n">
        <v>111580</v>
      </c>
      <c r="V443" s="28" t="n">
        <v>111580</v>
      </c>
      <c r="W443" s="29" t="n">
        <v>0.1</v>
      </c>
      <c r="X443" s="6" t="n">
        <v>0.055</v>
      </c>
      <c r="Y443" s="29" t="n">
        <v>0.12</v>
      </c>
      <c r="Z443" s="30"/>
      <c r="AA443" s="29" t="n">
        <v>0.04</v>
      </c>
      <c r="AB443" s="31" t="n">
        <v>146727.7</v>
      </c>
      <c r="AE443" s="6" t="n">
        <v>146727.7</v>
      </c>
      <c r="AF443" s="6" t="s">
        <v>58</v>
      </c>
      <c r="AG443" s="6" t="n">
        <v>0</v>
      </c>
      <c r="AH443" s="30" t="s">
        <v>25</v>
      </c>
      <c r="AI443" s="6" t="n">
        <v>0</v>
      </c>
      <c r="AJ443" s="6" t="s">
        <v>842</v>
      </c>
      <c r="AK443" s="6" t="s">
        <v>988</v>
      </c>
      <c r="AL443" s="6" t="s">
        <v>842</v>
      </c>
      <c r="AM443" s="6" t="n">
        <v>0</v>
      </c>
      <c r="AQ443" s="6" t="s">
        <v>844</v>
      </c>
      <c r="AR443" s="6" t="s">
        <v>57</v>
      </c>
    </row>
    <row r="444" customFormat="false" ht="15" hidden="false" customHeight="true" outlineLevel="0" collapsed="false">
      <c r="A444" s="27" t="n">
        <v>113511</v>
      </c>
      <c r="B444" s="6" t="s">
        <v>1642</v>
      </c>
      <c r="C444" s="27" t="n">
        <v>113511</v>
      </c>
      <c r="D444" s="6" t="s">
        <v>846</v>
      </c>
      <c r="E444" s="6" t="s">
        <v>1260</v>
      </c>
      <c r="F444" s="6" t="s">
        <v>1261</v>
      </c>
      <c r="G444" s="6" t="s">
        <v>1058</v>
      </c>
      <c r="H444" s="6" t="s">
        <v>19</v>
      </c>
      <c r="I444" s="6" t="s">
        <v>1262</v>
      </c>
      <c r="J444" s="6" t="s">
        <v>19</v>
      </c>
      <c r="K444" s="6" t="s">
        <v>1374</v>
      </c>
      <c r="L444" s="6" t="s">
        <v>390</v>
      </c>
      <c r="N444" s="6" t="s">
        <v>109</v>
      </c>
      <c r="O444" s="6" t="s">
        <v>1611</v>
      </c>
      <c r="P444" s="6" t="n">
        <v>1</v>
      </c>
      <c r="R444" s="6" t="s">
        <v>1152</v>
      </c>
      <c r="U444" s="6" t="n">
        <v>133080</v>
      </c>
      <c r="V444" s="28" t="n">
        <v>122433.6</v>
      </c>
      <c r="W444" s="29" t="n">
        <v>0.15</v>
      </c>
      <c r="Y444" s="29" t="n">
        <v>0.05</v>
      </c>
      <c r="Z444" s="30" t="n">
        <v>2910</v>
      </c>
      <c r="AA444" s="29" t="n">
        <v>0.03</v>
      </c>
      <c r="AB444" s="31" t="n">
        <v>153503.328</v>
      </c>
      <c r="AE444" s="6" t="n">
        <v>153503.328</v>
      </c>
      <c r="AF444" s="6" t="s">
        <v>58</v>
      </c>
      <c r="AG444" s="6" t="n">
        <v>0</v>
      </c>
      <c r="AH444" s="30" t="s">
        <v>1206</v>
      </c>
      <c r="AI444" s="6" t="n">
        <v>0</v>
      </c>
      <c r="AJ444" s="6" t="s">
        <v>390</v>
      </c>
      <c r="AK444" s="6" t="s">
        <v>988</v>
      </c>
      <c r="AL444" s="6" t="s">
        <v>390</v>
      </c>
      <c r="AM444" s="6" t="n">
        <v>0</v>
      </c>
      <c r="AQ444" s="6" t="s">
        <v>845</v>
      </c>
      <c r="AR444" s="6" t="s">
        <v>109</v>
      </c>
    </row>
    <row r="445" customFormat="false" ht="15" hidden="false" customHeight="true" outlineLevel="0" collapsed="false">
      <c r="A445" s="27" t="n">
        <v>102576</v>
      </c>
      <c r="B445" s="6" t="s">
        <v>1637</v>
      </c>
      <c r="C445" s="27" t="n">
        <v>102576</v>
      </c>
      <c r="D445" s="6" t="s">
        <v>1643</v>
      </c>
      <c r="E445" s="6" t="s">
        <v>1056</v>
      </c>
      <c r="F445" s="6" t="s">
        <v>1057</v>
      </c>
      <c r="G445" s="6" t="s">
        <v>1058</v>
      </c>
      <c r="H445" s="6" t="s">
        <v>1059</v>
      </c>
      <c r="I445" s="6" t="s">
        <v>1060</v>
      </c>
      <c r="J445" s="6" t="s">
        <v>25</v>
      </c>
      <c r="K445" s="6" t="s">
        <v>1059</v>
      </c>
      <c r="L445" s="6" t="s">
        <v>1639</v>
      </c>
      <c r="N445" s="6" t="s">
        <v>1023</v>
      </c>
      <c r="O445" s="6" t="s">
        <v>1611</v>
      </c>
      <c r="P445" s="6" t="n">
        <v>1</v>
      </c>
      <c r="R445" s="6" t="s">
        <v>1152</v>
      </c>
      <c r="U445" s="6" t="n">
        <v>130260</v>
      </c>
      <c r="V445" s="28" t="n">
        <v>130260</v>
      </c>
      <c r="W445" s="29" t="n">
        <v>0.1</v>
      </c>
      <c r="X445" s="6" t="n">
        <v>0.055</v>
      </c>
      <c r="Y445" s="29" t="n">
        <v>0.12</v>
      </c>
      <c r="Z445" s="30"/>
      <c r="AA445" s="29" t="n">
        <v>0.04</v>
      </c>
      <c r="AB445" s="31" t="n">
        <v>171291.9</v>
      </c>
      <c r="AE445" s="6" t="n">
        <v>171291.9</v>
      </c>
      <c r="AF445" s="6" t="s">
        <v>58</v>
      </c>
      <c r="AG445" s="6" t="n">
        <v>0</v>
      </c>
      <c r="AH445" s="30" t="s">
        <v>25</v>
      </c>
      <c r="AI445" s="6" t="n">
        <v>0</v>
      </c>
      <c r="AJ445" s="6" t="s">
        <v>842</v>
      </c>
      <c r="AK445" s="6" t="s">
        <v>988</v>
      </c>
      <c r="AL445" s="6" t="s">
        <v>842</v>
      </c>
      <c r="AM445" s="6" t="n">
        <v>0</v>
      </c>
      <c r="AQ445" s="6" t="s">
        <v>847</v>
      </c>
      <c r="AR445" s="6" t="s">
        <v>57</v>
      </c>
    </row>
    <row r="446" customFormat="false" ht="15" hidden="false" customHeight="true" outlineLevel="0" collapsed="false">
      <c r="A446" s="27" t="n">
        <v>110040</v>
      </c>
      <c r="B446" s="6" t="s">
        <v>1644</v>
      </c>
      <c r="C446" s="27" t="n">
        <v>110040</v>
      </c>
      <c r="D446" s="6" t="s">
        <v>350</v>
      </c>
      <c r="E446" s="6" t="s">
        <v>1056</v>
      </c>
      <c r="F446" s="6" t="s">
        <v>1057</v>
      </c>
      <c r="G446" s="6" t="s">
        <v>1058</v>
      </c>
      <c r="H446" s="6" t="s">
        <v>1059</v>
      </c>
      <c r="I446" s="6" t="s">
        <v>1060</v>
      </c>
      <c r="J446" s="6" t="s">
        <v>25</v>
      </c>
      <c r="K446" s="6" t="s">
        <v>1234</v>
      </c>
      <c r="L446" s="6" t="s">
        <v>227</v>
      </c>
      <c r="N446" s="6" t="s">
        <v>1023</v>
      </c>
      <c r="O446" s="6" t="s">
        <v>1611</v>
      </c>
      <c r="P446" s="6" t="n">
        <v>1</v>
      </c>
      <c r="R446" s="6" t="s">
        <v>1152</v>
      </c>
      <c r="U446" s="6" t="n">
        <v>110000</v>
      </c>
      <c r="V446" s="28" t="n">
        <v>110000</v>
      </c>
      <c r="W446" s="29" t="n">
        <v>0.1</v>
      </c>
      <c r="X446" s="6" t="n">
        <v>0.055</v>
      </c>
      <c r="Y446" s="29" t="n">
        <v>0.12</v>
      </c>
      <c r="Z446" s="30"/>
      <c r="AA446" s="29" t="n">
        <v>0.04</v>
      </c>
      <c r="AB446" s="31" t="n">
        <v>144650</v>
      </c>
      <c r="AE446" s="6" t="n">
        <v>144650</v>
      </c>
      <c r="AF446" s="6" t="s">
        <v>58</v>
      </c>
      <c r="AG446" s="6" t="n">
        <v>0</v>
      </c>
      <c r="AH446" s="30" t="s">
        <v>25</v>
      </c>
      <c r="AI446" s="6" t="n">
        <v>0</v>
      </c>
      <c r="AJ446" s="6" t="s">
        <v>227</v>
      </c>
      <c r="AK446" s="6" t="s">
        <v>988</v>
      </c>
      <c r="AL446" s="6" t="s">
        <v>227</v>
      </c>
      <c r="AM446" s="6" t="n">
        <v>0</v>
      </c>
      <c r="AQ446" s="6" t="s">
        <v>849</v>
      </c>
      <c r="AR446" s="6" t="s">
        <v>57</v>
      </c>
    </row>
    <row r="447" customFormat="false" ht="15" hidden="false" customHeight="true" outlineLevel="0" collapsed="false">
      <c r="A447" s="27" t="s">
        <v>1138</v>
      </c>
      <c r="B447" s="6" t="s">
        <v>1063</v>
      </c>
      <c r="C447" s="27" t="s">
        <v>1138</v>
      </c>
      <c r="D447" s="6" t="s">
        <v>117</v>
      </c>
      <c r="E447" s="6" t="s">
        <v>1056</v>
      </c>
      <c r="F447" s="6" t="s">
        <v>1057</v>
      </c>
      <c r="G447" s="6" t="s">
        <v>1058</v>
      </c>
      <c r="H447" s="6" t="s">
        <v>1059</v>
      </c>
      <c r="I447" s="6" t="s">
        <v>1060</v>
      </c>
      <c r="J447" s="6" t="s">
        <v>25</v>
      </c>
      <c r="K447" s="6" t="s">
        <v>1234</v>
      </c>
      <c r="L447" s="6" t="s">
        <v>227</v>
      </c>
      <c r="N447" s="6" t="s">
        <v>1023</v>
      </c>
      <c r="O447" s="6" t="s">
        <v>1611</v>
      </c>
      <c r="P447" s="6" t="n">
        <v>1</v>
      </c>
      <c r="R447" s="6" t="s">
        <v>1143</v>
      </c>
      <c r="U447" s="6" t="n">
        <v>129650</v>
      </c>
      <c r="V447" s="28" t="n">
        <v>129650</v>
      </c>
      <c r="W447" s="29" t="n">
        <v>0.1</v>
      </c>
      <c r="X447" s="6" t="n">
        <v>0.055</v>
      </c>
      <c r="Y447" s="29" t="n">
        <v>0.12</v>
      </c>
      <c r="Z447" s="30"/>
      <c r="AA447" s="29" t="n">
        <v>0.04</v>
      </c>
      <c r="AB447" s="31" t="n">
        <v>170489.75</v>
      </c>
      <c r="AE447" s="6" t="n">
        <v>170489.75</v>
      </c>
      <c r="AF447" s="6" t="s">
        <v>1063</v>
      </c>
      <c r="AG447" s="6" t="n">
        <v>0</v>
      </c>
      <c r="AH447" s="30" t="s">
        <v>25</v>
      </c>
      <c r="AI447" s="6" t="n">
        <v>0</v>
      </c>
      <c r="AJ447" s="6" t="s">
        <v>227</v>
      </c>
      <c r="AK447" s="6" t="s">
        <v>988</v>
      </c>
      <c r="AL447" s="6" t="s">
        <v>227</v>
      </c>
      <c r="AM447" s="6" t="n">
        <v>0</v>
      </c>
      <c r="AQ447" s="6" t="s">
        <v>850</v>
      </c>
      <c r="AR447" s="6" t="s">
        <v>57</v>
      </c>
    </row>
    <row r="448" customFormat="false" ht="15" hidden="false" customHeight="true" outlineLevel="0" collapsed="false">
      <c r="A448" s="27" t="n">
        <v>116241</v>
      </c>
      <c r="B448" s="6" t="s">
        <v>1645</v>
      </c>
      <c r="C448" s="27" t="n">
        <v>116241</v>
      </c>
      <c r="D448" s="6" t="s">
        <v>640</v>
      </c>
      <c r="E448" s="6" t="s">
        <v>1378</v>
      </c>
      <c r="F448" s="6" t="s">
        <v>1646</v>
      </c>
      <c r="G448" s="6" t="s">
        <v>1164</v>
      </c>
      <c r="H448" s="6" t="s">
        <v>157</v>
      </c>
      <c r="I448" s="6" t="s">
        <v>26</v>
      </c>
      <c r="J448" s="6" t="s">
        <v>26</v>
      </c>
      <c r="K448" s="6" t="s">
        <v>26</v>
      </c>
      <c r="L448" s="6" t="s">
        <v>26</v>
      </c>
      <c r="N448" s="6" t="s">
        <v>1023</v>
      </c>
      <c r="O448" s="6" t="s">
        <v>1611</v>
      </c>
      <c r="P448" s="6" t="n">
        <v>1</v>
      </c>
      <c r="R448" s="6" t="s">
        <v>1152</v>
      </c>
      <c r="U448" s="6" t="n">
        <v>145000</v>
      </c>
      <c r="V448" s="28" t="n">
        <v>145000</v>
      </c>
      <c r="W448" s="29" t="n">
        <v>0.1</v>
      </c>
      <c r="X448" s="6" t="n">
        <v>0.055</v>
      </c>
      <c r="Y448" s="29" t="n">
        <v>0.12</v>
      </c>
      <c r="Z448" s="30"/>
      <c r="AA448" s="29" t="n">
        <v>0.04</v>
      </c>
      <c r="AB448" s="31" t="n">
        <v>190675</v>
      </c>
      <c r="AE448" s="6" t="n">
        <v>190675</v>
      </c>
      <c r="AF448" s="6" t="s">
        <v>58</v>
      </c>
      <c r="AG448" s="6" t="n">
        <v>0</v>
      </c>
      <c r="AH448" s="30" t="s">
        <v>1254</v>
      </c>
      <c r="AI448" s="6" t="n">
        <v>0</v>
      </c>
      <c r="AJ448" s="6" t="s">
        <v>395</v>
      </c>
      <c r="AK448" s="6" t="s">
        <v>988</v>
      </c>
      <c r="AL448" s="6" t="s">
        <v>395</v>
      </c>
      <c r="AM448" s="6" t="n">
        <v>0</v>
      </c>
      <c r="AQ448" s="6" t="s">
        <v>851</v>
      </c>
      <c r="AR448" s="6" t="s">
        <v>57</v>
      </c>
    </row>
    <row r="449" customFormat="false" ht="15" hidden="false" customHeight="true" outlineLevel="0" collapsed="false">
      <c r="A449" s="27" t="n">
        <v>86962</v>
      </c>
      <c r="B449" s="6" t="s">
        <v>1647</v>
      </c>
      <c r="C449" s="27" t="n">
        <v>86962</v>
      </c>
      <c r="D449" s="6" t="s">
        <v>640</v>
      </c>
      <c r="E449" s="6" t="s">
        <v>1378</v>
      </c>
      <c r="F449" s="6" t="s">
        <v>1397</v>
      </c>
      <c r="G449" s="6" t="s">
        <v>1164</v>
      </c>
      <c r="H449" s="6" t="s">
        <v>157</v>
      </c>
      <c r="I449" s="6" t="s">
        <v>1648</v>
      </c>
      <c r="J449" s="6" t="s">
        <v>26</v>
      </c>
      <c r="K449" s="6" t="s">
        <v>26</v>
      </c>
      <c r="L449" s="6" t="s">
        <v>26</v>
      </c>
      <c r="N449" s="6" t="s">
        <v>1023</v>
      </c>
      <c r="O449" s="6" t="s">
        <v>1611</v>
      </c>
      <c r="P449" s="6" t="n">
        <v>1</v>
      </c>
      <c r="R449" s="6" t="s">
        <v>1152</v>
      </c>
      <c r="U449" s="6" t="n">
        <v>131660</v>
      </c>
      <c r="V449" s="28" t="n">
        <v>131660</v>
      </c>
      <c r="W449" s="29" t="n">
        <v>0.1</v>
      </c>
      <c r="X449" s="6" t="n">
        <v>0.055</v>
      </c>
      <c r="Y449" s="29" t="n">
        <v>0.12</v>
      </c>
      <c r="Z449" s="30"/>
      <c r="AA449" s="29" t="n">
        <v>0.04</v>
      </c>
      <c r="AB449" s="31" t="n">
        <v>173132.9</v>
      </c>
      <c r="AE449" s="6" t="n">
        <v>173132.9</v>
      </c>
      <c r="AF449" s="6" t="s">
        <v>58</v>
      </c>
      <c r="AG449" s="6" t="n">
        <v>0</v>
      </c>
      <c r="AH449" s="30" t="s">
        <v>1254</v>
      </c>
      <c r="AI449" s="6" t="n">
        <v>0</v>
      </c>
      <c r="AJ449" s="6" t="s">
        <v>395</v>
      </c>
      <c r="AK449" s="6" t="s">
        <v>988</v>
      </c>
      <c r="AL449" s="6" t="s">
        <v>395</v>
      </c>
      <c r="AM449" s="6" t="n">
        <v>0</v>
      </c>
      <c r="AQ449" s="6" t="s">
        <v>852</v>
      </c>
      <c r="AR449" s="6" t="s">
        <v>57</v>
      </c>
    </row>
    <row r="450" customFormat="false" ht="15" hidden="false" customHeight="true" outlineLevel="0" collapsed="false">
      <c r="A450" s="27" t="n">
        <v>113540</v>
      </c>
      <c r="B450" s="6" t="s">
        <v>1649</v>
      </c>
      <c r="C450" s="27" t="n">
        <v>113540</v>
      </c>
      <c r="D450" s="6" t="s">
        <v>854</v>
      </c>
      <c r="E450" s="6" t="s">
        <v>1460</v>
      </c>
      <c r="F450" s="6" t="s">
        <v>1461</v>
      </c>
      <c r="G450" s="6" t="s">
        <v>1076</v>
      </c>
      <c r="H450" s="6" t="s">
        <v>1290</v>
      </c>
      <c r="I450" s="6" t="s">
        <v>1433</v>
      </c>
      <c r="J450" s="6" t="s">
        <v>30</v>
      </c>
      <c r="K450" s="6" t="s">
        <v>30</v>
      </c>
      <c r="L450" s="6" t="s">
        <v>477</v>
      </c>
      <c r="N450" s="6" t="s">
        <v>109</v>
      </c>
      <c r="O450" s="6" t="s">
        <v>1611</v>
      </c>
      <c r="P450" s="6" t="n">
        <v>1</v>
      </c>
      <c r="R450" s="6" t="s">
        <v>1152</v>
      </c>
      <c r="U450" s="6" t="n">
        <v>115679</v>
      </c>
      <c r="V450" s="28" t="n">
        <v>106424.68</v>
      </c>
      <c r="W450" s="29" t="n">
        <v>0.15</v>
      </c>
      <c r="Y450" s="29" t="n">
        <v>0.05</v>
      </c>
      <c r="Z450" s="30" t="n">
        <v>2910</v>
      </c>
      <c r="AA450" s="29" t="n">
        <v>0.03</v>
      </c>
      <c r="AB450" s="31" t="n">
        <v>133812.3564</v>
      </c>
      <c r="AE450" s="6" t="n">
        <v>133812.3564</v>
      </c>
      <c r="AF450" s="6" t="s">
        <v>58</v>
      </c>
      <c r="AG450" s="6" t="n">
        <v>0</v>
      </c>
      <c r="AH450" s="30" t="s">
        <v>1076</v>
      </c>
      <c r="AI450" s="6" t="n">
        <v>0</v>
      </c>
      <c r="AJ450" s="6" t="s">
        <v>477</v>
      </c>
      <c r="AK450" s="6" t="s">
        <v>988</v>
      </c>
      <c r="AL450" s="6" t="s">
        <v>477</v>
      </c>
      <c r="AM450" s="6" t="n">
        <v>0</v>
      </c>
      <c r="AQ450" s="6" t="s">
        <v>853</v>
      </c>
      <c r="AR450" s="6" t="s">
        <v>109</v>
      </c>
    </row>
    <row r="451" customFormat="false" ht="15" hidden="false" customHeight="true" outlineLevel="0" collapsed="false">
      <c r="A451" s="27" t="n">
        <v>107048</v>
      </c>
      <c r="B451" s="6" t="s">
        <v>1650</v>
      </c>
      <c r="C451" s="27" t="n">
        <v>107048</v>
      </c>
      <c r="D451" s="6" t="s">
        <v>652</v>
      </c>
      <c r="E451" s="6" t="s">
        <v>1257</v>
      </c>
      <c r="F451" s="6" t="s">
        <v>1389</v>
      </c>
      <c r="G451" s="6" t="s">
        <v>1173</v>
      </c>
      <c r="H451" s="6" t="s">
        <v>168</v>
      </c>
      <c r="I451" s="6" t="s">
        <v>414</v>
      </c>
      <c r="J451" s="6" t="s">
        <v>23</v>
      </c>
      <c r="K451" s="6" t="s">
        <v>168</v>
      </c>
      <c r="L451" s="6" t="s">
        <v>414</v>
      </c>
      <c r="N451" s="6" t="s">
        <v>1023</v>
      </c>
      <c r="O451" s="6" t="s">
        <v>1611</v>
      </c>
      <c r="P451" s="6" t="n">
        <v>1</v>
      </c>
      <c r="R451" s="6" t="s">
        <v>1322</v>
      </c>
      <c r="U451" s="6" t="n">
        <v>138000</v>
      </c>
      <c r="V451" s="28" t="n">
        <v>138000</v>
      </c>
      <c r="W451" s="29" t="n">
        <v>0.1</v>
      </c>
      <c r="X451" s="6" t="n">
        <v>0.055</v>
      </c>
      <c r="Y451" s="29" t="n">
        <v>0.12</v>
      </c>
      <c r="Z451" s="30"/>
      <c r="AA451" s="29" t="n">
        <v>0.04</v>
      </c>
      <c r="AB451" s="31" t="n">
        <v>181470</v>
      </c>
      <c r="AE451" s="6" t="n">
        <v>181470</v>
      </c>
      <c r="AF451" s="6" t="s">
        <v>58</v>
      </c>
      <c r="AG451" s="6" t="n">
        <v>0</v>
      </c>
      <c r="AH451" s="30" t="s">
        <v>23</v>
      </c>
      <c r="AI451" s="6" t="n">
        <v>0</v>
      </c>
      <c r="AJ451" s="6" t="s">
        <v>414</v>
      </c>
      <c r="AK451" s="6" t="s">
        <v>988</v>
      </c>
      <c r="AL451" s="6" t="s">
        <v>414</v>
      </c>
      <c r="AM451" s="6" t="n">
        <v>0</v>
      </c>
      <c r="AQ451" s="6" t="s">
        <v>855</v>
      </c>
      <c r="AR451" s="6" t="s">
        <v>57</v>
      </c>
    </row>
    <row r="452" customFormat="false" ht="15" hidden="false" customHeight="true" outlineLevel="0" collapsed="false">
      <c r="A452" s="27" t="n">
        <v>101539</v>
      </c>
      <c r="B452" s="6" t="s">
        <v>1651</v>
      </c>
      <c r="C452" s="27" t="n">
        <v>101539</v>
      </c>
      <c r="D452" s="6" t="s">
        <v>597</v>
      </c>
      <c r="E452" s="6" t="s">
        <v>1240</v>
      </c>
      <c r="F452" s="6" t="s">
        <v>1393</v>
      </c>
      <c r="G452" s="6" t="s">
        <v>1058</v>
      </c>
      <c r="H452" s="6" t="s">
        <v>1059</v>
      </c>
      <c r="I452" s="6" t="s">
        <v>1059</v>
      </c>
      <c r="J452" s="6" t="s">
        <v>25</v>
      </c>
      <c r="K452" s="6" t="s">
        <v>1243</v>
      </c>
      <c r="L452" s="6" t="s">
        <v>1394</v>
      </c>
      <c r="N452" s="6" t="s">
        <v>1023</v>
      </c>
      <c r="O452" s="6" t="s">
        <v>1611</v>
      </c>
      <c r="P452" s="6" t="n">
        <v>1</v>
      </c>
      <c r="R452" s="6" t="s">
        <v>1152</v>
      </c>
      <c r="U452" s="6" t="n">
        <v>127110</v>
      </c>
      <c r="V452" s="28" t="n">
        <v>127110</v>
      </c>
      <c r="W452" s="29" t="n">
        <v>0.1</v>
      </c>
      <c r="X452" s="6" t="n">
        <v>0.055</v>
      </c>
      <c r="Y452" s="29" t="n">
        <v>0.12</v>
      </c>
      <c r="Z452" s="30"/>
      <c r="AA452" s="29" t="n">
        <v>0.04</v>
      </c>
      <c r="AB452" s="31" t="n">
        <v>167149.65</v>
      </c>
      <c r="AE452" s="6" t="n">
        <v>167149.65</v>
      </c>
      <c r="AF452" s="6" t="s">
        <v>58</v>
      </c>
      <c r="AG452" s="6" t="n">
        <v>0</v>
      </c>
      <c r="AH452" s="30" t="s">
        <v>25</v>
      </c>
      <c r="AI452" s="6" t="n">
        <v>0</v>
      </c>
      <c r="AJ452" s="6" t="s">
        <v>1394</v>
      </c>
      <c r="AK452" s="6" t="s">
        <v>988</v>
      </c>
      <c r="AL452" s="6" t="s">
        <v>1394</v>
      </c>
      <c r="AM452" s="6" t="n">
        <v>0</v>
      </c>
      <c r="AQ452" s="6" t="s">
        <v>856</v>
      </c>
      <c r="AR452" s="6" t="s">
        <v>57</v>
      </c>
    </row>
    <row r="453" customFormat="false" ht="15" hidden="false" customHeight="true" outlineLevel="0" collapsed="false">
      <c r="A453" s="27" t="s">
        <v>1138</v>
      </c>
      <c r="B453" s="6" t="s">
        <v>1063</v>
      </c>
      <c r="C453" s="27" t="s">
        <v>1138</v>
      </c>
      <c r="D453" s="6" t="s">
        <v>117</v>
      </c>
      <c r="E453" s="6" t="s">
        <v>1240</v>
      </c>
      <c r="F453" s="6" t="s">
        <v>1393</v>
      </c>
      <c r="G453" s="6" t="s">
        <v>1058</v>
      </c>
      <c r="H453" s="6" t="s">
        <v>1059</v>
      </c>
      <c r="I453" s="6" t="s">
        <v>1242</v>
      </c>
      <c r="J453" s="6" t="s">
        <v>25</v>
      </c>
      <c r="K453" s="6" t="s">
        <v>1243</v>
      </c>
      <c r="L453" s="6" t="s">
        <v>1394</v>
      </c>
      <c r="N453" s="6" t="s">
        <v>1023</v>
      </c>
      <c r="O453" s="6" t="s">
        <v>1611</v>
      </c>
      <c r="P453" s="6" t="n">
        <v>1</v>
      </c>
      <c r="R453" s="6" t="s">
        <v>1143</v>
      </c>
      <c r="U453" s="6" t="n">
        <v>129650</v>
      </c>
      <c r="V453" s="28" t="n">
        <v>129650</v>
      </c>
      <c r="W453" s="29" t="n">
        <v>0.1</v>
      </c>
      <c r="X453" s="6" t="n">
        <v>0.055</v>
      </c>
      <c r="Y453" s="29" t="n">
        <v>0.12</v>
      </c>
      <c r="Z453" s="30"/>
      <c r="AA453" s="29" t="n">
        <v>0.04</v>
      </c>
      <c r="AB453" s="31" t="n">
        <v>170489.75</v>
      </c>
      <c r="AE453" s="6" t="n">
        <v>170489.75</v>
      </c>
      <c r="AF453" s="6" t="s">
        <v>1063</v>
      </c>
      <c r="AG453" s="6" t="n">
        <v>0</v>
      </c>
      <c r="AH453" s="30" t="s">
        <v>25</v>
      </c>
      <c r="AI453" s="6" t="n">
        <v>0</v>
      </c>
      <c r="AJ453" s="6" t="s">
        <v>1394</v>
      </c>
      <c r="AK453" s="6" t="s">
        <v>988</v>
      </c>
      <c r="AL453" s="6" t="s">
        <v>1394</v>
      </c>
      <c r="AM453" s="6" t="n">
        <v>0</v>
      </c>
      <c r="AQ453" s="6" t="s">
        <v>857</v>
      </c>
      <c r="AR453" s="6" t="s">
        <v>57</v>
      </c>
    </row>
    <row r="454" customFormat="false" ht="15" hidden="false" customHeight="true" outlineLevel="0" collapsed="false">
      <c r="A454" s="27" t="n">
        <v>104555</v>
      </c>
      <c r="B454" s="6" t="s">
        <v>1652</v>
      </c>
      <c r="C454" s="27" t="n">
        <v>104555</v>
      </c>
      <c r="D454" s="6" t="s">
        <v>859</v>
      </c>
      <c r="E454" s="6" t="s">
        <v>1653</v>
      </c>
      <c r="G454" s="6" t="s">
        <v>1164</v>
      </c>
      <c r="H454" s="6" t="s">
        <v>160</v>
      </c>
      <c r="I454" s="6" t="s">
        <v>26</v>
      </c>
      <c r="J454" s="6" t="s">
        <v>26</v>
      </c>
      <c r="K454" s="6" t="s">
        <v>26</v>
      </c>
      <c r="L454" s="6" t="s">
        <v>26</v>
      </c>
      <c r="N454" s="6" t="s">
        <v>1023</v>
      </c>
      <c r="O454" s="6" t="s">
        <v>1611</v>
      </c>
      <c r="P454" s="6" t="n">
        <v>1</v>
      </c>
      <c r="R454" s="6" t="s">
        <v>1152</v>
      </c>
      <c r="U454" s="6" t="n">
        <v>131640</v>
      </c>
      <c r="V454" s="28" t="n">
        <v>131640</v>
      </c>
      <c r="W454" s="29" t="n">
        <v>0.1</v>
      </c>
      <c r="X454" s="6" t="n">
        <v>0.055</v>
      </c>
      <c r="Y454" s="29" t="n">
        <v>0.12</v>
      </c>
      <c r="Z454" s="30"/>
      <c r="AA454" s="29" t="n">
        <v>0.04</v>
      </c>
      <c r="AB454" s="31" t="n">
        <v>173106.6</v>
      </c>
      <c r="AE454" s="6" t="n">
        <v>173106.6</v>
      </c>
      <c r="AF454" s="6" t="s">
        <v>58</v>
      </c>
      <c r="AG454" s="6" t="n">
        <v>0</v>
      </c>
      <c r="AH454" s="30" t="s">
        <v>1169</v>
      </c>
      <c r="AI454" s="6" t="n">
        <v>0</v>
      </c>
      <c r="AJ454" s="6" t="s">
        <v>160</v>
      </c>
      <c r="AK454" s="6" t="s">
        <v>988</v>
      </c>
      <c r="AL454" s="6" t="s">
        <v>160</v>
      </c>
      <c r="AM454" s="6" t="n">
        <v>0</v>
      </c>
      <c r="AQ454" s="6" t="s">
        <v>858</v>
      </c>
      <c r="AR454" s="6" t="s">
        <v>57</v>
      </c>
    </row>
    <row r="455" customFormat="false" ht="15" hidden="false" customHeight="true" outlineLevel="0" collapsed="false">
      <c r="A455" s="27" t="n">
        <v>113515</v>
      </c>
      <c r="B455" s="6" t="s">
        <v>1654</v>
      </c>
      <c r="C455" s="27" t="n">
        <v>113515</v>
      </c>
      <c r="D455" s="6" t="s">
        <v>861</v>
      </c>
      <c r="E455" s="6" t="s">
        <v>1072</v>
      </c>
      <c r="F455" s="6" t="s">
        <v>270</v>
      </c>
      <c r="G455" s="6" t="s">
        <v>1073</v>
      </c>
      <c r="H455" s="6" t="s">
        <v>1074</v>
      </c>
      <c r="I455" s="6" t="s">
        <v>1075</v>
      </c>
      <c r="J455" s="6" t="s">
        <v>31</v>
      </c>
      <c r="K455" s="6" t="s">
        <v>1213</v>
      </c>
      <c r="L455" s="6" t="s">
        <v>1456</v>
      </c>
      <c r="N455" s="6" t="s">
        <v>109</v>
      </c>
      <c r="O455" s="6" t="s">
        <v>1611</v>
      </c>
      <c r="P455" s="6" t="n">
        <v>1</v>
      </c>
      <c r="R455" s="6" t="s">
        <v>1152</v>
      </c>
      <c r="U455" s="6" t="n">
        <v>121830</v>
      </c>
      <c r="V455" s="28" t="n">
        <v>112083.6</v>
      </c>
      <c r="W455" s="29" t="n">
        <v>0.15</v>
      </c>
      <c r="Y455" s="29" t="n">
        <v>0.05</v>
      </c>
      <c r="Z455" s="30" t="n">
        <v>2910</v>
      </c>
      <c r="AA455" s="29" t="n">
        <v>0.03</v>
      </c>
      <c r="AB455" s="31" t="n">
        <v>140772.828</v>
      </c>
      <c r="AE455" s="6" t="n">
        <v>140772.828</v>
      </c>
      <c r="AF455" s="6" t="s">
        <v>58</v>
      </c>
      <c r="AG455" s="6" t="n">
        <v>0</v>
      </c>
      <c r="AH455" s="30" t="s">
        <v>1214</v>
      </c>
      <c r="AI455" s="6" t="n">
        <v>0</v>
      </c>
      <c r="AJ455" s="6" t="s">
        <v>516</v>
      </c>
      <c r="AK455" s="6" t="s">
        <v>988</v>
      </c>
      <c r="AL455" s="6" t="s">
        <v>516</v>
      </c>
      <c r="AM455" s="6" t="n">
        <v>0</v>
      </c>
      <c r="AQ455" s="6" t="s">
        <v>860</v>
      </c>
      <c r="AR455" s="6" t="s">
        <v>109</v>
      </c>
    </row>
    <row r="456" customFormat="false" ht="15" hidden="false" customHeight="true" outlineLevel="0" collapsed="false">
      <c r="A456" s="27" t="n">
        <v>113523</v>
      </c>
      <c r="B456" s="6" t="s">
        <v>1655</v>
      </c>
      <c r="C456" s="27" t="n">
        <v>113523</v>
      </c>
      <c r="D456" s="6" t="s">
        <v>661</v>
      </c>
      <c r="E456" s="6" t="s">
        <v>1072</v>
      </c>
      <c r="F456" s="6" t="s">
        <v>270</v>
      </c>
      <c r="G456" s="6" t="s">
        <v>1073</v>
      </c>
      <c r="H456" s="6" t="s">
        <v>1074</v>
      </c>
      <c r="I456" s="6" t="s">
        <v>1075</v>
      </c>
      <c r="J456" s="6" t="s">
        <v>31</v>
      </c>
      <c r="K456" s="6" t="s">
        <v>1213</v>
      </c>
      <c r="L456" s="6" t="s">
        <v>1456</v>
      </c>
      <c r="N456" s="6" t="s">
        <v>109</v>
      </c>
      <c r="O456" s="6" t="s">
        <v>1611</v>
      </c>
      <c r="P456" s="6" t="n">
        <v>1</v>
      </c>
      <c r="R456" s="6" t="s">
        <v>1152</v>
      </c>
      <c r="U456" s="6" t="n">
        <v>135000</v>
      </c>
      <c r="V456" s="28" t="n">
        <v>124200</v>
      </c>
      <c r="W456" s="29" t="n">
        <v>0.15</v>
      </c>
      <c r="Y456" s="29" t="n">
        <v>0.05</v>
      </c>
      <c r="Z456" s="30" t="n">
        <v>2910</v>
      </c>
      <c r="AA456" s="29" t="n">
        <v>0.03</v>
      </c>
      <c r="AB456" s="31" t="n">
        <v>155676</v>
      </c>
      <c r="AE456" s="6" t="n">
        <v>155676</v>
      </c>
      <c r="AF456" s="6" t="s">
        <v>58</v>
      </c>
      <c r="AG456" s="6" t="n">
        <v>0</v>
      </c>
      <c r="AH456" s="30" t="s">
        <v>1214</v>
      </c>
      <c r="AI456" s="6" t="n">
        <v>0</v>
      </c>
      <c r="AJ456" s="6" t="s">
        <v>516</v>
      </c>
      <c r="AK456" s="6" t="s">
        <v>988</v>
      </c>
      <c r="AL456" s="6" t="s">
        <v>516</v>
      </c>
      <c r="AM456" s="6" t="n">
        <v>0</v>
      </c>
      <c r="AQ456" s="6" t="s">
        <v>862</v>
      </c>
      <c r="AR456" s="6" t="s">
        <v>109</v>
      </c>
    </row>
    <row r="457" customFormat="false" ht="15" hidden="false" customHeight="true" outlineLevel="0" collapsed="false">
      <c r="A457" s="27" t="n">
        <v>115821</v>
      </c>
      <c r="B457" s="6" t="s">
        <v>1656</v>
      </c>
      <c r="C457" s="27" t="n">
        <v>115821</v>
      </c>
      <c r="D457" s="6" t="s">
        <v>588</v>
      </c>
      <c r="E457" s="6" t="s">
        <v>1072</v>
      </c>
      <c r="F457" s="6" t="s">
        <v>270</v>
      </c>
      <c r="G457" s="6" t="s">
        <v>1073</v>
      </c>
      <c r="H457" s="6" t="s">
        <v>1074</v>
      </c>
      <c r="I457" s="6" t="s">
        <v>1075</v>
      </c>
      <c r="J457" s="6" t="s">
        <v>31</v>
      </c>
      <c r="K457" s="6" t="s">
        <v>1213</v>
      </c>
      <c r="L457" s="6" t="s">
        <v>1456</v>
      </c>
      <c r="N457" s="6" t="s">
        <v>109</v>
      </c>
      <c r="O457" s="6" t="s">
        <v>1611</v>
      </c>
      <c r="P457" s="6" t="n">
        <v>1</v>
      </c>
      <c r="R457" s="6" t="s">
        <v>1152</v>
      </c>
      <c r="U457" s="6" t="n">
        <v>125250</v>
      </c>
      <c r="V457" s="28" t="n">
        <v>115230</v>
      </c>
      <c r="W457" s="29" t="n">
        <v>0.15</v>
      </c>
      <c r="Y457" s="29" t="n">
        <v>0.05</v>
      </c>
      <c r="Z457" s="30" t="n">
        <v>2910</v>
      </c>
      <c r="AA457" s="29" t="n">
        <v>0.03</v>
      </c>
      <c r="AB457" s="31" t="n">
        <v>144642.9</v>
      </c>
      <c r="AE457" s="6" t="n">
        <v>144642.9</v>
      </c>
      <c r="AF457" s="6" t="s">
        <v>58</v>
      </c>
      <c r="AG457" s="6" t="n">
        <v>0</v>
      </c>
      <c r="AH457" s="30" t="s">
        <v>1214</v>
      </c>
      <c r="AI457" s="6" t="n">
        <v>0</v>
      </c>
      <c r="AJ457" s="6" t="s">
        <v>516</v>
      </c>
      <c r="AK457" s="6" t="s">
        <v>988</v>
      </c>
      <c r="AL457" s="6" t="s">
        <v>516</v>
      </c>
      <c r="AM457" s="6" t="n">
        <v>0</v>
      </c>
      <c r="AQ457" s="6" t="s">
        <v>863</v>
      </c>
      <c r="AR457" s="6" t="s">
        <v>109</v>
      </c>
    </row>
    <row r="458" customFormat="false" ht="15" hidden="false" customHeight="true" outlineLevel="0" collapsed="false">
      <c r="A458" s="27" t="n">
        <v>113589</v>
      </c>
      <c r="B458" s="6" t="s">
        <v>1657</v>
      </c>
      <c r="C458" s="27" t="n">
        <v>113589</v>
      </c>
      <c r="D458" s="6" t="s">
        <v>588</v>
      </c>
      <c r="E458" s="6" t="s">
        <v>1072</v>
      </c>
      <c r="F458" s="6" t="s">
        <v>270</v>
      </c>
      <c r="G458" s="6" t="s">
        <v>1073</v>
      </c>
      <c r="H458" s="6" t="s">
        <v>1074</v>
      </c>
      <c r="I458" s="6" t="s">
        <v>1075</v>
      </c>
      <c r="J458" s="6" t="s">
        <v>31</v>
      </c>
      <c r="K458" s="6" t="s">
        <v>1213</v>
      </c>
      <c r="L458" s="6" t="s">
        <v>1456</v>
      </c>
      <c r="N458" s="6" t="s">
        <v>109</v>
      </c>
      <c r="O458" s="6" t="s">
        <v>1611</v>
      </c>
      <c r="P458" s="6" t="n">
        <v>1</v>
      </c>
      <c r="R458" s="6" t="s">
        <v>1152</v>
      </c>
      <c r="U458" s="6" t="n">
        <v>81890</v>
      </c>
      <c r="V458" s="28" t="n">
        <v>75338.8</v>
      </c>
      <c r="W458" s="29" t="n">
        <v>0.1</v>
      </c>
      <c r="Y458" s="29" t="n">
        <v>0.05</v>
      </c>
      <c r="Z458" s="30" t="n">
        <v>2910</v>
      </c>
      <c r="AA458" s="29" t="n">
        <v>0.03</v>
      </c>
      <c r="AB458" s="31" t="n">
        <v>91809.784</v>
      </c>
      <c r="AE458" s="6" t="n">
        <v>91809.784</v>
      </c>
      <c r="AF458" s="6" t="s">
        <v>58</v>
      </c>
      <c r="AG458" s="6" t="n">
        <v>0</v>
      </c>
      <c r="AH458" s="30" t="s">
        <v>1214</v>
      </c>
      <c r="AI458" s="6" t="n">
        <v>0</v>
      </c>
      <c r="AJ458" s="6" t="s">
        <v>516</v>
      </c>
      <c r="AK458" s="6" t="s">
        <v>988</v>
      </c>
      <c r="AL458" s="6" t="s">
        <v>516</v>
      </c>
      <c r="AM458" s="6" t="n">
        <v>0</v>
      </c>
      <c r="AQ458" s="6" t="s">
        <v>864</v>
      </c>
      <c r="AR458" s="6" t="s">
        <v>109</v>
      </c>
    </row>
    <row r="459" customFormat="false" ht="15" hidden="false" customHeight="true" outlineLevel="0" collapsed="false">
      <c r="A459" s="27" t="n">
        <v>108013</v>
      </c>
      <c r="B459" s="6" t="s">
        <v>1658</v>
      </c>
      <c r="C459" s="27" t="n">
        <v>108013</v>
      </c>
      <c r="D459" s="6" t="s">
        <v>805</v>
      </c>
      <c r="E459" s="6" t="s">
        <v>1505</v>
      </c>
      <c r="F459" s="6" t="s">
        <v>1659</v>
      </c>
      <c r="G459" s="6" t="s">
        <v>1164</v>
      </c>
      <c r="H459" s="6" t="s">
        <v>160</v>
      </c>
      <c r="I459" s="6" t="s">
        <v>1660</v>
      </c>
      <c r="J459" s="6" t="s">
        <v>26</v>
      </c>
      <c r="K459" s="6" t="s">
        <v>26</v>
      </c>
      <c r="L459" s="6" t="s">
        <v>26</v>
      </c>
      <c r="N459" s="6" t="s">
        <v>1023</v>
      </c>
      <c r="O459" s="6" t="s">
        <v>1611</v>
      </c>
      <c r="P459" s="6" t="n">
        <v>1</v>
      </c>
      <c r="R459" s="6" t="s">
        <v>1152</v>
      </c>
      <c r="U459" s="6" t="n">
        <v>123300</v>
      </c>
      <c r="V459" s="28" t="n">
        <v>123300</v>
      </c>
      <c r="W459" s="29" t="n">
        <v>0.1</v>
      </c>
      <c r="X459" s="6" t="n">
        <v>0.055</v>
      </c>
      <c r="Y459" s="29" t="n">
        <v>0.12</v>
      </c>
      <c r="Z459" s="30"/>
      <c r="AA459" s="29" t="n">
        <v>0.04</v>
      </c>
      <c r="AB459" s="31" t="n">
        <v>162139.5</v>
      </c>
      <c r="AE459" s="6" t="n">
        <v>162139.5</v>
      </c>
      <c r="AF459" s="6" t="s">
        <v>58</v>
      </c>
      <c r="AG459" s="6" t="n">
        <v>0</v>
      </c>
      <c r="AH459" s="30" t="s">
        <v>1169</v>
      </c>
      <c r="AI459" s="6" t="n">
        <v>0</v>
      </c>
      <c r="AJ459" s="6" t="s">
        <v>160</v>
      </c>
      <c r="AK459" s="6" t="s">
        <v>988</v>
      </c>
      <c r="AL459" s="6" t="s">
        <v>160</v>
      </c>
      <c r="AM459" s="6" t="n">
        <v>0</v>
      </c>
      <c r="AQ459" s="6" t="s">
        <v>865</v>
      </c>
      <c r="AR459" s="6" t="s">
        <v>57</v>
      </c>
    </row>
    <row r="460" customFormat="false" ht="15" hidden="false" customHeight="true" outlineLevel="0" collapsed="false">
      <c r="A460" s="27" t="n">
        <v>108727</v>
      </c>
      <c r="B460" s="6" t="s">
        <v>1661</v>
      </c>
      <c r="C460" s="27" t="n">
        <v>108727</v>
      </c>
      <c r="D460" s="6" t="s">
        <v>805</v>
      </c>
      <c r="E460" s="6" t="s">
        <v>1505</v>
      </c>
      <c r="F460" s="6" t="s">
        <v>1659</v>
      </c>
      <c r="G460" s="6" t="s">
        <v>1164</v>
      </c>
      <c r="H460" s="6" t="s">
        <v>160</v>
      </c>
      <c r="I460" s="6" t="s">
        <v>26</v>
      </c>
      <c r="J460" s="6" t="s">
        <v>26</v>
      </c>
      <c r="K460" s="6" t="s">
        <v>26</v>
      </c>
      <c r="L460" s="6" t="s">
        <v>26</v>
      </c>
      <c r="N460" s="6" t="s">
        <v>1023</v>
      </c>
      <c r="O460" s="6" t="s">
        <v>1611</v>
      </c>
      <c r="P460" s="6" t="n">
        <v>1</v>
      </c>
      <c r="R460" s="6" t="s">
        <v>1152</v>
      </c>
      <c r="U460" s="6" t="n">
        <v>111700</v>
      </c>
      <c r="V460" s="28" t="n">
        <v>111700</v>
      </c>
      <c r="W460" s="29" t="n">
        <v>0.1</v>
      </c>
      <c r="X460" s="6" t="n">
        <v>0.055</v>
      </c>
      <c r="Y460" s="29" t="n">
        <v>0.12</v>
      </c>
      <c r="Z460" s="30"/>
      <c r="AA460" s="29" t="n">
        <v>0.04</v>
      </c>
      <c r="AB460" s="31" t="n">
        <v>146885.5</v>
      </c>
      <c r="AE460" s="6" t="n">
        <v>146885.5</v>
      </c>
      <c r="AF460" s="6" t="s">
        <v>58</v>
      </c>
      <c r="AG460" s="6" t="n">
        <v>0</v>
      </c>
      <c r="AH460" s="30" t="s">
        <v>1169</v>
      </c>
      <c r="AI460" s="6" t="n">
        <v>0</v>
      </c>
      <c r="AJ460" s="6" t="s">
        <v>160</v>
      </c>
      <c r="AK460" s="6" t="s">
        <v>988</v>
      </c>
      <c r="AL460" s="6" t="s">
        <v>160</v>
      </c>
      <c r="AM460" s="6" t="n">
        <v>0</v>
      </c>
      <c r="AQ460" s="6" t="s">
        <v>866</v>
      </c>
      <c r="AR460" s="6" t="s">
        <v>57</v>
      </c>
    </row>
    <row r="461" customFormat="false" ht="15" hidden="false" customHeight="true" outlineLevel="0" collapsed="false">
      <c r="A461" s="27" t="n">
        <v>113520</v>
      </c>
      <c r="B461" s="6" t="s">
        <v>1662</v>
      </c>
      <c r="C461" s="27" t="n">
        <v>113520</v>
      </c>
      <c r="D461" s="6" t="s">
        <v>868</v>
      </c>
      <c r="E461" s="6" t="s">
        <v>1285</v>
      </c>
      <c r="F461" s="6" t="s">
        <v>1286</v>
      </c>
      <c r="G461" s="6" t="s">
        <v>1076</v>
      </c>
      <c r="H461" s="6" t="s">
        <v>1086</v>
      </c>
      <c r="I461" s="6" t="s">
        <v>1412</v>
      </c>
      <c r="J461" s="6" t="s">
        <v>30</v>
      </c>
      <c r="K461" s="6" t="s">
        <v>30</v>
      </c>
      <c r="L461" s="6" t="s">
        <v>1412</v>
      </c>
      <c r="N461" s="6" t="s">
        <v>109</v>
      </c>
      <c r="O461" s="6" t="s">
        <v>1611</v>
      </c>
      <c r="P461" s="6" t="n">
        <v>1</v>
      </c>
      <c r="R461" s="6" t="s">
        <v>1152</v>
      </c>
      <c r="U461" s="6" t="n">
        <v>117530</v>
      </c>
      <c r="V461" s="28" t="n">
        <v>108127.6</v>
      </c>
      <c r="W461" s="29" t="n">
        <v>0.15</v>
      </c>
      <c r="Y461" s="29" t="n">
        <v>0.05</v>
      </c>
      <c r="Z461" s="30" t="n">
        <v>2910</v>
      </c>
      <c r="AA461" s="29" t="n">
        <v>0.03</v>
      </c>
      <c r="AB461" s="31" t="n">
        <v>135906.948</v>
      </c>
      <c r="AE461" s="6" t="n">
        <v>135906.948</v>
      </c>
      <c r="AF461" s="6" t="s">
        <v>58</v>
      </c>
      <c r="AG461" s="6" t="n">
        <v>0</v>
      </c>
      <c r="AH461" s="30" t="s">
        <v>1076</v>
      </c>
      <c r="AI461" s="6" t="n">
        <v>0</v>
      </c>
      <c r="AJ461" s="6" t="s">
        <v>1412</v>
      </c>
      <c r="AK461" s="6" t="s">
        <v>988</v>
      </c>
      <c r="AL461" s="6" t="s">
        <v>1412</v>
      </c>
      <c r="AM461" s="6" t="n">
        <v>0</v>
      </c>
      <c r="AQ461" s="6" t="s">
        <v>867</v>
      </c>
      <c r="AR461" s="6" t="s">
        <v>109</v>
      </c>
    </row>
    <row r="462" customFormat="false" ht="15" hidden="false" customHeight="true" outlineLevel="0" collapsed="false">
      <c r="A462" s="27" t="n">
        <v>113605</v>
      </c>
      <c r="B462" s="6" t="s">
        <v>1663</v>
      </c>
      <c r="C462" s="27" t="n">
        <v>113605</v>
      </c>
      <c r="D462" s="6" t="s">
        <v>868</v>
      </c>
      <c r="E462" s="6" t="s">
        <v>1285</v>
      </c>
      <c r="F462" s="6" t="s">
        <v>1286</v>
      </c>
      <c r="G462" s="6" t="s">
        <v>1076</v>
      </c>
      <c r="H462" s="6" t="s">
        <v>1086</v>
      </c>
      <c r="I462" s="6" t="s">
        <v>1412</v>
      </c>
      <c r="J462" s="6" t="s">
        <v>30</v>
      </c>
      <c r="K462" s="6" t="s">
        <v>30</v>
      </c>
      <c r="L462" s="6" t="s">
        <v>1412</v>
      </c>
      <c r="N462" s="6" t="s">
        <v>109</v>
      </c>
      <c r="O462" s="6" t="s">
        <v>1611</v>
      </c>
      <c r="P462" s="6" t="n">
        <v>1</v>
      </c>
      <c r="R462" s="6" t="s">
        <v>1152</v>
      </c>
      <c r="U462" s="6" t="n">
        <v>124390</v>
      </c>
      <c r="V462" s="28" t="n">
        <v>114438.8</v>
      </c>
      <c r="W462" s="29" t="n">
        <v>0.15</v>
      </c>
      <c r="Y462" s="29" t="n">
        <v>0.05</v>
      </c>
      <c r="Z462" s="30" t="n">
        <v>2910</v>
      </c>
      <c r="AA462" s="29" t="n">
        <v>0.03</v>
      </c>
      <c r="AB462" s="31" t="n">
        <v>143669.724</v>
      </c>
      <c r="AE462" s="6" t="n">
        <v>143669.724</v>
      </c>
      <c r="AF462" s="6" t="s">
        <v>58</v>
      </c>
      <c r="AG462" s="6" t="n">
        <v>0</v>
      </c>
      <c r="AH462" s="30" t="s">
        <v>1076</v>
      </c>
      <c r="AI462" s="6" t="n">
        <v>0</v>
      </c>
      <c r="AJ462" s="6" t="s">
        <v>1412</v>
      </c>
      <c r="AK462" s="6" t="s">
        <v>988</v>
      </c>
      <c r="AL462" s="6" t="s">
        <v>1412</v>
      </c>
      <c r="AM462" s="6" t="n">
        <v>0</v>
      </c>
      <c r="AQ462" s="6" t="s">
        <v>869</v>
      </c>
      <c r="AR462" s="6" t="s">
        <v>109</v>
      </c>
    </row>
    <row r="463" customFormat="false" ht="15" hidden="false" customHeight="true" outlineLevel="0" collapsed="false">
      <c r="A463" s="27" t="s">
        <v>1138</v>
      </c>
      <c r="B463" s="6" t="s">
        <v>1304</v>
      </c>
      <c r="C463" s="27" t="s">
        <v>1138</v>
      </c>
      <c r="D463" s="6" t="s">
        <v>117</v>
      </c>
      <c r="E463" s="6" t="s">
        <v>1382</v>
      </c>
      <c r="F463" s="6" t="s">
        <v>1539</v>
      </c>
      <c r="G463" s="6" t="s">
        <v>1173</v>
      </c>
      <c r="H463" s="6" t="s">
        <v>168</v>
      </c>
      <c r="I463" s="6" t="s">
        <v>1174</v>
      </c>
      <c r="J463" s="6" t="s">
        <v>23</v>
      </c>
      <c r="K463" s="6" t="s">
        <v>21</v>
      </c>
      <c r="L463" s="6" t="s">
        <v>1259</v>
      </c>
      <c r="N463" s="6" t="s">
        <v>1023</v>
      </c>
      <c r="O463" s="6" t="s">
        <v>1611</v>
      </c>
      <c r="P463" s="6" t="n">
        <v>1</v>
      </c>
      <c r="R463" s="6" t="s">
        <v>1143</v>
      </c>
      <c r="U463" s="6" t="n">
        <v>129650</v>
      </c>
      <c r="V463" s="28" t="n">
        <v>129650</v>
      </c>
      <c r="W463" s="29" t="n">
        <v>0.1</v>
      </c>
      <c r="X463" s="6" t="n">
        <v>0.055</v>
      </c>
      <c r="Y463" s="29" t="n">
        <v>0.12</v>
      </c>
      <c r="Z463" s="30"/>
      <c r="AA463" s="29" t="n">
        <v>0.04</v>
      </c>
      <c r="AB463" s="31" t="n">
        <v>170489.75</v>
      </c>
      <c r="AE463" s="6" t="n">
        <v>170489.75</v>
      </c>
      <c r="AF463" s="6" t="s">
        <v>1063</v>
      </c>
      <c r="AG463" s="6" t="n">
        <v>0</v>
      </c>
      <c r="AH463" s="30" t="s">
        <v>23</v>
      </c>
      <c r="AI463" s="6" t="n">
        <v>0</v>
      </c>
      <c r="AJ463" s="6" t="s">
        <v>253</v>
      </c>
      <c r="AK463" s="6" t="s">
        <v>988</v>
      </c>
      <c r="AL463" s="6" t="s">
        <v>405</v>
      </c>
      <c r="AM463" s="6" t="n">
        <v>1</v>
      </c>
      <c r="AQ463" s="6" t="s">
        <v>870</v>
      </c>
      <c r="AR463" s="6" t="s">
        <v>57</v>
      </c>
    </row>
    <row r="464" customFormat="false" ht="15" hidden="false" customHeight="true" outlineLevel="0" collapsed="false">
      <c r="A464" s="27" t="s">
        <v>1138</v>
      </c>
      <c r="B464" s="6" t="s">
        <v>1552</v>
      </c>
      <c r="C464" s="27" t="s">
        <v>1138</v>
      </c>
      <c r="D464" s="6" t="s">
        <v>872</v>
      </c>
      <c r="E464" s="6" t="s">
        <v>1308</v>
      </c>
      <c r="F464" s="6" t="s">
        <v>1253</v>
      </c>
      <c r="G464" s="6" t="s">
        <v>1141</v>
      </c>
      <c r="H464" s="6" t="s">
        <v>191</v>
      </c>
      <c r="I464" s="6" t="s">
        <v>26</v>
      </c>
      <c r="J464" s="6" t="s">
        <v>26</v>
      </c>
      <c r="K464" s="6" t="s">
        <v>26</v>
      </c>
      <c r="L464" s="6" t="s">
        <v>26</v>
      </c>
      <c r="N464" s="6" t="s">
        <v>1023</v>
      </c>
      <c r="O464" s="6" t="s">
        <v>1611</v>
      </c>
      <c r="P464" s="6" t="n">
        <v>1</v>
      </c>
      <c r="R464" s="6" t="s">
        <v>1143</v>
      </c>
      <c r="U464" s="6" t="n">
        <v>129650</v>
      </c>
      <c r="V464" s="28" t="n">
        <v>129650</v>
      </c>
      <c r="W464" s="29" t="n">
        <v>0.1</v>
      </c>
      <c r="X464" s="6" t="n">
        <v>0.055</v>
      </c>
      <c r="Y464" s="29" t="n">
        <v>0.12</v>
      </c>
      <c r="Z464" s="30"/>
      <c r="AA464" s="29" t="n">
        <v>0.04</v>
      </c>
      <c r="AB464" s="31" t="n">
        <v>170489.75</v>
      </c>
      <c r="AE464" s="6" t="n">
        <v>170489.75</v>
      </c>
      <c r="AF464" s="6" t="s">
        <v>1063</v>
      </c>
      <c r="AG464" s="6" t="n">
        <v>0</v>
      </c>
      <c r="AH464" s="30" t="s">
        <v>1144</v>
      </c>
      <c r="AI464" s="6" t="n">
        <v>0</v>
      </c>
      <c r="AJ464" s="6" t="s">
        <v>191</v>
      </c>
      <c r="AK464" s="6" t="s">
        <v>988</v>
      </c>
      <c r="AL464" s="6" t="s">
        <v>191</v>
      </c>
      <c r="AM464" s="6" t="n">
        <v>0</v>
      </c>
      <c r="AQ464" s="6" t="s">
        <v>871</v>
      </c>
      <c r="AR464" s="6" t="s">
        <v>57</v>
      </c>
    </row>
    <row r="465" customFormat="false" ht="15" hidden="false" customHeight="true" outlineLevel="0" collapsed="false">
      <c r="A465" s="27" t="n">
        <v>5607</v>
      </c>
      <c r="B465" s="6" t="s">
        <v>1664</v>
      </c>
      <c r="C465" s="27" t="n">
        <v>5607</v>
      </c>
      <c r="D465" s="6" t="s">
        <v>874</v>
      </c>
      <c r="E465" s="6" t="s">
        <v>1459</v>
      </c>
      <c r="F465" s="6" t="s">
        <v>1665</v>
      </c>
      <c r="G465" s="6" t="s">
        <v>1141</v>
      </c>
      <c r="H465" s="6" t="s">
        <v>191</v>
      </c>
      <c r="I465" s="6" t="s">
        <v>26</v>
      </c>
      <c r="J465" s="6" t="s">
        <v>26</v>
      </c>
      <c r="K465" s="6" t="s">
        <v>26</v>
      </c>
      <c r="L465" s="6" t="s">
        <v>26</v>
      </c>
      <c r="N465" s="6" t="s">
        <v>1023</v>
      </c>
      <c r="O465" s="6" t="s">
        <v>1611</v>
      </c>
      <c r="P465" s="6" t="n">
        <v>1</v>
      </c>
      <c r="R465" s="6" t="s">
        <v>1152</v>
      </c>
      <c r="U465" s="6" t="n">
        <v>136360</v>
      </c>
      <c r="V465" s="28" t="n">
        <v>136360</v>
      </c>
      <c r="W465" s="29" t="n">
        <v>0.1</v>
      </c>
      <c r="X465" s="6" t="n">
        <v>0.055</v>
      </c>
      <c r="Y465" s="29" t="n">
        <v>0.12</v>
      </c>
      <c r="Z465" s="30"/>
      <c r="AA465" s="29" t="n">
        <v>0.04</v>
      </c>
      <c r="AB465" s="31" t="n">
        <v>179313.4</v>
      </c>
      <c r="AE465" s="6" t="n">
        <v>179313.4</v>
      </c>
      <c r="AF465" s="6" t="s">
        <v>58</v>
      </c>
      <c r="AG465" s="6" t="n">
        <v>0</v>
      </c>
      <c r="AH465" s="30" t="s">
        <v>1144</v>
      </c>
      <c r="AI465" s="6" t="n">
        <v>0</v>
      </c>
      <c r="AJ465" s="6" t="s">
        <v>191</v>
      </c>
      <c r="AK465" s="6" t="s">
        <v>988</v>
      </c>
      <c r="AL465" s="6" t="s">
        <v>191</v>
      </c>
      <c r="AM465" s="6" t="n">
        <v>0</v>
      </c>
      <c r="AQ465" s="6" t="s">
        <v>873</v>
      </c>
      <c r="AR465" s="6" t="s">
        <v>57</v>
      </c>
    </row>
    <row r="466" customFormat="false" ht="15" hidden="false" customHeight="true" outlineLevel="0" collapsed="false">
      <c r="A466" s="27" t="n">
        <v>113596</v>
      </c>
      <c r="B466" s="6" t="s">
        <v>1666</v>
      </c>
      <c r="C466" s="27" t="n">
        <v>113596</v>
      </c>
      <c r="D466" s="6" t="s">
        <v>117</v>
      </c>
      <c r="E466" s="6" t="s">
        <v>1287</v>
      </c>
      <c r="F466" s="6" t="s">
        <v>1288</v>
      </c>
      <c r="G466" s="6" t="s">
        <v>1076</v>
      </c>
      <c r="H466" s="6" t="s">
        <v>1290</v>
      </c>
      <c r="I466" s="6" t="s">
        <v>455</v>
      </c>
      <c r="J466" s="6" t="s">
        <v>30</v>
      </c>
      <c r="K466" s="6" t="s">
        <v>30</v>
      </c>
      <c r="L466" s="6" t="s">
        <v>455</v>
      </c>
      <c r="N466" s="6" t="s">
        <v>109</v>
      </c>
      <c r="O466" s="6" t="s">
        <v>1611</v>
      </c>
      <c r="P466" s="6" t="n">
        <v>1</v>
      </c>
      <c r="R466" s="6" t="s">
        <v>1152</v>
      </c>
      <c r="U466" s="6" t="n">
        <v>115830</v>
      </c>
      <c r="V466" s="28" t="n">
        <v>106563.6</v>
      </c>
      <c r="W466" s="29" t="n">
        <v>0.15</v>
      </c>
      <c r="Y466" s="29" t="n">
        <v>0.05</v>
      </c>
      <c r="Z466" s="30" t="n">
        <v>2910</v>
      </c>
      <c r="AA466" s="29" t="n">
        <v>0.03</v>
      </c>
      <c r="AB466" s="31" t="n">
        <v>133983.228</v>
      </c>
      <c r="AE466" s="6" t="n">
        <v>133983.228</v>
      </c>
      <c r="AF466" s="6" t="s">
        <v>58</v>
      </c>
      <c r="AG466" s="6" t="n">
        <v>0</v>
      </c>
      <c r="AH466" s="30" t="s">
        <v>1076</v>
      </c>
      <c r="AI466" s="6" t="n">
        <v>0</v>
      </c>
      <c r="AJ466" s="6" t="s">
        <v>455</v>
      </c>
      <c r="AK466" s="6" t="s">
        <v>988</v>
      </c>
      <c r="AL466" s="6" t="s">
        <v>455</v>
      </c>
      <c r="AM466" s="6" t="n">
        <v>0</v>
      </c>
      <c r="AQ466" s="6" t="s">
        <v>875</v>
      </c>
      <c r="AR466" s="6" t="s">
        <v>109</v>
      </c>
    </row>
    <row r="467" customFormat="false" ht="15" hidden="false" customHeight="true" outlineLevel="0" collapsed="false">
      <c r="A467" s="27" t="n">
        <v>113576</v>
      </c>
      <c r="B467" s="6" t="s">
        <v>1667</v>
      </c>
      <c r="C467" s="27" t="n">
        <v>113576</v>
      </c>
      <c r="D467" s="6" t="s">
        <v>715</v>
      </c>
      <c r="E467" s="6" t="s">
        <v>1250</v>
      </c>
      <c r="G467" s="6" t="s">
        <v>1164</v>
      </c>
      <c r="H467" s="6" t="s">
        <v>244</v>
      </c>
      <c r="I467" s="6" t="s">
        <v>26</v>
      </c>
      <c r="J467" s="6" t="s">
        <v>26</v>
      </c>
      <c r="K467" s="6" t="s">
        <v>26</v>
      </c>
      <c r="L467" s="6" t="s">
        <v>26</v>
      </c>
      <c r="N467" s="6" t="s">
        <v>109</v>
      </c>
      <c r="O467" s="6" t="s">
        <v>1611</v>
      </c>
      <c r="P467" s="6" t="n">
        <v>0.8</v>
      </c>
      <c r="R467" s="6" t="s">
        <v>1105</v>
      </c>
      <c r="U467" s="6" t="n">
        <v>128040</v>
      </c>
      <c r="V467" s="28" t="n">
        <v>117796.8</v>
      </c>
      <c r="W467" s="29" t="n">
        <v>0.15</v>
      </c>
      <c r="Y467" s="29" t="n">
        <v>0.05</v>
      </c>
      <c r="Z467" s="30" t="n">
        <v>2910</v>
      </c>
      <c r="AA467" s="29" t="n">
        <v>0.03</v>
      </c>
      <c r="AB467" s="31" t="n">
        <v>147800.064</v>
      </c>
      <c r="AE467" s="6" t="n">
        <v>118240.0512</v>
      </c>
      <c r="AF467" s="6" t="s">
        <v>58</v>
      </c>
      <c r="AG467" s="6" t="n">
        <v>0</v>
      </c>
      <c r="AH467" s="30" t="s">
        <v>1165</v>
      </c>
      <c r="AI467" s="6" t="n">
        <v>0</v>
      </c>
      <c r="AJ467" s="6" t="s">
        <v>244</v>
      </c>
      <c r="AK467" s="6" t="s">
        <v>988</v>
      </c>
      <c r="AL467" s="6" t="s">
        <v>244</v>
      </c>
      <c r="AM467" s="6" t="n">
        <v>0</v>
      </c>
      <c r="AQ467" s="6" t="s">
        <v>876</v>
      </c>
      <c r="AR467" s="6" t="s">
        <v>109</v>
      </c>
    </row>
    <row r="468" customFormat="false" ht="15" hidden="false" customHeight="true" outlineLevel="0" collapsed="false">
      <c r="A468" s="27" t="s">
        <v>1138</v>
      </c>
      <c r="B468" s="6" t="s">
        <v>1063</v>
      </c>
      <c r="C468" s="27" t="s">
        <v>1138</v>
      </c>
      <c r="D468" s="6" t="s">
        <v>117</v>
      </c>
      <c r="E468" s="6" t="s">
        <v>1265</v>
      </c>
      <c r="F468" s="6" t="s">
        <v>1558</v>
      </c>
      <c r="G468" s="6" t="s">
        <v>1073</v>
      </c>
      <c r="H468" s="6" t="s">
        <v>1133</v>
      </c>
      <c r="I468" s="6" t="s">
        <v>1268</v>
      </c>
      <c r="J468" s="6" t="s">
        <v>29</v>
      </c>
      <c r="K468" s="6" t="s">
        <v>561</v>
      </c>
      <c r="L468" s="6" t="s">
        <v>561</v>
      </c>
      <c r="N468" s="6" t="s">
        <v>1023</v>
      </c>
      <c r="O468" s="6" t="s">
        <v>1611</v>
      </c>
      <c r="P468" s="6" t="n">
        <v>1</v>
      </c>
      <c r="R468" s="6" t="s">
        <v>1143</v>
      </c>
      <c r="U468" s="6" t="n">
        <v>129659</v>
      </c>
      <c r="V468" s="28" t="n">
        <v>129659</v>
      </c>
      <c r="W468" s="29" t="n">
        <v>0.1</v>
      </c>
      <c r="X468" s="6" t="n">
        <v>0.055</v>
      </c>
      <c r="Y468" s="29" t="n">
        <v>0.12</v>
      </c>
      <c r="Z468" s="30"/>
      <c r="AA468" s="29" t="n">
        <v>0.04</v>
      </c>
      <c r="AB468" s="31" t="n">
        <v>170501.585</v>
      </c>
      <c r="AE468" s="6" t="n">
        <v>170501.585</v>
      </c>
      <c r="AF468" s="6" t="s">
        <v>1063</v>
      </c>
      <c r="AG468" s="6" t="n">
        <v>0</v>
      </c>
      <c r="AH468" s="30" t="s">
        <v>1133</v>
      </c>
      <c r="AI468" s="6" t="n">
        <v>0</v>
      </c>
      <c r="AJ468" s="6" t="s">
        <v>561</v>
      </c>
      <c r="AK468" s="6" t="s">
        <v>988</v>
      </c>
      <c r="AL468" s="6" t="s">
        <v>561</v>
      </c>
      <c r="AM468" s="6" t="n">
        <v>0</v>
      </c>
      <c r="AQ468" s="6" t="s">
        <v>877</v>
      </c>
      <c r="AR468" s="6" t="s">
        <v>57</v>
      </c>
    </row>
    <row r="469" customFormat="false" ht="15" hidden="false" customHeight="true" outlineLevel="0" collapsed="false">
      <c r="A469" s="27" t="s">
        <v>1138</v>
      </c>
      <c r="B469" s="6" t="s">
        <v>1063</v>
      </c>
      <c r="C469" s="27" t="s">
        <v>1138</v>
      </c>
      <c r="D469" s="6" t="s">
        <v>597</v>
      </c>
      <c r="E469" s="6" t="s">
        <v>1265</v>
      </c>
      <c r="F469" s="6" t="s">
        <v>1558</v>
      </c>
      <c r="G469" s="6" t="s">
        <v>1073</v>
      </c>
      <c r="H469" s="6" t="s">
        <v>1133</v>
      </c>
      <c r="I469" s="6" t="s">
        <v>1268</v>
      </c>
      <c r="J469" s="6" t="s">
        <v>29</v>
      </c>
      <c r="K469" s="6" t="s">
        <v>561</v>
      </c>
      <c r="L469" s="6" t="s">
        <v>561</v>
      </c>
      <c r="N469" s="6" t="s">
        <v>1023</v>
      </c>
      <c r="O469" s="6" t="s">
        <v>1611</v>
      </c>
      <c r="P469" s="6" t="n">
        <v>1</v>
      </c>
      <c r="R469" s="6" t="s">
        <v>1138</v>
      </c>
      <c r="U469" s="6" t="n">
        <v>151000</v>
      </c>
      <c r="V469" s="28" t="n">
        <v>151000</v>
      </c>
      <c r="W469" s="29" t="n">
        <v>0.12</v>
      </c>
      <c r="X469" s="6" t="n">
        <v>0.055</v>
      </c>
      <c r="Y469" s="29" t="n">
        <v>0.12</v>
      </c>
      <c r="Z469" s="30"/>
      <c r="AA469" s="29" t="n">
        <v>0.04</v>
      </c>
      <c r="AB469" s="31" t="n">
        <v>201585</v>
      </c>
      <c r="AE469" s="6" t="n">
        <v>201585</v>
      </c>
      <c r="AF469" s="6" t="s">
        <v>1063</v>
      </c>
      <c r="AG469" s="6" t="n">
        <v>0</v>
      </c>
      <c r="AH469" s="30" t="s">
        <v>1133</v>
      </c>
      <c r="AI469" s="6" t="n">
        <v>0</v>
      </c>
      <c r="AJ469" s="6" t="s">
        <v>561</v>
      </c>
      <c r="AK469" s="6" t="s">
        <v>988</v>
      </c>
      <c r="AL469" s="6" t="s">
        <v>561</v>
      </c>
      <c r="AM469" s="6" t="n">
        <v>0</v>
      </c>
      <c r="AQ469" s="6" t="s">
        <v>878</v>
      </c>
      <c r="AR469" s="6" t="s">
        <v>57</v>
      </c>
    </row>
    <row r="470" customFormat="false" ht="15" hidden="false" customHeight="true" outlineLevel="0" collapsed="false">
      <c r="A470" s="27" t="n">
        <v>113546</v>
      </c>
      <c r="B470" s="6" t="s">
        <v>1668</v>
      </c>
      <c r="C470" s="27" t="n">
        <v>113546</v>
      </c>
      <c r="D470" s="6" t="s">
        <v>880</v>
      </c>
      <c r="E470" s="6" t="s">
        <v>1063</v>
      </c>
      <c r="F470" s="6" t="s">
        <v>143</v>
      </c>
      <c r="G470" s="6" t="s">
        <v>1141</v>
      </c>
      <c r="H470" s="6" t="s">
        <v>144</v>
      </c>
      <c r="I470" s="6" t="s">
        <v>26</v>
      </c>
      <c r="J470" s="6" t="s">
        <v>26</v>
      </c>
      <c r="K470" s="6" t="s">
        <v>26</v>
      </c>
      <c r="L470" s="6" t="s">
        <v>26</v>
      </c>
      <c r="N470" s="6" t="s">
        <v>109</v>
      </c>
      <c r="O470" s="6" t="s">
        <v>1611</v>
      </c>
      <c r="P470" s="6" t="n">
        <v>1</v>
      </c>
      <c r="R470" s="6" t="s">
        <v>1152</v>
      </c>
      <c r="U470" s="6" t="n">
        <v>130870</v>
      </c>
      <c r="V470" s="28" t="n">
        <v>120400.4</v>
      </c>
      <c r="W470" s="29" t="n">
        <v>0.15</v>
      </c>
      <c r="Y470" s="29" t="n">
        <v>0.05</v>
      </c>
      <c r="Z470" s="30" t="n">
        <v>2910</v>
      </c>
      <c r="AA470" s="29" t="n">
        <v>0.03</v>
      </c>
      <c r="AB470" s="31" t="n">
        <v>151002.492</v>
      </c>
      <c r="AE470" s="6" t="n">
        <v>151002.492</v>
      </c>
      <c r="AF470" s="6" t="s">
        <v>58</v>
      </c>
      <c r="AG470" s="6" t="n">
        <v>0</v>
      </c>
      <c r="AH470" s="30" t="s">
        <v>1144</v>
      </c>
      <c r="AI470" s="6" t="n">
        <v>0</v>
      </c>
      <c r="AJ470" s="6" t="s">
        <v>144</v>
      </c>
      <c r="AK470" s="6" t="s">
        <v>988</v>
      </c>
      <c r="AL470" s="6" t="s">
        <v>144</v>
      </c>
      <c r="AM470" s="6" t="n">
        <v>0</v>
      </c>
      <c r="AQ470" s="6" t="s">
        <v>879</v>
      </c>
      <c r="AR470" s="6" t="s">
        <v>109</v>
      </c>
    </row>
    <row r="471" customFormat="false" ht="15" hidden="false" customHeight="true" outlineLevel="0" collapsed="false">
      <c r="A471" s="27" t="n">
        <v>90096</v>
      </c>
      <c r="B471" s="6" t="s">
        <v>1669</v>
      </c>
      <c r="C471" s="27" t="n">
        <v>90096</v>
      </c>
      <c r="D471" s="6" t="s">
        <v>882</v>
      </c>
      <c r="E471" s="6" t="s">
        <v>1063</v>
      </c>
      <c r="F471" s="6" t="s">
        <v>1417</v>
      </c>
      <c r="G471" s="6" t="s">
        <v>1164</v>
      </c>
      <c r="H471" s="6" t="s">
        <v>160</v>
      </c>
      <c r="I471" s="6" t="s">
        <v>26</v>
      </c>
      <c r="J471" s="6" t="s">
        <v>26</v>
      </c>
      <c r="K471" s="6" t="s">
        <v>26</v>
      </c>
      <c r="L471" s="6" t="s">
        <v>26</v>
      </c>
      <c r="N471" s="6" t="s">
        <v>1023</v>
      </c>
      <c r="O471" s="6" t="s">
        <v>1611</v>
      </c>
      <c r="P471" s="6" t="n">
        <v>1</v>
      </c>
      <c r="R471" s="6" t="s">
        <v>1152</v>
      </c>
      <c r="U471" s="6" t="n">
        <v>137620</v>
      </c>
      <c r="V471" s="28" t="n">
        <v>137620</v>
      </c>
      <c r="W471" s="29" t="n">
        <v>0.1</v>
      </c>
      <c r="X471" s="6" t="n">
        <v>0.055</v>
      </c>
      <c r="Y471" s="29" t="n">
        <v>0.12</v>
      </c>
      <c r="Z471" s="30"/>
      <c r="AA471" s="29" t="n">
        <v>0.04</v>
      </c>
      <c r="AB471" s="31" t="n">
        <v>180970.3</v>
      </c>
      <c r="AE471" s="6" t="n">
        <v>180970.3</v>
      </c>
      <c r="AF471" s="6" t="s">
        <v>58</v>
      </c>
      <c r="AG471" s="6" t="n">
        <v>0</v>
      </c>
      <c r="AH471" s="30" t="s">
        <v>1169</v>
      </c>
      <c r="AI471" s="6" t="n">
        <v>0</v>
      </c>
      <c r="AJ471" s="6" t="s">
        <v>160</v>
      </c>
      <c r="AK471" s="6" t="s">
        <v>988</v>
      </c>
      <c r="AL471" s="6" t="s">
        <v>160</v>
      </c>
      <c r="AM471" s="6" t="n">
        <v>0</v>
      </c>
      <c r="AQ471" s="6" t="s">
        <v>881</v>
      </c>
      <c r="AR471" s="6" t="s">
        <v>57</v>
      </c>
    </row>
    <row r="472" customFormat="false" ht="15" hidden="false" customHeight="true" outlineLevel="0" collapsed="false">
      <c r="A472" s="27" t="n">
        <v>113570</v>
      </c>
      <c r="B472" s="6" t="s">
        <v>1670</v>
      </c>
      <c r="C472" s="27" t="n">
        <v>113570</v>
      </c>
      <c r="D472" s="6" t="s">
        <v>411</v>
      </c>
      <c r="E472" s="6" t="s">
        <v>1063</v>
      </c>
      <c r="F472" s="6" t="s">
        <v>205</v>
      </c>
      <c r="G472" s="6" t="s">
        <v>1058</v>
      </c>
      <c r="H472" s="6" t="s">
        <v>19</v>
      </c>
      <c r="I472" s="6" t="s">
        <v>1437</v>
      </c>
      <c r="J472" s="6" t="s">
        <v>19</v>
      </c>
      <c r="K472" s="6" t="s">
        <v>1374</v>
      </c>
      <c r="L472" s="6" t="s">
        <v>390</v>
      </c>
      <c r="N472" s="6" t="s">
        <v>109</v>
      </c>
      <c r="O472" s="6" t="s">
        <v>1611</v>
      </c>
      <c r="P472" s="6" t="n">
        <v>1</v>
      </c>
      <c r="R472" s="6" t="s">
        <v>1152</v>
      </c>
      <c r="U472" s="6" t="n">
        <v>137720</v>
      </c>
      <c r="V472" s="28" t="n">
        <v>126702.4</v>
      </c>
      <c r="W472" s="29" t="n">
        <v>0.15</v>
      </c>
      <c r="Y472" s="29" t="n">
        <v>0.05</v>
      </c>
      <c r="Z472" s="30" t="n">
        <v>2910</v>
      </c>
      <c r="AA472" s="29" t="n">
        <v>0.03</v>
      </c>
      <c r="AB472" s="31" t="n">
        <v>158753.952</v>
      </c>
      <c r="AE472" s="6" t="n">
        <v>158753.952</v>
      </c>
      <c r="AF472" s="6" t="s">
        <v>58</v>
      </c>
      <c r="AG472" s="6" t="n">
        <v>0</v>
      </c>
      <c r="AH472" s="30" t="s">
        <v>1206</v>
      </c>
      <c r="AI472" s="6" t="n">
        <v>0</v>
      </c>
      <c r="AJ472" s="6" t="s">
        <v>390</v>
      </c>
      <c r="AK472" s="6" t="s">
        <v>988</v>
      </c>
      <c r="AL472" s="6" t="s">
        <v>390</v>
      </c>
      <c r="AM472" s="6" t="n">
        <v>0</v>
      </c>
      <c r="AQ472" s="6" t="s">
        <v>883</v>
      </c>
      <c r="AR472" s="6" t="s">
        <v>109</v>
      </c>
    </row>
    <row r="473" customFormat="false" ht="15" hidden="false" customHeight="true" outlineLevel="0" collapsed="false">
      <c r="A473" s="27" t="n">
        <v>113512</v>
      </c>
      <c r="B473" s="6" t="s">
        <v>1671</v>
      </c>
      <c r="C473" s="27" t="n">
        <v>113512</v>
      </c>
      <c r="D473" s="6" t="s">
        <v>411</v>
      </c>
      <c r="E473" s="6" t="s">
        <v>1063</v>
      </c>
      <c r="F473" s="6" t="s">
        <v>1451</v>
      </c>
      <c r="G473" s="6" t="s">
        <v>1073</v>
      </c>
      <c r="H473" s="6" t="s">
        <v>1074</v>
      </c>
      <c r="I473" s="6" t="s">
        <v>1306</v>
      </c>
      <c r="J473" s="6" t="s">
        <v>31</v>
      </c>
      <c r="K473" s="6" t="s">
        <v>380</v>
      </c>
      <c r="L473" s="6" t="s">
        <v>380</v>
      </c>
      <c r="N473" s="6" t="s">
        <v>109</v>
      </c>
      <c r="O473" s="6" t="s">
        <v>1611</v>
      </c>
      <c r="P473" s="6" t="n">
        <v>1</v>
      </c>
      <c r="R473" s="6" t="s">
        <v>1152</v>
      </c>
      <c r="U473" s="6" t="n">
        <v>133320</v>
      </c>
      <c r="V473" s="28" t="n">
        <v>122654.4</v>
      </c>
      <c r="W473" s="29" t="n">
        <v>0.15</v>
      </c>
      <c r="Y473" s="29" t="n">
        <v>0.05</v>
      </c>
      <c r="Z473" s="30" t="n">
        <v>2910</v>
      </c>
      <c r="AA473" s="29" t="n">
        <v>0.03</v>
      </c>
      <c r="AB473" s="31" t="n">
        <v>153774.912</v>
      </c>
      <c r="AE473" s="6" t="n">
        <v>153774.912</v>
      </c>
      <c r="AF473" s="6" t="s">
        <v>58</v>
      </c>
      <c r="AG473" s="6" t="n">
        <v>0</v>
      </c>
      <c r="AH473" s="30" t="s">
        <v>1214</v>
      </c>
      <c r="AI473" s="6" t="n">
        <v>0</v>
      </c>
      <c r="AJ473" s="6" t="s">
        <v>380</v>
      </c>
      <c r="AK473" s="6" t="s">
        <v>988</v>
      </c>
      <c r="AL473" s="6" t="s">
        <v>380</v>
      </c>
      <c r="AM473" s="6" t="n">
        <v>0</v>
      </c>
      <c r="AQ473" s="6" t="s">
        <v>884</v>
      </c>
      <c r="AR473" s="6" t="s">
        <v>109</v>
      </c>
    </row>
    <row r="474" customFormat="false" ht="15" hidden="false" customHeight="true" outlineLevel="0" collapsed="false">
      <c r="A474" s="27" t="s">
        <v>1138</v>
      </c>
      <c r="B474" s="6" t="s">
        <v>1063</v>
      </c>
      <c r="C474" s="27" t="s">
        <v>1138</v>
      </c>
      <c r="D474" s="6" t="s">
        <v>886</v>
      </c>
      <c r="E474" s="6" t="s">
        <v>1063</v>
      </c>
      <c r="F474" s="6" t="s">
        <v>751</v>
      </c>
      <c r="G474" s="6" t="s">
        <v>1173</v>
      </c>
      <c r="H474" s="6" t="s">
        <v>1185</v>
      </c>
      <c r="I474" s="6" t="s">
        <v>1185</v>
      </c>
      <c r="N474" s="6" t="s">
        <v>1023</v>
      </c>
      <c r="O474" s="6" t="s">
        <v>1611</v>
      </c>
      <c r="P474" s="6" t="n">
        <v>1</v>
      </c>
      <c r="R474" s="6" t="s">
        <v>1138</v>
      </c>
      <c r="U474" s="6" t="n">
        <v>129650</v>
      </c>
      <c r="V474" s="28" t="n">
        <v>129650</v>
      </c>
      <c r="W474" s="29" t="n">
        <v>0.1</v>
      </c>
      <c r="X474" s="6" t="n">
        <v>0.055</v>
      </c>
      <c r="Y474" s="29" t="n">
        <v>0.12</v>
      </c>
      <c r="Z474" s="30"/>
      <c r="AA474" s="29" t="n">
        <v>0.04</v>
      </c>
      <c r="AB474" s="31" t="n">
        <v>170489.75</v>
      </c>
      <c r="AE474" s="6" t="n">
        <v>170489.75</v>
      </c>
      <c r="AF474" s="6" t="s">
        <v>1063</v>
      </c>
      <c r="AG474" s="6" t="n">
        <v>0</v>
      </c>
      <c r="AH474" s="30" t="s">
        <v>1178</v>
      </c>
      <c r="AI474" s="6" t="n">
        <v>0</v>
      </c>
      <c r="AJ474" s="6" t="s">
        <v>1185</v>
      </c>
      <c r="AK474" s="6" t="s">
        <v>988</v>
      </c>
      <c r="AL474" s="6" t="s">
        <v>1185</v>
      </c>
      <c r="AM474" s="6" t="n">
        <v>0</v>
      </c>
      <c r="AQ474" s="6" t="s">
        <v>885</v>
      </c>
      <c r="AR474" s="6" t="s">
        <v>57</v>
      </c>
    </row>
    <row r="475" customFormat="false" ht="15" hidden="false" customHeight="true" outlineLevel="0" collapsed="false">
      <c r="A475" s="27" t="s">
        <v>1138</v>
      </c>
      <c r="B475" s="6" t="s">
        <v>1063</v>
      </c>
      <c r="C475" s="27" t="s">
        <v>1138</v>
      </c>
      <c r="D475" s="6" t="s">
        <v>888</v>
      </c>
      <c r="E475" s="6" t="s">
        <v>1063</v>
      </c>
      <c r="F475" s="6" t="s">
        <v>1296</v>
      </c>
      <c r="G475" s="6" t="s">
        <v>1173</v>
      </c>
      <c r="H475" s="6" t="s">
        <v>1185</v>
      </c>
      <c r="I475" s="6" t="s">
        <v>1185</v>
      </c>
      <c r="N475" s="6" t="s">
        <v>1023</v>
      </c>
      <c r="O475" s="6" t="s">
        <v>1611</v>
      </c>
      <c r="P475" s="6" t="n">
        <v>1</v>
      </c>
      <c r="R475" s="6" t="s">
        <v>1143</v>
      </c>
      <c r="U475" s="6" t="n">
        <v>129650</v>
      </c>
      <c r="V475" s="28" t="n">
        <v>129650</v>
      </c>
      <c r="W475" s="29" t="n">
        <v>0.1</v>
      </c>
      <c r="X475" s="6" t="n">
        <v>0.055</v>
      </c>
      <c r="Y475" s="29" t="n">
        <v>0.12</v>
      </c>
      <c r="Z475" s="30"/>
      <c r="AA475" s="29" t="n">
        <v>0.04</v>
      </c>
      <c r="AB475" s="31" t="n">
        <v>170489.75</v>
      </c>
      <c r="AE475" s="6" t="n">
        <v>170489.75</v>
      </c>
      <c r="AF475" s="6" t="s">
        <v>1063</v>
      </c>
      <c r="AG475" s="6" t="n">
        <v>0</v>
      </c>
      <c r="AH475" s="30" t="s">
        <v>1178</v>
      </c>
      <c r="AI475" s="6" t="n">
        <v>0</v>
      </c>
      <c r="AJ475" s="6" t="s">
        <v>1185</v>
      </c>
      <c r="AK475" s="6" t="s">
        <v>988</v>
      </c>
      <c r="AL475" s="6" t="s">
        <v>1185</v>
      </c>
      <c r="AM475" s="6" t="n">
        <v>0</v>
      </c>
      <c r="AQ475" s="6" t="s">
        <v>887</v>
      </c>
      <c r="AR475" s="6" t="s">
        <v>57</v>
      </c>
    </row>
    <row r="476" customFormat="false" ht="15" hidden="false" customHeight="true" outlineLevel="0" collapsed="false">
      <c r="A476" s="27" t="n">
        <v>113382</v>
      </c>
      <c r="B476" s="6" t="s">
        <v>1672</v>
      </c>
      <c r="C476" s="27" t="n">
        <v>113382</v>
      </c>
      <c r="D476" s="6" t="s">
        <v>890</v>
      </c>
      <c r="E476" s="6" t="s">
        <v>1063</v>
      </c>
      <c r="F476" s="6" t="s">
        <v>1653</v>
      </c>
      <c r="G476" s="6" t="s">
        <v>1164</v>
      </c>
      <c r="H476" s="6" t="s">
        <v>160</v>
      </c>
      <c r="I476" s="6" t="s">
        <v>26</v>
      </c>
      <c r="J476" s="6" t="s">
        <v>26</v>
      </c>
      <c r="K476" s="6" t="s">
        <v>26</v>
      </c>
      <c r="L476" s="6" t="s">
        <v>26</v>
      </c>
      <c r="N476" s="6" t="s">
        <v>1023</v>
      </c>
      <c r="O476" s="6" t="s">
        <v>1611</v>
      </c>
      <c r="P476" s="6" t="n">
        <v>1</v>
      </c>
      <c r="R476" s="6" t="s">
        <v>1152</v>
      </c>
      <c r="U476" s="6" t="n">
        <v>105710</v>
      </c>
      <c r="V476" s="28" t="n">
        <v>105710</v>
      </c>
      <c r="W476" s="29" t="n">
        <v>0.1</v>
      </c>
      <c r="X476" s="6" t="n">
        <v>0.055</v>
      </c>
      <c r="Y476" s="29" t="n">
        <v>0.12</v>
      </c>
      <c r="Z476" s="30"/>
      <c r="AA476" s="29" t="n">
        <v>0.04</v>
      </c>
      <c r="AB476" s="31" t="n">
        <v>139008.65</v>
      </c>
      <c r="AE476" s="6" t="n">
        <v>139008.65</v>
      </c>
      <c r="AF476" s="6" t="s">
        <v>58</v>
      </c>
      <c r="AG476" s="6" t="n">
        <v>0</v>
      </c>
      <c r="AH476" s="30" t="s">
        <v>1169</v>
      </c>
      <c r="AI476" s="6" t="n">
        <v>0</v>
      </c>
      <c r="AJ476" s="6" t="s">
        <v>160</v>
      </c>
      <c r="AK476" s="6" t="s">
        <v>988</v>
      </c>
      <c r="AL476" s="6" t="s">
        <v>160</v>
      </c>
      <c r="AM476" s="6" t="n">
        <v>0</v>
      </c>
      <c r="AQ476" s="6" t="s">
        <v>889</v>
      </c>
      <c r="AR476" s="6" t="s">
        <v>57</v>
      </c>
    </row>
    <row r="477" customFormat="false" ht="15" hidden="false" customHeight="true" outlineLevel="0" collapsed="false">
      <c r="A477" s="27" t="n">
        <v>84413</v>
      </c>
      <c r="B477" s="6" t="s">
        <v>1673</v>
      </c>
      <c r="C477" s="27" t="n">
        <v>84413</v>
      </c>
      <c r="D477" s="6" t="s">
        <v>117</v>
      </c>
      <c r="E477" s="6" t="s">
        <v>1063</v>
      </c>
      <c r="F477" s="6" t="s">
        <v>337</v>
      </c>
      <c r="G477" s="6" t="s">
        <v>1073</v>
      </c>
      <c r="H477" s="6" t="s">
        <v>1133</v>
      </c>
      <c r="I477" s="6" t="s">
        <v>1301</v>
      </c>
      <c r="J477" s="6" t="s">
        <v>29</v>
      </c>
      <c r="K477" s="6" t="s">
        <v>1313</v>
      </c>
      <c r="L477" s="6" t="s">
        <v>1314</v>
      </c>
      <c r="N477" s="6" t="s">
        <v>1023</v>
      </c>
      <c r="O477" s="6" t="s">
        <v>1611</v>
      </c>
      <c r="P477" s="6" t="n">
        <v>1</v>
      </c>
      <c r="R477" s="6" t="s">
        <v>1152</v>
      </c>
      <c r="U477" s="6" t="n">
        <v>145340</v>
      </c>
      <c r="V477" s="28" t="n">
        <v>145340</v>
      </c>
      <c r="W477" s="29" t="n">
        <v>0.12</v>
      </c>
      <c r="X477" s="6" t="n">
        <v>0.055</v>
      </c>
      <c r="Y477" s="29" t="n">
        <v>0.12</v>
      </c>
      <c r="Z477" s="30"/>
      <c r="AA477" s="29" t="n">
        <v>0.04</v>
      </c>
      <c r="AB477" s="31" t="n">
        <v>194028.9</v>
      </c>
      <c r="AE477" s="6" t="n">
        <v>194028.9</v>
      </c>
      <c r="AF477" s="6" t="s">
        <v>58</v>
      </c>
      <c r="AG477" s="6" t="n">
        <v>0</v>
      </c>
      <c r="AH477" s="30" t="s">
        <v>1133</v>
      </c>
      <c r="AI477" s="6" t="n">
        <v>0</v>
      </c>
      <c r="AJ477" s="6" t="s">
        <v>313</v>
      </c>
      <c r="AK477" s="6" t="s">
        <v>988</v>
      </c>
      <c r="AL477" s="6" t="s">
        <v>313</v>
      </c>
      <c r="AM477" s="6" t="n">
        <v>0</v>
      </c>
      <c r="AQ477" s="6" t="s">
        <v>891</v>
      </c>
      <c r="AR477" s="6" t="s">
        <v>57</v>
      </c>
    </row>
    <row r="478" customFormat="false" ht="15" hidden="false" customHeight="true" outlineLevel="0" collapsed="false">
      <c r="A478" s="27" t="s">
        <v>1138</v>
      </c>
      <c r="B478" s="6" t="s">
        <v>1063</v>
      </c>
      <c r="C478" s="27" t="s">
        <v>1138</v>
      </c>
      <c r="D478" s="6" t="s">
        <v>117</v>
      </c>
      <c r="E478" s="6" t="s">
        <v>1063</v>
      </c>
      <c r="F478" s="6" t="s">
        <v>337</v>
      </c>
      <c r="G478" s="6" t="s">
        <v>1073</v>
      </c>
      <c r="H478" s="6" t="s">
        <v>1133</v>
      </c>
      <c r="I478" s="6" t="s">
        <v>1301</v>
      </c>
      <c r="J478" s="6" t="s">
        <v>29</v>
      </c>
      <c r="K478" s="6" t="s">
        <v>554</v>
      </c>
      <c r="L478" s="6" t="s">
        <v>549</v>
      </c>
      <c r="N478" s="6" t="s">
        <v>1023</v>
      </c>
      <c r="O478" s="6" t="s">
        <v>1611</v>
      </c>
      <c r="P478" s="6" t="n">
        <v>1</v>
      </c>
      <c r="R478" s="6" t="s">
        <v>1143</v>
      </c>
      <c r="U478" s="6" t="n">
        <v>129650</v>
      </c>
      <c r="V478" s="28" t="n">
        <v>129650</v>
      </c>
      <c r="W478" s="29" t="n">
        <v>0.1</v>
      </c>
      <c r="X478" s="6" t="n">
        <v>0.055</v>
      </c>
      <c r="Y478" s="29" t="n">
        <v>0.12</v>
      </c>
      <c r="Z478" s="30"/>
      <c r="AA478" s="29" t="n">
        <v>0.04</v>
      </c>
      <c r="AB478" s="31" t="n">
        <v>170489.75</v>
      </c>
      <c r="AE478" s="6" t="n">
        <v>170489.75</v>
      </c>
      <c r="AF478" s="6" t="s">
        <v>1063</v>
      </c>
      <c r="AG478" s="6" t="n">
        <v>0</v>
      </c>
      <c r="AH478" s="30" t="s">
        <v>1133</v>
      </c>
      <c r="AI478" s="6" t="n">
        <v>0</v>
      </c>
      <c r="AJ478" s="6" t="s">
        <v>549</v>
      </c>
      <c r="AK478" s="6" t="s">
        <v>988</v>
      </c>
      <c r="AL478" s="6" t="s">
        <v>549</v>
      </c>
      <c r="AM478" s="6" t="n">
        <v>0</v>
      </c>
      <c r="AQ478" s="6" t="s">
        <v>892</v>
      </c>
      <c r="AR478" s="6" t="s">
        <v>57</v>
      </c>
    </row>
    <row r="479" customFormat="false" ht="15" hidden="false" customHeight="true" outlineLevel="0" collapsed="false">
      <c r="A479" s="27" t="s">
        <v>1138</v>
      </c>
      <c r="B479" s="6" t="s">
        <v>1063</v>
      </c>
      <c r="C479" s="27" t="s">
        <v>1138</v>
      </c>
      <c r="D479" s="6" t="s">
        <v>117</v>
      </c>
      <c r="E479" s="6" t="s">
        <v>1063</v>
      </c>
      <c r="F479" s="6" t="s">
        <v>337</v>
      </c>
      <c r="G479" s="6" t="s">
        <v>1073</v>
      </c>
      <c r="H479" s="6" t="s">
        <v>1133</v>
      </c>
      <c r="I479" s="6" t="s">
        <v>1301</v>
      </c>
      <c r="J479" s="6" t="s">
        <v>29</v>
      </c>
      <c r="K479" s="6" t="s">
        <v>554</v>
      </c>
      <c r="L479" s="6" t="s">
        <v>549</v>
      </c>
      <c r="N479" s="6" t="s">
        <v>1023</v>
      </c>
      <c r="O479" s="6" t="s">
        <v>1611</v>
      </c>
      <c r="P479" s="6" t="n">
        <v>1</v>
      </c>
      <c r="R479" s="6" t="s">
        <v>1143</v>
      </c>
      <c r="U479" s="6" t="n">
        <v>129650</v>
      </c>
      <c r="V479" s="28" t="n">
        <v>129650</v>
      </c>
      <c r="W479" s="29" t="n">
        <v>0.1</v>
      </c>
      <c r="X479" s="6" t="n">
        <v>0.055</v>
      </c>
      <c r="Y479" s="29" t="n">
        <v>0.12</v>
      </c>
      <c r="Z479" s="30"/>
      <c r="AA479" s="29" t="n">
        <v>0.04</v>
      </c>
      <c r="AB479" s="31" t="n">
        <v>170489.75</v>
      </c>
      <c r="AE479" s="6" t="n">
        <v>170489.75</v>
      </c>
      <c r="AF479" s="6" t="s">
        <v>1063</v>
      </c>
      <c r="AG479" s="6" t="n">
        <v>0</v>
      </c>
      <c r="AH479" s="30" t="s">
        <v>1133</v>
      </c>
      <c r="AI479" s="6" t="n">
        <v>0</v>
      </c>
      <c r="AJ479" s="6" t="s">
        <v>549</v>
      </c>
      <c r="AK479" s="6" t="s">
        <v>988</v>
      </c>
      <c r="AL479" s="6" t="s">
        <v>549</v>
      </c>
      <c r="AM479" s="6" t="n">
        <v>0</v>
      </c>
      <c r="AQ479" s="6" t="s">
        <v>893</v>
      </c>
      <c r="AR479" s="6" t="s">
        <v>57</v>
      </c>
    </row>
    <row r="480" customFormat="false" ht="15" hidden="false" customHeight="true" outlineLevel="0" collapsed="false">
      <c r="A480" s="27" t="s">
        <v>1138</v>
      </c>
      <c r="B480" s="6" t="s">
        <v>1063</v>
      </c>
      <c r="C480" s="27" t="s">
        <v>1138</v>
      </c>
      <c r="D480" s="6" t="s">
        <v>117</v>
      </c>
      <c r="E480" s="6" t="s">
        <v>1063</v>
      </c>
      <c r="F480" s="6" t="s">
        <v>337</v>
      </c>
      <c r="G480" s="6" t="s">
        <v>1073</v>
      </c>
      <c r="H480" s="6" t="s">
        <v>1133</v>
      </c>
      <c r="I480" s="6" t="s">
        <v>1301</v>
      </c>
      <c r="J480" s="6" t="s">
        <v>29</v>
      </c>
      <c r="K480" s="6" t="s">
        <v>554</v>
      </c>
      <c r="L480" s="6" t="s">
        <v>549</v>
      </c>
      <c r="N480" s="6" t="s">
        <v>1023</v>
      </c>
      <c r="O480" s="6" t="s">
        <v>1611</v>
      </c>
      <c r="P480" s="6" t="n">
        <v>1</v>
      </c>
      <c r="R480" s="6" t="s">
        <v>1143</v>
      </c>
      <c r="U480" s="6" t="n">
        <v>151950</v>
      </c>
      <c r="V480" s="28" t="n">
        <v>151950</v>
      </c>
      <c r="W480" s="29" t="n">
        <v>0.12</v>
      </c>
      <c r="X480" s="6" t="n">
        <v>0.055</v>
      </c>
      <c r="Y480" s="29" t="n">
        <v>0.12</v>
      </c>
      <c r="Z480" s="30"/>
      <c r="AA480" s="29" t="n">
        <v>0.04</v>
      </c>
      <c r="AB480" s="31" t="n">
        <v>202853.25</v>
      </c>
      <c r="AE480" s="6" t="n">
        <v>202853.25</v>
      </c>
      <c r="AF480" s="6" t="s">
        <v>1063</v>
      </c>
      <c r="AG480" s="6" t="n">
        <v>0</v>
      </c>
      <c r="AH480" s="30" t="s">
        <v>1133</v>
      </c>
      <c r="AI480" s="6" t="n">
        <v>0</v>
      </c>
      <c r="AJ480" s="6" t="s">
        <v>549</v>
      </c>
      <c r="AK480" s="6" t="s">
        <v>988</v>
      </c>
      <c r="AL480" s="6" t="s">
        <v>549</v>
      </c>
      <c r="AM480" s="6" t="n">
        <v>0</v>
      </c>
      <c r="AQ480" s="6" t="s">
        <v>894</v>
      </c>
      <c r="AR480" s="6" t="s">
        <v>57</v>
      </c>
    </row>
    <row r="481" customFormat="false" ht="15" hidden="false" customHeight="true" outlineLevel="0" collapsed="false">
      <c r="A481" s="27" t="n">
        <v>115827</v>
      </c>
      <c r="B481" s="6" t="s">
        <v>1674</v>
      </c>
      <c r="C481" s="27" t="n">
        <v>115827</v>
      </c>
      <c r="D481" s="6" t="s">
        <v>896</v>
      </c>
      <c r="E481" s="6" t="s">
        <v>1063</v>
      </c>
      <c r="F481" s="6" t="s">
        <v>1659</v>
      </c>
      <c r="G481" s="6" t="s">
        <v>1141</v>
      </c>
      <c r="H481" s="6" t="s">
        <v>191</v>
      </c>
      <c r="I481" s="6" t="s">
        <v>26</v>
      </c>
      <c r="J481" s="6" t="s">
        <v>26</v>
      </c>
      <c r="K481" s="6" t="s">
        <v>26</v>
      </c>
      <c r="L481" s="6" t="s">
        <v>26</v>
      </c>
      <c r="N481" s="6" t="s">
        <v>109</v>
      </c>
      <c r="O481" s="6" t="s">
        <v>1611</v>
      </c>
      <c r="P481" s="6" t="n">
        <v>1</v>
      </c>
      <c r="R481" s="6" t="s">
        <v>1152</v>
      </c>
      <c r="U481" s="6" t="n">
        <v>128000</v>
      </c>
      <c r="V481" s="28" t="n">
        <v>117760</v>
      </c>
      <c r="W481" s="29" t="n">
        <v>0.15</v>
      </c>
      <c r="Y481" s="29" t="n">
        <v>0.05</v>
      </c>
      <c r="Z481" s="30" t="n">
        <v>2910</v>
      </c>
      <c r="AA481" s="29" t="n">
        <v>0.03</v>
      </c>
      <c r="AB481" s="31" t="n">
        <v>147754.8</v>
      </c>
      <c r="AE481" s="6" t="n">
        <v>147754.8</v>
      </c>
      <c r="AF481" s="6" t="s">
        <v>58</v>
      </c>
      <c r="AG481" s="6" t="n">
        <v>0</v>
      </c>
      <c r="AH481" s="30" t="s">
        <v>1144</v>
      </c>
      <c r="AI481" s="6" t="n">
        <v>0</v>
      </c>
      <c r="AJ481" s="6" t="s">
        <v>191</v>
      </c>
      <c r="AK481" s="6" t="s">
        <v>988</v>
      </c>
      <c r="AL481" s="6" t="s">
        <v>191</v>
      </c>
      <c r="AM481" s="6" t="n">
        <v>0</v>
      </c>
      <c r="AQ481" s="6" t="s">
        <v>895</v>
      </c>
      <c r="AR481" s="6" t="s">
        <v>109</v>
      </c>
    </row>
    <row r="482" customFormat="false" ht="15" hidden="false" customHeight="true" outlineLevel="0" collapsed="false">
      <c r="A482" s="27" t="s">
        <v>1138</v>
      </c>
      <c r="B482" s="6" t="s">
        <v>1063</v>
      </c>
      <c r="C482" s="27" t="s">
        <v>1138</v>
      </c>
      <c r="D482" s="6" t="s">
        <v>896</v>
      </c>
      <c r="E482" s="6" t="s">
        <v>1063</v>
      </c>
      <c r="F482" s="6" t="s">
        <v>1659</v>
      </c>
      <c r="G482" s="6" t="s">
        <v>1141</v>
      </c>
      <c r="H482" s="6" t="s">
        <v>191</v>
      </c>
      <c r="I482" s="6" t="s">
        <v>26</v>
      </c>
      <c r="J482" s="6" t="s">
        <v>26</v>
      </c>
      <c r="K482" s="6" t="s">
        <v>26</v>
      </c>
      <c r="L482" s="6" t="s">
        <v>26</v>
      </c>
      <c r="N482" s="6" t="s">
        <v>109</v>
      </c>
      <c r="O482" s="6" t="s">
        <v>1611</v>
      </c>
      <c r="P482" s="6" t="n">
        <v>1</v>
      </c>
      <c r="R482" s="6" t="s">
        <v>1143</v>
      </c>
      <c r="U482" s="6" t="n">
        <v>131550</v>
      </c>
      <c r="V482" s="28" t="n">
        <v>121026</v>
      </c>
      <c r="W482" s="29" t="n">
        <v>0.15</v>
      </c>
      <c r="Y482" s="29" t="n">
        <v>0.05</v>
      </c>
      <c r="Z482" s="30" t="n">
        <v>2910</v>
      </c>
      <c r="AA482" s="29" t="n">
        <v>0.03</v>
      </c>
      <c r="AB482" s="31" t="n">
        <v>151771.98</v>
      </c>
      <c r="AE482" s="6" t="n">
        <v>151771.98</v>
      </c>
      <c r="AF482" s="6" t="s">
        <v>1063</v>
      </c>
      <c r="AG482" s="6" t="n">
        <v>0</v>
      </c>
      <c r="AH482" s="30" t="s">
        <v>1144</v>
      </c>
      <c r="AI482" s="6" t="n">
        <v>0</v>
      </c>
      <c r="AJ482" s="6" t="s">
        <v>191</v>
      </c>
      <c r="AK482" s="6" t="s">
        <v>988</v>
      </c>
      <c r="AL482" s="6" t="s">
        <v>191</v>
      </c>
      <c r="AM482" s="6" t="n">
        <v>0</v>
      </c>
      <c r="AQ482" s="6" t="s">
        <v>897</v>
      </c>
      <c r="AR482" s="6" t="s">
        <v>109</v>
      </c>
    </row>
    <row r="483" customFormat="false" ht="15" hidden="false" customHeight="true" outlineLevel="0" collapsed="false">
      <c r="A483" s="27" t="n">
        <v>115512</v>
      </c>
      <c r="B483" s="6" t="s">
        <v>1675</v>
      </c>
      <c r="C483" s="27" t="n">
        <v>115512</v>
      </c>
      <c r="D483" s="6" t="s">
        <v>755</v>
      </c>
      <c r="E483" s="6" t="s">
        <v>1063</v>
      </c>
      <c r="F483" s="6" t="s">
        <v>437</v>
      </c>
      <c r="G483" s="6" t="s">
        <v>1076</v>
      </c>
      <c r="H483" s="6" t="s">
        <v>1086</v>
      </c>
      <c r="I483" s="6" t="s">
        <v>1407</v>
      </c>
      <c r="J483" s="6" t="s">
        <v>30</v>
      </c>
      <c r="K483" s="6" t="s">
        <v>30</v>
      </c>
      <c r="L483" s="6" t="s">
        <v>1407</v>
      </c>
      <c r="N483" s="6" t="s">
        <v>109</v>
      </c>
      <c r="O483" s="6" t="s">
        <v>1611</v>
      </c>
      <c r="P483" s="6" t="n">
        <v>1</v>
      </c>
      <c r="R483" s="6" t="s">
        <v>1152</v>
      </c>
      <c r="U483" s="6" t="n">
        <v>120800</v>
      </c>
      <c r="V483" s="28" t="n">
        <v>111136</v>
      </c>
      <c r="W483" s="29" t="n">
        <v>0.15</v>
      </c>
      <c r="Y483" s="29" t="n">
        <v>0.05</v>
      </c>
      <c r="Z483" s="30" t="n">
        <v>2910</v>
      </c>
      <c r="AA483" s="29" t="n">
        <v>0.03</v>
      </c>
      <c r="AB483" s="31" t="n">
        <v>139607.28</v>
      </c>
      <c r="AE483" s="6" t="n">
        <v>139607.28</v>
      </c>
      <c r="AF483" s="6" t="s">
        <v>58</v>
      </c>
      <c r="AG483" s="6" t="n">
        <v>0</v>
      </c>
      <c r="AH483" s="30" t="s">
        <v>1076</v>
      </c>
      <c r="AI483" s="6" t="n">
        <v>0</v>
      </c>
      <c r="AJ483" s="6" t="s">
        <v>1408</v>
      </c>
      <c r="AK483" s="6" t="s">
        <v>988</v>
      </c>
      <c r="AL483" s="6" t="s">
        <v>1408</v>
      </c>
      <c r="AM483" s="6" t="n">
        <v>0</v>
      </c>
      <c r="AQ483" s="6" t="s">
        <v>898</v>
      </c>
      <c r="AR483" s="6" t="s">
        <v>109</v>
      </c>
    </row>
    <row r="484" customFormat="false" ht="15" hidden="false" customHeight="true" outlineLevel="0" collapsed="false">
      <c r="A484" s="27" t="n">
        <v>115520</v>
      </c>
      <c r="B484" s="6" t="s">
        <v>1676</v>
      </c>
      <c r="C484" s="27" t="n">
        <v>115520</v>
      </c>
      <c r="D484" s="6" t="s">
        <v>900</v>
      </c>
      <c r="E484" s="6" t="s">
        <v>1063</v>
      </c>
      <c r="F484" s="6" t="s">
        <v>224</v>
      </c>
      <c r="G484" s="6" t="s">
        <v>1058</v>
      </c>
      <c r="H484" s="6" t="s">
        <v>20</v>
      </c>
      <c r="I484" s="6" t="s">
        <v>1469</v>
      </c>
      <c r="J484" s="6" t="s">
        <v>20</v>
      </c>
      <c r="K484" s="6" t="s">
        <v>275</v>
      </c>
      <c r="L484" s="6" t="s">
        <v>275</v>
      </c>
      <c r="N484" s="6" t="s">
        <v>109</v>
      </c>
      <c r="O484" s="6" t="s">
        <v>1611</v>
      </c>
      <c r="P484" s="6" t="n">
        <v>1</v>
      </c>
      <c r="R484" s="6" t="s">
        <v>1152</v>
      </c>
      <c r="U484" s="6" t="n">
        <v>135720</v>
      </c>
      <c r="V484" s="28" t="n">
        <v>124862.4</v>
      </c>
      <c r="W484" s="29" t="n">
        <v>0.15</v>
      </c>
      <c r="Y484" s="29" t="n">
        <v>0.05</v>
      </c>
      <c r="Z484" s="30" t="n">
        <v>2910</v>
      </c>
      <c r="AA484" s="29" t="n">
        <v>0.03</v>
      </c>
      <c r="AB484" s="31" t="n">
        <v>156490.752</v>
      </c>
      <c r="AE484" s="6" t="n">
        <v>156490.752</v>
      </c>
      <c r="AF484" s="6" t="s">
        <v>58</v>
      </c>
      <c r="AG484" s="6" t="n">
        <v>0</v>
      </c>
      <c r="AH484" s="30" t="s">
        <v>20</v>
      </c>
      <c r="AI484" s="6" t="n">
        <v>0</v>
      </c>
      <c r="AJ484" s="6" t="s">
        <v>275</v>
      </c>
      <c r="AK484" s="6" t="s">
        <v>988</v>
      </c>
      <c r="AL484" s="6" t="s">
        <v>275</v>
      </c>
      <c r="AM484" s="6" t="n">
        <v>0</v>
      </c>
      <c r="AQ484" s="6" t="s">
        <v>899</v>
      </c>
      <c r="AR484" s="6" t="s">
        <v>109</v>
      </c>
    </row>
    <row r="485" customFormat="false" ht="15" hidden="false" customHeight="true" outlineLevel="0" collapsed="false">
      <c r="A485" s="27" t="s">
        <v>1138</v>
      </c>
      <c r="B485" s="6" t="s">
        <v>1063</v>
      </c>
      <c r="C485" s="27" t="s">
        <v>1138</v>
      </c>
      <c r="D485" s="6" t="s">
        <v>117</v>
      </c>
      <c r="E485" s="6" t="s">
        <v>1063</v>
      </c>
      <c r="F485" s="6" t="s">
        <v>224</v>
      </c>
      <c r="G485" s="6" t="s">
        <v>1058</v>
      </c>
      <c r="H485" s="6" t="s">
        <v>20</v>
      </c>
      <c r="I485" s="6" t="s">
        <v>1469</v>
      </c>
      <c r="J485" s="6" t="s">
        <v>20</v>
      </c>
      <c r="K485" s="6" t="s">
        <v>351</v>
      </c>
      <c r="L485" s="6" t="s">
        <v>351</v>
      </c>
      <c r="N485" s="6" t="s">
        <v>1023</v>
      </c>
      <c r="O485" s="6" t="s">
        <v>1611</v>
      </c>
      <c r="P485" s="6" t="n">
        <v>1</v>
      </c>
      <c r="R485" s="6" t="s">
        <v>1143</v>
      </c>
      <c r="U485" s="6" t="n">
        <v>129650</v>
      </c>
      <c r="V485" s="28" t="n">
        <v>129650</v>
      </c>
      <c r="W485" s="29" t="n">
        <v>0.1</v>
      </c>
      <c r="X485" s="6" t="n">
        <v>0.055</v>
      </c>
      <c r="Y485" s="29" t="n">
        <v>0.12</v>
      </c>
      <c r="Z485" s="30"/>
      <c r="AA485" s="29" t="n">
        <v>0.04</v>
      </c>
      <c r="AB485" s="31" t="n">
        <v>170489.75</v>
      </c>
      <c r="AE485" s="6" t="n">
        <v>170489.75</v>
      </c>
      <c r="AF485" s="6" t="s">
        <v>1063</v>
      </c>
      <c r="AG485" s="6" t="n">
        <v>0</v>
      </c>
      <c r="AH485" s="30" t="s">
        <v>20</v>
      </c>
      <c r="AI485" s="6" t="n">
        <v>0</v>
      </c>
      <c r="AJ485" s="6" t="s">
        <v>351</v>
      </c>
      <c r="AK485" s="6" t="s">
        <v>988</v>
      </c>
      <c r="AL485" s="6" t="s">
        <v>351</v>
      </c>
      <c r="AM485" s="6" t="n">
        <v>0</v>
      </c>
      <c r="AQ485" s="6" t="s">
        <v>901</v>
      </c>
      <c r="AR485" s="6" t="s">
        <v>57</v>
      </c>
    </row>
    <row r="486" customFormat="false" ht="15" hidden="false" customHeight="true" outlineLevel="0" collapsed="false">
      <c r="A486" s="27" t="s">
        <v>1138</v>
      </c>
      <c r="B486" s="6" t="s">
        <v>1063</v>
      </c>
      <c r="C486" s="27" t="s">
        <v>1138</v>
      </c>
      <c r="D486" s="6" t="s">
        <v>597</v>
      </c>
      <c r="E486" s="6" t="s">
        <v>1300</v>
      </c>
      <c r="F486" s="6" t="s">
        <v>302</v>
      </c>
      <c r="G486" s="6" t="s">
        <v>1073</v>
      </c>
      <c r="H486" s="6" t="s">
        <v>1133</v>
      </c>
      <c r="I486" s="6" t="s">
        <v>1301</v>
      </c>
      <c r="J486" s="6" t="s">
        <v>29</v>
      </c>
      <c r="K486" s="6" t="s">
        <v>554</v>
      </c>
      <c r="L486" s="6" t="s">
        <v>769</v>
      </c>
      <c r="N486" s="6" t="s">
        <v>1023</v>
      </c>
      <c r="O486" s="6" t="s">
        <v>1611</v>
      </c>
      <c r="P486" s="6" t="n">
        <v>1</v>
      </c>
      <c r="R486" s="6" t="s">
        <v>1143</v>
      </c>
      <c r="U486" s="6" t="n">
        <v>129659</v>
      </c>
      <c r="V486" s="28" t="n">
        <v>129659</v>
      </c>
      <c r="W486" s="29" t="n">
        <v>0.1</v>
      </c>
      <c r="X486" s="6" t="n">
        <v>0.055</v>
      </c>
      <c r="Y486" s="29" t="n">
        <v>0.12</v>
      </c>
      <c r="Z486" s="30"/>
      <c r="AA486" s="29" t="n">
        <v>0.04</v>
      </c>
      <c r="AB486" s="31" t="n">
        <v>170501.585</v>
      </c>
      <c r="AE486" s="6" t="n">
        <v>170501.585</v>
      </c>
      <c r="AF486" s="6" t="s">
        <v>1063</v>
      </c>
      <c r="AG486" s="6" t="n">
        <v>0</v>
      </c>
      <c r="AH486" s="30" t="s">
        <v>1133</v>
      </c>
      <c r="AI486" s="6" t="n">
        <v>0</v>
      </c>
      <c r="AJ486" s="6" t="s">
        <v>769</v>
      </c>
      <c r="AK486" s="6" t="s">
        <v>988</v>
      </c>
      <c r="AL486" s="6" t="s">
        <v>769</v>
      </c>
      <c r="AM486" s="6" t="n">
        <v>0</v>
      </c>
      <c r="AQ486" s="6" t="s">
        <v>902</v>
      </c>
      <c r="AR486" s="6" t="s">
        <v>57</v>
      </c>
    </row>
    <row r="487" customFormat="false" ht="15" hidden="false" customHeight="true" outlineLevel="0" collapsed="false">
      <c r="A487" s="27" t="s">
        <v>1138</v>
      </c>
      <c r="B487" s="6" t="s">
        <v>1063</v>
      </c>
      <c r="C487" s="27" t="s">
        <v>1138</v>
      </c>
      <c r="D487" s="6" t="s">
        <v>597</v>
      </c>
      <c r="E487" s="6" t="s">
        <v>1300</v>
      </c>
      <c r="F487" s="6" t="s">
        <v>302</v>
      </c>
      <c r="G487" s="6" t="s">
        <v>1073</v>
      </c>
      <c r="H487" s="6" t="s">
        <v>1133</v>
      </c>
      <c r="I487" s="6" t="s">
        <v>1301</v>
      </c>
      <c r="J487" s="6" t="s">
        <v>29</v>
      </c>
      <c r="K487" s="6" t="s">
        <v>554</v>
      </c>
      <c r="L487" s="6" t="s">
        <v>549</v>
      </c>
      <c r="N487" s="6" t="s">
        <v>1023</v>
      </c>
      <c r="O487" s="6" t="s">
        <v>1611</v>
      </c>
      <c r="P487" s="6" t="n">
        <v>1</v>
      </c>
      <c r="R487" s="6" t="s">
        <v>1138</v>
      </c>
      <c r="U487" s="6" t="n">
        <v>151950</v>
      </c>
      <c r="V487" s="28" t="n">
        <v>151950</v>
      </c>
      <c r="W487" s="29" t="n">
        <v>0.12</v>
      </c>
      <c r="X487" s="6" t="n">
        <v>0.055</v>
      </c>
      <c r="Y487" s="29" t="n">
        <v>0.12</v>
      </c>
      <c r="Z487" s="30"/>
      <c r="AA487" s="29" t="n">
        <v>0.04</v>
      </c>
      <c r="AB487" s="31" t="n">
        <v>202853.25</v>
      </c>
      <c r="AE487" s="6" t="n">
        <v>202853.25</v>
      </c>
      <c r="AF487" s="6" t="s">
        <v>1063</v>
      </c>
      <c r="AG487" s="6" t="n">
        <v>0</v>
      </c>
      <c r="AH487" s="30" t="s">
        <v>1133</v>
      </c>
      <c r="AI487" s="6" t="n">
        <v>0</v>
      </c>
      <c r="AJ487" s="6" t="s">
        <v>549</v>
      </c>
      <c r="AK487" s="6" t="s">
        <v>988</v>
      </c>
      <c r="AL487" s="6" t="s">
        <v>549</v>
      </c>
      <c r="AM487" s="6" t="n">
        <v>0</v>
      </c>
      <c r="AQ487" s="6" t="s">
        <v>903</v>
      </c>
      <c r="AR487" s="6" t="s">
        <v>57</v>
      </c>
    </row>
    <row r="488" customFormat="false" ht="15" hidden="false" customHeight="true" outlineLevel="0" collapsed="false">
      <c r="A488" s="27" t="n">
        <v>110388</v>
      </c>
      <c r="B488" s="6" t="s">
        <v>1677</v>
      </c>
      <c r="C488" s="27" t="n">
        <v>110388</v>
      </c>
      <c r="D488" s="6" t="s">
        <v>117</v>
      </c>
      <c r="E488" s="6" t="s">
        <v>1269</v>
      </c>
      <c r="F488" s="6" t="s">
        <v>263</v>
      </c>
      <c r="G488" s="6" t="s">
        <v>1073</v>
      </c>
      <c r="H488" s="6" t="s">
        <v>1133</v>
      </c>
      <c r="I488" s="6" t="s">
        <v>1270</v>
      </c>
      <c r="J488" s="6" t="s">
        <v>29</v>
      </c>
      <c r="K488" s="6" t="s">
        <v>1587</v>
      </c>
      <c r="L488" s="6" t="s">
        <v>776</v>
      </c>
      <c r="N488" s="6" t="s">
        <v>1023</v>
      </c>
      <c r="O488" s="6" t="s">
        <v>1611</v>
      </c>
      <c r="P488" s="6" t="n">
        <v>1</v>
      </c>
      <c r="R488" s="6" t="s">
        <v>1152</v>
      </c>
      <c r="U488" s="6" t="n">
        <v>120030</v>
      </c>
      <c r="V488" s="28" t="n">
        <v>120030</v>
      </c>
      <c r="W488" s="29" t="n">
        <v>0.1</v>
      </c>
      <c r="X488" s="6" t="n">
        <v>0.055</v>
      </c>
      <c r="Y488" s="29" t="n">
        <v>0.12</v>
      </c>
      <c r="Z488" s="30"/>
      <c r="AA488" s="29" t="n">
        <v>0.04</v>
      </c>
      <c r="AB488" s="31" t="n">
        <v>157839.45</v>
      </c>
      <c r="AE488" s="6" t="n">
        <v>157839.45</v>
      </c>
      <c r="AF488" s="6" t="s">
        <v>58</v>
      </c>
      <c r="AG488" s="6" t="n">
        <v>0</v>
      </c>
      <c r="AH488" s="30" t="s">
        <v>1133</v>
      </c>
      <c r="AI488" s="6" t="n">
        <v>0</v>
      </c>
      <c r="AJ488" s="6" t="s">
        <v>776</v>
      </c>
      <c r="AK488" s="6" t="s">
        <v>988</v>
      </c>
      <c r="AL488" s="6" t="s">
        <v>776</v>
      </c>
      <c r="AM488" s="6" t="n">
        <v>0</v>
      </c>
      <c r="AQ488" s="6" t="s">
        <v>904</v>
      </c>
      <c r="AR488" s="6" t="s">
        <v>57</v>
      </c>
    </row>
    <row r="489" customFormat="false" ht="15" hidden="false" customHeight="true" outlineLevel="0" collapsed="false">
      <c r="A489" s="27" t="n">
        <v>107164</v>
      </c>
      <c r="B489" s="6" t="s">
        <v>1678</v>
      </c>
      <c r="C489" s="27" t="n">
        <v>107164</v>
      </c>
      <c r="D489" s="6" t="s">
        <v>597</v>
      </c>
      <c r="E489" s="6" t="s">
        <v>1269</v>
      </c>
      <c r="F489" s="6" t="s">
        <v>263</v>
      </c>
      <c r="G489" s="6" t="s">
        <v>1073</v>
      </c>
      <c r="H489" s="6" t="s">
        <v>1133</v>
      </c>
      <c r="I489" s="6" t="s">
        <v>1270</v>
      </c>
      <c r="J489" s="6" t="s">
        <v>29</v>
      </c>
      <c r="K489" s="6" t="s">
        <v>1587</v>
      </c>
      <c r="L489" s="6" t="s">
        <v>776</v>
      </c>
      <c r="N489" s="6" t="s">
        <v>1023</v>
      </c>
      <c r="O489" s="6" t="s">
        <v>1611</v>
      </c>
      <c r="P489" s="6" t="n">
        <v>1</v>
      </c>
      <c r="R489" s="6" t="s">
        <v>1152</v>
      </c>
      <c r="U489" s="6" t="n">
        <v>154420</v>
      </c>
      <c r="V489" s="28" t="n">
        <v>154420</v>
      </c>
      <c r="W489" s="29" t="n">
        <v>0.12</v>
      </c>
      <c r="X489" s="6" t="n">
        <v>0.055</v>
      </c>
      <c r="Y489" s="29" t="n">
        <v>0.12</v>
      </c>
      <c r="Z489" s="30"/>
      <c r="AA489" s="29" t="n">
        <v>0.04</v>
      </c>
      <c r="AB489" s="31" t="n">
        <v>206150.7</v>
      </c>
      <c r="AE489" s="6" t="n">
        <v>206150.7</v>
      </c>
      <c r="AF489" s="6" t="s">
        <v>58</v>
      </c>
      <c r="AG489" s="6" t="n">
        <v>0</v>
      </c>
      <c r="AH489" s="30" t="s">
        <v>1133</v>
      </c>
      <c r="AI489" s="6" t="n">
        <v>0</v>
      </c>
      <c r="AJ489" s="6" t="s">
        <v>776</v>
      </c>
      <c r="AK489" s="6" t="s">
        <v>988</v>
      </c>
      <c r="AL489" s="6" t="s">
        <v>776</v>
      </c>
      <c r="AM489" s="6" t="n">
        <v>0</v>
      </c>
      <c r="AQ489" s="6" t="s">
        <v>905</v>
      </c>
      <c r="AR489" s="6" t="s">
        <v>57</v>
      </c>
      <c r="AU489" s="35"/>
    </row>
    <row r="490" customFormat="false" ht="15" hidden="false" customHeight="true" outlineLevel="0" collapsed="false">
      <c r="A490" s="27" t="s">
        <v>1138</v>
      </c>
      <c r="B490" s="6" t="s">
        <v>1063</v>
      </c>
      <c r="C490" s="27" t="s">
        <v>1138</v>
      </c>
      <c r="D490" s="6" t="s">
        <v>597</v>
      </c>
      <c r="E490" s="6" t="s">
        <v>1269</v>
      </c>
      <c r="F490" s="6" t="s">
        <v>263</v>
      </c>
      <c r="G490" s="6" t="s">
        <v>1073</v>
      </c>
      <c r="H490" s="6" t="s">
        <v>1133</v>
      </c>
      <c r="I490" s="6" t="s">
        <v>1270</v>
      </c>
      <c r="J490" s="6" t="s">
        <v>29</v>
      </c>
      <c r="K490" s="6" t="s">
        <v>1587</v>
      </c>
      <c r="L490" s="6" t="s">
        <v>776</v>
      </c>
      <c r="N490" s="6" t="s">
        <v>1023</v>
      </c>
      <c r="O490" s="6" t="s">
        <v>1611</v>
      </c>
      <c r="P490" s="6" t="n">
        <v>1</v>
      </c>
      <c r="R490" s="6" t="s">
        <v>1138</v>
      </c>
      <c r="U490" s="6" t="n">
        <v>173550</v>
      </c>
      <c r="V490" s="28" t="n">
        <v>173550</v>
      </c>
      <c r="W490" s="29" t="n">
        <v>0.12</v>
      </c>
      <c r="X490" s="6" t="n">
        <v>0.055</v>
      </c>
      <c r="Y490" s="29" t="n">
        <v>0.12</v>
      </c>
      <c r="Z490" s="30"/>
      <c r="AA490" s="29" t="n">
        <v>0.04</v>
      </c>
      <c r="AB490" s="31" t="n">
        <v>231689.25</v>
      </c>
      <c r="AE490" s="6" t="n">
        <v>231689.25</v>
      </c>
      <c r="AF490" s="6" t="s">
        <v>1063</v>
      </c>
      <c r="AG490" s="6" t="n">
        <v>0</v>
      </c>
      <c r="AH490" s="30" t="s">
        <v>1133</v>
      </c>
      <c r="AI490" s="6" t="n">
        <v>0</v>
      </c>
      <c r="AJ490" s="6" t="s">
        <v>776</v>
      </c>
      <c r="AK490" s="6" t="s">
        <v>988</v>
      </c>
      <c r="AL490" s="6" t="s">
        <v>776</v>
      </c>
      <c r="AM490" s="6" t="n">
        <v>0</v>
      </c>
      <c r="AQ490" s="6" t="s">
        <v>906</v>
      </c>
      <c r="AR490" s="6" t="s">
        <v>57</v>
      </c>
    </row>
    <row r="491" customFormat="false" ht="15" hidden="false" customHeight="true" outlineLevel="0" collapsed="false">
      <c r="A491" s="27" t="n">
        <v>98015</v>
      </c>
      <c r="B491" s="6" t="s">
        <v>1679</v>
      </c>
      <c r="C491" s="27" t="n">
        <v>98015</v>
      </c>
      <c r="D491" s="6" t="s">
        <v>789</v>
      </c>
      <c r="E491" s="6" t="s">
        <v>1227</v>
      </c>
      <c r="F491" s="6" t="s">
        <v>217</v>
      </c>
      <c r="G491" s="6" t="s">
        <v>1020</v>
      </c>
      <c r="H491" s="6" t="s">
        <v>1021</v>
      </c>
      <c r="I491" s="6" t="s">
        <v>1228</v>
      </c>
      <c r="J491" s="6" t="s">
        <v>18</v>
      </c>
      <c r="K491" s="6" t="s">
        <v>1028</v>
      </c>
      <c r="L491" s="6" t="s">
        <v>66</v>
      </c>
      <c r="N491" s="6" t="s">
        <v>1023</v>
      </c>
      <c r="O491" s="6" t="s">
        <v>1680</v>
      </c>
      <c r="P491" s="6" t="n">
        <v>1</v>
      </c>
      <c r="R491" s="6" t="s">
        <v>1152</v>
      </c>
      <c r="U491" s="6" t="n">
        <v>111380</v>
      </c>
      <c r="V491" s="28" t="n">
        <v>111380</v>
      </c>
      <c r="W491" s="29" t="n">
        <v>0.1</v>
      </c>
      <c r="X491" s="6" t="n">
        <v>0.055</v>
      </c>
      <c r="Y491" s="29" t="n">
        <v>0.12</v>
      </c>
      <c r="Z491" s="30"/>
      <c r="AA491" s="29" t="n">
        <v>0.04</v>
      </c>
      <c r="AB491" s="31" t="n">
        <v>146464.7</v>
      </c>
      <c r="AE491" s="6" t="n">
        <v>146464.7</v>
      </c>
      <c r="AF491" s="6" t="s">
        <v>58</v>
      </c>
      <c r="AG491" s="6" t="n">
        <v>0</v>
      </c>
      <c r="AH491" s="30" t="s">
        <v>1020</v>
      </c>
      <c r="AI491" s="6" t="n">
        <v>0</v>
      </c>
      <c r="AJ491" s="6" t="s">
        <v>66</v>
      </c>
      <c r="AK491" s="6" t="s">
        <v>988</v>
      </c>
      <c r="AL491" s="6" t="s">
        <v>66</v>
      </c>
      <c r="AM491" s="6" t="n">
        <v>0</v>
      </c>
      <c r="AN491" s="6" t="s">
        <v>58</v>
      </c>
      <c r="AQ491" s="6" t="s">
        <v>907</v>
      </c>
      <c r="AR491" s="6" t="s">
        <v>57</v>
      </c>
    </row>
    <row r="492" customFormat="false" ht="15" hidden="false" customHeight="true" outlineLevel="0" collapsed="false">
      <c r="A492" s="27" t="n">
        <v>113567</v>
      </c>
      <c r="B492" s="6" t="s">
        <v>1681</v>
      </c>
      <c r="C492" s="27" t="n">
        <v>113567</v>
      </c>
      <c r="D492" s="6" t="s">
        <v>909</v>
      </c>
      <c r="E492" s="6" t="s">
        <v>1219</v>
      </c>
      <c r="F492" s="6" t="s">
        <v>1335</v>
      </c>
      <c r="G492" s="6" t="s">
        <v>1020</v>
      </c>
      <c r="H492" s="6" t="s">
        <v>1066</v>
      </c>
      <c r="I492" s="6" t="s">
        <v>1221</v>
      </c>
      <c r="J492" s="6" t="s">
        <v>32</v>
      </c>
      <c r="K492" s="6" t="s">
        <v>333</v>
      </c>
      <c r="L492" s="6" t="s">
        <v>333</v>
      </c>
      <c r="N492" s="6" t="s">
        <v>109</v>
      </c>
      <c r="O492" s="6" t="s">
        <v>1680</v>
      </c>
      <c r="P492" s="6" t="n">
        <v>1</v>
      </c>
      <c r="R492" s="6" t="s">
        <v>1152</v>
      </c>
      <c r="U492" s="6" t="n">
        <v>96140</v>
      </c>
      <c r="V492" s="28" t="n">
        <v>88448.8</v>
      </c>
      <c r="W492" s="29" t="n">
        <v>0.1</v>
      </c>
      <c r="Y492" s="29" t="n">
        <v>0.05</v>
      </c>
      <c r="Z492" s="30" t="n">
        <v>2910</v>
      </c>
      <c r="AA492" s="29" t="n">
        <v>0.03</v>
      </c>
      <c r="AB492" s="31" t="n">
        <v>107279.584</v>
      </c>
      <c r="AE492" s="6" t="n">
        <v>107279.584</v>
      </c>
      <c r="AF492" s="6" t="s">
        <v>58</v>
      </c>
      <c r="AG492" s="6" t="n">
        <v>0</v>
      </c>
      <c r="AH492" s="30" t="s">
        <v>1020</v>
      </c>
      <c r="AI492" s="6" t="n">
        <v>0</v>
      </c>
      <c r="AJ492" s="6" t="s">
        <v>333</v>
      </c>
      <c r="AK492" s="6" t="s">
        <v>988</v>
      </c>
      <c r="AL492" s="6" t="s">
        <v>333</v>
      </c>
      <c r="AM492" s="6" t="n">
        <v>0</v>
      </c>
      <c r="AN492" s="6" t="s">
        <v>58</v>
      </c>
      <c r="AQ492" s="6" t="s">
        <v>908</v>
      </c>
      <c r="AR492" s="6" t="s">
        <v>109</v>
      </c>
    </row>
    <row r="493" customFormat="false" ht="15" hidden="false" customHeight="true" outlineLevel="0" collapsed="false">
      <c r="A493" s="27" t="n">
        <v>117173</v>
      </c>
      <c r="B493" s="6" t="s">
        <v>1682</v>
      </c>
      <c r="C493" s="27" t="n">
        <v>117173</v>
      </c>
      <c r="D493" s="6" t="s">
        <v>117</v>
      </c>
      <c r="E493" s="6" t="s">
        <v>1092</v>
      </c>
      <c r="F493" s="6" t="s">
        <v>1093</v>
      </c>
      <c r="G493" s="6" t="s">
        <v>1020</v>
      </c>
      <c r="H493" s="6" t="s">
        <v>1021</v>
      </c>
      <c r="I493" s="6" t="s">
        <v>1094</v>
      </c>
      <c r="J493" s="6" t="s">
        <v>18</v>
      </c>
      <c r="K493" s="6" t="s">
        <v>1028</v>
      </c>
      <c r="L493" s="6" t="s">
        <v>62</v>
      </c>
      <c r="N493" s="6" t="s">
        <v>1023</v>
      </c>
      <c r="O493" s="6" t="s">
        <v>1680</v>
      </c>
      <c r="P493" s="6" t="n">
        <v>1</v>
      </c>
      <c r="R493" s="6" t="s">
        <v>1152</v>
      </c>
      <c r="U493" s="6" t="n">
        <v>119900</v>
      </c>
      <c r="V493" s="28" t="n">
        <v>126350</v>
      </c>
      <c r="W493" s="29" t="n">
        <v>0.1</v>
      </c>
      <c r="X493" s="6" t="n">
        <v>0.055</v>
      </c>
      <c r="Y493" s="29" t="n">
        <v>0.12</v>
      </c>
      <c r="Z493" s="30"/>
      <c r="AA493" s="29" t="n">
        <v>0.04</v>
      </c>
      <c r="AB493" s="31" t="n">
        <v>146465.7</v>
      </c>
      <c r="AE493" s="6" t="n">
        <v>146465.7</v>
      </c>
      <c r="AF493" s="6" t="s">
        <v>58</v>
      </c>
      <c r="AG493" s="6" t="n">
        <v>0</v>
      </c>
      <c r="AH493" s="30" t="s">
        <v>1020</v>
      </c>
      <c r="AI493" s="6" t="n">
        <v>0</v>
      </c>
      <c r="AJ493" s="6" t="s">
        <v>62</v>
      </c>
      <c r="AK493" s="6" t="s">
        <v>988</v>
      </c>
      <c r="AL493" s="6" t="s">
        <v>62</v>
      </c>
      <c r="AM493" s="6" t="n">
        <v>0</v>
      </c>
      <c r="AN493" s="6" t="s">
        <v>58</v>
      </c>
      <c r="AQ493" s="6" t="s">
        <v>910</v>
      </c>
      <c r="AR493" s="6" t="s">
        <v>57</v>
      </c>
    </row>
    <row r="494" customFormat="false" ht="15" hidden="false" customHeight="true" outlineLevel="0" collapsed="false">
      <c r="A494" s="27" t="n">
        <v>113522</v>
      </c>
      <c r="B494" s="6" t="s">
        <v>1683</v>
      </c>
      <c r="C494" s="27" t="n">
        <v>113522</v>
      </c>
      <c r="D494" s="6" t="s">
        <v>912</v>
      </c>
      <c r="E494" s="6" t="s">
        <v>1303</v>
      </c>
      <c r="F494" s="6" t="s">
        <v>1355</v>
      </c>
      <c r="G494" s="6" t="s">
        <v>1073</v>
      </c>
      <c r="H494" s="6" t="s">
        <v>1074</v>
      </c>
      <c r="I494" s="6" t="s">
        <v>1305</v>
      </c>
      <c r="J494" s="6" t="s">
        <v>31</v>
      </c>
      <c r="K494" s="6" t="s">
        <v>1356</v>
      </c>
      <c r="L494" s="6" t="s">
        <v>359</v>
      </c>
      <c r="N494" s="6" t="s">
        <v>109</v>
      </c>
      <c r="O494" s="6" t="s">
        <v>1684</v>
      </c>
      <c r="P494" s="6" t="n">
        <v>1</v>
      </c>
      <c r="R494" s="6" t="s">
        <v>1152</v>
      </c>
      <c r="U494" s="6" t="n">
        <v>96110</v>
      </c>
      <c r="V494" s="28" t="n">
        <v>88421.2</v>
      </c>
      <c r="W494" s="29" t="n">
        <v>0.1</v>
      </c>
      <c r="Y494" s="29" t="n">
        <v>0.05</v>
      </c>
      <c r="Z494" s="30" t="n">
        <v>2910</v>
      </c>
      <c r="AA494" s="29" t="n">
        <v>0.03</v>
      </c>
      <c r="AB494" s="31" t="n">
        <v>107247.016</v>
      </c>
      <c r="AE494" s="6" t="n">
        <v>107247.016</v>
      </c>
      <c r="AF494" s="6" t="s">
        <v>58</v>
      </c>
      <c r="AG494" s="6" t="n">
        <v>0</v>
      </c>
      <c r="AH494" s="30" t="s">
        <v>1214</v>
      </c>
      <c r="AI494" s="6" t="n">
        <v>0</v>
      </c>
      <c r="AJ494" s="6" t="s">
        <v>359</v>
      </c>
      <c r="AK494" s="6" t="s">
        <v>988</v>
      </c>
      <c r="AL494" s="6" t="s">
        <v>359</v>
      </c>
      <c r="AM494" s="6" t="n">
        <v>0</v>
      </c>
      <c r="AQ494" s="6" t="s">
        <v>911</v>
      </c>
      <c r="AR494" s="6" t="s">
        <v>109</v>
      </c>
    </row>
    <row r="495" customFormat="false" ht="15" hidden="false" customHeight="true" outlineLevel="0" collapsed="false">
      <c r="A495" s="27" t="n">
        <v>14100</v>
      </c>
      <c r="B495" s="6" t="s">
        <v>1685</v>
      </c>
      <c r="C495" s="27" t="n">
        <v>14100</v>
      </c>
      <c r="D495" s="6" t="s">
        <v>117</v>
      </c>
      <c r="E495" s="6" t="s">
        <v>1263</v>
      </c>
      <c r="F495" s="6" t="s">
        <v>1261</v>
      </c>
      <c r="G495" s="6" t="s">
        <v>1058</v>
      </c>
      <c r="H495" s="6" t="s">
        <v>19</v>
      </c>
      <c r="I495" s="6" t="s">
        <v>1264</v>
      </c>
      <c r="J495" s="6" t="s">
        <v>19</v>
      </c>
      <c r="K495" s="6" t="s">
        <v>374</v>
      </c>
      <c r="L495" s="6" t="s">
        <v>374</v>
      </c>
      <c r="N495" s="6" t="s">
        <v>1023</v>
      </c>
      <c r="O495" s="6" t="s">
        <v>1684</v>
      </c>
      <c r="P495" s="6" t="n">
        <v>1</v>
      </c>
      <c r="R495" s="6" t="s">
        <v>1152</v>
      </c>
      <c r="U495" s="6" t="n">
        <v>113430</v>
      </c>
      <c r="V495" s="28" t="n">
        <v>113430</v>
      </c>
      <c r="W495" s="29" t="n">
        <v>0.1</v>
      </c>
      <c r="X495" s="6" t="n">
        <v>0.055</v>
      </c>
      <c r="Y495" s="29" t="n">
        <v>0.12</v>
      </c>
      <c r="Z495" s="30"/>
      <c r="AA495" s="29" t="n">
        <v>0.04</v>
      </c>
      <c r="AB495" s="31" t="n">
        <v>149160.45</v>
      </c>
      <c r="AE495" s="6" t="n">
        <v>149160.45</v>
      </c>
      <c r="AF495" s="6" t="s">
        <v>58</v>
      </c>
      <c r="AG495" s="6" t="n">
        <v>0</v>
      </c>
      <c r="AH495" s="30" t="s">
        <v>1206</v>
      </c>
      <c r="AI495" s="6" t="n">
        <v>0</v>
      </c>
      <c r="AJ495" s="6" t="s">
        <v>374</v>
      </c>
      <c r="AK495" s="6" t="s">
        <v>988</v>
      </c>
      <c r="AL495" s="6" t="s">
        <v>374</v>
      </c>
      <c r="AM495" s="6" t="n">
        <v>0</v>
      </c>
      <c r="AQ495" s="6" t="s">
        <v>913</v>
      </c>
      <c r="AR495" s="6" t="s">
        <v>57</v>
      </c>
    </row>
    <row r="496" customFormat="false" ht="15" hidden="false" customHeight="true" outlineLevel="0" collapsed="false">
      <c r="A496" s="27" t="n">
        <v>101157</v>
      </c>
      <c r="B496" s="6" t="s">
        <v>1686</v>
      </c>
      <c r="C496" s="27" t="n">
        <v>101157</v>
      </c>
      <c r="D496" s="6" t="s">
        <v>823</v>
      </c>
      <c r="E496" s="6" t="s">
        <v>1263</v>
      </c>
      <c r="F496" s="6" t="s">
        <v>1261</v>
      </c>
      <c r="G496" s="6" t="s">
        <v>1058</v>
      </c>
      <c r="H496" s="6" t="s">
        <v>19</v>
      </c>
      <c r="I496" s="6" t="s">
        <v>1264</v>
      </c>
      <c r="J496" s="6" t="s">
        <v>19</v>
      </c>
      <c r="K496" s="6" t="s">
        <v>374</v>
      </c>
      <c r="L496" s="6" t="s">
        <v>374</v>
      </c>
      <c r="N496" s="6" t="s">
        <v>1023</v>
      </c>
      <c r="O496" s="6" t="s">
        <v>1684</v>
      </c>
      <c r="P496" s="6" t="n">
        <v>1</v>
      </c>
      <c r="R496" s="6" t="s">
        <v>1152</v>
      </c>
      <c r="U496" s="6" t="n">
        <v>104570</v>
      </c>
      <c r="V496" s="28" t="n">
        <v>104570</v>
      </c>
      <c r="W496" s="29" t="n">
        <v>0.1</v>
      </c>
      <c r="X496" s="6" t="n">
        <v>0.055</v>
      </c>
      <c r="Y496" s="29" t="n">
        <v>0.12</v>
      </c>
      <c r="Z496" s="30"/>
      <c r="AA496" s="29" t="n">
        <v>0.04</v>
      </c>
      <c r="AB496" s="31" t="n">
        <v>137509.55</v>
      </c>
      <c r="AE496" s="6" t="n">
        <v>137509.55</v>
      </c>
      <c r="AF496" s="6" t="s">
        <v>58</v>
      </c>
      <c r="AG496" s="6" t="n">
        <v>0</v>
      </c>
      <c r="AH496" s="30" t="s">
        <v>1206</v>
      </c>
      <c r="AI496" s="6" t="n">
        <v>0</v>
      </c>
      <c r="AJ496" s="6" t="s">
        <v>374</v>
      </c>
      <c r="AK496" s="6" t="s">
        <v>988</v>
      </c>
      <c r="AL496" s="6" t="s">
        <v>374</v>
      </c>
      <c r="AM496" s="6" t="n">
        <v>0</v>
      </c>
      <c r="AQ496" s="6" t="s">
        <v>914</v>
      </c>
      <c r="AR496" s="6" t="s">
        <v>57</v>
      </c>
    </row>
    <row r="497" customFormat="false" ht="15" hidden="false" customHeight="true" outlineLevel="0" collapsed="false">
      <c r="A497" s="27" t="n">
        <v>110204</v>
      </c>
      <c r="B497" s="6" t="s">
        <v>1687</v>
      </c>
      <c r="C497" s="27" t="n">
        <v>110204</v>
      </c>
      <c r="D497" s="6" t="s">
        <v>916</v>
      </c>
      <c r="E497" s="6" t="s">
        <v>1505</v>
      </c>
      <c r="F497" s="6" t="s">
        <v>1659</v>
      </c>
      <c r="G497" s="6" t="s">
        <v>1164</v>
      </c>
      <c r="H497" s="6" t="s">
        <v>160</v>
      </c>
      <c r="I497" s="6" t="s">
        <v>26</v>
      </c>
      <c r="J497" s="6" t="s">
        <v>26</v>
      </c>
      <c r="K497" s="6" t="s">
        <v>26</v>
      </c>
      <c r="L497" s="6" t="s">
        <v>26</v>
      </c>
      <c r="N497" s="6" t="s">
        <v>1023</v>
      </c>
      <c r="O497" s="6" t="s">
        <v>1684</v>
      </c>
      <c r="P497" s="6" t="n">
        <v>1</v>
      </c>
      <c r="R497" s="6" t="s">
        <v>1152</v>
      </c>
      <c r="U497" s="6" t="n">
        <v>88100</v>
      </c>
      <c r="V497" s="28" t="n">
        <v>88100</v>
      </c>
      <c r="W497" s="29" t="n">
        <v>0.1</v>
      </c>
      <c r="X497" s="6" t="n">
        <v>0.055</v>
      </c>
      <c r="Y497" s="29" t="n">
        <v>0.12</v>
      </c>
      <c r="Z497" s="30"/>
      <c r="AA497" s="29" t="n">
        <v>0.04</v>
      </c>
      <c r="AB497" s="31" t="n">
        <v>115851.5</v>
      </c>
      <c r="AE497" s="6" t="n">
        <v>115851.5</v>
      </c>
      <c r="AF497" s="6" t="s">
        <v>58</v>
      </c>
      <c r="AG497" s="6" t="n">
        <v>0</v>
      </c>
      <c r="AH497" s="30" t="s">
        <v>1169</v>
      </c>
      <c r="AI497" s="6" t="n">
        <v>0</v>
      </c>
      <c r="AJ497" s="6" t="s">
        <v>160</v>
      </c>
      <c r="AK497" s="6" t="s">
        <v>988</v>
      </c>
      <c r="AL497" s="6" t="s">
        <v>160</v>
      </c>
      <c r="AM497" s="6" t="n">
        <v>0</v>
      </c>
      <c r="AQ497" s="6" t="s">
        <v>915</v>
      </c>
      <c r="AR497" s="6" t="s">
        <v>57</v>
      </c>
    </row>
    <row r="498" customFormat="false" ht="15" hidden="false" customHeight="true" outlineLevel="0" collapsed="false">
      <c r="A498" s="27" t="n">
        <v>104050</v>
      </c>
      <c r="B498" s="6" t="s">
        <v>1688</v>
      </c>
      <c r="C498" s="27" t="n">
        <v>104050</v>
      </c>
      <c r="D498" s="6" t="s">
        <v>918</v>
      </c>
      <c r="E498" s="6" t="s">
        <v>1476</v>
      </c>
      <c r="F498" s="6" t="s">
        <v>556</v>
      </c>
      <c r="G498" s="6" t="s">
        <v>1073</v>
      </c>
      <c r="H498" s="6" t="s">
        <v>1133</v>
      </c>
      <c r="I498" s="6" t="s">
        <v>1270</v>
      </c>
      <c r="J498" s="6" t="s">
        <v>29</v>
      </c>
      <c r="K498" s="6" t="s">
        <v>554</v>
      </c>
      <c r="L498" s="6" t="s">
        <v>557</v>
      </c>
      <c r="N498" s="6" t="s">
        <v>1023</v>
      </c>
      <c r="O498" s="6" t="s">
        <v>1684</v>
      </c>
      <c r="P498" s="6" t="n">
        <v>1</v>
      </c>
      <c r="R498" s="6" t="s">
        <v>1152</v>
      </c>
      <c r="U498" s="6" t="n">
        <v>110700</v>
      </c>
      <c r="V498" s="28" t="n">
        <v>110700</v>
      </c>
      <c r="W498" s="29" t="n">
        <v>0.1</v>
      </c>
      <c r="X498" s="6" t="n">
        <v>0.055</v>
      </c>
      <c r="Y498" s="29" t="n">
        <v>0.12</v>
      </c>
      <c r="Z498" s="30"/>
      <c r="AA498" s="29" t="n">
        <v>0.04</v>
      </c>
      <c r="AB498" s="31" t="n">
        <v>145570.5</v>
      </c>
      <c r="AE498" s="6" t="n">
        <v>145570.5</v>
      </c>
      <c r="AF498" s="6" t="s">
        <v>58</v>
      </c>
      <c r="AG498" s="6" t="n">
        <v>0</v>
      </c>
      <c r="AH498" s="30" t="s">
        <v>1133</v>
      </c>
      <c r="AI498" s="6" t="n">
        <v>0</v>
      </c>
      <c r="AJ498" s="6" t="s">
        <v>557</v>
      </c>
      <c r="AK498" s="6" t="s">
        <v>988</v>
      </c>
      <c r="AL498" s="6" t="s">
        <v>557</v>
      </c>
      <c r="AM498" s="6" t="n">
        <v>0</v>
      </c>
      <c r="AQ498" s="6" t="s">
        <v>917</v>
      </c>
      <c r="AR498" s="6" t="s">
        <v>57</v>
      </c>
    </row>
    <row r="499" customFormat="false" ht="15" hidden="false" customHeight="true" outlineLevel="0" collapsed="false">
      <c r="A499" s="27" t="n">
        <v>12992</v>
      </c>
      <c r="B499" s="6" t="s">
        <v>1689</v>
      </c>
      <c r="C499" s="27" t="n">
        <v>12992</v>
      </c>
      <c r="D499" s="6" t="s">
        <v>920</v>
      </c>
      <c r="E499" s="6" t="s">
        <v>1459</v>
      </c>
      <c r="F499" s="6" t="s">
        <v>1665</v>
      </c>
      <c r="G499" s="6" t="s">
        <v>1141</v>
      </c>
      <c r="H499" s="6" t="s">
        <v>191</v>
      </c>
      <c r="I499" s="6" t="s">
        <v>26</v>
      </c>
      <c r="J499" s="6" t="s">
        <v>26</v>
      </c>
      <c r="K499" s="6" t="s">
        <v>26</v>
      </c>
      <c r="L499" s="6" t="s">
        <v>26</v>
      </c>
      <c r="N499" s="6" t="s">
        <v>1023</v>
      </c>
      <c r="O499" s="6" t="s">
        <v>1684</v>
      </c>
      <c r="P499" s="6" t="n">
        <v>1</v>
      </c>
      <c r="R499" s="6" t="s">
        <v>1152</v>
      </c>
      <c r="U499" s="6" t="n">
        <v>112310</v>
      </c>
      <c r="V499" s="28" t="n">
        <v>112310</v>
      </c>
      <c r="W499" s="29" t="n">
        <v>0.1</v>
      </c>
      <c r="X499" s="6" t="n">
        <v>0.055</v>
      </c>
      <c r="Y499" s="29" t="n">
        <v>0.12</v>
      </c>
      <c r="Z499" s="30"/>
      <c r="AA499" s="29" t="n">
        <v>0.04</v>
      </c>
      <c r="AB499" s="31" t="n">
        <v>147687.65</v>
      </c>
      <c r="AE499" s="6" t="n">
        <v>147687.65</v>
      </c>
      <c r="AF499" s="6" t="s">
        <v>58</v>
      </c>
      <c r="AG499" s="6" t="n">
        <v>0</v>
      </c>
      <c r="AH499" s="30" t="s">
        <v>1144</v>
      </c>
      <c r="AI499" s="6" t="n">
        <v>0</v>
      </c>
      <c r="AJ499" s="6" t="s">
        <v>191</v>
      </c>
      <c r="AK499" s="6" t="s">
        <v>988</v>
      </c>
      <c r="AL499" s="6" t="s">
        <v>191</v>
      </c>
      <c r="AM499" s="6" t="n">
        <v>0</v>
      </c>
      <c r="AQ499" s="6" t="s">
        <v>919</v>
      </c>
      <c r="AR499" s="6" t="s">
        <v>57</v>
      </c>
    </row>
    <row r="500" customFormat="false" ht="15" hidden="false" customHeight="true" outlineLevel="0" collapsed="false">
      <c r="A500" s="27" t="n">
        <v>97847</v>
      </c>
      <c r="B500" s="6" t="s">
        <v>1690</v>
      </c>
      <c r="C500" s="27" t="n">
        <v>97847</v>
      </c>
      <c r="D500" s="6" t="s">
        <v>117</v>
      </c>
      <c r="E500" s="6" t="s">
        <v>1063</v>
      </c>
      <c r="F500" s="6" t="s">
        <v>337</v>
      </c>
      <c r="G500" s="6" t="s">
        <v>1073</v>
      </c>
      <c r="H500" s="6" t="s">
        <v>1133</v>
      </c>
      <c r="I500" s="6" t="s">
        <v>1301</v>
      </c>
      <c r="J500" s="6" t="s">
        <v>29</v>
      </c>
      <c r="K500" s="6" t="s">
        <v>554</v>
      </c>
      <c r="L500" s="6" t="s">
        <v>769</v>
      </c>
      <c r="N500" s="6" t="s">
        <v>1023</v>
      </c>
      <c r="O500" s="6" t="s">
        <v>1684</v>
      </c>
      <c r="P500" s="6" t="n">
        <v>1</v>
      </c>
      <c r="R500" s="6" t="s">
        <v>1152</v>
      </c>
      <c r="U500" s="6" t="n">
        <v>111090</v>
      </c>
      <c r="V500" s="28" t="n">
        <v>111090</v>
      </c>
      <c r="W500" s="29" t="n">
        <v>0.1</v>
      </c>
      <c r="X500" s="6" t="n">
        <v>0.055</v>
      </c>
      <c r="Y500" s="29" t="n">
        <v>0.12</v>
      </c>
      <c r="Z500" s="30"/>
      <c r="AA500" s="29" t="n">
        <v>0.04</v>
      </c>
      <c r="AB500" s="31" t="n">
        <v>146083.35</v>
      </c>
      <c r="AE500" s="6" t="n">
        <v>146083.35</v>
      </c>
      <c r="AF500" s="6" t="s">
        <v>58</v>
      </c>
      <c r="AG500" s="6" t="n">
        <v>0</v>
      </c>
      <c r="AH500" s="30" t="s">
        <v>1133</v>
      </c>
      <c r="AI500" s="6" t="n">
        <v>0</v>
      </c>
      <c r="AJ500" s="6" t="s">
        <v>769</v>
      </c>
      <c r="AK500" s="6" t="s">
        <v>988</v>
      </c>
      <c r="AL500" s="6" t="s">
        <v>769</v>
      </c>
      <c r="AM500" s="6" t="n">
        <v>0</v>
      </c>
      <c r="AQ500" s="6" t="s">
        <v>921</v>
      </c>
      <c r="AR500" s="6" t="s">
        <v>57</v>
      </c>
    </row>
    <row r="501" customFormat="false" ht="15" hidden="false" customHeight="true" outlineLevel="0" collapsed="false">
      <c r="A501" s="27" t="n">
        <v>113783</v>
      </c>
      <c r="B501" s="6" t="s">
        <v>1691</v>
      </c>
      <c r="C501" s="27" t="n">
        <v>113783</v>
      </c>
      <c r="D501" s="6" t="s">
        <v>923</v>
      </c>
      <c r="E501" s="6" t="s">
        <v>1131</v>
      </c>
      <c r="F501" s="6" t="s">
        <v>1132</v>
      </c>
      <c r="G501" s="6" t="s">
        <v>1073</v>
      </c>
      <c r="H501" s="6" t="s">
        <v>1133</v>
      </c>
      <c r="I501" s="6" t="s">
        <v>1134</v>
      </c>
      <c r="J501" s="6" t="s">
        <v>29</v>
      </c>
      <c r="K501" s="6" t="s">
        <v>1313</v>
      </c>
      <c r="L501" s="6" t="s">
        <v>1314</v>
      </c>
      <c r="N501" s="6" t="s">
        <v>1023</v>
      </c>
      <c r="O501" s="6" t="s">
        <v>1684</v>
      </c>
      <c r="P501" s="6" t="n">
        <v>1</v>
      </c>
      <c r="R501" s="6" t="s">
        <v>1152</v>
      </c>
      <c r="U501" s="6" t="n">
        <v>173230</v>
      </c>
      <c r="V501" s="28" t="n">
        <v>159371.6</v>
      </c>
      <c r="W501" s="29" t="n">
        <v>0.15</v>
      </c>
      <c r="Y501" s="29" t="n">
        <v>0.05</v>
      </c>
      <c r="Z501" s="30" t="n">
        <v>2910</v>
      </c>
      <c r="AA501" s="29" t="n">
        <v>0.03</v>
      </c>
      <c r="AB501" s="31" t="n">
        <v>198937.068</v>
      </c>
      <c r="AE501" s="6" t="n">
        <v>198937.068</v>
      </c>
      <c r="AF501" s="6" t="s">
        <v>58</v>
      </c>
      <c r="AG501" s="6" t="n">
        <v>0</v>
      </c>
      <c r="AH501" s="30" t="s">
        <v>1133</v>
      </c>
      <c r="AI501" s="6" t="n">
        <v>0</v>
      </c>
      <c r="AJ501" s="6" t="s">
        <v>313</v>
      </c>
      <c r="AK501" s="6" t="s">
        <v>988</v>
      </c>
      <c r="AL501" s="6" t="s">
        <v>313</v>
      </c>
      <c r="AM501" s="6" t="n">
        <v>0</v>
      </c>
      <c r="AQ501" s="6" t="s">
        <v>922</v>
      </c>
      <c r="AR501" s="6" t="s">
        <v>57</v>
      </c>
    </row>
    <row r="502" customFormat="false" ht="15" hidden="false" customHeight="true" outlineLevel="0" collapsed="false">
      <c r="A502" s="27" t="n">
        <v>113564</v>
      </c>
      <c r="B502" s="6" t="s">
        <v>1692</v>
      </c>
      <c r="C502" s="27" t="n">
        <v>113564</v>
      </c>
      <c r="D502" s="6" t="s">
        <v>925</v>
      </c>
      <c r="E502" s="6" t="s">
        <v>1219</v>
      </c>
      <c r="F502" s="6" t="s">
        <v>1335</v>
      </c>
      <c r="G502" s="6" t="s">
        <v>1020</v>
      </c>
      <c r="H502" s="6" t="s">
        <v>1066</v>
      </c>
      <c r="I502" s="6" t="s">
        <v>1221</v>
      </c>
      <c r="J502" s="6" t="s">
        <v>32</v>
      </c>
      <c r="K502" s="6" t="s">
        <v>333</v>
      </c>
      <c r="L502" s="6" t="s">
        <v>333</v>
      </c>
      <c r="N502" s="6" t="s">
        <v>109</v>
      </c>
      <c r="O502" s="6" t="s">
        <v>1693</v>
      </c>
      <c r="P502" s="6" t="n">
        <v>1</v>
      </c>
      <c r="R502" s="6" t="s">
        <v>1152</v>
      </c>
      <c r="U502" s="6" t="n">
        <v>94080</v>
      </c>
      <c r="V502" s="28" t="n">
        <v>86553.6</v>
      </c>
      <c r="W502" s="29" t="n">
        <v>0.1</v>
      </c>
      <c r="Y502" s="29" t="n">
        <v>0.05</v>
      </c>
      <c r="Z502" s="30" t="n">
        <v>2910</v>
      </c>
      <c r="AA502" s="29" t="n">
        <v>0.03</v>
      </c>
      <c r="AB502" s="31" t="n">
        <v>105043.248</v>
      </c>
      <c r="AE502" s="6" t="n">
        <v>105043.248</v>
      </c>
      <c r="AF502" s="6" t="s">
        <v>58</v>
      </c>
      <c r="AG502" s="6" t="n">
        <v>0</v>
      </c>
      <c r="AH502" s="30" t="s">
        <v>1020</v>
      </c>
      <c r="AI502" s="6" t="n">
        <v>0</v>
      </c>
      <c r="AJ502" s="6" t="s">
        <v>333</v>
      </c>
      <c r="AK502" s="6" t="s">
        <v>988</v>
      </c>
      <c r="AL502" s="6" t="s">
        <v>333</v>
      </c>
      <c r="AM502" s="6" t="n">
        <v>0</v>
      </c>
      <c r="AN502" s="6" t="s">
        <v>58</v>
      </c>
      <c r="AQ502" s="6" t="s">
        <v>924</v>
      </c>
      <c r="AR502" s="6" t="s">
        <v>109</v>
      </c>
    </row>
    <row r="503" customFormat="false" ht="15" hidden="false" customHeight="true" outlineLevel="0" collapsed="false">
      <c r="A503" s="27" t="n">
        <v>113560</v>
      </c>
      <c r="B503" s="6" t="s">
        <v>1694</v>
      </c>
      <c r="C503" s="27" t="n">
        <v>113560</v>
      </c>
      <c r="D503" s="6" t="s">
        <v>927</v>
      </c>
      <c r="E503" s="6" t="s">
        <v>1216</v>
      </c>
      <c r="F503" s="6" t="s">
        <v>1496</v>
      </c>
      <c r="G503" s="6" t="s">
        <v>1020</v>
      </c>
      <c r="H503" s="6" t="s">
        <v>1066</v>
      </c>
      <c r="I503" s="6" t="s">
        <v>1218</v>
      </c>
      <c r="J503" s="6" t="s">
        <v>32</v>
      </c>
      <c r="K503" s="6" t="s">
        <v>333</v>
      </c>
      <c r="L503" s="6" t="s">
        <v>333</v>
      </c>
      <c r="N503" s="6" t="s">
        <v>109</v>
      </c>
      <c r="O503" s="6" t="s">
        <v>1693</v>
      </c>
      <c r="P503" s="6" t="n">
        <v>1</v>
      </c>
      <c r="R503" s="6" t="s">
        <v>1152</v>
      </c>
      <c r="U503" s="6" t="n">
        <v>95440</v>
      </c>
      <c r="V503" s="28" t="n">
        <v>87804.8</v>
      </c>
      <c r="W503" s="29" t="n">
        <v>0.1</v>
      </c>
      <c r="Y503" s="29" t="n">
        <v>0.05</v>
      </c>
      <c r="Z503" s="30" t="n">
        <v>2910</v>
      </c>
      <c r="AA503" s="29" t="n">
        <v>0.03</v>
      </c>
      <c r="AB503" s="31" t="n">
        <v>106519.664</v>
      </c>
      <c r="AE503" s="6" t="n">
        <v>106519.664</v>
      </c>
      <c r="AF503" s="6" t="s">
        <v>58</v>
      </c>
      <c r="AG503" s="6" t="n">
        <v>0</v>
      </c>
      <c r="AH503" s="30" t="s">
        <v>1020</v>
      </c>
      <c r="AI503" s="6" t="n">
        <v>0</v>
      </c>
      <c r="AJ503" s="6" t="s">
        <v>333</v>
      </c>
      <c r="AK503" s="6" t="s">
        <v>988</v>
      </c>
      <c r="AL503" s="6" t="s">
        <v>333</v>
      </c>
      <c r="AM503" s="6" t="n">
        <v>0</v>
      </c>
      <c r="AN503" s="6" t="s">
        <v>58</v>
      </c>
      <c r="AQ503" s="6" t="s">
        <v>926</v>
      </c>
      <c r="AR503" s="6" t="s">
        <v>109</v>
      </c>
    </row>
    <row r="504" customFormat="false" ht="15" hidden="false" customHeight="true" outlineLevel="0" collapsed="false">
      <c r="A504" s="27" t="n">
        <v>113611</v>
      </c>
      <c r="B504" s="6" t="s">
        <v>1695</v>
      </c>
      <c r="C504" s="27" t="n">
        <v>113611</v>
      </c>
      <c r="D504" s="6" t="s">
        <v>929</v>
      </c>
      <c r="E504" s="6" t="s">
        <v>1216</v>
      </c>
      <c r="F504" s="6" t="s">
        <v>1496</v>
      </c>
      <c r="G504" s="6" t="s">
        <v>1020</v>
      </c>
      <c r="H504" s="6" t="s">
        <v>1066</v>
      </c>
      <c r="I504" s="6" t="s">
        <v>1218</v>
      </c>
      <c r="J504" s="6" t="s">
        <v>32</v>
      </c>
      <c r="K504" s="6" t="s">
        <v>333</v>
      </c>
      <c r="L504" s="6" t="s">
        <v>333</v>
      </c>
      <c r="N504" s="6" t="s">
        <v>109</v>
      </c>
      <c r="O504" s="6" t="s">
        <v>1693</v>
      </c>
      <c r="P504" s="6" t="n">
        <v>1</v>
      </c>
      <c r="R504" s="6" t="s">
        <v>1152</v>
      </c>
      <c r="U504" s="6" t="n">
        <v>93900</v>
      </c>
      <c r="V504" s="28" t="n">
        <v>86388</v>
      </c>
      <c r="W504" s="29" t="n">
        <v>0.1</v>
      </c>
      <c r="Y504" s="29" t="n">
        <v>0.05</v>
      </c>
      <c r="Z504" s="30" t="n">
        <v>2910</v>
      </c>
      <c r="AA504" s="29" t="n">
        <v>0.03</v>
      </c>
      <c r="AB504" s="31" t="n">
        <v>104847.84</v>
      </c>
      <c r="AE504" s="6" t="n">
        <v>104847.84</v>
      </c>
      <c r="AF504" s="6" t="s">
        <v>58</v>
      </c>
      <c r="AG504" s="6" t="n">
        <v>0</v>
      </c>
      <c r="AH504" s="30" t="s">
        <v>1020</v>
      </c>
      <c r="AI504" s="6" t="n">
        <v>0</v>
      </c>
      <c r="AJ504" s="6" t="s">
        <v>333</v>
      </c>
      <c r="AK504" s="6" t="s">
        <v>988</v>
      </c>
      <c r="AL504" s="6" t="s">
        <v>333</v>
      </c>
      <c r="AM504" s="6" t="n">
        <v>0</v>
      </c>
      <c r="AN504" s="6" t="s">
        <v>58</v>
      </c>
      <c r="AQ504" s="6" t="s">
        <v>928</v>
      </c>
      <c r="AR504" s="6" t="s">
        <v>109</v>
      </c>
    </row>
    <row r="505" customFormat="false" ht="15" hidden="false" customHeight="true" outlineLevel="0" collapsed="false">
      <c r="A505" s="27" t="s">
        <v>1138</v>
      </c>
      <c r="B505" s="6" t="s">
        <v>1063</v>
      </c>
      <c r="C505" s="27" t="s">
        <v>1138</v>
      </c>
      <c r="D505" s="6" t="s">
        <v>916</v>
      </c>
      <c r="E505" s="6" t="s">
        <v>1273</v>
      </c>
      <c r="F505" s="6" t="s">
        <v>1346</v>
      </c>
      <c r="G505" s="6" t="s">
        <v>1058</v>
      </c>
      <c r="H505" s="6" t="s">
        <v>20</v>
      </c>
      <c r="I505" s="6" t="s">
        <v>1274</v>
      </c>
      <c r="J505" s="6" t="s">
        <v>20</v>
      </c>
      <c r="K505" s="6" t="s">
        <v>351</v>
      </c>
      <c r="L505" s="6" t="s">
        <v>351</v>
      </c>
      <c r="N505" s="6" t="s">
        <v>1023</v>
      </c>
      <c r="O505" s="6" t="s">
        <v>1696</v>
      </c>
      <c r="P505" s="6" t="n">
        <v>1</v>
      </c>
      <c r="R505" s="6" t="s">
        <v>1143</v>
      </c>
      <c r="U505" s="6" t="n">
        <v>94650</v>
      </c>
      <c r="V505" s="28" t="n">
        <v>94650</v>
      </c>
      <c r="W505" s="29" t="n">
        <v>0.08</v>
      </c>
      <c r="X505" s="6" t="n">
        <v>0.055</v>
      </c>
      <c r="Y505" s="29" t="n">
        <v>0.12</v>
      </c>
      <c r="Z505" s="30"/>
      <c r="AA505" s="29" t="n">
        <v>0.04</v>
      </c>
      <c r="AB505" s="31" t="n">
        <v>122571.75</v>
      </c>
      <c r="AE505" s="6" t="n">
        <v>122571.75</v>
      </c>
      <c r="AF505" s="6" t="s">
        <v>1063</v>
      </c>
      <c r="AG505" s="6" t="n">
        <v>0</v>
      </c>
      <c r="AH505" s="30" t="s">
        <v>20</v>
      </c>
      <c r="AI505" s="6" t="n">
        <v>0</v>
      </c>
      <c r="AJ505" s="6" t="s">
        <v>351</v>
      </c>
      <c r="AK505" s="6" t="s">
        <v>988</v>
      </c>
      <c r="AL505" s="6" t="s">
        <v>351</v>
      </c>
      <c r="AM505" s="6" t="n">
        <v>0</v>
      </c>
      <c r="AQ505" s="6" t="s">
        <v>930</v>
      </c>
      <c r="AR505" s="6" t="s">
        <v>57</v>
      </c>
    </row>
    <row r="506" customFormat="false" ht="15" hidden="false" customHeight="true" outlineLevel="0" collapsed="false">
      <c r="A506" s="27" t="n">
        <v>113502</v>
      </c>
      <c r="B506" s="6" t="s">
        <v>1697</v>
      </c>
      <c r="C506" s="27" t="n">
        <v>113502</v>
      </c>
      <c r="D506" s="6" t="s">
        <v>912</v>
      </c>
      <c r="E506" s="6" t="s">
        <v>1303</v>
      </c>
      <c r="F506" s="6" t="s">
        <v>1355</v>
      </c>
      <c r="G506" s="6" t="s">
        <v>1073</v>
      </c>
      <c r="H506" s="6" t="s">
        <v>1074</v>
      </c>
      <c r="I506" s="6" t="s">
        <v>1305</v>
      </c>
      <c r="J506" s="6" t="s">
        <v>31</v>
      </c>
      <c r="K506" s="6" t="s">
        <v>1356</v>
      </c>
      <c r="L506" s="6" t="s">
        <v>359</v>
      </c>
      <c r="N506" s="6" t="s">
        <v>109</v>
      </c>
      <c r="O506" s="6" t="s">
        <v>1696</v>
      </c>
      <c r="P506" s="6" t="n">
        <v>1</v>
      </c>
      <c r="R506" s="6" t="s">
        <v>1152</v>
      </c>
      <c r="U506" s="6" t="n">
        <v>86540</v>
      </c>
      <c r="V506" s="28" t="n">
        <v>79616.8</v>
      </c>
      <c r="W506" s="29" t="n">
        <v>0.1</v>
      </c>
      <c r="Y506" s="29" t="n">
        <v>0.05</v>
      </c>
      <c r="Z506" s="30" t="n">
        <v>2910</v>
      </c>
      <c r="AA506" s="29" t="n">
        <v>0.03</v>
      </c>
      <c r="AB506" s="31" t="n">
        <v>96857.824</v>
      </c>
      <c r="AE506" s="6" t="n">
        <v>96857.824</v>
      </c>
      <c r="AF506" s="6" t="s">
        <v>58</v>
      </c>
      <c r="AG506" s="6" t="n">
        <v>0</v>
      </c>
      <c r="AH506" s="30" t="s">
        <v>1214</v>
      </c>
      <c r="AI506" s="6" t="n">
        <v>0</v>
      </c>
      <c r="AJ506" s="6" t="s">
        <v>359</v>
      </c>
      <c r="AK506" s="6" t="s">
        <v>988</v>
      </c>
      <c r="AL506" s="6" t="s">
        <v>359</v>
      </c>
      <c r="AM506" s="6" t="n">
        <v>0</v>
      </c>
      <c r="AQ506" s="6" t="s">
        <v>931</v>
      </c>
      <c r="AR506" s="6" t="s">
        <v>109</v>
      </c>
    </row>
    <row r="507" customFormat="false" ht="15" hidden="false" customHeight="true" outlineLevel="0" collapsed="false">
      <c r="A507" s="27" t="n">
        <v>113305</v>
      </c>
      <c r="B507" s="6" t="s">
        <v>1698</v>
      </c>
      <c r="C507" s="27" t="n">
        <v>113305</v>
      </c>
      <c r="D507" s="6" t="s">
        <v>1699</v>
      </c>
      <c r="E507" s="6" t="s">
        <v>1263</v>
      </c>
      <c r="F507" s="6" t="s">
        <v>1261</v>
      </c>
      <c r="G507" s="6" t="s">
        <v>1058</v>
      </c>
      <c r="H507" s="6" t="s">
        <v>19</v>
      </c>
      <c r="I507" s="6" t="s">
        <v>1264</v>
      </c>
      <c r="J507" s="6" t="s">
        <v>19</v>
      </c>
      <c r="K507" s="6" t="s">
        <v>374</v>
      </c>
      <c r="L507" s="6" t="s">
        <v>374</v>
      </c>
      <c r="N507" s="6" t="s">
        <v>109</v>
      </c>
      <c r="O507" s="6" t="s">
        <v>1696</v>
      </c>
      <c r="P507" s="6" t="n">
        <v>1</v>
      </c>
      <c r="R507" s="6" t="s">
        <v>1152</v>
      </c>
      <c r="U507" s="6" t="n">
        <v>77500</v>
      </c>
      <c r="V507" s="28" t="n">
        <v>71300</v>
      </c>
      <c r="W507" s="29" t="n">
        <v>0.1</v>
      </c>
      <c r="Y507" s="29" t="n">
        <v>0.05</v>
      </c>
      <c r="Z507" s="30" t="n">
        <v>2910</v>
      </c>
      <c r="AA507" s="29" t="n">
        <v>0.03</v>
      </c>
      <c r="AB507" s="31" t="n">
        <v>87044</v>
      </c>
      <c r="AE507" s="6" t="n">
        <v>87044</v>
      </c>
      <c r="AF507" s="6" t="s">
        <v>58</v>
      </c>
      <c r="AG507" s="6" t="n">
        <v>0</v>
      </c>
      <c r="AH507" s="30" t="s">
        <v>1206</v>
      </c>
      <c r="AI507" s="6" t="n">
        <v>0</v>
      </c>
      <c r="AJ507" s="6" t="s">
        <v>374</v>
      </c>
      <c r="AK507" s="6" t="s">
        <v>988</v>
      </c>
      <c r="AL507" s="6" t="s">
        <v>374</v>
      </c>
      <c r="AM507" s="6" t="n">
        <v>0</v>
      </c>
      <c r="AQ507" s="6" t="s">
        <v>932</v>
      </c>
      <c r="AR507" s="6" t="s">
        <v>109</v>
      </c>
    </row>
    <row r="508" customFormat="false" ht="15" hidden="false" customHeight="true" outlineLevel="0" collapsed="false">
      <c r="A508" s="27" t="n">
        <v>114366</v>
      </c>
      <c r="B508" s="6" t="s">
        <v>1700</v>
      </c>
      <c r="C508" s="27" t="n">
        <v>114366</v>
      </c>
      <c r="D508" s="6" t="s">
        <v>935</v>
      </c>
      <c r="E508" s="6" t="s">
        <v>1263</v>
      </c>
      <c r="F508" s="6" t="s">
        <v>1261</v>
      </c>
      <c r="G508" s="6" t="s">
        <v>1058</v>
      </c>
      <c r="H508" s="6" t="s">
        <v>19</v>
      </c>
      <c r="I508" s="6" t="s">
        <v>1264</v>
      </c>
      <c r="J508" s="6" t="s">
        <v>19</v>
      </c>
      <c r="K508" s="6" t="s">
        <v>374</v>
      </c>
      <c r="L508" s="6" t="s">
        <v>374</v>
      </c>
      <c r="N508" s="6" t="s">
        <v>1023</v>
      </c>
      <c r="O508" s="6" t="s">
        <v>1696</v>
      </c>
      <c r="P508" s="6" t="n">
        <v>1</v>
      </c>
      <c r="R508" s="6" t="s">
        <v>1152</v>
      </c>
      <c r="U508" s="6" t="n">
        <v>85000</v>
      </c>
      <c r="V508" s="28" t="n">
        <v>85000</v>
      </c>
      <c r="W508" s="29" t="n">
        <v>0.08</v>
      </c>
      <c r="X508" s="6" t="n">
        <v>0.055</v>
      </c>
      <c r="Y508" s="29" t="n">
        <v>0.12</v>
      </c>
      <c r="Z508" s="30"/>
      <c r="AA508" s="29" t="n">
        <v>0.04</v>
      </c>
      <c r="AB508" s="31" t="n">
        <v>110075</v>
      </c>
      <c r="AE508" s="6" t="n">
        <v>110075</v>
      </c>
      <c r="AF508" s="6" t="s">
        <v>58</v>
      </c>
      <c r="AG508" s="6" t="n">
        <v>0</v>
      </c>
      <c r="AH508" s="30" t="s">
        <v>1206</v>
      </c>
      <c r="AI508" s="6" t="n">
        <v>0</v>
      </c>
      <c r="AJ508" s="6" t="s">
        <v>374</v>
      </c>
      <c r="AK508" s="6" t="s">
        <v>988</v>
      </c>
      <c r="AL508" s="6" t="s">
        <v>374</v>
      </c>
      <c r="AM508" s="6" t="n">
        <v>0</v>
      </c>
      <c r="AQ508" s="6" t="s">
        <v>934</v>
      </c>
      <c r="AR508" s="6" t="s">
        <v>57</v>
      </c>
    </row>
    <row r="509" customFormat="false" ht="15" hidden="false" customHeight="true" outlineLevel="0" collapsed="false">
      <c r="A509" s="27" t="n">
        <v>115819</v>
      </c>
      <c r="B509" s="6" t="s">
        <v>1701</v>
      </c>
      <c r="C509" s="27" t="n">
        <v>115819</v>
      </c>
      <c r="D509" s="6" t="s">
        <v>636</v>
      </c>
      <c r="E509" s="6" t="s">
        <v>1291</v>
      </c>
      <c r="F509" s="6" t="s">
        <v>224</v>
      </c>
      <c r="G509" s="6" t="s">
        <v>1073</v>
      </c>
      <c r="H509" s="6" t="s">
        <v>1074</v>
      </c>
      <c r="I509" s="6" t="s">
        <v>1292</v>
      </c>
      <c r="J509" s="6" t="s">
        <v>31</v>
      </c>
      <c r="K509" s="6" t="s">
        <v>380</v>
      </c>
      <c r="L509" s="6" t="s">
        <v>380</v>
      </c>
      <c r="N509" s="6" t="s">
        <v>109</v>
      </c>
      <c r="O509" s="6" t="s">
        <v>1696</v>
      </c>
      <c r="P509" s="6" t="n">
        <v>1</v>
      </c>
      <c r="R509" s="6" t="s">
        <v>1152</v>
      </c>
      <c r="U509" s="6" t="n">
        <v>132710</v>
      </c>
      <c r="V509" s="28" t="n">
        <v>132710</v>
      </c>
      <c r="W509" s="29" t="n">
        <v>0.1</v>
      </c>
      <c r="X509" s="6" t="n">
        <v>0.055</v>
      </c>
      <c r="Y509" s="29" t="n">
        <v>0.12</v>
      </c>
      <c r="Z509" s="30"/>
      <c r="AA509" s="29" t="n">
        <v>0.04</v>
      </c>
      <c r="AB509" s="31" t="n">
        <v>174513.65</v>
      </c>
      <c r="AE509" s="6" t="n">
        <v>174513.65</v>
      </c>
      <c r="AF509" s="6" t="s">
        <v>58</v>
      </c>
      <c r="AG509" s="6" t="n">
        <v>0</v>
      </c>
      <c r="AH509" s="30" t="s">
        <v>1214</v>
      </c>
      <c r="AI509" s="6" t="n">
        <v>0</v>
      </c>
      <c r="AJ509" s="6" t="s">
        <v>380</v>
      </c>
      <c r="AK509" s="6" t="s">
        <v>988</v>
      </c>
      <c r="AL509" s="6" t="s">
        <v>380</v>
      </c>
      <c r="AM509" s="6" t="n">
        <v>0</v>
      </c>
      <c r="AQ509" s="6" t="s">
        <v>936</v>
      </c>
      <c r="AR509" s="6" t="s">
        <v>109</v>
      </c>
    </row>
    <row r="510" customFormat="false" ht="15" hidden="false" customHeight="true" outlineLevel="0" collapsed="false">
      <c r="A510" s="27" t="n">
        <v>113558</v>
      </c>
      <c r="B510" s="6" t="s">
        <v>1702</v>
      </c>
      <c r="C510" s="27" t="n">
        <v>113558</v>
      </c>
      <c r="D510" s="6" t="s">
        <v>627</v>
      </c>
      <c r="E510" s="6" t="s">
        <v>1291</v>
      </c>
      <c r="F510" s="6" t="s">
        <v>224</v>
      </c>
      <c r="G510" s="6" t="s">
        <v>1073</v>
      </c>
      <c r="H510" s="6" t="s">
        <v>1074</v>
      </c>
      <c r="I510" s="6" t="s">
        <v>1292</v>
      </c>
      <c r="J510" s="6" t="s">
        <v>31</v>
      </c>
      <c r="K510" s="6" t="s">
        <v>380</v>
      </c>
      <c r="L510" s="6" t="s">
        <v>380</v>
      </c>
      <c r="N510" s="6" t="s">
        <v>109</v>
      </c>
      <c r="O510" s="6" t="s">
        <v>1696</v>
      </c>
      <c r="P510" s="6" t="n">
        <v>1</v>
      </c>
      <c r="R510" s="6" t="s">
        <v>1152</v>
      </c>
      <c r="U510" s="6" t="n">
        <v>142360</v>
      </c>
      <c r="V510" s="28" t="n">
        <v>142360</v>
      </c>
      <c r="W510" s="29" t="n">
        <v>0.12</v>
      </c>
      <c r="X510" s="6" t="n">
        <v>0.055</v>
      </c>
      <c r="Y510" s="29" t="n">
        <v>0.12</v>
      </c>
      <c r="Z510" s="30"/>
      <c r="AA510" s="29" t="n">
        <v>0.04</v>
      </c>
      <c r="AB510" s="31" t="n">
        <v>190050.6</v>
      </c>
      <c r="AE510" s="6" t="n">
        <v>190050.6</v>
      </c>
      <c r="AF510" s="6" t="s">
        <v>58</v>
      </c>
      <c r="AG510" s="6" t="n">
        <v>0</v>
      </c>
      <c r="AH510" s="30" t="s">
        <v>1214</v>
      </c>
      <c r="AI510" s="6" t="n">
        <v>0</v>
      </c>
      <c r="AJ510" s="6" t="s">
        <v>380</v>
      </c>
      <c r="AK510" s="6" t="s">
        <v>988</v>
      </c>
      <c r="AL510" s="6" t="s">
        <v>380</v>
      </c>
      <c r="AM510" s="6" t="n">
        <v>0</v>
      </c>
      <c r="AQ510" s="6" t="s">
        <v>937</v>
      </c>
      <c r="AR510" s="6" t="s">
        <v>109</v>
      </c>
    </row>
    <row r="511" customFormat="false" ht="15" hidden="false" customHeight="true" outlineLevel="0" collapsed="false">
      <c r="A511" s="27" t="n">
        <v>113561</v>
      </c>
      <c r="B511" s="6" t="s">
        <v>1703</v>
      </c>
      <c r="C511" s="27" t="n">
        <v>113561</v>
      </c>
      <c r="D511" s="6" t="s">
        <v>623</v>
      </c>
      <c r="E511" s="6" t="s">
        <v>1260</v>
      </c>
      <c r="F511" s="6" t="s">
        <v>1261</v>
      </c>
      <c r="G511" s="6" t="s">
        <v>1058</v>
      </c>
      <c r="H511" s="6" t="s">
        <v>19</v>
      </c>
      <c r="I511" s="6" t="s">
        <v>1262</v>
      </c>
      <c r="J511" s="6" t="s">
        <v>19</v>
      </c>
      <c r="K511" s="6" t="s">
        <v>1374</v>
      </c>
      <c r="L511" s="6" t="s">
        <v>390</v>
      </c>
      <c r="N511" s="6" t="s">
        <v>109</v>
      </c>
      <c r="O511" s="6" t="s">
        <v>1696</v>
      </c>
      <c r="P511" s="6" t="n">
        <v>1</v>
      </c>
      <c r="R511" s="6" t="s">
        <v>1152</v>
      </c>
      <c r="U511" s="6" t="n">
        <v>90970</v>
      </c>
      <c r="V511" s="28" t="n">
        <v>83692.4</v>
      </c>
      <c r="W511" s="29" t="n">
        <v>0.1</v>
      </c>
      <c r="Y511" s="29" t="n">
        <v>0.05</v>
      </c>
      <c r="Z511" s="30" t="n">
        <v>2910</v>
      </c>
      <c r="AA511" s="29" t="n">
        <v>0.03</v>
      </c>
      <c r="AB511" s="31" t="n">
        <v>101667.032</v>
      </c>
      <c r="AE511" s="6" t="n">
        <v>101667.032</v>
      </c>
      <c r="AF511" s="6" t="s">
        <v>58</v>
      </c>
      <c r="AG511" s="6" t="n">
        <v>0</v>
      </c>
      <c r="AH511" s="30" t="s">
        <v>1206</v>
      </c>
      <c r="AI511" s="6" t="n">
        <v>0</v>
      </c>
      <c r="AJ511" s="6" t="s">
        <v>390</v>
      </c>
      <c r="AK511" s="6" t="s">
        <v>988</v>
      </c>
      <c r="AL511" s="6" t="s">
        <v>390</v>
      </c>
      <c r="AM511" s="6" t="n">
        <v>0</v>
      </c>
      <c r="AQ511" s="6" t="s">
        <v>938</v>
      </c>
      <c r="AR511" s="6" t="s">
        <v>109</v>
      </c>
    </row>
    <row r="512" customFormat="false" ht="15" hidden="false" customHeight="true" outlineLevel="0" collapsed="false">
      <c r="A512" s="27" t="n">
        <v>113572</v>
      </c>
      <c r="B512" s="6" t="s">
        <v>1704</v>
      </c>
      <c r="C512" s="27" t="n">
        <v>113572</v>
      </c>
      <c r="D512" s="6" t="s">
        <v>940</v>
      </c>
      <c r="E512" s="6" t="s">
        <v>1400</v>
      </c>
      <c r="F512" s="6" t="s">
        <v>1401</v>
      </c>
      <c r="G512" s="6" t="s">
        <v>1076</v>
      </c>
      <c r="H512" s="6" t="s">
        <v>28</v>
      </c>
      <c r="I512" s="6" t="s">
        <v>1318</v>
      </c>
      <c r="J512" s="6" t="s">
        <v>24</v>
      </c>
      <c r="K512" s="6" t="s">
        <v>426</v>
      </c>
      <c r="L512" s="6" t="s">
        <v>426</v>
      </c>
      <c r="N512" s="6" t="s">
        <v>109</v>
      </c>
      <c r="O512" s="6" t="s">
        <v>1696</v>
      </c>
      <c r="P512" s="6" t="n">
        <v>1</v>
      </c>
      <c r="R512" s="6" t="s">
        <v>1152</v>
      </c>
      <c r="U512" s="6" t="n">
        <v>96270</v>
      </c>
      <c r="V512" s="28" t="n">
        <v>88568.4</v>
      </c>
      <c r="W512" s="29" t="n">
        <v>0.1</v>
      </c>
      <c r="Y512" s="29" t="n">
        <v>0.05</v>
      </c>
      <c r="Z512" s="30" t="n">
        <v>2910</v>
      </c>
      <c r="AA512" s="29" t="n">
        <v>0.03</v>
      </c>
      <c r="AB512" s="31" t="n">
        <v>107420.712</v>
      </c>
      <c r="AE512" s="6" t="n">
        <v>107420.712</v>
      </c>
      <c r="AF512" s="6" t="s">
        <v>58</v>
      </c>
      <c r="AG512" s="6" t="n">
        <v>0</v>
      </c>
      <c r="AH512" s="30" t="s">
        <v>24</v>
      </c>
      <c r="AI512" s="6" t="n">
        <v>0</v>
      </c>
      <c r="AJ512" s="6" t="s">
        <v>426</v>
      </c>
      <c r="AK512" s="6" t="s">
        <v>988</v>
      </c>
      <c r="AL512" s="6" t="s">
        <v>426</v>
      </c>
      <c r="AM512" s="6" t="n">
        <v>0</v>
      </c>
      <c r="AQ512" s="6" t="s">
        <v>939</v>
      </c>
      <c r="AR512" s="6" t="s">
        <v>109</v>
      </c>
    </row>
    <row r="513" customFormat="false" ht="15" hidden="false" customHeight="true" outlineLevel="0" collapsed="false">
      <c r="A513" s="27" t="n">
        <v>114354</v>
      </c>
      <c r="B513" s="6" t="s">
        <v>1705</v>
      </c>
      <c r="C513" s="27" t="n">
        <v>114354</v>
      </c>
      <c r="D513" s="6" t="s">
        <v>935</v>
      </c>
      <c r="E513" s="6" t="s">
        <v>1504</v>
      </c>
      <c r="F513" s="6" t="s">
        <v>1163</v>
      </c>
      <c r="G513" s="6" t="s">
        <v>1164</v>
      </c>
      <c r="H513" s="6" t="s">
        <v>160</v>
      </c>
      <c r="I513" s="6" t="s">
        <v>26</v>
      </c>
      <c r="J513" s="6" t="s">
        <v>26</v>
      </c>
      <c r="K513" s="6" t="s">
        <v>26</v>
      </c>
      <c r="L513" s="6" t="s">
        <v>26</v>
      </c>
      <c r="N513" s="6" t="s">
        <v>1023</v>
      </c>
      <c r="O513" s="6" t="s">
        <v>1696</v>
      </c>
      <c r="P513" s="6" t="n">
        <v>1</v>
      </c>
      <c r="R513" s="6" t="s">
        <v>1152</v>
      </c>
      <c r="U513" s="6" t="n">
        <v>85000</v>
      </c>
      <c r="V513" s="28" t="n">
        <v>85000</v>
      </c>
      <c r="W513" s="29" t="n">
        <v>0.08</v>
      </c>
      <c r="X513" s="6" t="n">
        <v>0.055</v>
      </c>
      <c r="Y513" s="29" t="n">
        <v>0.12</v>
      </c>
      <c r="Z513" s="30"/>
      <c r="AA513" s="29" t="n">
        <v>0.04</v>
      </c>
      <c r="AB513" s="31" t="n">
        <v>110075</v>
      </c>
      <c r="AE513" s="6" t="n">
        <v>110075</v>
      </c>
      <c r="AF513" s="6" t="s">
        <v>58</v>
      </c>
      <c r="AG513" s="6" t="n">
        <v>0</v>
      </c>
      <c r="AH513" s="30" t="s">
        <v>1169</v>
      </c>
      <c r="AI513" s="6" t="n">
        <v>0</v>
      </c>
      <c r="AJ513" s="6" t="s">
        <v>160</v>
      </c>
      <c r="AK513" s="6" t="s">
        <v>988</v>
      </c>
      <c r="AL513" s="6" t="s">
        <v>160</v>
      </c>
      <c r="AM513" s="6" t="n">
        <v>0</v>
      </c>
      <c r="AQ513" s="6" t="s">
        <v>941</v>
      </c>
      <c r="AR513" s="6" t="s">
        <v>57</v>
      </c>
    </row>
    <row r="514" customFormat="false" ht="15" hidden="false" customHeight="true" outlineLevel="0" collapsed="false">
      <c r="A514" s="27" t="n">
        <v>113591</v>
      </c>
      <c r="B514" s="6" t="s">
        <v>1706</v>
      </c>
      <c r="C514" s="27" t="n">
        <v>113591</v>
      </c>
      <c r="D514" s="6" t="s">
        <v>661</v>
      </c>
      <c r="E514" s="6" t="s">
        <v>1072</v>
      </c>
      <c r="F514" s="6" t="s">
        <v>270</v>
      </c>
      <c r="G514" s="6" t="s">
        <v>1073</v>
      </c>
      <c r="H514" s="6" t="s">
        <v>1074</v>
      </c>
      <c r="I514" s="6" t="s">
        <v>1075</v>
      </c>
      <c r="J514" s="6" t="s">
        <v>31</v>
      </c>
      <c r="K514" s="6" t="s">
        <v>1213</v>
      </c>
      <c r="L514" s="6" t="s">
        <v>1456</v>
      </c>
      <c r="N514" s="6" t="s">
        <v>109</v>
      </c>
      <c r="O514" s="6" t="s">
        <v>1696</v>
      </c>
      <c r="P514" s="6" t="n">
        <v>1</v>
      </c>
      <c r="R514" s="6" t="s">
        <v>1152</v>
      </c>
      <c r="U514" s="6" t="n">
        <v>159010</v>
      </c>
      <c r="V514" s="28" t="n">
        <v>159010</v>
      </c>
      <c r="W514" s="29" t="n">
        <v>0.12</v>
      </c>
      <c r="X514" s="6" t="n">
        <v>0.055</v>
      </c>
      <c r="Y514" s="29" t="n">
        <v>0.12</v>
      </c>
      <c r="Z514" s="30"/>
      <c r="AA514" s="29" t="n">
        <v>0.04</v>
      </c>
      <c r="AB514" s="31" t="n">
        <v>212278.35</v>
      </c>
      <c r="AE514" s="6" t="n">
        <v>212278.35</v>
      </c>
      <c r="AF514" s="6" t="s">
        <v>58</v>
      </c>
      <c r="AG514" s="6" t="n">
        <v>0</v>
      </c>
      <c r="AH514" s="30" t="s">
        <v>1214</v>
      </c>
      <c r="AI514" s="6" t="n">
        <v>0</v>
      </c>
      <c r="AJ514" s="6" t="s">
        <v>516</v>
      </c>
      <c r="AK514" s="6" t="s">
        <v>988</v>
      </c>
      <c r="AL514" s="6" t="s">
        <v>516</v>
      </c>
      <c r="AM514" s="6" t="n">
        <v>0</v>
      </c>
      <c r="AQ514" s="6" t="s">
        <v>942</v>
      </c>
      <c r="AR514" s="6" t="s">
        <v>109</v>
      </c>
    </row>
    <row r="515" customFormat="false" ht="15" hidden="false" customHeight="true" outlineLevel="0" collapsed="false">
      <c r="A515" s="27" t="n">
        <v>117353</v>
      </c>
      <c r="B515" s="6" t="s">
        <v>1707</v>
      </c>
      <c r="C515" s="27" t="n">
        <v>117353</v>
      </c>
      <c r="D515" s="6" t="s">
        <v>916</v>
      </c>
      <c r="E515" s="6" t="s">
        <v>1505</v>
      </c>
      <c r="F515" s="6" t="s">
        <v>1659</v>
      </c>
      <c r="G515" s="6" t="s">
        <v>1164</v>
      </c>
      <c r="H515" s="6" t="s">
        <v>160</v>
      </c>
      <c r="I515" s="6" t="s">
        <v>26</v>
      </c>
      <c r="J515" s="6" t="s">
        <v>26</v>
      </c>
      <c r="K515" s="6" t="s">
        <v>26</v>
      </c>
      <c r="L515" s="6" t="s">
        <v>26</v>
      </c>
      <c r="N515" s="6" t="s">
        <v>109</v>
      </c>
      <c r="O515" s="6" t="s">
        <v>1696</v>
      </c>
      <c r="P515" s="6" t="n">
        <v>1</v>
      </c>
      <c r="R515" s="6" t="s">
        <v>1322</v>
      </c>
      <c r="U515" s="6" t="n">
        <v>80000</v>
      </c>
      <c r="V515" s="28" t="n">
        <v>73600</v>
      </c>
      <c r="W515" s="29" t="n">
        <v>0.1</v>
      </c>
      <c r="Y515" s="29" t="n">
        <v>0.05</v>
      </c>
      <c r="Z515" s="30" t="n">
        <v>2910</v>
      </c>
      <c r="AA515" s="29" t="n">
        <v>0.03</v>
      </c>
      <c r="AB515" s="31" t="n">
        <v>89758</v>
      </c>
      <c r="AE515" s="6" t="n">
        <v>89758</v>
      </c>
      <c r="AF515" s="6" t="s">
        <v>58</v>
      </c>
      <c r="AG515" s="6" t="n">
        <v>0</v>
      </c>
      <c r="AH515" s="30" t="s">
        <v>1169</v>
      </c>
      <c r="AI515" s="6" t="n">
        <v>0</v>
      </c>
      <c r="AJ515" s="6" t="s">
        <v>160</v>
      </c>
      <c r="AK515" s="6" t="s">
        <v>988</v>
      </c>
      <c r="AL515" s="6" t="s">
        <v>160</v>
      </c>
      <c r="AM515" s="6" t="n">
        <v>0</v>
      </c>
      <c r="AQ515" s="6" t="s">
        <v>943</v>
      </c>
      <c r="AR515" s="6" t="s">
        <v>109</v>
      </c>
    </row>
    <row r="516" customFormat="false" ht="15" hidden="false" customHeight="true" outlineLevel="0" collapsed="false">
      <c r="A516" s="27" t="n">
        <v>113569</v>
      </c>
      <c r="B516" s="6" t="s">
        <v>1708</v>
      </c>
      <c r="C516" s="27" t="n">
        <v>113569</v>
      </c>
      <c r="D516" s="6" t="s">
        <v>916</v>
      </c>
      <c r="E516" s="6" t="s">
        <v>1505</v>
      </c>
      <c r="F516" s="6" t="s">
        <v>1659</v>
      </c>
      <c r="G516" s="6" t="s">
        <v>1164</v>
      </c>
      <c r="H516" s="6" t="s">
        <v>160</v>
      </c>
      <c r="I516" s="6" t="s">
        <v>26</v>
      </c>
      <c r="J516" s="6" t="s">
        <v>26</v>
      </c>
      <c r="K516" s="6" t="s">
        <v>26</v>
      </c>
      <c r="L516" s="6" t="s">
        <v>26</v>
      </c>
      <c r="N516" s="6" t="s">
        <v>109</v>
      </c>
      <c r="O516" s="6" t="s">
        <v>1696</v>
      </c>
      <c r="P516" s="6" t="n">
        <v>1</v>
      </c>
      <c r="R516" s="6" t="s">
        <v>1152</v>
      </c>
      <c r="U516" s="6" t="n">
        <v>86890</v>
      </c>
      <c r="V516" s="28" t="n">
        <v>79938.8</v>
      </c>
      <c r="W516" s="29" t="n">
        <v>0.1</v>
      </c>
      <c r="Y516" s="29" t="n">
        <v>0.05</v>
      </c>
      <c r="Z516" s="30" t="n">
        <v>2910</v>
      </c>
      <c r="AA516" s="29" t="n">
        <v>0.03</v>
      </c>
      <c r="AB516" s="31" t="n">
        <v>97237.784</v>
      </c>
      <c r="AE516" s="6" t="n">
        <v>97237.784</v>
      </c>
      <c r="AF516" s="6" t="s">
        <v>58</v>
      </c>
      <c r="AG516" s="6" t="n">
        <v>0</v>
      </c>
      <c r="AH516" s="30" t="s">
        <v>1169</v>
      </c>
      <c r="AI516" s="6" t="n">
        <v>0</v>
      </c>
      <c r="AJ516" s="6" t="s">
        <v>160</v>
      </c>
      <c r="AK516" s="6" t="s">
        <v>988</v>
      </c>
      <c r="AL516" s="6" t="s">
        <v>160</v>
      </c>
      <c r="AM516" s="6" t="n">
        <v>0</v>
      </c>
      <c r="AQ516" s="6" t="s">
        <v>944</v>
      </c>
      <c r="AR516" s="6" t="s">
        <v>109</v>
      </c>
    </row>
    <row r="517" customFormat="false" ht="15" hidden="false" customHeight="true" outlineLevel="0" collapsed="false">
      <c r="A517" s="27" t="s">
        <v>1138</v>
      </c>
      <c r="B517" s="6" t="s">
        <v>1709</v>
      </c>
      <c r="C517" s="27" t="s">
        <v>1138</v>
      </c>
      <c r="D517" s="6" t="s">
        <v>916</v>
      </c>
      <c r="E517" s="6" t="s">
        <v>1505</v>
      </c>
      <c r="G517" s="6" t="s">
        <v>1164</v>
      </c>
      <c r="H517" s="6" t="s">
        <v>160</v>
      </c>
      <c r="I517" s="6" t="s">
        <v>26</v>
      </c>
      <c r="J517" s="6" t="s">
        <v>26</v>
      </c>
      <c r="K517" s="6" t="s">
        <v>26</v>
      </c>
      <c r="L517" s="6" t="s">
        <v>26</v>
      </c>
      <c r="N517" s="6" t="s">
        <v>1023</v>
      </c>
      <c r="O517" s="6" t="s">
        <v>1696</v>
      </c>
      <c r="P517" s="6" t="n">
        <v>1</v>
      </c>
      <c r="R517" s="6" t="s">
        <v>1143</v>
      </c>
      <c r="U517" s="6" t="n">
        <v>94650</v>
      </c>
      <c r="V517" s="28" t="n">
        <v>94650</v>
      </c>
      <c r="W517" s="29" t="n">
        <v>0.08</v>
      </c>
      <c r="X517" s="6" t="n">
        <v>0.055</v>
      </c>
      <c r="Y517" s="29" t="n">
        <v>0.12</v>
      </c>
      <c r="Z517" s="30"/>
      <c r="AA517" s="29" t="n">
        <v>0.04</v>
      </c>
      <c r="AB517" s="31" t="n">
        <v>122571.75</v>
      </c>
      <c r="AE517" s="6" t="n">
        <v>122571.75</v>
      </c>
      <c r="AF517" s="6" t="s">
        <v>1063</v>
      </c>
      <c r="AG517" s="6" t="n">
        <v>0</v>
      </c>
      <c r="AH517" s="30" t="s">
        <v>1169</v>
      </c>
      <c r="AI517" s="6" t="n">
        <v>0</v>
      </c>
      <c r="AJ517" s="6" t="s">
        <v>160</v>
      </c>
      <c r="AK517" s="6" t="s">
        <v>988</v>
      </c>
      <c r="AL517" s="6" t="s">
        <v>160</v>
      </c>
      <c r="AM517" s="6" t="n">
        <v>0</v>
      </c>
      <c r="AQ517" s="6" t="s">
        <v>945</v>
      </c>
      <c r="AR517" s="6" t="s">
        <v>57</v>
      </c>
    </row>
    <row r="518" customFormat="false" ht="15" hidden="false" customHeight="true" outlineLevel="0" collapsed="false">
      <c r="A518" s="27" t="n">
        <v>113503</v>
      </c>
      <c r="B518" s="6" t="s">
        <v>1710</v>
      </c>
      <c r="C518" s="27" t="n">
        <v>113503</v>
      </c>
      <c r="D518" s="6" t="s">
        <v>138</v>
      </c>
      <c r="E518" s="6" t="s">
        <v>1063</v>
      </c>
      <c r="F518" s="6" t="s">
        <v>1451</v>
      </c>
      <c r="G518" s="6" t="s">
        <v>1073</v>
      </c>
      <c r="H518" s="6" t="s">
        <v>1074</v>
      </c>
      <c r="I518" s="6" t="s">
        <v>1306</v>
      </c>
      <c r="J518" s="6" t="s">
        <v>31</v>
      </c>
      <c r="K518" s="6" t="s">
        <v>1356</v>
      </c>
      <c r="L518" s="6" t="s">
        <v>1358</v>
      </c>
      <c r="N518" s="6" t="s">
        <v>109</v>
      </c>
      <c r="O518" s="6" t="s">
        <v>1696</v>
      </c>
      <c r="P518" s="6" t="n">
        <v>1</v>
      </c>
      <c r="R518" s="6" t="s">
        <v>1152</v>
      </c>
      <c r="U518" s="6" t="n">
        <v>100900</v>
      </c>
      <c r="V518" s="28" t="n">
        <v>92828</v>
      </c>
      <c r="W518" s="29" t="n">
        <v>0.1</v>
      </c>
      <c r="Y518" s="29" t="n">
        <v>0.05</v>
      </c>
      <c r="Z518" s="30" t="n">
        <v>2910</v>
      </c>
      <c r="AA518" s="29" t="n">
        <v>0.03</v>
      </c>
      <c r="AB518" s="31" t="n">
        <v>112447.04</v>
      </c>
      <c r="AE518" s="6" t="n">
        <v>112447.04</v>
      </c>
      <c r="AF518" s="6" t="s">
        <v>58</v>
      </c>
      <c r="AG518" s="6" t="n">
        <v>0</v>
      </c>
      <c r="AH518" s="30" t="s">
        <v>1214</v>
      </c>
      <c r="AI518" s="6" t="n">
        <v>0</v>
      </c>
      <c r="AJ518" s="6" t="s">
        <v>361</v>
      </c>
      <c r="AK518" s="6" t="s">
        <v>988</v>
      </c>
      <c r="AL518" s="6" t="s">
        <v>361</v>
      </c>
      <c r="AM518" s="6" t="n">
        <v>0</v>
      </c>
      <c r="AQ518" s="6" t="s">
        <v>946</v>
      </c>
      <c r="AR518" s="6" t="s">
        <v>109</v>
      </c>
    </row>
    <row r="519" customFormat="false" ht="15" hidden="false" customHeight="true" outlineLevel="0" collapsed="false">
      <c r="A519" s="27" t="n">
        <v>113505</v>
      </c>
      <c r="B519" s="6" t="s">
        <v>1711</v>
      </c>
      <c r="C519" s="27" t="n">
        <v>113505</v>
      </c>
      <c r="D519" s="6" t="s">
        <v>623</v>
      </c>
      <c r="E519" s="6" t="s">
        <v>1063</v>
      </c>
      <c r="F519" s="6" t="s">
        <v>224</v>
      </c>
      <c r="G519" s="6" t="s">
        <v>1058</v>
      </c>
      <c r="H519" s="6" t="s">
        <v>20</v>
      </c>
      <c r="I519" s="6" t="s">
        <v>1469</v>
      </c>
      <c r="J519" s="6" t="s">
        <v>20</v>
      </c>
      <c r="K519" s="6" t="s">
        <v>275</v>
      </c>
      <c r="L519" s="6" t="s">
        <v>275</v>
      </c>
      <c r="N519" s="6" t="s">
        <v>109</v>
      </c>
      <c r="O519" s="6" t="s">
        <v>1696</v>
      </c>
      <c r="P519" s="6" t="n">
        <v>1</v>
      </c>
      <c r="R519" s="6" t="s">
        <v>1152</v>
      </c>
      <c r="U519" s="6" t="n">
        <v>90760</v>
      </c>
      <c r="V519" s="28" t="n">
        <v>83499.2</v>
      </c>
      <c r="W519" s="29" t="n">
        <v>0.1</v>
      </c>
      <c r="Y519" s="29" t="n">
        <v>0.05</v>
      </c>
      <c r="Z519" s="30" t="n">
        <v>2910</v>
      </c>
      <c r="AA519" s="29" t="n">
        <v>0.03</v>
      </c>
      <c r="AB519" s="31" t="n">
        <v>101439.056</v>
      </c>
      <c r="AE519" s="6" t="n">
        <v>101439.056</v>
      </c>
      <c r="AF519" s="6" t="s">
        <v>58</v>
      </c>
      <c r="AG519" s="6" t="n">
        <v>0</v>
      </c>
      <c r="AH519" s="30" t="s">
        <v>20</v>
      </c>
      <c r="AI519" s="6" t="n">
        <v>0</v>
      </c>
      <c r="AJ519" s="6" t="s">
        <v>275</v>
      </c>
      <c r="AK519" s="6" t="s">
        <v>988</v>
      </c>
      <c r="AL519" s="6" t="s">
        <v>275</v>
      </c>
      <c r="AM519" s="6" t="n">
        <v>0</v>
      </c>
      <c r="AQ519" s="6" t="s">
        <v>947</v>
      </c>
      <c r="AR519" s="6" t="s">
        <v>109</v>
      </c>
    </row>
    <row r="520" customFormat="false" ht="15" hidden="false" customHeight="true" outlineLevel="0" collapsed="false">
      <c r="A520" s="27" t="n">
        <v>116998</v>
      </c>
      <c r="B520" s="6" t="s">
        <v>1712</v>
      </c>
      <c r="C520" s="27" t="n">
        <v>116998</v>
      </c>
      <c r="D520" s="6" t="s">
        <v>636</v>
      </c>
      <c r="E520" s="6" t="s">
        <v>1291</v>
      </c>
      <c r="F520" s="6" t="s">
        <v>224</v>
      </c>
      <c r="G520" s="6" t="s">
        <v>1073</v>
      </c>
      <c r="H520" s="6" t="s">
        <v>1074</v>
      </c>
      <c r="I520" s="6" t="s">
        <v>1292</v>
      </c>
      <c r="J520" s="6" t="s">
        <v>31</v>
      </c>
      <c r="K520" s="6" t="s">
        <v>380</v>
      </c>
      <c r="L520" s="6" t="s">
        <v>380</v>
      </c>
      <c r="N520" s="6" t="s">
        <v>109</v>
      </c>
      <c r="O520" s="6" t="s">
        <v>1713</v>
      </c>
      <c r="P520" s="6" t="n">
        <v>1</v>
      </c>
      <c r="R520" s="6" t="s">
        <v>1152</v>
      </c>
      <c r="U520" s="6" t="n">
        <v>105000</v>
      </c>
      <c r="V520" s="28" t="n">
        <v>96600</v>
      </c>
      <c r="W520" s="29" t="n">
        <v>0.1</v>
      </c>
      <c r="Y520" s="29" t="n">
        <v>0.05</v>
      </c>
      <c r="Z520" s="30" t="n">
        <v>2910</v>
      </c>
      <c r="AA520" s="29" t="n">
        <v>0.03</v>
      </c>
      <c r="AB520" s="31" t="n">
        <v>116898</v>
      </c>
      <c r="AE520" s="6" t="n">
        <v>116898</v>
      </c>
      <c r="AF520" s="6" t="s">
        <v>58</v>
      </c>
      <c r="AG520" s="6" t="n">
        <v>0</v>
      </c>
      <c r="AH520" s="30" t="s">
        <v>1214</v>
      </c>
      <c r="AI520" s="6" t="n">
        <v>0</v>
      </c>
      <c r="AJ520" s="6" t="s">
        <v>380</v>
      </c>
      <c r="AK520" s="6" t="s">
        <v>988</v>
      </c>
      <c r="AL520" s="6" t="s">
        <v>380</v>
      </c>
      <c r="AM520" s="6" t="n">
        <v>0</v>
      </c>
      <c r="AQ520" s="6" t="s">
        <v>948</v>
      </c>
      <c r="AR520" s="6" t="s">
        <v>109</v>
      </c>
    </row>
    <row r="521" customFormat="false" ht="15" hidden="false" customHeight="true" outlineLevel="0" collapsed="false">
      <c r="A521" s="27" t="n">
        <v>115816</v>
      </c>
      <c r="B521" s="6" t="s">
        <v>1714</v>
      </c>
      <c r="C521" s="27" t="n">
        <v>115816</v>
      </c>
      <c r="D521" s="6" t="s">
        <v>950</v>
      </c>
      <c r="E521" s="6" t="s">
        <v>1291</v>
      </c>
      <c r="F521" s="6" t="s">
        <v>224</v>
      </c>
      <c r="G521" s="6" t="s">
        <v>1073</v>
      </c>
      <c r="H521" s="6" t="s">
        <v>1074</v>
      </c>
      <c r="I521" s="6" t="s">
        <v>1292</v>
      </c>
      <c r="J521" s="6" t="s">
        <v>31</v>
      </c>
      <c r="K521" s="6" t="s">
        <v>1356</v>
      </c>
      <c r="L521" s="6" t="s">
        <v>1358</v>
      </c>
      <c r="N521" s="6" t="s">
        <v>109</v>
      </c>
      <c r="O521" s="6" t="s">
        <v>1713</v>
      </c>
      <c r="P521" s="6" t="n">
        <v>1</v>
      </c>
      <c r="R521" s="6" t="s">
        <v>1152</v>
      </c>
      <c r="U521" s="6" t="n">
        <v>310000</v>
      </c>
      <c r="V521" s="28" t="n">
        <v>310000</v>
      </c>
      <c r="W521" s="29" t="n">
        <v>0.2</v>
      </c>
      <c r="X521" s="6" t="n">
        <v>0.055</v>
      </c>
      <c r="Y521" s="29" t="n">
        <v>0.12</v>
      </c>
      <c r="Z521" s="30"/>
      <c r="AA521" s="29" t="n">
        <v>0.04</v>
      </c>
      <c r="AB521" s="31" t="n">
        <v>438650</v>
      </c>
      <c r="AE521" s="6" t="n">
        <v>438650</v>
      </c>
      <c r="AF521" s="6" t="s">
        <v>58</v>
      </c>
      <c r="AG521" s="6" t="n">
        <v>0</v>
      </c>
      <c r="AH521" s="30" t="s">
        <v>1214</v>
      </c>
      <c r="AI521" s="6" t="n">
        <v>0</v>
      </c>
      <c r="AJ521" s="6" t="s">
        <v>361</v>
      </c>
      <c r="AK521" s="6" t="s">
        <v>988</v>
      </c>
      <c r="AL521" s="6" t="s">
        <v>361</v>
      </c>
      <c r="AM521" s="6" t="n">
        <v>0</v>
      </c>
      <c r="AQ521" s="6" t="s">
        <v>949</v>
      </c>
      <c r="AR521" s="6" t="s">
        <v>109</v>
      </c>
    </row>
    <row r="522" customFormat="false" ht="15" hidden="false" customHeight="true" outlineLevel="0" collapsed="false">
      <c r="A522" s="27" t="n">
        <v>113333</v>
      </c>
      <c r="B522" s="6" t="s">
        <v>1715</v>
      </c>
      <c r="C522" s="27" t="n">
        <v>113333</v>
      </c>
      <c r="D522" s="6" t="s">
        <v>1636</v>
      </c>
      <c r="E522" s="6" t="s">
        <v>1637</v>
      </c>
      <c r="F522" s="6" t="s">
        <v>1638</v>
      </c>
      <c r="G522" s="6" t="s">
        <v>1058</v>
      </c>
      <c r="H522" s="6" t="s">
        <v>1059</v>
      </c>
      <c r="I522" s="6" t="s">
        <v>1060</v>
      </c>
      <c r="J522" s="6" t="s">
        <v>25</v>
      </c>
      <c r="K522" s="6" t="s">
        <v>1059</v>
      </c>
      <c r="L522" s="6" t="s">
        <v>1639</v>
      </c>
      <c r="N522" s="6" t="s">
        <v>1023</v>
      </c>
      <c r="O522" s="6" t="s">
        <v>1713</v>
      </c>
      <c r="P522" s="6" t="n">
        <v>1</v>
      </c>
      <c r="R522" s="6" t="s">
        <v>1152</v>
      </c>
      <c r="U522" s="6" t="n">
        <v>82380</v>
      </c>
      <c r="V522" s="28" t="n">
        <v>82380</v>
      </c>
      <c r="W522" s="29" t="n">
        <v>0.08</v>
      </c>
      <c r="X522" s="6" t="n">
        <v>0.055</v>
      </c>
      <c r="Y522" s="29" t="n">
        <v>0.12</v>
      </c>
      <c r="Z522" s="30"/>
      <c r="AA522" s="29" t="n">
        <v>0.04</v>
      </c>
      <c r="AB522" s="31" t="n">
        <v>106682.1</v>
      </c>
      <c r="AE522" s="6" t="n">
        <v>106682.1</v>
      </c>
      <c r="AF522" s="6" t="s">
        <v>58</v>
      </c>
      <c r="AG522" s="6" t="n">
        <v>0</v>
      </c>
      <c r="AH522" s="30" t="s">
        <v>25</v>
      </c>
      <c r="AI522" s="6" t="n">
        <v>0</v>
      </c>
      <c r="AJ522" s="6" t="s">
        <v>842</v>
      </c>
      <c r="AK522" s="6" t="s">
        <v>988</v>
      </c>
      <c r="AL522" s="6" t="s">
        <v>842</v>
      </c>
      <c r="AM522" s="6" t="n">
        <v>0</v>
      </c>
      <c r="AQ522" s="6" t="s">
        <v>951</v>
      </c>
      <c r="AR522" s="6" t="s">
        <v>57</v>
      </c>
    </row>
    <row r="523" customFormat="false" ht="15" hidden="false" customHeight="true" outlineLevel="0" collapsed="false">
      <c r="A523" s="27" t="n">
        <v>115516</v>
      </c>
      <c r="B523" s="6" t="s">
        <v>1716</v>
      </c>
      <c r="C523" s="27" t="n">
        <v>115516</v>
      </c>
      <c r="D523" s="6" t="s">
        <v>953</v>
      </c>
      <c r="E523" s="6" t="s">
        <v>1260</v>
      </c>
      <c r="F523" s="6" t="s">
        <v>1261</v>
      </c>
      <c r="G523" s="6" t="s">
        <v>1058</v>
      </c>
      <c r="H523" s="6" t="s">
        <v>19</v>
      </c>
      <c r="I523" s="6" t="s">
        <v>1262</v>
      </c>
      <c r="J523" s="6" t="s">
        <v>19</v>
      </c>
      <c r="K523" s="6" t="s">
        <v>1374</v>
      </c>
      <c r="L523" s="6" t="s">
        <v>387</v>
      </c>
      <c r="N523" s="6" t="s">
        <v>109</v>
      </c>
      <c r="O523" s="6" t="s">
        <v>1713</v>
      </c>
      <c r="P523" s="6" t="n">
        <v>1</v>
      </c>
      <c r="R523" s="6" t="s">
        <v>1152</v>
      </c>
      <c r="U523" s="6" t="n">
        <v>77860</v>
      </c>
      <c r="V523" s="28" t="n">
        <v>71631.2</v>
      </c>
      <c r="W523" s="29" t="n">
        <v>0.1</v>
      </c>
      <c r="Y523" s="29" t="n">
        <v>0.05</v>
      </c>
      <c r="Z523" s="30" t="n">
        <v>2910</v>
      </c>
      <c r="AA523" s="29" t="n">
        <v>0.03</v>
      </c>
      <c r="AB523" s="31" t="n">
        <v>87434.816</v>
      </c>
      <c r="AE523" s="6" t="n">
        <v>87434.816</v>
      </c>
      <c r="AF523" s="6" t="s">
        <v>58</v>
      </c>
      <c r="AG523" s="6" t="n">
        <v>0</v>
      </c>
      <c r="AH523" s="30" t="s">
        <v>1206</v>
      </c>
      <c r="AI523" s="6" t="n">
        <v>0</v>
      </c>
      <c r="AJ523" s="6" t="s">
        <v>387</v>
      </c>
      <c r="AK523" s="6" t="s">
        <v>988</v>
      </c>
      <c r="AL523" s="6" t="s">
        <v>387</v>
      </c>
      <c r="AM523" s="6" t="n">
        <v>0</v>
      </c>
      <c r="AQ523" s="6" t="s">
        <v>952</v>
      </c>
      <c r="AR523" s="6" t="s">
        <v>109</v>
      </c>
    </row>
    <row r="524" customFormat="false" ht="15" hidden="false" customHeight="true" outlineLevel="0" collapsed="false">
      <c r="A524" s="27" t="n">
        <v>113924</v>
      </c>
      <c r="B524" s="6" t="s">
        <v>1717</v>
      </c>
      <c r="C524" s="27" t="n">
        <v>113924</v>
      </c>
      <c r="D524" s="6" t="s">
        <v>955</v>
      </c>
      <c r="E524" s="6" t="s">
        <v>1063</v>
      </c>
      <c r="F524" s="6" t="s">
        <v>224</v>
      </c>
      <c r="G524" s="6" t="s">
        <v>1058</v>
      </c>
      <c r="H524" s="6" t="s">
        <v>20</v>
      </c>
      <c r="I524" s="6" t="s">
        <v>1469</v>
      </c>
      <c r="J524" s="6" t="s">
        <v>20</v>
      </c>
      <c r="K524" s="6" t="s">
        <v>275</v>
      </c>
      <c r="L524" s="6" t="s">
        <v>275</v>
      </c>
      <c r="N524" s="6" t="s">
        <v>109</v>
      </c>
      <c r="O524" s="6" t="s">
        <v>1713</v>
      </c>
      <c r="P524" s="6" t="n">
        <v>1</v>
      </c>
      <c r="R524" s="6" t="s">
        <v>1152</v>
      </c>
      <c r="U524" s="6" t="n">
        <v>75170</v>
      </c>
      <c r="V524" s="28" t="n">
        <v>69156.4</v>
      </c>
      <c r="W524" s="29" t="n">
        <v>0.1</v>
      </c>
      <c r="Y524" s="29" t="n">
        <v>0.05</v>
      </c>
      <c r="Z524" s="30" t="n">
        <v>2910</v>
      </c>
      <c r="AA524" s="29" t="n">
        <v>0.03</v>
      </c>
      <c r="AB524" s="31" t="n">
        <v>84514.552</v>
      </c>
      <c r="AE524" s="6" t="n">
        <v>84514.552</v>
      </c>
      <c r="AF524" s="6" t="s">
        <v>58</v>
      </c>
      <c r="AG524" s="6" t="n">
        <v>0</v>
      </c>
      <c r="AH524" s="30" t="s">
        <v>20</v>
      </c>
      <c r="AI524" s="6" t="n">
        <v>0</v>
      </c>
      <c r="AJ524" s="6" t="s">
        <v>275</v>
      </c>
      <c r="AK524" s="6" t="s">
        <v>988</v>
      </c>
      <c r="AL524" s="6" t="s">
        <v>275</v>
      </c>
      <c r="AM524" s="6" t="n">
        <v>0</v>
      </c>
      <c r="AQ524" s="6" t="s">
        <v>954</v>
      </c>
      <c r="AR524" s="6" t="s">
        <v>109</v>
      </c>
    </row>
    <row r="525" customFormat="false" ht="15" hidden="false" customHeight="true" outlineLevel="0" collapsed="false">
      <c r="A525" s="27" t="s">
        <v>1016</v>
      </c>
      <c r="B525" s="6" t="s">
        <v>1718</v>
      </c>
      <c r="C525" s="27" t="s">
        <v>1016</v>
      </c>
      <c r="D525" s="6" t="s">
        <v>957</v>
      </c>
      <c r="E525" s="6" t="s">
        <v>1063</v>
      </c>
      <c r="F525" s="6" t="s">
        <v>270</v>
      </c>
      <c r="G525" s="6" t="s">
        <v>1058</v>
      </c>
      <c r="H525" s="6" t="s">
        <v>20</v>
      </c>
      <c r="I525" s="6" t="s">
        <v>1276</v>
      </c>
      <c r="J525" s="6" t="s">
        <v>20</v>
      </c>
      <c r="K525" s="6" t="s">
        <v>351</v>
      </c>
      <c r="L525" s="6" t="s">
        <v>533</v>
      </c>
      <c r="N525" s="6" t="s">
        <v>1189</v>
      </c>
      <c r="O525" s="6" t="n">
        <v>0</v>
      </c>
      <c r="P525" s="6" t="n">
        <v>1</v>
      </c>
      <c r="R525" s="6" t="s">
        <v>1090</v>
      </c>
      <c r="S525" s="6" t="e">
        <f aca="false">#N/A</f>
        <v>#N/A</v>
      </c>
      <c r="T525" s="6" t="n">
        <v>1200</v>
      </c>
      <c r="U525" s="6" t="n">
        <v>0</v>
      </c>
      <c r="V525" s="28"/>
      <c r="W525" s="29"/>
      <c r="Y525" s="29"/>
      <c r="Z525" s="30"/>
      <c r="AA525" s="29"/>
      <c r="AB525" s="31" t="n">
        <v>266400</v>
      </c>
      <c r="AE525" s="6" t="n">
        <v>266400</v>
      </c>
      <c r="AF525" s="6" t="s">
        <v>58</v>
      </c>
      <c r="AG525" s="6" t="n">
        <v>0</v>
      </c>
      <c r="AH525" s="30" t="s">
        <v>20</v>
      </c>
      <c r="AI525" s="6" t="n">
        <v>0</v>
      </c>
      <c r="AJ525" s="6" t="s">
        <v>533</v>
      </c>
      <c r="AK525" s="6" t="s">
        <v>988</v>
      </c>
      <c r="AL525" s="6" t="s">
        <v>533</v>
      </c>
      <c r="AM525" s="6" t="n">
        <v>0</v>
      </c>
      <c r="AQ525" s="6" t="s">
        <v>956</v>
      </c>
      <c r="AR525" s="6" t="s">
        <v>57</v>
      </c>
    </row>
    <row r="526" customFormat="false" ht="15" hidden="false" customHeight="true" outlineLevel="0" collapsed="false">
      <c r="A526" s="27" t="n">
        <v>116027</v>
      </c>
      <c r="B526" s="6" t="s">
        <v>1719</v>
      </c>
      <c r="C526" s="27" t="n">
        <v>116027</v>
      </c>
      <c r="D526" s="6" t="s">
        <v>676</v>
      </c>
      <c r="E526" s="6" t="s">
        <v>1084</v>
      </c>
      <c r="F526" s="6" t="s">
        <v>1085</v>
      </c>
      <c r="G526" s="6" t="s">
        <v>1076</v>
      </c>
      <c r="H526" s="6" t="s">
        <v>1290</v>
      </c>
      <c r="I526" s="6" t="s">
        <v>1087</v>
      </c>
      <c r="J526" s="6" t="s">
        <v>30</v>
      </c>
      <c r="K526" s="6" t="s">
        <v>30</v>
      </c>
      <c r="L526" s="6" t="s">
        <v>1407</v>
      </c>
      <c r="N526" s="6" t="s">
        <v>109</v>
      </c>
      <c r="P526" s="6" t="n">
        <v>1</v>
      </c>
      <c r="R526" s="6" t="s">
        <v>1152</v>
      </c>
      <c r="U526" s="6" t="n">
        <v>150000</v>
      </c>
      <c r="V526" s="28" t="n">
        <v>163043.47826087</v>
      </c>
      <c r="W526" s="29" t="n">
        <v>0.15</v>
      </c>
      <c r="Y526" s="29" t="n">
        <v>0.05</v>
      </c>
      <c r="Z526" s="30" t="n">
        <v>2910</v>
      </c>
      <c r="AA526" s="29" t="n">
        <v>0.03</v>
      </c>
      <c r="AB526" s="31" t="n">
        <v>165990.163043478</v>
      </c>
      <c r="AE526" s="6" t="n">
        <v>165990.163043478</v>
      </c>
      <c r="AF526" s="6" t="s">
        <v>58</v>
      </c>
      <c r="AG526" s="6" t="n">
        <v>0</v>
      </c>
      <c r="AH526" s="30" t="s">
        <v>1076</v>
      </c>
      <c r="AI526" s="6" t="n">
        <v>0</v>
      </c>
      <c r="AJ526" s="6" t="s">
        <v>1408</v>
      </c>
      <c r="AK526" s="6" t="s">
        <v>988</v>
      </c>
      <c r="AL526" s="6" t="s">
        <v>1408</v>
      </c>
      <c r="AM526" s="6" t="n">
        <v>0</v>
      </c>
      <c r="AQ526" s="6" t="s">
        <v>958</v>
      </c>
      <c r="AR526" s="6" t="s">
        <v>109</v>
      </c>
    </row>
    <row r="527" customFormat="false" ht="15" hidden="false" customHeight="true" outlineLevel="0" collapsed="false">
      <c r="A527" s="27" t="s">
        <v>1138</v>
      </c>
      <c r="B527" s="6" t="s">
        <v>1304</v>
      </c>
      <c r="C527" s="27" t="s">
        <v>1138</v>
      </c>
      <c r="D527" s="6" t="s">
        <v>113</v>
      </c>
      <c r="E527" s="6" t="s">
        <v>1304</v>
      </c>
      <c r="F527" s="6" t="s">
        <v>500</v>
      </c>
      <c r="G527" s="6" t="s">
        <v>1076</v>
      </c>
      <c r="H527" s="6" t="s">
        <v>28</v>
      </c>
      <c r="I527" s="6" t="s">
        <v>1319</v>
      </c>
      <c r="J527" s="6" t="s">
        <v>24</v>
      </c>
      <c r="K527" s="6" t="s">
        <v>426</v>
      </c>
      <c r="L527" s="6" t="s">
        <v>426</v>
      </c>
      <c r="N527" s="6" t="s">
        <v>1023</v>
      </c>
      <c r="P527" s="6" t="n">
        <v>0.5</v>
      </c>
      <c r="U527" s="6" t="n">
        <v>173550</v>
      </c>
      <c r="V527" s="28" t="n">
        <v>173550</v>
      </c>
      <c r="W527" s="29" t="n">
        <v>0.12</v>
      </c>
      <c r="X527" s="6" t="n">
        <v>0.055</v>
      </c>
      <c r="Y527" s="29" t="n">
        <v>0.12</v>
      </c>
      <c r="Z527" s="30"/>
      <c r="AA527" s="29" t="n">
        <v>0.04</v>
      </c>
      <c r="AB527" s="31" t="n">
        <v>115844.625</v>
      </c>
      <c r="AE527" s="6" t="n">
        <v>57922.3125</v>
      </c>
      <c r="AF527" s="6" t="s">
        <v>1063</v>
      </c>
      <c r="AG527" s="6" t="n">
        <v>0</v>
      </c>
      <c r="AH527" s="30" t="s">
        <v>24</v>
      </c>
      <c r="AI527" s="6" t="n">
        <v>0</v>
      </c>
      <c r="AJ527" s="6" t="s">
        <v>426</v>
      </c>
      <c r="AK527" s="6" t="s">
        <v>988</v>
      </c>
      <c r="AL527" s="6" t="s">
        <v>426</v>
      </c>
      <c r="AM527" s="6" t="n">
        <v>0</v>
      </c>
      <c r="AN527" s="6" t="s">
        <v>1063</v>
      </c>
      <c r="AO527" s="6" t="s">
        <v>1338</v>
      </c>
      <c r="AQ527" s="6" t="s">
        <v>959</v>
      </c>
      <c r="AR527" s="6" t="s">
        <v>57</v>
      </c>
    </row>
    <row r="528" customFormat="false" ht="15" hidden="false" customHeight="true" outlineLevel="0" collapsed="false">
      <c r="A528" s="6" t="s">
        <v>1720</v>
      </c>
      <c r="B528" s="6" t="s">
        <v>1721</v>
      </c>
      <c r="C528" s="6" t="s">
        <v>1720</v>
      </c>
      <c r="D528" s="6" t="s">
        <v>961</v>
      </c>
      <c r="G528" s="6" t="s">
        <v>1173</v>
      </c>
      <c r="H528" s="6" t="s">
        <v>168</v>
      </c>
      <c r="I528" s="6" t="s">
        <v>962</v>
      </c>
      <c r="J528" s="6" t="s">
        <v>23</v>
      </c>
      <c r="K528" s="6" t="s">
        <v>168</v>
      </c>
      <c r="L528" s="6" t="s">
        <v>962</v>
      </c>
      <c r="N528" s="6" t="s">
        <v>1023</v>
      </c>
      <c r="P528" s="6" t="n">
        <v>1</v>
      </c>
      <c r="R528" s="6" t="s">
        <v>1152</v>
      </c>
      <c r="AB528" s="31" t="n">
        <v>64444.4444444445</v>
      </c>
      <c r="AE528" s="6" t="n">
        <v>64444.4444444445</v>
      </c>
      <c r="AF528" s="6" t="s">
        <v>58</v>
      </c>
      <c r="AG528" s="6" t="n">
        <v>0</v>
      </c>
      <c r="AH528" s="30" t="s">
        <v>23</v>
      </c>
      <c r="AI528" s="6" t="n">
        <v>0</v>
      </c>
      <c r="AJ528" s="6" t="s">
        <v>962</v>
      </c>
      <c r="AK528" s="6" t="s">
        <v>988</v>
      </c>
      <c r="AL528" s="6" t="s">
        <v>962</v>
      </c>
      <c r="AM528" s="6" t="n">
        <v>0</v>
      </c>
      <c r="AQ528" s="6" t="s">
        <v>960</v>
      </c>
      <c r="AR528" s="6" t="s">
        <v>57</v>
      </c>
    </row>
    <row r="529" customFormat="false" ht="15" hidden="false" customHeight="true" outlineLevel="0" collapsed="false">
      <c r="A529" s="6" t="s">
        <v>1722</v>
      </c>
      <c r="B529" s="6" t="s">
        <v>1723</v>
      </c>
      <c r="C529" s="6" t="s">
        <v>1722</v>
      </c>
      <c r="D529" s="6" t="s">
        <v>961</v>
      </c>
      <c r="G529" s="6" t="s">
        <v>1173</v>
      </c>
      <c r="H529" s="6" t="s">
        <v>168</v>
      </c>
      <c r="I529" s="6" t="s">
        <v>962</v>
      </c>
      <c r="J529" s="6" t="s">
        <v>23</v>
      </c>
      <c r="K529" s="6" t="s">
        <v>168</v>
      </c>
      <c r="L529" s="6" t="s">
        <v>962</v>
      </c>
      <c r="N529" s="6" t="s">
        <v>1023</v>
      </c>
      <c r="P529" s="6" t="n">
        <v>1</v>
      </c>
      <c r="R529" s="6" t="s">
        <v>1152</v>
      </c>
      <c r="AB529" s="31" t="n">
        <v>64444.4444444445</v>
      </c>
      <c r="AE529" s="6" t="n">
        <v>64444.4444444445</v>
      </c>
      <c r="AF529" s="6" t="s">
        <v>58</v>
      </c>
      <c r="AG529" s="6" t="n">
        <v>0</v>
      </c>
      <c r="AH529" s="30" t="s">
        <v>23</v>
      </c>
      <c r="AI529" s="6" t="n">
        <v>0</v>
      </c>
      <c r="AJ529" s="6" t="s">
        <v>962</v>
      </c>
      <c r="AK529" s="6" t="s">
        <v>988</v>
      </c>
      <c r="AL529" s="6" t="s">
        <v>962</v>
      </c>
      <c r="AM529" s="6" t="n">
        <v>0</v>
      </c>
      <c r="AQ529" s="6" t="s">
        <v>963</v>
      </c>
      <c r="AR529" s="6" t="s">
        <v>57</v>
      </c>
    </row>
    <row r="530" customFormat="false" ht="15" hidden="false" customHeight="true" outlineLevel="0" collapsed="false">
      <c r="A530" s="6" t="s">
        <v>1724</v>
      </c>
      <c r="B530" s="6" t="s">
        <v>1725</v>
      </c>
      <c r="C530" s="6" t="s">
        <v>1724</v>
      </c>
      <c r="D530" s="6" t="s">
        <v>961</v>
      </c>
      <c r="G530" s="6" t="s">
        <v>1173</v>
      </c>
      <c r="H530" s="6" t="s">
        <v>168</v>
      </c>
      <c r="I530" s="6" t="s">
        <v>962</v>
      </c>
      <c r="J530" s="6" t="s">
        <v>23</v>
      </c>
      <c r="K530" s="6" t="s">
        <v>168</v>
      </c>
      <c r="L530" s="6" t="s">
        <v>962</v>
      </c>
      <c r="N530" s="6" t="s">
        <v>1023</v>
      </c>
      <c r="P530" s="6" t="n">
        <v>1</v>
      </c>
      <c r="R530" s="6" t="s">
        <v>1152</v>
      </c>
      <c r="AB530" s="31" t="n">
        <v>64444.4444444445</v>
      </c>
      <c r="AE530" s="6" t="n">
        <v>64444.4444444445</v>
      </c>
      <c r="AF530" s="6" t="s">
        <v>58</v>
      </c>
      <c r="AG530" s="6" t="n">
        <v>0</v>
      </c>
      <c r="AH530" s="30" t="s">
        <v>23</v>
      </c>
      <c r="AI530" s="6" t="n">
        <v>0</v>
      </c>
      <c r="AJ530" s="6" t="s">
        <v>962</v>
      </c>
      <c r="AK530" s="6" t="s">
        <v>988</v>
      </c>
      <c r="AL530" s="6" t="s">
        <v>962</v>
      </c>
      <c r="AM530" s="6" t="n">
        <v>0</v>
      </c>
      <c r="AQ530" s="6" t="s">
        <v>964</v>
      </c>
      <c r="AR530" s="6" t="s">
        <v>57</v>
      </c>
    </row>
    <row r="531" customFormat="false" ht="15" hidden="false" customHeight="true" outlineLevel="0" collapsed="false">
      <c r="A531" s="6" t="s">
        <v>1726</v>
      </c>
      <c r="B531" s="6" t="s">
        <v>1727</v>
      </c>
      <c r="C531" s="6" t="s">
        <v>1726</v>
      </c>
      <c r="D531" s="6" t="s">
        <v>961</v>
      </c>
      <c r="G531" s="6" t="s">
        <v>1173</v>
      </c>
      <c r="H531" s="6" t="s">
        <v>168</v>
      </c>
      <c r="I531" s="6" t="s">
        <v>962</v>
      </c>
      <c r="J531" s="6" t="s">
        <v>23</v>
      </c>
      <c r="K531" s="6" t="s">
        <v>168</v>
      </c>
      <c r="L531" s="6" t="s">
        <v>962</v>
      </c>
      <c r="N531" s="6" t="s">
        <v>1023</v>
      </c>
      <c r="P531" s="6" t="n">
        <v>1</v>
      </c>
      <c r="R531" s="6" t="s">
        <v>1152</v>
      </c>
      <c r="AB531" s="31" t="n">
        <v>64444.4444444445</v>
      </c>
      <c r="AE531" s="6" t="n">
        <v>64444.4444444445</v>
      </c>
      <c r="AF531" s="6" t="s">
        <v>58</v>
      </c>
      <c r="AG531" s="6" t="n">
        <v>0</v>
      </c>
      <c r="AH531" s="30" t="s">
        <v>23</v>
      </c>
      <c r="AI531" s="6" t="n">
        <v>0</v>
      </c>
      <c r="AJ531" s="6" t="s">
        <v>962</v>
      </c>
      <c r="AK531" s="6" t="s">
        <v>988</v>
      </c>
      <c r="AL531" s="6" t="s">
        <v>962</v>
      </c>
      <c r="AM531" s="6" t="n">
        <v>0</v>
      </c>
      <c r="AQ531" s="6" t="s">
        <v>965</v>
      </c>
      <c r="AR531" s="6" t="s">
        <v>57</v>
      </c>
    </row>
    <row r="532" customFormat="false" ht="15" hidden="false" customHeight="true" outlineLevel="0" collapsed="false">
      <c r="A532" s="6" t="s">
        <v>1728</v>
      </c>
      <c r="B532" s="6" t="s">
        <v>1729</v>
      </c>
      <c r="C532" s="6" t="s">
        <v>1728</v>
      </c>
      <c r="D532" s="6" t="s">
        <v>961</v>
      </c>
      <c r="G532" s="6" t="s">
        <v>1173</v>
      </c>
      <c r="H532" s="6" t="s">
        <v>168</v>
      </c>
      <c r="I532" s="6" t="s">
        <v>962</v>
      </c>
      <c r="J532" s="6" t="s">
        <v>23</v>
      </c>
      <c r="K532" s="6" t="s">
        <v>168</v>
      </c>
      <c r="L532" s="6" t="s">
        <v>962</v>
      </c>
      <c r="N532" s="6" t="s">
        <v>1023</v>
      </c>
      <c r="P532" s="6" t="n">
        <v>1</v>
      </c>
      <c r="R532" s="6" t="s">
        <v>1152</v>
      </c>
      <c r="AB532" s="31" t="n">
        <v>64444.4444444445</v>
      </c>
      <c r="AE532" s="6" t="n">
        <v>64444.4444444445</v>
      </c>
      <c r="AF532" s="6" t="s">
        <v>58</v>
      </c>
      <c r="AG532" s="6" t="n">
        <v>0</v>
      </c>
      <c r="AH532" s="30" t="s">
        <v>23</v>
      </c>
      <c r="AI532" s="6" t="n">
        <v>0</v>
      </c>
      <c r="AJ532" s="6" t="s">
        <v>962</v>
      </c>
      <c r="AK532" s="6" t="s">
        <v>988</v>
      </c>
      <c r="AL532" s="6" t="s">
        <v>962</v>
      </c>
      <c r="AM532" s="6" t="n">
        <v>0</v>
      </c>
      <c r="AQ532" s="6" t="s">
        <v>966</v>
      </c>
      <c r="AR532" s="6" t="s">
        <v>57</v>
      </c>
    </row>
    <row r="533" customFormat="false" ht="15" hidden="false" customHeight="true" outlineLevel="0" collapsed="false">
      <c r="A533" s="6" t="s">
        <v>1730</v>
      </c>
      <c r="B533" s="6" t="s">
        <v>1731</v>
      </c>
      <c r="C533" s="6" t="s">
        <v>1730</v>
      </c>
      <c r="D533" s="6" t="s">
        <v>961</v>
      </c>
      <c r="G533" s="6" t="s">
        <v>1173</v>
      </c>
      <c r="H533" s="6" t="s">
        <v>168</v>
      </c>
      <c r="I533" s="6" t="s">
        <v>962</v>
      </c>
      <c r="J533" s="6" t="s">
        <v>23</v>
      </c>
      <c r="K533" s="6" t="s">
        <v>168</v>
      </c>
      <c r="L533" s="6" t="s">
        <v>962</v>
      </c>
      <c r="N533" s="6" t="s">
        <v>1023</v>
      </c>
      <c r="P533" s="6" t="n">
        <v>1</v>
      </c>
      <c r="R533" s="6" t="s">
        <v>1152</v>
      </c>
      <c r="AB533" s="31" t="n">
        <v>64444.4444444445</v>
      </c>
      <c r="AE533" s="6" t="n">
        <v>64444.4444444445</v>
      </c>
      <c r="AF533" s="6" t="s">
        <v>58</v>
      </c>
      <c r="AG533" s="6" t="n">
        <v>0</v>
      </c>
      <c r="AH533" s="30" t="s">
        <v>23</v>
      </c>
      <c r="AI533" s="6" t="n">
        <v>0</v>
      </c>
      <c r="AJ533" s="6" t="s">
        <v>962</v>
      </c>
      <c r="AK533" s="6" t="s">
        <v>988</v>
      </c>
      <c r="AL533" s="6" t="s">
        <v>962</v>
      </c>
      <c r="AM533" s="6" t="n">
        <v>0</v>
      </c>
      <c r="AQ533" s="6" t="s">
        <v>967</v>
      </c>
      <c r="AR533" s="6" t="s">
        <v>57</v>
      </c>
    </row>
    <row r="534" customFormat="false" ht="15" hidden="false" customHeight="true" outlineLevel="0" collapsed="false">
      <c r="A534" s="6" t="s">
        <v>1732</v>
      </c>
      <c r="B534" s="6" t="s">
        <v>1733</v>
      </c>
      <c r="C534" s="6" t="s">
        <v>1732</v>
      </c>
      <c r="D534" s="6" t="s">
        <v>961</v>
      </c>
      <c r="G534" s="6" t="s">
        <v>1173</v>
      </c>
      <c r="H534" s="6" t="s">
        <v>168</v>
      </c>
      <c r="I534" s="6" t="s">
        <v>962</v>
      </c>
      <c r="J534" s="6" t="s">
        <v>23</v>
      </c>
      <c r="K534" s="6" t="s">
        <v>168</v>
      </c>
      <c r="L534" s="6" t="s">
        <v>962</v>
      </c>
      <c r="N534" s="6" t="s">
        <v>1023</v>
      </c>
      <c r="P534" s="6" t="n">
        <v>1</v>
      </c>
      <c r="R534" s="6" t="s">
        <v>1152</v>
      </c>
      <c r="AB534" s="31" t="n">
        <v>64444.4444444445</v>
      </c>
      <c r="AE534" s="6" t="n">
        <v>64444.4444444445</v>
      </c>
      <c r="AF534" s="6" t="s">
        <v>58</v>
      </c>
      <c r="AG534" s="6" t="n">
        <v>0</v>
      </c>
      <c r="AH534" s="30" t="s">
        <v>23</v>
      </c>
      <c r="AI534" s="6" t="n">
        <v>0</v>
      </c>
      <c r="AJ534" s="6" t="s">
        <v>962</v>
      </c>
      <c r="AK534" s="6" t="s">
        <v>988</v>
      </c>
      <c r="AL534" s="6" t="s">
        <v>962</v>
      </c>
      <c r="AM534" s="6" t="n">
        <v>0</v>
      </c>
      <c r="AQ534" s="6" t="s">
        <v>968</v>
      </c>
      <c r="AR534" s="6" t="s">
        <v>57</v>
      </c>
    </row>
    <row r="535" customFormat="false" ht="15" hidden="false" customHeight="true" outlineLevel="0" collapsed="false">
      <c r="A535" s="6" t="s">
        <v>1734</v>
      </c>
      <c r="B535" s="6" t="s">
        <v>1735</v>
      </c>
      <c r="C535" s="6" t="s">
        <v>1734</v>
      </c>
      <c r="D535" s="6" t="s">
        <v>961</v>
      </c>
      <c r="G535" s="6" t="s">
        <v>1173</v>
      </c>
      <c r="H535" s="6" t="s">
        <v>168</v>
      </c>
      <c r="I535" s="6" t="s">
        <v>962</v>
      </c>
      <c r="J535" s="6" t="s">
        <v>23</v>
      </c>
      <c r="K535" s="6" t="s">
        <v>168</v>
      </c>
      <c r="L535" s="6" t="s">
        <v>962</v>
      </c>
      <c r="N535" s="6" t="s">
        <v>1023</v>
      </c>
      <c r="P535" s="6" t="n">
        <v>1</v>
      </c>
      <c r="R535" s="6" t="s">
        <v>1152</v>
      </c>
      <c r="AB535" s="31" t="n">
        <v>64444.4444444445</v>
      </c>
      <c r="AE535" s="6" t="n">
        <v>64444.4444444445</v>
      </c>
      <c r="AF535" s="6" t="s">
        <v>58</v>
      </c>
      <c r="AG535" s="6" t="n">
        <v>0</v>
      </c>
      <c r="AH535" s="30" t="s">
        <v>23</v>
      </c>
      <c r="AI535" s="6" t="n">
        <v>0</v>
      </c>
      <c r="AJ535" s="6" t="s">
        <v>962</v>
      </c>
      <c r="AK535" s="6" t="s">
        <v>988</v>
      </c>
      <c r="AL535" s="6" t="s">
        <v>962</v>
      </c>
      <c r="AM535" s="6" t="n">
        <v>0</v>
      </c>
      <c r="AQ535" s="6" t="s">
        <v>969</v>
      </c>
      <c r="AR535" s="6" t="s">
        <v>57</v>
      </c>
    </row>
    <row r="536" customFormat="false" ht="15" hidden="false" customHeight="true" outlineLevel="0" collapsed="false">
      <c r="A536" s="6" t="s">
        <v>1736</v>
      </c>
      <c r="B536" s="6" t="s">
        <v>1737</v>
      </c>
      <c r="C536" s="6" t="s">
        <v>1736</v>
      </c>
      <c r="D536" s="6" t="s">
        <v>961</v>
      </c>
      <c r="G536" s="6" t="s">
        <v>1173</v>
      </c>
      <c r="H536" s="6" t="s">
        <v>168</v>
      </c>
      <c r="I536" s="6" t="s">
        <v>962</v>
      </c>
      <c r="J536" s="6" t="s">
        <v>23</v>
      </c>
      <c r="K536" s="6" t="s">
        <v>168</v>
      </c>
      <c r="L536" s="6" t="s">
        <v>962</v>
      </c>
      <c r="N536" s="6" t="s">
        <v>1023</v>
      </c>
      <c r="P536" s="6" t="n">
        <v>1</v>
      </c>
      <c r="R536" s="6" t="s">
        <v>1152</v>
      </c>
      <c r="AB536" s="31" t="n">
        <v>64444.4444444445</v>
      </c>
      <c r="AE536" s="6" t="n">
        <v>64444.4444444445</v>
      </c>
      <c r="AF536" s="6" t="s">
        <v>58</v>
      </c>
      <c r="AG536" s="6" t="n">
        <v>0</v>
      </c>
      <c r="AH536" s="30" t="s">
        <v>23</v>
      </c>
      <c r="AI536" s="6" t="n">
        <v>0</v>
      </c>
      <c r="AJ536" s="6" t="s">
        <v>962</v>
      </c>
      <c r="AK536" s="6" t="s">
        <v>988</v>
      </c>
      <c r="AL536" s="6" t="s">
        <v>962</v>
      </c>
      <c r="AM536" s="6" t="n">
        <v>0</v>
      </c>
      <c r="AQ536" s="6" t="s">
        <v>970</v>
      </c>
      <c r="AR536" s="6" t="s">
        <v>57</v>
      </c>
    </row>
    <row r="537" customFormat="false" ht="15" hidden="false" customHeight="true" outlineLevel="0" collapsed="false">
      <c r="A537" s="6" t="s">
        <v>1738</v>
      </c>
      <c r="B537" s="6" t="s">
        <v>1063</v>
      </c>
      <c r="C537" s="6" t="s">
        <v>1738</v>
      </c>
      <c r="D537" s="6" t="s">
        <v>1739</v>
      </c>
      <c r="E537" s="6" t="s">
        <v>1380</v>
      </c>
      <c r="G537" s="6" t="s">
        <v>1164</v>
      </c>
      <c r="H537" s="6" t="s">
        <v>157</v>
      </c>
      <c r="J537" s="6" t="s">
        <v>26</v>
      </c>
      <c r="K537" s="6" t="s">
        <v>26</v>
      </c>
      <c r="L537" s="6" t="s">
        <v>157</v>
      </c>
      <c r="N537" s="6" t="s">
        <v>1023</v>
      </c>
      <c r="O537" s="6" t="s">
        <v>1501</v>
      </c>
      <c r="P537" s="6" t="n">
        <v>1</v>
      </c>
      <c r="Q537" s="6" t="s">
        <v>1138</v>
      </c>
      <c r="R537" s="6" t="s">
        <v>1152</v>
      </c>
      <c r="AB537" s="31" t="n">
        <v>213600</v>
      </c>
      <c r="AE537" s="6" t="n">
        <v>213600</v>
      </c>
      <c r="AF537" s="6" t="s">
        <v>1063</v>
      </c>
      <c r="AG537" s="6" t="n">
        <v>0</v>
      </c>
      <c r="AH537" s="30" t="s">
        <v>1165</v>
      </c>
      <c r="AI537" s="6" t="n">
        <v>0</v>
      </c>
      <c r="AJ537" s="6" t="s">
        <v>157</v>
      </c>
      <c r="AK537" s="6" t="s">
        <v>988</v>
      </c>
      <c r="AL537" s="6" t="s">
        <v>157</v>
      </c>
      <c r="AM537" s="6" t="n">
        <v>0</v>
      </c>
      <c r="AQ537" s="6" t="s">
        <v>971</v>
      </c>
      <c r="AR537" s="6" t="s">
        <v>57</v>
      </c>
    </row>
    <row r="538" customFormat="false" ht="15" hidden="false" customHeight="true" outlineLevel="0" collapsed="false">
      <c r="A538" s="6" t="s">
        <v>1740</v>
      </c>
      <c r="B538" s="6" t="s">
        <v>1063</v>
      </c>
      <c r="C538" s="6" t="s">
        <v>1740</v>
      </c>
      <c r="D538" s="6" t="s">
        <v>974</v>
      </c>
      <c r="E538" s="6" t="s">
        <v>1277</v>
      </c>
      <c r="G538" s="6" t="s">
        <v>1164</v>
      </c>
      <c r="H538" s="6" t="s">
        <v>160</v>
      </c>
      <c r="J538" s="6" t="s">
        <v>26</v>
      </c>
      <c r="K538" s="6" t="s">
        <v>26</v>
      </c>
      <c r="L538" s="6" t="s">
        <v>160</v>
      </c>
      <c r="N538" s="6" t="s">
        <v>1023</v>
      </c>
      <c r="O538" s="6" t="s">
        <v>1611</v>
      </c>
      <c r="P538" s="6" t="n">
        <v>1</v>
      </c>
      <c r="Q538" s="6" t="s">
        <v>1138</v>
      </c>
      <c r="R538" s="6" t="s">
        <v>1152</v>
      </c>
      <c r="AB538" s="31" t="n">
        <v>170489.75</v>
      </c>
      <c r="AE538" s="6" t="n">
        <v>170489.75</v>
      </c>
      <c r="AF538" s="6" t="s">
        <v>1063</v>
      </c>
      <c r="AG538" s="6" t="n">
        <v>0</v>
      </c>
      <c r="AH538" s="30" t="s">
        <v>1169</v>
      </c>
      <c r="AI538" s="6" t="n">
        <v>0</v>
      </c>
      <c r="AJ538" s="6" t="s">
        <v>160</v>
      </c>
      <c r="AK538" s="6" t="s">
        <v>988</v>
      </c>
      <c r="AL538" s="6" t="s">
        <v>160</v>
      </c>
      <c r="AM538" s="6" t="n">
        <v>0</v>
      </c>
      <c r="AQ538" s="6" t="s">
        <v>973</v>
      </c>
      <c r="AR538" s="6" t="s">
        <v>57</v>
      </c>
    </row>
    <row r="539" customFormat="false" ht="15" hidden="false" customHeight="true" outlineLevel="0" collapsed="false">
      <c r="A539" s="6" t="s">
        <v>1741</v>
      </c>
      <c r="B539" s="6" t="s">
        <v>1063</v>
      </c>
      <c r="C539" s="6" t="s">
        <v>1741</v>
      </c>
      <c r="D539" s="6" t="s">
        <v>974</v>
      </c>
      <c r="E539" s="6" t="s">
        <v>1277</v>
      </c>
      <c r="G539" s="6" t="s">
        <v>1164</v>
      </c>
      <c r="H539" s="6" t="s">
        <v>160</v>
      </c>
      <c r="J539" s="6" t="s">
        <v>26</v>
      </c>
      <c r="K539" s="6" t="s">
        <v>26</v>
      </c>
      <c r="L539" s="6" t="s">
        <v>160</v>
      </c>
      <c r="N539" s="6" t="s">
        <v>1023</v>
      </c>
      <c r="O539" s="6" t="s">
        <v>1611</v>
      </c>
      <c r="P539" s="6" t="n">
        <v>1</v>
      </c>
      <c r="Q539" s="6" t="s">
        <v>1138</v>
      </c>
      <c r="R539" s="6" t="s">
        <v>1152</v>
      </c>
      <c r="AB539" s="31" t="n">
        <v>170489.75</v>
      </c>
      <c r="AE539" s="6" t="n">
        <v>170489.75</v>
      </c>
      <c r="AF539" s="6" t="s">
        <v>1063</v>
      </c>
      <c r="AG539" s="6" t="n">
        <v>0</v>
      </c>
      <c r="AH539" s="30" t="s">
        <v>1169</v>
      </c>
      <c r="AI539" s="6" t="n">
        <v>0</v>
      </c>
      <c r="AJ539" s="6" t="s">
        <v>160</v>
      </c>
      <c r="AK539" s="6" t="s">
        <v>988</v>
      </c>
      <c r="AL539" s="6" t="s">
        <v>160</v>
      </c>
      <c r="AM539" s="6" t="n">
        <v>0</v>
      </c>
      <c r="AQ539" s="6" t="s">
        <v>975</v>
      </c>
      <c r="AR539" s="6" t="s">
        <v>57</v>
      </c>
    </row>
    <row r="540" customFormat="false" ht="15" hidden="false" customHeight="true" outlineLevel="0" collapsed="false">
      <c r="A540" s="6" t="s">
        <v>1742</v>
      </c>
      <c r="B540" s="6" t="s">
        <v>1063</v>
      </c>
      <c r="C540" s="6" t="s">
        <v>1742</v>
      </c>
      <c r="D540" s="6" t="s">
        <v>977</v>
      </c>
      <c r="E540" s="6" t="s">
        <v>1245</v>
      </c>
      <c r="G540" s="6" t="s">
        <v>1164</v>
      </c>
      <c r="H540" s="6" t="s">
        <v>238</v>
      </c>
      <c r="J540" s="6" t="s">
        <v>26</v>
      </c>
      <c r="K540" s="6" t="s">
        <v>26</v>
      </c>
      <c r="L540" s="6" t="s">
        <v>238</v>
      </c>
      <c r="N540" s="6" t="s">
        <v>1023</v>
      </c>
      <c r="O540" s="6" t="s">
        <v>1611</v>
      </c>
      <c r="P540" s="6" t="n">
        <v>1</v>
      </c>
      <c r="Q540" s="6" t="s">
        <v>1138</v>
      </c>
      <c r="R540" s="6" t="s">
        <v>1152</v>
      </c>
      <c r="AB540" s="31" t="n">
        <v>170489.75</v>
      </c>
      <c r="AE540" s="6" t="n">
        <v>170489.75</v>
      </c>
      <c r="AF540" s="6" t="s">
        <v>1063</v>
      </c>
      <c r="AG540" s="6" t="n">
        <v>0</v>
      </c>
      <c r="AH540" s="30" t="s">
        <v>1165</v>
      </c>
      <c r="AI540" s="6" t="n">
        <v>0</v>
      </c>
      <c r="AJ540" s="6" t="s">
        <v>238</v>
      </c>
      <c r="AK540" s="6" t="s">
        <v>988</v>
      </c>
      <c r="AL540" s="6" t="s">
        <v>238</v>
      </c>
      <c r="AM540" s="6" t="n">
        <v>0</v>
      </c>
      <c r="AQ540" s="6" t="s">
        <v>976</v>
      </c>
      <c r="AR540" s="6" t="s">
        <v>57</v>
      </c>
    </row>
    <row r="541" customFormat="false" ht="15" hidden="false" customHeight="true" outlineLevel="0" collapsed="false">
      <c r="A541" s="6" t="s">
        <v>1743</v>
      </c>
      <c r="B541" s="6" t="s">
        <v>1063</v>
      </c>
      <c r="C541" s="6" t="s">
        <v>1743</v>
      </c>
      <c r="D541" s="6" t="s">
        <v>916</v>
      </c>
      <c r="E541" s="6" t="s">
        <v>1505</v>
      </c>
      <c r="G541" s="6" t="s">
        <v>1164</v>
      </c>
      <c r="H541" s="6" t="s">
        <v>160</v>
      </c>
      <c r="J541" s="6" t="s">
        <v>26</v>
      </c>
      <c r="K541" s="6" t="s">
        <v>26</v>
      </c>
      <c r="L541" s="6" t="s">
        <v>160</v>
      </c>
      <c r="N541" s="6" t="s">
        <v>1023</v>
      </c>
      <c r="O541" s="6" t="s">
        <v>1696</v>
      </c>
      <c r="P541" s="6" t="n">
        <v>1</v>
      </c>
      <c r="Q541" s="6" t="s">
        <v>1138</v>
      </c>
      <c r="R541" s="6" t="s">
        <v>1152</v>
      </c>
      <c r="AB541" s="31" t="n">
        <v>122571.75</v>
      </c>
      <c r="AE541" s="6" t="n">
        <v>122571.75</v>
      </c>
      <c r="AF541" s="6" t="s">
        <v>1063</v>
      </c>
      <c r="AG541" s="6" t="n">
        <v>0</v>
      </c>
      <c r="AH541" s="30" t="s">
        <v>1169</v>
      </c>
      <c r="AI541" s="6" t="n">
        <v>0</v>
      </c>
      <c r="AJ541" s="6" t="s">
        <v>160</v>
      </c>
      <c r="AK541" s="6" t="s">
        <v>988</v>
      </c>
      <c r="AL541" s="6" t="s">
        <v>160</v>
      </c>
      <c r="AM541" s="6" t="n">
        <v>0</v>
      </c>
      <c r="AQ541" s="6" t="s">
        <v>978</v>
      </c>
      <c r="AR541" s="6" t="s">
        <v>57</v>
      </c>
    </row>
  </sheetData>
  <sheetProtection sheet="true" password="c5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08.75" hidden="false" customHeight="true" outlineLevel="0" collapsed="false">
      <c r="B1" s="12" t="s">
        <v>1744</v>
      </c>
    </row>
    <row r="2" customFormat="false" ht="15" hidden="false" customHeight="true" outlineLevel="0" collapsed="false">
      <c r="B2" s="4" t="s">
        <v>1745</v>
      </c>
      <c r="C2" s="4" t="n">
        <v>1</v>
      </c>
    </row>
    <row r="3" customFormat="false" ht="15" hidden="false" customHeight="true" outlineLevel="0" collapsed="false">
      <c r="B3" s="4" t="s">
        <v>1746</v>
      </c>
      <c r="C3" s="4" t="n">
        <v>2</v>
      </c>
    </row>
    <row r="4" customFormat="false" ht="15" hidden="false" customHeight="true" outlineLevel="0" collapsed="false">
      <c r="B4" s="4" t="s">
        <v>1747</v>
      </c>
      <c r="C4" s="4" t="n">
        <v>3</v>
      </c>
    </row>
    <row r="5" customFormat="false" ht="15" hidden="false" customHeight="true" outlineLevel="0" collapsed="false">
      <c r="B5" s="4" t="s">
        <v>64</v>
      </c>
      <c r="C5" s="4" t="n">
        <v>4</v>
      </c>
    </row>
    <row r="6" customFormat="false" ht="15" hidden="false" customHeight="true" outlineLevel="0" collapsed="false">
      <c r="B6" s="4" t="s">
        <v>1748</v>
      </c>
      <c r="C6" s="4" t="n">
        <v>5</v>
      </c>
    </row>
    <row r="7" customFormat="false" ht="15" hidden="false" customHeight="true" outlineLevel="0" collapsed="false">
      <c r="B7" s="4" t="s">
        <v>1749</v>
      </c>
      <c r="C7" s="4" t="n">
        <v>6</v>
      </c>
    </row>
    <row r="8" customFormat="false" ht="15" hidden="false" customHeight="true" outlineLevel="0" collapsed="false">
      <c r="B8" s="4" t="s">
        <v>710</v>
      </c>
      <c r="C8" s="4" t="n">
        <v>7</v>
      </c>
    </row>
    <row r="9" customFormat="false" ht="15" hidden="false" customHeight="true" outlineLevel="0" collapsed="false">
      <c r="B9" s="4" t="s">
        <v>1750</v>
      </c>
      <c r="C9" s="4" t="n">
        <v>8</v>
      </c>
    </row>
    <row r="10" customFormat="false" ht="15" hidden="false" customHeight="true" outlineLevel="0" collapsed="false">
      <c r="B10" s="4" t="s">
        <v>1751</v>
      </c>
      <c r="C10" s="4" t="n">
        <v>9</v>
      </c>
    </row>
    <row r="11" customFormat="false" ht="15" hidden="false" customHeight="true" outlineLevel="0" collapsed="false">
      <c r="B11" s="4" t="s">
        <v>1752</v>
      </c>
      <c r="C11" s="4" t="n">
        <v>10</v>
      </c>
    </row>
    <row r="12" customFormat="false" ht="27.75" hidden="false" customHeight="true" outlineLevel="0" collapsed="false">
      <c r="B12" s="4" t="s">
        <v>1753</v>
      </c>
      <c r="C12" s="4" t="n">
        <v>11</v>
      </c>
    </row>
    <row r="13" customFormat="false" ht="15" hidden="false" customHeight="true" outlineLevel="0" collapsed="false">
      <c r="B13" s="4" t="s">
        <v>1754</v>
      </c>
      <c r="C13" s="4" t="n">
        <v>12</v>
      </c>
    </row>
    <row r="14" customFormat="false" ht="15" hidden="false" customHeight="true" outlineLevel="0" collapsed="false">
      <c r="B14" s="4" t="s">
        <v>1755</v>
      </c>
      <c r="C14" s="4" t="n">
        <v>13</v>
      </c>
    </row>
    <row r="15" customFormat="false" ht="15" hidden="false" customHeight="true" outlineLevel="0" collapsed="false">
      <c r="B15" s="4" t="s">
        <v>1756</v>
      </c>
      <c r="C15" s="4" t="n">
        <v>14</v>
      </c>
    </row>
    <row r="16" customFormat="false" ht="15" hidden="false" customHeight="true" outlineLevel="0" collapsed="false">
      <c r="B16" s="4" t="s">
        <v>1757</v>
      </c>
      <c r="C16" s="4" t="n">
        <v>15</v>
      </c>
    </row>
    <row r="17" customFormat="false" ht="15" hidden="false" customHeight="true" outlineLevel="0" collapsed="false">
      <c r="B17" s="4" t="s">
        <v>1758</v>
      </c>
      <c r="C17" s="4" t="n">
        <v>16</v>
      </c>
    </row>
    <row r="18" customFormat="false" ht="15" hidden="false" customHeight="true" outlineLevel="0" collapsed="false">
      <c r="B18" s="4" t="s">
        <v>1759</v>
      </c>
      <c r="C18" s="4" t="n">
        <v>17</v>
      </c>
    </row>
    <row r="19" customFormat="false" ht="15" hidden="false" customHeight="true" outlineLevel="0" collapsed="false">
      <c r="B19" s="4" t="s">
        <v>1760</v>
      </c>
      <c r="C19" s="4" t="n">
        <v>18</v>
      </c>
    </row>
  </sheetData>
  <sheetProtection sheet="true" password="c5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2026-08-12T03:57:25Z</dcterms:created>
  <dc:creator>openpyxl</dc:creator>
  <dc:description/>
  <dc:language>en-US</dc:language>
  <cp:lastModifiedBy/>
  <dcterms:modified xsi:type="dcterms:W3CDTF">2026-08-12T04:16:39Z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