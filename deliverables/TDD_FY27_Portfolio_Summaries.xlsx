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7.xml" ContentType="application/vnd.openxmlformats-officedocument.drawing+xml"/>
  <Override PartName="/xl/drawings/drawing6.xml" ContentType="application/vnd.openxmlformats-officedocument.drawing+xml"/>
  <Override PartName="/xl/drawings/drawing5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9.xml.rels" ContentType="application/vnd.openxmlformats-package.relationships+xml"/>
  <Override PartName="/xl/drawings/_rels/drawing12.xml.rels" ContentType="application/vnd.openxmlformats-package.relationships+xml"/>
  <Override PartName="/xl/drawings/_rels/drawing7.xml.rels" ContentType="application/vnd.openxmlformats-package.relationships+xml"/>
  <Override PartName="/xl/drawings/_rels/drawing11.xml.rels" ContentType="application/vnd.openxmlformats-package.relationships+xml"/>
  <Override PartName="/xl/drawings/_rels/drawing6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charts/chart9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DD Dashboard" sheetId="1" state="visible" r:id="rId3"/>
    <sheet name="Ampol Retail" sheetId="2" state="visible" r:id="rId4"/>
    <sheet name="Z Retail" sheetId="3" state="visible" r:id="rId5"/>
    <sheet name="Ampol Customer" sheetId="4" state="visible" r:id="rId6"/>
    <sheet name="Z Customer" sheetId="5" state="visible" r:id="rId7"/>
    <sheet name="Commercial Fuels" sheetId="6" state="visible" r:id="rId8"/>
    <sheet name="Energy Solutions &amp; B2B" sheetId="7" state="visible" r:id="rId9"/>
    <sheet name="Infrastructure" sheetId="8" state="visible" r:id="rId10"/>
    <sheet name="P&amp;C" sheetId="9" state="visible" r:id="rId11"/>
    <sheet name="Finance" sheetId="10" state="visible" r:id="rId12"/>
    <sheet name="TDD Group Functions" sheetId="11" state="visible" r:id="rId13"/>
    <sheet name="Enterprise Data" sheetId="12" state="visible" r:id="rId14"/>
    <sheet name="TDD Cyber" sheetId="13" state="visible" r:id="rId15"/>
    <sheet name="EGI" sheetId="14" state="visible" r:id="rId16"/>
    <sheet name="Platforms" sheetId="15" state="visible" r:id="rId17"/>
    <sheet name="Squads" sheetId="16" state="visible" r:id="rId18"/>
    <sheet name="Assumptions" sheetId="17" state="visible" r:id="rId19"/>
    <sheet name="Role data" sheetId="18" state="visible" r:id="rId20"/>
    <sheet name="REVIEW - Complete Role Mapping" sheetId="19" state="visible" r:id="rId21"/>
    <sheet name="2.1 Ampol Retail" sheetId="20" state="visible" r:id="rId22"/>
    <sheet name="2.2 Customer" sheetId="21" state="visible" r:id="rId23"/>
    <sheet name="2.3 Enterprise Data" sheetId="22" state="visible" r:id="rId24"/>
    <sheet name="2.4 TDD Group Functions" sheetId="23" state="visible" r:id="rId25"/>
    <sheet name="2.5 P&amp;C" sheetId="24" state="visible" r:id="rId26"/>
    <sheet name="2.6 Finance" sheetId="25" state="visible" r:id="rId27"/>
    <sheet name="2.7 Infrastructure" sheetId="26" state="visible" r:id="rId28"/>
    <sheet name="2.8 Energy Solutions &amp; B2B" sheetId="27" state="visible" r:id="rId29"/>
    <sheet name="2.9 Commercial Fuels" sheetId="28" state="visible" r:id="rId30"/>
    <sheet name="2.10 Z Retail" sheetId="29" state="visible" r:id="rId31"/>
    <sheet name="2.11 COE Cyber" sheetId="30" state="visible" r:id="rId32"/>
    <sheet name="2.12 COE BP&amp;T" sheetId="31" state="visible" r:id="rId33"/>
    <sheet name="2.13 COE SA&amp;D" sheetId="32" state="visible" r:id="rId34"/>
    <sheet name="2.14 EGI" sheetId="33" state="visible" r:id="rId35"/>
    <sheet name="2.15 TDD Cyber" sheetId="34" state="visible" r:id="rId36"/>
    <sheet name="2.16 COE Service Ops" sheetId="35" state="visible" r:id="rId37"/>
  </sheets>
  <definedNames>
    <definedName function="false" hidden="false" localSheetId="3" name="_xlnm.Print_Area" vbProcedure="false">'Ampol Customer'!$B$1:$R$82</definedName>
    <definedName function="false" hidden="false" localSheetId="1" name="_xlnm.Print_Area" vbProcedure="false">'Ampol Retail'!$B$1:$R$91</definedName>
    <definedName function="false" hidden="false" localSheetId="5" name="_xlnm.Print_Area" vbProcedure="false">'Commercial Fuels'!$B$1:$R$59</definedName>
    <definedName function="false" hidden="false" localSheetId="13" name="_xlnm.Print_Area" vbProcedure="false">EGI!$B$1:$R$28</definedName>
    <definedName function="false" hidden="false" localSheetId="6" name="_xlnm.Print_Area" vbProcedure="false">'Energy Solutions &amp; B2B'!$B$1:$R$49</definedName>
    <definedName function="false" hidden="false" localSheetId="11" name="_xlnm.Print_Area" vbProcedure="false">'Enterprise Data'!$B$1:$R$58</definedName>
    <definedName function="false" hidden="false" localSheetId="9" name="_xlnm.Print_Area" vbProcedure="false">Finance!$B$1:$R$31</definedName>
    <definedName function="false" hidden="false" localSheetId="7" name="_xlnm.Print_Area" vbProcedure="false">Infrastructure!$B$1:$R$54</definedName>
    <definedName function="false" hidden="false" localSheetId="8" name="_xlnm.Print_Area" vbProcedure="false">'P&amp;C'!$B$1:$R$33</definedName>
    <definedName function="false" hidden="false" localSheetId="14" name="_xlnm.Print_Area" vbProcedure="false">Platforms!$B$1:$H$31</definedName>
    <definedName function="false" hidden="false" localSheetId="15" name="_xlnm.Print_Area" vbProcedure="false">Squads!$B$1:$I$46</definedName>
    <definedName function="false" hidden="false" localSheetId="12" name="_xlnm.Print_Area" vbProcedure="false">'TDD Cyber'!$B$1:$R$26</definedName>
    <definedName function="false" hidden="false" localSheetId="0" name="_xlnm.Print_Area" vbProcedure="false">'TDD Dashboard'!$B$1:$R$50</definedName>
    <definedName function="false" hidden="false" localSheetId="10" name="_xlnm.Print_Area" vbProcedure="false">'TDD Group Functions'!$B$1:$R$67</definedName>
    <definedName function="false" hidden="false" localSheetId="4" name="_xlnm.Print_Area" vbProcedure="false">'Z Customer'!$B$1:$R$46</definedName>
    <definedName function="false" hidden="false" localSheetId="2" name="_xlnm.Print_Area" vbProcedure="false">'Z Retail'!$B$1:$R$56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<sst xmlns="http://schemas.openxmlformats.org/spreadsheetml/2006/main" count="23632" uniqueCount="2045">
  <si>
    <t xml:space="preserve">TDD corporate</t>
  </si>
  <si>
    <t xml:space="preserve">Labour cost total ($m)</t>
  </si>
  <si>
    <t xml:space="preserve">Lights on labour cost ($m)</t>
  </si>
  <si>
    <t xml:space="preserve">Lights on budget ($m)</t>
  </si>
  <si>
    <t xml:space="preserve">Over/(under) ($m)</t>
  </si>
  <si>
    <t xml:space="preserve">Lights on %</t>
  </si>
  <si>
    <t xml:space="preserve">Sig items labour cost ($m)</t>
  </si>
  <si>
    <t xml:space="preserve">Initiatives labour cost ($m)</t>
  </si>
  <si>
    <t xml:space="preserve">Portfolio or COE line</t>
  </si>
  <si>
    <t xml:space="preserve">Bridge</t>
  </si>
  <si>
    <t xml:space="preserve">Base</t>
  </si>
  <si>
    <t xml:space="preserve">Value</t>
  </si>
  <si>
    <t xml:space="preserve">Portfolios</t>
  </si>
  <si>
    <t xml:space="preserve">Lights on budget</t>
  </si>
  <si>
    <t xml:space="preserve">Ampol Retail</t>
  </si>
  <si>
    <t xml:space="preserve">Over/(under)</t>
  </si>
  <si>
    <t xml:space="preserve">Z Retail</t>
  </si>
  <si>
    <t xml:space="preserve">Lights on actual</t>
  </si>
  <si>
    <t xml:space="preserve">Ampol Customer</t>
  </si>
  <si>
    <t xml:space="preserve">Z Customer</t>
  </si>
  <si>
    <t xml:space="preserve">Commercial Fuels</t>
  </si>
  <si>
    <t xml:space="preserve">Line</t>
  </si>
  <si>
    <t xml:space="preserve">Energy Solutions &amp; B2B</t>
  </si>
  <si>
    <t xml:space="preserve">COE Data</t>
  </si>
  <si>
    <t xml:space="preserve">Infrastructure</t>
  </si>
  <si>
    <t xml:space="preserve">TDD Cyber</t>
  </si>
  <si>
    <t xml:space="preserve">P&amp;C</t>
  </si>
  <si>
    <t xml:space="preserve">COE Service Ops</t>
  </si>
  <si>
    <t xml:space="preserve">Finance</t>
  </si>
  <si>
    <t xml:space="preserve">COE Transformation</t>
  </si>
  <si>
    <t xml:space="preserve">TDD Group Functions</t>
  </si>
  <si>
    <t xml:space="preserve">Enterprise Data</t>
  </si>
  <si>
    <t xml:space="preserve">COE Cyber</t>
  </si>
  <si>
    <t xml:space="preserve">COE Business Partnering</t>
  </si>
  <si>
    <t xml:space="preserve">COE</t>
  </si>
  <si>
    <t xml:space="preserve">COE Strategy Architecture</t>
  </si>
  <si>
    <t xml:space="preserve">EGI</t>
  </si>
  <si>
    <t xml:space="preserve">Externally funded</t>
  </si>
  <si>
    <t xml:space="preserve">Total</t>
  </si>
  <si>
    <t xml:space="preserve">ID</t>
  </si>
  <si>
    <t xml:space="preserve">Name</t>
  </si>
  <si>
    <t xml:space="preserve">Role</t>
  </si>
  <si>
    <t xml:space="preserve">Status</t>
  </si>
  <si>
    <t xml:space="preserve">Vacancy lever</t>
  </si>
  <si>
    <t xml:space="preserve">Planned start (FY27)</t>
  </si>
  <si>
    <t xml:space="preserve">Role cost ($)</t>
  </si>
  <si>
    <t xml:space="preserve">Cost after levers ($)</t>
  </si>
  <si>
    <t xml:space="preserve">Squad</t>
  </si>
  <si>
    <t xml:space="preserve">Above Store</t>
  </si>
  <si>
    <t xml:space="preserve">Data AU</t>
  </si>
  <si>
    <t xml:space="preserve">R0262</t>
  </si>
  <si>
    <t xml:space="preserve">Zhan Zhang</t>
  </si>
  <si>
    <t xml:space="preserve">Solution Architect</t>
  </si>
  <si>
    <t xml:space="preserve">Filled</t>
  </si>
  <si>
    <t xml:space="preserve">Payments</t>
  </si>
  <si>
    <t xml:space="preserve">R0356</t>
  </si>
  <si>
    <t xml:space="preserve">Joseph Maroun</t>
  </si>
  <si>
    <t xml:space="preserve">Systems Analyst</t>
  </si>
  <si>
    <t xml:space="preserve">POS</t>
  </si>
  <si>
    <t xml:space="preserve">R0357</t>
  </si>
  <si>
    <t xml:space="preserve">Majdi Abedi</t>
  </si>
  <si>
    <t xml:space="preserve">Deployment</t>
  </si>
  <si>
    <t xml:space="preserve">R0358</t>
  </si>
  <si>
    <t xml:space="preserve">Pahul Oberoi</t>
  </si>
  <si>
    <t xml:space="preserve">Network &amp; QSR</t>
  </si>
  <si>
    <t xml:space="preserve">R0359</t>
  </si>
  <si>
    <t xml:space="preserve">Sao Keawprasit</t>
  </si>
  <si>
    <t xml:space="preserve">Store Operations</t>
  </si>
  <si>
    <t xml:space="preserve">R0360</t>
  </si>
  <si>
    <t xml:space="preserve">Vacant</t>
  </si>
  <si>
    <t xml:space="preserve">Engineer - Integration</t>
  </si>
  <si>
    <t xml:space="preserve">Offshore</t>
  </si>
  <si>
    <t xml:space="preserve">R0361</t>
  </si>
  <si>
    <t xml:space="preserve">Vijay Patel</t>
  </si>
  <si>
    <t xml:space="preserve">R0362</t>
  </si>
  <si>
    <t xml:space="preserve">Zuan Zheng</t>
  </si>
  <si>
    <t xml:space="preserve">R0395</t>
  </si>
  <si>
    <t xml:space="preserve">Business Analyst</t>
  </si>
  <si>
    <t xml:space="preserve">Hold</t>
  </si>
  <si>
    <t xml:space="preserve">R0467</t>
  </si>
  <si>
    <t xml:space="preserve">Quality Assurance</t>
  </si>
  <si>
    <t xml:space="preserve">R0468</t>
  </si>
  <si>
    <t xml:space="preserve">Hire</t>
  </si>
  <si>
    <t xml:space="preserve">R0235</t>
  </si>
  <si>
    <t xml:space="preserve">Delivery Lead</t>
  </si>
  <si>
    <t xml:space="preserve">R0320</t>
  </si>
  <si>
    <t xml:space="preserve">Data Analyst</t>
  </si>
  <si>
    <t xml:space="preserve">R0321</t>
  </si>
  <si>
    <t xml:space="preserve">R0322</t>
  </si>
  <si>
    <t xml:space="preserve">Engineer - Data</t>
  </si>
  <si>
    <t xml:space="preserve">R0323</t>
  </si>
  <si>
    <t xml:space="preserve">R0324</t>
  </si>
  <si>
    <t xml:space="preserve">R0259</t>
  </si>
  <si>
    <t xml:space="preserve">Matthew Patane</t>
  </si>
  <si>
    <t xml:space="preserve">Release &amp; Deployment Manager</t>
  </si>
  <si>
    <t xml:space="preserve">R0327</t>
  </si>
  <si>
    <t xml:space="preserve">Aniket Banerji</t>
  </si>
  <si>
    <t xml:space="preserve">Deployment Lead</t>
  </si>
  <si>
    <t xml:space="preserve">R0328</t>
  </si>
  <si>
    <t xml:space="preserve">Deepak Kubendran</t>
  </si>
  <si>
    <t xml:space="preserve">Project Manager – Deployments</t>
  </si>
  <si>
    <t xml:space="preserve">R0400</t>
  </si>
  <si>
    <t xml:space="preserve">Anthony Dumbrell</t>
  </si>
  <si>
    <t xml:space="preserve">Technology &amp; Lab Specialist Stores</t>
  </si>
  <si>
    <t xml:space="preserve">R0497</t>
  </si>
  <si>
    <t xml:space="preserve">Violeta Trajkovski</t>
  </si>
  <si>
    <t xml:space="preserve">Deployment Coordinator</t>
  </si>
  <si>
    <t xml:space="preserve">R0396</t>
  </si>
  <si>
    <t xml:space="preserve">R0398</t>
  </si>
  <si>
    <t xml:space="preserve">Vanessa Trujillo Munoz</t>
  </si>
  <si>
    <t xml:space="preserve">R0401</t>
  </si>
  <si>
    <t xml:space="preserve">Javier Aguirre Castellanos</t>
  </si>
  <si>
    <t xml:space="preserve">R0487</t>
  </si>
  <si>
    <t xml:space="preserve">Adrian Lueng</t>
  </si>
  <si>
    <t xml:space="preserve">R0488</t>
  </si>
  <si>
    <t xml:space="preserve">Santiago Hernandez Arevalo</t>
  </si>
  <si>
    <t xml:space="preserve">R0489</t>
  </si>
  <si>
    <t xml:space="preserve">R0255</t>
  </si>
  <si>
    <t xml:space="preserve">Lead Quality Assurance</t>
  </si>
  <si>
    <t xml:space="preserve">R0381</t>
  </si>
  <si>
    <t xml:space="preserve">Release &amp; Environments Manager</t>
  </si>
  <si>
    <t xml:space="preserve">Q2</t>
  </si>
  <si>
    <t xml:space="preserve">R0393</t>
  </si>
  <si>
    <t xml:space="preserve">Engineer Integration</t>
  </si>
  <si>
    <t xml:space="preserve">R0397</t>
  </si>
  <si>
    <t xml:space="preserve">R0477</t>
  </si>
  <si>
    <t xml:space="preserve">R0478</t>
  </si>
  <si>
    <t xml:space="preserve">R0479</t>
  </si>
  <si>
    <t xml:space="preserve">R0486</t>
  </si>
  <si>
    <t xml:space="preserve">R0392</t>
  </si>
  <si>
    <t xml:space="preserve">Sayan Kar</t>
  </si>
  <si>
    <t xml:space="preserve">R0399</t>
  </si>
  <si>
    <t xml:space="preserve">Venkat Kedharanathan</t>
  </si>
  <si>
    <t xml:space="preserve">Senior Business Analyst</t>
  </si>
  <si>
    <t xml:space="preserve">R0485</t>
  </si>
  <si>
    <t xml:space="preserve">R0499</t>
  </si>
  <si>
    <t xml:space="preserve">Beenu Murali</t>
  </si>
  <si>
    <t xml:space="preserve">R0258</t>
  </si>
  <si>
    <t xml:space="preserve">Ephraim Adan</t>
  </si>
  <si>
    <t xml:space="preserve">Manager - AU Retail Operations</t>
  </si>
  <si>
    <t xml:space="preserve">R0389</t>
  </si>
  <si>
    <t xml:space="preserve">Karthikeyan Kuppan</t>
  </si>
  <si>
    <t xml:space="preserve">Lead - AU Retail Operations</t>
  </si>
  <si>
    <t xml:space="preserve">R0394</t>
  </si>
  <si>
    <t xml:space="preserve">Support Analyst -Retail</t>
  </si>
  <si>
    <t xml:space="preserve">R0435</t>
  </si>
  <si>
    <t xml:space="preserve">Geoff Goddard</t>
  </si>
  <si>
    <t xml:space="preserve">Field Systems Operations Lead - VIC</t>
  </si>
  <si>
    <t xml:space="preserve">R0436</t>
  </si>
  <si>
    <t xml:space="preserve">Gerald Aguas</t>
  </si>
  <si>
    <t xml:space="preserve">Field Systems Operations Lead - NSW</t>
  </si>
  <si>
    <t xml:space="preserve">R0437</t>
  </si>
  <si>
    <t xml:space="preserve">Tuan Edwards</t>
  </si>
  <si>
    <t xml:space="preserve">Field Systems Operations Lead - QLD</t>
  </si>
  <si>
    <t xml:space="preserve">R0438</t>
  </si>
  <si>
    <t xml:space="preserve">Andrew Whitford</t>
  </si>
  <si>
    <t xml:space="preserve">Field Systems Operations Lead - WA</t>
  </si>
  <si>
    <t xml:space="preserve">R0439</t>
  </si>
  <si>
    <t xml:space="preserve">Patrick Ericson Nario</t>
  </si>
  <si>
    <t xml:space="preserve">Support Analyst - Field Operations</t>
  </si>
  <si>
    <t xml:space="preserve">AmPOS</t>
  </si>
  <si>
    <t xml:space="preserve">R0121</t>
  </si>
  <si>
    <t xml:space="preserve">Kate Johnstone</t>
  </si>
  <si>
    <t xml:space="preserve">Program Manager POS</t>
  </si>
  <si>
    <t xml:space="preserve">R0194</t>
  </si>
  <si>
    <t xml:space="preserve">Kevin Nelson</t>
  </si>
  <si>
    <t xml:space="preserve">R0224</t>
  </si>
  <si>
    <t xml:space="preserve">Victor Beuk</t>
  </si>
  <si>
    <t xml:space="preserve">R0256</t>
  </si>
  <si>
    <t xml:space="preserve">Balaji Murugan</t>
  </si>
  <si>
    <t xml:space="preserve">R0257</t>
  </si>
  <si>
    <t xml:space="preserve">Irfan Zavahir</t>
  </si>
  <si>
    <t xml:space="preserve">R0377</t>
  </si>
  <si>
    <t xml:space="preserve">Hardik Trivedi</t>
  </si>
  <si>
    <t xml:space="preserve">Snr Business Analyst</t>
  </si>
  <si>
    <t xml:space="preserve">R0390</t>
  </si>
  <si>
    <t xml:space="preserve">Mick Standen</t>
  </si>
  <si>
    <t xml:space="preserve">R0391</t>
  </si>
  <si>
    <t xml:space="preserve">Peter Nicolopoulos</t>
  </si>
  <si>
    <t xml:space="preserve">R0476</t>
  </si>
  <si>
    <t xml:space="preserve">Karthick Sathiyamoorthy</t>
  </si>
  <si>
    <t xml:space="preserve">R0500</t>
  </si>
  <si>
    <t xml:space="preserve">Tabitha Raharadjo</t>
  </si>
  <si>
    <t xml:space="preserve">Project Coordinator</t>
  </si>
  <si>
    <t xml:space="preserve">EGI Retail</t>
  </si>
  <si>
    <t xml:space="preserve">R0040</t>
  </si>
  <si>
    <t xml:space="preserve">Alex Prakhiy</t>
  </si>
  <si>
    <t xml:space="preserve">R0164</t>
  </si>
  <si>
    <t xml:space="preserve">Sjoerd Van Sluijs</t>
  </si>
  <si>
    <t xml:space="preserve">Senior PM PEP1, PEP18</t>
  </si>
  <si>
    <t xml:space="preserve">R0231</t>
  </si>
  <si>
    <t xml:space="preserve">Anne Pretorius</t>
  </si>
  <si>
    <t xml:space="preserve">Lead Business Analyst</t>
  </si>
  <si>
    <t xml:space="preserve">R0260</t>
  </si>
  <si>
    <t xml:space="preserve">Navneet Singh</t>
  </si>
  <si>
    <t xml:space="preserve">R0261</t>
  </si>
  <si>
    <t xml:space="preserve">Sendhil Vinayagam (75% EGI)</t>
  </si>
  <si>
    <t xml:space="preserve">R0402</t>
  </si>
  <si>
    <t xml:space="preserve">Marty O'Shea</t>
  </si>
  <si>
    <t xml:space="preserve">Head of Technology</t>
  </si>
  <si>
    <t xml:space="preserve">R0066</t>
  </si>
  <si>
    <t xml:space="preserve">Madan Murthy</t>
  </si>
  <si>
    <t xml:space="preserve">Head of Technology, AU Retail</t>
  </si>
  <si>
    <t xml:space="preserve">Delivery Manager</t>
  </si>
  <si>
    <t xml:space="preserve">R0094</t>
  </si>
  <si>
    <t xml:space="preserve">Vanessa Allen</t>
  </si>
  <si>
    <t xml:space="preserve">Technology Manager</t>
  </si>
  <si>
    <t xml:space="preserve">R0093</t>
  </si>
  <si>
    <t xml:space="preserve">Tracy Lee Reaper</t>
  </si>
  <si>
    <t xml:space="preserve">Technology Manager, Merchandising &amp; WFM</t>
  </si>
  <si>
    <t xml:space="preserve">R0095</t>
  </si>
  <si>
    <t xml:space="preserve">Vedran Jukic</t>
  </si>
  <si>
    <t xml:space="preserve">Technology Manager, Retail</t>
  </si>
  <si>
    <t xml:space="preserve">R0115</t>
  </si>
  <si>
    <t xml:space="preserve">Vaishnavi Viswanathan</t>
  </si>
  <si>
    <t xml:space="preserve">Technology Manager, Store Platform</t>
  </si>
  <si>
    <t xml:space="preserve">Data NZ</t>
  </si>
  <si>
    <t xml:space="preserve">R0236</t>
  </si>
  <si>
    <t xml:space="preserve">Site Systems</t>
  </si>
  <si>
    <t xml:space="preserve">R0325</t>
  </si>
  <si>
    <t xml:space="preserve">Z Supply</t>
  </si>
  <si>
    <t xml:space="preserve">R0454</t>
  </si>
  <si>
    <t xml:space="preserve">Ash Muthumala</t>
  </si>
  <si>
    <t xml:space="preserve">Senior QA Analyst</t>
  </si>
  <si>
    <t xml:space="preserve">Z Retail Backend</t>
  </si>
  <si>
    <t xml:space="preserve">R0455</t>
  </si>
  <si>
    <t xml:space="preserve">Brian Lai</t>
  </si>
  <si>
    <t xml:space="preserve">R0456</t>
  </si>
  <si>
    <t xml:space="preserve">Jodie Marquez</t>
  </si>
  <si>
    <t xml:space="preserve">R0457</t>
  </si>
  <si>
    <t xml:space="preserve">McKenzie Tournquist</t>
  </si>
  <si>
    <t xml:space="preserve">R0513</t>
  </si>
  <si>
    <t xml:space="preserve">Michael Dasan</t>
  </si>
  <si>
    <t xml:space="preserve">R0149</t>
  </si>
  <si>
    <t xml:space="preserve">Chris Wilson</t>
  </si>
  <si>
    <t xml:space="preserve">R0151</t>
  </si>
  <si>
    <t xml:space="preserve">Kelly Russell</t>
  </si>
  <si>
    <t xml:space="preserve">R0152</t>
  </si>
  <si>
    <t xml:space="preserve">Vanessa King</t>
  </si>
  <si>
    <t xml:space="preserve">R0234</t>
  </si>
  <si>
    <t xml:space="preserve">Tim Gurnsey</t>
  </si>
  <si>
    <t xml:space="preserve">R0420</t>
  </si>
  <si>
    <t xml:space="preserve">Chris Mitchell</t>
  </si>
  <si>
    <t xml:space="preserve">R0421</t>
  </si>
  <si>
    <t xml:space="preserve">Sakshi Sachdeva</t>
  </si>
  <si>
    <t xml:space="preserve">Senior Quality Assurance </t>
  </si>
  <si>
    <t xml:space="preserve">R0422</t>
  </si>
  <si>
    <t xml:space="preserve">Warren Grieve</t>
  </si>
  <si>
    <t xml:space="preserve">Senior Site Systems Analyst</t>
  </si>
  <si>
    <t xml:space="preserve">R0493</t>
  </si>
  <si>
    <t xml:space="preserve">Bradley Cunningham</t>
  </si>
  <si>
    <t xml:space="preserve">Site Systems Analyst</t>
  </si>
  <si>
    <t xml:space="preserve">R0505</t>
  </si>
  <si>
    <t xml:space="preserve">Alex Sutherland</t>
  </si>
  <si>
    <t xml:space="preserve">R0150</t>
  </si>
  <si>
    <t xml:space="preserve">Christian Guo</t>
  </si>
  <si>
    <t xml:space="preserve">R0162</t>
  </si>
  <si>
    <t xml:space="preserve">Trevor Weaver</t>
  </si>
  <si>
    <t xml:space="preserve">Lead  Engineer - Software</t>
  </si>
  <si>
    <t xml:space="preserve">R0163</t>
  </si>
  <si>
    <t xml:space="preserve">R0233</t>
  </si>
  <si>
    <t xml:space="preserve">Mark Dickson</t>
  </si>
  <si>
    <t xml:space="preserve">R0299</t>
  </si>
  <si>
    <t xml:space="preserve">Engineer - Software</t>
  </si>
  <si>
    <t xml:space="preserve">R0431</t>
  </si>
  <si>
    <t xml:space="preserve">Adrian Alcance</t>
  </si>
  <si>
    <t xml:space="preserve">Senior Engineer - DevOps</t>
  </si>
  <si>
    <t xml:space="preserve">R0433</t>
  </si>
  <si>
    <t xml:space="preserve">Malachi Ah Hoi</t>
  </si>
  <si>
    <t xml:space="preserve">Senior Quality Assurance</t>
  </si>
  <si>
    <t xml:space="preserve">R0517</t>
  </si>
  <si>
    <t xml:space="preserve">Allana Arbuckle</t>
  </si>
  <si>
    <t xml:space="preserve">R0520</t>
  </si>
  <si>
    <t xml:space="preserve">Lauren Lancaster</t>
  </si>
  <si>
    <t xml:space="preserve">Associate Engineer - Software</t>
  </si>
  <si>
    <t xml:space="preserve">R0161</t>
  </si>
  <si>
    <t xml:space="preserve">Benjamin Sheffield</t>
  </si>
  <si>
    <t xml:space="preserve">Lead Engineer - Software</t>
  </si>
  <si>
    <t xml:space="preserve">R0232</t>
  </si>
  <si>
    <t xml:space="preserve">Helen Jones</t>
  </si>
  <si>
    <t xml:space="preserve">R0298</t>
  </si>
  <si>
    <t xml:space="preserve">Isuru Herath</t>
  </si>
  <si>
    <t xml:space="preserve">Senior Engineer - Software</t>
  </si>
  <si>
    <t xml:space="preserve">R0432</t>
  </si>
  <si>
    <t xml:space="preserve">Joe Kuttikkatt</t>
  </si>
  <si>
    <t xml:space="preserve">R0434</t>
  </si>
  <si>
    <t xml:space="preserve">R0472</t>
  </si>
  <si>
    <t xml:space="preserve">Anna Koot</t>
  </si>
  <si>
    <t xml:space="preserve">R0508</t>
  </si>
  <si>
    <t xml:space="preserve">Gayan Liyana Arachchige</t>
  </si>
  <si>
    <t xml:space="preserve">Engineer - DevOps</t>
  </si>
  <si>
    <t xml:space="preserve">R0509</t>
  </si>
  <si>
    <t xml:space="preserve">Johanah Gloria</t>
  </si>
  <si>
    <t xml:space="preserve">R0519</t>
  </si>
  <si>
    <t xml:space="preserve">Eugene Yeo</t>
  </si>
  <si>
    <t xml:space="preserve">R0067</t>
  </si>
  <si>
    <t xml:space="preserve">Head of Technology, Z and Group Retail Platforms</t>
  </si>
  <si>
    <t xml:space="preserve">R0117</t>
  </si>
  <si>
    <t xml:space="preserve">R0107</t>
  </si>
  <si>
    <t xml:space="preserve">Emma Natoli</t>
  </si>
  <si>
    <t xml:space="preserve">Technology Manager, Engineering</t>
  </si>
  <si>
    <t xml:space="preserve">R0108</t>
  </si>
  <si>
    <t xml:space="preserve">Manjot Kaur Malli</t>
  </si>
  <si>
    <t xml:space="preserve">Technology Manager, Data</t>
  </si>
  <si>
    <t xml:space="preserve">R0116</t>
  </si>
  <si>
    <t xml:space="preserve">Callan McLaughlin</t>
  </si>
  <si>
    <t xml:space="preserve">Technology Manager, Site Systems</t>
  </si>
  <si>
    <t xml:space="preserve">Ampol App</t>
  </si>
  <si>
    <t xml:space="preserve">Digital Operations</t>
  </si>
  <si>
    <t xml:space="preserve">R0003</t>
  </si>
  <si>
    <t xml:space="preserve">Peter (Won) Lee</t>
  </si>
  <si>
    <t xml:space="preserve">Customer, AI</t>
  </si>
  <si>
    <t xml:space="preserve">R0025</t>
  </si>
  <si>
    <t xml:space="preserve">Annabel Phu</t>
  </si>
  <si>
    <t xml:space="preserve">Engineer - Mobile</t>
  </si>
  <si>
    <t xml:space="preserve">Ampol Loyalty &amp; Martech</t>
  </si>
  <si>
    <t xml:space="preserve">R0028</t>
  </si>
  <si>
    <t xml:space="preserve">Phillip Kewley</t>
  </si>
  <si>
    <t xml:space="preserve">Ampol Web</t>
  </si>
  <si>
    <t xml:space="preserve">R0029</t>
  </si>
  <si>
    <t xml:space="preserve">Sheetal Karkera</t>
  </si>
  <si>
    <t xml:space="preserve">Lead Engineer - Mobile</t>
  </si>
  <si>
    <t xml:space="preserve">R0037</t>
  </si>
  <si>
    <t xml:space="preserve">Anup Antony</t>
  </si>
  <si>
    <t xml:space="preserve">Engineer - BE</t>
  </si>
  <si>
    <t xml:space="preserve">R0127</t>
  </si>
  <si>
    <t xml:space="preserve">Penny Pennisi</t>
  </si>
  <si>
    <t xml:space="preserve">R0129</t>
  </si>
  <si>
    <t xml:space="preserve">Alisha Allport</t>
  </si>
  <si>
    <t xml:space="preserve">Principal Experience Designer</t>
  </si>
  <si>
    <t xml:space="preserve">R0131</t>
  </si>
  <si>
    <t xml:space="preserve">Maria Salman</t>
  </si>
  <si>
    <t xml:space="preserve">Experience Designer</t>
  </si>
  <si>
    <t xml:space="preserve">R0143</t>
  </si>
  <si>
    <t xml:space="preserve">Khalid Mahmud</t>
  </si>
  <si>
    <t xml:space="preserve">Lead Engineer - BE</t>
  </si>
  <si>
    <t xml:space="preserve">R0266</t>
  </si>
  <si>
    <t xml:space="preserve">Edwin Justin</t>
  </si>
  <si>
    <t xml:space="preserve">Senior Engineer - BE</t>
  </si>
  <si>
    <t xml:space="preserve">R0267</t>
  </si>
  <si>
    <t xml:space="preserve">Binumon Mathai</t>
  </si>
  <si>
    <t xml:space="preserve">R0269</t>
  </si>
  <si>
    <t xml:space="preserve">Raj Ganesan</t>
  </si>
  <si>
    <t xml:space="preserve">Engineer - Mobile (ios)</t>
  </si>
  <si>
    <t xml:space="preserve">R0272</t>
  </si>
  <si>
    <t xml:space="preserve">Toby Clark</t>
  </si>
  <si>
    <t xml:space="preserve">Engineer - Mobile (iOS)</t>
  </si>
  <si>
    <t xml:space="preserve">R0490</t>
  </si>
  <si>
    <t xml:space="preserve">Ethan Laffan</t>
  </si>
  <si>
    <t xml:space="preserve">Associate Experience Designer</t>
  </si>
  <si>
    <t xml:space="preserve">R0016</t>
  </si>
  <si>
    <t xml:space="preserve">QA / Tester / Mid</t>
  </si>
  <si>
    <t xml:space="preserve">R0017</t>
  </si>
  <si>
    <t xml:space="preserve">Systems Analyst / Mid</t>
  </si>
  <si>
    <t xml:space="preserve">R0133</t>
  </si>
  <si>
    <t xml:space="preserve">Angela Gilbert</t>
  </si>
  <si>
    <t xml:space="preserve">Martech Lead - Dynamics</t>
  </si>
  <si>
    <t xml:space="preserve">R0276</t>
  </si>
  <si>
    <t xml:space="preserve">Jawad Hassan</t>
  </si>
  <si>
    <t xml:space="preserve">Engineer Data (Snowflake)</t>
  </si>
  <si>
    <t xml:space="preserve">R0277</t>
  </si>
  <si>
    <t xml:space="preserve">Jeremy Xu</t>
  </si>
  <si>
    <t xml:space="preserve">R0278</t>
  </si>
  <si>
    <t xml:space="preserve">R0279</t>
  </si>
  <si>
    <t xml:space="preserve">Engineer, Software</t>
  </si>
  <si>
    <t xml:space="preserve">R0280</t>
  </si>
  <si>
    <t xml:space="preserve">Snr Engineer, Data</t>
  </si>
  <si>
    <t xml:space="preserve">R0002</t>
  </si>
  <si>
    <t xml:space="preserve">Lily Fong</t>
  </si>
  <si>
    <t xml:space="preserve">R0026</t>
  </si>
  <si>
    <t xml:space="preserve">Jordan Askwith</t>
  </si>
  <si>
    <t xml:space="preserve">R0030</t>
  </si>
  <si>
    <t xml:space="preserve">Shreema Das</t>
  </si>
  <si>
    <t xml:space="preserve">R0036</t>
  </si>
  <si>
    <t xml:space="preserve">Aaron (Ming) Lu</t>
  </si>
  <si>
    <t xml:space="preserve">R0128</t>
  </si>
  <si>
    <t xml:space="preserve">Saugata Acharya</t>
  </si>
  <si>
    <t xml:space="preserve">R0142</t>
  </si>
  <si>
    <t xml:space="preserve">Jin Zhong</t>
  </si>
  <si>
    <t xml:space="preserve">R0268</t>
  </si>
  <si>
    <t xml:space="preserve">Darwin Morales</t>
  </si>
  <si>
    <t xml:space="preserve">Snr Engineer - FE</t>
  </si>
  <si>
    <t xml:space="preserve">R0409</t>
  </si>
  <si>
    <t xml:space="preserve">Zohan Sim</t>
  </si>
  <si>
    <t xml:space="preserve">R0492</t>
  </si>
  <si>
    <t xml:space="preserve">Ashwini Gaikwad</t>
  </si>
  <si>
    <t xml:space="preserve">R0273</t>
  </si>
  <si>
    <t xml:space="preserve">Myra Batool</t>
  </si>
  <si>
    <t xml:space="preserve">AI Engineer - Front End</t>
  </si>
  <si>
    <t xml:space="preserve">R0274</t>
  </si>
  <si>
    <t xml:space="preserve">R0071</t>
  </si>
  <si>
    <t xml:space="preserve">Ed Tacey</t>
  </si>
  <si>
    <t xml:space="preserve">Head of AI enablement</t>
  </si>
  <si>
    <t xml:space="preserve">R0019</t>
  </si>
  <si>
    <t xml:space="preserve">Emile Violi - QA Wipro</t>
  </si>
  <si>
    <t xml:space="preserve">.NET Back End Developer / Mid</t>
  </si>
  <si>
    <t xml:space="preserve">R0020</t>
  </si>
  <si>
    <t xml:space="preserve">R0021</t>
  </si>
  <si>
    <t xml:space="preserve">R0022</t>
  </si>
  <si>
    <t xml:space="preserve">R0139</t>
  </si>
  <si>
    <t xml:space="preserve">Mark Wilson</t>
  </si>
  <si>
    <t xml:space="preserve">Digital Support Manager (AU)</t>
  </si>
  <si>
    <t xml:space="preserve">R0413</t>
  </si>
  <si>
    <t xml:space="preserve">Daniel Arban</t>
  </si>
  <si>
    <t xml:space="preserve">Service Delivery Lead</t>
  </si>
  <si>
    <t xml:space="preserve">EGI Customer</t>
  </si>
  <si>
    <t xml:space="preserve">R0001</t>
  </si>
  <si>
    <t xml:space="preserve">Alan Peng</t>
  </si>
  <si>
    <t xml:space="preserve">R0031</t>
  </si>
  <si>
    <t xml:space="preserve">Waheed Malek</t>
  </si>
  <si>
    <t xml:space="preserve">R0038</t>
  </si>
  <si>
    <t xml:space="preserve">Rob Jadrjevic</t>
  </si>
  <si>
    <t xml:space="preserve">R0039</t>
  </si>
  <si>
    <t xml:space="preserve">Swapnil Pithwa</t>
  </si>
  <si>
    <t xml:space="preserve">R0076</t>
  </si>
  <si>
    <t xml:space="preserve">Safiq Iqbal</t>
  </si>
  <si>
    <t xml:space="preserve">Principal Engineer</t>
  </si>
  <si>
    <t xml:space="preserve">R0264</t>
  </si>
  <si>
    <t xml:space="preserve">Sri Balan Raj</t>
  </si>
  <si>
    <t xml:space="preserve">R0265</t>
  </si>
  <si>
    <t xml:space="preserve">Angie Ng</t>
  </si>
  <si>
    <t xml:space="preserve">Snr Engineer - BE</t>
  </si>
  <si>
    <t xml:space="preserve">R0270</t>
  </si>
  <si>
    <t xml:space="preserve">Ramez Haider</t>
  </si>
  <si>
    <t xml:space="preserve">R0271</t>
  </si>
  <si>
    <t xml:space="preserve">Rishabh Bhatia</t>
  </si>
  <si>
    <t xml:space="preserve">Engineer - Mobile (Android)</t>
  </si>
  <si>
    <t xml:space="preserve">R0072</t>
  </si>
  <si>
    <t xml:space="preserve">Program Manager</t>
  </si>
  <si>
    <t xml:space="preserve">R0141</t>
  </si>
  <si>
    <t xml:space="preserve">Abhilash Reddy</t>
  </si>
  <si>
    <t xml:space="preserve">Project Manager</t>
  </si>
  <si>
    <t xml:space="preserve">R0275</t>
  </si>
  <si>
    <t xml:space="preserve">Christian Lazano</t>
  </si>
  <si>
    <t xml:space="preserve">R0415</t>
  </si>
  <si>
    <t xml:space="preserve">Dasha Fothergill</t>
  </si>
  <si>
    <t xml:space="preserve">Energy</t>
  </si>
  <si>
    <t xml:space="preserve">R0408</t>
  </si>
  <si>
    <t xml:space="preserve">Jasper Na</t>
  </si>
  <si>
    <t xml:space="preserve">Associate Engineer - BE</t>
  </si>
  <si>
    <t xml:space="preserve">R0068</t>
  </si>
  <si>
    <t xml:space="preserve">Jill Martin</t>
  </si>
  <si>
    <t xml:space="preserve">R0073</t>
  </si>
  <si>
    <t xml:space="preserve">Adriel Jeyanandhan</t>
  </si>
  <si>
    <t xml:space="preserve">R0069</t>
  </si>
  <si>
    <t xml:space="preserve">Zoe Udy</t>
  </si>
  <si>
    <t xml:space="preserve">Technology Manager – Data &amp; Engineering</t>
  </si>
  <si>
    <t xml:space="preserve">R0070</t>
  </si>
  <si>
    <t xml:space="preserve">Kris Hamilton</t>
  </si>
  <si>
    <t xml:space="preserve">Technology Manager - Loyalty &amp; Martech</t>
  </si>
  <si>
    <t xml:space="preserve">R0075</t>
  </si>
  <si>
    <t xml:space="preserve">Mitesh Shah</t>
  </si>
  <si>
    <t xml:space="preserve">Technology Manager - Digital</t>
  </si>
  <si>
    <t xml:space="preserve">R0077</t>
  </si>
  <si>
    <t xml:space="preserve">Heads of Customer Portfolio</t>
  </si>
  <si>
    <t xml:space="preserve">R0043</t>
  </si>
  <si>
    <t xml:space="preserve">Andy Stewart</t>
  </si>
  <si>
    <t xml:space="preserve">Head of Technology, Loyalty &amp; Martech</t>
  </si>
  <si>
    <t xml:space="preserve">R0044</t>
  </si>
  <si>
    <t xml:space="preserve">Shona Paul</t>
  </si>
  <si>
    <t xml:space="preserve">Head of Technology - Digital</t>
  </si>
  <si>
    <t xml:space="preserve">Z App and Web</t>
  </si>
  <si>
    <t xml:space="preserve">R0126</t>
  </si>
  <si>
    <t xml:space="preserve">James Nicolle</t>
  </si>
  <si>
    <t xml:space="preserve">Z Loyalty &amp; Martech</t>
  </si>
  <si>
    <t xml:space="preserve">R0130</t>
  </si>
  <si>
    <t xml:space="preserve">Ants Jackson</t>
  </si>
  <si>
    <t xml:space="preserve">R0132</t>
  </si>
  <si>
    <t xml:space="preserve">Tim Corin</t>
  </si>
  <si>
    <t xml:space="preserve">R0140</t>
  </si>
  <si>
    <t xml:space="preserve">Shane Abrahams</t>
  </si>
  <si>
    <t xml:space="preserve">Digital Support Manager - NZ</t>
  </si>
  <si>
    <t xml:space="preserve">R0405</t>
  </si>
  <si>
    <t xml:space="preserve">Sam Turnball</t>
  </si>
  <si>
    <t xml:space="preserve">R0074</t>
  </si>
  <si>
    <t xml:space="preserve">Byron Thornhill</t>
  </si>
  <si>
    <t xml:space="preserve">Design Manager</t>
  </si>
  <si>
    <t xml:space="preserve">R0134</t>
  </si>
  <si>
    <t xml:space="preserve">Celia Voysey</t>
  </si>
  <si>
    <t xml:space="preserve">R0135</t>
  </si>
  <si>
    <t xml:space="preserve">Bharat Talreja</t>
  </si>
  <si>
    <t xml:space="preserve">Marketing Technology Lead</t>
  </si>
  <si>
    <t xml:space="preserve">R0136</t>
  </si>
  <si>
    <t xml:space="preserve">Kellie Gathergood</t>
  </si>
  <si>
    <t xml:space="preserve">R0137</t>
  </si>
  <si>
    <t xml:space="preserve">Nimi Rose</t>
  </si>
  <si>
    <t xml:space="preserve">R0406</t>
  </si>
  <si>
    <t xml:space="preserve">Megan Rodgers</t>
  </si>
  <si>
    <t xml:space="preserve">R0407</t>
  </si>
  <si>
    <t xml:space="preserve">Shinal Chamberlain</t>
  </si>
  <si>
    <t xml:space="preserve">R0410</t>
  </si>
  <si>
    <t xml:space="preserve">Carianne Monast</t>
  </si>
  <si>
    <t xml:space="preserve">Martech Specialist</t>
  </si>
  <si>
    <t xml:space="preserve">R0411</t>
  </si>
  <si>
    <t xml:space="preserve">Denise Esguerra</t>
  </si>
  <si>
    <t xml:space="preserve">R0412</t>
  </si>
  <si>
    <t xml:space="preserve">Yash Thakkar</t>
  </si>
  <si>
    <t xml:space="preserve">R0414</t>
  </si>
  <si>
    <t xml:space="preserve">Anthony Gen</t>
  </si>
  <si>
    <t xml:space="preserve">R0491</t>
  </si>
  <si>
    <t xml:space="preserve">Kishore Ganesan</t>
  </si>
  <si>
    <t xml:space="preserve">Intermediate Quality Assurance</t>
  </si>
  <si>
    <t xml:space="preserve">R0501</t>
  </si>
  <si>
    <t xml:space="preserve">Kaye Javier</t>
  </si>
  <si>
    <t xml:space="preserve">QA Analyst</t>
  </si>
  <si>
    <t xml:space="preserve">R0502</t>
  </si>
  <si>
    <t xml:space="preserve">Jordan Kettles</t>
  </si>
  <si>
    <t xml:space="preserve">Engineer, Sotware</t>
  </si>
  <si>
    <t xml:space="preserve">R0503</t>
  </si>
  <si>
    <t xml:space="preserve">Scott Cullen</t>
  </si>
  <si>
    <t xml:space="preserve">Engineer, Dev Ops</t>
  </si>
  <si>
    <t xml:space="preserve">R0138</t>
  </si>
  <si>
    <t xml:space="preserve">Supply</t>
  </si>
  <si>
    <t xml:space="preserve">Trading &amp; Shipping Data</t>
  </si>
  <si>
    <t xml:space="preserve">R0222</t>
  </si>
  <si>
    <t xml:space="preserve">R0284</t>
  </si>
  <si>
    <t xml:space="preserve">System Specialist</t>
  </si>
  <si>
    <t xml:space="preserve">Trading &amp; Shipping</t>
  </si>
  <si>
    <t xml:space="preserve">R0285</t>
  </si>
  <si>
    <t xml:space="preserve">Vacant (anaplan)</t>
  </si>
  <si>
    <t xml:space="preserve">R0369</t>
  </si>
  <si>
    <t xml:space="preserve">Ann Aquino</t>
  </si>
  <si>
    <t xml:space="preserve">R0387</t>
  </si>
  <si>
    <t xml:space="preserve">Engineer Software</t>
  </si>
  <si>
    <t xml:space="preserve">R0144</t>
  </si>
  <si>
    <t xml:space="preserve">Chin Fang Kwek</t>
  </si>
  <si>
    <t xml:space="preserve">System Analyst</t>
  </si>
  <si>
    <t xml:space="preserve">R0221</t>
  </si>
  <si>
    <t xml:space="preserve">Suja Sugathan</t>
  </si>
  <si>
    <t xml:space="preserve">R0223</t>
  </si>
  <si>
    <t xml:space="preserve">R0282</t>
  </si>
  <si>
    <t xml:space="preserve">Hari Maneti</t>
  </si>
  <si>
    <t xml:space="preserve">R0283</t>
  </si>
  <si>
    <t xml:space="preserve">Leo Machin</t>
  </si>
  <si>
    <t xml:space="preserve">Lead Engineer Applications</t>
  </si>
  <si>
    <t xml:space="preserve">R0370</t>
  </si>
  <si>
    <t xml:space="preserve">Isha Riyat</t>
  </si>
  <si>
    <t xml:space="preserve">R0416</t>
  </si>
  <si>
    <t xml:space="preserve">Jem Cruz</t>
  </si>
  <si>
    <t xml:space="preserve">R0417</t>
  </si>
  <si>
    <t xml:space="preserve">JR Panganiban</t>
  </si>
  <si>
    <t xml:space="preserve">Technology Support Engineer</t>
  </si>
  <si>
    <t xml:space="preserve">R0418</t>
  </si>
  <si>
    <t xml:space="preserve">Kevin Li</t>
  </si>
  <si>
    <t xml:space="preserve">R0419</t>
  </si>
  <si>
    <t xml:space="preserve">Poch Fernandez</t>
  </si>
  <si>
    <t xml:space="preserve">Lead Technology Support  </t>
  </si>
  <si>
    <t xml:space="preserve">R0484</t>
  </si>
  <si>
    <t xml:space="preserve">R0504</t>
  </si>
  <si>
    <t xml:space="preserve">Tech Support Technician</t>
  </si>
  <si>
    <t xml:space="preserve">R0245</t>
  </si>
  <si>
    <t xml:space="preserve">Anusha Viswanatha</t>
  </si>
  <si>
    <t xml:space="preserve">R0246</t>
  </si>
  <si>
    <t xml:space="preserve">Jonathan Wong</t>
  </si>
  <si>
    <t xml:space="preserve">R0247</t>
  </si>
  <si>
    <t xml:space="preserve">Kumar Siva</t>
  </si>
  <si>
    <t xml:space="preserve">Lead engineer Data</t>
  </si>
  <si>
    <t xml:space="preserve">R0248</t>
  </si>
  <si>
    <t xml:space="preserve">Soumya Choudhury</t>
  </si>
  <si>
    <t xml:space="preserve">Data Application Specialist </t>
  </si>
  <si>
    <t xml:space="preserve">R0383</t>
  </si>
  <si>
    <t xml:space="preserve">Arun Prakash Jayaprakasam</t>
  </si>
  <si>
    <t xml:space="preserve">Data Engineer Analyst</t>
  </si>
  <si>
    <t xml:space="preserve">R0384</t>
  </si>
  <si>
    <t xml:space="preserve">Ayushi Agarwal</t>
  </si>
  <si>
    <t xml:space="preserve">Engineer Data</t>
  </si>
  <si>
    <t xml:space="preserve">R0524</t>
  </si>
  <si>
    <t xml:space="preserve">Zijie Zhang</t>
  </si>
  <si>
    <t xml:space="preserve">Senior Data Analyst</t>
  </si>
  <si>
    <t xml:space="preserve">CTRM</t>
  </si>
  <si>
    <t xml:space="preserve">R0101</t>
  </si>
  <si>
    <t xml:space="preserve">Carl Russo</t>
  </si>
  <si>
    <t xml:space="preserve">Program Manager - CTRM</t>
  </si>
  <si>
    <t xml:space="preserve">R0145</t>
  </si>
  <si>
    <t xml:space="preserve">Trung Truong</t>
  </si>
  <si>
    <t xml:space="preserve">Engineer Applications</t>
  </si>
  <si>
    <t xml:space="preserve">R0146</t>
  </si>
  <si>
    <t xml:space="preserve">Zhan Liu</t>
  </si>
  <si>
    <t xml:space="preserve">R0219</t>
  </si>
  <si>
    <t xml:space="preserve">Oz Shaaban</t>
  </si>
  <si>
    <t xml:space="preserve">R0220</t>
  </si>
  <si>
    <t xml:space="preserve">Rick Abainza</t>
  </si>
  <si>
    <t xml:space="preserve">R0249</t>
  </si>
  <si>
    <t xml:space="preserve">Byron Leung</t>
  </si>
  <si>
    <t xml:space="preserve">R0250</t>
  </si>
  <si>
    <t xml:space="preserve">Chantal Lynch</t>
  </si>
  <si>
    <t xml:space="preserve">R0251</t>
  </si>
  <si>
    <t xml:space="preserve">Fransiscus Setiawan</t>
  </si>
  <si>
    <t xml:space="preserve">Integration Architect   </t>
  </si>
  <si>
    <t xml:space="preserve">R0252</t>
  </si>
  <si>
    <t xml:space="preserve">Hayden Corney</t>
  </si>
  <si>
    <t xml:space="preserve">Lead Engineer Software</t>
  </si>
  <si>
    <t xml:space="preserve">R0372</t>
  </si>
  <si>
    <t xml:space="preserve">Sijin Zhu</t>
  </si>
  <si>
    <t xml:space="preserve">R0386</t>
  </si>
  <si>
    <t xml:space="preserve">Deepa Kaur</t>
  </si>
  <si>
    <t xml:space="preserve">Senior Engineer Automation Testing</t>
  </si>
  <si>
    <t xml:space="preserve">R0483</t>
  </si>
  <si>
    <t xml:space="preserve">Laura Roberts</t>
  </si>
  <si>
    <t xml:space="preserve">Senior Engineer Software</t>
  </si>
  <si>
    <t xml:space="preserve">R0518</t>
  </si>
  <si>
    <t xml:space="preserve">Amanda Turnbull</t>
  </si>
  <si>
    <t xml:space="preserve">R0523</t>
  </si>
  <si>
    <t xml:space="preserve">Oliver Shanks</t>
  </si>
  <si>
    <t xml:space="preserve">Associate Engineer Software</t>
  </si>
  <si>
    <t xml:space="preserve">R0063</t>
  </si>
  <si>
    <t xml:space="preserve">Nakul Bharade</t>
  </si>
  <si>
    <t xml:space="preserve">Head of Technology, Commercial Fuels</t>
  </si>
  <si>
    <t xml:space="preserve">R0098</t>
  </si>
  <si>
    <t xml:space="preserve">R0097</t>
  </si>
  <si>
    <t xml:space="preserve">Allan Francia</t>
  </si>
  <si>
    <t xml:space="preserve">Technology Manager - T&amp;S</t>
  </si>
  <si>
    <t xml:space="preserve">R0099</t>
  </si>
  <si>
    <t xml:space="preserve">B2B</t>
  </si>
  <si>
    <t xml:space="preserve">EVCI</t>
  </si>
  <si>
    <t xml:space="preserve">R0158</t>
  </si>
  <si>
    <t xml:space="preserve">Frank Liang</t>
  </si>
  <si>
    <t xml:space="preserve">Senior Systems Analyst</t>
  </si>
  <si>
    <t xml:space="preserve">R0159</t>
  </si>
  <si>
    <t xml:space="preserve">Ming Shao</t>
  </si>
  <si>
    <t xml:space="preserve">Senior Systems Analyst Card</t>
  </si>
  <si>
    <t xml:space="preserve">R0160</t>
  </si>
  <si>
    <t xml:space="preserve">R0217</t>
  </si>
  <si>
    <t xml:space="preserve">Debbie Gor</t>
  </si>
  <si>
    <t xml:space="preserve">R0296</t>
  </si>
  <si>
    <t xml:space="preserve">Mikey Tran</t>
  </si>
  <si>
    <t xml:space="preserve">Senior Systems Analyst - Card</t>
  </si>
  <si>
    <t xml:space="preserve">R0297</t>
  </si>
  <si>
    <t xml:space="preserve">R0371</t>
  </si>
  <si>
    <t xml:space="preserve">Mick DaSilva</t>
  </si>
  <si>
    <t xml:space="preserve">R0374</t>
  </si>
  <si>
    <t xml:space="preserve">R0429</t>
  </si>
  <si>
    <t xml:space="preserve">Lindsay Baipas</t>
  </si>
  <si>
    <t xml:space="preserve">System Analyst Card</t>
  </si>
  <si>
    <t xml:space="preserve">R0430</t>
  </si>
  <si>
    <t xml:space="preserve">Rod Santillan</t>
  </si>
  <si>
    <t xml:space="preserve">Snr Engineer Software</t>
  </si>
  <si>
    <t xml:space="preserve">R0494</t>
  </si>
  <si>
    <t xml:space="preserve">Belinda Ford</t>
  </si>
  <si>
    <t xml:space="preserve">R0495</t>
  </si>
  <si>
    <t xml:space="preserve">Jessica Calla</t>
  </si>
  <si>
    <t xml:space="preserve">R0506</t>
  </si>
  <si>
    <t xml:space="preserve">Alex Abelita</t>
  </si>
  <si>
    <t xml:space="preserve">Associate Engineer - Automation Testing</t>
  </si>
  <si>
    <t xml:space="preserve">R0507</t>
  </si>
  <si>
    <t xml:space="preserve">Allyn Puente</t>
  </si>
  <si>
    <t xml:space="preserve">Graduate</t>
  </si>
  <si>
    <t xml:space="preserve">R0166</t>
  </si>
  <si>
    <t xml:space="preserve">Gokila Mylsamy</t>
  </si>
  <si>
    <t xml:space="preserve">R0215</t>
  </si>
  <si>
    <t xml:space="preserve">Angela Ross</t>
  </si>
  <si>
    <t xml:space="preserve">R0300</t>
  </si>
  <si>
    <t xml:space="preserve">Caitlin Dyas</t>
  </si>
  <si>
    <t xml:space="preserve">R0443</t>
  </si>
  <si>
    <t xml:space="preserve">Anie Camerino</t>
  </si>
  <si>
    <t xml:space="preserve">Snr Quality Assurance</t>
  </si>
  <si>
    <t xml:space="preserve">R0471</t>
  </si>
  <si>
    <t xml:space="preserve">Lana Wagner</t>
  </si>
  <si>
    <t xml:space="preserve">R0510</t>
  </si>
  <si>
    <t xml:space="preserve">Josh Campbell</t>
  </si>
  <si>
    <t xml:space="preserve">R0165</t>
  </si>
  <si>
    <t xml:space="preserve">Nico Lender</t>
  </si>
  <si>
    <t xml:space="preserve">R0167</t>
  </si>
  <si>
    <t xml:space="preserve">Marcela Gonzalez</t>
  </si>
  <si>
    <t xml:space="preserve">Energy Platforms Lead</t>
  </si>
  <si>
    <t xml:space="preserve">R0301</t>
  </si>
  <si>
    <t xml:space="preserve">Gunjan Vasudeva</t>
  </si>
  <si>
    <t xml:space="preserve">R0302</t>
  </si>
  <si>
    <t xml:space="preserve">James Hung</t>
  </si>
  <si>
    <t xml:space="preserve">R0303</t>
  </si>
  <si>
    <t xml:space="preserve">Engineer Automation - Testing</t>
  </si>
  <si>
    <t xml:space="preserve">R0304</t>
  </si>
  <si>
    <t xml:space="preserve">R0375</t>
  </si>
  <si>
    <t xml:space="preserve">R0385</t>
  </si>
  <si>
    <t xml:space="preserve">Elma Kurian</t>
  </si>
  <si>
    <t xml:space="preserve">R0522</t>
  </si>
  <si>
    <t xml:space="preserve">Caitlin Naylor</t>
  </si>
  <si>
    <t xml:space="preserve">Associate Engineer- Software</t>
  </si>
  <si>
    <t xml:space="preserve">R0064</t>
  </si>
  <si>
    <t xml:space="preserve">Liesl Tye</t>
  </si>
  <si>
    <t xml:space="preserve">Head of Technology, B2B &amp; Energy Solutions</t>
  </si>
  <si>
    <t xml:space="preserve">R0092</t>
  </si>
  <si>
    <t xml:space="preserve">Delivery manager</t>
  </si>
  <si>
    <t xml:space="preserve">R0090</t>
  </si>
  <si>
    <t xml:space="preserve">Hitesh Patel</t>
  </si>
  <si>
    <t xml:space="preserve">Technology Manager, Energy Solutions</t>
  </si>
  <si>
    <t xml:space="preserve">R0091</t>
  </si>
  <si>
    <t xml:space="preserve">Elle Spencer</t>
  </si>
  <si>
    <t xml:space="preserve">Technology Manager - B2B</t>
  </si>
  <si>
    <t xml:space="preserve">Data &amp; Insights</t>
  </si>
  <si>
    <t xml:space="preserve">Technology Support</t>
  </si>
  <si>
    <t xml:space="preserve">R0015</t>
  </si>
  <si>
    <t xml:space="preserve">Simrat Singh</t>
  </si>
  <si>
    <t xml:space="preserve">Reporting Analyst</t>
  </si>
  <si>
    <t xml:space="preserve">R0120</t>
  </si>
  <si>
    <t xml:space="preserve">Stevani Kho</t>
  </si>
  <si>
    <t xml:space="preserve">Manufacturing Group Projects</t>
  </si>
  <si>
    <t xml:space="preserve">R0253</t>
  </si>
  <si>
    <t xml:space="preserve">Lead Data Analyst</t>
  </si>
  <si>
    <t xml:space="preserve">Distribution, Sales &amp; Services</t>
  </si>
  <si>
    <t xml:space="preserve">R0364</t>
  </si>
  <si>
    <t xml:space="preserve">Clare Cairns</t>
  </si>
  <si>
    <t xml:space="preserve">R0365</t>
  </si>
  <si>
    <t xml:space="preserve">Mary Joy</t>
  </si>
  <si>
    <t xml:space="preserve">Senior Engineer Data</t>
  </si>
  <si>
    <t xml:space="preserve">R0366</t>
  </si>
  <si>
    <t xml:space="preserve">Megha Agarwal</t>
  </si>
  <si>
    <t xml:space="preserve">R0388</t>
  </si>
  <si>
    <t xml:space="preserve">R0180</t>
  </si>
  <si>
    <t xml:space="preserve">Angus Gibson</t>
  </si>
  <si>
    <t xml:space="preserve">R0193</t>
  </si>
  <si>
    <t xml:space="preserve">Jodi Higgins</t>
  </si>
  <si>
    <t xml:space="preserve">R0316</t>
  </si>
  <si>
    <t xml:space="preserve">Anvitha Kurra</t>
  </si>
  <si>
    <t xml:space="preserve">R0317</t>
  </si>
  <si>
    <t xml:space="preserve">Rohan Patel</t>
  </si>
  <si>
    <t xml:space="preserve">R0318</t>
  </si>
  <si>
    <t xml:space="preserve">Siva Chimmani</t>
  </si>
  <si>
    <t xml:space="preserve">Senior Engineer</t>
  </si>
  <si>
    <t xml:space="preserve">R0319</t>
  </si>
  <si>
    <t xml:space="preserve">Sriramani Deyyala</t>
  </si>
  <si>
    <t xml:space="preserve">R0338</t>
  </si>
  <si>
    <t xml:space="preserve">Rebecca Estepa</t>
  </si>
  <si>
    <t xml:space="preserve">R0339</t>
  </si>
  <si>
    <t xml:space="preserve">R0451</t>
  </si>
  <si>
    <t xml:space="preserve">Breanna Hua</t>
  </si>
  <si>
    <t xml:space="preserve">R0452</t>
  </si>
  <si>
    <t xml:space="preserve">R0078</t>
  </si>
  <si>
    <t xml:space="preserve">Chris Camacho</t>
  </si>
  <si>
    <t xml:space="preserve">R0080</t>
  </si>
  <si>
    <t xml:space="preserve">Jaya Ganasan</t>
  </si>
  <si>
    <t xml:space="preserve">B2B &amp; Energy+B452:I452</t>
  </si>
  <si>
    <t xml:space="preserve">R0174</t>
  </si>
  <si>
    <t xml:space="preserve">R0195</t>
  </si>
  <si>
    <t xml:space="preserve">Louis Ballington</t>
  </si>
  <si>
    <t xml:space="preserve">R0306</t>
  </si>
  <si>
    <t xml:space="preserve">Fabian Moreno Cortes</t>
  </si>
  <si>
    <t xml:space="preserve">R0307</t>
  </si>
  <si>
    <t xml:space="preserve">Victor Olasanoye</t>
  </si>
  <si>
    <t xml:space="preserve">R0337</t>
  </si>
  <si>
    <t xml:space="preserve">Akhil Sriram</t>
  </si>
  <si>
    <t xml:space="preserve">R0445</t>
  </si>
  <si>
    <t xml:space="preserve">Tyler Meggs</t>
  </si>
  <si>
    <t xml:space="preserve">R0446</t>
  </si>
  <si>
    <t xml:space="preserve">R0440</t>
  </si>
  <si>
    <t xml:space="preserve">Alison Rosier</t>
  </si>
  <si>
    <t xml:space="preserve">Technology Support Engineer - Infrastructure</t>
  </si>
  <si>
    <t xml:space="preserve">R0441</t>
  </si>
  <si>
    <t xml:space="preserve">Radek Rybar</t>
  </si>
  <si>
    <t xml:space="preserve">R0442</t>
  </si>
  <si>
    <t xml:space="preserve">Scott Hasson</t>
  </si>
  <si>
    <t xml:space="preserve">R0444</t>
  </si>
  <si>
    <t xml:space="preserve">Glenn Earl</t>
  </si>
  <si>
    <t xml:space="preserve">Lead Technology Support - Infrastructure</t>
  </si>
  <si>
    <t xml:space="preserve">R0521</t>
  </si>
  <si>
    <t xml:space="preserve">Tom Moore</t>
  </si>
  <si>
    <t xml:space="preserve">Leadership</t>
  </si>
  <si>
    <t xml:space="preserve">R0147</t>
  </si>
  <si>
    <t xml:space="preserve">George Moun</t>
  </si>
  <si>
    <t xml:space="preserve">R0062</t>
  </si>
  <si>
    <t xml:space="preserve">Amish Pandit</t>
  </si>
  <si>
    <t xml:space="preserve">Head of Technology, Fuel Infrastructure</t>
  </si>
  <si>
    <t xml:space="preserve">R0079</t>
  </si>
  <si>
    <t xml:space="preserve">Prem Shetty</t>
  </si>
  <si>
    <t xml:space="preserve">R0081</t>
  </si>
  <si>
    <t xml:space="preserve">Karla Orozco Loza</t>
  </si>
  <si>
    <t xml:space="preserve">Technology Manager, Future Infrastructure </t>
  </si>
  <si>
    <t xml:space="preserve">R0082</t>
  </si>
  <si>
    <t xml:space="preserve">Technology Manager Data</t>
  </si>
  <si>
    <t xml:space="preserve">P&amp;C RTA</t>
  </si>
  <si>
    <t xml:space="preserve">R0153</t>
  </si>
  <si>
    <t xml:space="preserve">Grace Hadiwijaya</t>
  </si>
  <si>
    <t xml:space="preserve">Lead P&amp;C Platforms</t>
  </si>
  <si>
    <t xml:space="preserve">R0154</t>
  </si>
  <si>
    <t xml:space="preserve">Maadhu Suresh</t>
  </si>
  <si>
    <t xml:space="preserve">R0155</t>
  </si>
  <si>
    <t xml:space="preserve">Prerna Sharma</t>
  </si>
  <si>
    <t xml:space="preserve">SAP HR Specialist</t>
  </si>
  <si>
    <t xml:space="preserve">R0225</t>
  </si>
  <si>
    <t xml:space="preserve">Michael Pollock</t>
  </si>
  <si>
    <t xml:space="preserve">R0226</t>
  </si>
  <si>
    <t xml:space="preserve">Thai Pung</t>
  </si>
  <si>
    <t xml:space="preserve">Delivery Lead - (P&amp;C)</t>
  </si>
  <si>
    <t xml:space="preserve">R0289</t>
  </si>
  <si>
    <t xml:space="preserve">Engineer</t>
  </si>
  <si>
    <t xml:space="preserve">R0290</t>
  </si>
  <si>
    <t xml:space="preserve">R0424</t>
  </si>
  <si>
    <t xml:space="preserve">R0228</t>
  </si>
  <si>
    <t xml:space="preserve">Delivery Lead (RTA)</t>
  </si>
  <si>
    <t xml:space="preserve">R0291</t>
  </si>
  <si>
    <t xml:space="preserve">R0379</t>
  </si>
  <si>
    <t xml:space="preserve">Business Analyst (P&amp;C RTA)</t>
  </si>
  <si>
    <t xml:space="preserve">R0425</t>
  </si>
  <si>
    <t xml:space="preserve">R0426</t>
  </si>
  <si>
    <t xml:space="preserve">Systems Specialist</t>
  </si>
  <si>
    <t xml:space="preserve">EGI P&amp;C</t>
  </si>
  <si>
    <t xml:space="preserve">R0230</t>
  </si>
  <si>
    <t xml:space="preserve">Vikram Chhahira</t>
  </si>
  <si>
    <t xml:space="preserve">Delivery Lead, EGI</t>
  </si>
  <si>
    <t xml:space="preserve">R0046</t>
  </si>
  <si>
    <t xml:space="preserve">Vaso Vukovic</t>
  </si>
  <si>
    <t xml:space="preserve">Head of Technology - P&amp;C, Finance &amp; Legal</t>
  </si>
  <si>
    <t xml:space="preserve">R0124</t>
  </si>
  <si>
    <t xml:space="preserve">R0122</t>
  </si>
  <si>
    <t xml:space="preserve">Dave O'Keefe</t>
  </si>
  <si>
    <t xml:space="preserve">Technology Manager – P&amp;C Platforms</t>
  </si>
  <si>
    <t xml:space="preserve">NZ Finance</t>
  </si>
  <si>
    <t xml:space="preserve">R0184</t>
  </si>
  <si>
    <t xml:space="preserve">Kamal Patel</t>
  </si>
  <si>
    <t xml:space="preserve">JDE Senior Systems Specialist</t>
  </si>
  <si>
    <t xml:space="preserve">SAP ERP</t>
  </si>
  <si>
    <t xml:space="preserve">R0185</t>
  </si>
  <si>
    <t xml:space="preserve">Martyn Rudduck</t>
  </si>
  <si>
    <t xml:space="preserve">R0206</t>
  </si>
  <si>
    <t xml:space="preserve">Lydia Pritchard</t>
  </si>
  <si>
    <t xml:space="preserve">Lead JDE Systems Specialist</t>
  </si>
  <si>
    <t xml:space="preserve">R0227</t>
  </si>
  <si>
    <t xml:space="preserve">Delivery Lead (JDE)</t>
  </si>
  <si>
    <t xml:space="preserve">R0511</t>
  </si>
  <si>
    <t xml:space="preserve">Leilanie Avilla</t>
  </si>
  <si>
    <t xml:space="preserve">JDE Systems Specialist</t>
  </si>
  <si>
    <t xml:space="preserve">R0526</t>
  </si>
  <si>
    <t xml:space="preserve">vacant</t>
  </si>
  <si>
    <t xml:space="preserve">R0157</t>
  </si>
  <si>
    <t xml:space="preserve">SAP Functional Specialist</t>
  </si>
  <si>
    <t xml:space="preserve">R0179</t>
  </si>
  <si>
    <t xml:space="preserve">R0186</t>
  </si>
  <si>
    <t xml:space="preserve">R0205</t>
  </si>
  <si>
    <t xml:space="preserve">Julma Bhagwani</t>
  </si>
  <si>
    <t xml:space="preserve">SAP ERP Application Lead</t>
  </si>
  <si>
    <t xml:space="preserve">R0207</t>
  </si>
  <si>
    <t xml:space="preserve">Maudud Chaudhury</t>
  </si>
  <si>
    <t xml:space="preserve">R0208</t>
  </si>
  <si>
    <t xml:space="preserve">R0209</t>
  </si>
  <si>
    <t xml:space="preserve">Solution Architect - Finance</t>
  </si>
  <si>
    <t xml:space="preserve">Q1</t>
  </si>
  <si>
    <t xml:space="preserve">R0229</t>
  </si>
  <si>
    <t xml:space="preserve">Delivery Lead (SAP)</t>
  </si>
  <si>
    <t xml:space="preserve">R0351</t>
  </si>
  <si>
    <t xml:space="preserve">Integration Specialist (ASAPIO CTRM)</t>
  </si>
  <si>
    <t xml:space="preserve">EGI Finance</t>
  </si>
  <si>
    <t xml:space="preserve">R0204</t>
  </si>
  <si>
    <t xml:space="preserve">Ee Lynn Yap</t>
  </si>
  <si>
    <t xml:space="preserve">R0123</t>
  </si>
  <si>
    <t xml:space="preserve">Shane Ker</t>
  </si>
  <si>
    <t xml:space="preserve">Technology Manger - Finance Platfoms</t>
  </si>
  <si>
    <t xml:space="preserve">Cloud, Network &amp; Infra Ops</t>
  </si>
  <si>
    <t xml:space="preserve">DevOps &amp; QE</t>
  </si>
  <si>
    <t xml:space="preserve">R0211</t>
  </si>
  <si>
    <t xml:space="preserve">Axel Soh</t>
  </si>
  <si>
    <t xml:space="preserve">Cloud Solutions Architect</t>
  </si>
  <si>
    <t xml:space="preserve">Workplace &amp; Enterprise Tooling</t>
  </si>
  <si>
    <t xml:space="preserve">R0212</t>
  </si>
  <si>
    <t xml:space="preserve">Johnny Li</t>
  </si>
  <si>
    <t xml:space="preserve">Integration &amp; Process Automation</t>
  </si>
  <si>
    <t xml:space="preserve">R0213</t>
  </si>
  <si>
    <t xml:space="preserve">Pierre Spee</t>
  </si>
  <si>
    <t xml:space="preserve">R0216</t>
  </si>
  <si>
    <t xml:space="preserve">C K Lau</t>
  </si>
  <si>
    <t xml:space="preserve">Delivery Lead (Cloud &amp; Network)</t>
  </si>
  <si>
    <t xml:space="preserve">R0242</t>
  </si>
  <si>
    <t xml:space="preserve">John McCormack</t>
  </si>
  <si>
    <t xml:space="preserve">Manager - Infrastructure Operations</t>
  </si>
  <si>
    <t xml:space="preserve">R0243</t>
  </si>
  <si>
    <t xml:space="preserve">Satish Chowdhary</t>
  </si>
  <si>
    <t xml:space="preserve">Nework Architect</t>
  </si>
  <si>
    <t xml:space="preserve">R0244</t>
  </si>
  <si>
    <t xml:space="preserve">Steven Yong</t>
  </si>
  <si>
    <t xml:space="preserve">R0311</t>
  </si>
  <si>
    <t xml:space="preserve">Jason Satoso</t>
  </si>
  <si>
    <t xml:space="preserve">Cloud Operations Engineer</t>
  </si>
  <si>
    <t xml:space="preserve">R0312</t>
  </si>
  <si>
    <t xml:space="preserve">Muhammad Abubaker</t>
  </si>
  <si>
    <t xml:space="preserve">Network Operations Engineer</t>
  </si>
  <si>
    <t xml:space="preserve">R0313</t>
  </si>
  <si>
    <t xml:space="preserve">Infrastructure Operations Lead</t>
  </si>
  <si>
    <t xml:space="preserve">R0314</t>
  </si>
  <si>
    <t xml:space="preserve">Snr BA</t>
  </si>
  <si>
    <t xml:space="preserve">R0363</t>
  </si>
  <si>
    <t xml:space="preserve">John Badia</t>
  </si>
  <si>
    <t xml:space="preserve">R0449</t>
  </si>
  <si>
    <t xml:space="preserve">Fan Zhang</t>
  </si>
  <si>
    <t xml:space="preserve">Infrastructure Engineer</t>
  </si>
  <si>
    <t xml:space="preserve">R0200</t>
  </si>
  <si>
    <t xml:space="preserve">Luke Hamer</t>
  </si>
  <si>
    <t xml:space="preserve">Lead Engineer - Devops</t>
  </si>
  <si>
    <t xml:space="preserve">R0202</t>
  </si>
  <si>
    <t xml:space="preserve">Sunny Arya</t>
  </si>
  <si>
    <t xml:space="preserve">Lead Engineer, Devops</t>
  </si>
  <si>
    <t xml:space="preserve">R0203</t>
  </si>
  <si>
    <t xml:space="preserve">Lead Engineer (Automation Test)</t>
  </si>
  <si>
    <t xml:space="preserve">R0350</t>
  </si>
  <si>
    <t xml:space="preserve">Environments and Test Data Manager</t>
  </si>
  <si>
    <t xml:space="preserve">R0352</t>
  </si>
  <si>
    <t xml:space="preserve">Lucas Wang</t>
  </si>
  <si>
    <t xml:space="preserve">Senior Engineer (Automation Test)</t>
  </si>
  <si>
    <t xml:space="preserve">R0353</t>
  </si>
  <si>
    <t xml:space="preserve">R0465</t>
  </si>
  <si>
    <t xml:space="preserve">Mike Lealamanu</t>
  </si>
  <si>
    <t xml:space="preserve">R0188</t>
  </si>
  <si>
    <t xml:space="preserve">Bala Thiruvadi</t>
  </si>
  <si>
    <t xml:space="preserve">Integration Architect - Boomi</t>
  </si>
  <si>
    <t xml:space="preserve">R0189</t>
  </si>
  <si>
    <t xml:space="preserve">Joel Krijnen</t>
  </si>
  <si>
    <t xml:space="preserve">R0190</t>
  </si>
  <si>
    <t xml:space="preserve">Michael Weng</t>
  </si>
  <si>
    <t xml:space="preserve">R0191</t>
  </si>
  <si>
    <t xml:space="preserve">RPA Lead</t>
  </si>
  <si>
    <t xml:space="preserve">R0218</t>
  </si>
  <si>
    <t xml:space="preserve">Lisa Rademakers</t>
  </si>
  <si>
    <t xml:space="preserve">Delivery Lead (Integrations)</t>
  </si>
  <si>
    <t xml:space="preserve">R0331</t>
  </si>
  <si>
    <t xml:space="preserve">Thandava Krishna Kakarala</t>
  </si>
  <si>
    <t xml:space="preserve">Snr Engineer - Boomi</t>
  </si>
  <si>
    <t xml:space="preserve">R0373</t>
  </si>
  <si>
    <t xml:space="preserve">Business Analyst (Integrations)</t>
  </si>
  <si>
    <t xml:space="preserve">R0382</t>
  </si>
  <si>
    <t xml:space="preserve">Archana Chetiwal</t>
  </si>
  <si>
    <t xml:space="preserve">Snr Engineer</t>
  </si>
  <si>
    <t xml:space="preserve">R0482</t>
  </si>
  <si>
    <t xml:space="preserve">Noel Morris</t>
  </si>
  <si>
    <t xml:space="preserve">R0525</t>
  </si>
  <si>
    <t xml:space="preserve">Nidhi Aggarwal</t>
  </si>
  <si>
    <t xml:space="preserve">R0192</t>
  </si>
  <si>
    <t xml:space="preserve">Ken Thomson</t>
  </si>
  <si>
    <t xml:space="preserve">Servicenow Platform Specialist</t>
  </si>
  <si>
    <t xml:space="preserve">R0332</t>
  </si>
  <si>
    <t xml:space="preserve">Nicholas McKay</t>
  </si>
  <si>
    <t xml:space="preserve">Workplace Tooling Specialist</t>
  </si>
  <si>
    <t xml:space="preserve">R0333</t>
  </si>
  <si>
    <t xml:space="preserve">Enterprise Systems Specialist</t>
  </si>
  <si>
    <t xml:space="preserve">R0378</t>
  </si>
  <si>
    <t xml:space="preserve">Business Analyst (Workplace &amp; Enterprise Tooling)</t>
  </si>
  <si>
    <t xml:space="preserve">R0460</t>
  </si>
  <si>
    <t xml:space="preserve">Billie Connolly</t>
  </si>
  <si>
    <t xml:space="preserve">Engineer - Modern Workplaces</t>
  </si>
  <si>
    <t xml:space="preserve">R0461</t>
  </si>
  <si>
    <t xml:space="preserve">Rob Struthers</t>
  </si>
  <si>
    <t xml:space="preserve">EGI TDD</t>
  </si>
  <si>
    <t xml:space="preserve">R0018</t>
  </si>
  <si>
    <t xml:space="preserve">Viren Khatri</t>
  </si>
  <si>
    <t xml:space="preserve">Data Migration Lead</t>
  </si>
  <si>
    <t xml:space="preserve">R0023</t>
  </si>
  <si>
    <t xml:space="preserve">Arun Tahlan</t>
  </si>
  <si>
    <t xml:space="preserve">Integration Architect (C) - Boomi</t>
  </si>
  <si>
    <t xml:space="preserve">R0024</t>
  </si>
  <si>
    <t xml:space="preserve">Kris Thornley</t>
  </si>
  <si>
    <t xml:space="preserve">Integration Architect (C)</t>
  </si>
  <si>
    <t xml:space="preserve">R0201</t>
  </si>
  <si>
    <t xml:space="preserve">Shobhit Mittal</t>
  </si>
  <si>
    <t xml:space="preserve">Lead Engineer - Automation Test</t>
  </si>
  <si>
    <t xml:space="preserve">R0376</t>
  </si>
  <si>
    <t xml:space="preserve">Anjali Patra</t>
  </si>
  <si>
    <t xml:space="preserve">Delivery Lead - EGI</t>
  </si>
  <si>
    <t xml:space="preserve">R0033</t>
  </si>
  <si>
    <t xml:space="preserve">Jens Tom</t>
  </si>
  <si>
    <t xml:space="preserve">SAP Solution Architect</t>
  </si>
  <si>
    <t xml:space="preserve">R0045</t>
  </si>
  <si>
    <t xml:space="preserve">Head of Technology - TDD &amp; Engineering Capability Lead</t>
  </si>
  <si>
    <t xml:space="preserve">R0113</t>
  </si>
  <si>
    <t xml:space="preserve">R0105</t>
  </si>
  <si>
    <t xml:space="preserve">Murray Mitchell</t>
  </si>
  <si>
    <t xml:space="preserve">R0106</t>
  </si>
  <si>
    <t xml:space="preserve">Scott McKenzie</t>
  </si>
  <si>
    <t xml:space="preserve">Technology Manager – DevOps and Quality Engineering</t>
  </si>
  <si>
    <t xml:space="preserve">R0112</t>
  </si>
  <si>
    <t xml:space="preserve">Mike Seales</t>
  </si>
  <si>
    <t xml:space="preserve">Technology Manager, Integration &amp; Process Automation</t>
  </si>
  <si>
    <t xml:space="preserve">R0114</t>
  </si>
  <si>
    <t xml:space="preserve">Technology Manager – Cloud, Network and Infrastructure Operations</t>
  </si>
  <si>
    <t xml:space="preserve">Data Platforms</t>
  </si>
  <si>
    <t xml:space="preserve">Enterprise Data Delivery</t>
  </si>
  <si>
    <t xml:space="preserve">R0089</t>
  </si>
  <si>
    <t xml:space="preserve">Tim Snedden</t>
  </si>
  <si>
    <t xml:space="preserve">Data Science</t>
  </si>
  <si>
    <t xml:space="preserve">R0171</t>
  </si>
  <si>
    <t xml:space="preserve">Roozbeh Shahbazirad</t>
  </si>
  <si>
    <t xml:space="preserve">Lead Engineer</t>
  </si>
  <si>
    <t xml:space="preserve">R0281</t>
  </si>
  <si>
    <t xml:space="preserve">Dinesh Chandrasekaran</t>
  </si>
  <si>
    <t xml:space="preserve">Lead Engineer (Snowflake)</t>
  </si>
  <si>
    <t xml:space="preserve">Reporting &amp; Analytics</t>
  </si>
  <si>
    <t xml:space="preserve">R0293</t>
  </si>
  <si>
    <t xml:space="preserve">Ronak Patel</t>
  </si>
  <si>
    <t xml:space="preserve">Engineer Data  </t>
  </si>
  <si>
    <t xml:space="preserve">R0305</t>
  </si>
  <si>
    <t xml:space="preserve">R0310</t>
  </si>
  <si>
    <t xml:space="preserve">R0340</t>
  </si>
  <si>
    <t xml:space="preserve">R0427</t>
  </si>
  <si>
    <t xml:space="preserve">R0177</t>
  </si>
  <si>
    <t xml:space="preserve">Carol Kuang</t>
  </si>
  <si>
    <t xml:space="preserve">Senior Data Scientist</t>
  </si>
  <si>
    <t xml:space="preserve">R0178</t>
  </si>
  <si>
    <t xml:space="preserve">Yu Chen</t>
  </si>
  <si>
    <t xml:space="preserve">R0315</t>
  </si>
  <si>
    <t xml:space="preserve">Prashant Tataskar</t>
  </si>
  <si>
    <t xml:space="preserve">Data Scientist</t>
  </si>
  <si>
    <t xml:space="preserve">R0450</t>
  </si>
  <si>
    <t xml:space="preserve">Om Singh</t>
  </si>
  <si>
    <t xml:space="preserve">R0170</t>
  </si>
  <si>
    <t xml:space="preserve">Prashanth Krishnankutty</t>
  </si>
  <si>
    <t xml:space="preserve">Lead Reporting &amp; Insights</t>
  </si>
  <si>
    <t xml:space="preserve">R0175</t>
  </si>
  <si>
    <t xml:space="preserve">Kina Birkby</t>
  </si>
  <si>
    <t xml:space="preserve">R0176</t>
  </si>
  <si>
    <t xml:space="preserve">Rihan Schalkwyk</t>
  </si>
  <si>
    <t xml:space="preserve">R0334</t>
  </si>
  <si>
    <t xml:space="preserve">Bobby Mason</t>
  </si>
  <si>
    <t xml:space="preserve">R0335</t>
  </si>
  <si>
    <t xml:space="preserve">Vacant (contract)</t>
  </si>
  <si>
    <t xml:space="preserve">Reporting analysts - Strategic Programs</t>
  </si>
  <si>
    <t xml:space="preserve">R0336</t>
  </si>
  <si>
    <t xml:space="preserve">Vincent Lu</t>
  </si>
  <si>
    <t xml:space="preserve">R0527</t>
  </si>
  <si>
    <t xml:space="preserve">Offshore Data 1</t>
  </si>
  <si>
    <t xml:space="preserve">Data Engineer (Offshore)</t>
  </si>
  <si>
    <t xml:space="preserve">R0528</t>
  </si>
  <si>
    <t xml:space="preserve">Offshore Data 2</t>
  </si>
  <si>
    <t xml:space="preserve">R0529</t>
  </si>
  <si>
    <t xml:space="preserve">Offshore Data 3</t>
  </si>
  <si>
    <t xml:space="preserve">R0530</t>
  </si>
  <si>
    <t xml:space="preserve">Offshore Data 4</t>
  </si>
  <si>
    <t xml:space="preserve">R0531</t>
  </si>
  <si>
    <t xml:space="preserve">Offshore Data 5</t>
  </si>
  <si>
    <t xml:space="preserve">R0532</t>
  </si>
  <si>
    <t xml:space="preserve">Offshore Data 6</t>
  </si>
  <si>
    <t xml:space="preserve">R0533</t>
  </si>
  <si>
    <t xml:space="preserve">Offshore Data 7</t>
  </si>
  <si>
    <t xml:space="preserve">R0534</t>
  </si>
  <si>
    <t xml:space="preserve">Offshore Data 8</t>
  </si>
  <si>
    <t xml:space="preserve">R0535</t>
  </si>
  <si>
    <t xml:space="preserve">Offshore Data 9</t>
  </si>
  <si>
    <t xml:space="preserve">EGI Ent Data</t>
  </si>
  <si>
    <t xml:space="preserve">R0172</t>
  </si>
  <si>
    <t xml:space="preserve">Sai Konka</t>
  </si>
  <si>
    <t xml:space="preserve">Application &amp; Analytics Manager</t>
  </si>
  <si>
    <t xml:space="preserve">R0173</t>
  </si>
  <si>
    <t xml:space="preserve">Sumathi Manikkampichai</t>
  </si>
  <si>
    <t xml:space="preserve">Data Architect</t>
  </si>
  <si>
    <t xml:space="preserve">R0309</t>
  </si>
  <si>
    <t xml:space="preserve">R0342</t>
  </si>
  <si>
    <t xml:space="preserve">Abdul Ghaffar</t>
  </si>
  <si>
    <t xml:space="preserve">Applications Specialist - Demand Planning</t>
  </si>
  <si>
    <t xml:space="preserve">R0343</t>
  </si>
  <si>
    <t xml:space="preserve">Rakshit Kaul</t>
  </si>
  <si>
    <t xml:space="preserve">Applications Specialist</t>
  </si>
  <si>
    <t xml:space="preserve">R0344</t>
  </si>
  <si>
    <t xml:space="preserve">Steve Murray</t>
  </si>
  <si>
    <t xml:space="preserve">R0345</t>
  </si>
  <si>
    <t xml:space="preserve">Sudeer Pulpati</t>
  </si>
  <si>
    <t xml:space="preserve">Applications Specialist - Strategic Programs</t>
  </si>
  <si>
    <t xml:space="preserve">R0462</t>
  </si>
  <si>
    <t xml:space="preserve">R0087</t>
  </si>
  <si>
    <t xml:space="preserve">Deepali Mahajan</t>
  </si>
  <si>
    <t xml:space="preserve">Data Operations Manager</t>
  </si>
  <si>
    <t xml:space="preserve">R0292</t>
  </si>
  <si>
    <t xml:space="preserve">Service Transition Lead</t>
  </si>
  <si>
    <t xml:space="preserve">R0052</t>
  </si>
  <si>
    <t xml:space="preserve">James Holgate</t>
  </si>
  <si>
    <t xml:space="preserve">Head of Technology,  Group Data</t>
  </si>
  <si>
    <t xml:space="preserve">R0050</t>
  </si>
  <si>
    <t xml:space="preserve">Jason Gleason</t>
  </si>
  <si>
    <t xml:space="preserve">Technology Manager, Data Engineering &amp; Platforms</t>
  </si>
  <si>
    <t xml:space="preserve">R0088</t>
  </si>
  <si>
    <t xml:space="preserve">Jonathan Robinson</t>
  </si>
  <si>
    <t xml:space="preserve">Technology Manager  Data Science</t>
  </si>
  <si>
    <t xml:space="preserve">Identity</t>
  </si>
  <si>
    <t xml:space="preserve">R0168</t>
  </si>
  <si>
    <t xml:space="preserve">Joe Nahma</t>
  </si>
  <si>
    <t xml:space="preserve">Manager Identity &amp; Access Management</t>
  </si>
  <si>
    <t xml:space="preserve">R0308</t>
  </si>
  <si>
    <t xml:space="preserve">Iwan Wibisono</t>
  </si>
  <si>
    <t xml:space="preserve">Engineer - IDAM</t>
  </si>
  <si>
    <t xml:space="preserve">R0447</t>
  </si>
  <si>
    <t xml:space="preserve">Raymond Cheung</t>
  </si>
  <si>
    <t xml:space="preserve">R0448</t>
  </si>
  <si>
    <t xml:space="preserve">Cameron Watman</t>
  </si>
  <si>
    <t xml:space="preserve">Cyber Uplift</t>
  </si>
  <si>
    <t xml:space="preserve">R0086</t>
  </si>
  <si>
    <t xml:space="preserve">Vivienne Vasak</t>
  </si>
  <si>
    <t xml:space="preserve">Portfolio Manager Cyber Security</t>
  </si>
  <si>
    <t xml:space="preserve">R0169</t>
  </si>
  <si>
    <t xml:space="preserve">Kevin Sheerin</t>
  </si>
  <si>
    <t xml:space="preserve">Cyber Architecture Lead</t>
  </si>
  <si>
    <t xml:space="preserve">R0263</t>
  </si>
  <si>
    <t xml:space="preserve">Dan Balsamo</t>
  </si>
  <si>
    <t xml:space="preserve">Senior Cyber Project Manager</t>
  </si>
  <si>
    <t xml:space="preserve">R0403</t>
  </si>
  <si>
    <t xml:space="preserve">Catherine Gire</t>
  </si>
  <si>
    <t xml:space="preserve">Cyber Technical Business Analyst</t>
  </si>
  <si>
    <t xml:space="preserve">R0404</t>
  </si>
  <si>
    <t xml:space="preserve">Tony Keeler</t>
  </si>
  <si>
    <t xml:space="preserve">Cyber Business Analyst</t>
  </si>
  <si>
    <t xml:space="preserve">R0011</t>
  </si>
  <si>
    <t xml:space="preserve">Jason McNamara</t>
  </si>
  <si>
    <t xml:space="preserve">Project Manager Retail</t>
  </si>
  <si>
    <t xml:space="preserve">R0009</t>
  </si>
  <si>
    <t xml:space="preserve">Areum Kim Lee</t>
  </si>
  <si>
    <t xml:space="preserve">Program Manager (PEP13-EGI-UKG)</t>
  </si>
  <si>
    <t xml:space="preserve">R0035</t>
  </si>
  <si>
    <t xml:space="preserve">Jason Sipkovic</t>
  </si>
  <si>
    <t xml:space="preserve">strategic program architect</t>
  </si>
  <si>
    <t xml:space="preserve">R0049</t>
  </si>
  <si>
    <t xml:space="preserve">Moitri Pal</t>
  </si>
  <si>
    <t xml:space="preserve">Portfolio Mnager</t>
  </si>
  <si>
    <t xml:space="preserve">R0006</t>
  </si>
  <si>
    <t xml:space="preserve">Paul Hassey</t>
  </si>
  <si>
    <t xml:space="preserve">Program Architect</t>
  </si>
  <si>
    <t xml:space="preserve">R0008</t>
  </si>
  <si>
    <t xml:space="preserve">Anthony Huynh</t>
  </si>
  <si>
    <t xml:space="preserve">Strategic Delivery Consultant</t>
  </si>
  <si>
    <t xml:space="preserve">R0012</t>
  </si>
  <si>
    <t xml:space="preserve">Karl Reyneke</t>
  </si>
  <si>
    <t xml:space="preserve">R0007</t>
  </si>
  <si>
    <t xml:space="preserve">Ahmed Yehya</t>
  </si>
  <si>
    <t xml:space="preserve">TDD Strategic Delivery</t>
  </si>
  <si>
    <t xml:space="preserve">R0041</t>
  </si>
  <si>
    <t xml:space="preserve">Ashish Gupte</t>
  </si>
  <si>
    <t xml:space="preserve">DeveloperSAP ECC</t>
  </si>
  <si>
    <t xml:space="preserve">R0032</t>
  </si>
  <si>
    <t xml:space="preserve">Winnie Fernandes</t>
  </si>
  <si>
    <t xml:space="preserve">Delivery Lead - Integration</t>
  </si>
  <si>
    <t xml:space="preserve">R0010</t>
  </si>
  <si>
    <t xml:space="preserve">James Munt</t>
  </si>
  <si>
    <t xml:space="preserve">Program Manager Tech &amp; P&amp;C</t>
  </si>
  <si>
    <t xml:space="preserve">R0014</t>
  </si>
  <si>
    <t xml:space="preserve">vijay Solanki</t>
  </si>
  <si>
    <t xml:space="preserve">Project Manager Deployment</t>
  </si>
  <si>
    <t xml:space="preserve">R0004</t>
  </si>
  <si>
    <t xml:space="preserve">Harish Dasari</t>
  </si>
  <si>
    <t xml:space="preserve">Business Analyst (SAP Payroll)</t>
  </si>
  <si>
    <t xml:space="preserve">R0005</t>
  </si>
  <si>
    <t xml:space="preserve">Niall Greene</t>
  </si>
  <si>
    <t xml:space="preserve">Project Manager (PEP13-EGI-UKG)</t>
  </si>
  <si>
    <t xml:space="preserve">R0027</t>
  </si>
  <si>
    <t xml:space="preserve">Kanika Narula</t>
  </si>
  <si>
    <t xml:space="preserve">Business Analyst Digital</t>
  </si>
  <si>
    <t xml:space="preserve">R0013</t>
  </si>
  <si>
    <t xml:space="preserve">michelle Siegman</t>
  </si>
  <si>
    <t xml:space="preserve">R0034</t>
  </si>
  <si>
    <t xml:space="preserve">Ernesto Pereira</t>
  </si>
  <si>
    <t xml:space="preserve">Project Manger</t>
  </si>
  <si>
    <t xml:space="preserve">R0125</t>
  </si>
  <si>
    <t xml:space="preserve">Tena Foote</t>
  </si>
  <si>
    <t xml:space="preserve">Program Manager </t>
  </si>
  <si>
    <t xml:space="preserve">Platforms</t>
  </si>
  <si>
    <t xml:space="preserve">Platform</t>
  </si>
  <si>
    <t xml:space="preserve">Roles</t>
  </si>
  <si>
    <t xml:space="preserve">FTE</t>
  </si>
  <si>
    <t xml:space="preserve">TDD</t>
  </si>
  <si>
    <t xml:space="preserve">Ampol Digital</t>
  </si>
  <si>
    <t xml:space="preserve">Group Data</t>
  </si>
  <si>
    <t xml:space="preserve">Energy Solutions</t>
  </si>
  <si>
    <t xml:space="preserve">Distribution</t>
  </si>
  <si>
    <t xml:space="preserve">AU Finance</t>
  </si>
  <si>
    <t xml:space="preserve">Manufacturing</t>
  </si>
  <si>
    <t xml:space="preserve">Network/QSR</t>
  </si>
  <si>
    <t xml:space="preserve">Z Energy (Digitial)</t>
  </si>
  <si>
    <t xml:space="preserve">Data &amp; Insights </t>
  </si>
  <si>
    <t xml:space="preserve">NA</t>
  </si>
  <si>
    <t xml:space="preserve">Z Customer &amp; Z Supply</t>
  </si>
  <si>
    <t xml:space="preserve">Fuel Infrastructure</t>
  </si>
  <si>
    <t xml:space="preserve">AI Enablement &amp; Program Management</t>
  </si>
  <si>
    <t xml:space="preserve">(All Retail)</t>
  </si>
  <si>
    <t xml:space="preserve">Squads</t>
  </si>
  <si>
    <t xml:space="preserve">Portfolio</t>
  </si>
  <si>
    <t xml:space="preserve">Conventions</t>
  </si>
  <si>
    <t xml:space="preserve">Item</t>
  </si>
  <si>
    <t xml:space="preserve">Basis</t>
  </si>
  <si>
    <t xml:space="preserve">Cost basis</t>
  </si>
  <si>
    <t xml:space="preserve">After levers (vacancy hire pricing, offshore lever, hold lever)</t>
  </si>
  <si>
    <t xml:space="preserve">Labour cost total</t>
  </si>
  <si>
    <t xml:space="preserve">The line's own people cost, allocations redistributed inside it</t>
  </si>
  <si>
    <t xml:space="preserve">Lights on</t>
  </si>
  <si>
    <t xml:space="preserve">Support share of squad cost plus own and allocated overhead</t>
  </si>
  <si>
    <t xml:space="preserve">Sig items</t>
  </si>
  <si>
    <t xml:space="preserve">Directly funded programs, funded outside</t>
  </si>
  <si>
    <t xml:space="preserve">Initiatives</t>
  </si>
  <si>
    <t xml:space="preserve">Labour cost total less lights on and sig items</t>
  </si>
  <si>
    <t xml:space="preserve">Lights on labour cost divided by labour cost total</t>
  </si>
  <si>
    <t xml:space="preserve">COE lines</t>
  </si>
  <si>
    <t xml:space="preserve">Typed at line level from Model 3.5</t>
  </si>
  <si>
    <t xml:space="preserve">Customer split</t>
  </si>
  <si>
    <t xml:space="preserve">Shared Customer roles carried at the Model 3.5 support ratio</t>
  </si>
  <si>
    <t xml:space="preserve">REVIEW platform column as given</t>
  </si>
  <si>
    <t xml:space="preserve">Currency</t>
  </si>
  <si>
    <t xml:space="preserve">$m AUD</t>
  </si>
  <si>
    <t xml:space="preserve">Support % by squad</t>
  </si>
  <si>
    <t xml:space="preserve">Portfolio line</t>
  </si>
  <si>
    <t xml:space="preserve">Support %</t>
  </si>
  <si>
    <t xml:space="preserve">Source</t>
  </si>
  <si>
    <t xml:space="preserve">Model 2.1</t>
  </si>
  <si>
    <t xml:space="preserve">Ampol Retail|Above Store</t>
  </si>
  <si>
    <t xml:space="preserve">Ampol Retail|Data AU</t>
  </si>
  <si>
    <t xml:space="preserve">Ampol Retail|Deployment</t>
  </si>
  <si>
    <t xml:space="preserve">Ampol Retail|Network &amp; QSR</t>
  </si>
  <si>
    <t xml:space="preserve">Ampol Retail|POS</t>
  </si>
  <si>
    <t xml:space="preserve">Ampol Retail|Payments</t>
  </si>
  <si>
    <t xml:space="preserve">Ampol Retail|Store Operations</t>
  </si>
  <si>
    <t xml:space="preserve">Model 2.10</t>
  </si>
  <si>
    <t xml:space="preserve">Z Retail|Data NZ</t>
  </si>
  <si>
    <t xml:space="preserve">Z Retail|Site Systems</t>
  </si>
  <si>
    <t xml:space="preserve">Z Retail|Z Retail Backend</t>
  </si>
  <si>
    <t xml:space="preserve">Z Retail|Z Supply</t>
  </si>
  <si>
    <t xml:space="preserve">Model 2.2</t>
  </si>
  <si>
    <t xml:space="preserve">Ampol Customer|Ampol App</t>
  </si>
  <si>
    <t xml:space="preserve">Ampol Customer|Ampol Loyalty &amp; Martech</t>
  </si>
  <si>
    <t xml:space="preserve">Ampol Customer|Ampol Web</t>
  </si>
  <si>
    <t xml:space="preserve">Ampol Customer|Customer, AI</t>
  </si>
  <si>
    <t xml:space="preserve">Ampol Customer|Digital Operations</t>
  </si>
  <si>
    <t xml:space="preserve">Z Customer|Z App and Web</t>
  </si>
  <si>
    <t xml:space="preserve">Z Customer|Z Loyalty &amp; Martech</t>
  </si>
  <si>
    <t xml:space="preserve">Model 2.9</t>
  </si>
  <si>
    <t xml:space="preserve">Commercial Fuels|Supply</t>
  </si>
  <si>
    <t xml:space="preserve">Commercial Fuels|Trading &amp; Shipping</t>
  </si>
  <si>
    <t xml:space="preserve">Commercial Fuels|Trading &amp; Shipping Data</t>
  </si>
  <si>
    <t xml:space="preserve">Model 2.8</t>
  </si>
  <si>
    <t xml:space="preserve">Energy Solutions &amp; B2B|B2B</t>
  </si>
  <si>
    <t xml:space="preserve">Energy Solutions &amp; B2B|EVCI</t>
  </si>
  <si>
    <t xml:space="preserve">Energy Solutions &amp; B2B|Energy</t>
  </si>
  <si>
    <t xml:space="preserve">Model 2.7</t>
  </si>
  <si>
    <t xml:space="preserve">Infrastructure|Data &amp; Insights</t>
  </si>
  <si>
    <t xml:space="preserve">Infrastructure|Distribution, Sales &amp; Services</t>
  </si>
  <si>
    <t xml:space="preserve">Infrastructure|Manufacturing Group Projects</t>
  </si>
  <si>
    <t xml:space="preserve">Infrastructure|Technology Support</t>
  </si>
  <si>
    <t xml:space="preserve">Model 2.5</t>
  </si>
  <si>
    <t xml:space="preserve">P&amp;C|P&amp;C</t>
  </si>
  <si>
    <t xml:space="preserve">P&amp;C|P&amp;C RTA</t>
  </si>
  <si>
    <t xml:space="preserve">Model 2.6</t>
  </si>
  <si>
    <t xml:space="preserve">Finance|NZ Finance</t>
  </si>
  <si>
    <t xml:space="preserve">Finance|SAP ERP</t>
  </si>
  <si>
    <t xml:space="preserve">Model 2.4</t>
  </si>
  <si>
    <t xml:space="preserve">TDD Group Functions|Cloud, Network &amp; Infra Ops</t>
  </si>
  <si>
    <t xml:space="preserve">TDD Group Functions|DevOps &amp; QE</t>
  </si>
  <si>
    <t xml:space="preserve">TDD Group Functions|Integration &amp; Process Automation</t>
  </si>
  <si>
    <t xml:space="preserve">TDD Group Functions|Workplace &amp; Enterprise Tooling</t>
  </si>
  <si>
    <t xml:space="preserve">Model 2.3</t>
  </si>
  <si>
    <t xml:space="preserve">Enterprise Data|Data Platforms</t>
  </si>
  <si>
    <t xml:space="preserve">Enterprise Data|Data Science</t>
  </si>
  <si>
    <t xml:space="preserve">Enterprise Data|Enterprise Data Delivery</t>
  </si>
  <si>
    <t xml:space="preserve">Enterprise Data|Reporting &amp; Analytics</t>
  </si>
  <si>
    <t xml:space="preserve">Model 2.15</t>
  </si>
  <si>
    <t xml:space="preserve">TDD Cyber|Identity</t>
  </si>
  <si>
    <t xml:space="preserve">Program funding</t>
  </si>
  <si>
    <t xml:space="preserve">Program</t>
  </si>
  <si>
    <t xml:space="preserve">Funded ($m)</t>
  </si>
  <si>
    <t xml:space="preserve">Architecture</t>
  </si>
  <si>
    <t xml:space="preserve">Model 2.13</t>
  </si>
  <si>
    <t xml:space="preserve">Technology Strategy &amp; AI Capability</t>
  </si>
  <si>
    <t xml:space="preserve">Cyber uplift part charge</t>
  </si>
  <si>
    <t xml:space="preserve">Model 2.11</t>
  </si>
  <si>
    <t xml:space="preserve">Service Op &amp; Assurance</t>
  </si>
  <si>
    <t xml:space="preserve">Model 2.16</t>
  </si>
  <si>
    <t xml:space="preserve">Transformation</t>
  </si>
  <si>
    <t xml:space="preserve">Model 2.12</t>
  </si>
  <si>
    <t xml:space="preserve">Commercial</t>
  </si>
  <si>
    <t xml:space="preserve">TDD Business Partner</t>
  </si>
  <si>
    <t xml:space="preserve">Model 2.14</t>
  </si>
  <si>
    <t xml:space="preserve">Allocated overhead per line</t>
  </si>
  <si>
    <t xml:space="preserve">GM share</t>
  </si>
  <si>
    <t xml:space="preserve">Business partner share</t>
  </si>
  <si>
    <t xml:space="preserve">Domain architect share</t>
  </si>
  <si>
    <t xml:space="preserve">Model 3.5</t>
  </si>
  <si>
    <t xml:space="preserve">Lights on budget per line</t>
  </si>
  <si>
    <t xml:space="preserve">Budget ($m)</t>
  </si>
  <si>
    <t xml:space="preserve">Model 3.8</t>
  </si>
  <si>
    <t xml:space="preserve">Sig items funded per line</t>
  </si>
  <si>
    <t xml:space="preserve">COE lines typed from Model 3.5</t>
  </si>
  <si>
    <t xml:space="preserve">Overhead labour cost ($m)</t>
  </si>
  <si>
    <t xml:space="preserve">Customer shared role split</t>
  </si>
  <si>
    <t xml:space="preserve">Share</t>
  </si>
  <si>
    <t xml:space="preserve">Role ID</t>
  </si>
  <si>
    <t xml:space="preserve">Model tab</t>
  </si>
  <si>
    <t xml:space="preserve">Group</t>
  </si>
  <si>
    <t xml:space="preserve">Section</t>
  </si>
  <si>
    <t xml:space="preserve">Lever</t>
  </si>
  <si>
    <t xml:space="preserve">Planned start</t>
  </si>
  <si>
    <t xml:space="preserve">Country</t>
  </si>
  <si>
    <t xml:space="preserve">Charged to the cyber uplift ($)</t>
  </si>
  <si>
    <t xml:space="preserve">Lights on ($)</t>
  </si>
  <si>
    <t xml:space="preserve">2.1 Ampol Retail</t>
  </si>
  <si>
    <t xml:space="preserve">squad</t>
  </si>
  <si>
    <t xml:space="preserve">AU</t>
  </si>
  <si>
    <t xml:space="preserve">sig</t>
  </si>
  <si>
    <t xml:space="preserve">NZ</t>
  </si>
  <si>
    <t xml:space="preserve">AMPOS</t>
  </si>
  <si>
    <t xml:space="preserve">overhead</t>
  </si>
  <si>
    <t xml:space="preserve">Store Operations, Network &amp; QSR, Deployment</t>
  </si>
  <si>
    <t xml:space="preserve">Store Operations, Payments, POS</t>
  </si>
  <si>
    <t xml:space="preserve">2.10 Z Retail</t>
  </si>
  <si>
    <t xml:space="preserve">2.2 Customer</t>
  </si>
  <si>
    <t xml:space="preserve">Portfolio Leadership</t>
  </si>
  <si>
    <t xml:space="preserve">2.9 Commercial Fuels</t>
  </si>
  <si>
    <t xml:space="preserve">2.8 Energy Solutions &amp; B2B</t>
  </si>
  <si>
    <t xml:space="preserve">2.7 Infrastructure</t>
  </si>
  <si>
    <t xml:space="preserve">Leadership </t>
  </si>
  <si>
    <t xml:space="preserve">2.5 P&amp;C</t>
  </si>
  <si>
    <t xml:space="preserve">P&amp;C, Finance &amp; Legal</t>
  </si>
  <si>
    <t xml:space="preserve">2.6 Finance</t>
  </si>
  <si>
    <t xml:space="preserve">2.4 TDD Group Functions</t>
  </si>
  <si>
    <t xml:space="preserve">EGI </t>
  </si>
  <si>
    <t xml:space="preserve">2.3 Enterprise Data</t>
  </si>
  <si>
    <t xml:space="preserve">2.15 TDD Cyber</t>
  </si>
  <si>
    <t xml:space="preserve">R0102</t>
  </si>
  <si>
    <t xml:space="preserve">2.13 COE SA&amp;D</t>
  </si>
  <si>
    <t xml:space="preserve">R0103</t>
  </si>
  <si>
    <t xml:space="preserve">R0104</t>
  </si>
  <si>
    <t xml:space="preserve">R0110</t>
  </si>
  <si>
    <t xml:space="preserve">R0237</t>
  </si>
  <si>
    <t xml:space="preserve">R0238</t>
  </si>
  <si>
    <t xml:space="preserve">R0239</t>
  </si>
  <si>
    <t xml:space="preserve">R0053</t>
  </si>
  <si>
    <t xml:space="preserve">R0054</t>
  </si>
  <si>
    <t xml:space="preserve">R0055</t>
  </si>
  <si>
    <t xml:space="preserve">R0326</t>
  </si>
  <si>
    <t xml:space="preserve">R0111</t>
  </si>
  <si>
    <t xml:space="preserve">R0240</t>
  </si>
  <si>
    <t xml:space="preserve">R0380</t>
  </si>
  <si>
    <t xml:space="preserve">R0473</t>
  </si>
  <si>
    <t xml:space="preserve">R0474</t>
  </si>
  <si>
    <t xml:space="preserve">R0084</t>
  </si>
  <si>
    <t xml:space="preserve">2.11 COE Cyber</t>
  </si>
  <si>
    <t xml:space="preserve">Cyber GRC</t>
  </si>
  <si>
    <t xml:space="preserve">R0156</t>
  </si>
  <si>
    <t xml:space="preserve">R0294</t>
  </si>
  <si>
    <t xml:space="preserve">R0295</t>
  </si>
  <si>
    <t xml:space="preserve">R0428</t>
  </si>
  <si>
    <t xml:space="preserve">R0083</t>
  </si>
  <si>
    <t xml:space="preserve">Cyber Risk</t>
  </si>
  <si>
    <t xml:space="preserve">R0539</t>
  </si>
  <si>
    <t xml:space="preserve">R0148</t>
  </si>
  <si>
    <t xml:space="preserve">R0085</t>
  </si>
  <si>
    <t xml:space="preserve">Cyber Sec Ops</t>
  </si>
  <si>
    <t xml:space="preserve">R0210</t>
  </si>
  <si>
    <t xml:space="preserve">R0354</t>
  </si>
  <si>
    <t xml:space="preserve">R0355</t>
  </si>
  <si>
    <t xml:space="preserve">R0466</t>
  </si>
  <si>
    <t xml:space="preserve">R0047</t>
  </si>
  <si>
    <t xml:space="preserve">Cyber Strat &amp; Tech</t>
  </si>
  <si>
    <t xml:space="preserve">R0536</t>
  </si>
  <si>
    <t xml:space="preserve">R0181</t>
  </si>
  <si>
    <t xml:space="preserve">R0182</t>
  </si>
  <si>
    <t xml:space="preserve">R0183</t>
  </si>
  <si>
    <t xml:space="preserve">R0048</t>
  </si>
  <si>
    <t xml:space="preserve">2.16 COE Service Ops</t>
  </si>
  <si>
    <t xml:space="preserve">R0100</t>
  </si>
  <si>
    <t xml:space="preserve">R0187</t>
  </si>
  <si>
    <t xml:space="preserve">R0196</t>
  </si>
  <si>
    <t xml:space="preserve">R0197</t>
  </si>
  <si>
    <t xml:space="preserve">R0286</t>
  </si>
  <si>
    <t xml:space="preserve">R0287</t>
  </si>
  <si>
    <t xml:space="preserve">R0288</t>
  </si>
  <si>
    <t xml:space="preserve">R0329</t>
  </si>
  <si>
    <t xml:space="preserve">R0330</t>
  </si>
  <si>
    <t xml:space="preserve">R0423</t>
  </si>
  <si>
    <t xml:space="preserve">R0453</t>
  </si>
  <si>
    <t xml:space="preserve">R0458</t>
  </si>
  <si>
    <t xml:space="preserve">R0459</t>
  </si>
  <si>
    <t xml:space="preserve">R0470</t>
  </si>
  <si>
    <t xml:space="preserve">R0475</t>
  </si>
  <si>
    <t xml:space="preserve">R0496</t>
  </si>
  <si>
    <t xml:space="preserve">R0512</t>
  </si>
  <si>
    <t xml:space="preserve">R0514</t>
  </si>
  <si>
    <t xml:space="preserve">R0537</t>
  </si>
  <si>
    <t xml:space="preserve">Q4</t>
  </si>
  <si>
    <t xml:space="preserve">R0538</t>
  </si>
  <si>
    <t xml:space="preserve">R0540</t>
  </si>
  <si>
    <t xml:space="preserve">Q3</t>
  </si>
  <si>
    <t xml:space="preserve">R0515</t>
  </si>
  <si>
    <t xml:space="preserve">R0516</t>
  </si>
  <si>
    <t xml:space="preserve">R0061</t>
  </si>
  <si>
    <t xml:space="preserve">2.12 COE BP&amp;T</t>
  </si>
  <si>
    <t xml:space="preserve">R0109</t>
  </si>
  <si>
    <t xml:space="preserve">R0118</t>
  </si>
  <si>
    <t xml:space="preserve">R0119</t>
  </si>
  <si>
    <t xml:space="preserve">R0214</t>
  </si>
  <si>
    <t xml:space="preserve">R0241</t>
  </si>
  <si>
    <t xml:space="preserve">R0254</t>
  </si>
  <si>
    <t xml:space="preserve">R0341</t>
  </si>
  <si>
    <t xml:space="preserve">R0346</t>
  </si>
  <si>
    <t xml:space="preserve">R0463</t>
  </si>
  <si>
    <t xml:space="preserve">R0464</t>
  </si>
  <si>
    <t xml:space="preserve">R0480</t>
  </si>
  <si>
    <t xml:space="preserve">R0481</t>
  </si>
  <si>
    <t xml:space="preserve">R0498</t>
  </si>
  <si>
    <t xml:space="preserve">R0042</t>
  </si>
  <si>
    <t xml:space="preserve">R0367</t>
  </si>
  <si>
    <t xml:space="preserve">R0368</t>
  </si>
  <si>
    <t xml:space="preserve">R0469</t>
  </si>
  <si>
    <t xml:space="preserve">R0056</t>
  </si>
  <si>
    <t xml:space="preserve">R0057</t>
  </si>
  <si>
    <t xml:space="preserve">R0058</t>
  </si>
  <si>
    <t xml:space="preserve">R0059</t>
  </si>
  <si>
    <t xml:space="preserve">R0060</t>
  </si>
  <si>
    <t xml:space="preserve">R0096</t>
  </si>
  <si>
    <t xml:space="preserve">R0198</t>
  </si>
  <si>
    <t xml:space="preserve">R0051</t>
  </si>
  <si>
    <t xml:space="preserve">R0065</t>
  </si>
  <si>
    <t xml:space="preserve">R0199</t>
  </si>
  <si>
    <t xml:space="preserve">R0347</t>
  </si>
  <si>
    <t xml:space="preserve">R0348</t>
  </si>
  <si>
    <t xml:space="preserve">R0349</t>
  </si>
  <si>
    <t xml:space="preserve">2.14 EGI</t>
  </si>
  <si>
    <t xml:space="preserve">EE Number</t>
  </si>
  <si>
    <t xml:space="preserve">Position Title</t>
  </si>
  <si>
    <t xml:space="preserve">Reports to name</t>
  </si>
  <si>
    <t xml:space="preserve">Reports to Position</t>
  </si>
  <si>
    <t xml:space="preserve">Division (GM)</t>
  </si>
  <si>
    <t xml:space="preserve">Department (GM-1)</t>
  </si>
  <si>
    <t xml:space="preserve">Team (GM-2)</t>
  </si>
  <si>
    <t xml:space="preserve">CC</t>
  </si>
  <si>
    <t xml:space="preserve">Job Level</t>
  </si>
  <si>
    <t xml:space="preserve">Vacant Column</t>
  </si>
  <si>
    <t xml:space="preserve">Type</t>
  </si>
  <si>
    <t xml:space="preserve">Unit</t>
  </si>
  <si>
    <t xml:space="preserve">day rate</t>
  </si>
  <si>
    <t xml:space="preserve">FTE Base
 Local</t>
  </si>
  <si>
    <t xml:space="preserve">FTE Base 
AUD</t>
  </si>
  <si>
    <t xml:space="preserve">STI</t>
  </si>
  <si>
    <t xml:space="preserve">Payroll</t>
  </si>
  <si>
    <t xml:space="preserve">Pensions</t>
  </si>
  <si>
    <t xml:space="preserve">medical</t>
  </si>
  <si>
    <t xml:space="preserve">CPI</t>
  </si>
  <si>
    <t xml:space="preserve">Full Cost 
AUD</t>
  </si>
  <si>
    <t xml:space="preserve">MyHR ee no</t>
  </si>
  <si>
    <t xml:space="preserve">Effective cost (AUD)</t>
  </si>
  <si>
    <t xml:space="preserve">MStatus</t>
  </si>
  <si>
    <t xml:space="preserve">Ring fenced</t>
  </si>
  <si>
    <t xml:space="preserve">MTab</t>
  </si>
  <si>
    <t xml:space="preserve">Squad (canonical, from col L)</t>
  </si>
  <si>
    <t xml:space="preserve">Overhead line</t>
  </si>
  <si>
    <t xml:space="preserve">Squad or overhead line</t>
  </si>
  <si>
    <t xml:space="preserve">EGI funded</t>
  </si>
  <si>
    <t xml:space="preserve">Status (PCM)</t>
  </si>
  <si>
    <t xml:space="preserve">Commentry (PCM)</t>
  </si>
  <si>
    <t xml:space="preserve">End date (PCM)</t>
  </si>
  <si>
    <t xml:space="preserve">Country side (AU or NZ)</t>
  </si>
  <si>
    <t xml:space="preserve">C</t>
  </si>
  <si>
    <t xml:space="preserve">Delivery Manager, Digital</t>
  </si>
  <si>
    <t xml:space="preserve">Customer</t>
  </si>
  <si>
    <t xml:space="preserve">Digital</t>
  </si>
  <si>
    <t xml:space="preserve">Digital, Delivery</t>
  </si>
  <si>
    <t xml:space="preserve">EGI Integration</t>
  </si>
  <si>
    <t xml:space="preserve">Australia</t>
  </si>
  <si>
    <t xml:space="preserve">Contractor</t>
  </si>
  <si>
    <t xml:space="preserve">Day</t>
  </si>
  <si>
    <t xml:space="preserve">End Date: 28/08/2026</t>
  </si>
  <si>
    <t xml:space="preserve">Contractor (CXC)</t>
  </si>
  <si>
    <t xml:space="preserve">End Date: 8/08/2026</t>
  </si>
  <si>
    <t xml:space="preserve">End Date: 2/01/2027</t>
  </si>
  <si>
    <t xml:space="preserve">Areum Kim-Lee</t>
  </si>
  <si>
    <t xml:space="preserve">GM TDD, EGI</t>
  </si>
  <si>
    <t xml:space="preserve">na</t>
  </si>
  <si>
    <t xml:space="preserve">cxc</t>
  </si>
  <si>
    <t xml:space="preserve">daily</t>
  </si>
  <si>
    <t xml:space="preserve">Daily</t>
  </si>
  <si>
    <t xml:space="preserve">c</t>
  </si>
  <si>
    <t xml:space="preserve">Greg Cassis</t>
  </si>
  <si>
    <t xml:space="preserve">australia</t>
  </si>
  <si>
    <t xml:space="preserve">greg Cassis</t>
  </si>
  <si>
    <t xml:space="preserve">Technology Manager, TDD Refinery</t>
  </si>
  <si>
    <t xml:space="preserve">TDD CFE&amp;I</t>
  </si>
  <si>
    <t xml:space="preserve">Refinery Applications</t>
  </si>
  <si>
    <t xml:space="preserve">W- Vacant</t>
  </si>
  <si>
    <t xml:space="preserve">Delivery Manager, Loyalty</t>
  </si>
  <si>
    <t xml:space="preserve">Loyalty &amp; Martech</t>
  </si>
  <si>
    <t xml:space="preserve">Loyalty, Delivery </t>
  </si>
  <si>
    <t xml:space="preserve">WIPRO</t>
  </si>
  <si>
    <t xml:space="preserve">WIPRO - vacant</t>
  </si>
  <si>
    <t xml:space="preserve">Wipro</t>
  </si>
  <si>
    <t xml:space="preserve">Manjot Kaur</t>
  </si>
  <si>
    <t xml:space="preserve">Ampol Retail &amp; Z</t>
  </si>
  <si>
    <t xml:space="preserve">Z &amp; Group Retail</t>
  </si>
  <si>
    <t xml:space="preserve">Z &amp; Group Retail, Data</t>
  </si>
  <si>
    <t xml:space="preserve">W-106200</t>
  </si>
  <si>
    <t xml:space="preserve">Digital Support Manager(AU)</t>
  </si>
  <si>
    <t xml:space="preserve">Digital Support (AU)</t>
  </si>
  <si>
    <t xml:space="preserve">WIPRO - filled</t>
  </si>
  <si>
    <t xml:space="preserve">Technology Manager Integration &amp; Process Managemetn</t>
  </si>
  <si>
    <t xml:space="preserve">TDD &amp; Engineering </t>
  </si>
  <si>
    <t xml:space="preserve">Integration &amp; Process Management</t>
  </si>
  <si>
    <t xml:space="preserve">cant find this person</t>
  </si>
  <si>
    <t xml:space="preserve">Technology Manager, Digitial</t>
  </si>
  <si>
    <t xml:space="preserve">Digital, Tech</t>
  </si>
  <si>
    <t xml:space="preserve">Jac: Don’t know end Date</t>
  </si>
  <si>
    <t xml:space="preserve">Contractor (Digizoo)</t>
  </si>
  <si>
    <t xml:space="preserve">Jac: Don’t know end date</t>
  </si>
  <si>
    <t xml:space="preserve">End Date: 30/10/26</t>
  </si>
  <si>
    <t xml:space="preserve">End Date: 21/08/2026</t>
  </si>
  <si>
    <t xml:space="preserve">Permanent - Part Time</t>
  </si>
  <si>
    <t xml:space="preserve">Joins Perm in August</t>
  </si>
  <si>
    <t xml:space="preserve">Joins Perm in August NOTE: Shreema Das is in the Ampol Web Squad</t>
  </si>
  <si>
    <t xml:space="preserve">End Date: 21/09/2026</t>
  </si>
  <si>
    <t xml:space="preserve">Program Manager - EGI</t>
  </si>
  <si>
    <t xml:space="preserve">Solution Architect SAP</t>
  </si>
  <si>
    <t xml:space="preserve">NOT IN MY ORG CHART</t>
  </si>
  <si>
    <t xml:space="preserve">Trena Foote</t>
  </si>
  <si>
    <t xml:space="preserve">Technology Manager, Digital Engineering</t>
  </si>
  <si>
    <t xml:space="preserve">Tech, Digital Engineering</t>
  </si>
  <si>
    <t xml:space="preserve">End date:10/07/2026</t>
  </si>
  <si>
    <t xml:space="preserve">End Date: 31/01/2027</t>
  </si>
  <si>
    <t xml:space="preserve">Jac: Cant find tthis record</t>
  </si>
  <si>
    <t xml:space="preserve">End Date: 20/08/2026</t>
  </si>
  <si>
    <t xml:space="preserve">Delivery Manager, Ampol Retail</t>
  </si>
  <si>
    <t xml:space="preserve">Ampol Retail, Delivery</t>
  </si>
  <si>
    <t xml:space="preserve">Vasso Vucovic</t>
  </si>
  <si>
    <t xml:space="preserve">Head of Technology Finance, P&amp;C Legal</t>
  </si>
  <si>
    <t xml:space="preserve">V</t>
  </si>
  <si>
    <t xml:space="preserve">Commercial Director</t>
  </si>
  <si>
    <t xml:space="preserve">Michael Schofield</t>
  </si>
  <si>
    <t xml:space="preserve">GM TDD, Partnering &amp; Transformation</t>
  </si>
  <si>
    <t xml:space="preserve">Partnering &amp; Transformation</t>
  </si>
  <si>
    <t xml:space="preserve">LSB</t>
  </si>
  <si>
    <t xml:space="preserve">v</t>
  </si>
  <si>
    <t xml:space="preserve">COE BP&amp;T</t>
  </si>
  <si>
    <t xml:space="preserve">Harley Giles</t>
  </si>
  <si>
    <t xml:space="preserve">GM TDD, Customer</t>
  </si>
  <si>
    <t xml:space="preserve">Z ENERGY (DIGITAL)</t>
  </si>
  <si>
    <t xml:space="preserve">CSC (Always)</t>
  </si>
  <si>
    <t xml:space="preserve">Permanent - Full Time</t>
  </si>
  <si>
    <t xml:space="preserve">Emily Mogic</t>
  </si>
  <si>
    <t xml:space="preserve">GM TDD, Group Function</t>
  </si>
  <si>
    <t xml:space="preserve">CSC</t>
  </si>
  <si>
    <t xml:space="preserve">James Byrne</t>
  </si>
  <si>
    <t xml:space="preserve">Head of Cyber Strategy &amp; Technology</t>
  </si>
  <si>
    <t xml:space="preserve">Frances Bouzo</t>
  </si>
  <si>
    <t xml:space="preserve">Manager Customer Support Operations </t>
  </si>
  <si>
    <t xml:space="preserve">Cyber, Risk &amp; Operations</t>
  </si>
  <si>
    <t xml:space="preserve">Rajini Onteddu Reddy</t>
  </si>
  <si>
    <t xml:space="preserve">Head of Service Operations &amp; Assurance</t>
  </si>
  <si>
    <t xml:space="preserve">Manager Service Management &amp; Major Incident Management Lead </t>
  </si>
  <si>
    <t xml:space="preserve">Strategy, Architecture &amp; Data</t>
  </si>
  <si>
    <t xml:space="preserve">Data Engineering &amp; Platforms</t>
  </si>
  <si>
    <t xml:space="preserve">Sanjay Tikoo</t>
  </si>
  <si>
    <t xml:space="preserve">Principal, Data Architecture &amp; Governance</t>
  </si>
  <si>
    <t xml:space="preserve">Data Capability</t>
  </si>
  <si>
    <t xml:space="preserve">COE SA&amp;D</t>
  </si>
  <si>
    <t xml:space="preserve">Matt Ashley</t>
  </si>
  <si>
    <t xml:space="preserve">GM TDD, Strategy, Architecture, Data</t>
  </si>
  <si>
    <t xml:space="preserve">Joel Vijayakumar</t>
  </si>
  <si>
    <t xml:space="preserve">Delivery Manager, Strategy, Architecture &amp; Data</t>
  </si>
  <si>
    <t xml:space="preserve">Delivery, SADA</t>
  </si>
  <si>
    <t xml:space="preserve">Head of Architecture</t>
  </si>
  <si>
    <t xml:space="preserve">Head of Technology Strategy &amp; AI Capability</t>
  </si>
  <si>
    <t xml:space="preserve">Conli Mills</t>
  </si>
  <si>
    <t xml:space="preserve">TDD BP - Infrastructure</t>
  </si>
  <si>
    <t xml:space="preserve">Business Partner</t>
  </si>
  <si>
    <t xml:space="preserve">Neil Reilly</t>
  </si>
  <si>
    <t xml:space="preserve">TDD BP - T&amp;S</t>
  </si>
  <si>
    <t xml:space="preserve">Singapore</t>
  </si>
  <si>
    <t xml:space="preserve">Shelley Crawford</t>
  </si>
  <si>
    <t xml:space="preserve">TDD BP - Z</t>
  </si>
  <si>
    <t xml:space="preserve">Thomas Reid</t>
  </si>
  <si>
    <t xml:space="preserve">TDD BP - Retail &amp; Customer - Store Digital</t>
  </si>
  <si>
    <t xml:space="preserve">Vaughn Scott</t>
  </si>
  <si>
    <t xml:space="preserve">TDD BP - ES</t>
  </si>
  <si>
    <t xml:space="preserve">Sarsha Tanner</t>
  </si>
  <si>
    <t xml:space="preserve">Head of Transformation</t>
  </si>
  <si>
    <t xml:space="preserve">Head of Service Operatoins &amp; Assurance</t>
  </si>
  <si>
    <t xml:space="preserve">Roanne Steele</t>
  </si>
  <si>
    <t xml:space="preserve">GM TDD, CFE&amp;I</t>
  </si>
  <si>
    <t xml:space="preserve">Roanne Steele </t>
  </si>
  <si>
    <t xml:space="preserve">B2B &amp; Energy Solutions</t>
  </si>
  <si>
    <t xml:space="preserve">Data Governance Lead</t>
  </si>
  <si>
    <t xml:space="preserve">Data Capability Manager</t>
  </si>
  <si>
    <t xml:space="preserve">Vance Anderson</t>
  </si>
  <si>
    <t xml:space="preserve">GM TDD, Ampol Retail &amp; Z</t>
  </si>
  <si>
    <t xml:space="preserve">Retail</t>
  </si>
  <si>
    <t xml:space="preserve">Z</t>
  </si>
  <si>
    <t xml:space="preserve">CSB (Often)</t>
  </si>
  <si>
    <t xml:space="preserve">Loyalty, Data &amp; Engineering</t>
  </si>
  <si>
    <t xml:space="preserve">Loyalty, Tech</t>
  </si>
  <si>
    <t xml:space="preserve">Customer, AI Enablement</t>
  </si>
  <si>
    <t xml:space="preserve">Customer, PMO</t>
  </si>
  <si>
    <t xml:space="preserve">Programme Management</t>
  </si>
  <si>
    <t xml:space="preserve">Head of Technology, Digital</t>
  </si>
  <si>
    <t xml:space="preserve">Digital, Design</t>
  </si>
  <si>
    <t xml:space="preserve">Tech, Digital</t>
  </si>
  <si>
    <t xml:space="preserve">Permanent - Full time</t>
  </si>
  <si>
    <t xml:space="preserve">Manuacturing Group Projects</t>
  </si>
  <si>
    <t xml:space="preserve">CSB </t>
  </si>
  <si>
    <t xml:space="preserve">Fuel Infrastructure, Delivery</t>
  </si>
  <si>
    <t xml:space="preserve">CSB</t>
  </si>
  <si>
    <t xml:space="preserve">Technology - Distribution</t>
  </si>
  <si>
    <t xml:space="preserve">Fuel Infrastructure, Data</t>
  </si>
  <si>
    <t xml:space="preserve">Brian Gates</t>
  </si>
  <si>
    <t xml:space="preserve">Manager Risk &amp; Resilience</t>
  </si>
  <si>
    <t xml:space="preserve">CISO </t>
  </si>
  <si>
    <t xml:space="preserve">Risk &amp; Resilience </t>
  </si>
  <si>
    <t xml:space="preserve">Diya Thomas</t>
  </si>
  <si>
    <t xml:space="preserve">Manager Cyber Security GRC</t>
  </si>
  <si>
    <t xml:space="preserve">Manager Cyber Security Operations </t>
  </si>
  <si>
    <t xml:space="preserve">Steven Atcheson</t>
  </si>
  <si>
    <t xml:space="preserve">Manager Cyber Security Operations</t>
  </si>
  <si>
    <t xml:space="preserve">Manager, Risk &amp; Resilience </t>
  </si>
  <si>
    <t xml:space="preserve">Manager Service Perforance &amp; Assurance </t>
  </si>
  <si>
    <t xml:space="preserve">Data Operations</t>
  </si>
  <si>
    <t xml:space="preserve">Data Platform</t>
  </si>
  <si>
    <t xml:space="preserve">Technology Energy Solutions</t>
  </si>
  <si>
    <t xml:space="preserve">Technology B2B</t>
  </si>
  <si>
    <t xml:space="preserve">Head of Technology,  Ampol Retail</t>
  </si>
  <si>
    <t xml:space="preserve">Ampol Retail, Merch &amp; RTA</t>
  </si>
  <si>
    <t xml:space="preserve">Ampol Retail, Technology</t>
  </si>
  <si>
    <t xml:space="preserve">Malcolm Deare</t>
  </si>
  <si>
    <t xml:space="preserve">TDD BP, Group Functions</t>
  </si>
  <si>
    <t xml:space="preserve">Technology, Trading &amp; Shipping</t>
  </si>
  <si>
    <t xml:space="preserve">Delivery, Commercial Fuels</t>
  </si>
  <si>
    <t xml:space="preserve">Technology, T&amp;S Data</t>
  </si>
  <si>
    <t xml:space="preserve">Mick Collins</t>
  </si>
  <si>
    <t xml:space="preserve">Manager, Service Performance &amp; Assurance</t>
  </si>
  <si>
    <t xml:space="preserve">Craig Ambrose</t>
  </si>
  <si>
    <t xml:space="preserve">Domain Architect - Group Functions</t>
  </si>
  <si>
    <t xml:space="preserve">Domain Architect</t>
  </si>
  <si>
    <t xml:space="preserve">John Forde</t>
  </si>
  <si>
    <t xml:space="preserve">Enterprise Architect</t>
  </si>
  <si>
    <t xml:space="preserve">Mike Gilbert</t>
  </si>
  <si>
    <t xml:space="preserve">Domain Architect - CFE &amp; Infrastructure </t>
  </si>
  <si>
    <t xml:space="preserve">Technology Manager, Enterprise Tooling</t>
  </si>
  <si>
    <t xml:space="preserve">Head of Technology- TDD &amp; Engineering Capability</t>
  </si>
  <si>
    <t xml:space="preserve">TDD &amp; Engineering</t>
  </si>
  <si>
    <t xml:space="preserve">Z &amp; Group Retail, Engineering</t>
  </si>
  <si>
    <t xml:space="preserve">Delivery Excellence Manager</t>
  </si>
  <si>
    <t xml:space="preserve">ring fenced</t>
  </si>
  <si>
    <t xml:space="preserve">Pause</t>
  </si>
  <si>
    <t xml:space="preserve">AI Capability Lead</t>
  </si>
  <si>
    <t xml:space="preserve">Head of Technology  Strategy &amp; AI Capability</t>
  </si>
  <si>
    <t xml:space="preserve">Cloud Network &amp; Infra Ops</t>
  </si>
  <si>
    <t xml:space="preserve">Ampol Retail, Store Platforms</t>
  </si>
  <si>
    <t xml:space="preserve">Z &amp; Group Retail, Site Systems</t>
  </si>
  <si>
    <t xml:space="preserve">Z &amp; Group Retail, Delivery</t>
  </si>
  <si>
    <t xml:space="preserve">Delivery Assurance Manager</t>
  </si>
  <si>
    <t xml:space="preserve">Manager Identity &amp; Access Management </t>
  </si>
  <si>
    <t xml:space="preserve">Ruth Chou</t>
  </si>
  <si>
    <t xml:space="preserve">Portfolio Reporting Manager</t>
  </si>
  <si>
    <t xml:space="preserve">Technology Manger, Data</t>
  </si>
  <si>
    <t xml:space="preserve">Program Management</t>
  </si>
  <si>
    <t xml:space="preserve">AmPos</t>
  </si>
  <si>
    <t xml:space="preserve">Tech, P&amp;C Platforms</t>
  </si>
  <si>
    <t xml:space="preserve">Tech, Finance Platforms</t>
  </si>
  <si>
    <t xml:space="preserve">Delivery, P&amp;C, Finance &amp; Legal</t>
  </si>
  <si>
    <t xml:space="preserve">tbc</t>
  </si>
  <si>
    <t xml:space="preserve">Temporary - Full Time</t>
  </si>
  <si>
    <t xml:space="preserve">CIC (Always)</t>
  </si>
  <si>
    <t xml:space="preserve">End date: 30 April 2027</t>
  </si>
  <si>
    <t xml:space="preserve">Technology Manager, Loyalty &amp; Martech</t>
  </si>
  <si>
    <t xml:space="preserve">NOTE: This is role is in the Z Loyalty &amp; Martech squad</t>
  </si>
  <si>
    <t xml:space="preserve">Digital Support (NZ)</t>
  </si>
  <si>
    <t xml:space="preserve">end date: 9 March 2027</t>
  </si>
  <si>
    <t xml:space="preserve">Technology Manager, T&amp;S</t>
  </si>
  <si>
    <t xml:space="preserve">CIC</t>
  </si>
  <si>
    <t xml:space="preserve">Head of Technology, Infrastructure</t>
  </si>
  <si>
    <t xml:space="preserve">Shomiya Shayal</t>
  </si>
  <si>
    <t xml:space="preserve">Risk &amp; Resilience Lead</t>
  </si>
  <si>
    <t xml:space="preserve">Manager Risk &amp; Resilience </t>
  </si>
  <si>
    <t xml:space="preserve">Technology Manager,  Site Systems</t>
  </si>
  <si>
    <t xml:space="preserve">Z Retail Backend </t>
  </si>
  <si>
    <t xml:space="preserve">Technology Manager P&amp;C Platforms</t>
  </si>
  <si>
    <t xml:space="preserve">Prashanth Chandran</t>
  </si>
  <si>
    <t xml:space="preserve">Senior Cyber GRC Specialist</t>
  </si>
  <si>
    <t xml:space="preserve">EE Lynn Yap</t>
  </si>
  <si>
    <t xml:space="preserve">cic</t>
  </si>
  <si>
    <t xml:space="preserve"> </t>
  </si>
  <si>
    <t xml:space="preserve">Technology Manager, Data Science</t>
  </si>
  <si>
    <t xml:space="preserve">Technology Manager, Future Infrastructure</t>
  </si>
  <si>
    <t xml:space="preserve">Darshan Suvama</t>
  </si>
  <si>
    <t xml:space="preserve">Cyber Offensive Security Lead</t>
  </si>
  <si>
    <t xml:space="preserve">Chris Lyons</t>
  </si>
  <si>
    <t xml:space="preserve">Cyber Security Architect</t>
  </si>
  <si>
    <t xml:space="preserve">Head of Cyber Strategy &amp; Technology </t>
  </si>
  <si>
    <t xml:space="preserve">Rahul Sahni</t>
  </si>
  <si>
    <t xml:space="preserve">Lead JDE System Specialist</t>
  </si>
  <si>
    <t xml:space="preserve">Ashley Mueller</t>
  </si>
  <si>
    <t xml:space="preserve">Lead – Service Assurance</t>
  </si>
  <si>
    <t xml:space="preserve">Service Performance &amp; Assurance </t>
  </si>
  <si>
    <t xml:space="preserve">Integration &amp; Process automation</t>
  </si>
  <si>
    <t xml:space="preserve">Delivery Manager, Infrastructure</t>
  </si>
  <si>
    <t xml:space="preserve">RETAIL</t>
  </si>
  <si>
    <t xml:space="preserve">Darren Koller</t>
  </si>
  <si>
    <t xml:space="preserve">Manager, Service Management &amp; Major Incident Mgmt Lead</t>
  </si>
  <si>
    <t xml:space="preserve">Chris Rojas</t>
  </si>
  <si>
    <t xml:space="preserve">Manager, Customer Support Operations</t>
  </si>
  <si>
    <t xml:space="preserve">Milan Patel</t>
  </si>
  <si>
    <t xml:space="preserve">Platform Architect</t>
  </si>
  <si>
    <t xml:space="preserve">move to COE, not in data platforms squad</t>
  </si>
  <si>
    <t xml:space="preserve">Mitchell Clarke</t>
  </si>
  <si>
    <t xml:space="preserve">Snr Data Governance Specialist</t>
  </si>
  <si>
    <t xml:space="preserve">Dev Ops  &amp; QE</t>
  </si>
  <si>
    <t xml:space="preserve">Technology Manager Finance Platforms</t>
  </si>
  <si>
    <t xml:space="preserve">Sameer Pattanaik</t>
  </si>
  <si>
    <t xml:space="preserve">Cyber Security Operations Lead</t>
  </si>
  <si>
    <t xml:space="preserve">Technology Manager - Cloud, Network &amp; Infrastructure Operations</t>
  </si>
  <si>
    <t xml:space="preserve">Cloud, Network &amp; Infra</t>
  </si>
  <si>
    <t xml:space="preserve">Business Analysis Practice Lead</t>
  </si>
  <si>
    <t xml:space="preserve">Delivery</t>
  </si>
  <si>
    <t xml:space="preserve">Delivery, TDD &amp; Engineering</t>
  </si>
  <si>
    <t xml:space="preserve">Delivery Manager, P&amp;C, Finance &amp; Legal</t>
  </si>
  <si>
    <t xml:space="preserve">Delivery Manager, Z and Retail Data</t>
  </si>
  <si>
    <t xml:space="preserve">Data - AU</t>
  </si>
  <si>
    <t xml:space="preserve">Data - NZ</t>
  </si>
  <si>
    <t xml:space="preserve">Domain Architect - Customer &amp; Digital Tech</t>
  </si>
  <si>
    <t xml:space="preserve">Domain Architect - Retail &amp; Z</t>
  </si>
  <si>
    <t xml:space="preserve">Domain Architect - TDD</t>
  </si>
  <si>
    <t xml:space="preserve">Roger Blazey</t>
  </si>
  <si>
    <t xml:space="preserve">Architect (AI Innovation)</t>
  </si>
  <si>
    <t xml:space="preserve">Sam Chan</t>
  </si>
  <si>
    <t xml:space="preserve">FinOps Manager</t>
  </si>
  <si>
    <t xml:space="preserve">Technology, CF Engineering</t>
  </si>
  <si>
    <t xml:space="preserve">Delivery Capacity &amp; Assurance Lead</t>
  </si>
  <si>
    <t xml:space="preserve">CIB (Often)</t>
  </si>
  <si>
    <t xml:space="preserve">End date: 7 May 2027</t>
  </si>
  <si>
    <t xml:space="preserve">AI Enablement Lead</t>
  </si>
  <si>
    <t xml:space="preserve">AI Engineer - Full Stack </t>
  </si>
  <si>
    <t xml:space="preserve">customer, program manager</t>
  </si>
  <si>
    <t xml:space="preserve">Technology Manager, Data &amp; Engineering</t>
  </si>
  <si>
    <t xml:space="preserve">CIB </t>
  </si>
  <si>
    <t xml:space="preserve">CIB</t>
  </si>
  <si>
    <t xml:space="preserve">Lynda Niewidok</t>
  </si>
  <si>
    <t xml:space="preserve">Lead – Service Desk</t>
  </si>
  <si>
    <t xml:space="preserve">Mark Pearson</t>
  </si>
  <si>
    <t xml:space="preserve">Lead – Technology Support</t>
  </si>
  <si>
    <t xml:space="preserve">Remya Pookat</t>
  </si>
  <si>
    <t xml:space="preserve">Lead – Change &amp; Release Management</t>
  </si>
  <si>
    <t xml:space="preserve">cib</t>
  </si>
  <si>
    <t xml:space="preserve">Pooja Kuperkar</t>
  </si>
  <si>
    <t xml:space="preserve">Cyber GRC Analyst</t>
  </si>
  <si>
    <t xml:space="preserve">Shruti Manchanda</t>
  </si>
  <si>
    <t xml:space="preserve">Lead Service Desk </t>
  </si>
  <si>
    <t xml:space="preserve">Senior Communications Advisor</t>
  </si>
  <si>
    <t xml:space="preserve">Lead – Asset &amp; Configuration</t>
  </si>
  <si>
    <t xml:space="preserve">Lead – Service Performance &amp; Insights</t>
  </si>
  <si>
    <t xml:space="preserve">Lead, Reporting &amp; Insights</t>
  </si>
  <si>
    <t xml:space="preserve">Lead Engineer (Databricks)</t>
  </si>
  <si>
    <t xml:space="preserve">Delivery Systems Analyst</t>
  </si>
  <si>
    <t xml:space="preserve">Portfolio Reporting Manger</t>
  </si>
  <si>
    <t xml:space="preserve">Applications &amp; Analytics Manager</t>
  </si>
  <si>
    <t xml:space="preserve">Jenny Chan</t>
  </si>
  <si>
    <t xml:space="preserve">Project Finance Lead</t>
  </si>
  <si>
    <t xml:space="preserve">Lynn Yiew</t>
  </si>
  <si>
    <t xml:space="preserve">Data Governance Specialist</t>
  </si>
  <si>
    <t xml:space="preserve">Renosh Matthew Thomas</t>
  </si>
  <si>
    <t xml:space="preserve">Data Enablement Lead</t>
  </si>
  <si>
    <t xml:space="preserve">Raymond Bai</t>
  </si>
  <si>
    <t xml:space="preserve">Data Adoption Specialist</t>
  </si>
  <si>
    <t xml:space="preserve">Vacant </t>
  </si>
  <si>
    <t xml:space="preserve">Nischal Bhusal</t>
  </si>
  <si>
    <t xml:space="preserve">Cyber Security Analyst</t>
  </si>
  <si>
    <t xml:space="preserve">Stafford Dowling</t>
  </si>
  <si>
    <t xml:space="preserve">Tech Manager, Merchandising &amp; WFM</t>
  </si>
  <si>
    <t xml:space="preserve">Briony Scott</t>
  </si>
  <si>
    <t xml:space="preserve">Service &amp; Contract Specialist AU</t>
  </si>
  <si>
    <t xml:space="preserve">Jane Esclandra</t>
  </si>
  <si>
    <t xml:space="preserve">Software Asset Specialist</t>
  </si>
  <si>
    <t xml:space="preserve">Delivery Manager </t>
  </si>
  <si>
    <t xml:space="preserve">Enterprise Process Lead</t>
  </si>
  <si>
    <t xml:space="preserve">Portfolio Manger Cyber Security </t>
  </si>
  <si>
    <t xml:space="preserve">Cyber Security Uplift Program</t>
  </si>
  <si>
    <t xml:space="preserve">CIA (Sometimes)</t>
  </si>
  <si>
    <t xml:space="preserve">end date: 4 June 2027</t>
  </si>
  <si>
    <t xml:space="preserve">CIA</t>
  </si>
  <si>
    <t xml:space="preserve">USA</t>
  </si>
  <si>
    <t xml:space="preserve">Lead – Service Management, Retail</t>
  </si>
  <si>
    <t xml:space="preserve">Vanessa Castro</t>
  </si>
  <si>
    <t xml:space="preserve">Manager, AU Retail Operations</t>
  </si>
  <si>
    <t xml:space="preserve">Ephriam Adan</t>
  </si>
  <si>
    <t xml:space="preserve">Lead Support, Infrastructure</t>
  </si>
  <si>
    <t xml:space="preserve">Technology Suport</t>
  </si>
  <si>
    <t xml:space="preserve">Head Cyber Strategy &amp; Technology </t>
  </si>
  <si>
    <t xml:space="preserve">Identity &amp; Access Management </t>
  </si>
  <si>
    <t xml:space="preserve">Ritika Salaria</t>
  </si>
  <si>
    <t xml:space="preserve">Configuration Analyst</t>
  </si>
  <si>
    <t xml:space="preserve">Lead – Asset &amp; Configuration (Vacant)</t>
  </si>
  <si>
    <t xml:space="preserve">Belinda Hoskens</t>
  </si>
  <si>
    <t xml:space="preserve">Lead Technology Support </t>
  </si>
  <si>
    <t xml:space="preserve">Technology Support </t>
  </si>
  <si>
    <t xml:space="preserve">Jas Mann</t>
  </si>
  <si>
    <t xml:space="preserve">Portfolio Analyst</t>
  </si>
  <si>
    <t xml:space="preserve">Maria Somera</t>
  </si>
  <si>
    <t xml:space="preserve">Technology Finance Analyst</t>
  </si>
  <si>
    <t xml:space="preserve">Fin Ops Manager</t>
  </si>
  <si>
    <t xml:space="preserve">Lisa Ng</t>
  </si>
  <si>
    <t xml:space="preserve">Helen Ngu</t>
  </si>
  <si>
    <t xml:space="preserve">Service &amp; Contract Specialist NZ</t>
  </si>
  <si>
    <t xml:space="preserve">Mary-Grace Rivera</t>
  </si>
  <si>
    <t xml:space="preserve">Lead, Service Management</t>
  </si>
  <si>
    <t xml:space="preserve">EnterpriseProcess Analyst</t>
  </si>
  <si>
    <t xml:space="preserve">Strategy Analyst</t>
  </si>
  <si>
    <t xml:space="preserve">Jack Jenkins</t>
  </si>
  <si>
    <t xml:space="preserve">Asset Analyst</t>
  </si>
  <si>
    <t xml:space="preserve">Matt Saunders</t>
  </si>
  <si>
    <t xml:space="preserve">Scrum Master</t>
  </si>
  <si>
    <t xml:space="preserve">CDC (Always)</t>
  </si>
  <si>
    <t xml:space="preserve">CDC</t>
  </si>
  <si>
    <t xml:space="preserve">Daniel Jolley</t>
  </si>
  <si>
    <t xml:space="preserve">Jeannie Chu</t>
  </si>
  <si>
    <t xml:space="preserve">Snr Finance Support Administrator</t>
  </si>
  <si>
    <t xml:space="preserve">CDB (Often)</t>
  </si>
  <si>
    <t xml:space="preserve">CDB</t>
  </si>
  <si>
    <t xml:space="preserve">Kaaviya Salai Manimudian</t>
  </si>
  <si>
    <t xml:space="preserve">Ethan Lamhert (FT)</t>
  </si>
  <si>
    <t xml:space="preserve">Spoilagi Bhutwala</t>
  </si>
  <si>
    <t xml:space="preserve">Vacant (SYD)</t>
  </si>
  <si>
    <t xml:space="preserve">CDA</t>
  </si>
  <si>
    <t xml:space="preserve">OFF001</t>
  </si>
  <si>
    <t xml:space="preserve">OFF002</t>
  </si>
  <si>
    <t xml:space="preserve">OFF003</t>
  </si>
  <si>
    <t xml:space="preserve">OFF004</t>
  </si>
  <si>
    <t xml:space="preserve">OFF005</t>
  </si>
  <si>
    <t xml:space="preserve">OFF006</t>
  </si>
  <si>
    <t xml:space="preserve">OFF007</t>
  </si>
  <si>
    <t xml:space="preserve">OFF008</t>
  </si>
  <si>
    <t xml:space="preserve">OFF009</t>
  </si>
  <si>
    <t xml:space="preserve">VAC-CYB-01</t>
  </si>
  <si>
    <t xml:space="preserve">Cyber Architect (backfill for EGI Secondment)</t>
  </si>
  <si>
    <t xml:space="preserve">VAC-SO-01</t>
  </si>
  <si>
    <t xml:space="preserve">Operations Analyst</t>
  </si>
  <si>
    <t xml:space="preserve">VAC-SO-02</t>
  </si>
  <si>
    <t xml:space="preserve">VAC-CR-01</t>
  </si>
  <si>
    <t xml:space="preserve">Data Risk Analyst</t>
  </si>
  <si>
    <t xml:space="preserve">VAC-SO-03</t>
  </si>
  <si>
    <t xml:space="preserve">Ampol Retail - working copy</t>
  </si>
  <si>
    <t xml:space="preserve">Ampol Retail - archetype cost against actual cost</t>
  </si>
  <si>
    <t xml:space="preserve">Budget vs TDD Cost</t>
  </si>
  <si>
    <t xml:space="preserve">TDD Lights On Budget (people - 0.2 Data Config)</t>
  </si>
  <si>
    <t xml:space="preserve">Archetype Type</t>
  </si>
  <si>
    <t xml:space="preserve">Squad Size</t>
  </si>
  <si>
    <t xml:space="preserve">Archetype roles</t>
  </si>
  <si>
    <t xml:space="preserve">Total roles</t>
  </si>
  <si>
    <t xml:space="preserve">To hire</t>
  </si>
  <si>
    <t xml:space="preserve">To offshore</t>
  </si>
  <si>
    <t xml:space="preserve">On hold</t>
  </si>
  <si>
    <t xml:space="preserve">Total roles after levers</t>
  </si>
  <si>
    <t xml:space="preserve">Archetype cost ($m)</t>
  </si>
  <si>
    <t xml:space="preserve">Actual cost ($m)</t>
  </si>
  <si>
    <t xml:space="preserve">Sig Items funded($m)</t>
  </si>
  <si>
    <t xml:space="preserve">Still to fund ($m)</t>
  </si>
  <si>
    <t xml:space="preserve">Variance to archetype ($m)</t>
  </si>
  <si>
    <t xml:space="preserve">Squad cost after levers ($m)</t>
  </si>
  <si>
    <t xml:space="preserve">New variance ($m)</t>
  </si>
  <si>
    <t xml:space="preserve">AU Budget ($m)</t>
  </si>
  <si>
    <t xml:space="preserve">NZ Budget ($m)</t>
  </si>
  <si>
    <t xml:space="preserve">Configuration / Integration</t>
  </si>
  <si>
    <t xml:space="preserve">M</t>
  </si>
  <si>
    <t xml:space="preserve">AU over/(under) budget ($m)</t>
  </si>
  <si>
    <t xml:space="preserve">Enterprise Data and Insights</t>
  </si>
  <si>
    <t xml:space="preserve">NZ over/(under) budget ($m)</t>
  </si>
  <si>
    <t xml:space="preserve">Operations</t>
  </si>
  <si>
    <t xml:space="preserve">S</t>
  </si>
  <si>
    <t xml:space="preserve">TDD over/(under) budget ($m)</t>
  </si>
  <si>
    <t xml:space="preserve">Other funding</t>
  </si>
  <si>
    <t xml:space="preserve">Budget line</t>
  </si>
  <si>
    <t xml:space="preserve">Amount that can be allocated to people</t>
  </si>
  <si>
    <t xml:space="preserve">Retail Lights On</t>
  </si>
  <si>
    <t xml:space="preserve">Squads total</t>
  </si>
  <si>
    <t xml:space="preserve">OpEx Initiatives</t>
  </si>
  <si>
    <t xml:space="preserve">Directly funded programs and platforms</t>
  </si>
  <si>
    <t xml:space="preserve">Retail CapEx</t>
  </si>
  <si>
    <t xml:space="preserve">Strategic Programs</t>
  </si>
  <si>
    <t xml:space="preserve">Significant Items</t>
  </si>
  <si>
    <t xml:space="preserve">Significant Items EGI</t>
  </si>
  <si>
    <t xml:space="preserve">Directly funded total</t>
  </si>
  <si>
    <t xml:space="preserve">Total applied</t>
  </si>
  <si>
    <t xml:space="preserve">Overhead roles</t>
  </si>
  <si>
    <t xml:space="preserve">Other cost (this model)</t>
  </si>
  <si>
    <t xml:space="preserve">Left to fund</t>
  </si>
  <si>
    <t xml:space="preserve">Overhead roles total</t>
  </si>
  <si>
    <t xml:space="preserve">Portfolio overhead roles (Business Partner, Domain Architect, Leadership) (Required to show archetype FTE)</t>
  </si>
  <si>
    <t xml:space="preserve">Business Partners and Domain Architects sit in the COEs</t>
  </si>
  <si>
    <t xml:space="preserve">Total portfolio</t>
  </si>
  <si>
    <t xml:space="preserve">Ampol Retail FTE</t>
  </si>
  <si>
    <t xml:space="preserve">Vacancy lever: Hire prices the role in full, Hold prices it at 0, Offshore at the Offshore rate set on 0.3 Squad Archetypes.</t>
  </si>
  <si>
    <t xml:space="preserve">Cost after lever ($)</t>
  </si>
  <si>
    <t xml:space="preserve">Planned hire</t>
  </si>
  <si>
    <t xml:space="preserve">11 roles</t>
  </si>
  <si>
    <t xml:space="preserve">Sep-2026</t>
  </si>
  <si>
    <t xml:space="preserve">No date</t>
  </si>
  <si>
    <t xml:space="preserve">Nov-2026</t>
  </si>
  <si>
    <t xml:space="preserve">10 roles</t>
  </si>
  <si>
    <t xml:space="preserve">6 roles</t>
  </si>
  <si>
    <t xml:space="preserve">Oct-2026</t>
  </si>
  <si>
    <t xml:space="preserve">5 roles</t>
  </si>
  <si>
    <t xml:space="preserve">8 roles</t>
  </si>
  <si>
    <t xml:space="preserve">May-2027</t>
  </si>
  <si>
    <t xml:space="preserve">Jun-2027</t>
  </si>
  <si>
    <t xml:space="preserve">4 roles</t>
  </si>
  <si>
    <t xml:space="preserve">1 role</t>
  </si>
  <si>
    <t xml:space="preserve">3 roles</t>
  </si>
  <si>
    <t xml:space="preserve">Vacancy levers on this tab, for the executive summary</t>
  </si>
  <si>
    <t xml:space="preserve">Customer - working copy</t>
  </si>
  <si>
    <t xml:space="preserve">Customer - archetype cost against actual cost</t>
  </si>
  <si>
    <t xml:space="preserve">Product</t>
  </si>
  <si>
    <t xml:space="preserve">L</t>
  </si>
  <si>
    <t xml:space="preserve">Engineering</t>
  </si>
  <si>
    <t xml:space="preserve">Customer Lights On</t>
  </si>
  <si>
    <t xml:space="preserve">CapEx</t>
  </si>
  <si>
    <t xml:space="preserve">Significant Items EGI + Prog Mgmt</t>
  </si>
  <si>
    <t xml:space="preserve">Significant Items </t>
  </si>
  <si>
    <t xml:space="preserve">No archetype in 1.x tabs</t>
  </si>
  <si>
    <t xml:space="preserve">Sig Items EG</t>
  </si>
  <si>
    <t xml:space="preserve">Not on the 1.x tab</t>
  </si>
  <si>
    <t xml:space="preserve">Z OpEx Initiatives</t>
  </si>
  <si>
    <t xml:space="preserve">No archetype total</t>
  </si>
  <si>
    <t xml:space="preserve">Z CapEx</t>
  </si>
  <si>
    <t xml:space="preserve">Z Sig items</t>
  </si>
  <si>
    <t xml:space="preserve">Depreciation</t>
  </si>
  <si>
    <t xml:space="preserve">Customer FTE</t>
  </si>
  <si>
    <t xml:space="preserve">14 roles</t>
  </si>
  <si>
    <t xml:space="preserve">TDD Corporate </t>
  </si>
  <si>
    <t xml:space="preserve">Customer </t>
  </si>
  <si>
    <t xml:space="preserve">Budget</t>
  </si>
  <si>
    <t xml:space="preserve">Mar-2027</t>
  </si>
  <si>
    <t xml:space="preserve">9 roles</t>
  </si>
  <si>
    <t xml:space="preserve">13 roles</t>
  </si>
  <si>
    <t xml:space="preserve">15 roles</t>
  </si>
  <si>
    <t xml:space="preserve">2 roles</t>
  </si>
  <si>
    <t xml:space="preserve">Now sits in AI enablement squad; fully recharged to the business </t>
  </si>
  <si>
    <t xml:space="preserve">0 roles</t>
  </si>
  <si>
    <t xml:space="preserve">Recharged directly to Australia customer programme; CapEx projects</t>
  </si>
  <si>
    <t xml:space="preserve">Already in the business; filled by a temp</t>
  </si>
  <si>
    <t xml:space="preserve">Impact </t>
  </si>
  <si>
    <t xml:space="preserve">Enterprise Data - working copy</t>
  </si>
  <si>
    <t xml:space="preserve">Enterprise Data - archetype cost against actual cost</t>
  </si>
  <si>
    <t xml:space="preserve">Funded from TDD Corporate pool (3.4 COE Breakdown)</t>
  </si>
  <si>
    <t xml:space="preserve">Significant Items - EGI</t>
  </si>
  <si>
    <t xml:space="preserve">Enterprise Data FTE</t>
  </si>
  <si>
    <t xml:space="preserve">Feb-2027</t>
  </si>
  <si>
    <t xml:space="preserve">Jan-2027</t>
  </si>
  <si>
    <t xml:space="preserve">Aug-2026</t>
  </si>
  <si>
    <t xml:space="preserve">TDD Group Functions - working copy</t>
  </si>
  <si>
    <t xml:space="preserve">TDD Group Functions - archetype cost against actual cost</t>
  </si>
  <si>
    <t xml:space="preserve">TDD Group Functions FTE</t>
  </si>
  <si>
    <t xml:space="preserve">could remove role - go to from 4 to 3 - check consumption in Q3</t>
  </si>
  <si>
    <t xml:space="preserve">7 roles</t>
  </si>
  <si>
    <t xml:space="preserve">Contractor; should sit in EGI</t>
  </si>
  <si>
    <t xml:space="preserve">where are these costs???</t>
  </si>
  <si>
    <t xml:space="preserve">In EGI TDD</t>
  </si>
  <si>
    <t xml:space="preserve">Contractor; no squad, platform or portfolio</t>
  </si>
  <si>
    <t xml:space="preserve">??</t>
  </si>
  <si>
    <t xml:space="preserve">removed</t>
  </si>
  <si>
    <t xml:space="preserve">P&amp;C - working copy</t>
  </si>
  <si>
    <t xml:space="preserve">P&amp;C - archetype cost against actual cost</t>
  </si>
  <si>
    <t xml:space="preserve">P&amp;C Lights On</t>
  </si>
  <si>
    <t xml:space="preserve">P&amp;C FTE</t>
  </si>
  <si>
    <t xml:space="preserve">Back from EGI - moved to SAP or RTA  DL role</t>
  </si>
  <si>
    <t xml:space="preserve">Need to add a role - Payroll Functional Consultant. 9 roles in the P&amp;C Squad</t>
  </si>
  <si>
    <t xml:space="preserve">Finance - working copy</t>
  </si>
  <si>
    <t xml:space="preserve">Finance - archetype cost against actual cost</t>
  </si>
  <si>
    <t xml:space="preserve">Corporate Finance Lights On</t>
  </si>
  <si>
    <t xml:space="preserve">Finance FTE</t>
  </si>
  <si>
    <t xml:space="preserve">Infrastructure - working copy</t>
  </si>
  <si>
    <t xml:space="preserve">Infrastructure - archetype cost against actual cost</t>
  </si>
  <si>
    <t xml:space="preserve">Infrastructure Lights On</t>
  </si>
  <si>
    <t xml:space="preserve">Infrastructure FTE</t>
  </si>
  <si>
    <t xml:space="preserve">Apr-2027</t>
  </si>
  <si>
    <t xml:space="preserve">Energy Solutions &amp; B2B - working copy</t>
  </si>
  <si>
    <t xml:space="preserve">Energy Solutions &amp; B2B - archetype cost against actual cost</t>
  </si>
  <si>
    <t xml:space="preserve">Energy Solutions Lights On</t>
  </si>
  <si>
    <t xml:space="preserve">ES OpEx Initiatives </t>
  </si>
  <si>
    <t xml:space="preserve">ES CapEx</t>
  </si>
  <si>
    <t xml:space="preserve">B2B Lights On</t>
  </si>
  <si>
    <t xml:space="preserve">B2B OpEx Initiatives </t>
  </si>
  <si>
    <t xml:space="preserve">B2B CapEx (not yet in the Finance table)</t>
  </si>
  <si>
    <t xml:space="preserve">Energy Solutions &amp; B2B FTE</t>
  </si>
  <si>
    <t xml:space="preserve">Commercial Fuels - working copy</t>
  </si>
  <si>
    <t xml:space="preserve">Commercial Fuels - archetype cost against actual cost</t>
  </si>
  <si>
    <t xml:space="preserve">Commercial Fuels Lights On</t>
  </si>
  <si>
    <t xml:space="preserve">TDD CapEx (central pool, reference only)</t>
  </si>
  <si>
    <t xml:space="preserve">Commercial Fuels FTE</t>
  </si>
  <si>
    <t xml:space="preserve">12 roles</t>
  </si>
  <si>
    <t xml:space="preserve">Z Retail - working copy</t>
  </si>
  <si>
    <t xml:space="preserve">Z Retail - archetype cost against actual cost</t>
  </si>
  <si>
    <t xml:space="preserve">Support/ Lights on %</t>
  </si>
  <si>
    <t xml:space="preserve">Lights on Cost</t>
  </si>
  <si>
    <t xml:space="preserve">Non Lights on cost</t>
  </si>
  <si>
    <t xml:space="preserve">Z funded - out of Z OpEx</t>
  </si>
  <si>
    <t xml:space="preserve">Build and Run</t>
  </si>
  <si>
    <t xml:space="preserve">Z-Energy Lights On</t>
  </si>
  <si>
    <t xml:space="preserve">Z Retail FTE</t>
  </si>
  <si>
    <t xml:space="preserve">COE Cyber - working copy</t>
  </si>
  <si>
    <t xml:space="preserve">COE Cyber - archetype cost against actual cost</t>
  </si>
  <si>
    <t xml:space="preserve">Funding</t>
  </si>
  <si>
    <t xml:space="preserve">COE - Cyber allocation ($m) - 0.2 Data Config</t>
  </si>
  <si>
    <t xml:space="preserve">Total budget to draw down ($m)</t>
  </si>
  <si>
    <t xml:space="preserve">Planned spend ($m)</t>
  </si>
  <si>
    <t xml:space="preserve">Over/(under) budget ($m)</t>
  </si>
  <si>
    <t xml:space="preserve">COE Cyber FTE</t>
  </si>
  <si>
    <t xml:space="preserve">Uplift %</t>
  </si>
  <si>
    <t xml:space="preserve">Charged to the cyber uplift program ($)</t>
  </si>
  <si>
    <t xml:space="preserve">Add data risk analyst - offshore; reporting to Brian</t>
  </si>
  <si>
    <t xml:space="preserve">Add 2 roles </t>
  </si>
  <si>
    <t xml:space="preserve">Add Matt's additional role</t>
  </si>
  <si>
    <t xml:space="preserve">COE BP&amp;T - working copy</t>
  </si>
  <si>
    <t xml:space="preserve">COE BP&amp;T - archetype cost against actual cost</t>
  </si>
  <si>
    <t xml:space="preserve">Portfolios funded (3.1 Archetype to Actuals)</t>
  </si>
  <si>
    <t xml:space="preserve">Business Partner allocation per portfolio (FTE - 0.2 Data Config)</t>
  </si>
  <si>
    <t xml:space="preserve">Business Partner FTEs funded by portfolio overheads</t>
  </si>
  <si>
    <t xml:space="preserve">Business Partner funding from portfolio overheads ($m)</t>
  </si>
  <si>
    <t xml:space="preserve">COE - Business Partnering allocation ($m) - 0.2 Data Config</t>
  </si>
  <si>
    <t xml:space="preserve">COE - Transformation allocation ($m) - 0.2 Data Config</t>
  </si>
  <si>
    <t xml:space="preserve">Business Partnering planned spend ($m)</t>
  </si>
  <si>
    <t xml:space="preserve">Transformation planned spend ($m)</t>
  </si>
  <si>
    <t xml:space="preserve">Total planned spend ($m)</t>
  </si>
  <si>
    <t xml:space="preserve">Business Partner funding met by portfolio overheads, netted out of planned spend ($m)</t>
  </si>
  <si>
    <t xml:space="preserve">Planned spend is net of the Business Partner cost met inside portfolio overheads, at the actual cost after levers; the COE draws down its own allocation only.</t>
  </si>
  <si>
    <t xml:space="preserve">COE BP&amp;T FTE</t>
  </si>
  <si>
    <t xml:space="preserve">Jul-2026</t>
  </si>
  <si>
    <t xml:space="preserve">COE SA&amp;D - working copy</t>
  </si>
  <si>
    <t xml:space="preserve">COE SA&amp;D - archetype cost against actual cost</t>
  </si>
  <si>
    <t xml:space="preserve">Domain Architect allocation per portfolio (FTE - 0.2 Data Config)</t>
  </si>
  <si>
    <t xml:space="preserve">Number of Domain Architects funded by Portfolios</t>
  </si>
  <si>
    <t xml:space="preserve">Domain Architect funding from portfolio overheads ($m)</t>
  </si>
  <si>
    <t xml:space="preserve">COE - Strategy Architecture allocation ($m) - 0.2 Data Config</t>
  </si>
  <si>
    <t xml:space="preserve">COE - Data allocation ($m) - 0.2 Data Config</t>
  </si>
  <si>
    <t xml:space="preserve">Strategy &amp; Architecture planned spend ($m)</t>
  </si>
  <si>
    <t xml:space="preserve">Data planned spend ($m)</t>
  </si>
  <si>
    <t xml:space="preserve">Domain Architect funding met by portfolio overheads, netted out of planned spend ($m)</t>
  </si>
  <si>
    <t xml:space="preserve">Planned spend is net of the Domain Architect cost met inside portfolio overheads, at the actual cost after levers; COEs draw down on their own allocation only.</t>
  </si>
  <si>
    <t xml:space="preserve">COE SA&amp;D FTE</t>
  </si>
  <si>
    <t xml:space="preserve">Jul-2027</t>
  </si>
  <si>
    <t xml:space="preserve">EGI - working copy</t>
  </si>
  <si>
    <t xml:space="preserve">EGI - archetype cost against actual cost</t>
  </si>
  <si>
    <t xml:space="preserve">EGI FTE</t>
  </si>
  <si>
    <t xml:space="preserve">18 roles</t>
  </si>
  <si>
    <t xml:space="preserve">TDD Cyber - working copy</t>
  </si>
  <si>
    <t xml:space="preserve">TDD Cyber - archetype cost against actual cost</t>
  </si>
  <si>
    <t xml:space="preserve">This is the TDD Cyber allocation on 0.2 Data Config. The COE - Cyber and COE - Service Ops lines are funded separately, on their own lines, and their roles and funding sit on 2.11 COE Cyber and 2.16 COE Service Ops.</t>
  </si>
  <si>
    <t xml:space="preserve">Cyber uplift program funding</t>
  </si>
  <si>
    <t xml:space="preserve">Programme funding ($m)</t>
  </si>
  <si>
    <t xml:space="preserve">Cyber Uplift squad - fully funded ($m)</t>
  </si>
  <si>
    <t xml:space="preserve">Part-charges from the COE roles - 2.11 COE Cyber ($m)</t>
  </si>
  <si>
    <t xml:space="preserve">Identity share charged to the programs ($m)</t>
  </si>
  <si>
    <t xml:space="preserve">Used for cyber FTE ($m)</t>
  </si>
  <si>
    <t xml:space="preserve">Remaining for non-people ($m)</t>
  </si>
  <si>
    <t xml:space="preserve">TDD Cyber FTE</t>
  </si>
  <si>
    <t xml:space="preserve">COE Service Ops - working copy</t>
  </si>
  <si>
    <t xml:space="preserve">COE Service Ops - archetype cost against actual cost</t>
  </si>
  <si>
    <t xml:space="preserve">COE - Service Ops allocation ($m) - 0.2 Data Config</t>
  </si>
  <si>
    <t xml:space="preserve">COE Service Ops FTE</t>
  </si>
  <si>
    <t xml:space="preserve">Vacancy lever: Hire prices the role in full, Hold prices it at 0, Offshore at the Offshore rate set on 0.3 Squad Archetypes. A planned start quarter scales the year: Q2 prices 75%, Q3 50%, Q4 25% of the annual cost.</t>
  </si>
  <si>
    <t xml:space="preserve">24 roles</t>
  </si>
  <si>
    <t xml:space="preserve">Confiuration and Asset management Analysts to report to Mick Collins.  Mick Collins to take on Lead for Asset management (reduce Lead asset and config management role) </t>
  </si>
  <si>
    <t xml:space="preserve">Combine Lead Service Performance &amp; Insights with Lead Service Assurance roles - reporting to Mick Collins</t>
  </si>
  <si>
    <t xml:space="preserve">Note Lead Problem management role has been repurposed to Retail support </t>
  </si>
  <si>
    <t xml:space="preserve">Rotate Graduate to another area (shift cost and resource)</t>
  </si>
  <si>
    <t xml:space="preserve">Oct-2027</t>
  </si>
  <si>
    <t xml:space="preserve">Operations analyst 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</si>
</sst>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.00;\(#,##0.00\)"/>
    <numFmt numFmtId="166" formatCode="0%"/>
    <numFmt numFmtId="167" formatCode="#,##0;\(#,##0\)"/>
    <numFmt numFmtId="168" formatCode="0"/>
    <numFmt numFmtId="169" formatCode="0.0"/>
    <numFmt numFmtId="170" formatCode="_-* #,##0_-;\-* #,##0_-;_-* #,##0_-;_-@_-"/>
    <numFmt numFmtId="171" formatCode="#,##0;\(#,##0\)"/>
    <numFmt numFmtId="172" formatCode="_-* #,##0.0_-;\-* #,##0.0_-;_-* #,##0.0_-;_-@_-"/>
    <numFmt numFmtId="173" formatCode="yyyy\-mm\-dd\ h:mm:ss"/>
    <numFmt numFmtId="174" formatCode="m/d/yyyy"/>
    <numFmt numFmtId="175" formatCode="dd/mm/yyyy"/>
    <numFmt numFmtId="176" formatCode="#,##0"/>
    <numFmt numFmtId="177" formatCode="#,##0.00;\(#,##0.00\)"/>
    <numFmt numFmtId="178" formatCode="#,##0.0;\(#,##0.0\)"/>
    <numFmt numFmtId="179" formatCode="0.00"/>
    <numFmt numFmtId="180" formatCode="@"/>
    <numFmt numFmtId="181" formatCode="#,##0.00"/>
    <numFmt numFmtId="182" formatCode="#,##0.00;\(#,##0.00\);0.0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24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Calibri"/>
      <family val="2"/>
    </font>
    <font>
      <sz val="9"/>
      <color rgb="FF000000"/>
      <name val="Calibri"/>
      <family val="2"/>
    </font>
    <font>
      <b val="true"/>
      <sz val="18"/>
      <color rgb="FF000000"/>
      <name val="Calibri"/>
      <family val="0"/>
      <charset val="1"/>
    </font>
    <font>
      <b val="true"/>
      <sz val="12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theme="0"/>
      <name val="Calibri"/>
      <family val="2"/>
      <charset val="1"/>
    </font>
    <font>
      <b val="true"/>
      <sz val="11"/>
      <name val="Calibri"/>
      <family val="0"/>
      <charset val="1"/>
    </font>
    <font>
      <sz val="8"/>
      <color rgb="FF000000"/>
      <name val="Calibri"/>
      <family val="0"/>
      <charset val="1"/>
    </font>
    <font>
      <sz val="8"/>
      <color rgb="FFA6A6A6"/>
      <name val="Calibri"/>
      <family val="0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"/>
      <family val="0"/>
      <charset val="1"/>
    </font>
    <font>
      <sz val="11"/>
      <color rgb="FFFF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6"/>
      <name val="Calibri"/>
      <family val="0"/>
      <charset val="1"/>
    </font>
    <font>
      <b val="true"/>
      <sz val="11"/>
      <color rgb="FFFFFFFF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Calibri"/>
      <family val="0"/>
      <charset val="1"/>
    </font>
    <font>
      <sz val="10"/>
      <name val="Calibri"/>
      <family val="2"/>
      <charset val="1"/>
    </font>
    <font>
      <b val="true"/>
      <sz val="10"/>
      <name val="Calibri"/>
      <family val="0"/>
      <charset val="1"/>
    </font>
    <font>
      <b val="true"/>
      <sz val="10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sz val="11"/>
      <color rgb="FFFFFFFF"/>
      <name val="Calibri"/>
      <family val="0"/>
      <charset val="1"/>
    </font>
    <font>
      <sz val="7"/>
      <color rgb="FF000000"/>
      <name val="Calibri"/>
      <family val="0"/>
      <charset val="1"/>
    </font>
    <font>
      <b val="true"/>
      <sz val="11"/>
      <name val="Calibri"/>
      <family val="2"/>
      <charset val="1"/>
    </font>
    <font>
      <sz val="7"/>
      <color rgb="FF00000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sz val="11"/>
      <color rgb="FFFF0000"/>
      <name val="Calibri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9"/>
        <bgColor rgb="FF1F4E78"/>
      </patternFill>
    </fill>
    <fill>
      <patternFill patternType="solid">
        <fgColor rgb="FFF2F2F2"/>
        <bgColor rgb="FFFDEADA"/>
      </patternFill>
    </fill>
    <fill>
      <patternFill patternType="solid">
        <fgColor theme="6" tint="-0.5"/>
        <bgColor rgb="FF1F4E78"/>
      </patternFill>
    </fill>
    <fill>
      <patternFill patternType="solid">
        <fgColor theme="6" tint="-0.25"/>
        <bgColor rgb="FF878787"/>
      </patternFill>
    </fill>
    <fill>
      <patternFill patternType="solid">
        <fgColor rgb="FF1F4E78"/>
        <bgColor rgb="FF1F4E79"/>
      </patternFill>
    </fill>
    <fill>
      <patternFill patternType="solid">
        <fgColor theme="4" tint="0.7998"/>
        <bgColor rgb="FFDDEBF7"/>
      </patternFill>
    </fill>
    <fill>
      <patternFill patternType="solid">
        <fgColor theme="9" tint="0.7998"/>
        <bgColor rgb="FFFFF2CC"/>
      </patternFill>
    </fill>
    <fill>
      <patternFill patternType="solid">
        <fgColor theme="7" tint="0.7998"/>
        <bgColor rgb="FFDCE6F2"/>
      </patternFill>
    </fill>
    <fill>
      <patternFill patternType="solid">
        <fgColor rgb="FF002F6C"/>
        <bgColor rgb="FF1F3864"/>
      </patternFill>
    </fill>
    <fill>
      <patternFill patternType="solid">
        <fgColor rgb="FF1F3864"/>
        <bgColor rgb="FF1F4E78"/>
      </patternFill>
    </fill>
    <fill>
      <patternFill patternType="solid">
        <fgColor rgb="FFDDEBF7"/>
        <bgColor rgb="FFDCE6F2"/>
      </patternFill>
    </fill>
    <fill>
      <patternFill patternType="solid">
        <fgColor rgb="FFD9D9D9"/>
        <bgColor rgb="FFE6E0EC"/>
      </patternFill>
    </fill>
    <fill>
      <patternFill patternType="solid">
        <fgColor rgb="FFFFF2CC"/>
        <bgColor rgb="FFFDEADA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/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8C9CC"/>
      </left>
      <right style="thin">
        <color rgb="FFB8C9CC"/>
      </right>
      <top style="thin">
        <color rgb="FFB8C9CC"/>
      </top>
      <bottom style="thin">
        <color rgb="FFB8C9CC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002F6C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/>
      <bottom style="thin"/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 style="thin">
        <color rgb="FFBFBFBF"/>
      </left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6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bottom" textRotation="0" wrapText="tru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2" fillId="0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1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5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5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7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8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8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0" fillId="8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2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28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1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13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2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29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30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30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30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16" fillId="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6" fillId="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6" fillId="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27" fillId="1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30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13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16" fillId="13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6" fillId="13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6" fillId="13" borderId="1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6" fillId="12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80" fontId="0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20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3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3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1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34" fillId="12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4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3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2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1" fillId="1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1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1" fillId="1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9" fontId="20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27" fillId="1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3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1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13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7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9" fontId="3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2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1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1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36" fillId="1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1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1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1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ED0C06"/>
      </font>
    </dxf>
    <dxf>
      <font>
        <color rgb="FFED0C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933C"/>
      <rgbColor rgb="FF800080"/>
      <rgbColor rgb="FF008080"/>
      <rgbColor rgb="FFBFBFBF"/>
      <rgbColor rgb="FF878787"/>
      <rgbColor rgb="FF9999FF"/>
      <rgbColor rgb="FF993366"/>
      <rgbColor rgb="FFFFF2CC"/>
      <rgbColor rgb="FFDDEBF7"/>
      <rgbColor rgb="FF660066"/>
      <rgbColor rgb="FFFF8080"/>
      <rgbColor rgb="FF1F4E7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F2F2F2"/>
      <rgbColor rgb="FFFDEADA"/>
      <rgbColor rgb="FF9DC3E6"/>
      <rgbColor rgb="FFFF99CC"/>
      <rgbColor rgb="FFB8C9CC"/>
      <rgbColor rgb="FFE6E0EC"/>
      <rgbColor rgb="FF3366FF"/>
      <rgbColor rgb="FF33CCCC"/>
      <rgbColor rgb="FF99CC00"/>
      <rgbColor rgb="FFFFC000"/>
      <rgbColor rgb="FFFF9900"/>
      <rgbColor rgb="FFFF6600"/>
      <rgbColor rgb="FF4F6228"/>
      <rgbColor rgb="FFA6A6A6"/>
      <rgbColor rgb="FF002F6C"/>
      <rgbColor rgb="FF339966"/>
      <rgbColor rgb="FF003300"/>
      <rgbColor rgb="FF333300"/>
      <rgbColor rgb="FFED0C06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100" spc="-1" strike="noStrike">
                <a:solidFill>
                  <a:srgbClr val="000000"/>
                </a:solidFill>
                <a:latin typeface="Calibri"/>
              </a:rPr>
              <a:t>Lights on labour cost vs budget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'TDD Dashboard'!U8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Dashboard'!$T$9:$T$11</c:f>
              <c:strCache>
                <c:ptCount val="3"/>
                <c:pt idx="0">
                  <c:v>Lights on budget</c:v>
                </c:pt>
                <c:pt idx="1">
                  <c:v>Over/(under)</c:v>
                </c:pt>
                <c:pt idx="2">
                  <c:v>Lights on actual</c:v>
                </c:pt>
              </c:strCache>
            </c:strRef>
          </c:cat>
          <c:val>
            <c:numRef>
              <c:f>'TDD Dashboard'!$U$9:$U$11</c:f>
              <c:numCache>
                <c:formatCode>#,##0.00;\(#,##0.00\)</c:formatCode>
                <c:ptCount val="3"/>
                <c:pt idx="0">
                  <c:v>0</c:v>
                </c:pt>
                <c:pt idx="1">
                  <c:v>50.5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'TDD Dashboard'!V8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Dashboard'!$T$9:$T$11</c:f>
              <c:strCache>
                <c:ptCount val="3"/>
                <c:pt idx="0">
                  <c:v>Lights on budget</c:v>
                </c:pt>
                <c:pt idx="1">
                  <c:v>Over/(under)</c:v>
                </c:pt>
                <c:pt idx="2">
                  <c:v>Lights on actual</c:v>
                </c:pt>
              </c:strCache>
            </c:strRef>
          </c:cat>
          <c:val>
            <c:numRef>
              <c:f>'TDD Dashboard'!$V$9:$V$11</c:f>
              <c:numCache>
                <c:formatCode>#,##0.00;\(#,##0.00\)</c:formatCode>
                <c:ptCount val="3"/>
                <c:pt idx="0">
                  <c:v>50.5</c:v>
                </c:pt>
                <c:pt idx="1">
                  <c:v>3.70350455757224</c:v>
                </c:pt>
                <c:pt idx="2">
                  <c:v>54.2035045575722</c:v>
                </c:pt>
              </c:numCache>
            </c:numRef>
          </c:val>
        </c:ser>
        <c:gapWidth val="60"/>
        <c:overlap val="100"/>
        <c:axId val="30435083"/>
        <c:axId val="65153822"/>
      </c:barChart>
      <c:catAx>
        <c:axId val="304350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153822"/>
        <c:crosses val="autoZero"/>
        <c:auto val="1"/>
        <c:lblAlgn val="ctr"/>
        <c:lblOffset val="100"/>
        <c:noMultiLvlLbl val="0"/>
      </c:catAx>
      <c:valAx>
        <c:axId val="65153822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35083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100" spc="-1" strike="noStrike">
                <a:solidFill>
                  <a:srgbClr val="000000"/>
                </a:solidFill>
                <a:latin typeface="Calibri"/>
              </a:rPr>
              <a:t>Labour cost total by line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'TDD Dashboard'!U14</c:f>
              <c:strCache>
                <c:ptCount val="1"/>
                <c:pt idx="0">
                  <c:v>Lights on labour cost ($m)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Dashboard'!$T$15:$T$33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Dashboard'!$U$15:$U$33</c:f>
              <c:numCache>
                <c:formatCode>#,##0.00;\(#,##0.00\)</c:formatCode>
                <c:ptCount val="19"/>
                <c:pt idx="0">
                  <c:v>1.628177866</c:v>
                </c:pt>
                <c:pt idx="1">
                  <c:v>1.47078600054545</c:v>
                </c:pt>
                <c:pt idx="2">
                  <c:v>2.8319503024</c:v>
                </c:pt>
                <c:pt idx="3">
                  <c:v>2.88399343</c:v>
                </c:pt>
                <c:pt idx="4">
                  <c:v>2.15541804694545</c:v>
                </c:pt>
                <c:pt idx="5">
                  <c:v>2.66124052348</c:v>
                </c:pt>
                <c:pt idx="6">
                  <c:v>0.979014192</c:v>
                </c:pt>
                <c:pt idx="7">
                  <c:v>1.95289105</c:v>
                </c:pt>
                <c:pt idx="8">
                  <c:v>2.10052199504545</c:v>
                </c:pt>
                <c:pt idx="9">
                  <c:v>4.0480544828341</c:v>
                </c:pt>
                <c:pt idx="10">
                  <c:v>0</c:v>
                </c:pt>
                <c:pt idx="11">
                  <c:v>2.46927518487045</c:v>
                </c:pt>
                <c:pt idx="12">
                  <c:v>3.17612685754545</c:v>
                </c:pt>
                <c:pt idx="13">
                  <c:v>6.44687458794546</c:v>
                </c:pt>
                <c:pt idx="14">
                  <c:v>3.54657231784545</c:v>
                </c:pt>
                <c:pt idx="15">
                  <c:v>5.58817021546719</c:v>
                </c:pt>
                <c:pt idx="16">
                  <c:v>2.43435809138545</c:v>
                </c:pt>
                <c:pt idx="17">
                  <c:v>2.57410240617936</c:v>
                </c:pt>
                <c:pt idx="18">
                  <c:v>5.25597700708295</c:v>
                </c:pt>
              </c:numCache>
            </c:numRef>
          </c:val>
        </c:ser>
        <c:ser>
          <c:idx val="1"/>
          <c:order val="1"/>
          <c:tx>
            <c:strRef>
              <c:f>'TDD Dashboard'!V14</c:f>
              <c:strCache>
                <c:ptCount val="1"/>
                <c:pt idx="0">
                  <c:v>Sig items labour cost ($m)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Dashboard'!$T$15:$T$33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Dashboard'!$V$15:$V$33</c:f>
              <c:numCache>
                <c:formatCode>#,##0.00;\(#,##0.00\)</c:formatCode>
                <c:ptCount val="19"/>
                <c:pt idx="0">
                  <c:v>0</c:v>
                </c:pt>
                <c:pt idx="1">
                  <c:v>1.2998</c:v>
                </c:pt>
                <c:pt idx="2">
                  <c:v>0</c:v>
                </c:pt>
                <c:pt idx="3">
                  <c:v>0</c:v>
                </c:pt>
                <c:pt idx="4">
                  <c:v>0.24172845</c:v>
                </c:pt>
                <c:pt idx="5">
                  <c:v>0.49481945</c:v>
                </c:pt>
                <c:pt idx="6">
                  <c:v>0</c:v>
                </c:pt>
                <c:pt idx="7">
                  <c:v>0</c:v>
                </c:pt>
                <c:pt idx="8">
                  <c:v>0.238965</c:v>
                </c:pt>
                <c:pt idx="9">
                  <c:v>0</c:v>
                </c:pt>
                <c:pt idx="10">
                  <c:v>5.15081935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1.83595565</c:v>
                </c:pt>
                <c:pt idx="15">
                  <c:v>1.32454851</c:v>
                </c:pt>
                <c:pt idx="16">
                  <c:v>3.8</c:v>
                </c:pt>
                <c:pt idx="17">
                  <c:v>2.85985905</c:v>
                </c:pt>
                <c:pt idx="18">
                  <c:v>2.5862355812</c:v>
                </c:pt>
              </c:numCache>
            </c:numRef>
          </c:val>
        </c:ser>
        <c:ser>
          <c:idx val="2"/>
          <c:order val="2"/>
          <c:tx>
            <c:strRef>
              <c:f>'TDD Dashboard'!W14</c:f>
              <c:strCache>
                <c:ptCount val="1"/>
                <c:pt idx="0">
                  <c:v>Initiatives labour cost ($m)</c:v>
                </c:pt>
              </c:strCache>
            </c:strRef>
          </c:tx>
          <c:spPr>
            <a:solidFill>
              <a:srgbClr val="bfbfb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Dashboard'!$T$15:$T$33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Dashboard'!$W$15:$W$33</c:f>
              <c:numCache>
                <c:formatCode>#,##0.00;\(#,##0.00\)</c:formatCode>
                <c:ptCount val="19"/>
                <c:pt idx="0">
                  <c:v>0</c:v>
                </c:pt>
                <c:pt idx="1">
                  <c:v>-0.632389300545454</c:v>
                </c:pt>
                <c:pt idx="2">
                  <c:v>0</c:v>
                </c:pt>
                <c:pt idx="3">
                  <c:v>0</c:v>
                </c:pt>
                <c:pt idx="4">
                  <c:v>0.624387351054546</c:v>
                </c:pt>
                <c:pt idx="5">
                  <c:v>0</c:v>
                </c:pt>
                <c:pt idx="6">
                  <c:v>2.3135484</c:v>
                </c:pt>
                <c:pt idx="7">
                  <c:v>1.388936286</c:v>
                </c:pt>
                <c:pt idx="8">
                  <c:v>1.02274458495455</c:v>
                </c:pt>
                <c:pt idx="9">
                  <c:v>0.571520484387223</c:v>
                </c:pt>
                <c:pt idx="10">
                  <c:v>0</c:v>
                </c:pt>
                <c:pt idx="11">
                  <c:v>3.41592466462954</c:v>
                </c:pt>
                <c:pt idx="12">
                  <c:v>3.17012175745455</c:v>
                </c:pt>
                <c:pt idx="13">
                  <c:v>0.219415620054544</c:v>
                </c:pt>
                <c:pt idx="14">
                  <c:v>1.37937408815455</c:v>
                </c:pt>
                <c:pt idx="15">
                  <c:v>1.19793217317628</c:v>
                </c:pt>
                <c:pt idx="16">
                  <c:v>2.70657654041455</c:v>
                </c:pt>
                <c:pt idx="17">
                  <c:v>3.67110878407932</c:v>
                </c:pt>
                <c:pt idx="18">
                  <c:v>3.89415018366705</c:v>
                </c:pt>
              </c:numCache>
            </c:numRef>
          </c:val>
        </c:ser>
        <c:gapWidth val="60"/>
        <c:overlap val="100"/>
        <c:axId val="70283582"/>
        <c:axId val="88583394"/>
      </c:barChart>
      <c:catAx>
        <c:axId val="702835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583394"/>
        <c:crosses val="autoZero"/>
        <c:auto val="1"/>
        <c:lblAlgn val="ctr"/>
        <c:lblOffset val="100"/>
        <c:noMultiLvlLbl val="0"/>
      </c:catAx>
      <c:valAx>
        <c:axId val="88583394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283582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100" spc="-1" strike="noStrike">
                <a:solidFill>
                  <a:srgbClr val="000000"/>
                </a:solidFill>
                <a:latin typeface="Calibri"/>
              </a:rPr>
              <a:t>Labour cost by squad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'Ampol Retail'!U8</c:f>
              <c:strCache>
                <c:ptCount val="1"/>
                <c:pt idx="0">
                  <c:v>Lights on labour cost ($m)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Retail'!$T$9:$T$15</c:f>
              <c:strCache>
                <c:ptCount val="7"/>
                <c:pt idx="0">
                  <c:v>Data AU</c:v>
                </c:pt>
                <c:pt idx="1">
                  <c:v>Payments</c:v>
                </c:pt>
                <c:pt idx="2">
                  <c:v>POS</c:v>
                </c:pt>
                <c:pt idx="3">
                  <c:v>Deployment</c:v>
                </c:pt>
                <c:pt idx="4">
                  <c:v>Network &amp; QSR</c:v>
                </c:pt>
                <c:pt idx="5">
                  <c:v>Store Operations</c:v>
                </c:pt>
                <c:pt idx="6">
                  <c:v>Above Store</c:v>
                </c:pt>
              </c:strCache>
            </c:strRef>
          </c:cat>
          <c:val>
            <c:numRef>
              <c:f>'Ampol Retail'!$U$9:$U$15</c:f>
              <c:numCache>
                <c:formatCode>#,##0.00;\(#,##0.00\)</c:formatCode>
                <c:ptCount val="7"/>
                <c:pt idx="0">
                  <c:v>0.43643655</c:v>
                </c:pt>
                <c:pt idx="1">
                  <c:v>0.11841428775</c:v>
                </c:pt>
                <c:pt idx="2">
                  <c:v>0.5667379501875</c:v>
                </c:pt>
                <c:pt idx="3">
                  <c:v>0.1787671464</c:v>
                </c:pt>
                <c:pt idx="4">
                  <c:v>0.22280622</c:v>
                </c:pt>
                <c:pt idx="5">
                  <c:v>1.429759453</c:v>
                </c:pt>
                <c:pt idx="6">
                  <c:v>0.3380947612</c:v>
                </c:pt>
              </c:numCache>
            </c:numRef>
          </c:val>
        </c:ser>
        <c:ser>
          <c:idx val="1"/>
          <c:order val="1"/>
          <c:tx>
            <c:strRef>
              <c:f>'Ampol Retail'!V8</c:f>
              <c:strCache>
                <c:ptCount val="1"/>
                <c:pt idx="0">
                  <c:v>Initiatives labour cost ($m)</c:v>
                </c:pt>
              </c:strCache>
            </c:strRef>
          </c:tx>
          <c:spPr>
            <a:solidFill>
              <a:srgbClr val="bfbfbf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bfbfbf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bfbfbf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Retail'!$T$9:$T$15</c:f>
              <c:strCache>
                <c:ptCount val="7"/>
                <c:pt idx="0">
                  <c:v>Data AU</c:v>
                </c:pt>
                <c:pt idx="1">
                  <c:v>Payments</c:v>
                </c:pt>
                <c:pt idx="2">
                  <c:v>POS</c:v>
                </c:pt>
                <c:pt idx="3">
                  <c:v>Deployment</c:v>
                </c:pt>
                <c:pt idx="4">
                  <c:v>Network &amp; QSR</c:v>
                </c:pt>
                <c:pt idx="5">
                  <c:v>Store Operations</c:v>
                </c:pt>
                <c:pt idx="6">
                  <c:v>Above Store</c:v>
                </c:pt>
              </c:strCache>
            </c:strRef>
          </c:cat>
          <c:val>
            <c:numRef>
              <c:f>'Ampol Retail'!$V$9:$V$15</c:f>
              <c:numCache>
                <c:formatCode>#,##0.00;\(#,##0.00\)</c:formatCode>
                <c:ptCount val="7"/>
                <c:pt idx="0">
                  <c:v>0.04849295</c:v>
                </c:pt>
                <c:pt idx="1">
                  <c:v>0.67101429725</c:v>
                </c:pt>
                <c:pt idx="2">
                  <c:v>0.3051665885625</c:v>
                </c:pt>
                <c:pt idx="3">
                  <c:v>0.7150685856</c:v>
                </c:pt>
                <c:pt idx="4">
                  <c:v>0.89122488</c:v>
                </c:pt>
                <c:pt idx="5">
                  <c:v>0</c:v>
                </c:pt>
                <c:pt idx="6">
                  <c:v>1.3523790448</c:v>
                </c:pt>
              </c:numCache>
            </c:numRef>
          </c:val>
        </c:ser>
        <c:gapWidth val="60"/>
        <c:overlap val="100"/>
        <c:axId val="71024777"/>
        <c:axId val="9193842"/>
      </c:barChart>
      <c:catAx>
        <c:axId val="710247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93842"/>
        <c:crosses val="autoZero"/>
        <c:auto val="1"/>
        <c:lblAlgn val="ctr"/>
        <c:lblOffset val="100"/>
        <c:noMultiLvlLbl val="0"/>
      </c:catAx>
      <c:valAx>
        <c:axId val="9193842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24777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100" spc="-1" strike="noStrike">
                <a:solidFill>
                  <a:srgbClr val="000000"/>
                </a:solidFill>
                <a:latin typeface="Calibri"/>
              </a:rPr>
              <a:t>Labour cost by squad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'Z Retail'!U8</c:f>
              <c:strCache>
                <c:ptCount val="1"/>
                <c:pt idx="0">
                  <c:v>Lights on labour cost ($m)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Retail'!$T$9:$T$12</c:f>
              <c:strCache>
                <c:ptCount val="4"/>
                <c:pt idx="0">
                  <c:v>Data NZ</c:v>
                </c:pt>
                <c:pt idx="1">
                  <c:v>Site Systems</c:v>
                </c:pt>
                <c:pt idx="2">
                  <c:v>Z Supply</c:v>
                </c:pt>
                <c:pt idx="3">
                  <c:v>Z Retail Backend</c:v>
                </c:pt>
              </c:strCache>
            </c:strRef>
          </c:cat>
          <c:val>
            <c:numRef>
              <c:f>'Z Retail'!$U$9:$U$12</c:f>
              <c:numCache>
                <c:formatCode>#,##0.00;\(#,##0.00\)</c:formatCode>
                <c:ptCount val="4"/>
                <c:pt idx="0">
                  <c:v>0.6706618758</c:v>
                </c:pt>
                <c:pt idx="1">
                  <c:v>1.0997326064</c:v>
                </c:pt>
                <c:pt idx="2">
                  <c:v>1.3310195168</c:v>
                </c:pt>
                <c:pt idx="3">
                  <c:v>1.3497419344</c:v>
                </c:pt>
              </c:numCache>
            </c:numRef>
          </c:val>
        </c:ser>
        <c:ser>
          <c:idx val="1"/>
          <c:order val="1"/>
          <c:tx>
            <c:strRef>
              <c:f>'Z Retail'!V8</c:f>
              <c:strCache>
                <c:ptCount val="1"/>
                <c:pt idx="0">
                  <c:v>Initiatives labour cost ($m)</c:v>
                </c:pt>
              </c:strCache>
            </c:strRef>
          </c:tx>
          <c:spPr>
            <a:solidFill>
              <a:srgbClr val="bfbfbf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bfbfbf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Retail'!$T$9:$T$12</c:f>
              <c:strCache>
                <c:ptCount val="4"/>
                <c:pt idx="0">
                  <c:v>Data NZ</c:v>
                </c:pt>
                <c:pt idx="1">
                  <c:v>Site Systems</c:v>
                </c:pt>
                <c:pt idx="2">
                  <c:v>Z Supply</c:v>
                </c:pt>
                <c:pt idx="3">
                  <c:v>Z Retail Backend</c:v>
                </c:pt>
              </c:strCache>
            </c:strRef>
          </c:cat>
          <c:val>
            <c:numRef>
              <c:f>'Z Retail'!$V$9:$V$12</c:f>
              <c:numCache>
                <c:formatCode>#,##0.00;\(#,##0.00\)</c:formatCode>
                <c:ptCount val="4"/>
                <c:pt idx="0">
                  <c:v>0.0745179861999999</c:v>
                </c:pt>
                <c:pt idx="1">
                  <c:v>0.2749331516</c:v>
                </c:pt>
                <c:pt idx="2">
                  <c:v>0.3327548792</c:v>
                </c:pt>
                <c:pt idx="3">
                  <c:v>0.3374354836</c:v>
                </c:pt>
              </c:numCache>
            </c:numRef>
          </c:val>
        </c:ser>
        <c:gapWidth val="60"/>
        <c:overlap val="100"/>
        <c:axId val="40025067"/>
        <c:axId val="17851747"/>
      </c:barChart>
      <c:catAx>
        <c:axId val="400250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851747"/>
        <c:crosses val="autoZero"/>
        <c:auto val="1"/>
        <c:lblAlgn val="ctr"/>
        <c:lblOffset val="100"/>
        <c:noMultiLvlLbl val="0"/>
      </c:catAx>
      <c:valAx>
        <c:axId val="1785174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025067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100" spc="-1" strike="noStrike">
                <a:solidFill>
                  <a:srgbClr val="000000"/>
                </a:solidFill>
                <a:latin typeface="Calibri"/>
              </a:rPr>
              <a:t>Labour cost by squad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'Ampol Customer'!U8</c:f>
              <c:strCache>
                <c:ptCount val="1"/>
                <c:pt idx="0">
                  <c:v>Lights on labour cost ($m)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Customer'!$T$9:$T$13</c:f>
              <c:strCache>
                <c:ptCount val="5"/>
                <c:pt idx="0">
                  <c:v>Digital Operations</c:v>
                </c:pt>
                <c:pt idx="1">
                  <c:v>Customer, AI</c:v>
                </c:pt>
                <c:pt idx="2">
                  <c:v>Ampol Loyalty &amp; Martech</c:v>
                </c:pt>
                <c:pt idx="3">
                  <c:v>Ampol Web</c:v>
                </c:pt>
                <c:pt idx="4">
                  <c:v>Ampol App</c:v>
                </c:pt>
              </c:strCache>
            </c:strRef>
          </c:cat>
          <c:val>
            <c:numRef>
              <c:f>'Ampol Customer'!$U$9:$U$13</c:f>
              <c:numCache>
                <c:formatCode>#,##0.00;\(#,##0.00\)</c:formatCode>
                <c:ptCount val="5"/>
                <c:pt idx="0">
                  <c:v>0.71668945</c:v>
                </c:pt>
                <c:pt idx="1">
                  <c:v>0</c:v>
                </c:pt>
                <c:pt idx="2">
                  <c:v>0.23812207068</c:v>
                </c:pt>
                <c:pt idx="3">
                  <c:v>0.1886294565</c:v>
                </c:pt>
                <c:pt idx="4">
                  <c:v>0.257197975464</c:v>
                </c:pt>
              </c:numCache>
            </c:numRef>
          </c:val>
        </c:ser>
        <c:ser>
          <c:idx val="1"/>
          <c:order val="1"/>
          <c:tx>
            <c:strRef>
              <c:f>'Ampol Customer'!V8</c:f>
              <c:strCache>
                <c:ptCount val="1"/>
                <c:pt idx="0">
                  <c:v>Initiatives labour cost ($m)</c:v>
                </c:pt>
              </c:strCache>
            </c:strRef>
          </c:tx>
          <c:spPr>
            <a:solidFill>
              <a:srgbClr val="bfbfbf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bfbfbf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Customer'!$T$9:$T$13</c:f>
              <c:strCache>
                <c:ptCount val="5"/>
                <c:pt idx="0">
                  <c:v>Digital Operations</c:v>
                </c:pt>
                <c:pt idx="1">
                  <c:v>Customer, AI</c:v>
                </c:pt>
                <c:pt idx="2">
                  <c:v>Ampol Loyalty &amp; Martech</c:v>
                </c:pt>
                <c:pt idx="3">
                  <c:v>Ampol Web</c:v>
                </c:pt>
                <c:pt idx="4">
                  <c:v>Ampol App</c:v>
                </c:pt>
              </c:strCache>
            </c:strRef>
          </c:cat>
          <c:val>
            <c:numRef>
              <c:f>'Ampol Customer'!$V$9:$V$13</c:f>
              <c:numCache>
                <c:formatCode>#,##0.00;\(#,##0.00\)</c:formatCode>
                <c:ptCount val="5"/>
                <c:pt idx="0">
                  <c:v>0</c:v>
                </c:pt>
                <c:pt idx="1">
                  <c:v>0.72928725</c:v>
                </c:pt>
                <c:pt idx="2">
                  <c:v>0.95248828272</c:v>
                </c:pt>
                <c:pt idx="3">
                  <c:v>1.0689002535</c:v>
                </c:pt>
                <c:pt idx="4">
                  <c:v>1.457455194296</c:v>
                </c:pt>
              </c:numCache>
            </c:numRef>
          </c:val>
        </c:ser>
        <c:gapWidth val="60"/>
        <c:overlap val="100"/>
        <c:axId val="66396471"/>
        <c:axId val="12489662"/>
      </c:barChart>
      <c:catAx>
        <c:axId val="66396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489662"/>
        <c:crosses val="autoZero"/>
        <c:auto val="1"/>
        <c:lblAlgn val="ctr"/>
        <c:lblOffset val="100"/>
        <c:noMultiLvlLbl val="0"/>
      </c:catAx>
      <c:valAx>
        <c:axId val="12489662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396471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100" spc="-1" strike="noStrike">
                <a:solidFill>
                  <a:srgbClr val="000000"/>
                </a:solidFill>
                <a:latin typeface="Calibri"/>
              </a:rPr>
              <a:t>Labour cost by squad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'Z Customer'!U8</c:f>
              <c:strCache>
                <c:ptCount val="1"/>
                <c:pt idx="0">
                  <c:v>Lights on labour cost ($m)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Customer'!$T$9:$T$10</c:f>
              <c:strCache>
                <c:ptCount val="2"/>
                <c:pt idx="0">
                  <c:v>Z App and Web</c:v>
                </c:pt>
                <c:pt idx="1">
                  <c:v>Z Loyalty &amp; Martech</c:v>
                </c:pt>
              </c:strCache>
            </c:strRef>
          </c:cat>
          <c:val>
            <c:numRef>
              <c:f>'Z Customer'!$U$9:$U$10</c:f>
              <c:numCache>
                <c:formatCode>#,##0.00;\(#,##0.00\)</c:formatCode>
                <c:ptCount val="2"/>
                <c:pt idx="0">
                  <c:v>0.723051812</c:v>
                </c:pt>
                <c:pt idx="1">
                  <c:v>1.558980897824</c:v>
                </c:pt>
              </c:numCache>
            </c:numRef>
          </c:val>
        </c:ser>
        <c:ser>
          <c:idx val="1"/>
          <c:order val="1"/>
          <c:tx>
            <c:strRef>
              <c:f>'Z Customer'!V8</c:f>
              <c:strCache>
                <c:ptCount val="1"/>
                <c:pt idx="0">
                  <c:v>Initiatives labour cost ($m)</c:v>
                </c:pt>
              </c:strCache>
            </c:strRef>
          </c:tx>
          <c:spPr>
            <a:solidFill>
              <a:srgbClr val="bfbfbf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bfbfbf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Customer'!$T$9:$T$10</c:f>
              <c:strCache>
                <c:ptCount val="2"/>
                <c:pt idx="0">
                  <c:v>Z App and Web</c:v>
                </c:pt>
                <c:pt idx="1">
                  <c:v>Z Loyalty &amp; Martech</c:v>
                </c:pt>
              </c:strCache>
            </c:strRef>
          </c:cat>
          <c:val>
            <c:numRef>
              <c:f>'Z Customer'!$V$9:$V$10</c:f>
              <c:numCache>
                <c:formatCode>#,##0.00;\(#,##0.00\)</c:formatCode>
                <c:ptCount val="2"/>
                <c:pt idx="0">
                  <c:v>0.309879348</c:v>
                </c:pt>
                <c:pt idx="1">
                  <c:v>0.668134670496</c:v>
                </c:pt>
              </c:numCache>
            </c:numRef>
          </c:val>
        </c:ser>
        <c:gapWidth val="60"/>
        <c:overlap val="100"/>
        <c:axId val="22369838"/>
        <c:axId val="58583597"/>
      </c:barChart>
      <c:catAx>
        <c:axId val="223698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583597"/>
        <c:crosses val="autoZero"/>
        <c:auto val="1"/>
        <c:lblAlgn val="ctr"/>
        <c:lblOffset val="100"/>
        <c:noMultiLvlLbl val="0"/>
      </c:catAx>
      <c:valAx>
        <c:axId val="5858359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369838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100" spc="-1" strike="noStrike">
                <a:solidFill>
                  <a:srgbClr val="000000"/>
                </a:solidFill>
                <a:latin typeface="Calibri"/>
              </a:rPr>
              <a:t>Labour cost by squad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'Commercial Fuels'!U8</c:f>
              <c:strCache>
                <c:ptCount val="1"/>
                <c:pt idx="0">
                  <c:v>Lights on labour cost ($m)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Fuels'!$T$9:$T$11</c:f>
              <c:strCache>
                <c:ptCount val="3"/>
                <c:pt idx="0">
                  <c:v>Trading &amp; Shipping Data</c:v>
                </c:pt>
                <c:pt idx="1">
                  <c:v>Supply</c:v>
                </c:pt>
                <c:pt idx="2">
                  <c:v>Trading &amp; Shipping</c:v>
                </c:pt>
              </c:strCache>
            </c:strRef>
          </c:cat>
          <c:val>
            <c:numRef>
              <c:f>'Commercial Fuels'!$U$9:$U$11</c:f>
              <c:numCache>
                <c:formatCode>#,##0.00;\(#,##0.00\)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0.50278987484</c:v>
                </c:pt>
              </c:numCache>
            </c:numRef>
          </c:val>
        </c:ser>
        <c:ser>
          <c:idx val="1"/>
          <c:order val="1"/>
          <c:tx>
            <c:strRef>
              <c:f>'Commercial Fuels'!V8</c:f>
              <c:strCache>
                <c:ptCount val="1"/>
                <c:pt idx="0">
                  <c:v>Initiatives labour cost ($m)</c:v>
                </c:pt>
              </c:strCache>
            </c:strRef>
          </c:tx>
          <c:spPr>
            <a:solidFill>
              <a:srgbClr val="bfbfbf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Fuels'!$T$9:$T$11</c:f>
              <c:strCache>
                <c:ptCount val="3"/>
                <c:pt idx="0">
                  <c:v>Trading &amp; Shipping Data</c:v>
                </c:pt>
                <c:pt idx="1">
                  <c:v>Supply</c:v>
                </c:pt>
                <c:pt idx="2">
                  <c:v>Trading &amp; Shipping</c:v>
                </c:pt>
              </c:strCache>
            </c:strRef>
          </c:cat>
          <c:val>
            <c:numRef>
              <c:f>'Commercial Fuels'!$V$9:$V$11</c:f>
              <c:numCache>
                <c:formatCode>#,##0.00;\(#,##0.00\)</c:formatCode>
                <c:ptCount val="3"/>
                <c:pt idx="0">
                  <c:v>1.0146279396</c:v>
                </c:pt>
                <c:pt idx="1">
                  <c:v>1.05925575</c:v>
                </c:pt>
                <c:pt idx="2">
                  <c:v>2.01115949936</c:v>
                </c:pt>
              </c:numCache>
            </c:numRef>
          </c:val>
        </c:ser>
        <c:gapWidth val="60"/>
        <c:overlap val="100"/>
        <c:axId val="54129587"/>
        <c:axId val="4403089"/>
      </c:barChart>
      <c:catAx>
        <c:axId val="541295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03089"/>
        <c:crosses val="autoZero"/>
        <c:auto val="1"/>
        <c:lblAlgn val="ctr"/>
        <c:lblOffset val="100"/>
        <c:noMultiLvlLbl val="0"/>
      </c:catAx>
      <c:valAx>
        <c:axId val="4403089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129587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100" spc="-1" strike="noStrike">
                <a:solidFill>
                  <a:srgbClr val="000000"/>
                </a:solidFill>
                <a:latin typeface="Calibri"/>
              </a:rPr>
              <a:t>Labour cost by squad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'Energy Solutions &amp; B2B'!U8</c:f>
              <c:strCache>
                <c:ptCount val="1"/>
                <c:pt idx="0">
                  <c:v>Lights on labour cost ($m)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B2B'!$T$9:$T$11</c:f>
              <c:strCache>
                <c:ptCount val="3"/>
                <c:pt idx="0">
                  <c:v>EVCI</c:v>
                </c:pt>
                <c:pt idx="1">
                  <c:v>Energy</c:v>
                </c:pt>
                <c:pt idx="2">
                  <c:v>B2B</c:v>
                </c:pt>
              </c:strCache>
            </c:strRef>
          </c:cat>
          <c:val>
            <c:numRef>
              <c:f>'Energy Solutions &amp; B2B'!$U$9:$U$11</c:f>
              <c:numCache>
                <c:formatCode>#,##0.00;\(#,##0.00\)</c:formatCode>
                <c:ptCount val="3"/>
                <c:pt idx="0">
                  <c:v>0.1396198938</c:v>
                </c:pt>
                <c:pt idx="1">
                  <c:v>0.256931829525</c:v>
                </c:pt>
                <c:pt idx="2">
                  <c:v>0.218780457</c:v>
                </c:pt>
              </c:numCache>
            </c:numRef>
          </c:val>
        </c:ser>
        <c:ser>
          <c:idx val="1"/>
          <c:order val="1"/>
          <c:tx>
            <c:strRef>
              <c:f>'Energy Solutions &amp; B2B'!V8</c:f>
              <c:strCache>
                <c:ptCount val="1"/>
                <c:pt idx="0">
                  <c:v>Initiatives labour cost ($m)</c:v>
                </c:pt>
              </c:strCache>
            </c:strRef>
          </c:tx>
          <c:spPr>
            <a:solidFill>
              <a:srgbClr val="bfbfbf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B2B'!$T$9:$T$11</c:f>
              <c:strCache>
                <c:ptCount val="3"/>
                <c:pt idx="0">
                  <c:v>EVCI</c:v>
                </c:pt>
                <c:pt idx="1">
                  <c:v>Energy</c:v>
                </c:pt>
                <c:pt idx="2">
                  <c:v>B2B</c:v>
                </c:pt>
              </c:strCache>
            </c:strRef>
          </c:cat>
          <c:val>
            <c:numRef>
              <c:f>'Energy Solutions &amp; B2B'!$V$9:$V$11</c:f>
              <c:numCache>
                <c:formatCode>#,##0.00;\(#,##0.00\)</c:formatCode>
                <c:ptCount val="3"/>
                <c:pt idx="0">
                  <c:v>0.7911793982</c:v>
                </c:pt>
                <c:pt idx="1">
                  <c:v>1.455947033975</c:v>
                </c:pt>
                <c:pt idx="2">
                  <c:v>1.969024113</c:v>
                </c:pt>
              </c:numCache>
            </c:numRef>
          </c:val>
        </c:ser>
        <c:gapWidth val="60"/>
        <c:overlap val="100"/>
        <c:axId val="72607642"/>
        <c:axId val="78966950"/>
      </c:barChart>
      <c:catAx>
        <c:axId val="726076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966950"/>
        <c:crosses val="autoZero"/>
        <c:auto val="1"/>
        <c:lblAlgn val="ctr"/>
        <c:lblOffset val="100"/>
        <c:noMultiLvlLbl val="0"/>
      </c:catAx>
      <c:valAx>
        <c:axId val="78966950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607642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100" spc="-1" strike="noStrike">
                <a:solidFill>
                  <a:srgbClr val="000000"/>
                </a:solidFill>
                <a:latin typeface="Calibri"/>
              </a:rPr>
              <a:t>Labour cost by squad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Infrastructure!U8</c:f>
              <c:strCache>
                <c:ptCount val="1"/>
                <c:pt idx="0">
                  <c:v>Lights on labour cost ($m)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Pt>
            <c:idx val="1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Infrastructure!$T$9:$T$12</c:f>
              <c:strCache>
                <c:ptCount val="4"/>
                <c:pt idx="0">
                  <c:v>Technology Support</c:v>
                </c:pt>
                <c:pt idx="1">
                  <c:v>Data &amp; Insights</c:v>
                </c:pt>
                <c:pt idx="2">
                  <c:v>Manufacturing Group Projects</c:v>
                </c:pt>
                <c:pt idx="3">
                  <c:v>Distribution, Sales &amp; Services</c:v>
                </c:pt>
              </c:strCache>
            </c:strRef>
          </c:cat>
          <c:val>
            <c:numRef>
              <c:f>Infrastructure!$U$9:$U$12</c:f>
              <c:numCache>
                <c:formatCode>#,##0.00;\(#,##0.00\)</c:formatCode>
                <c:ptCount val="4"/>
                <c:pt idx="0">
                  <c:v>0.593068232</c:v>
                </c:pt>
                <c:pt idx="1">
                  <c:v>0.175292685</c:v>
                </c:pt>
                <c:pt idx="2">
                  <c:v>0.226889145</c:v>
                </c:pt>
                <c:pt idx="3">
                  <c:v>0.175393065</c:v>
                </c:pt>
              </c:numCache>
            </c:numRef>
          </c:val>
        </c:ser>
        <c:ser>
          <c:idx val="1"/>
          <c:order val="1"/>
          <c:tx>
            <c:strRef>
              <c:f>Infrastructure!V8</c:f>
              <c:strCache>
                <c:ptCount val="1"/>
                <c:pt idx="0">
                  <c:v>Initiatives labour cost ($m)</c:v>
                </c:pt>
              </c:strCache>
            </c:strRef>
          </c:tx>
          <c:spPr>
            <a:solidFill>
              <a:srgbClr val="bfbfbf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bfbfbf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Infrastructure!$T$9:$T$12</c:f>
              <c:strCache>
                <c:ptCount val="4"/>
                <c:pt idx="0">
                  <c:v>Technology Support</c:v>
                </c:pt>
                <c:pt idx="1">
                  <c:v>Data &amp; Insights</c:v>
                </c:pt>
                <c:pt idx="2">
                  <c:v>Manufacturing Group Projects</c:v>
                </c:pt>
                <c:pt idx="3">
                  <c:v>Distribution, Sales &amp; Services</c:v>
                </c:pt>
              </c:strCache>
            </c:strRef>
          </c:cat>
          <c:val>
            <c:numRef>
              <c:f>Infrastructure!$V$9:$V$12</c:f>
              <c:numCache>
                <c:formatCode>#,##0.00;\(#,##0.00\)</c:formatCode>
                <c:ptCount val="4"/>
                <c:pt idx="0">
                  <c:v>0.148267058</c:v>
                </c:pt>
                <c:pt idx="1">
                  <c:v>0.70117074</c:v>
                </c:pt>
                <c:pt idx="2">
                  <c:v>1.285705155</c:v>
                </c:pt>
                <c:pt idx="3">
                  <c:v>1.578537585</c:v>
                </c:pt>
              </c:numCache>
            </c:numRef>
          </c:val>
        </c:ser>
        <c:gapWidth val="60"/>
        <c:overlap val="100"/>
        <c:axId val="85121020"/>
        <c:axId val="82416413"/>
      </c:barChart>
      <c:catAx>
        <c:axId val="851210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16413"/>
        <c:crosses val="autoZero"/>
        <c:auto val="1"/>
        <c:lblAlgn val="ctr"/>
        <c:lblOffset val="100"/>
        <c:noMultiLvlLbl val="0"/>
      </c:catAx>
      <c:valAx>
        <c:axId val="82416413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121020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100" spc="-1" strike="noStrike">
                <a:solidFill>
                  <a:srgbClr val="000000"/>
                </a:solidFill>
                <a:latin typeface="Calibri"/>
              </a:rPr>
              <a:t>Labour cost by squad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'P&amp;C'!U8</c:f>
              <c:strCache>
                <c:ptCount val="1"/>
                <c:pt idx="0">
                  <c:v>Lights on labour cost ($m)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'P&amp;C'!$T$9:$T$10</c:f>
              <c:strCache>
                <c:ptCount val="2"/>
                <c:pt idx="0">
                  <c:v>P&amp;C RTA</c:v>
                </c:pt>
                <c:pt idx="1">
                  <c:v>P&amp;C</c:v>
                </c:pt>
              </c:strCache>
            </c:strRef>
          </c:cat>
          <c:val>
            <c:numRef>
              <c:f>'P&amp;C'!$U$9:$U$10</c:f>
              <c:numCache>
                <c:formatCode>#,##0.00;\(#,##0.00\)</c:formatCode>
                <c:ptCount val="2"/>
                <c:pt idx="0">
                  <c:v>0.1143873525</c:v>
                </c:pt>
                <c:pt idx="1">
                  <c:v>0.249483612</c:v>
                </c:pt>
              </c:numCache>
            </c:numRef>
          </c:val>
        </c:ser>
        <c:ser>
          <c:idx val="1"/>
          <c:order val="1"/>
          <c:tx>
            <c:strRef>
              <c:f>'P&amp;C'!V8</c:f>
              <c:strCache>
                <c:ptCount val="1"/>
                <c:pt idx="0">
                  <c:v>Initiatives labour cost ($m)</c:v>
                </c:pt>
              </c:strCache>
            </c:strRef>
          </c:tx>
          <c:spPr>
            <a:solidFill>
              <a:srgbClr val="bfbfbf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'P&amp;C'!$T$9:$T$10</c:f>
              <c:strCache>
                <c:ptCount val="2"/>
                <c:pt idx="0">
                  <c:v>P&amp;C RTA</c:v>
                </c:pt>
                <c:pt idx="1">
                  <c:v>P&amp;C</c:v>
                </c:pt>
              </c:strCache>
            </c:strRef>
          </c:cat>
          <c:val>
            <c:numRef>
              <c:f>'P&amp;C'!$V$9:$V$10</c:f>
              <c:numCache>
                <c:formatCode>#,##0.00;\(#,##0.00\)</c:formatCode>
                <c:ptCount val="2"/>
                <c:pt idx="0">
                  <c:v>0.6481949975</c:v>
                </c:pt>
                <c:pt idx="1">
                  <c:v>1.413740468</c:v>
                </c:pt>
              </c:numCache>
            </c:numRef>
          </c:val>
        </c:ser>
        <c:gapWidth val="60"/>
        <c:overlap val="100"/>
        <c:axId val="62799064"/>
        <c:axId val="28344118"/>
      </c:barChart>
      <c:catAx>
        <c:axId val="62799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344118"/>
        <c:crosses val="autoZero"/>
        <c:auto val="1"/>
        <c:lblAlgn val="ctr"/>
        <c:lblOffset val="100"/>
        <c:noMultiLvlLbl val="0"/>
      </c:catAx>
      <c:valAx>
        <c:axId val="2834411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799064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100" spc="-1" strike="noStrike">
                <a:solidFill>
                  <a:srgbClr val="000000"/>
                </a:solidFill>
                <a:latin typeface="Calibri"/>
              </a:rPr>
              <a:t>Labour cost by squad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Finance!U8</c:f>
              <c:strCache>
                <c:ptCount val="1"/>
                <c:pt idx="0">
                  <c:v>Lights on labour cost ($m)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Finance!$T$9:$T$10</c:f>
              <c:strCache>
                <c:ptCount val="2"/>
                <c:pt idx="0">
                  <c:v>NZ Finance</c:v>
                </c:pt>
                <c:pt idx="1">
                  <c:v>SAP ERP</c:v>
                </c:pt>
              </c:strCache>
            </c:strRef>
          </c:cat>
          <c:val>
            <c:numRef>
              <c:f>Finance!$U$9:$U$10</c:f>
              <c:numCache>
                <c:formatCode>#,##0.00;\(#,##0.00\)</c:formatCode>
                <c:ptCount val="2"/>
                <c:pt idx="0">
                  <c:v>0.7205103024</c:v>
                </c:pt>
                <c:pt idx="1">
                  <c:v>0.311121414</c:v>
                </c:pt>
              </c:numCache>
            </c:numRef>
          </c:val>
        </c:ser>
        <c:ser>
          <c:idx val="1"/>
          <c:order val="1"/>
          <c:tx>
            <c:strRef>
              <c:f>Finance!V8</c:f>
              <c:strCache>
                <c:ptCount val="1"/>
                <c:pt idx="0">
                  <c:v>Initiatives labour cost ($m)</c:v>
                </c:pt>
              </c:strCache>
            </c:strRef>
          </c:tx>
          <c:spPr>
            <a:solidFill>
              <a:srgbClr val="bfbfbf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Finance!$T$9:$T$10</c:f>
              <c:strCache>
                <c:ptCount val="2"/>
                <c:pt idx="0">
                  <c:v>NZ Finance</c:v>
                </c:pt>
                <c:pt idx="1">
                  <c:v>SAP ERP</c:v>
                </c:pt>
              </c:strCache>
            </c:strRef>
          </c:cat>
          <c:val>
            <c:numRef>
              <c:f>Finance!$V$9:$V$10</c:f>
              <c:numCache>
                <c:formatCode>#,##0.00;\(#,##0.00\)</c:formatCode>
                <c:ptCount val="2"/>
                <c:pt idx="0">
                  <c:v>0.1801275756</c:v>
                </c:pt>
                <c:pt idx="1">
                  <c:v>1.244485656</c:v>
                </c:pt>
              </c:numCache>
            </c:numRef>
          </c:val>
        </c:ser>
        <c:gapWidth val="60"/>
        <c:overlap val="100"/>
        <c:axId val="69149407"/>
        <c:axId val="18397500"/>
      </c:barChart>
      <c:catAx>
        <c:axId val="6914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397500"/>
        <c:crosses val="autoZero"/>
        <c:auto val="1"/>
        <c:lblAlgn val="ctr"/>
        <c:lblOffset val="100"/>
        <c:noMultiLvlLbl val="0"/>
      </c:catAx>
      <c:valAx>
        <c:axId val="18397500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149407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100" spc="-1" strike="noStrike">
                <a:solidFill>
                  <a:srgbClr val="000000"/>
                </a:solidFill>
                <a:latin typeface="Calibri"/>
              </a:rPr>
              <a:t>Labour cost by squad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'TDD Group Functions'!U8</c:f>
              <c:strCache>
                <c:ptCount val="1"/>
                <c:pt idx="0">
                  <c:v>Lights on labour cost ($m)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Functions'!$T$9:$T$12</c:f>
              <c:strCache>
                <c:ptCount val="4"/>
                <c:pt idx="0">
                  <c:v>DevOps &amp; QE</c:v>
                </c:pt>
                <c:pt idx="1">
                  <c:v>Workplace &amp; Enterprise Tooling</c:v>
                </c:pt>
                <c:pt idx="2">
                  <c:v>Integration &amp; Process Automation</c:v>
                </c:pt>
                <c:pt idx="3">
                  <c:v>Cloud, Network &amp; Infra Ops</c:v>
                </c:pt>
              </c:strCache>
            </c:strRef>
          </c:cat>
          <c:val>
            <c:numRef>
              <c:f>'TDD Group Functions'!$U$9:$U$12</c:f>
              <c:numCache>
                <c:formatCode>#,##0.00;\(#,##0.00\)</c:formatCode>
                <c:ptCount val="4"/>
                <c:pt idx="0">
                  <c:v>0.5399610192</c:v>
                </c:pt>
                <c:pt idx="1">
                  <c:v>0.914475972</c:v>
                </c:pt>
                <c:pt idx="2">
                  <c:v>0.791874270521739</c:v>
                </c:pt>
                <c:pt idx="3">
                  <c:v>1.2062837832</c:v>
                </c:pt>
              </c:numCache>
            </c:numRef>
          </c:val>
        </c:ser>
        <c:ser>
          <c:idx val="1"/>
          <c:order val="1"/>
          <c:tx>
            <c:strRef>
              <c:f>'TDD Group Functions'!V8</c:f>
              <c:strCache>
                <c:ptCount val="1"/>
                <c:pt idx="0">
                  <c:v>Initiatives labour cost ($m)</c:v>
                </c:pt>
              </c:strCache>
            </c:strRef>
          </c:tx>
          <c:spPr>
            <a:solidFill>
              <a:srgbClr val="bfbfbf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bfbfbf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fbfbf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Functions'!$T$9:$T$12</c:f>
              <c:strCache>
                <c:ptCount val="4"/>
                <c:pt idx="0">
                  <c:v>DevOps &amp; QE</c:v>
                </c:pt>
                <c:pt idx="1">
                  <c:v>Workplace &amp; Enterprise Tooling</c:v>
                </c:pt>
                <c:pt idx="2">
                  <c:v>Integration &amp; Process Automation</c:v>
                </c:pt>
                <c:pt idx="3">
                  <c:v>Cloud, Network &amp; Infra Ops</c:v>
                </c:pt>
              </c:strCache>
            </c:strRef>
          </c:cat>
          <c:val>
            <c:numRef>
              <c:f>'TDD Group Functions'!$V$9:$V$12</c:f>
              <c:numCache>
                <c:formatCode>#,##0.00;\(#,##0.00\)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0.791874270521739</c:v>
                </c:pt>
                <c:pt idx="3">
                  <c:v>1.2062837832</c:v>
                </c:pt>
              </c:numCache>
            </c:numRef>
          </c:val>
        </c:ser>
        <c:gapWidth val="60"/>
        <c:overlap val="100"/>
        <c:axId val="91625906"/>
        <c:axId val="3041226"/>
      </c:barChart>
      <c:catAx>
        <c:axId val="916259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41226"/>
        <c:crosses val="autoZero"/>
        <c:auto val="1"/>
        <c:lblAlgn val="ctr"/>
        <c:lblOffset val="100"/>
        <c:noMultiLvlLbl val="0"/>
      </c:catAx>
      <c:valAx>
        <c:axId val="3041226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625906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100" spc="-1" strike="noStrike">
                <a:solidFill>
                  <a:srgbClr val="000000"/>
                </a:solidFill>
                <a:latin typeface="Calibri"/>
              </a:rPr>
              <a:t>Labour cost by squad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'Enterprise Data'!U8</c:f>
              <c:strCache>
                <c:ptCount val="1"/>
                <c:pt idx="0">
                  <c:v>Lights on labour cost ($m)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1f4e79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Data'!$T$9:$T$12</c:f>
              <c:strCache>
                <c:ptCount val="4"/>
                <c:pt idx="0">
                  <c:v>Enterprise Data Delivery</c:v>
                </c:pt>
                <c:pt idx="1">
                  <c:v>Data Science</c:v>
                </c:pt>
                <c:pt idx="2">
                  <c:v>Data Platforms</c:v>
                </c:pt>
                <c:pt idx="3">
                  <c:v>Reporting &amp; Analytics</c:v>
                </c:pt>
              </c:strCache>
            </c:strRef>
          </c:cat>
          <c:val>
            <c:numRef>
              <c:f>'Enterprise Data'!$U$9:$U$12</c:f>
              <c:numCache>
                <c:formatCode>#,##0.00;\(#,##0.00\)</c:formatCode>
                <c:ptCount val="4"/>
                <c:pt idx="0">
                  <c:v>0.087</c:v>
                </c:pt>
                <c:pt idx="1">
                  <c:v>0.1209595995</c:v>
                </c:pt>
                <c:pt idx="2">
                  <c:v>0.7322587168</c:v>
                </c:pt>
                <c:pt idx="3">
                  <c:v>0.745093671</c:v>
                </c:pt>
              </c:numCache>
            </c:numRef>
          </c:val>
        </c:ser>
        <c:ser>
          <c:idx val="1"/>
          <c:order val="1"/>
          <c:tx>
            <c:strRef>
              <c:f>'Enterprise Data'!V8</c:f>
              <c:strCache>
                <c:ptCount val="1"/>
                <c:pt idx="0">
                  <c:v>Initiatives labour cost ($m)</c:v>
                </c:pt>
              </c:strCache>
            </c:strRef>
          </c:tx>
          <c:spPr>
            <a:solidFill>
              <a:srgbClr val="bfbfbf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Data'!$T$9:$T$12</c:f>
              <c:strCache>
                <c:ptCount val="4"/>
                <c:pt idx="0">
                  <c:v>Enterprise Data Delivery</c:v>
                </c:pt>
                <c:pt idx="1">
                  <c:v>Data Science</c:v>
                </c:pt>
                <c:pt idx="2">
                  <c:v>Data Platforms</c:v>
                </c:pt>
                <c:pt idx="3">
                  <c:v>Reporting &amp; Analytics</c:v>
                </c:pt>
              </c:strCache>
            </c:strRef>
          </c:cat>
          <c:val>
            <c:numRef>
              <c:f>'Enterprise Data'!$V$9:$V$12</c:f>
              <c:numCache>
                <c:formatCode>#,##0.00;\(#,##0.00\)</c:formatCode>
                <c:ptCount val="4"/>
                <c:pt idx="0">
                  <c:v>0.493</c:v>
                </c:pt>
                <c:pt idx="1">
                  <c:v>0.6854377305</c:v>
                </c:pt>
                <c:pt idx="2">
                  <c:v>0.1830646792</c:v>
                </c:pt>
                <c:pt idx="3">
                  <c:v>0.319325859</c:v>
                </c:pt>
              </c:numCache>
            </c:numRef>
          </c:val>
        </c:ser>
        <c:gapWidth val="60"/>
        <c:overlap val="100"/>
        <c:axId val="68713056"/>
        <c:axId val="27606568"/>
      </c:barChart>
      <c:catAx>
        <c:axId val="6871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06568"/>
        <c:crosses val="autoZero"/>
        <c:auto val="1"/>
        <c:lblAlgn val="ctr"/>
        <c:lblOffset val="100"/>
        <c:noMultiLvlLbl val="0"/>
      </c:catAx>
      <c:valAx>
        <c:axId val="2760656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713056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100" spc="-1" strike="noStrike">
                <a:solidFill>
                  <a:srgbClr val="000000"/>
                </a:solidFill>
                <a:latin typeface="Calibri"/>
              </a:rPr>
              <a:t>Labour cost by squad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'TDD Cyber'!U8</c:f>
              <c:strCache>
                <c:ptCount val="1"/>
                <c:pt idx="0">
                  <c:v>Lights on labour cost ($m)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Cyber'!$T$9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Cyber'!$U$9</c:f>
              <c:numCache>
                <c:formatCode>#,##0.00;\(#,##0.00\)</c:formatCode>
                <c:ptCount val="1"/>
                <c:pt idx="0">
                  <c:v>0.67056012</c:v>
                </c:pt>
              </c:numCache>
            </c:numRef>
          </c:val>
        </c:ser>
        <c:ser>
          <c:idx val="1"/>
          <c:order val="1"/>
          <c:tx>
            <c:strRef>
              <c:f>'TDD Cyber'!V8</c:f>
              <c:strCache>
                <c:ptCount val="1"/>
                <c:pt idx="0">
                  <c:v>Initiatives labour cost ($m)</c:v>
                </c:pt>
              </c:strCache>
            </c:strRef>
          </c:tx>
          <c:spPr>
            <a:solidFill>
              <a:srgbClr val="bfbfbf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Cyber'!$T$9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Cyber'!$V$9</c:f>
              <c:numCache>
                <c:formatCode>#,##0.00;\(#,##0.00\)</c:formatCode>
                <c:ptCount val="1"/>
                <c:pt idx="0">
                  <c:v>0.16764003</c:v>
                </c:pt>
              </c:numCache>
            </c:numRef>
          </c:val>
        </c:ser>
        <c:gapWidth val="60"/>
        <c:overlap val="100"/>
        <c:axId val="83871790"/>
        <c:axId val="91477863"/>
      </c:barChart>
      <c:catAx>
        <c:axId val="838717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77863"/>
        <c:crosses val="autoZero"/>
        <c:auto val="1"/>
        <c:lblAlgn val="ctr"/>
        <c:lblOffset val="100"/>
        <c:noMultiLvlLbl val="0"/>
      </c:catAx>
      <c:valAx>
        <c:axId val="91477863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71790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6</xdr:row>
      <xdr:rowOff>160560</xdr:rowOff>
    </xdr:from>
    <xdr:to>
      <xdr:col>14</xdr:col>
      <xdr:colOff>204480</xdr:colOff>
      <xdr:row>19</xdr:row>
      <xdr:rowOff>182880</xdr:rowOff>
    </xdr:to>
    <xdr:graphicFrame>
      <xdr:nvGraphicFramePr>
        <xdr:cNvPr id="0" name="Chart 1"/>
        <xdr:cNvGraphicFramePr/>
      </xdr:nvGraphicFramePr>
      <xdr:xfrm>
        <a:off x="13652640" y="1790640"/>
        <a:ext cx="32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21</xdr:row>
      <xdr:rowOff>160560</xdr:rowOff>
    </xdr:from>
    <xdr:to>
      <xdr:col>14</xdr:col>
      <xdr:colOff>204480</xdr:colOff>
      <xdr:row>44</xdr:row>
      <xdr:rowOff>98640</xdr:rowOff>
    </xdr:to>
    <xdr:graphicFrame>
      <xdr:nvGraphicFramePr>
        <xdr:cNvPr id="1" name="Chart 2"/>
        <xdr:cNvGraphicFramePr/>
      </xdr:nvGraphicFramePr>
      <xdr:xfrm>
        <a:off x="13652640" y="5029200"/>
        <a:ext cx="323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16</xdr:col>
      <xdr:colOff>54720</xdr:colOff>
      <xdr:row>12</xdr:row>
      <xdr:rowOff>27360</xdr:rowOff>
    </xdr:to>
    <xdr:graphicFrame>
      <xdr:nvGraphicFramePr>
        <xdr:cNvPr id="2" name="Chart 1"/>
        <xdr:cNvGraphicFramePr/>
      </xdr:nvGraphicFramePr>
      <xdr:xfrm>
        <a:off x="14408280" y="571680"/>
        <a:ext cx="4607640" cy="260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16</xdr:col>
      <xdr:colOff>54720</xdr:colOff>
      <xdr:row>9</xdr:row>
      <xdr:rowOff>148680</xdr:rowOff>
    </xdr:to>
    <xdr:graphicFrame>
      <xdr:nvGraphicFramePr>
        <xdr:cNvPr id="3" name="Chart 1"/>
        <xdr:cNvGraphicFramePr/>
      </xdr:nvGraphicFramePr>
      <xdr:xfrm>
        <a:off x="14719320" y="571680"/>
        <a:ext cx="4607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16</xdr:col>
      <xdr:colOff>54720</xdr:colOff>
      <xdr:row>10</xdr:row>
      <xdr:rowOff>12240</xdr:rowOff>
    </xdr:to>
    <xdr:graphicFrame>
      <xdr:nvGraphicFramePr>
        <xdr:cNvPr id="4" name="Chart 1"/>
        <xdr:cNvGraphicFramePr/>
      </xdr:nvGraphicFramePr>
      <xdr:xfrm>
        <a:off x="13963680" y="571680"/>
        <a:ext cx="4607640" cy="221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16</xdr:col>
      <xdr:colOff>54720</xdr:colOff>
      <xdr:row>9</xdr:row>
      <xdr:rowOff>148680</xdr:rowOff>
    </xdr:to>
    <xdr:graphicFrame>
      <xdr:nvGraphicFramePr>
        <xdr:cNvPr id="5" name="Chart 1"/>
        <xdr:cNvGraphicFramePr/>
      </xdr:nvGraphicFramePr>
      <xdr:xfrm>
        <a:off x="13608000" y="571680"/>
        <a:ext cx="4607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16</xdr:col>
      <xdr:colOff>54720</xdr:colOff>
      <xdr:row>9</xdr:row>
      <xdr:rowOff>148680</xdr:rowOff>
    </xdr:to>
    <xdr:graphicFrame>
      <xdr:nvGraphicFramePr>
        <xdr:cNvPr id="6" name="Chart 1"/>
        <xdr:cNvGraphicFramePr/>
      </xdr:nvGraphicFramePr>
      <xdr:xfrm>
        <a:off x="13963680" y="571680"/>
        <a:ext cx="4607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16</xdr:col>
      <xdr:colOff>54720</xdr:colOff>
      <xdr:row>9</xdr:row>
      <xdr:rowOff>148680</xdr:rowOff>
    </xdr:to>
    <xdr:graphicFrame>
      <xdr:nvGraphicFramePr>
        <xdr:cNvPr id="7" name="Chart 1"/>
        <xdr:cNvGraphicFramePr/>
      </xdr:nvGraphicFramePr>
      <xdr:xfrm>
        <a:off x="13696920" y="571680"/>
        <a:ext cx="4607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16</xdr:col>
      <xdr:colOff>54720</xdr:colOff>
      <xdr:row>9</xdr:row>
      <xdr:rowOff>148680</xdr:rowOff>
    </xdr:to>
    <xdr:graphicFrame>
      <xdr:nvGraphicFramePr>
        <xdr:cNvPr id="8" name="Chart 1"/>
        <xdr:cNvGraphicFramePr/>
      </xdr:nvGraphicFramePr>
      <xdr:xfrm>
        <a:off x="14230440" y="571680"/>
        <a:ext cx="4607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16</xdr:col>
      <xdr:colOff>54720</xdr:colOff>
      <xdr:row>9</xdr:row>
      <xdr:rowOff>148680</xdr:rowOff>
    </xdr:to>
    <xdr:graphicFrame>
      <xdr:nvGraphicFramePr>
        <xdr:cNvPr id="9" name="Chart 1"/>
        <xdr:cNvGraphicFramePr/>
      </xdr:nvGraphicFramePr>
      <xdr:xfrm>
        <a:off x="13608000" y="571680"/>
        <a:ext cx="4607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16</xdr:col>
      <xdr:colOff>54360</xdr:colOff>
      <xdr:row>9</xdr:row>
      <xdr:rowOff>148680</xdr:rowOff>
    </xdr:to>
    <xdr:graphicFrame>
      <xdr:nvGraphicFramePr>
        <xdr:cNvPr id="10" name="Chart 1"/>
        <xdr:cNvGraphicFramePr/>
      </xdr:nvGraphicFramePr>
      <xdr:xfrm>
        <a:off x="13163400" y="571680"/>
        <a:ext cx="4607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16</xdr:col>
      <xdr:colOff>54720</xdr:colOff>
      <xdr:row>9</xdr:row>
      <xdr:rowOff>148680</xdr:rowOff>
    </xdr:to>
    <xdr:graphicFrame>
      <xdr:nvGraphicFramePr>
        <xdr:cNvPr id="11" name="Chart 1"/>
        <xdr:cNvGraphicFramePr/>
      </xdr:nvGraphicFramePr>
      <xdr:xfrm>
        <a:off x="14897160" y="571680"/>
        <a:ext cx="4607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16</xdr:col>
      <xdr:colOff>54720</xdr:colOff>
      <xdr:row>9</xdr:row>
      <xdr:rowOff>148680</xdr:rowOff>
    </xdr:to>
    <xdr:graphicFrame>
      <xdr:nvGraphicFramePr>
        <xdr:cNvPr id="12" name="Chart 1"/>
        <xdr:cNvGraphicFramePr/>
      </xdr:nvGraphicFramePr>
      <xdr:xfrm>
        <a:off x="14719320" y="571680"/>
        <a:ext cx="4607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16</xdr:col>
      <xdr:colOff>54720</xdr:colOff>
      <xdr:row>9</xdr:row>
      <xdr:rowOff>148680</xdr:rowOff>
    </xdr:to>
    <xdr:graphicFrame>
      <xdr:nvGraphicFramePr>
        <xdr:cNvPr id="13" name="Chart 1"/>
        <xdr:cNvGraphicFramePr/>
      </xdr:nvGraphicFramePr>
      <xdr:xfrm>
        <a:off x="12985920" y="571680"/>
        <a:ext cx="4607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W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8"/>
    <col collapsed="false" customWidth="true" hidden="false" outlineLevel="0" max="9" min="3" style="0" width="15.5"/>
    <col collapsed="false" customWidth="true" hidden="false" outlineLevel="0" max="23" min="20" style="0" width="13"/>
  </cols>
  <sheetData>
    <row r="2" customFormat="false" ht="17.35" hidden="false" customHeight="false" outlineLevel="0" collapsed="false">
      <c r="B2" s="1" t="s">
        <v>0</v>
      </c>
    </row>
    <row r="4" customFormat="false" ht="42" hidden="false" customHeight="true" outlineLevel="0" collapsed="false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Format="false" ht="19.5" hidden="false" customHeight="true" outlineLevel="0" collapsed="false">
      <c r="C5" s="3" t="n">
        <f aca="false">$C$31</f>
        <v>98.9795872162535</v>
      </c>
      <c r="D5" s="3" t="n">
        <f aca="false">$D$31</f>
        <v>54.2035045575722</v>
      </c>
      <c r="E5" s="3" t="n">
        <f aca="false">$E$31</f>
        <v>50.5</v>
      </c>
      <c r="F5" s="3" t="n">
        <f aca="false">$D$31-$E$31</f>
        <v>3.70350455757224</v>
      </c>
      <c r="G5" s="4" t="n">
        <f aca="false">$D$31/$C$31</f>
        <v>0.547623061299971</v>
      </c>
      <c r="H5" s="3" t="n">
        <f aca="false">$H$31</f>
        <v>19.8327310412</v>
      </c>
      <c r="I5" s="3" t="n">
        <f aca="false">$I$31</f>
        <v>24.9433516174812</v>
      </c>
    </row>
    <row r="6" customFormat="false" ht="19.5" hidden="false" customHeight="true" outlineLevel="0" collapsed="false">
      <c r="C6" s="3"/>
      <c r="D6" s="3"/>
      <c r="E6" s="3"/>
      <c r="F6" s="3"/>
      <c r="G6" s="3"/>
      <c r="H6" s="3"/>
      <c r="I6" s="3"/>
    </row>
    <row r="8" customFormat="false" ht="45" hidden="false" customHeight="true" outlineLevel="0" collapsed="false">
      <c r="B8" s="5" t="s">
        <v>8</v>
      </c>
      <c r="C8" s="6" t="s">
        <v>1</v>
      </c>
      <c r="D8" s="6" t="s">
        <v>2</v>
      </c>
      <c r="E8" s="6" t="s">
        <v>3</v>
      </c>
      <c r="F8" s="6" t="s">
        <v>4</v>
      </c>
      <c r="G8" s="6" t="s">
        <v>5</v>
      </c>
      <c r="H8" s="6" t="s">
        <v>6</v>
      </c>
      <c r="I8" s="6" t="s">
        <v>7</v>
      </c>
      <c r="T8" s="7" t="s">
        <v>9</v>
      </c>
      <c r="U8" s="7" t="s">
        <v>10</v>
      </c>
      <c r="V8" s="7" t="s">
        <v>11</v>
      </c>
    </row>
    <row r="9" customFormat="false" ht="15" hidden="false" customHeight="false" outlineLevel="0" collapsed="false">
      <c r="B9" s="8" t="s">
        <v>12</v>
      </c>
      <c r="T9" s="9" t="s">
        <v>13</v>
      </c>
      <c r="U9" s="10" t="n">
        <f aca="false">0</f>
        <v>0</v>
      </c>
      <c r="V9" s="10" t="n">
        <f aca="false">$E$31</f>
        <v>50.5</v>
      </c>
    </row>
    <row r="10" customFormat="false" ht="15" hidden="false" customHeight="false" outlineLevel="0" collapsed="false">
      <c r="B10" s="11" t="s">
        <v>14</v>
      </c>
      <c r="C10" s="10" t="n">
        <f aca="false">(SUMIFS('Role data'!$N$2:$N$550,'Role data'!$C$2:$C$550,"Ampol Retail")+SUMIFS('Role data'!$O$2:$O$550,'Role data'!$C$2:$C$550,"Ampol Retail"))/1000000</f>
        <v>11.73636277195</v>
      </c>
      <c r="D10" s="10" t="n">
        <f aca="false">(SUMIFS('Role data'!$Q$2:$Q$550,'Role data'!$C$2:$C$550,"Ampol Retail")+SUMIFS('Role data'!$N$2:$N$550,'Role data'!$C$2:$C$550,"Ampol Retail",'Role data'!$E$2:$E$550,"overhead"))/1000000+SUM(Assumptions!$C$86:$E$86)</f>
        <v>5.25597700708295</v>
      </c>
      <c r="E10" s="10" t="n">
        <f aca="false">Assumptions!$C$107</f>
        <v>5.5</v>
      </c>
      <c r="F10" s="10" t="n">
        <f aca="false">$D10-$E10</f>
        <v>-0.244022992917046</v>
      </c>
      <c r="G10" s="12" t="n">
        <f aca="false">$D10/$C10</f>
        <v>0.447836958452305</v>
      </c>
      <c r="H10" s="10" t="n">
        <f aca="false">Assumptions!$C$123</f>
        <v>2.5862355812</v>
      </c>
      <c r="I10" s="10" t="n">
        <f aca="false">$C10-$D10-$H10</f>
        <v>3.89415018366705</v>
      </c>
      <c r="T10" s="9" t="s">
        <v>15</v>
      </c>
      <c r="U10" s="10" t="n">
        <f aca="false">MIN($D$31,$E$31)</f>
        <v>50.5</v>
      </c>
      <c r="V10" s="10" t="n">
        <f aca="false">ABS($D$31-$E$31)</f>
        <v>3.70350455757224</v>
      </c>
    </row>
    <row r="11" customFormat="false" ht="15" hidden="false" customHeight="false" outlineLevel="0" collapsed="false">
      <c r="B11" s="11" t="s">
        <v>16</v>
      </c>
      <c r="C11" s="10" t="n">
        <f aca="false">(SUMIFS('Role data'!$N$2:$N$550,'Role data'!$C$2:$C$550,"Z Retail")+SUMIFS('Role data'!$O$2:$O$550,'Role data'!$C$2:$C$550,"Z Retail"))/1000000</f>
        <v>6.666290208</v>
      </c>
      <c r="D11" s="10" t="n">
        <f aca="false">(SUMIFS('Role data'!$Q$2:$Q$550,'Role data'!$C$2:$C$550,"Z Retail")+SUMIFS('Role data'!$N$2:$N$550,'Role data'!$C$2:$C$550,"Z Retail",'Role data'!$E$2:$E$550,"overhead"))/1000000+SUM(Assumptions!$C$87:$E$87)</f>
        <v>6.44687458794546</v>
      </c>
      <c r="E11" s="10" t="n">
        <f aca="false">Assumptions!$C$108</f>
        <v>6.5</v>
      </c>
      <c r="F11" s="10" t="n">
        <f aca="false">$D11-$E11</f>
        <v>-0.0531254120545448</v>
      </c>
      <c r="G11" s="12" t="n">
        <f aca="false">$D11/$C11</f>
        <v>0.967085798366349</v>
      </c>
      <c r="H11" s="10" t="n">
        <f aca="false">Assumptions!$C$124</f>
        <v>0</v>
      </c>
      <c r="I11" s="10" t="n">
        <f aca="false">$C11-$D11-$H11</f>
        <v>0.219415620054544</v>
      </c>
      <c r="T11" s="9" t="s">
        <v>17</v>
      </c>
      <c r="U11" s="10" t="n">
        <f aca="false">0</f>
        <v>0</v>
      </c>
      <c r="V11" s="10" t="n">
        <f aca="false">$D$31</f>
        <v>54.2035045575722</v>
      </c>
    </row>
    <row r="12" customFormat="false" ht="15" hidden="false" customHeight="false" outlineLevel="0" collapsed="false">
      <c r="B12" s="11" t="s">
        <v>18</v>
      </c>
      <c r="C12" s="10" t="n">
        <f aca="false">(SUMIFS('Role data'!$N$2:$N$550,'Role data'!$C$2:$C$550,"Ampol Customer")+SUMIFS('Role data'!$O$2:$O$550,'Role data'!$C$2:$C$550,"Ampol Customer"))/1000000</f>
        <v>9.10507024025868</v>
      </c>
      <c r="D12" s="10" t="n">
        <f aca="false">(SUMIFS('Role data'!$Q$2:$Q$550,'Role data'!$C$2:$C$550,"Ampol Customer")+SUMIFS('Role data'!$N$2:$N$550,'Role data'!$C$2:$C$550,"Ampol Customer",'Role data'!$E$2:$E$550,"overhead"))/1000000+SUM(Assumptions!$C$88:$E$88)</f>
        <v>2.57410240617936</v>
      </c>
      <c r="E12" s="10" t="n">
        <f aca="false">Assumptions!$C$109</f>
        <v>2.5</v>
      </c>
      <c r="F12" s="10" t="n">
        <f aca="false">$D12-$E12</f>
        <v>0.0741024061793589</v>
      </c>
      <c r="G12" s="12" t="n">
        <f aca="false">$D12/$C12</f>
        <v>0.282710878472721</v>
      </c>
      <c r="H12" s="10" t="n">
        <f aca="false">Assumptions!$C$125</f>
        <v>2.85985905</v>
      </c>
      <c r="I12" s="10" t="n">
        <f aca="false">$C12-$D12-$H12</f>
        <v>3.67110878407932</v>
      </c>
    </row>
    <row r="13" customFormat="false" ht="15" hidden="false" customHeight="false" outlineLevel="0" collapsed="false">
      <c r="B13" s="11" t="s">
        <v>19</v>
      </c>
      <c r="C13" s="10" t="n">
        <f aca="false">(SUMIFS('Role data'!$N$2:$N$550,'Role data'!$C$2:$C$550,"Z Customer")+SUMIFS('Role data'!$O$2:$O$550,'Role data'!$C$2:$C$550,"Z Customer"))/1000000</f>
        <v>4.61957496722132</v>
      </c>
      <c r="D13" s="10" t="n">
        <f aca="false">(SUMIFS('Role data'!$Q$2:$Q$550,'Role data'!$C$2:$C$550,"Z Customer")+SUMIFS('Role data'!$N$2:$N$550,'Role data'!$C$2:$C$550,"Z Customer",'Role data'!$E$2:$E$550,"overhead"))/1000000+SUM(Assumptions!$C$89:$E$89)</f>
        <v>4.0480544828341</v>
      </c>
      <c r="E13" s="10" t="n">
        <f aca="false">Assumptions!$C$110</f>
        <v>4</v>
      </c>
      <c r="F13" s="10" t="n">
        <f aca="false">$D13-$E13</f>
        <v>0.0480544828340959</v>
      </c>
      <c r="G13" s="12" t="n">
        <f aca="false">$D13/$C13</f>
        <v>0.876282885667511</v>
      </c>
      <c r="H13" s="10" t="n">
        <f aca="false">Assumptions!$C$126</f>
        <v>0</v>
      </c>
      <c r="I13" s="10" t="n">
        <f aca="false">$C13-$D13-$H13</f>
        <v>0.571520484387223</v>
      </c>
    </row>
    <row r="14" customFormat="false" ht="15" hidden="false" customHeight="false" outlineLevel="0" collapsed="false">
      <c r="B14" s="11" t="s">
        <v>20</v>
      </c>
      <c r="C14" s="10" t="n">
        <f aca="false">(SUMIFS('Role data'!$N$2:$N$550,'Role data'!$C$2:$C$550,"Commercial Fuels")+SUMIFS('Role data'!$O$2:$O$550,'Role data'!$C$2:$C$550,"Commercial Fuels"))/1000000</f>
        <v>8.9409346318</v>
      </c>
      <c r="D14" s="10" t="n">
        <f aca="false">(SUMIFS('Role data'!$Q$2:$Q$550,'Role data'!$C$2:$C$550,"Commercial Fuels")+SUMIFS('Role data'!$N$2:$N$550,'Role data'!$C$2:$C$550,"Commercial Fuels",'Role data'!$E$2:$E$550,"overhead"))/1000000+SUM(Assumptions!$C$90:$E$90)</f>
        <v>2.43435809138545</v>
      </c>
      <c r="E14" s="10" t="n">
        <f aca="false">Assumptions!$C$111</f>
        <v>2.5</v>
      </c>
      <c r="F14" s="10" t="n">
        <f aca="false">$D14-$E14</f>
        <v>-0.0656419086145457</v>
      </c>
      <c r="G14" s="12" t="n">
        <f aca="false">$D14/$C14</f>
        <v>0.272271098228057</v>
      </c>
      <c r="H14" s="10" t="n">
        <f aca="false">Assumptions!$C$127</f>
        <v>3.8</v>
      </c>
      <c r="I14" s="10" t="n">
        <f aca="false">$C14-$D14-$H14</f>
        <v>2.70657654041455</v>
      </c>
      <c r="T14" s="7" t="s">
        <v>21</v>
      </c>
      <c r="U14" s="7" t="s">
        <v>2</v>
      </c>
      <c r="V14" s="7" t="s">
        <v>6</v>
      </c>
      <c r="W14" s="7" t="s">
        <v>7</v>
      </c>
    </row>
    <row r="15" customFormat="false" ht="15" hidden="false" customHeight="false" outlineLevel="0" collapsed="false">
      <c r="B15" s="11" t="s">
        <v>22</v>
      </c>
      <c r="C15" s="10" t="n">
        <f aca="false">(SUMIFS('Role data'!$N$2:$N$550,'Role data'!$C$2:$C$550,"Energy Solutions &amp; B2B")+SUMIFS('Role data'!$O$2:$O$550,'Role data'!$C$2:$C$550,"Energy Solutions &amp; B2B"))/1000000</f>
        <v>5.8851998495</v>
      </c>
      <c r="D15" s="10" t="n">
        <f aca="false">(SUMIFS('Role data'!$Q$2:$Q$550,'Role data'!$C$2:$C$550,"Energy Solutions &amp; B2B")+SUMIFS('Role data'!$N$2:$N$550,'Role data'!$C$2:$C$550,"Energy Solutions &amp; B2B",'Role data'!$E$2:$E$550,"overhead"))/1000000+SUM(Assumptions!$C$91:$E$91)</f>
        <v>2.46927518487045</v>
      </c>
      <c r="E15" s="10" t="n">
        <f aca="false">Assumptions!$C$112</f>
        <v>2.5</v>
      </c>
      <c r="F15" s="10" t="n">
        <f aca="false">$D15-$E15</f>
        <v>-0.0307248151295454</v>
      </c>
      <c r="G15" s="12" t="n">
        <f aca="false">$D15/$C15</f>
        <v>0.419573718483025</v>
      </c>
      <c r="H15" s="10" t="n">
        <f aca="false">Assumptions!$C$128</f>
        <v>0</v>
      </c>
      <c r="I15" s="10" t="n">
        <f aca="false">$C15-$D15-$H15</f>
        <v>3.41592466462954</v>
      </c>
      <c r="T15" s="9" t="s">
        <v>23</v>
      </c>
      <c r="U15" s="10" t="n">
        <f aca="false">$D$28</f>
        <v>1.628177866</v>
      </c>
      <c r="V15" s="10" t="n">
        <f aca="false">$H$28</f>
        <v>0</v>
      </c>
      <c r="W15" s="10" t="n">
        <f aca="false">$I$28</f>
        <v>0</v>
      </c>
    </row>
    <row r="16" customFormat="false" ht="15" hidden="false" customHeight="false" outlineLevel="0" collapsed="false">
      <c r="B16" s="11" t="s">
        <v>24</v>
      </c>
      <c r="C16" s="10" t="n">
        <f aca="false">(SUMIFS('Role data'!$N$2:$N$550,'Role data'!$C$2:$C$550,"Infrastructure")+SUMIFS('Role data'!$O$2:$O$550,'Role data'!$C$2:$C$550,"Infrastructure"))/1000000</f>
        <v>6.346248615</v>
      </c>
      <c r="D16" s="10" t="n">
        <f aca="false">(SUMIFS('Role data'!$Q$2:$Q$550,'Role data'!$C$2:$C$550,"Infrastructure")+SUMIFS('Role data'!$N$2:$N$550,'Role data'!$C$2:$C$550,"Infrastructure",'Role data'!$E$2:$E$550,"overhead"))/1000000+SUM(Assumptions!$C$92:$E$92)</f>
        <v>3.17612685754545</v>
      </c>
      <c r="E16" s="10" t="n">
        <f aca="false">Assumptions!$C$113</f>
        <v>2.5</v>
      </c>
      <c r="F16" s="10" t="n">
        <f aca="false">$D16-$E16</f>
        <v>0.676126857545455</v>
      </c>
      <c r="G16" s="12" t="n">
        <f aca="false">$D16/$C16</f>
        <v>0.500473122032811</v>
      </c>
      <c r="H16" s="10" t="n">
        <f aca="false">Assumptions!$C$129</f>
        <v>0</v>
      </c>
      <c r="I16" s="10" t="n">
        <f aca="false">$C16-$D16-$H16</f>
        <v>3.17012175745455</v>
      </c>
      <c r="T16" s="9" t="s">
        <v>25</v>
      </c>
      <c r="U16" s="10" t="n">
        <f aca="false">$D$21</f>
        <v>1.47078600054545</v>
      </c>
      <c r="V16" s="10" t="n">
        <f aca="false">$H$21</f>
        <v>1.2998</v>
      </c>
      <c r="W16" s="10" t="n">
        <f aca="false">$I$21</f>
        <v>-0.632389300545454</v>
      </c>
    </row>
    <row r="17" customFormat="false" ht="15" hidden="false" customHeight="false" outlineLevel="0" collapsed="false">
      <c r="B17" s="11" t="s">
        <v>26</v>
      </c>
      <c r="C17" s="10" t="n">
        <f aca="false">(SUMIFS('Role data'!$N$2:$N$550,'Role data'!$C$2:$C$550,"P&amp;C")+SUMIFS('Role data'!$O$2:$O$550,'Role data'!$C$2:$C$550,"P&amp;C"))/1000000</f>
        <v>3.36223158</v>
      </c>
      <c r="D17" s="10" t="n">
        <f aca="false">(SUMIFS('Role data'!$Q$2:$Q$550,'Role data'!$C$2:$C$550,"P&amp;C")+SUMIFS('Role data'!$N$2:$N$550,'Role data'!$C$2:$C$550,"P&amp;C",'Role data'!$E$2:$E$550,"overhead"))/1000000+SUM(Assumptions!$C$93:$E$93)</f>
        <v>2.10052199504545</v>
      </c>
      <c r="E17" s="10" t="n">
        <f aca="false">Assumptions!$C$114</f>
        <v>2</v>
      </c>
      <c r="F17" s="10" t="n">
        <f aca="false">$D17-$E17</f>
        <v>0.100521995045455</v>
      </c>
      <c r="G17" s="12" t="n">
        <f aca="false">$D17/$C17</f>
        <v>0.624740427619639</v>
      </c>
      <c r="H17" s="10" t="n">
        <f aca="false">Assumptions!$C$130</f>
        <v>0.238965</v>
      </c>
      <c r="I17" s="10" t="n">
        <f aca="false">$C17-$D17-$H17</f>
        <v>1.02274458495455</v>
      </c>
      <c r="T17" s="9" t="s">
        <v>27</v>
      </c>
      <c r="U17" s="10" t="n">
        <f aca="false">$D$25</f>
        <v>2.8319503024</v>
      </c>
      <c r="V17" s="10" t="n">
        <f aca="false">$H$25</f>
        <v>0</v>
      </c>
      <c r="W17" s="10" t="n">
        <f aca="false">$I$25</f>
        <v>0</v>
      </c>
    </row>
    <row r="18" customFormat="false" ht="15" hidden="false" customHeight="false" outlineLevel="0" collapsed="false">
      <c r="B18" s="11" t="s">
        <v>28</v>
      </c>
      <c r="C18" s="10" t="n">
        <f aca="false">(SUMIFS('Role data'!$N$2:$N$550,'Role data'!$C$2:$C$550,"Finance")+SUMIFS('Role data'!$O$2:$O$550,'Role data'!$C$2:$C$550,"Finance"))/1000000</f>
        <v>3.021533848</v>
      </c>
      <c r="D18" s="10" t="n">
        <f aca="false">(SUMIFS('Role data'!$Q$2:$Q$550,'Role data'!$C$2:$C$550,"Finance")+SUMIFS('Role data'!$N$2:$N$550,'Role data'!$C$2:$C$550,"Finance",'Role data'!$E$2:$E$550,"overhead"))/1000000+SUM(Assumptions!$C$94:$E$94)</f>
        <v>2.15541804694545</v>
      </c>
      <c r="E18" s="10" t="n">
        <f aca="false">Assumptions!$C$115</f>
        <v>2</v>
      </c>
      <c r="F18" s="10" t="n">
        <f aca="false">$D18-$E18</f>
        <v>0.155418046945455</v>
      </c>
      <c r="G18" s="12" t="n">
        <f aca="false">$D18/$C18</f>
        <v>0.71335227582248</v>
      </c>
      <c r="H18" s="10" t="n">
        <f aca="false">Assumptions!$C$131</f>
        <v>0.24172845</v>
      </c>
      <c r="I18" s="10" t="n">
        <f aca="false">$C18-$D18-$H18</f>
        <v>0.624387351054546</v>
      </c>
      <c r="T18" s="9" t="s">
        <v>29</v>
      </c>
      <c r="U18" s="10" t="n">
        <f aca="false">$D$26</f>
        <v>2.88399343</v>
      </c>
      <c r="V18" s="10" t="n">
        <f aca="false">$H$26</f>
        <v>0</v>
      </c>
      <c r="W18" s="10" t="n">
        <f aca="false">$I$26</f>
        <v>0</v>
      </c>
    </row>
    <row r="19" customFormat="false" ht="15" hidden="false" customHeight="false" outlineLevel="0" collapsed="false">
      <c r="B19" s="11" t="s">
        <v>30</v>
      </c>
      <c r="C19" s="10" t="n">
        <f aca="false">(SUMIFS('Role data'!$N$2:$N$550,'Role data'!$C$2:$C$550,"TDD Group Functions")+SUMIFS('Role data'!$O$2:$O$550,'Role data'!$C$2:$C$550,"TDD Group Functions"))/1000000</f>
        <v>8.11065089864348</v>
      </c>
      <c r="D19" s="10" t="n">
        <f aca="false">(SUMIFS('Role data'!$Q$2:$Q$550,'Role data'!$C$2:$C$550,"TDD Group Functions")+SUMIFS('Role data'!$N$2:$N$550,'Role data'!$C$2:$C$550,"TDD Group Functions",'Role data'!$E$2:$E$550,"overhead"))/1000000+SUM(Assumptions!$C$95:$E$95)</f>
        <v>5.58817021546719</v>
      </c>
      <c r="E19" s="10" t="n">
        <f aca="false">Assumptions!$C$116</f>
        <v>5.5</v>
      </c>
      <c r="F19" s="10" t="n">
        <f aca="false">$D19-$E19</f>
        <v>0.0881702154671933</v>
      </c>
      <c r="G19" s="12" t="n">
        <f aca="false">$D19/$C19</f>
        <v>0.688991584683028</v>
      </c>
      <c r="H19" s="10" t="n">
        <f aca="false">Assumptions!$C$132</f>
        <v>1.32454851</v>
      </c>
      <c r="I19" s="10" t="n">
        <f aca="false">$C19-$D19-$H19</f>
        <v>1.19793217317628</v>
      </c>
      <c r="T19" s="9" t="s">
        <v>28</v>
      </c>
      <c r="U19" s="10" t="n">
        <f aca="false">$D$18</f>
        <v>2.15541804694545</v>
      </c>
      <c r="V19" s="10" t="n">
        <f aca="false">$H$18</f>
        <v>0.24172845</v>
      </c>
      <c r="W19" s="10" t="n">
        <f aca="false">$I$18</f>
        <v>0.624387351054546</v>
      </c>
    </row>
    <row r="20" customFormat="false" ht="15" hidden="false" customHeight="false" outlineLevel="0" collapsed="false">
      <c r="B20" s="11" t="s">
        <v>31</v>
      </c>
      <c r="C20" s="10" t="n">
        <f aca="false">(SUMIFS('Role data'!$N$2:$N$550,'Role data'!$C$2:$C$550,"Enterprise Data")+SUMIFS('Role data'!$O$2:$O$550,'Role data'!$C$2:$C$550,"Enterprise Data"))/1000000</f>
        <v>6.761902056</v>
      </c>
      <c r="D20" s="10" t="n">
        <f aca="false">(SUMIFS('Role data'!$Q$2:$Q$550,'Role data'!$C$2:$C$550,"Enterprise Data")+SUMIFS('Role data'!$N$2:$N$550,'Role data'!$C$2:$C$550,"Enterprise Data",'Role data'!$E$2:$E$550,"overhead"))/1000000+SUM(Assumptions!$C$96:$E$96)</f>
        <v>3.54657231784545</v>
      </c>
      <c r="E20" s="10" t="n">
        <f aca="false">Assumptions!$C$117</f>
        <v>3.5</v>
      </c>
      <c r="F20" s="10" t="n">
        <f aca="false">$D20-$E20</f>
        <v>0.0465723178454542</v>
      </c>
      <c r="G20" s="12" t="n">
        <f aca="false">$D20/$C20</f>
        <v>0.524493299144801</v>
      </c>
      <c r="H20" s="10" t="n">
        <f aca="false">Assumptions!$C$133</f>
        <v>1.83595565</v>
      </c>
      <c r="I20" s="10" t="n">
        <f aca="false">$C20-$D20-$H20</f>
        <v>1.37937408815455</v>
      </c>
      <c r="T20" s="9" t="s">
        <v>32</v>
      </c>
      <c r="U20" s="10" t="n">
        <f aca="false">$D$24</f>
        <v>2.66124052348</v>
      </c>
      <c r="V20" s="10" t="n">
        <f aca="false">$H$24</f>
        <v>0.49481945</v>
      </c>
      <c r="W20" s="10" t="n">
        <f aca="false">$I$24</f>
        <v>0</v>
      </c>
    </row>
    <row r="21" customFormat="false" ht="15" hidden="false" customHeight="false" outlineLevel="0" collapsed="false">
      <c r="B21" s="11" t="s">
        <v>25</v>
      </c>
      <c r="C21" s="10" t="n">
        <f aca="false">(SUMIFS('Role data'!$N$2:$N$550,'Role data'!$C$2:$C$550,"TDD Cyber")+SUMIFS('Role data'!$O$2:$O$550,'Role data'!$C$2:$C$550,"TDD Cyber"))/1000000</f>
        <v>2.1381967</v>
      </c>
      <c r="D21" s="10" t="n">
        <f aca="false">(SUMIFS('Role data'!$Q$2:$Q$550,'Role data'!$C$2:$C$550,"TDD Cyber")+SUMIFS('Role data'!$N$2:$N$550,'Role data'!$C$2:$C$550,"TDD Cyber",'Role data'!$E$2:$E$550,"overhead"))/1000000+SUM(Assumptions!$C$97:$E$97)</f>
        <v>1.47078600054545</v>
      </c>
      <c r="E21" s="10" t="n">
        <f aca="false">Assumptions!$C$118</f>
        <v>1.5</v>
      </c>
      <c r="F21" s="10" t="n">
        <f aca="false">$D21-$E21</f>
        <v>-0.0292139994545455</v>
      </c>
      <c r="G21" s="12" t="n">
        <f aca="false">$D21/$C21</f>
        <v>0.687862814747331</v>
      </c>
      <c r="H21" s="10" t="n">
        <f aca="false">Assumptions!$C$134</f>
        <v>1.2998</v>
      </c>
      <c r="I21" s="10" t="n">
        <f aca="false">$C21-$D21-$H21</f>
        <v>-0.632389300545454</v>
      </c>
      <c r="T21" s="9" t="s">
        <v>33</v>
      </c>
      <c r="U21" s="10" t="n">
        <f aca="false">$D$27</f>
        <v>0.979014192</v>
      </c>
      <c r="V21" s="10" t="n">
        <f aca="false">$H$27</f>
        <v>0</v>
      </c>
      <c r="W21" s="10" t="n">
        <f aca="false">$I$27</f>
        <v>2.3135484</v>
      </c>
    </row>
    <row r="22" customFormat="false" ht="15" hidden="false" customHeight="false" outlineLevel="0" collapsed="false">
      <c r="B22" s="8" t="s">
        <v>34</v>
      </c>
      <c r="T22" s="9" t="s">
        <v>35</v>
      </c>
      <c r="U22" s="10" t="n">
        <f aca="false">$D$23</f>
        <v>1.95289105</v>
      </c>
      <c r="V22" s="10" t="n">
        <f aca="false">$H$23</f>
        <v>0</v>
      </c>
      <c r="W22" s="10" t="n">
        <f aca="false">$I$23</f>
        <v>1.388936286</v>
      </c>
    </row>
    <row r="23" customFormat="false" ht="15" hidden="false" customHeight="false" outlineLevel="0" collapsed="false">
      <c r="B23" s="11" t="s">
        <v>35</v>
      </c>
      <c r="C23" s="10" t="n">
        <f aca="false">Assumptions!$C$145</f>
        <v>3.341827336</v>
      </c>
      <c r="D23" s="10" t="n">
        <f aca="false">Assumptions!$D$145+Assumptions!$E$145</f>
        <v>1.95289105</v>
      </c>
      <c r="E23" s="10" t="n">
        <f aca="false">Assumptions!$C$101</f>
        <v>2</v>
      </c>
      <c r="F23" s="10" t="n">
        <f aca="false">$D23-$E23</f>
        <v>-0.0471089499999999</v>
      </c>
      <c r="G23" s="12" t="n">
        <f aca="false">$D23/$C23</f>
        <v>0.584378201998166</v>
      </c>
      <c r="H23" s="10" t="n">
        <f aca="false">Assumptions!$C$135</f>
        <v>0</v>
      </c>
      <c r="I23" s="10" t="n">
        <f aca="false">$C23-$D23-$H23</f>
        <v>1.388936286</v>
      </c>
      <c r="T23" s="9" t="s">
        <v>26</v>
      </c>
      <c r="U23" s="10" t="n">
        <f aca="false">$D$17</f>
        <v>2.10052199504545</v>
      </c>
      <c r="V23" s="10" t="n">
        <f aca="false">$H$17</f>
        <v>0.238965</v>
      </c>
      <c r="W23" s="10" t="n">
        <f aca="false">$I$17</f>
        <v>1.02274458495455</v>
      </c>
    </row>
    <row r="24" customFormat="false" ht="15" hidden="false" customHeight="false" outlineLevel="0" collapsed="false">
      <c r="B24" s="11" t="s">
        <v>32</v>
      </c>
      <c r="C24" s="10" t="n">
        <f aca="false">Assumptions!$C$146</f>
        <v>3.15605997348</v>
      </c>
      <c r="D24" s="10" t="n">
        <f aca="false">Assumptions!$D$146+Assumptions!$E$146</f>
        <v>2.66124052348</v>
      </c>
      <c r="E24" s="10" t="n">
        <f aca="false">Assumptions!$C$103</f>
        <v>1.5</v>
      </c>
      <c r="F24" s="10" t="n">
        <f aca="false">$D24-$E24</f>
        <v>1.16124052348</v>
      </c>
      <c r="G24" s="12" t="n">
        <f aca="false">$D24/$C24</f>
        <v>0.843216081393285</v>
      </c>
      <c r="H24" s="10" t="n">
        <f aca="false">Assumptions!$C$136</f>
        <v>0.49481945</v>
      </c>
      <c r="I24" s="10" t="n">
        <f aca="false">$C24-$D24-$H24</f>
        <v>0</v>
      </c>
      <c r="T24" s="9" t="s">
        <v>19</v>
      </c>
      <c r="U24" s="10" t="n">
        <f aca="false">$D$13</f>
        <v>4.0480544828341</v>
      </c>
      <c r="V24" s="10" t="n">
        <f aca="false">$H$13</f>
        <v>0</v>
      </c>
      <c r="W24" s="10" t="n">
        <f aca="false">$I$13</f>
        <v>0.571520484387223</v>
      </c>
    </row>
    <row r="25" customFormat="false" ht="15" hidden="false" customHeight="false" outlineLevel="0" collapsed="false">
      <c r="B25" s="11" t="s">
        <v>27</v>
      </c>
      <c r="C25" s="10" t="n">
        <f aca="false">Assumptions!$C$147</f>
        <v>2.8319503024</v>
      </c>
      <c r="D25" s="10" t="n">
        <f aca="false">Assumptions!$D$147+Assumptions!$E$147</f>
        <v>2.8319503024</v>
      </c>
      <c r="E25" s="10" t="n">
        <f aca="false">Assumptions!$C$102</f>
        <v>0.5</v>
      </c>
      <c r="F25" s="10" t="n">
        <f aca="false">$D25-$E25</f>
        <v>2.3319503024</v>
      </c>
      <c r="G25" s="12" t="n">
        <f aca="false">$D25/$C25</f>
        <v>1</v>
      </c>
      <c r="H25" s="10" t="n">
        <f aca="false">Assumptions!$C$137</f>
        <v>0</v>
      </c>
      <c r="I25" s="10" t="n">
        <f aca="false">$C25-$D25-$H25</f>
        <v>0</v>
      </c>
      <c r="T25" s="9" t="s">
        <v>36</v>
      </c>
      <c r="U25" s="10" t="n">
        <f aca="false">$D$30</f>
        <v>0</v>
      </c>
      <c r="V25" s="10" t="n">
        <f aca="false">$H$30</f>
        <v>5.15081935</v>
      </c>
      <c r="W25" s="10" t="n">
        <f aca="false">$I$30</f>
        <v>0</v>
      </c>
    </row>
    <row r="26" customFormat="false" ht="15" hidden="false" customHeight="false" outlineLevel="0" collapsed="false">
      <c r="B26" s="11" t="s">
        <v>29</v>
      </c>
      <c r="C26" s="10" t="n">
        <f aca="false">Assumptions!$C$148</f>
        <v>2.88399343</v>
      </c>
      <c r="D26" s="10" t="n">
        <f aca="false">Assumptions!$D$148+Assumptions!$E$148</f>
        <v>2.88399343</v>
      </c>
      <c r="E26" s="10" t="n">
        <f aca="false">Assumptions!$C$104</f>
        <v>2</v>
      </c>
      <c r="F26" s="10" t="n">
        <f aca="false">$D26-$E26</f>
        <v>0.88399343</v>
      </c>
      <c r="G26" s="12" t="n">
        <f aca="false">$D26/$C26</f>
        <v>1</v>
      </c>
      <c r="H26" s="10" t="n">
        <f aca="false">Assumptions!$C$138</f>
        <v>0</v>
      </c>
      <c r="I26" s="10" t="n">
        <f aca="false">$C26-$D26-$H26</f>
        <v>0</v>
      </c>
      <c r="T26" s="9" t="s">
        <v>22</v>
      </c>
      <c r="U26" s="10" t="n">
        <f aca="false">$D$15</f>
        <v>2.46927518487045</v>
      </c>
      <c r="V26" s="10" t="n">
        <f aca="false">$H$15</f>
        <v>0</v>
      </c>
      <c r="W26" s="10" t="n">
        <f aca="false">$I$15</f>
        <v>3.41592466462954</v>
      </c>
    </row>
    <row r="27" customFormat="false" ht="15" hidden="false" customHeight="false" outlineLevel="0" collapsed="false">
      <c r="B27" s="11" t="s">
        <v>33</v>
      </c>
      <c r="C27" s="10" t="n">
        <f aca="false">Assumptions!$C$149</f>
        <v>3.292562592</v>
      </c>
      <c r="D27" s="10" t="n">
        <f aca="false">Assumptions!$D$149+Assumptions!$E$149</f>
        <v>0.979014192</v>
      </c>
      <c r="E27" s="10" t="n">
        <f aca="false">Assumptions!$C$105</f>
        <v>2</v>
      </c>
      <c r="F27" s="10" t="n">
        <f aca="false">$D27-$E27</f>
        <v>-1.020985808</v>
      </c>
      <c r="G27" s="12" t="n">
        <f aca="false">$D27/$C27</f>
        <v>0.297341102756476</v>
      </c>
      <c r="H27" s="10" t="n">
        <f aca="false">Assumptions!$C$139</f>
        <v>0</v>
      </c>
      <c r="I27" s="10" t="n">
        <f aca="false">$C27-$D27-$H27</f>
        <v>2.3135484</v>
      </c>
      <c r="T27" s="9" t="s">
        <v>24</v>
      </c>
      <c r="U27" s="10" t="n">
        <f aca="false">$D$16</f>
        <v>3.17612685754545</v>
      </c>
      <c r="V27" s="10" t="n">
        <f aca="false">$H$16</f>
        <v>0</v>
      </c>
      <c r="W27" s="10" t="n">
        <f aca="false">$I$16</f>
        <v>3.17012175745455</v>
      </c>
    </row>
    <row r="28" customFormat="false" ht="15" hidden="false" customHeight="false" outlineLevel="0" collapsed="false">
      <c r="B28" s="11" t="s">
        <v>23</v>
      </c>
      <c r="C28" s="10" t="n">
        <f aca="false">Assumptions!$C$150</f>
        <v>1.628177866</v>
      </c>
      <c r="D28" s="10" t="n">
        <f aca="false">Assumptions!$D$150+Assumptions!$E$150</f>
        <v>1.628177866</v>
      </c>
      <c r="E28" s="10" t="n">
        <f aca="false">Assumptions!$C$106</f>
        <v>2</v>
      </c>
      <c r="F28" s="10" t="n">
        <f aca="false">$D28-$E28</f>
        <v>-0.371822134</v>
      </c>
      <c r="G28" s="12" t="n">
        <f aca="false">$D28/$C28</f>
        <v>1</v>
      </c>
      <c r="H28" s="10" t="n">
        <f aca="false">Assumptions!$C$140</f>
        <v>0</v>
      </c>
      <c r="I28" s="10" t="n">
        <f aca="false">$C28-$D28-$H28</f>
        <v>0</v>
      </c>
      <c r="T28" s="9" t="s">
        <v>16</v>
      </c>
      <c r="U28" s="10" t="n">
        <f aca="false">$D$11</f>
        <v>6.44687458794546</v>
      </c>
      <c r="V28" s="10" t="n">
        <f aca="false">$H$11</f>
        <v>0</v>
      </c>
      <c r="W28" s="10" t="n">
        <f aca="false">$I$11</f>
        <v>0.219415620054544</v>
      </c>
    </row>
    <row r="29" customFormat="false" ht="15" hidden="false" customHeight="false" outlineLevel="0" collapsed="false">
      <c r="B29" s="8" t="s">
        <v>37</v>
      </c>
      <c r="T29" s="9" t="s">
        <v>31</v>
      </c>
      <c r="U29" s="10" t="n">
        <f aca="false">$D$20</f>
        <v>3.54657231784545</v>
      </c>
      <c r="V29" s="10" t="n">
        <f aca="false">$H$20</f>
        <v>1.83595565</v>
      </c>
      <c r="W29" s="10" t="n">
        <f aca="false">$I$20</f>
        <v>1.37937408815455</v>
      </c>
    </row>
    <row r="30" customFormat="false" ht="15" hidden="false" customHeight="false" outlineLevel="0" collapsed="false">
      <c r="B30" s="11" t="s">
        <v>36</v>
      </c>
      <c r="C30" s="10" t="n">
        <f aca="false">SUMIFS('Role data'!$N$2:$N$550,'Role data'!$C$2:$C$550,"EGI")/1000000</f>
        <v>5.15081935</v>
      </c>
      <c r="D30" s="10" t="n">
        <f aca="false">0</f>
        <v>0</v>
      </c>
      <c r="E30" s="10" t="n">
        <f aca="false">Assumptions!$C$119</f>
        <v>0</v>
      </c>
      <c r="F30" s="10" t="n">
        <f aca="false">$D30-$E30</f>
        <v>0</v>
      </c>
      <c r="G30" s="12" t="n">
        <f aca="false">$D30/$C30</f>
        <v>0</v>
      </c>
      <c r="H30" s="10" t="n">
        <f aca="false">Assumptions!$C$141</f>
        <v>5.15081935</v>
      </c>
      <c r="I30" s="10" t="n">
        <f aca="false">$C30-$D30-$H30</f>
        <v>0</v>
      </c>
      <c r="T30" s="9" t="s">
        <v>30</v>
      </c>
      <c r="U30" s="10" t="n">
        <f aca="false">$D$19</f>
        <v>5.58817021546719</v>
      </c>
      <c r="V30" s="10" t="n">
        <f aca="false">$H$19</f>
        <v>1.32454851</v>
      </c>
      <c r="W30" s="10" t="n">
        <f aca="false">$I$19</f>
        <v>1.19793217317628</v>
      </c>
    </row>
    <row r="31" customFormat="false" ht="15" hidden="false" customHeight="false" outlineLevel="0" collapsed="false">
      <c r="B31" s="13" t="s">
        <v>38</v>
      </c>
      <c r="C31" s="14" t="n">
        <f aca="false">SUM(C9:C30)</f>
        <v>98.9795872162535</v>
      </c>
      <c r="D31" s="14" t="n">
        <f aca="false">SUM(D9:D30)</f>
        <v>54.2035045575722</v>
      </c>
      <c r="E31" s="14" t="n">
        <f aca="false">SUM(E9:E30)</f>
        <v>50.5</v>
      </c>
      <c r="F31" s="14" t="n">
        <f aca="false">$D31-$E31</f>
        <v>3.70350455757224</v>
      </c>
      <c r="G31" s="15" t="n">
        <f aca="false">$D31/$C31</f>
        <v>0.547623061299971</v>
      </c>
      <c r="H31" s="14" t="n">
        <f aca="false">SUM(H9:H30)</f>
        <v>19.8327310412</v>
      </c>
      <c r="I31" s="14" t="n">
        <f aca="false">SUM(I9:I30)</f>
        <v>24.9433516174812</v>
      </c>
      <c r="T31" s="9" t="s">
        <v>20</v>
      </c>
      <c r="U31" s="10" t="n">
        <f aca="false">$D$14</f>
        <v>2.43435809138545</v>
      </c>
      <c r="V31" s="10" t="n">
        <f aca="false">$H$14</f>
        <v>3.8</v>
      </c>
      <c r="W31" s="10" t="n">
        <f aca="false">$I$14</f>
        <v>2.70657654041455</v>
      </c>
    </row>
    <row r="32" customFormat="false" ht="15" hidden="false" customHeight="false" outlineLevel="0" collapsed="false">
      <c r="T32" s="9" t="s">
        <v>18</v>
      </c>
      <c r="U32" s="10" t="n">
        <f aca="false">$D$12</f>
        <v>2.57410240617936</v>
      </c>
      <c r="V32" s="10" t="n">
        <f aca="false">$H$12</f>
        <v>2.85985905</v>
      </c>
      <c r="W32" s="10" t="n">
        <f aca="false">$I$12</f>
        <v>3.67110878407932</v>
      </c>
    </row>
    <row r="33" customFormat="false" ht="15" hidden="false" customHeight="false" outlineLevel="0" collapsed="false">
      <c r="T33" s="9" t="s">
        <v>14</v>
      </c>
      <c r="U33" s="10" t="n">
        <f aca="false">$D$10</f>
        <v>5.25597700708295</v>
      </c>
      <c r="V33" s="10" t="n">
        <f aca="false">$H$10</f>
        <v>2.5862355812</v>
      </c>
      <c r="W33" s="10" t="n">
        <f aca="false">$I$10</f>
        <v>3.89415018366705</v>
      </c>
    </row>
  </sheetData>
  <sheetProtection sheet="true" password="c5c5"/>
  <mergeCells count="7">
    <mergeCell ref="C5:C6"/>
    <mergeCell ref="D5:D6"/>
    <mergeCell ref="E5:E6"/>
    <mergeCell ref="F5:F6"/>
    <mergeCell ref="G5:G6"/>
    <mergeCell ref="H5:H6"/>
    <mergeCell ref="I5:I6"/>
  </mergeCells>
  <conditionalFormatting sqref="F5">
    <cfRule type="cellIs" priority="2" operator="greaterThan" aboveAverage="0" equalAverage="0" bottom="0" percent="0" rank="0" text="" dxfId="0">
      <formula>0</formula>
    </cfRule>
  </conditionalFormatting>
  <conditionalFormatting sqref="F9:F30">
    <cfRule type="cellIs" priority="3" operator="greaterThan" aboveAverage="0" equalAverage="0" bottom="0" percent="0" rank="0" text="" dxfId="1">
      <formula>0</formula>
    </cfRule>
  </conditionalFormatting>
  <conditionalFormatting sqref="F31">
    <cfRule type="cellIs" priority="4" operator="greaterThan" aboveAverage="0" equalAverage="0" bottom="0" percent="0" rank="0" text="" dxfId="0">
      <formula>0</formula>
    </cfRule>
  </conditionalFormatting>
  <conditionalFormatting sqref="C10:C21 C23:C28 C30">
    <cfRule type="dataBar" priority="5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{7F68B8C8-6E39-468D-BA33-A2909DD90026}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68B8C8-6E39-468D-BA33-A2909DD90026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C10:C21 C23:C28 C30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28.5"/>
    <col collapsed="false" customWidth="true" hidden="false" outlineLevel="0" max="4" min="4" style="0" width="40.5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22" min="20" style="0" width="13"/>
  </cols>
  <sheetData>
    <row r="2" customFormat="false" ht="17.35" hidden="false" customHeight="false" outlineLevel="0" collapsed="false">
      <c r="B2" s="1" t="s">
        <v>14</v>
      </c>
    </row>
    <row r="4" customFormat="false" ht="42" hidden="false" customHeight="true" outlineLevel="0" collapsed="false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Format="false" ht="19.5" hidden="false" customHeight="true" outlineLevel="0" collapsed="false">
      <c r="C5" s="16" t="n">
        <f aca="false">'TDD Dashboard'!$C$10</f>
        <v>11.73636277195</v>
      </c>
      <c r="D5" s="16" t="n">
        <f aca="false">'TDD Dashboard'!$D$10</f>
        <v>5.25597700708295</v>
      </c>
      <c r="E5" s="16" t="n">
        <f aca="false">'TDD Dashboard'!$E$10</f>
        <v>5.5</v>
      </c>
      <c r="F5" s="16" t="n">
        <f aca="false">'TDD Dashboard'!$F$10</f>
        <v>-0.244022992917046</v>
      </c>
      <c r="G5" s="17" t="n">
        <f aca="false">'TDD Dashboard'!$G$10</f>
        <v>0.447836958452305</v>
      </c>
      <c r="H5" s="16" t="n">
        <f aca="false">'TDD Dashboard'!$H$10</f>
        <v>2.5862355812</v>
      </c>
      <c r="I5" s="16" t="n">
        <f aca="false">'TDD Dashboard'!$I$10</f>
        <v>3.89415018366705</v>
      </c>
    </row>
    <row r="6" customFormat="false" ht="19.5" hidden="false" customHeight="true" outlineLevel="0" collapsed="false">
      <c r="C6" s="16"/>
      <c r="D6" s="16"/>
      <c r="E6" s="16"/>
      <c r="F6" s="16"/>
      <c r="G6" s="16"/>
      <c r="H6" s="16"/>
      <c r="I6" s="16"/>
    </row>
    <row r="8" customFormat="false" ht="45" hidden="false" customHeight="true" outlineLevel="0" collapsed="false">
      <c r="B8" s="5" t="s">
        <v>39</v>
      </c>
      <c r="C8" s="5" t="s">
        <v>40</v>
      </c>
      <c r="D8" s="5" t="s">
        <v>41</v>
      </c>
      <c r="E8" s="5" t="s">
        <v>42</v>
      </c>
      <c r="F8" s="5" t="s">
        <v>43</v>
      </c>
      <c r="G8" s="5" t="s">
        <v>44</v>
      </c>
      <c r="H8" s="6" t="s">
        <v>45</v>
      </c>
      <c r="I8" s="6" t="s">
        <v>46</v>
      </c>
      <c r="T8" s="7" t="s">
        <v>47</v>
      </c>
      <c r="U8" s="7" t="s">
        <v>2</v>
      </c>
      <c r="V8" s="7" t="s">
        <v>7</v>
      </c>
    </row>
    <row r="9" customFormat="false" ht="15" hidden="false" customHeight="false" outlineLevel="0" collapsed="false">
      <c r="B9" s="8" t="s">
        <v>48</v>
      </c>
      <c r="H9" s="18" t="n">
        <f aca="false">SUMIFS('Role data'!$M$2:$M$550,'Role data'!$C$2:$C$550,"Ampol Retail",'Role data'!$D$2:$D$550,"Above Store",'Role data'!$E$2:$E$550,"squad")</f>
        <v>2097921.857</v>
      </c>
      <c r="I9" s="18" t="n">
        <f aca="false">SUMIFS('Role data'!$N$2:$N$550,'Role data'!$C$2:$C$550,"Ampol Retail",'Role data'!$D$2:$D$550,"Above Store",'Role data'!$E$2:$E$550,"squad")</f>
        <v>1690473.806</v>
      </c>
      <c r="T9" s="9" t="s">
        <v>49</v>
      </c>
      <c r="U9" s="10" t="n">
        <f aca="false">SUMIFS('Role data'!$Q$2:$Q$550,'Role data'!$C$2:$C$550,"Ampol Retail",'Role data'!$D$2:$D$550,"Data AU",'Role data'!$E$2:$E$550,"squad")/1000000</f>
        <v>0.43643655</v>
      </c>
      <c r="V9" s="10" t="n">
        <f aca="false">(SUMIFS('Role data'!$N$2:$N$550,'Role data'!$C$2:$C$550,"Ampol Retail",'Role data'!$D$2:$D$550,"Data AU",'Role data'!$E$2:$E$550,"squad")-SUMIFS('Role data'!$Q$2:$Q$550,'Role data'!$C$2:$C$550,"Ampol Retail",'Role data'!$D$2:$D$550,"Data AU",'Role data'!$E$2:$E$550,"squad"))/1000000</f>
        <v>0.04849295</v>
      </c>
    </row>
    <row r="10" customFormat="false" ht="15" hidden="false" customHeight="false" outlineLevel="0" collapsed="false">
      <c r="B10" s="19" t="s">
        <v>50</v>
      </c>
      <c r="C10" s="9" t="s">
        <v>51</v>
      </c>
      <c r="D10" s="9" t="s">
        <v>52</v>
      </c>
      <c r="E10" s="9" t="s">
        <v>53</v>
      </c>
      <c r="F10" s="9" t="s">
        <v>53</v>
      </c>
      <c r="G10" s="9"/>
      <c r="H10" s="20" t="n">
        <v>243637.5</v>
      </c>
      <c r="I10" s="20" t="n">
        <v>243637.5</v>
      </c>
      <c r="T10" s="9" t="s">
        <v>54</v>
      </c>
      <c r="U10" s="10" t="n">
        <f aca="false">SUMIFS('Role data'!$Q$2:$Q$550,'Role data'!$C$2:$C$550,"Ampol Retail",'Role data'!$D$2:$D$550,"Payments",'Role data'!$E$2:$E$550,"squad")/1000000</f>
        <v>0.11841428775</v>
      </c>
      <c r="V10" s="10" t="n">
        <f aca="false">(SUMIFS('Role data'!$N$2:$N$550,'Role data'!$C$2:$C$550,"Ampol Retail",'Role data'!$D$2:$D$550,"Payments",'Role data'!$E$2:$E$550,"squad")-SUMIFS('Role data'!$Q$2:$Q$550,'Role data'!$C$2:$C$550,"Ampol Retail",'Role data'!$D$2:$D$550,"Payments",'Role data'!$E$2:$E$550,"squad"))/1000000</f>
        <v>0.67101429725</v>
      </c>
    </row>
    <row r="11" customFormat="false" ht="15" hidden="false" customHeight="false" outlineLevel="0" collapsed="false">
      <c r="B11" s="19" t="s">
        <v>55</v>
      </c>
      <c r="C11" s="9" t="s">
        <v>56</v>
      </c>
      <c r="D11" s="9" t="s">
        <v>57</v>
      </c>
      <c r="E11" s="9" t="s">
        <v>53</v>
      </c>
      <c r="F11" s="9" t="s">
        <v>53</v>
      </c>
      <c r="G11" s="9"/>
      <c r="H11" s="20" t="n">
        <v>176565.05</v>
      </c>
      <c r="I11" s="20" t="n">
        <v>176565.05</v>
      </c>
      <c r="T11" s="9" t="s">
        <v>58</v>
      </c>
      <c r="U11" s="10" t="n">
        <f aca="false">SUMIFS('Role data'!$Q$2:$Q$550,'Role data'!$C$2:$C$550,"Ampol Retail",'Role data'!$D$2:$D$550,"POS",'Role data'!$E$2:$E$550,"squad")/1000000</f>
        <v>0.5667379501875</v>
      </c>
      <c r="V11" s="10" t="n">
        <f aca="false">(SUMIFS('Role data'!$N$2:$N$550,'Role data'!$C$2:$C$550,"Ampol Retail",'Role data'!$D$2:$D$550,"POS",'Role data'!$E$2:$E$550,"squad")-SUMIFS('Role data'!$Q$2:$Q$550,'Role data'!$C$2:$C$550,"Ampol Retail",'Role data'!$D$2:$D$550,"POS",'Role data'!$E$2:$E$550,"squad"))/1000000</f>
        <v>0.3051665885625</v>
      </c>
    </row>
    <row r="12" customFormat="false" ht="15" hidden="false" customHeight="false" outlineLevel="0" collapsed="false">
      <c r="B12" s="19" t="s">
        <v>59</v>
      </c>
      <c r="C12" s="9" t="s">
        <v>60</v>
      </c>
      <c r="D12" s="9" t="s">
        <v>57</v>
      </c>
      <c r="E12" s="9" t="s">
        <v>53</v>
      </c>
      <c r="F12" s="9" t="s">
        <v>53</v>
      </c>
      <c r="G12" s="9"/>
      <c r="H12" s="20" t="n">
        <v>134367.972</v>
      </c>
      <c r="I12" s="20" t="n">
        <v>134367.972</v>
      </c>
      <c r="T12" s="9" t="s">
        <v>61</v>
      </c>
      <c r="U12" s="10" t="n">
        <f aca="false">SUMIFS('Role data'!$Q$2:$Q$550,'Role data'!$C$2:$C$550,"Ampol Retail",'Role data'!$D$2:$D$550,"Deployment",'Role data'!$E$2:$E$550,"squad")/1000000</f>
        <v>0.1787671464</v>
      </c>
      <c r="V12" s="10" t="n">
        <f aca="false">(SUMIFS('Role data'!$N$2:$N$550,'Role data'!$C$2:$C$550,"Ampol Retail",'Role data'!$D$2:$D$550,"Deployment",'Role data'!$E$2:$E$550,"squad")-SUMIFS('Role data'!$Q$2:$Q$550,'Role data'!$C$2:$C$550,"Ampol Retail",'Role data'!$D$2:$D$550,"Deployment",'Role data'!$E$2:$E$550,"squad"))/1000000</f>
        <v>0.7150685856</v>
      </c>
    </row>
    <row r="13" customFormat="false" ht="15" hidden="false" customHeight="false" outlineLevel="0" collapsed="false">
      <c r="B13" s="19" t="s">
        <v>62</v>
      </c>
      <c r="C13" s="9" t="s">
        <v>63</v>
      </c>
      <c r="D13" s="9" t="s">
        <v>57</v>
      </c>
      <c r="E13" s="9" t="s">
        <v>53</v>
      </c>
      <c r="F13" s="9" t="s">
        <v>53</v>
      </c>
      <c r="G13" s="9"/>
      <c r="H13" s="20" t="n">
        <v>162060.6</v>
      </c>
      <c r="I13" s="20" t="n">
        <v>162060.6</v>
      </c>
      <c r="T13" s="9" t="s">
        <v>64</v>
      </c>
      <c r="U13" s="10" t="n">
        <f aca="false">SUMIFS('Role data'!$Q$2:$Q$550,'Role data'!$C$2:$C$550,"Ampol Retail",'Role data'!$D$2:$D$550,"Network &amp; QSR",'Role data'!$E$2:$E$550,"squad")/1000000</f>
        <v>0.22280622</v>
      </c>
      <c r="V13" s="10" t="n">
        <f aca="false">(SUMIFS('Role data'!$N$2:$N$550,'Role data'!$C$2:$C$550,"Ampol Retail",'Role data'!$D$2:$D$550,"Network &amp; QSR",'Role data'!$E$2:$E$550,"squad")-SUMIFS('Role data'!$Q$2:$Q$550,'Role data'!$C$2:$C$550,"Ampol Retail",'Role data'!$D$2:$D$550,"Network &amp; QSR",'Role data'!$E$2:$E$550,"squad"))/1000000</f>
        <v>0.89122488</v>
      </c>
    </row>
    <row r="14" customFormat="false" ht="15" hidden="false" customHeight="false" outlineLevel="0" collapsed="false">
      <c r="B14" s="19" t="s">
        <v>65</v>
      </c>
      <c r="C14" s="9" t="s">
        <v>66</v>
      </c>
      <c r="D14" s="9" t="s">
        <v>57</v>
      </c>
      <c r="E14" s="9" t="s">
        <v>53</v>
      </c>
      <c r="F14" s="9" t="s">
        <v>53</v>
      </c>
      <c r="G14" s="9"/>
      <c r="H14" s="20" t="n">
        <v>203213.7</v>
      </c>
      <c r="I14" s="20" t="n">
        <v>203213.7</v>
      </c>
      <c r="T14" s="9" t="s">
        <v>67</v>
      </c>
      <c r="U14" s="10" t="n">
        <f aca="false">SUMIFS('Role data'!$Q$2:$Q$550,'Role data'!$C$2:$C$550,"Ampol Retail",'Role data'!$D$2:$D$550,"Store Operations",'Role data'!$E$2:$E$550,"squad")/1000000</f>
        <v>1.429759453</v>
      </c>
      <c r="V14" s="10" t="n">
        <f aca="false">(SUMIFS('Role data'!$N$2:$N$550,'Role data'!$C$2:$C$550,"Ampol Retail",'Role data'!$D$2:$D$550,"Store Operations",'Role data'!$E$2:$E$550,"squad")-SUMIFS('Role data'!$Q$2:$Q$550,'Role data'!$C$2:$C$550,"Ampol Retail",'Role data'!$D$2:$D$550,"Store Operations",'Role data'!$E$2:$E$550,"squad"))/1000000</f>
        <v>0</v>
      </c>
    </row>
    <row r="15" customFormat="false" ht="15" hidden="false" customHeight="false" outlineLevel="0" collapsed="false">
      <c r="B15" s="19" t="s">
        <v>68</v>
      </c>
      <c r="C15" s="9" t="s">
        <v>69</v>
      </c>
      <c r="D15" s="9" t="s">
        <v>70</v>
      </c>
      <c r="E15" s="9" t="s">
        <v>69</v>
      </c>
      <c r="F15" s="9" t="s">
        <v>71</v>
      </c>
      <c r="G15" s="9"/>
      <c r="H15" s="20" t="n">
        <v>170489.75</v>
      </c>
      <c r="I15" s="20" t="n">
        <v>68195.9</v>
      </c>
      <c r="T15" s="9" t="s">
        <v>48</v>
      </c>
      <c r="U15" s="10" t="n">
        <f aca="false">SUMIFS('Role data'!$Q$2:$Q$550,'Role data'!$C$2:$C$550,"Ampol Retail",'Role data'!$D$2:$D$550,"Above Store",'Role data'!$E$2:$E$550,"squad")/1000000</f>
        <v>0.3380947612</v>
      </c>
      <c r="V15" s="10" t="n">
        <f aca="false">(SUMIFS('Role data'!$N$2:$N$550,'Role data'!$C$2:$C$550,"Ampol Retail",'Role data'!$D$2:$D$550,"Above Store",'Role data'!$E$2:$E$550,"squad")-SUMIFS('Role data'!$Q$2:$Q$550,'Role data'!$C$2:$C$550,"Ampol Retail",'Role data'!$D$2:$D$550,"Above Store",'Role data'!$E$2:$E$550,"squad"))/1000000</f>
        <v>1.3523790448</v>
      </c>
    </row>
    <row r="16" customFormat="false" ht="15" hidden="false" customHeight="false" outlineLevel="0" collapsed="false">
      <c r="B16" s="19" t="s">
        <v>72</v>
      </c>
      <c r="C16" s="9" t="s">
        <v>73</v>
      </c>
      <c r="D16" s="9" t="s">
        <v>57</v>
      </c>
      <c r="E16" s="9" t="s">
        <v>53</v>
      </c>
      <c r="F16" s="9" t="s">
        <v>53</v>
      </c>
      <c r="G16" s="9"/>
      <c r="H16" s="20" t="n">
        <v>193575</v>
      </c>
      <c r="I16" s="20" t="n">
        <v>193575</v>
      </c>
    </row>
    <row r="17" customFormat="false" ht="15" hidden="false" customHeight="false" outlineLevel="0" collapsed="false">
      <c r="B17" s="19" t="s">
        <v>74</v>
      </c>
      <c r="C17" s="9" t="s">
        <v>75</v>
      </c>
      <c r="D17" s="9" t="s">
        <v>57</v>
      </c>
      <c r="E17" s="9" t="s">
        <v>53</v>
      </c>
      <c r="F17" s="9" t="s">
        <v>53</v>
      </c>
      <c r="G17" s="9"/>
      <c r="H17" s="20" t="n">
        <v>239072.45</v>
      </c>
      <c r="I17" s="20" t="n">
        <v>239072.45</v>
      </c>
    </row>
    <row r="18" customFormat="false" ht="15" hidden="false" customHeight="false" outlineLevel="0" collapsed="false">
      <c r="B18" s="19" t="s">
        <v>76</v>
      </c>
      <c r="C18" s="9" t="s">
        <v>69</v>
      </c>
      <c r="D18" s="9" t="s">
        <v>77</v>
      </c>
      <c r="E18" s="9" t="s">
        <v>69</v>
      </c>
      <c r="F18" s="9" t="s">
        <v>78</v>
      </c>
      <c r="G18" s="9"/>
      <c r="H18" s="20" t="n">
        <v>202853.25</v>
      </c>
      <c r="I18" s="20" t="n">
        <v>0</v>
      </c>
    </row>
    <row r="19" customFormat="false" ht="15" hidden="false" customHeight="false" outlineLevel="0" collapsed="false">
      <c r="B19" s="19" t="s">
        <v>79</v>
      </c>
      <c r="C19" s="9" t="s">
        <v>69</v>
      </c>
      <c r="D19" s="9" t="s">
        <v>80</v>
      </c>
      <c r="E19" s="9" t="s">
        <v>69</v>
      </c>
      <c r="F19" s="9" t="s">
        <v>71</v>
      </c>
      <c r="G19" s="9"/>
      <c r="H19" s="20" t="n">
        <v>170501.585</v>
      </c>
      <c r="I19" s="20" t="n">
        <v>68200.634</v>
      </c>
    </row>
    <row r="20" customFormat="false" ht="15" hidden="false" customHeight="false" outlineLevel="0" collapsed="false">
      <c r="B20" s="19" t="s">
        <v>81</v>
      </c>
      <c r="C20" s="9" t="s">
        <v>69</v>
      </c>
      <c r="D20" s="9" t="s">
        <v>57</v>
      </c>
      <c r="E20" s="9" t="s">
        <v>69</v>
      </c>
      <c r="F20" s="9" t="s">
        <v>82</v>
      </c>
      <c r="G20" s="9"/>
      <c r="H20" s="20" t="n">
        <v>201585</v>
      </c>
      <c r="I20" s="20" t="n">
        <v>201585</v>
      </c>
    </row>
    <row r="21" customFormat="false" ht="15" hidden="false" customHeight="false" outlineLevel="0" collapsed="false">
      <c r="B21" s="8" t="s">
        <v>49</v>
      </c>
      <c r="H21" s="18" t="n">
        <f aca="false">SUMIFS('Role data'!$M$2:$M$550,'Role data'!$C$2:$C$550,"Ampol Retail",'Role data'!$D$2:$D$550,"Data AU",'Role data'!$E$2:$E$550,"squad")</f>
        <v>1212323.75</v>
      </c>
      <c r="I21" s="18" t="n">
        <f aca="false">SUMIFS('Role data'!$N$2:$N$550,'Role data'!$C$2:$C$550,"Ampol Retail",'Role data'!$D$2:$D$550,"Data AU",'Role data'!$E$2:$E$550,"squad")</f>
        <v>484929.5</v>
      </c>
    </row>
    <row r="22" customFormat="false" ht="15" hidden="false" customHeight="false" outlineLevel="0" collapsed="false">
      <c r="B22" s="19" t="s">
        <v>83</v>
      </c>
      <c r="C22" s="9" t="s">
        <v>69</v>
      </c>
      <c r="D22" s="9" t="s">
        <v>84</v>
      </c>
      <c r="E22" s="9" t="s">
        <v>69</v>
      </c>
      <c r="F22" s="9" t="s">
        <v>71</v>
      </c>
      <c r="G22" s="9"/>
      <c r="H22" s="20" t="n">
        <v>202853.25</v>
      </c>
      <c r="I22" s="20" t="n">
        <v>81141.3</v>
      </c>
    </row>
    <row r="23" customFormat="false" ht="15" hidden="false" customHeight="false" outlineLevel="0" collapsed="false">
      <c r="B23" s="19" t="s">
        <v>85</v>
      </c>
      <c r="C23" s="9" t="s">
        <v>69</v>
      </c>
      <c r="D23" s="9" t="s">
        <v>86</v>
      </c>
      <c r="E23" s="9" t="s">
        <v>69</v>
      </c>
      <c r="F23" s="9" t="s">
        <v>71</v>
      </c>
      <c r="G23" s="9"/>
      <c r="H23" s="20" t="n">
        <v>201585</v>
      </c>
      <c r="I23" s="20" t="n">
        <v>80634</v>
      </c>
    </row>
    <row r="24" customFormat="false" ht="15" hidden="false" customHeight="false" outlineLevel="0" collapsed="false">
      <c r="B24" s="19" t="s">
        <v>87</v>
      </c>
      <c r="C24" s="9" t="s">
        <v>69</v>
      </c>
      <c r="D24" s="9" t="s">
        <v>86</v>
      </c>
      <c r="E24" s="9" t="s">
        <v>69</v>
      </c>
      <c r="F24" s="9" t="s">
        <v>71</v>
      </c>
      <c r="G24" s="9"/>
      <c r="H24" s="20" t="n">
        <v>231689.25</v>
      </c>
      <c r="I24" s="20" t="n">
        <v>92675.7</v>
      </c>
    </row>
    <row r="25" customFormat="false" ht="15" hidden="false" customHeight="false" outlineLevel="0" collapsed="false">
      <c r="B25" s="19" t="s">
        <v>88</v>
      </c>
      <c r="C25" s="9" t="s">
        <v>69</v>
      </c>
      <c r="D25" s="9" t="s">
        <v>89</v>
      </c>
      <c r="E25" s="9" t="s">
        <v>69</v>
      </c>
      <c r="F25" s="9" t="s">
        <v>71</v>
      </c>
      <c r="G25" s="9"/>
      <c r="H25" s="20" t="n">
        <v>202853.25</v>
      </c>
      <c r="I25" s="20" t="n">
        <v>81141.3</v>
      </c>
    </row>
    <row r="26" customFormat="false" ht="15" hidden="false" customHeight="false" outlineLevel="0" collapsed="false">
      <c r="B26" s="19" t="s">
        <v>90</v>
      </c>
      <c r="C26" s="9" t="s">
        <v>69</v>
      </c>
      <c r="D26" s="9" t="s">
        <v>89</v>
      </c>
      <c r="E26" s="9" t="s">
        <v>69</v>
      </c>
      <c r="F26" s="9" t="s">
        <v>71</v>
      </c>
      <c r="G26" s="9"/>
      <c r="H26" s="20" t="n">
        <v>202853.25</v>
      </c>
      <c r="I26" s="20" t="n">
        <v>81141.3</v>
      </c>
    </row>
    <row r="27" customFormat="false" ht="15" hidden="false" customHeight="false" outlineLevel="0" collapsed="false">
      <c r="B27" s="19" t="s">
        <v>91</v>
      </c>
      <c r="C27" s="9" t="s">
        <v>69</v>
      </c>
      <c r="D27" s="9" t="s">
        <v>89</v>
      </c>
      <c r="E27" s="9" t="s">
        <v>69</v>
      </c>
      <c r="F27" s="9" t="s">
        <v>71</v>
      </c>
      <c r="G27" s="9"/>
      <c r="H27" s="20" t="n">
        <v>170489.75</v>
      </c>
      <c r="I27" s="20" t="n">
        <v>68195.9</v>
      </c>
    </row>
    <row r="28" customFormat="false" ht="15" hidden="false" customHeight="false" outlineLevel="0" collapsed="false">
      <c r="B28" s="8" t="s">
        <v>61</v>
      </c>
      <c r="H28" s="18" t="n">
        <f aca="false">SUMIFS('Role data'!$M$2:$M$550,'Role data'!$C$2:$C$550,"Ampol Retail",'Role data'!$D$2:$D$550,"Deployment",'Role data'!$E$2:$E$550,"squad")</f>
        <v>893835.732</v>
      </c>
      <c r="I28" s="18" t="n">
        <f aca="false">SUMIFS('Role data'!$N$2:$N$550,'Role data'!$C$2:$C$550,"Ampol Retail",'Role data'!$D$2:$D$550,"Deployment",'Role data'!$E$2:$E$550,"squad")</f>
        <v>893835.732</v>
      </c>
    </row>
    <row r="29" customFormat="false" ht="15" hidden="false" customHeight="false" outlineLevel="0" collapsed="false">
      <c r="B29" s="19" t="s">
        <v>92</v>
      </c>
      <c r="C29" s="9" t="s">
        <v>93</v>
      </c>
      <c r="D29" s="9" t="s">
        <v>94</v>
      </c>
      <c r="E29" s="9" t="s">
        <v>53</v>
      </c>
      <c r="F29" s="9" t="s">
        <v>53</v>
      </c>
      <c r="G29" s="9"/>
      <c r="H29" s="20" t="n">
        <v>136461.432</v>
      </c>
      <c r="I29" s="20" t="n">
        <v>136461.432</v>
      </c>
    </row>
    <row r="30" customFormat="false" ht="15" hidden="false" customHeight="false" outlineLevel="0" collapsed="false">
      <c r="B30" s="19" t="s">
        <v>95</v>
      </c>
      <c r="C30" s="9" t="s">
        <v>96</v>
      </c>
      <c r="D30" s="9" t="s">
        <v>97</v>
      </c>
      <c r="E30" s="9" t="s">
        <v>53</v>
      </c>
      <c r="F30" s="9" t="s">
        <v>53</v>
      </c>
      <c r="G30" s="9"/>
      <c r="H30" s="20" t="n">
        <v>200250</v>
      </c>
      <c r="I30" s="20" t="n">
        <v>200250</v>
      </c>
    </row>
    <row r="31" customFormat="false" ht="15" hidden="false" customHeight="false" outlineLevel="0" collapsed="false">
      <c r="B31" s="19" t="s">
        <v>98</v>
      </c>
      <c r="C31" s="9" t="s">
        <v>99</v>
      </c>
      <c r="D31" s="9" t="s">
        <v>100</v>
      </c>
      <c r="E31" s="9" t="s">
        <v>53</v>
      </c>
      <c r="F31" s="9" t="s">
        <v>53</v>
      </c>
      <c r="G31" s="9"/>
      <c r="H31" s="20" t="n">
        <v>205483.2</v>
      </c>
      <c r="I31" s="20" t="n">
        <v>205483.2</v>
      </c>
    </row>
    <row r="32" customFormat="false" ht="15" hidden="false" customHeight="false" outlineLevel="0" collapsed="false">
      <c r="B32" s="19" t="s">
        <v>101</v>
      </c>
      <c r="C32" s="9" t="s">
        <v>102</v>
      </c>
      <c r="D32" s="9" t="s">
        <v>103</v>
      </c>
      <c r="E32" s="9" t="s">
        <v>53</v>
      </c>
      <c r="F32" s="9" t="s">
        <v>53</v>
      </c>
      <c r="G32" s="9"/>
      <c r="H32" s="20" t="n">
        <v>206070.6</v>
      </c>
      <c r="I32" s="20" t="n">
        <v>206070.6</v>
      </c>
    </row>
    <row r="33" customFormat="false" ht="15" hidden="false" customHeight="false" outlineLevel="0" collapsed="false">
      <c r="B33" s="19" t="s">
        <v>104</v>
      </c>
      <c r="C33" s="9" t="s">
        <v>105</v>
      </c>
      <c r="D33" s="9" t="s">
        <v>106</v>
      </c>
      <c r="E33" s="9" t="s">
        <v>53</v>
      </c>
      <c r="F33" s="9" t="s">
        <v>53</v>
      </c>
      <c r="G33" s="9"/>
      <c r="H33" s="20" t="n">
        <v>145570.5</v>
      </c>
      <c r="I33" s="20" t="n">
        <v>145570.5</v>
      </c>
    </row>
    <row r="34" customFormat="false" ht="15" hidden="false" customHeight="false" outlineLevel="0" collapsed="false">
      <c r="B34" s="8" t="s">
        <v>64</v>
      </c>
      <c r="H34" s="18" t="n">
        <f aca="false">SUMIFS('Role data'!$M$2:$M$550,'Role data'!$C$2:$C$550,"Ampol Retail",'Role data'!$D$2:$D$550,"Network &amp; QSR",'Role data'!$E$2:$E$550,"squad")</f>
        <v>1114031.1</v>
      </c>
      <c r="I34" s="18" t="n">
        <f aca="false">SUMIFS('Role data'!$N$2:$N$550,'Role data'!$C$2:$C$550,"Ampol Retail",'Role data'!$D$2:$D$550,"Network &amp; QSR",'Role data'!$E$2:$E$550,"squad")</f>
        <v>1114031.1</v>
      </c>
    </row>
    <row r="35" customFormat="false" ht="15" hidden="false" customHeight="false" outlineLevel="0" collapsed="false">
      <c r="B35" s="19" t="s">
        <v>107</v>
      </c>
      <c r="C35" s="9" t="s">
        <v>69</v>
      </c>
      <c r="D35" s="9" t="s">
        <v>77</v>
      </c>
      <c r="E35" s="9" t="s">
        <v>69</v>
      </c>
      <c r="F35" s="9" t="s">
        <v>82</v>
      </c>
      <c r="G35" s="9"/>
      <c r="H35" s="20" t="n">
        <v>202853.25</v>
      </c>
      <c r="I35" s="20" t="n">
        <v>202853.25</v>
      </c>
    </row>
    <row r="36" customFormat="false" ht="15" hidden="false" customHeight="false" outlineLevel="0" collapsed="false">
      <c r="B36" s="19" t="s">
        <v>108</v>
      </c>
      <c r="C36" s="9" t="s">
        <v>109</v>
      </c>
      <c r="D36" s="9" t="s">
        <v>84</v>
      </c>
      <c r="E36" s="9" t="s">
        <v>53</v>
      </c>
      <c r="F36" s="9" t="s">
        <v>53</v>
      </c>
      <c r="G36" s="9"/>
      <c r="H36" s="20" t="n">
        <v>182454.45</v>
      </c>
      <c r="I36" s="20" t="n">
        <v>182454.45</v>
      </c>
    </row>
    <row r="37" customFormat="false" ht="15" hidden="false" customHeight="false" outlineLevel="0" collapsed="false">
      <c r="B37" s="19" t="s">
        <v>110</v>
      </c>
      <c r="C37" s="9" t="s">
        <v>111</v>
      </c>
      <c r="D37" s="9" t="s">
        <v>52</v>
      </c>
      <c r="E37" s="9" t="s">
        <v>53</v>
      </c>
      <c r="F37" s="9" t="s">
        <v>53</v>
      </c>
      <c r="G37" s="9"/>
      <c r="H37" s="20" t="n">
        <v>133044</v>
      </c>
      <c r="I37" s="20" t="n">
        <v>133044</v>
      </c>
    </row>
    <row r="38" customFormat="false" ht="15" hidden="false" customHeight="false" outlineLevel="0" collapsed="false">
      <c r="B38" s="19" t="s">
        <v>112</v>
      </c>
      <c r="C38" s="9" t="s">
        <v>113</v>
      </c>
      <c r="D38" s="9" t="s">
        <v>80</v>
      </c>
      <c r="E38" s="9" t="s">
        <v>53</v>
      </c>
      <c r="F38" s="9" t="s">
        <v>53</v>
      </c>
      <c r="G38" s="9"/>
      <c r="H38" s="20" t="n">
        <v>157839.45</v>
      </c>
      <c r="I38" s="20" t="n">
        <v>157839.45</v>
      </c>
    </row>
    <row r="39" customFormat="false" ht="15" hidden="false" customHeight="false" outlineLevel="0" collapsed="false">
      <c r="B39" s="19" t="s">
        <v>114</v>
      </c>
      <c r="C39" s="9" t="s">
        <v>115</v>
      </c>
      <c r="D39" s="9" t="s">
        <v>57</v>
      </c>
      <c r="E39" s="9" t="s">
        <v>53</v>
      </c>
      <c r="F39" s="9" t="s">
        <v>53</v>
      </c>
      <c r="G39" s="9"/>
      <c r="H39" s="20" t="n">
        <v>206150.7</v>
      </c>
      <c r="I39" s="20" t="n">
        <v>206150.7</v>
      </c>
    </row>
    <row r="40" customFormat="false" ht="15" hidden="false" customHeight="false" outlineLevel="0" collapsed="false">
      <c r="B40" s="19" t="s">
        <v>116</v>
      </c>
      <c r="C40" s="9" t="s">
        <v>69</v>
      </c>
      <c r="D40" s="9" t="s">
        <v>57</v>
      </c>
      <c r="E40" s="9" t="s">
        <v>69</v>
      </c>
      <c r="F40" s="9" t="s">
        <v>82</v>
      </c>
      <c r="G40" s="9"/>
      <c r="H40" s="20" t="n">
        <v>231689.25</v>
      </c>
      <c r="I40" s="20" t="n">
        <v>231689.25</v>
      </c>
    </row>
    <row r="41" customFormat="false" ht="15" hidden="false" customHeight="false" outlineLevel="0" collapsed="false">
      <c r="B41" s="8" t="s">
        <v>58</v>
      </c>
      <c r="H41" s="18" t="n">
        <f aca="false">SUMIFS('Role data'!$M$2:$M$550,'Role data'!$C$2:$C$550,"Ampol Retail",'Role data'!$D$2:$D$550,"POS",'Role data'!$E$2:$E$550,"squad")</f>
        <v>1576223.685</v>
      </c>
      <c r="I41" s="18" t="n">
        <f aca="false">SUMIFS('Role data'!$N$2:$N$550,'Role data'!$C$2:$C$550,"Ampol Retail",'Role data'!$D$2:$D$550,"POS",'Role data'!$E$2:$E$550,"squad")</f>
        <v>871904.53875</v>
      </c>
    </row>
    <row r="42" customFormat="false" ht="15" hidden="false" customHeight="false" outlineLevel="0" collapsed="false">
      <c r="B42" s="19" t="s">
        <v>117</v>
      </c>
      <c r="C42" s="9" t="s">
        <v>69</v>
      </c>
      <c r="D42" s="9" t="s">
        <v>118</v>
      </c>
      <c r="E42" s="9" t="s">
        <v>69</v>
      </c>
      <c r="F42" s="9" t="s">
        <v>82</v>
      </c>
      <c r="G42" s="9"/>
      <c r="H42" s="20" t="n">
        <v>224493.6</v>
      </c>
      <c r="I42" s="20" t="n">
        <v>224493.6</v>
      </c>
    </row>
    <row r="43" customFormat="false" ht="15" hidden="false" customHeight="false" outlineLevel="0" collapsed="false">
      <c r="B43" s="19" t="s">
        <v>119</v>
      </c>
      <c r="C43" s="9" t="s">
        <v>69</v>
      </c>
      <c r="D43" s="9" t="s">
        <v>120</v>
      </c>
      <c r="E43" s="9" t="s">
        <v>69</v>
      </c>
      <c r="F43" s="9" t="s">
        <v>71</v>
      </c>
      <c r="G43" s="9" t="s">
        <v>121</v>
      </c>
      <c r="H43" s="20" t="n">
        <v>202853.25</v>
      </c>
      <c r="I43" s="20" t="n">
        <v>60855.975</v>
      </c>
    </row>
    <row r="44" customFormat="false" ht="15" hidden="false" customHeight="false" outlineLevel="0" collapsed="false">
      <c r="B44" s="19" t="s">
        <v>122</v>
      </c>
      <c r="C44" s="9" t="s">
        <v>69</v>
      </c>
      <c r="D44" s="9" t="s">
        <v>123</v>
      </c>
      <c r="E44" s="9" t="s">
        <v>69</v>
      </c>
      <c r="F44" s="9" t="s">
        <v>71</v>
      </c>
      <c r="G44" s="9"/>
      <c r="H44" s="20" t="n">
        <v>231689.25</v>
      </c>
      <c r="I44" s="20" t="n">
        <v>92675.7</v>
      </c>
    </row>
    <row r="45" customFormat="false" ht="15" hidden="false" customHeight="false" outlineLevel="0" collapsed="false">
      <c r="B45" s="19" t="s">
        <v>124</v>
      </c>
      <c r="C45" s="9" t="s">
        <v>69</v>
      </c>
      <c r="D45" s="9" t="s">
        <v>77</v>
      </c>
      <c r="E45" s="9" t="s">
        <v>69</v>
      </c>
      <c r="F45" s="9" t="s">
        <v>82</v>
      </c>
      <c r="G45" s="9" t="s">
        <v>121</v>
      </c>
      <c r="H45" s="20" t="n">
        <v>170501.585</v>
      </c>
      <c r="I45" s="20" t="n">
        <v>127876.18875</v>
      </c>
    </row>
    <row r="46" customFormat="false" ht="15" hidden="false" customHeight="false" outlineLevel="0" collapsed="false">
      <c r="B46" s="19" t="s">
        <v>125</v>
      </c>
      <c r="C46" s="9" t="s">
        <v>69</v>
      </c>
      <c r="D46" s="9" t="s">
        <v>80</v>
      </c>
      <c r="E46" s="9" t="s">
        <v>69</v>
      </c>
      <c r="F46" s="9" t="s">
        <v>71</v>
      </c>
      <c r="G46" s="9" t="s">
        <v>121</v>
      </c>
      <c r="H46" s="20" t="n">
        <v>170489.75</v>
      </c>
      <c r="I46" s="20" t="n">
        <v>51146.925</v>
      </c>
    </row>
    <row r="47" customFormat="false" ht="15" hidden="false" customHeight="false" outlineLevel="0" collapsed="false">
      <c r="B47" s="19" t="s">
        <v>126</v>
      </c>
      <c r="C47" s="9" t="s">
        <v>69</v>
      </c>
      <c r="D47" s="9" t="s">
        <v>80</v>
      </c>
      <c r="E47" s="9" t="s">
        <v>69</v>
      </c>
      <c r="F47" s="9" t="s">
        <v>71</v>
      </c>
      <c r="G47" s="9" t="s">
        <v>121</v>
      </c>
      <c r="H47" s="20" t="n">
        <v>170489.75</v>
      </c>
      <c r="I47" s="20" t="n">
        <v>51146.925</v>
      </c>
    </row>
    <row r="48" customFormat="false" ht="15" hidden="false" customHeight="false" outlineLevel="0" collapsed="false">
      <c r="B48" s="19" t="s">
        <v>127</v>
      </c>
      <c r="C48" s="9" t="s">
        <v>69</v>
      </c>
      <c r="D48" s="9" t="s">
        <v>80</v>
      </c>
      <c r="E48" s="9" t="s">
        <v>69</v>
      </c>
      <c r="F48" s="9" t="s">
        <v>71</v>
      </c>
      <c r="G48" s="9" t="s">
        <v>121</v>
      </c>
      <c r="H48" s="20" t="n">
        <v>202853.25</v>
      </c>
      <c r="I48" s="20" t="n">
        <v>60855.975</v>
      </c>
    </row>
    <row r="49" customFormat="false" ht="15" hidden="false" customHeight="false" outlineLevel="0" collapsed="false">
      <c r="B49" s="19" t="s">
        <v>128</v>
      </c>
      <c r="C49" s="9" t="s">
        <v>69</v>
      </c>
      <c r="D49" s="9" t="s">
        <v>57</v>
      </c>
      <c r="E49" s="9" t="s">
        <v>69</v>
      </c>
      <c r="F49" s="9" t="s">
        <v>82</v>
      </c>
      <c r="G49" s="9"/>
      <c r="H49" s="20" t="n">
        <v>202853.25</v>
      </c>
      <c r="I49" s="20" t="n">
        <v>202853.25</v>
      </c>
    </row>
    <row r="50" customFormat="false" ht="15" hidden="false" customHeight="false" outlineLevel="0" collapsed="false">
      <c r="B50" s="8" t="s">
        <v>54</v>
      </c>
      <c r="H50" s="18" t="n">
        <f aca="false">SUMIFS('Role data'!$M$2:$M$550,'Role data'!$C$2:$C$550,"Ampol Retail",'Role data'!$D$2:$D$550,"Payments",'Role data'!$E$2:$E$550,"squad")</f>
        <v>789428.585</v>
      </c>
      <c r="I50" s="18" t="n">
        <f aca="false">SUMIFS('Role data'!$N$2:$N$550,'Role data'!$C$2:$C$550,"Ampol Retail",'Role data'!$D$2:$D$550,"Payments",'Role data'!$E$2:$E$550,"squad")</f>
        <v>789428.585</v>
      </c>
    </row>
    <row r="51" customFormat="false" ht="15" hidden="false" customHeight="false" outlineLevel="0" collapsed="false">
      <c r="B51" s="19" t="s">
        <v>129</v>
      </c>
      <c r="C51" s="9" t="s">
        <v>130</v>
      </c>
      <c r="D51" s="9" t="s">
        <v>57</v>
      </c>
      <c r="E51" s="9" t="s">
        <v>53</v>
      </c>
      <c r="F51" s="9" t="s">
        <v>53</v>
      </c>
      <c r="G51" s="9"/>
      <c r="H51" s="20" t="n">
        <v>259243.65</v>
      </c>
      <c r="I51" s="20" t="n">
        <v>259243.65</v>
      </c>
    </row>
    <row r="52" customFormat="false" ht="15" hidden="false" customHeight="false" outlineLevel="0" collapsed="false">
      <c r="B52" s="19" t="s">
        <v>131</v>
      </c>
      <c r="C52" s="9" t="s">
        <v>132</v>
      </c>
      <c r="D52" s="9" t="s">
        <v>133</v>
      </c>
      <c r="E52" s="9" t="s">
        <v>53</v>
      </c>
      <c r="F52" s="9" t="s">
        <v>53</v>
      </c>
      <c r="G52" s="9"/>
      <c r="H52" s="20" t="n">
        <v>213600</v>
      </c>
      <c r="I52" s="20" t="n">
        <v>213600</v>
      </c>
    </row>
    <row r="53" customFormat="false" ht="15" hidden="false" customHeight="false" outlineLevel="0" collapsed="false">
      <c r="B53" s="19" t="s">
        <v>134</v>
      </c>
      <c r="C53" s="9" t="s">
        <v>69</v>
      </c>
      <c r="D53" s="9" t="s">
        <v>57</v>
      </c>
      <c r="E53" s="9" t="s">
        <v>69</v>
      </c>
      <c r="F53" s="9" t="s">
        <v>82</v>
      </c>
      <c r="G53" s="9"/>
      <c r="H53" s="20" t="n">
        <v>170501.585</v>
      </c>
      <c r="I53" s="20" t="n">
        <v>170501.585</v>
      </c>
    </row>
    <row r="54" customFormat="false" ht="15" hidden="false" customHeight="false" outlineLevel="0" collapsed="false">
      <c r="B54" s="19" t="s">
        <v>135</v>
      </c>
      <c r="C54" s="9" t="s">
        <v>136</v>
      </c>
      <c r="D54" s="9" t="s">
        <v>80</v>
      </c>
      <c r="E54" s="9" t="s">
        <v>53</v>
      </c>
      <c r="F54" s="9" t="s">
        <v>53</v>
      </c>
      <c r="G54" s="9"/>
      <c r="H54" s="20" t="n">
        <v>146083.35</v>
      </c>
      <c r="I54" s="20" t="n">
        <v>146083.35</v>
      </c>
    </row>
    <row r="55" customFormat="false" ht="15" hidden="false" customHeight="false" outlineLevel="0" collapsed="false">
      <c r="B55" s="8" t="s">
        <v>67</v>
      </c>
      <c r="H55" s="18" t="n">
        <f aca="false">SUMIFS('Role data'!$M$2:$M$550,'Role data'!$C$2:$C$550,"Ampol Retail",'Role data'!$D$2:$D$550,"Store Operations",'Role data'!$E$2:$E$550,"squad")</f>
        <v>1429759.453</v>
      </c>
      <c r="I55" s="18" t="n">
        <f aca="false">SUMIFS('Role data'!$N$2:$N$550,'Role data'!$C$2:$C$550,"Ampol Retail",'Role data'!$D$2:$D$550,"Store Operations",'Role data'!$E$2:$E$550,"squad")</f>
        <v>1429759.453</v>
      </c>
    </row>
    <row r="56" customFormat="false" ht="15" hidden="false" customHeight="false" outlineLevel="0" collapsed="false">
      <c r="B56" s="19" t="s">
        <v>137</v>
      </c>
      <c r="C56" s="9" t="s">
        <v>138</v>
      </c>
      <c r="D56" s="9" t="s">
        <v>139</v>
      </c>
      <c r="E56" s="9" t="s">
        <v>53</v>
      </c>
      <c r="F56" s="9" t="s">
        <v>53</v>
      </c>
      <c r="G56" s="9"/>
      <c r="H56" s="20" t="n">
        <v>77707.84</v>
      </c>
      <c r="I56" s="20" t="n">
        <v>77707.84</v>
      </c>
    </row>
    <row r="57" customFormat="false" ht="15" hidden="false" customHeight="false" outlineLevel="0" collapsed="false">
      <c r="B57" s="19" t="s">
        <v>140</v>
      </c>
      <c r="C57" s="9" t="s">
        <v>141</v>
      </c>
      <c r="D57" s="9" t="s">
        <v>142</v>
      </c>
      <c r="E57" s="9" t="s">
        <v>53</v>
      </c>
      <c r="F57" s="9" t="s">
        <v>53</v>
      </c>
      <c r="G57" s="9"/>
      <c r="H57" s="20" t="n">
        <v>242933.676</v>
      </c>
      <c r="I57" s="20" t="n">
        <v>242933.676</v>
      </c>
    </row>
    <row r="58" customFormat="false" ht="15" hidden="false" customHeight="false" outlineLevel="0" collapsed="false">
      <c r="B58" s="19" t="s">
        <v>143</v>
      </c>
      <c r="C58" s="9" t="s">
        <v>69</v>
      </c>
      <c r="D58" s="9" t="s">
        <v>144</v>
      </c>
      <c r="E58" s="9" t="s">
        <v>69</v>
      </c>
      <c r="F58" s="9" t="s">
        <v>82</v>
      </c>
      <c r="G58" s="9"/>
      <c r="H58" s="20" t="n">
        <v>170501.585</v>
      </c>
      <c r="I58" s="20" t="n">
        <v>170501.585</v>
      </c>
    </row>
    <row r="59" customFormat="false" ht="15" hidden="false" customHeight="false" outlineLevel="0" collapsed="false">
      <c r="B59" s="19" t="s">
        <v>145</v>
      </c>
      <c r="C59" s="9" t="s">
        <v>146</v>
      </c>
      <c r="D59" s="9" t="s">
        <v>147</v>
      </c>
      <c r="E59" s="9" t="s">
        <v>53</v>
      </c>
      <c r="F59" s="9" t="s">
        <v>53</v>
      </c>
      <c r="G59" s="9"/>
      <c r="H59" s="20" t="n">
        <v>167360.05</v>
      </c>
      <c r="I59" s="20" t="n">
        <v>167360.05</v>
      </c>
    </row>
    <row r="60" customFormat="false" ht="15" hidden="false" customHeight="false" outlineLevel="0" collapsed="false">
      <c r="B60" s="19" t="s">
        <v>148</v>
      </c>
      <c r="C60" s="9" t="s">
        <v>149</v>
      </c>
      <c r="D60" s="9" t="s">
        <v>150</v>
      </c>
      <c r="E60" s="9" t="s">
        <v>53</v>
      </c>
      <c r="F60" s="9" t="s">
        <v>53</v>
      </c>
      <c r="G60" s="9"/>
      <c r="H60" s="20" t="n">
        <v>190155.852</v>
      </c>
      <c r="I60" s="20" t="n">
        <v>190155.852</v>
      </c>
    </row>
    <row r="61" customFormat="false" ht="15" hidden="false" customHeight="false" outlineLevel="0" collapsed="false">
      <c r="B61" s="19" t="s">
        <v>151</v>
      </c>
      <c r="C61" s="9" t="s">
        <v>152</v>
      </c>
      <c r="D61" s="9" t="s">
        <v>153</v>
      </c>
      <c r="E61" s="9" t="s">
        <v>53</v>
      </c>
      <c r="F61" s="9" t="s">
        <v>53</v>
      </c>
      <c r="G61" s="9"/>
      <c r="H61" s="20" t="n">
        <v>202853.25</v>
      </c>
      <c r="I61" s="20" t="n">
        <v>202853.25</v>
      </c>
    </row>
    <row r="62" customFormat="false" ht="15" hidden="false" customHeight="false" outlineLevel="0" collapsed="false">
      <c r="B62" s="19" t="s">
        <v>154</v>
      </c>
      <c r="C62" s="9" t="s">
        <v>155</v>
      </c>
      <c r="D62" s="9" t="s">
        <v>156</v>
      </c>
      <c r="E62" s="9" t="s">
        <v>53</v>
      </c>
      <c r="F62" s="9" t="s">
        <v>53</v>
      </c>
      <c r="G62" s="9"/>
      <c r="H62" s="20" t="n">
        <v>164033.1</v>
      </c>
      <c r="I62" s="20" t="n">
        <v>164033.1</v>
      </c>
    </row>
    <row r="63" customFormat="false" ht="15" hidden="false" customHeight="false" outlineLevel="0" collapsed="false">
      <c r="B63" s="19" t="s">
        <v>157</v>
      </c>
      <c r="C63" s="9" t="s">
        <v>158</v>
      </c>
      <c r="D63" s="9" t="s">
        <v>159</v>
      </c>
      <c r="E63" s="9" t="s">
        <v>53</v>
      </c>
      <c r="F63" s="9" t="s">
        <v>53</v>
      </c>
      <c r="G63" s="9"/>
      <c r="H63" s="20" t="n">
        <v>214214.1</v>
      </c>
      <c r="I63" s="20" t="n">
        <v>214214.1</v>
      </c>
    </row>
    <row r="64" customFormat="false" ht="15" hidden="false" customHeight="false" outlineLevel="0" collapsed="false">
      <c r="B64" s="8" t="s">
        <v>160</v>
      </c>
      <c r="H64" s="18" t="n">
        <f aca="false">SUMIFS('Role data'!$M$2:$M$550,'Role data'!$C$2:$C$550,"Ampol Retail",'Role data'!$D$2:$D$550,"AmPOS",'Role data'!$E$2:$E$550,"sig")</f>
        <v>2115029.718</v>
      </c>
      <c r="I64" s="18" t="n">
        <f aca="false">SUMIFS('Role data'!$N$2:$N$550,'Role data'!$C$2:$C$550,"Ampol Retail",'Role data'!$D$2:$D$550,"AmPOS",'Role data'!$E$2:$E$550,"sig")</f>
        <v>2115029.718</v>
      </c>
    </row>
    <row r="65" customFormat="false" ht="15" hidden="false" customHeight="false" outlineLevel="0" collapsed="false">
      <c r="B65" s="19" t="s">
        <v>161</v>
      </c>
      <c r="C65" s="9" t="s">
        <v>162</v>
      </c>
      <c r="D65" s="9" t="s">
        <v>163</v>
      </c>
      <c r="E65" s="9" t="s">
        <v>53</v>
      </c>
      <c r="F65" s="9" t="s">
        <v>53</v>
      </c>
      <c r="G65" s="9"/>
      <c r="H65" s="20" t="n">
        <v>202026.336</v>
      </c>
      <c r="I65" s="20" t="n">
        <v>202026.336</v>
      </c>
    </row>
    <row r="66" customFormat="false" ht="15" hidden="false" customHeight="false" outlineLevel="0" collapsed="false">
      <c r="B66" s="19" t="s">
        <v>164</v>
      </c>
      <c r="C66" s="9" t="s">
        <v>165</v>
      </c>
      <c r="D66" s="9" t="s">
        <v>84</v>
      </c>
      <c r="E66" s="9" t="s">
        <v>53</v>
      </c>
      <c r="F66" s="9" t="s">
        <v>53</v>
      </c>
      <c r="G66" s="9"/>
      <c r="H66" s="20" t="n">
        <v>253142.7</v>
      </c>
      <c r="I66" s="20" t="n">
        <v>253142.7</v>
      </c>
    </row>
    <row r="67" customFormat="false" ht="15" hidden="false" customHeight="false" outlineLevel="0" collapsed="false">
      <c r="B67" s="19" t="s">
        <v>166</v>
      </c>
      <c r="C67" s="9" t="s">
        <v>167</v>
      </c>
      <c r="D67" s="9" t="s">
        <v>84</v>
      </c>
      <c r="E67" s="9" t="s">
        <v>53</v>
      </c>
      <c r="F67" s="9" t="s">
        <v>53</v>
      </c>
      <c r="G67" s="9"/>
      <c r="H67" s="20" t="n">
        <v>247455.6</v>
      </c>
      <c r="I67" s="20" t="n">
        <v>247455.6</v>
      </c>
    </row>
    <row r="68" customFormat="false" ht="15" hidden="false" customHeight="false" outlineLevel="0" collapsed="false">
      <c r="B68" s="19" t="s">
        <v>168</v>
      </c>
      <c r="C68" s="9" t="s">
        <v>169</v>
      </c>
      <c r="D68" s="9" t="s">
        <v>84</v>
      </c>
      <c r="E68" s="9" t="s">
        <v>53</v>
      </c>
      <c r="F68" s="9" t="s">
        <v>53</v>
      </c>
      <c r="G68" s="9"/>
      <c r="H68" s="20" t="n">
        <v>237654.03</v>
      </c>
      <c r="I68" s="20" t="n">
        <v>237654.03</v>
      </c>
    </row>
    <row r="69" customFormat="false" ht="15" hidden="false" customHeight="false" outlineLevel="0" collapsed="false">
      <c r="B69" s="19" t="s">
        <v>170</v>
      </c>
      <c r="C69" s="9" t="s">
        <v>171</v>
      </c>
      <c r="D69" s="9" t="s">
        <v>84</v>
      </c>
      <c r="E69" s="9" t="s">
        <v>53</v>
      </c>
      <c r="F69" s="9" t="s">
        <v>53</v>
      </c>
      <c r="G69" s="9"/>
      <c r="H69" s="20" t="n">
        <v>161334</v>
      </c>
      <c r="I69" s="20" t="n">
        <v>161334</v>
      </c>
    </row>
    <row r="70" customFormat="false" ht="15" hidden="false" customHeight="false" outlineLevel="0" collapsed="false">
      <c r="B70" s="19" t="s">
        <v>172</v>
      </c>
      <c r="C70" s="9" t="s">
        <v>173</v>
      </c>
      <c r="D70" s="9" t="s">
        <v>174</v>
      </c>
      <c r="E70" s="9" t="s">
        <v>53</v>
      </c>
      <c r="F70" s="9" t="s">
        <v>53</v>
      </c>
      <c r="G70" s="9"/>
      <c r="H70" s="20" t="n">
        <v>210342.6</v>
      </c>
      <c r="I70" s="20" t="n">
        <v>210342.6</v>
      </c>
    </row>
    <row r="71" customFormat="false" ht="15" hidden="false" customHeight="false" outlineLevel="0" collapsed="false">
      <c r="B71" s="19" t="s">
        <v>175</v>
      </c>
      <c r="C71" s="9" t="s">
        <v>176</v>
      </c>
      <c r="D71" s="9" t="s">
        <v>57</v>
      </c>
      <c r="E71" s="9" t="s">
        <v>53</v>
      </c>
      <c r="F71" s="9" t="s">
        <v>53</v>
      </c>
      <c r="G71" s="9"/>
      <c r="H71" s="20" t="n">
        <v>262647.9</v>
      </c>
      <c r="I71" s="20" t="n">
        <v>262647.9</v>
      </c>
    </row>
    <row r="72" customFormat="false" ht="15" hidden="false" customHeight="false" outlineLevel="0" collapsed="false">
      <c r="B72" s="19" t="s">
        <v>177</v>
      </c>
      <c r="C72" s="9" t="s">
        <v>178</v>
      </c>
      <c r="D72" s="9" t="s">
        <v>57</v>
      </c>
      <c r="E72" s="9" t="s">
        <v>53</v>
      </c>
      <c r="F72" s="9" t="s">
        <v>53</v>
      </c>
      <c r="G72" s="9"/>
      <c r="H72" s="20" t="n">
        <v>147460.584</v>
      </c>
      <c r="I72" s="20" t="n">
        <v>147460.584</v>
      </c>
    </row>
    <row r="73" customFormat="false" ht="15" hidden="false" customHeight="false" outlineLevel="0" collapsed="false">
      <c r="B73" s="19" t="s">
        <v>179</v>
      </c>
      <c r="C73" s="9" t="s">
        <v>180</v>
      </c>
      <c r="D73" s="9" t="s">
        <v>80</v>
      </c>
      <c r="E73" s="9" t="s">
        <v>53</v>
      </c>
      <c r="F73" s="9" t="s">
        <v>53</v>
      </c>
      <c r="G73" s="9"/>
      <c r="H73" s="20" t="n">
        <v>194028.9</v>
      </c>
      <c r="I73" s="20" t="n">
        <v>194028.9</v>
      </c>
    </row>
    <row r="74" customFormat="false" ht="15" hidden="false" customHeight="false" outlineLevel="0" collapsed="false">
      <c r="B74" s="19" t="s">
        <v>181</v>
      </c>
      <c r="C74" s="9" t="s">
        <v>182</v>
      </c>
      <c r="D74" s="9" t="s">
        <v>183</v>
      </c>
      <c r="E74" s="9" t="s">
        <v>53</v>
      </c>
      <c r="F74" s="9" t="s">
        <v>53</v>
      </c>
      <c r="G74" s="9"/>
      <c r="H74" s="20" t="n">
        <v>198937.068</v>
      </c>
      <c r="I74" s="20" t="n">
        <v>198937.068</v>
      </c>
    </row>
    <row r="75" customFormat="false" ht="15" hidden="false" customHeight="false" outlineLevel="0" collapsed="false">
      <c r="B75" s="8" t="s">
        <v>184</v>
      </c>
      <c r="H75" s="18" t="n">
        <f aca="false">SUMIFS('Role data'!$M$2:$M$550,'Role data'!$C$2:$C$550,"Ampol Retail",'Role data'!$D$2:$D$550,"EGI Retail",'Role data'!$E$2:$E$550,"sig")</f>
        <v>1182235.5812</v>
      </c>
      <c r="I75" s="18" t="n">
        <f aca="false">SUMIFS('Role data'!$N$2:$N$550,'Role data'!$C$2:$C$550,"Ampol Retail",'Role data'!$D$2:$D$550,"EGI Retail",'Role data'!$E$2:$E$550,"sig")</f>
        <v>1182235.5812</v>
      </c>
    </row>
    <row r="76" customFormat="false" ht="15" hidden="false" customHeight="false" outlineLevel="0" collapsed="false">
      <c r="B76" s="19" t="s">
        <v>185</v>
      </c>
      <c r="C76" s="9" t="s">
        <v>186</v>
      </c>
      <c r="D76" s="9" t="s">
        <v>77</v>
      </c>
      <c r="E76" s="9" t="s">
        <v>53</v>
      </c>
      <c r="F76" s="9" t="s">
        <v>53</v>
      </c>
      <c r="G76" s="9"/>
      <c r="H76" s="20" t="n">
        <v>222000</v>
      </c>
      <c r="I76" s="20" t="n">
        <v>222000</v>
      </c>
    </row>
    <row r="77" customFormat="false" ht="15" hidden="false" customHeight="false" outlineLevel="0" collapsed="false">
      <c r="B77" s="19" t="s">
        <v>187</v>
      </c>
      <c r="C77" s="9" t="s">
        <v>188</v>
      </c>
      <c r="D77" s="9" t="s">
        <v>189</v>
      </c>
      <c r="E77" s="9" t="s">
        <v>53</v>
      </c>
      <c r="F77" s="9" t="s">
        <v>53</v>
      </c>
      <c r="G77" s="9"/>
      <c r="H77" s="20" t="n">
        <v>155538.2</v>
      </c>
      <c r="I77" s="20" t="n">
        <v>155538.2</v>
      </c>
    </row>
    <row r="78" customFormat="false" ht="15" hidden="false" customHeight="false" outlineLevel="0" collapsed="false">
      <c r="B78" s="19" t="s">
        <v>190</v>
      </c>
      <c r="C78" s="9" t="s">
        <v>191</v>
      </c>
      <c r="D78" s="9" t="s">
        <v>192</v>
      </c>
      <c r="E78" s="9" t="s">
        <v>53</v>
      </c>
      <c r="F78" s="9" t="s">
        <v>53</v>
      </c>
      <c r="G78" s="9"/>
      <c r="H78" s="20" t="n">
        <v>156488.1312</v>
      </c>
      <c r="I78" s="20" t="n">
        <v>156488.1312</v>
      </c>
    </row>
    <row r="79" customFormat="false" ht="15" hidden="false" customHeight="false" outlineLevel="0" collapsed="false">
      <c r="B79" s="19" t="s">
        <v>193</v>
      </c>
      <c r="C79" s="9" t="s">
        <v>194</v>
      </c>
      <c r="D79" s="9" t="s">
        <v>52</v>
      </c>
      <c r="E79" s="9" t="s">
        <v>53</v>
      </c>
      <c r="F79" s="9" t="s">
        <v>53</v>
      </c>
      <c r="G79" s="9"/>
      <c r="H79" s="20" t="n">
        <v>133500</v>
      </c>
      <c r="I79" s="20" t="n">
        <v>133500</v>
      </c>
    </row>
    <row r="80" customFormat="false" ht="15" hidden="false" customHeight="false" outlineLevel="0" collapsed="false">
      <c r="B80" s="19" t="s">
        <v>195</v>
      </c>
      <c r="C80" s="9" t="s">
        <v>196</v>
      </c>
      <c r="D80" s="9" t="s">
        <v>52</v>
      </c>
      <c r="E80" s="9" t="s">
        <v>53</v>
      </c>
      <c r="F80" s="9" t="s">
        <v>53</v>
      </c>
      <c r="G80" s="9"/>
      <c r="H80" s="20" t="n">
        <v>267547.35</v>
      </c>
      <c r="I80" s="20" t="n">
        <v>267547.35</v>
      </c>
    </row>
    <row r="81" customFormat="false" ht="15" hidden="false" customHeight="false" outlineLevel="0" collapsed="false">
      <c r="B81" s="19" t="s">
        <v>197</v>
      </c>
      <c r="C81" s="9" t="s">
        <v>198</v>
      </c>
      <c r="D81" s="9" t="s">
        <v>57</v>
      </c>
      <c r="E81" s="9" t="s">
        <v>53</v>
      </c>
      <c r="F81" s="9" t="s">
        <v>53</v>
      </c>
      <c r="G81" s="9"/>
      <c r="H81" s="20" t="n">
        <v>247161.9</v>
      </c>
      <c r="I81" s="20" t="n">
        <v>247161.9</v>
      </c>
    </row>
    <row r="82" customFormat="false" ht="15" hidden="false" customHeight="false" outlineLevel="0" collapsed="false">
      <c r="B82" s="8" t="s">
        <v>199</v>
      </c>
      <c r="H82" s="18" t="n">
        <f aca="false">SUMIFS('Role data'!$M$2:$M$550,'Role data'!$C$2:$C$550,"Ampol Retail",'Role data'!$D$2:$D$550,"Head of Technology",'Role data'!$E$2:$E$550,"overhead")</f>
        <v>186032.25</v>
      </c>
      <c r="I82" s="18" t="n">
        <f aca="false">SUMIFS('Role data'!$N$2:$N$550,'Role data'!$C$2:$C$550,"Ampol Retail",'Role data'!$D$2:$D$550,"Head of Technology",'Role data'!$E$2:$E$550,"overhead")</f>
        <v>186032.25</v>
      </c>
    </row>
    <row r="83" customFormat="false" ht="15" hidden="false" customHeight="false" outlineLevel="0" collapsed="false">
      <c r="B83" s="19" t="s">
        <v>200</v>
      </c>
      <c r="C83" s="9" t="s">
        <v>201</v>
      </c>
      <c r="D83" s="9" t="s">
        <v>202</v>
      </c>
      <c r="E83" s="9" t="s">
        <v>53</v>
      </c>
      <c r="F83" s="9" t="s">
        <v>53</v>
      </c>
      <c r="G83" s="9"/>
      <c r="H83" s="20" t="n">
        <v>186032.25</v>
      </c>
      <c r="I83" s="20" t="n">
        <v>186032.25</v>
      </c>
    </row>
    <row r="84" customFormat="false" ht="15" hidden="false" customHeight="false" outlineLevel="0" collapsed="false">
      <c r="B84" s="8" t="s">
        <v>203</v>
      </c>
      <c r="H84" s="18" t="n">
        <f aca="false">SUMIFS('Role data'!$M$2:$M$550,'Role data'!$C$2:$C$550,"Ampol Retail",'Role data'!$D$2:$D$550,"Delivery Manager",'Role data'!$E$2:$E$550,"overhead")</f>
        <v>212056.145</v>
      </c>
      <c r="I84" s="18" t="n">
        <f aca="false">SUMIFS('Role data'!$N$2:$N$550,'Role data'!$C$2:$C$550,"Ampol Retail",'Role data'!$D$2:$D$550,"Delivery Manager",'Role data'!$E$2:$E$550,"overhead")</f>
        <v>212056.145</v>
      </c>
    </row>
    <row r="85" customFormat="false" ht="15" hidden="false" customHeight="false" outlineLevel="0" collapsed="false">
      <c r="B85" s="19" t="s">
        <v>204</v>
      </c>
      <c r="C85" s="9" t="s">
        <v>205</v>
      </c>
      <c r="D85" s="9" t="s">
        <v>203</v>
      </c>
      <c r="E85" s="9" t="s">
        <v>53</v>
      </c>
      <c r="F85" s="9" t="s">
        <v>53</v>
      </c>
      <c r="G85" s="9"/>
      <c r="H85" s="20" t="n">
        <v>212056.145</v>
      </c>
      <c r="I85" s="20" t="n">
        <v>212056.145</v>
      </c>
    </row>
    <row r="86" customFormat="false" ht="15" hidden="false" customHeight="false" outlineLevel="0" collapsed="false">
      <c r="B86" s="8" t="s">
        <v>206</v>
      </c>
      <c r="H86" s="18" t="n">
        <f aca="false">SUMIFS('Role data'!$M$2:$M$550,'Role data'!$C$2:$C$550,"Ampol Retail",'Role data'!$D$2:$D$550,"Technology Manager",'Role data'!$E$2:$E$550,"overhead")</f>
        <v>766646.363</v>
      </c>
      <c r="I86" s="18" t="n">
        <f aca="false">SUMIFS('Role data'!$N$2:$N$550,'Role data'!$C$2:$C$550,"Ampol Retail",'Role data'!$D$2:$D$550,"Technology Manager",'Role data'!$E$2:$E$550,"overhead")</f>
        <v>766646.363</v>
      </c>
    </row>
    <row r="87" customFormat="false" ht="15" hidden="false" customHeight="false" outlineLevel="0" collapsed="false">
      <c r="B87" s="19" t="s">
        <v>207</v>
      </c>
      <c r="C87" s="9" t="s">
        <v>208</v>
      </c>
      <c r="D87" s="9" t="s">
        <v>209</v>
      </c>
      <c r="E87" s="9" t="s">
        <v>53</v>
      </c>
      <c r="F87" s="9" t="s">
        <v>53</v>
      </c>
      <c r="G87" s="9"/>
      <c r="H87" s="20" t="n">
        <v>224341.488</v>
      </c>
      <c r="I87" s="20" t="n">
        <v>224341.488</v>
      </c>
    </row>
    <row r="88" customFormat="false" ht="15" hidden="false" customHeight="false" outlineLevel="0" collapsed="false">
      <c r="B88" s="19" t="s">
        <v>210</v>
      </c>
      <c r="C88" s="9" t="s">
        <v>211</v>
      </c>
      <c r="D88" s="9" t="s">
        <v>212</v>
      </c>
      <c r="E88" s="9" t="s">
        <v>53</v>
      </c>
      <c r="F88" s="9" t="s">
        <v>53</v>
      </c>
      <c r="G88" s="9"/>
      <c r="H88" s="20" t="n">
        <v>284550</v>
      </c>
      <c r="I88" s="20" t="n">
        <v>284550</v>
      </c>
    </row>
    <row r="89" customFormat="false" ht="15" hidden="false" customHeight="false" outlineLevel="0" collapsed="false">
      <c r="B89" s="19" t="s">
        <v>213</v>
      </c>
      <c r="C89" s="9" t="s">
        <v>214</v>
      </c>
      <c r="D89" s="9" t="s">
        <v>215</v>
      </c>
      <c r="E89" s="9" t="s">
        <v>53</v>
      </c>
      <c r="F89" s="9" t="s">
        <v>53</v>
      </c>
      <c r="G89" s="9"/>
      <c r="H89" s="20" t="n">
        <v>257754.875</v>
      </c>
      <c r="I89" s="20" t="n">
        <v>257754.875</v>
      </c>
    </row>
    <row r="90" customFormat="false" ht="15" hidden="false" customHeight="false" outlineLevel="0" collapsed="false">
      <c r="B90" s="13" t="s">
        <v>38</v>
      </c>
      <c r="C90" s="21"/>
      <c r="D90" s="21"/>
      <c r="E90" s="21"/>
      <c r="F90" s="21"/>
      <c r="G90" s="21"/>
      <c r="H90" s="22" t="n">
        <f aca="false">SUMIFS('Role data'!$M$2:$M$550,'Role data'!$C$2:$C$550,"Ampol Retail")</f>
        <v>13575524.2192</v>
      </c>
      <c r="I90" s="22" t="n">
        <f aca="false">SUMIFS('Role data'!$N$2:$N$550,'Role data'!$C$2:$C$550,"Ampol Retail")</f>
        <v>11736362.77195</v>
      </c>
    </row>
  </sheetData>
  <sheetProtection sheet="true" password="c5c5"/>
  <mergeCells count="7">
    <mergeCell ref="C5:C6"/>
    <mergeCell ref="D5:D6"/>
    <mergeCell ref="E5:E6"/>
    <mergeCell ref="F5:F6"/>
    <mergeCell ref="G5:G6"/>
    <mergeCell ref="H5:H6"/>
    <mergeCell ref="I5:I6"/>
  </mergeCells>
  <conditionalFormatting sqref="F5">
    <cfRule type="cellIs" priority="2" operator="greaterThan" aboveAverage="0" equalAverage="0" bottom="0" percent="0" rank="0" text="" dxfId="0">
      <formula>0</formula>
    </cfRule>
  </conditionalFormatting>
  <conditionalFormatting sqref="H10:H20 H22:H27 H29:H33 H35:H40 H42:H49 H51:H54 H56:H63 H65:H74 H76:H81 H83 H85 H87:H89">
    <cfRule type="dataBar" priority="3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{ED579692-4AEE-4F61-9D43-31EA2F188970}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579692-4AEE-4F61-9D43-31EA2F188970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H10:H20 H22:H27 H29:H33 H35:H40 H42:H49 H51:H54 H56:H63 H65:H74 H76:H81 H83 H85 H87:H89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24.5"/>
    <col collapsed="false" customWidth="true" hidden="false" outlineLevel="0" max="4" min="4" style="0" width="4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22" min="20" style="0" width="13"/>
  </cols>
  <sheetData>
    <row r="2" customFormat="false" ht="17.35" hidden="false" customHeight="false" outlineLevel="0" collapsed="false">
      <c r="B2" s="1" t="s">
        <v>16</v>
      </c>
    </row>
    <row r="4" customFormat="false" ht="42" hidden="false" customHeight="true" outlineLevel="0" collapsed="false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Format="false" ht="19.5" hidden="false" customHeight="true" outlineLevel="0" collapsed="false">
      <c r="C5" s="16" t="n">
        <f aca="false">'TDD Dashboard'!$C$11</f>
        <v>6.666290208</v>
      </c>
      <c r="D5" s="16" t="n">
        <f aca="false">'TDD Dashboard'!$D$11</f>
        <v>6.44687458794546</v>
      </c>
      <c r="E5" s="16" t="n">
        <f aca="false">'TDD Dashboard'!$E$11</f>
        <v>6.5</v>
      </c>
      <c r="F5" s="16" t="n">
        <f aca="false">'TDD Dashboard'!$F$11</f>
        <v>-0.0531254120545448</v>
      </c>
      <c r="G5" s="17" t="n">
        <f aca="false">'TDD Dashboard'!$G$11</f>
        <v>0.967085798366349</v>
      </c>
      <c r="H5" s="16" t="n">
        <f aca="false">'TDD Dashboard'!$H$11</f>
        <v>0</v>
      </c>
      <c r="I5" s="16" t="n">
        <f aca="false">'TDD Dashboard'!$I$11</f>
        <v>0.219415620054544</v>
      </c>
    </row>
    <row r="6" customFormat="false" ht="19.5" hidden="false" customHeight="true" outlineLevel="0" collapsed="false">
      <c r="C6" s="16"/>
      <c r="D6" s="16"/>
      <c r="E6" s="16"/>
      <c r="F6" s="16"/>
      <c r="G6" s="16"/>
      <c r="H6" s="16"/>
      <c r="I6" s="16"/>
    </row>
    <row r="8" customFormat="false" ht="45" hidden="false" customHeight="true" outlineLevel="0" collapsed="false">
      <c r="B8" s="5" t="s">
        <v>39</v>
      </c>
      <c r="C8" s="5" t="s">
        <v>40</v>
      </c>
      <c r="D8" s="5" t="s">
        <v>41</v>
      </c>
      <c r="E8" s="5" t="s">
        <v>42</v>
      </c>
      <c r="F8" s="5" t="s">
        <v>43</v>
      </c>
      <c r="G8" s="5" t="s">
        <v>44</v>
      </c>
      <c r="H8" s="6" t="s">
        <v>45</v>
      </c>
      <c r="I8" s="6" t="s">
        <v>46</v>
      </c>
      <c r="T8" s="7" t="s">
        <v>47</v>
      </c>
      <c r="U8" s="7" t="s">
        <v>2</v>
      </c>
      <c r="V8" s="7" t="s">
        <v>7</v>
      </c>
    </row>
    <row r="9" customFormat="false" ht="15" hidden="false" customHeight="false" outlineLevel="0" collapsed="false">
      <c r="B9" s="8" t="s">
        <v>216</v>
      </c>
      <c r="H9" s="18" t="n">
        <f aca="false">SUMIFS('Role data'!$M$2:$M$550,'Role data'!$C$2:$C$550,"Z Retail",'Role data'!$D$2:$D$550,"Data NZ",'Role data'!$E$2:$E$550,"squad")</f>
        <v>1223843.362</v>
      </c>
      <c r="I9" s="18" t="n">
        <f aca="false">SUMIFS('Role data'!$N$2:$N$550,'Role data'!$C$2:$C$550,"Z Retail",'Role data'!$D$2:$D$550,"Data NZ",'Role data'!$E$2:$E$550,"squad")</f>
        <v>745179.862</v>
      </c>
      <c r="T9" s="9" t="s">
        <v>216</v>
      </c>
      <c r="U9" s="10" t="n">
        <f aca="false">SUMIFS('Role data'!$Q$2:$Q$550,'Role data'!$C$2:$C$550,"Z Retail",'Role data'!$D$2:$D$550,"Data NZ",'Role data'!$E$2:$E$550,"squad")/1000000</f>
        <v>0.6706618758</v>
      </c>
      <c r="V9" s="10" t="n">
        <f aca="false">(SUMIFS('Role data'!$N$2:$N$550,'Role data'!$C$2:$C$550,"Z Retail",'Role data'!$D$2:$D$550,"Data NZ",'Role data'!$E$2:$E$550,"squad")-SUMIFS('Role data'!$Q$2:$Q$550,'Role data'!$C$2:$C$550,"Z Retail",'Role data'!$D$2:$D$550,"Data NZ",'Role data'!$E$2:$E$550,"squad"))/1000000</f>
        <v>0.0745179861999999</v>
      </c>
    </row>
    <row r="10" customFormat="false" ht="15" hidden="false" customHeight="false" outlineLevel="0" collapsed="false">
      <c r="B10" s="19" t="s">
        <v>217</v>
      </c>
      <c r="C10" s="9" t="s">
        <v>69</v>
      </c>
      <c r="D10" s="9" t="s">
        <v>84</v>
      </c>
      <c r="E10" s="9" t="s">
        <v>69</v>
      </c>
      <c r="F10" s="9" t="s">
        <v>78</v>
      </c>
      <c r="G10" s="9"/>
      <c r="H10" s="20" t="n">
        <v>275810.25</v>
      </c>
      <c r="I10" s="20" t="n">
        <v>0</v>
      </c>
      <c r="T10" s="9" t="s">
        <v>218</v>
      </c>
      <c r="U10" s="10" t="n">
        <f aca="false">SUMIFS('Role data'!$Q$2:$Q$550,'Role data'!$C$2:$C$550,"Z Retail",'Role data'!$D$2:$D$550,"Site Systems",'Role data'!$E$2:$E$550,"squad")/1000000</f>
        <v>1.0997326064</v>
      </c>
      <c r="V10" s="10" t="n">
        <f aca="false">(SUMIFS('Role data'!$N$2:$N$550,'Role data'!$C$2:$C$550,"Z Retail",'Role data'!$D$2:$D$550,"Site Systems",'Role data'!$E$2:$E$550,"squad")-SUMIFS('Role data'!$Q$2:$Q$550,'Role data'!$C$2:$C$550,"Z Retail",'Role data'!$D$2:$D$550,"Site Systems",'Role data'!$E$2:$E$550,"squad"))/1000000</f>
        <v>0.2749331516</v>
      </c>
    </row>
    <row r="11" customFormat="false" ht="15" hidden="false" customHeight="false" outlineLevel="0" collapsed="false">
      <c r="B11" s="19" t="s">
        <v>219</v>
      </c>
      <c r="C11" s="9" t="s">
        <v>69</v>
      </c>
      <c r="D11" s="9" t="s">
        <v>89</v>
      </c>
      <c r="E11" s="9" t="s">
        <v>69</v>
      </c>
      <c r="F11" s="9" t="s">
        <v>78</v>
      </c>
      <c r="G11" s="9"/>
      <c r="H11" s="20" t="n">
        <v>202853.25</v>
      </c>
      <c r="I11" s="20" t="n">
        <v>0</v>
      </c>
      <c r="T11" s="9" t="s">
        <v>220</v>
      </c>
      <c r="U11" s="10" t="n">
        <f aca="false">SUMIFS('Role data'!$Q$2:$Q$550,'Role data'!$C$2:$C$550,"Z Retail",'Role data'!$D$2:$D$550,"Z Supply",'Role data'!$E$2:$E$550,"squad")/1000000</f>
        <v>1.3310195168</v>
      </c>
      <c r="V11" s="10" t="n">
        <f aca="false">(SUMIFS('Role data'!$N$2:$N$550,'Role data'!$C$2:$C$550,"Z Retail",'Role data'!$D$2:$D$550,"Z Supply",'Role data'!$E$2:$E$550,"squad")-SUMIFS('Role data'!$Q$2:$Q$550,'Role data'!$C$2:$C$550,"Z Retail",'Role data'!$D$2:$D$550,"Z Supply",'Role data'!$E$2:$E$550,"squad"))/1000000</f>
        <v>0.3327548792</v>
      </c>
    </row>
    <row r="12" customFormat="false" ht="15" hidden="false" customHeight="false" outlineLevel="0" collapsed="false">
      <c r="B12" s="19" t="s">
        <v>221</v>
      </c>
      <c r="C12" s="9" t="s">
        <v>222</v>
      </c>
      <c r="D12" s="9" t="s">
        <v>223</v>
      </c>
      <c r="E12" s="9" t="s">
        <v>53</v>
      </c>
      <c r="F12" s="9" t="s">
        <v>53</v>
      </c>
      <c r="G12" s="9"/>
      <c r="H12" s="20" t="n">
        <v>140772.828</v>
      </c>
      <c r="I12" s="20" t="n">
        <v>140772.828</v>
      </c>
      <c r="T12" s="9" t="s">
        <v>224</v>
      </c>
      <c r="U12" s="10" t="n">
        <f aca="false">SUMIFS('Role data'!$Q$2:$Q$550,'Role data'!$C$2:$C$550,"Z Retail",'Role data'!$D$2:$D$550,"Z Retail Backend",'Role data'!$E$2:$E$550,"squad")/1000000</f>
        <v>1.3497419344</v>
      </c>
      <c r="V12" s="10" t="n">
        <f aca="false">(SUMIFS('Role data'!$N$2:$N$550,'Role data'!$C$2:$C$550,"Z Retail",'Role data'!$D$2:$D$550,"Z Retail Backend",'Role data'!$E$2:$E$550,"squad")-SUMIFS('Role data'!$Q$2:$Q$550,'Role data'!$C$2:$C$550,"Z Retail",'Role data'!$D$2:$D$550,"Z Retail Backend",'Role data'!$E$2:$E$550,"squad"))/1000000</f>
        <v>0.3374354836</v>
      </c>
    </row>
    <row r="13" customFormat="false" ht="15" hidden="false" customHeight="false" outlineLevel="0" collapsed="false">
      <c r="B13" s="19" t="s">
        <v>225</v>
      </c>
      <c r="C13" s="9" t="s">
        <v>226</v>
      </c>
      <c r="D13" s="9" t="s">
        <v>89</v>
      </c>
      <c r="E13" s="9" t="s">
        <v>53</v>
      </c>
      <c r="F13" s="9" t="s">
        <v>53</v>
      </c>
      <c r="G13" s="9"/>
      <c r="H13" s="20" t="n">
        <v>155676</v>
      </c>
      <c r="I13" s="20" t="n">
        <v>155676</v>
      </c>
    </row>
    <row r="14" customFormat="false" ht="15" hidden="false" customHeight="false" outlineLevel="0" collapsed="false">
      <c r="B14" s="19" t="s">
        <v>227</v>
      </c>
      <c r="C14" s="9" t="s">
        <v>228</v>
      </c>
      <c r="D14" s="9" t="s">
        <v>86</v>
      </c>
      <c r="E14" s="9" t="s">
        <v>53</v>
      </c>
      <c r="F14" s="9" t="s">
        <v>53</v>
      </c>
      <c r="G14" s="9"/>
      <c r="H14" s="20" t="n">
        <v>144642.9</v>
      </c>
      <c r="I14" s="20" t="n">
        <v>144642.9</v>
      </c>
    </row>
    <row r="15" customFormat="false" ht="15" hidden="false" customHeight="false" outlineLevel="0" collapsed="false">
      <c r="B15" s="19" t="s">
        <v>229</v>
      </c>
      <c r="C15" s="9" t="s">
        <v>230</v>
      </c>
      <c r="D15" s="9" t="s">
        <v>86</v>
      </c>
      <c r="E15" s="9" t="s">
        <v>53</v>
      </c>
      <c r="F15" s="9" t="s">
        <v>53</v>
      </c>
      <c r="G15" s="9"/>
      <c r="H15" s="20" t="n">
        <v>91809.784</v>
      </c>
      <c r="I15" s="20" t="n">
        <v>91809.784</v>
      </c>
    </row>
    <row r="16" customFormat="false" ht="15" hidden="false" customHeight="false" outlineLevel="0" collapsed="false">
      <c r="B16" s="19" t="s">
        <v>231</v>
      </c>
      <c r="C16" s="9" t="s">
        <v>232</v>
      </c>
      <c r="D16" s="9" t="s">
        <v>89</v>
      </c>
      <c r="E16" s="9" t="s">
        <v>53</v>
      </c>
      <c r="F16" s="9" t="s">
        <v>53</v>
      </c>
      <c r="G16" s="9"/>
      <c r="H16" s="20" t="n">
        <v>212278.35</v>
      </c>
      <c r="I16" s="20" t="n">
        <v>212278.35</v>
      </c>
    </row>
    <row r="17" customFormat="false" ht="15" hidden="false" customHeight="false" outlineLevel="0" collapsed="false">
      <c r="B17" s="8" t="s">
        <v>218</v>
      </c>
      <c r="H17" s="18" t="n">
        <f aca="false">SUMIFS('Role data'!$M$2:$M$550,'Role data'!$C$2:$C$550,"Z Retail",'Role data'!$D$2:$D$550,"Site Systems",'Role data'!$E$2:$E$550,"squad")</f>
        <v>1374665.758</v>
      </c>
      <c r="I17" s="18" t="n">
        <f aca="false">SUMIFS('Role data'!$N$2:$N$550,'Role data'!$C$2:$C$550,"Z Retail",'Role data'!$D$2:$D$550,"Site Systems",'Role data'!$E$2:$E$550,"squad")</f>
        <v>1374665.758</v>
      </c>
    </row>
    <row r="18" customFormat="false" ht="15" hidden="false" customHeight="false" outlineLevel="0" collapsed="false">
      <c r="B18" s="19" t="s">
        <v>233</v>
      </c>
      <c r="C18" s="9" t="s">
        <v>234</v>
      </c>
      <c r="D18" s="9" t="s">
        <v>52</v>
      </c>
      <c r="E18" s="9" t="s">
        <v>53</v>
      </c>
      <c r="F18" s="9" t="s">
        <v>53</v>
      </c>
      <c r="G18" s="9"/>
      <c r="H18" s="20" t="n">
        <v>186217.884</v>
      </c>
      <c r="I18" s="20" t="n">
        <v>186217.884</v>
      </c>
    </row>
    <row r="19" customFormat="false" ht="15" hidden="false" customHeight="false" outlineLevel="0" collapsed="false">
      <c r="B19" s="19" t="s">
        <v>235</v>
      </c>
      <c r="C19" s="9" t="s">
        <v>236</v>
      </c>
      <c r="D19" s="9" t="s">
        <v>118</v>
      </c>
      <c r="E19" s="9" t="s">
        <v>53</v>
      </c>
      <c r="F19" s="9" t="s">
        <v>53</v>
      </c>
      <c r="G19" s="9"/>
      <c r="H19" s="20" t="n">
        <v>81073.2</v>
      </c>
      <c r="I19" s="20" t="n">
        <v>81073.2</v>
      </c>
    </row>
    <row r="20" customFormat="false" ht="15" hidden="false" customHeight="false" outlineLevel="0" collapsed="false">
      <c r="B20" s="19" t="s">
        <v>237</v>
      </c>
      <c r="C20" s="9" t="s">
        <v>238</v>
      </c>
      <c r="D20" s="9" t="s">
        <v>118</v>
      </c>
      <c r="E20" s="9" t="s">
        <v>53</v>
      </c>
      <c r="F20" s="9" t="s">
        <v>53</v>
      </c>
      <c r="G20" s="9"/>
      <c r="H20" s="20" t="n">
        <v>199898.928</v>
      </c>
      <c r="I20" s="20" t="n">
        <v>199898.928</v>
      </c>
    </row>
    <row r="21" customFormat="false" ht="15" hidden="false" customHeight="false" outlineLevel="0" collapsed="false">
      <c r="B21" s="19" t="s">
        <v>239</v>
      </c>
      <c r="C21" s="9" t="s">
        <v>240</v>
      </c>
      <c r="D21" s="9" t="s">
        <v>84</v>
      </c>
      <c r="E21" s="9" t="s">
        <v>53</v>
      </c>
      <c r="F21" s="9" t="s">
        <v>53</v>
      </c>
      <c r="G21" s="9"/>
      <c r="H21" s="20" t="n">
        <v>256913.42</v>
      </c>
      <c r="I21" s="20" t="n">
        <v>256913.42</v>
      </c>
    </row>
    <row r="22" customFormat="false" ht="15" hidden="false" customHeight="false" outlineLevel="0" collapsed="false">
      <c r="B22" s="19" t="s">
        <v>241</v>
      </c>
      <c r="C22" s="9" t="s">
        <v>242</v>
      </c>
      <c r="D22" s="9" t="s">
        <v>97</v>
      </c>
      <c r="E22" s="9" t="s">
        <v>53</v>
      </c>
      <c r="F22" s="9" t="s">
        <v>53</v>
      </c>
      <c r="G22" s="9"/>
      <c r="H22" s="20" t="n">
        <v>136438.8</v>
      </c>
      <c r="I22" s="20" t="n">
        <v>136438.8</v>
      </c>
    </row>
    <row r="23" customFormat="false" ht="15" hidden="false" customHeight="false" outlineLevel="0" collapsed="false">
      <c r="B23" s="19" t="s">
        <v>243</v>
      </c>
      <c r="C23" s="9" t="s">
        <v>244</v>
      </c>
      <c r="D23" s="9" t="s">
        <v>245</v>
      </c>
      <c r="E23" s="9" t="s">
        <v>53</v>
      </c>
      <c r="F23" s="9" t="s">
        <v>53</v>
      </c>
      <c r="G23" s="9"/>
      <c r="H23" s="20" t="n">
        <v>175039.65</v>
      </c>
      <c r="I23" s="20" t="n">
        <v>175039.65</v>
      </c>
    </row>
    <row r="24" customFormat="false" ht="15" hidden="false" customHeight="false" outlineLevel="0" collapsed="false">
      <c r="B24" s="19" t="s">
        <v>246</v>
      </c>
      <c r="C24" s="9" t="s">
        <v>247</v>
      </c>
      <c r="D24" s="9" t="s">
        <v>248</v>
      </c>
      <c r="E24" s="9" t="s">
        <v>53</v>
      </c>
      <c r="F24" s="9" t="s">
        <v>53</v>
      </c>
      <c r="G24" s="9"/>
      <c r="H24" s="20" t="n">
        <v>134979.036</v>
      </c>
      <c r="I24" s="20" t="n">
        <v>134979.036</v>
      </c>
    </row>
    <row r="25" customFormat="false" ht="15" hidden="false" customHeight="false" outlineLevel="0" collapsed="false">
      <c r="B25" s="19" t="s">
        <v>249</v>
      </c>
      <c r="C25" s="9" t="s">
        <v>250</v>
      </c>
      <c r="D25" s="9" t="s">
        <v>251</v>
      </c>
      <c r="E25" s="9" t="s">
        <v>53</v>
      </c>
      <c r="F25" s="9" t="s">
        <v>53</v>
      </c>
      <c r="G25" s="9"/>
      <c r="H25" s="20" t="n">
        <v>107247.016</v>
      </c>
      <c r="I25" s="20" t="n">
        <v>107247.016</v>
      </c>
    </row>
    <row r="26" customFormat="false" ht="15" hidden="false" customHeight="false" outlineLevel="0" collapsed="false">
      <c r="B26" s="19" t="s">
        <v>252</v>
      </c>
      <c r="C26" s="9" t="s">
        <v>253</v>
      </c>
      <c r="D26" s="9" t="s">
        <v>251</v>
      </c>
      <c r="E26" s="9" t="s">
        <v>53</v>
      </c>
      <c r="F26" s="9" t="s">
        <v>53</v>
      </c>
      <c r="G26" s="9"/>
      <c r="H26" s="20" t="n">
        <v>96857.824</v>
      </c>
      <c r="I26" s="20" t="n">
        <v>96857.824</v>
      </c>
    </row>
    <row r="27" customFormat="false" ht="15" hidden="false" customHeight="false" outlineLevel="0" collapsed="false">
      <c r="B27" s="8" t="s">
        <v>224</v>
      </c>
      <c r="H27" s="18" t="n">
        <f aca="false">SUMIFS('Role data'!$M$2:$M$550,'Role data'!$C$2:$C$550,"Z Retail",'Role data'!$D$2:$D$550,"Z Retail Backend",'Role data'!$E$2:$E$550,"squad")</f>
        <v>1857667.168</v>
      </c>
      <c r="I27" s="18" t="n">
        <f aca="false">SUMIFS('Role data'!$N$2:$N$550,'Role data'!$C$2:$C$550,"Z Retail",'Role data'!$D$2:$D$550,"Z Retail Backend",'Role data'!$E$2:$E$550,"squad")</f>
        <v>1687177.418</v>
      </c>
    </row>
    <row r="28" customFormat="false" ht="15" hidden="false" customHeight="false" outlineLevel="0" collapsed="false">
      <c r="B28" s="19" t="s">
        <v>254</v>
      </c>
      <c r="C28" s="9" t="s">
        <v>255</v>
      </c>
      <c r="D28" s="9" t="s">
        <v>52</v>
      </c>
      <c r="E28" s="9" t="s">
        <v>53</v>
      </c>
      <c r="F28" s="9" t="s">
        <v>53</v>
      </c>
      <c r="G28" s="9"/>
      <c r="H28" s="20" t="n">
        <v>206598</v>
      </c>
      <c r="I28" s="20" t="n">
        <v>206598</v>
      </c>
    </row>
    <row r="29" customFormat="false" ht="15" hidden="false" customHeight="false" outlineLevel="0" collapsed="false">
      <c r="B29" s="19" t="s">
        <v>256</v>
      </c>
      <c r="C29" s="9" t="s">
        <v>257</v>
      </c>
      <c r="D29" s="9" t="s">
        <v>258</v>
      </c>
      <c r="E29" s="9" t="s">
        <v>53</v>
      </c>
      <c r="F29" s="9" t="s">
        <v>53</v>
      </c>
      <c r="G29" s="9"/>
      <c r="H29" s="20" t="n">
        <v>175289.5</v>
      </c>
      <c r="I29" s="20" t="n">
        <v>175289.5</v>
      </c>
    </row>
    <row r="30" customFormat="false" ht="15" hidden="false" customHeight="false" outlineLevel="0" collapsed="false">
      <c r="B30" s="19" t="s">
        <v>259</v>
      </c>
      <c r="C30" s="9" t="s">
        <v>69</v>
      </c>
      <c r="D30" s="9" t="s">
        <v>118</v>
      </c>
      <c r="E30" s="9" t="s">
        <v>69</v>
      </c>
      <c r="F30" s="9" t="s">
        <v>78</v>
      </c>
      <c r="G30" s="9"/>
      <c r="H30" s="20" t="n">
        <v>170489.75</v>
      </c>
      <c r="I30" s="20" t="n">
        <v>0</v>
      </c>
    </row>
    <row r="31" customFormat="false" ht="15" hidden="false" customHeight="false" outlineLevel="0" collapsed="false">
      <c r="B31" s="19" t="s">
        <v>260</v>
      </c>
      <c r="C31" s="9" t="s">
        <v>261</v>
      </c>
      <c r="D31" s="9" t="s">
        <v>84</v>
      </c>
      <c r="E31" s="9" t="s">
        <v>53</v>
      </c>
      <c r="F31" s="9" t="s">
        <v>53</v>
      </c>
      <c r="G31" s="9"/>
      <c r="H31" s="20" t="n">
        <v>180225</v>
      </c>
      <c r="I31" s="20" t="n">
        <v>180225</v>
      </c>
    </row>
    <row r="32" customFormat="false" ht="15" hidden="false" customHeight="false" outlineLevel="0" collapsed="false">
      <c r="B32" s="19" t="s">
        <v>262</v>
      </c>
      <c r="C32" s="9" t="s">
        <v>69</v>
      </c>
      <c r="D32" s="9" t="s">
        <v>263</v>
      </c>
      <c r="E32" s="9" t="s">
        <v>69</v>
      </c>
      <c r="F32" s="9" t="s">
        <v>82</v>
      </c>
      <c r="G32" s="9"/>
      <c r="H32" s="20" t="n">
        <v>231689.25</v>
      </c>
      <c r="I32" s="20" t="n">
        <v>231689.25</v>
      </c>
    </row>
    <row r="33" customFormat="false" ht="15" hidden="false" customHeight="false" outlineLevel="0" collapsed="false">
      <c r="B33" s="19" t="s">
        <v>264</v>
      </c>
      <c r="C33" s="9" t="s">
        <v>265</v>
      </c>
      <c r="D33" s="9" t="s">
        <v>266</v>
      </c>
      <c r="E33" s="9" t="s">
        <v>53</v>
      </c>
      <c r="F33" s="9" t="s">
        <v>53</v>
      </c>
      <c r="G33" s="9"/>
      <c r="H33" s="20" t="n">
        <v>142900.236</v>
      </c>
      <c r="I33" s="20" t="n">
        <v>142900.236</v>
      </c>
    </row>
    <row r="34" customFormat="false" ht="15" hidden="false" customHeight="false" outlineLevel="0" collapsed="false">
      <c r="B34" s="19" t="s">
        <v>267</v>
      </c>
      <c r="C34" s="9" t="s">
        <v>268</v>
      </c>
      <c r="D34" s="9" t="s">
        <v>269</v>
      </c>
      <c r="E34" s="9" t="s">
        <v>53</v>
      </c>
      <c r="F34" s="9" t="s">
        <v>53</v>
      </c>
      <c r="G34" s="9"/>
      <c r="H34" s="20" t="n">
        <v>199378.392</v>
      </c>
      <c r="I34" s="20" t="n">
        <v>199378.392</v>
      </c>
    </row>
    <row r="35" customFormat="false" ht="15" hidden="false" customHeight="false" outlineLevel="0" collapsed="false">
      <c r="B35" s="19" t="s">
        <v>270</v>
      </c>
      <c r="C35" s="9" t="s">
        <v>271</v>
      </c>
      <c r="D35" s="9" t="s">
        <v>77</v>
      </c>
      <c r="E35" s="9" t="s">
        <v>53</v>
      </c>
      <c r="F35" s="9" t="s">
        <v>53</v>
      </c>
      <c r="G35" s="9"/>
      <c r="H35" s="20" t="n">
        <v>112447.04</v>
      </c>
      <c r="I35" s="20" t="n">
        <v>112447.04</v>
      </c>
    </row>
    <row r="36" customFormat="false" ht="15" hidden="false" customHeight="false" outlineLevel="0" collapsed="false">
      <c r="B36" s="19" t="s">
        <v>272</v>
      </c>
      <c r="C36" s="9" t="s">
        <v>273</v>
      </c>
      <c r="D36" s="9" t="s">
        <v>274</v>
      </c>
      <c r="E36" s="9" t="s">
        <v>53</v>
      </c>
      <c r="F36" s="9" t="s">
        <v>53</v>
      </c>
      <c r="G36" s="9"/>
      <c r="H36" s="20" t="n">
        <v>438650</v>
      </c>
      <c r="I36" s="20" t="n">
        <v>438650</v>
      </c>
    </row>
    <row r="37" customFormat="false" ht="15" hidden="false" customHeight="false" outlineLevel="0" collapsed="false">
      <c r="B37" s="8" t="s">
        <v>220</v>
      </c>
      <c r="H37" s="18" t="n">
        <f aca="false">SUMIFS('Role data'!$M$2:$M$550,'Role data'!$C$2:$C$550,"Z Retail",'Role data'!$D$2:$D$550,"Z Supply",'Role data'!$E$2:$E$550,"squad")</f>
        <v>1663774.396</v>
      </c>
      <c r="I37" s="18" t="n">
        <f aca="false">SUMIFS('Role data'!$N$2:$N$550,'Role data'!$C$2:$C$550,"Z Retail",'Role data'!$D$2:$D$550,"Z Supply",'Role data'!$E$2:$E$550,"squad")</f>
        <v>1663774.396</v>
      </c>
    </row>
    <row r="38" customFormat="false" ht="15" hidden="false" customHeight="false" outlineLevel="0" collapsed="false">
      <c r="B38" s="19" t="s">
        <v>275</v>
      </c>
      <c r="C38" s="9" t="s">
        <v>276</v>
      </c>
      <c r="D38" s="9" t="s">
        <v>277</v>
      </c>
      <c r="E38" s="9" t="s">
        <v>53</v>
      </c>
      <c r="F38" s="9" t="s">
        <v>53</v>
      </c>
      <c r="G38" s="9"/>
      <c r="H38" s="20" t="n">
        <v>184248.9</v>
      </c>
      <c r="I38" s="20" t="n">
        <v>184248.9</v>
      </c>
    </row>
    <row r="39" customFormat="false" ht="15" hidden="false" customHeight="false" outlineLevel="0" collapsed="false">
      <c r="B39" s="19" t="s">
        <v>278</v>
      </c>
      <c r="C39" s="9" t="s">
        <v>279</v>
      </c>
      <c r="D39" s="9" t="s">
        <v>84</v>
      </c>
      <c r="E39" s="9" t="s">
        <v>53</v>
      </c>
      <c r="F39" s="9" t="s">
        <v>53</v>
      </c>
      <c r="G39" s="9"/>
      <c r="H39" s="20" t="n">
        <v>239418.9</v>
      </c>
      <c r="I39" s="20" t="n">
        <v>239418.9</v>
      </c>
    </row>
    <row r="40" customFormat="false" ht="15" hidden="false" customHeight="false" outlineLevel="0" collapsed="false">
      <c r="B40" s="19" t="s">
        <v>280</v>
      </c>
      <c r="C40" s="9" t="s">
        <v>281</v>
      </c>
      <c r="D40" s="9" t="s">
        <v>282</v>
      </c>
      <c r="E40" s="9" t="s">
        <v>53</v>
      </c>
      <c r="F40" s="9" t="s">
        <v>53</v>
      </c>
      <c r="G40" s="9"/>
      <c r="H40" s="20" t="n">
        <v>224493.6</v>
      </c>
      <c r="I40" s="20" t="n">
        <v>224493.6</v>
      </c>
    </row>
    <row r="41" customFormat="false" ht="15" hidden="false" customHeight="false" outlineLevel="0" collapsed="false">
      <c r="B41" s="19" t="s">
        <v>283</v>
      </c>
      <c r="C41" s="9" t="s">
        <v>284</v>
      </c>
      <c r="D41" s="9" t="s">
        <v>269</v>
      </c>
      <c r="E41" s="9" t="s">
        <v>53</v>
      </c>
      <c r="F41" s="9" t="s">
        <v>53</v>
      </c>
      <c r="G41" s="9"/>
      <c r="H41" s="20" t="n">
        <v>104565.584</v>
      </c>
      <c r="I41" s="20" t="n">
        <v>104565.584</v>
      </c>
    </row>
    <row r="42" customFormat="false" ht="15" hidden="false" customHeight="false" outlineLevel="0" collapsed="false">
      <c r="B42" s="19" t="s">
        <v>285</v>
      </c>
      <c r="C42" s="9" t="s">
        <v>69</v>
      </c>
      <c r="D42" s="9" t="s">
        <v>80</v>
      </c>
      <c r="E42" s="9" t="s">
        <v>69</v>
      </c>
      <c r="F42" s="9" t="s">
        <v>82</v>
      </c>
      <c r="G42" s="9"/>
      <c r="H42" s="20" t="n">
        <v>275810.25</v>
      </c>
      <c r="I42" s="20" t="n">
        <v>275810.25</v>
      </c>
    </row>
    <row r="43" customFormat="false" ht="15" hidden="false" customHeight="false" outlineLevel="0" collapsed="false">
      <c r="B43" s="19" t="s">
        <v>286</v>
      </c>
      <c r="C43" s="9" t="s">
        <v>287</v>
      </c>
      <c r="D43" s="9" t="s">
        <v>133</v>
      </c>
      <c r="E43" s="9" t="s">
        <v>53</v>
      </c>
      <c r="F43" s="9" t="s">
        <v>53</v>
      </c>
      <c r="G43" s="9"/>
      <c r="H43" s="20" t="n">
        <v>153774.912</v>
      </c>
      <c r="I43" s="20" t="n">
        <v>153774.912</v>
      </c>
    </row>
    <row r="44" customFormat="false" ht="15" hidden="false" customHeight="false" outlineLevel="0" collapsed="false">
      <c r="B44" s="19" t="s">
        <v>288</v>
      </c>
      <c r="C44" s="9" t="s">
        <v>289</v>
      </c>
      <c r="D44" s="9" t="s">
        <v>290</v>
      </c>
      <c r="E44" s="9" t="s">
        <v>53</v>
      </c>
      <c r="F44" s="9" t="s">
        <v>53</v>
      </c>
      <c r="G44" s="9"/>
      <c r="H44" s="20" t="n">
        <v>174513.65</v>
      </c>
      <c r="I44" s="20" t="n">
        <v>174513.65</v>
      </c>
    </row>
    <row r="45" customFormat="false" ht="15" hidden="false" customHeight="false" outlineLevel="0" collapsed="false">
      <c r="B45" s="19" t="s">
        <v>291</v>
      </c>
      <c r="C45" s="9" t="s">
        <v>292</v>
      </c>
      <c r="D45" s="9" t="s">
        <v>263</v>
      </c>
      <c r="E45" s="9" t="s">
        <v>53</v>
      </c>
      <c r="F45" s="9" t="s">
        <v>53</v>
      </c>
      <c r="G45" s="9"/>
      <c r="H45" s="20" t="n">
        <v>190050.6</v>
      </c>
      <c r="I45" s="20" t="n">
        <v>190050.6</v>
      </c>
    </row>
    <row r="46" customFormat="false" ht="15" hidden="false" customHeight="false" outlineLevel="0" collapsed="false">
      <c r="B46" s="19" t="s">
        <v>293</v>
      </c>
      <c r="C46" s="9" t="s">
        <v>294</v>
      </c>
      <c r="D46" s="9" t="s">
        <v>290</v>
      </c>
      <c r="E46" s="9" t="s">
        <v>53</v>
      </c>
      <c r="F46" s="9" t="s">
        <v>53</v>
      </c>
      <c r="G46" s="9"/>
      <c r="H46" s="20" t="n">
        <v>116898</v>
      </c>
      <c r="I46" s="20" t="n">
        <v>116898</v>
      </c>
    </row>
    <row r="47" customFormat="false" ht="15" hidden="false" customHeight="false" outlineLevel="0" collapsed="false">
      <c r="B47" s="8" t="s">
        <v>199</v>
      </c>
      <c r="H47" s="18" t="n">
        <f aca="false">SUMIFS('Role data'!$M$2:$M$550,'Role data'!$C$2:$C$550,"Z Retail",'Role data'!$D$2:$D$550,"Head of Technology",'Role data'!$E$2:$E$550,"overhead")</f>
        <v>291422</v>
      </c>
      <c r="I47" s="18" t="n">
        <f aca="false">SUMIFS('Role data'!$N$2:$N$550,'Role data'!$C$2:$C$550,"Z Retail",'Role data'!$D$2:$D$550,"Head of Technology",'Role data'!$E$2:$E$550,"overhead")</f>
        <v>291422</v>
      </c>
    </row>
    <row r="48" customFormat="false" ht="15" hidden="false" customHeight="false" outlineLevel="0" collapsed="false">
      <c r="B48" s="19" t="s">
        <v>295</v>
      </c>
      <c r="C48" s="9" t="s">
        <v>69</v>
      </c>
      <c r="D48" s="9" t="s">
        <v>296</v>
      </c>
      <c r="E48" s="9" t="s">
        <v>69</v>
      </c>
      <c r="F48" s="9" t="s">
        <v>53</v>
      </c>
      <c r="G48" s="9"/>
      <c r="H48" s="20" t="n">
        <v>291422</v>
      </c>
      <c r="I48" s="20" t="n">
        <v>291422</v>
      </c>
    </row>
    <row r="49" customFormat="false" ht="15" hidden="false" customHeight="false" outlineLevel="0" collapsed="false">
      <c r="B49" s="8" t="s">
        <v>203</v>
      </c>
      <c r="H49" s="18" t="n">
        <f aca="false">SUMIFS('Role data'!$M$2:$M$550,'Role data'!$C$2:$C$550,"Z Retail",'Role data'!$D$2:$D$550,"Delivery Manager",'Role data'!$E$2:$E$550,"overhead")</f>
        <v>202853.25</v>
      </c>
      <c r="I49" s="18" t="n">
        <f aca="false">SUMIFS('Role data'!$N$2:$N$550,'Role data'!$C$2:$C$550,"Z Retail",'Role data'!$D$2:$D$550,"Delivery Manager",'Role data'!$E$2:$E$550,"overhead")</f>
        <v>202853.25</v>
      </c>
    </row>
    <row r="50" customFormat="false" ht="15" hidden="false" customHeight="false" outlineLevel="0" collapsed="false">
      <c r="B50" s="19" t="s">
        <v>297</v>
      </c>
      <c r="C50" s="9" t="s">
        <v>69</v>
      </c>
      <c r="D50" s="9" t="s">
        <v>203</v>
      </c>
      <c r="E50" s="9" t="s">
        <v>69</v>
      </c>
      <c r="F50" s="9" t="s">
        <v>82</v>
      </c>
      <c r="G50" s="9"/>
      <c r="H50" s="20" t="n">
        <v>202853.25</v>
      </c>
      <c r="I50" s="20" t="n">
        <v>202853.25</v>
      </c>
    </row>
    <row r="51" customFormat="false" ht="15" hidden="false" customHeight="false" outlineLevel="0" collapsed="false">
      <c r="B51" s="8" t="s">
        <v>206</v>
      </c>
      <c r="H51" s="18" t="n">
        <f aca="false">SUMIFS('Role data'!$M$2:$M$550,'Role data'!$C$2:$C$550,"Z Retail",'Role data'!$D$2:$D$550,"Technology Manager",'Role data'!$E$2:$E$550,"overhead")</f>
        <v>701217.524</v>
      </c>
      <c r="I51" s="18" t="n">
        <f aca="false">SUMIFS('Role data'!$N$2:$N$550,'Role data'!$C$2:$C$550,"Z Retail",'Role data'!$D$2:$D$550,"Technology Manager",'Role data'!$E$2:$E$550,"overhead")</f>
        <v>701217.524</v>
      </c>
    </row>
    <row r="52" customFormat="false" ht="15" hidden="false" customHeight="false" outlineLevel="0" collapsed="false">
      <c r="B52" s="19" t="s">
        <v>298</v>
      </c>
      <c r="C52" s="9" t="s">
        <v>299</v>
      </c>
      <c r="D52" s="9" t="s">
        <v>300</v>
      </c>
      <c r="E52" s="9" t="s">
        <v>53</v>
      </c>
      <c r="F52" s="9" t="s">
        <v>53</v>
      </c>
      <c r="G52" s="9"/>
      <c r="H52" s="20" t="n">
        <v>236483.556</v>
      </c>
      <c r="I52" s="20" t="n">
        <v>236483.556</v>
      </c>
    </row>
    <row r="53" customFormat="false" ht="15" hidden="false" customHeight="false" outlineLevel="0" collapsed="false">
      <c r="B53" s="19" t="s">
        <v>301</v>
      </c>
      <c r="C53" s="9" t="s">
        <v>302</v>
      </c>
      <c r="D53" s="9" t="s">
        <v>303</v>
      </c>
      <c r="E53" s="9" t="s">
        <v>53</v>
      </c>
      <c r="F53" s="9" t="s">
        <v>53</v>
      </c>
      <c r="G53" s="9"/>
      <c r="H53" s="20" t="n">
        <v>254198</v>
      </c>
      <c r="I53" s="20" t="n">
        <v>254198</v>
      </c>
    </row>
    <row r="54" customFormat="false" ht="15" hidden="false" customHeight="false" outlineLevel="0" collapsed="false">
      <c r="B54" s="19" t="s">
        <v>304</v>
      </c>
      <c r="C54" s="9" t="s">
        <v>305</v>
      </c>
      <c r="D54" s="9" t="s">
        <v>306</v>
      </c>
      <c r="E54" s="9" t="s">
        <v>53</v>
      </c>
      <c r="F54" s="9" t="s">
        <v>53</v>
      </c>
      <c r="G54" s="9"/>
      <c r="H54" s="20" t="n">
        <v>210535.968</v>
      </c>
      <c r="I54" s="20" t="n">
        <v>210535.968</v>
      </c>
    </row>
    <row r="55" customFormat="false" ht="15" hidden="false" customHeight="false" outlineLevel="0" collapsed="false">
      <c r="B55" s="13" t="s">
        <v>38</v>
      </c>
      <c r="C55" s="21"/>
      <c r="D55" s="21"/>
      <c r="E55" s="21"/>
      <c r="F55" s="21"/>
      <c r="G55" s="21"/>
      <c r="H55" s="22" t="n">
        <f aca="false">SUMIFS('Role data'!$M$2:$M$550,'Role data'!$C$2:$C$550,"Z Retail")</f>
        <v>7315443.458</v>
      </c>
      <c r="I55" s="22" t="n">
        <f aca="false">SUMIFS('Role data'!$N$2:$N$550,'Role data'!$C$2:$C$550,"Z Retail")</f>
        <v>6666290.208</v>
      </c>
    </row>
  </sheetData>
  <sheetProtection sheet="true" password="c5c5"/>
  <mergeCells count="7">
    <mergeCell ref="C5:C6"/>
    <mergeCell ref="D5:D6"/>
    <mergeCell ref="E5:E6"/>
    <mergeCell ref="F5:F6"/>
    <mergeCell ref="G5:G6"/>
    <mergeCell ref="H5:H6"/>
    <mergeCell ref="I5:I6"/>
  </mergeCells>
  <conditionalFormatting sqref="F5">
    <cfRule type="cellIs" priority="2" operator="greaterThan" aboveAverage="0" equalAverage="0" bottom="0" percent="0" rank="0" text="" dxfId="0">
      <formula>0</formula>
    </cfRule>
  </conditionalFormatting>
  <conditionalFormatting sqref="H10:H16 H18:H26 H28:H36 H38:H46 H48 H50 H52:H54">
    <cfRule type="dataBar" priority="3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{1444158F-B04C-41BB-B3C0-FDD12ACACEC0}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44158F-B04C-41BB-B3C0-FDD12ACACEC0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H10:H16 H18:H26 H28:H36 H38:H46 H48 H50 H52:H54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23.5"/>
    <col collapsed="false" customWidth="true" hidden="false" outlineLevel="0" max="4" min="4" style="0" width="40.5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22" min="20" style="0" width="13"/>
  </cols>
  <sheetData>
    <row r="2" customFormat="false" ht="17.35" hidden="false" customHeight="false" outlineLevel="0" collapsed="false">
      <c r="B2" s="1" t="s">
        <v>18</v>
      </c>
    </row>
    <row r="4" customFormat="false" ht="42" hidden="false" customHeight="true" outlineLevel="0" collapsed="false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Format="false" ht="19.5" hidden="false" customHeight="true" outlineLevel="0" collapsed="false">
      <c r="C5" s="16" t="n">
        <f aca="false">'TDD Dashboard'!$C$12</f>
        <v>9.10507024025868</v>
      </c>
      <c r="D5" s="16" t="n">
        <f aca="false">'TDD Dashboard'!$D$12</f>
        <v>2.57410240617936</v>
      </c>
      <c r="E5" s="16" t="n">
        <f aca="false">'TDD Dashboard'!$E$12</f>
        <v>2.5</v>
      </c>
      <c r="F5" s="16" t="n">
        <f aca="false">'TDD Dashboard'!$F$12</f>
        <v>0.0741024061793589</v>
      </c>
      <c r="G5" s="17" t="n">
        <f aca="false">'TDD Dashboard'!$G$12</f>
        <v>0.282710878472721</v>
      </c>
      <c r="H5" s="16" t="n">
        <f aca="false">'TDD Dashboard'!$H$12</f>
        <v>2.85985905</v>
      </c>
      <c r="I5" s="16" t="n">
        <f aca="false">'TDD Dashboard'!$I$12</f>
        <v>3.67110878407932</v>
      </c>
    </row>
    <row r="6" customFormat="false" ht="19.5" hidden="false" customHeight="true" outlineLevel="0" collapsed="false">
      <c r="C6" s="16"/>
      <c r="D6" s="16"/>
      <c r="E6" s="16"/>
      <c r="F6" s="16"/>
      <c r="G6" s="16"/>
      <c r="H6" s="16"/>
      <c r="I6" s="16"/>
    </row>
    <row r="8" customFormat="false" ht="45" hidden="false" customHeight="true" outlineLevel="0" collapsed="false">
      <c r="B8" s="5" t="s">
        <v>39</v>
      </c>
      <c r="C8" s="5" t="s">
        <v>40</v>
      </c>
      <c r="D8" s="5" t="s">
        <v>41</v>
      </c>
      <c r="E8" s="5" t="s">
        <v>42</v>
      </c>
      <c r="F8" s="5" t="s">
        <v>43</v>
      </c>
      <c r="G8" s="5" t="s">
        <v>44</v>
      </c>
      <c r="H8" s="6" t="s">
        <v>45</v>
      </c>
      <c r="I8" s="6" t="s">
        <v>46</v>
      </c>
      <c r="T8" s="7" t="s">
        <v>47</v>
      </c>
      <c r="U8" s="7" t="s">
        <v>2</v>
      </c>
      <c r="V8" s="7" t="s">
        <v>7</v>
      </c>
    </row>
    <row r="9" customFormat="false" ht="15" hidden="false" customHeight="false" outlineLevel="0" collapsed="false">
      <c r="B9" s="8" t="s">
        <v>307</v>
      </c>
      <c r="H9" s="18" t="n">
        <f aca="false">SUMIFS('Role data'!$M$2:$M$550,'Role data'!$C$2:$C$550,"Ampol Customer",'Role data'!$D$2:$D$550,"Ampol App",'Role data'!$E$2:$E$550,"squad")</f>
        <v>3181298.2994</v>
      </c>
      <c r="I9" s="18" t="n">
        <f aca="false">SUMIFS('Role data'!$N$2:$N$550,'Role data'!$C$2:$C$550,"Ampol Customer",'Role data'!$D$2:$D$550,"Ampol App",'Role data'!$E$2:$E$550,"squad")</f>
        <v>1714653.16976</v>
      </c>
      <c r="T9" s="9" t="s">
        <v>308</v>
      </c>
      <c r="U9" s="10" t="n">
        <f aca="false">SUMIFS('Role data'!$Q$2:$Q$550,'Role data'!$C$2:$C$550,"Ampol Customer",'Role data'!$D$2:$D$550,"Digital Operations",'Role data'!$E$2:$E$550,"squad")/1000000</f>
        <v>0.71668945</v>
      </c>
      <c r="V9" s="10" t="n">
        <f aca="false">(SUMIFS('Role data'!$N$2:$N$550,'Role data'!$C$2:$C$550,"Ampol Customer",'Role data'!$D$2:$D$550,"Digital Operations",'Role data'!$E$2:$E$550,"squad")-SUMIFS('Role data'!$Q$2:$Q$550,'Role data'!$C$2:$C$550,"Ampol Customer",'Role data'!$D$2:$D$550,"Digital Operations",'Role data'!$E$2:$E$550,"squad"))/1000000</f>
        <v>0</v>
      </c>
    </row>
    <row r="10" customFormat="false" ht="15" hidden="false" customHeight="false" outlineLevel="0" collapsed="false">
      <c r="B10" s="19" t="s">
        <v>309</v>
      </c>
      <c r="C10" s="9" t="s">
        <v>310</v>
      </c>
      <c r="D10" s="9" t="s">
        <v>174</v>
      </c>
      <c r="E10" s="9" t="s">
        <v>53</v>
      </c>
      <c r="F10" s="9" t="s">
        <v>53</v>
      </c>
      <c r="G10" s="9"/>
      <c r="H10" s="20" t="n">
        <v>259074</v>
      </c>
      <c r="I10" s="20" t="n">
        <v>259074</v>
      </c>
      <c r="T10" s="9" t="s">
        <v>311</v>
      </c>
      <c r="U10" s="10" t="n">
        <f aca="false">SUMIFS('Role data'!$Q$2:$Q$550,'Role data'!$C$2:$C$550,"Ampol Customer",'Role data'!$D$2:$D$550,"Customer, AI",'Role data'!$E$2:$E$550,"squad")/1000000</f>
        <v>0</v>
      </c>
      <c r="V10" s="10" t="n">
        <f aca="false">(SUMIFS('Role data'!$N$2:$N$550,'Role data'!$C$2:$C$550,"Ampol Customer",'Role data'!$D$2:$D$550,"Customer, AI",'Role data'!$E$2:$E$550,"squad")-SUMIFS('Role data'!$Q$2:$Q$550,'Role data'!$C$2:$C$550,"Ampol Customer",'Role data'!$D$2:$D$550,"Customer, AI",'Role data'!$E$2:$E$550,"squad"))/1000000</f>
        <v>0.72928725</v>
      </c>
    </row>
    <row r="11" customFormat="false" ht="15" hidden="false" customHeight="false" outlineLevel="0" collapsed="false">
      <c r="B11" s="19" t="s">
        <v>312</v>
      </c>
      <c r="C11" s="9" t="s">
        <v>313</v>
      </c>
      <c r="D11" s="9" t="s">
        <v>314</v>
      </c>
      <c r="E11" s="9" t="s">
        <v>53</v>
      </c>
      <c r="F11" s="9" t="s">
        <v>78</v>
      </c>
      <c r="G11" s="9"/>
      <c r="H11" s="20" t="n">
        <v>190920</v>
      </c>
      <c r="I11" s="20" t="n">
        <v>0</v>
      </c>
      <c r="T11" s="9" t="s">
        <v>315</v>
      </c>
      <c r="U11" s="10" t="n">
        <f aca="false">SUMIFS('Role data'!$Q$2:$Q$550,'Role data'!$C$2:$C$550,"Ampol Customer",'Role data'!$D$2:$D$550,"Ampol Loyalty &amp; Martech",'Role data'!$E$2:$E$550,"squad")/1000000</f>
        <v>0.23812207068</v>
      </c>
      <c r="V11" s="10" t="n">
        <f aca="false">(SUMIFS('Role data'!$N$2:$N$550,'Role data'!$C$2:$C$550,"Ampol Customer",'Role data'!$D$2:$D$550,"Ampol Loyalty &amp; Martech",'Role data'!$E$2:$E$550,"squad")-SUMIFS('Role data'!$Q$2:$Q$550,'Role data'!$C$2:$C$550,"Ampol Customer",'Role data'!$D$2:$D$550,"Ampol Loyalty &amp; Martech",'Role data'!$E$2:$E$550,"squad"))/1000000</f>
        <v>0.95248828272</v>
      </c>
    </row>
    <row r="12" customFormat="false" ht="15" hidden="false" customHeight="false" outlineLevel="0" collapsed="false">
      <c r="B12" s="19" t="s">
        <v>316</v>
      </c>
      <c r="C12" s="9" t="s">
        <v>317</v>
      </c>
      <c r="D12" s="9" t="s">
        <v>80</v>
      </c>
      <c r="E12" s="9" t="s">
        <v>53</v>
      </c>
      <c r="F12" s="9" t="s">
        <v>71</v>
      </c>
      <c r="G12" s="9"/>
      <c r="H12" s="20" t="n">
        <v>179198.4</v>
      </c>
      <c r="I12" s="20" t="n">
        <v>71679.36</v>
      </c>
      <c r="T12" s="9" t="s">
        <v>318</v>
      </c>
      <c r="U12" s="10" t="n">
        <f aca="false">SUMIFS('Role data'!$Q$2:$Q$550,'Role data'!$C$2:$C$550,"Ampol Customer",'Role data'!$D$2:$D$550,"Ampol Web",'Role data'!$E$2:$E$550,"squad")/1000000</f>
        <v>0.1886294565</v>
      </c>
      <c r="V12" s="10" t="n">
        <f aca="false">(SUMIFS('Role data'!$N$2:$N$550,'Role data'!$C$2:$C$550,"Ampol Customer",'Role data'!$D$2:$D$550,"Ampol Web",'Role data'!$E$2:$E$550,"squad")-SUMIFS('Role data'!$Q$2:$Q$550,'Role data'!$C$2:$C$550,"Ampol Customer",'Role data'!$D$2:$D$550,"Ampol Web",'Role data'!$E$2:$E$550,"squad"))/1000000</f>
        <v>1.0689002535</v>
      </c>
    </row>
    <row r="13" customFormat="false" ht="15" hidden="false" customHeight="false" outlineLevel="0" collapsed="false">
      <c r="B13" s="19" t="s">
        <v>319</v>
      </c>
      <c r="C13" s="9" t="s">
        <v>320</v>
      </c>
      <c r="D13" s="9" t="s">
        <v>321</v>
      </c>
      <c r="E13" s="9" t="s">
        <v>53</v>
      </c>
      <c r="F13" s="9" t="s">
        <v>71</v>
      </c>
      <c r="G13" s="9"/>
      <c r="H13" s="20" t="n">
        <v>278166</v>
      </c>
      <c r="I13" s="20" t="n">
        <v>111266.4</v>
      </c>
      <c r="T13" s="9" t="s">
        <v>307</v>
      </c>
      <c r="U13" s="10" t="n">
        <f aca="false">SUMIFS('Role data'!$Q$2:$Q$550,'Role data'!$C$2:$C$550,"Ampol Customer",'Role data'!$D$2:$D$550,"Ampol App",'Role data'!$E$2:$E$550,"squad")/1000000</f>
        <v>0.257197975464</v>
      </c>
      <c r="V13" s="10" t="n">
        <f aca="false">(SUMIFS('Role data'!$N$2:$N$550,'Role data'!$C$2:$C$550,"Ampol Customer",'Role data'!$D$2:$D$550,"Ampol App",'Role data'!$E$2:$E$550,"squad")-SUMIFS('Role data'!$Q$2:$Q$550,'Role data'!$C$2:$C$550,"Ampol Customer",'Role data'!$D$2:$D$550,"Ampol App",'Role data'!$E$2:$E$550,"squad"))/1000000</f>
        <v>1.457455194296</v>
      </c>
    </row>
    <row r="14" customFormat="false" ht="15" hidden="false" customHeight="false" outlineLevel="0" collapsed="false">
      <c r="B14" s="19" t="s">
        <v>322</v>
      </c>
      <c r="C14" s="9" t="s">
        <v>323</v>
      </c>
      <c r="D14" s="9" t="s">
        <v>324</v>
      </c>
      <c r="E14" s="9" t="s">
        <v>53</v>
      </c>
      <c r="F14" s="9" t="s">
        <v>71</v>
      </c>
      <c r="G14" s="9"/>
      <c r="H14" s="20" t="n">
        <v>270524.2494</v>
      </c>
      <c r="I14" s="20" t="n">
        <v>108209.69976</v>
      </c>
    </row>
    <row r="15" customFormat="false" ht="15" hidden="false" customHeight="false" outlineLevel="0" collapsed="false">
      <c r="B15" s="19" t="s">
        <v>325</v>
      </c>
      <c r="C15" s="9" t="s">
        <v>326</v>
      </c>
      <c r="D15" s="9" t="s">
        <v>84</v>
      </c>
      <c r="E15" s="9" t="s">
        <v>53</v>
      </c>
      <c r="F15" s="9" t="s">
        <v>53</v>
      </c>
      <c r="G15" s="9"/>
      <c r="H15" s="20" t="n">
        <v>254958.3</v>
      </c>
      <c r="I15" s="20" t="n">
        <v>254958.3</v>
      </c>
    </row>
    <row r="16" customFormat="false" ht="15" hidden="false" customHeight="false" outlineLevel="0" collapsed="false">
      <c r="B16" s="19" t="s">
        <v>327</v>
      </c>
      <c r="C16" s="9" t="s">
        <v>328</v>
      </c>
      <c r="D16" s="9" t="s">
        <v>329</v>
      </c>
      <c r="E16" s="9" t="s">
        <v>53</v>
      </c>
      <c r="F16" s="9" t="s">
        <v>53</v>
      </c>
      <c r="G16" s="9"/>
      <c r="H16" s="20" t="n">
        <v>235333.8</v>
      </c>
      <c r="I16" s="20" t="n">
        <v>235333.8</v>
      </c>
    </row>
    <row r="17" customFormat="false" ht="15" hidden="false" customHeight="false" outlineLevel="0" collapsed="false">
      <c r="B17" s="19" t="s">
        <v>330</v>
      </c>
      <c r="C17" s="9" t="s">
        <v>331</v>
      </c>
      <c r="D17" s="9" t="s">
        <v>332</v>
      </c>
      <c r="E17" s="9" t="s">
        <v>53</v>
      </c>
      <c r="F17" s="9" t="s">
        <v>53</v>
      </c>
      <c r="G17" s="9"/>
      <c r="H17" s="20" t="n">
        <v>240302</v>
      </c>
      <c r="I17" s="20" t="n">
        <v>240302</v>
      </c>
    </row>
    <row r="18" customFormat="false" ht="15" hidden="false" customHeight="false" outlineLevel="0" collapsed="false">
      <c r="B18" s="19" t="s">
        <v>333</v>
      </c>
      <c r="C18" s="9" t="s">
        <v>334</v>
      </c>
      <c r="D18" s="9" t="s">
        <v>335</v>
      </c>
      <c r="E18" s="9" t="s">
        <v>53</v>
      </c>
      <c r="F18" s="9" t="s">
        <v>53</v>
      </c>
      <c r="G18" s="9"/>
      <c r="H18" s="20" t="n">
        <v>260204.85</v>
      </c>
      <c r="I18" s="20" t="n">
        <v>260204.85</v>
      </c>
    </row>
    <row r="19" customFormat="false" ht="15" hidden="false" customHeight="false" outlineLevel="0" collapsed="false">
      <c r="B19" s="19" t="s">
        <v>336</v>
      </c>
      <c r="C19" s="9" t="s">
        <v>337</v>
      </c>
      <c r="D19" s="9" t="s">
        <v>338</v>
      </c>
      <c r="E19" s="9" t="s">
        <v>53</v>
      </c>
      <c r="F19" s="9" t="s">
        <v>71</v>
      </c>
      <c r="G19" s="9"/>
      <c r="H19" s="20" t="n">
        <v>216043.05</v>
      </c>
      <c r="I19" s="20" t="n">
        <v>86417.22</v>
      </c>
    </row>
    <row r="20" customFormat="false" ht="15" hidden="false" customHeight="false" outlineLevel="0" collapsed="false">
      <c r="B20" s="19" t="s">
        <v>339</v>
      </c>
      <c r="C20" s="9" t="s">
        <v>340</v>
      </c>
      <c r="D20" s="9" t="s">
        <v>269</v>
      </c>
      <c r="E20" s="9" t="s">
        <v>53</v>
      </c>
      <c r="F20" s="9" t="s">
        <v>71</v>
      </c>
      <c r="G20" s="9"/>
      <c r="H20" s="20" t="n">
        <v>218018.85</v>
      </c>
      <c r="I20" s="20" t="n">
        <v>87207.54</v>
      </c>
    </row>
    <row r="21" customFormat="false" ht="15" hidden="false" customHeight="false" outlineLevel="0" collapsed="false">
      <c r="B21" s="19" t="s">
        <v>341</v>
      </c>
      <c r="C21" s="9" t="s">
        <v>342</v>
      </c>
      <c r="D21" s="9" t="s">
        <v>343</v>
      </c>
      <c r="E21" s="9" t="s">
        <v>53</v>
      </c>
      <c r="F21" s="9" t="s">
        <v>78</v>
      </c>
      <c r="G21" s="9"/>
      <c r="H21" s="20" t="n">
        <v>216046.05</v>
      </c>
      <c r="I21" s="20" t="n">
        <v>0</v>
      </c>
    </row>
    <row r="22" customFormat="false" ht="15" hidden="false" customHeight="false" outlineLevel="0" collapsed="false">
      <c r="B22" s="19" t="s">
        <v>344</v>
      </c>
      <c r="C22" s="9" t="s">
        <v>345</v>
      </c>
      <c r="D22" s="9" t="s">
        <v>346</v>
      </c>
      <c r="E22" s="9" t="s">
        <v>53</v>
      </c>
      <c r="F22" s="9" t="s">
        <v>78</v>
      </c>
      <c r="G22" s="9"/>
      <c r="H22" s="20" t="n">
        <v>216044.05</v>
      </c>
      <c r="I22" s="20" t="n">
        <v>0</v>
      </c>
    </row>
    <row r="23" customFormat="false" ht="15" hidden="false" customHeight="false" outlineLevel="0" collapsed="false">
      <c r="B23" s="19" t="s">
        <v>347</v>
      </c>
      <c r="C23" s="9" t="s">
        <v>348</v>
      </c>
      <c r="D23" s="9" t="s">
        <v>349</v>
      </c>
      <c r="E23" s="9" t="s">
        <v>53</v>
      </c>
      <c r="F23" s="9" t="s">
        <v>78</v>
      </c>
      <c r="G23" s="9"/>
      <c r="H23" s="20" t="n">
        <v>146464.7</v>
      </c>
      <c r="I23" s="20" t="n">
        <v>0</v>
      </c>
    </row>
    <row r="24" customFormat="false" ht="15" hidden="false" customHeight="false" outlineLevel="0" collapsed="false">
      <c r="B24" s="8" t="s">
        <v>315</v>
      </c>
      <c r="H24" s="18" t="n">
        <f aca="false">SUMIFS('Role data'!$M$2:$M$550,'Role data'!$C$2:$C$550,"Ampol Customer",'Role data'!$D$2:$D$550,"Ampol Loyalty &amp; Martech",'Role data'!$E$2:$E$550,"squad")</f>
        <v>1288005.2784</v>
      </c>
      <c r="I24" s="18" t="n">
        <f aca="false">SUMIFS('Role data'!$N$2:$N$550,'Role data'!$C$2:$C$550,"Ampol Customer",'Role data'!$D$2:$D$550,"Ampol Loyalty &amp; Martech",'Role data'!$E$2:$E$550,"squad")</f>
        <v>1190610.3534</v>
      </c>
    </row>
    <row r="25" customFormat="false" ht="15" hidden="false" customHeight="false" outlineLevel="0" collapsed="false">
      <c r="B25" s="19" t="s">
        <v>350</v>
      </c>
      <c r="C25" s="9" t="s">
        <v>69</v>
      </c>
      <c r="D25" s="9" t="s">
        <v>351</v>
      </c>
      <c r="E25" s="9" t="s">
        <v>69</v>
      </c>
      <c r="F25" s="9" t="s">
        <v>71</v>
      </c>
      <c r="G25" s="9"/>
      <c r="H25" s="20" t="n">
        <v>73260</v>
      </c>
      <c r="I25" s="20" t="n">
        <v>73260</v>
      </c>
    </row>
    <row r="26" customFormat="false" ht="15" hidden="false" customHeight="false" outlineLevel="0" collapsed="false">
      <c r="B26" s="19" t="s">
        <v>352</v>
      </c>
      <c r="C26" s="9" t="s">
        <v>69</v>
      </c>
      <c r="D26" s="9" t="s">
        <v>353</v>
      </c>
      <c r="E26" s="9" t="s">
        <v>69</v>
      </c>
      <c r="F26" s="9" t="s">
        <v>71</v>
      </c>
      <c r="G26" s="9"/>
      <c r="H26" s="20" t="n">
        <v>73260</v>
      </c>
      <c r="I26" s="20" t="n">
        <v>73260</v>
      </c>
    </row>
    <row r="27" customFormat="false" ht="15" hidden="false" customHeight="false" outlineLevel="0" collapsed="false">
      <c r="B27" s="19" t="s">
        <v>354</v>
      </c>
      <c r="C27" s="9" t="s">
        <v>355</v>
      </c>
      <c r="D27" s="9" t="s">
        <v>356</v>
      </c>
      <c r="E27" s="9" t="s">
        <v>53</v>
      </c>
      <c r="F27" s="9" t="s">
        <v>53</v>
      </c>
      <c r="G27" s="9"/>
      <c r="H27" s="20" t="n">
        <v>155347.4784</v>
      </c>
      <c r="I27" s="20" t="n">
        <v>155347.4784</v>
      </c>
    </row>
    <row r="28" customFormat="false" ht="15" hidden="false" customHeight="false" outlineLevel="0" collapsed="false">
      <c r="B28" s="19" t="s">
        <v>357</v>
      </c>
      <c r="C28" s="9" t="s">
        <v>358</v>
      </c>
      <c r="D28" s="9" t="s">
        <v>359</v>
      </c>
      <c r="E28" s="9" t="s">
        <v>53</v>
      </c>
      <c r="F28" s="9" t="s">
        <v>53</v>
      </c>
      <c r="G28" s="9"/>
      <c r="H28" s="20" t="n">
        <v>206978.4</v>
      </c>
      <c r="I28" s="20" t="n">
        <v>206978.4</v>
      </c>
    </row>
    <row r="29" customFormat="false" ht="15" hidden="false" customHeight="false" outlineLevel="0" collapsed="false">
      <c r="B29" s="19" t="s">
        <v>360</v>
      </c>
      <c r="C29" s="9" t="s">
        <v>361</v>
      </c>
      <c r="D29" s="9" t="s">
        <v>86</v>
      </c>
      <c r="E29" s="9" t="s">
        <v>53</v>
      </c>
      <c r="F29" s="9" t="s">
        <v>53</v>
      </c>
      <c r="G29" s="9"/>
      <c r="H29" s="20" t="n">
        <v>194789.85</v>
      </c>
      <c r="I29" s="20" t="n">
        <v>194789.85</v>
      </c>
    </row>
    <row r="30" customFormat="false" ht="15" hidden="false" customHeight="false" outlineLevel="0" collapsed="false">
      <c r="B30" s="19" t="s">
        <v>362</v>
      </c>
      <c r="C30" s="9" t="s">
        <v>69</v>
      </c>
      <c r="D30" s="9" t="s">
        <v>86</v>
      </c>
      <c r="E30" s="9" t="s">
        <v>69</v>
      </c>
      <c r="F30" s="9" t="s">
        <v>82</v>
      </c>
      <c r="G30" s="9" t="s">
        <v>121</v>
      </c>
      <c r="H30" s="20" t="n">
        <v>194789.85</v>
      </c>
      <c r="I30" s="20" t="n">
        <v>146092.3875</v>
      </c>
    </row>
    <row r="31" customFormat="false" ht="15" hidden="false" customHeight="false" outlineLevel="0" collapsed="false">
      <c r="B31" s="19" t="s">
        <v>363</v>
      </c>
      <c r="C31" s="9" t="s">
        <v>69</v>
      </c>
      <c r="D31" s="9" t="s">
        <v>364</v>
      </c>
      <c r="E31" s="9" t="s">
        <v>69</v>
      </c>
      <c r="F31" s="9" t="s">
        <v>82</v>
      </c>
      <c r="G31" s="9" t="s">
        <v>121</v>
      </c>
      <c r="H31" s="20" t="n">
        <v>194789.85</v>
      </c>
      <c r="I31" s="20" t="n">
        <v>146092.3875</v>
      </c>
    </row>
    <row r="32" customFormat="false" ht="15" hidden="false" customHeight="false" outlineLevel="0" collapsed="false">
      <c r="B32" s="19" t="s">
        <v>365</v>
      </c>
      <c r="C32" s="9" t="s">
        <v>69</v>
      </c>
      <c r="D32" s="9" t="s">
        <v>366</v>
      </c>
      <c r="E32" s="9" t="s">
        <v>69</v>
      </c>
      <c r="F32" s="9" t="s">
        <v>82</v>
      </c>
      <c r="G32" s="9"/>
      <c r="H32" s="20" t="n">
        <v>194789.85</v>
      </c>
      <c r="I32" s="20" t="n">
        <v>194789.85</v>
      </c>
    </row>
    <row r="33" customFormat="false" ht="15" hidden="false" customHeight="false" outlineLevel="0" collapsed="false">
      <c r="B33" s="8" t="s">
        <v>318</v>
      </c>
      <c r="H33" s="18" t="n">
        <f aca="false">SUMIFS('Role data'!$M$2:$M$550,'Role data'!$C$2:$C$550,"Ampol Customer",'Role data'!$D$2:$D$550,"Ampol Web",'Role data'!$E$2:$E$550,"squad")</f>
        <v>2130105.6</v>
      </c>
      <c r="I33" s="18" t="n">
        <f aca="false">SUMIFS('Role data'!$N$2:$N$550,'Role data'!$C$2:$C$550,"Ampol Customer",'Role data'!$D$2:$D$550,"Ampol Web",'Role data'!$E$2:$E$550,"squad")</f>
        <v>1257529.71</v>
      </c>
    </row>
    <row r="34" customFormat="false" ht="15" hidden="false" customHeight="false" outlineLevel="0" collapsed="false">
      <c r="B34" s="19" t="s">
        <v>367</v>
      </c>
      <c r="C34" s="9" t="s">
        <v>368</v>
      </c>
      <c r="D34" s="9" t="s">
        <v>174</v>
      </c>
      <c r="E34" s="9" t="s">
        <v>53</v>
      </c>
      <c r="F34" s="9" t="s">
        <v>53</v>
      </c>
      <c r="G34" s="9"/>
      <c r="H34" s="20" t="n">
        <v>272882.4</v>
      </c>
      <c r="I34" s="20" t="n">
        <v>272882.4</v>
      </c>
    </row>
    <row r="35" customFormat="false" ht="15" hidden="false" customHeight="false" outlineLevel="0" collapsed="false">
      <c r="B35" s="19" t="s">
        <v>369</v>
      </c>
      <c r="C35" s="9" t="s">
        <v>370</v>
      </c>
      <c r="D35" s="9" t="s">
        <v>52</v>
      </c>
      <c r="E35" s="9" t="s">
        <v>53</v>
      </c>
      <c r="F35" s="9" t="s">
        <v>53</v>
      </c>
      <c r="G35" s="9"/>
      <c r="H35" s="20" t="n">
        <v>321900</v>
      </c>
      <c r="I35" s="20" t="n">
        <v>321900</v>
      </c>
    </row>
    <row r="36" customFormat="false" ht="15" hidden="false" customHeight="false" outlineLevel="0" collapsed="false">
      <c r="B36" s="19" t="s">
        <v>371</v>
      </c>
      <c r="C36" s="9" t="s">
        <v>372</v>
      </c>
      <c r="D36" s="9" t="s">
        <v>52</v>
      </c>
      <c r="E36" s="9" t="s">
        <v>53</v>
      </c>
      <c r="F36" s="9" t="s">
        <v>78</v>
      </c>
      <c r="G36" s="9"/>
      <c r="H36" s="20" t="n">
        <v>243090.15</v>
      </c>
      <c r="I36" s="20" t="n">
        <v>0</v>
      </c>
    </row>
    <row r="37" customFormat="false" ht="15" hidden="false" customHeight="false" outlineLevel="0" collapsed="false">
      <c r="B37" s="19" t="s">
        <v>373</v>
      </c>
      <c r="C37" s="9" t="s">
        <v>374</v>
      </c>
      <c r="D37" s="9" t="s">
        <v>324</v>
      </c>
      <c r="E37" s="9" t="s">
        <v>53</v>
      </c>
      <c r="F37" s="9" t="s">
        <v>71</v>
      </c>
      <c r="G37" s="9"/>
      <c r="H37" s="20" t="n">
        <v>277500</v>
      </c>
      <c r="I37" s="20" t="n">
        <v>111000</v>
      </c>
    </row>
    <row r="38" customFormat="false" ht="15" hidden="false" customHeight="false" outlineLevel="0" collapsed="false">
      <c r="B38" s="19" t="s">
        <v>375</v>
      </c>
      <c r="C38" s="9" t="s">
        <v>376</v>
      </c>
      <c r="D38" s="9" t="s">
        <v>84</v>
      </c>
      <c r="E38" s="9" t="s">
        <v>53</v>
      </c>
      <c r="F38" s="9" t="s">
        <v>53</v>
      </c>
      <c r="G38" s="9"/>
      <c r="H38" s="20" t="n">
        <v>243090.15</v>
      </c>
      <c r="I38" s="20" t="n">
        <v>243090.15</v>
      </c>
    </row>
    <row r="39" customFormat="false" ht="15" hidden="false" customHeight="false" outlineLevel="0" collapsed="false">
      <c r="B39" s="19" t="s">
        <v>377</v>
      </c>
      <c r="C39" s="9" t="s">
        <v>378</v>
      </c>
      <c r="D39" s="9" t="s">
        <v>335</v>
      </c>
      <c r="E39" s="9" t="s">
        <v>53</v>
      </c>
      <c r="F39" s="9" t="s">
        <v>71</v>
      </c>
      <c r="G39" s="9"/>
      <c r="H39" s="20" t="n">
        <v>240300</v>
      </c>
      <c r="I39" s="20" t="n">
        <v>96120</v>
      </c>
    </row>
    <row r="40" customFormat="false" ht="15" hidden="false" customHeight="false" outlineLevel="0" collapsed="false">
      <c r="B40" s="19" t="s">
        <v>379</v>
      </c>
      <c r="C40" s="9" t="s">
        <v>380</v>
      </c>
      <c r="D40" s="9" t="s">
        <v>381</v>
      </c>
      <c r="E40" s="9" t="s">
        <v>53</v>
      </c>
      <c r="F40" s="9" t="s">
        <v>71</v>
      </c>
      <c r="G40" s="9"/>
      <c r="H40" s="20" t="n">
        <v>207352.2</v>
      </c>
      <c r="I40" s="20" t="n">
        <v>82940.88</v>
      </c>
    </row>
    <row r="41" customFormat="false" ht="15" hidden="false" customHeight="false" outlineLevel="0" collapsed="false">
      <c r="B41" s="19" t="s">
        <v>382</v>
      </c>
      <c r="C41" s="9" t="s">
        <v>383</v>
      </c>
      <c r="D41" s="9" t="s">
        <v>324</v>
      </c>
      <c r="E41" s="9" t="s">
        <v>53</v>
      </c>
      <c r="F41" s="9" t="s">
        <v>71</v>
      </c>
      <c r="G41" s="9"/>
      <c r="H41" s="20" t="n">
        <v>177525</v>
      </c>
      <c r="I41" s="20" t="n">
        <v>71010</v>
      </c>
    </row>
    <row r="42" customFormat="false" ht="15" hidden="false" customHeight="false" outlineLevel="0" collapsed="false">
      <c r="B42" s="19" t="s">
        <v>384</v>
      </c>
      <c r="C42" s="9" t="s">
        <v>385</v>
      </c>
      <c r="D42" s="9" t="s">
        <v>80</v>
      </c>
      <c r="E42" s="9" t="s">
        <v>53</v>
      </c>
      <c r="F42" s="9" t="s">
        <v>71</v>
      </c>
      <c r="G42" s="9"/>
      <c r="H42" s="20" t="n">
        <v>146465.7</v>
      </c>
      <c r="I42" s="20" t="n">
        <v>58586.28</v>
      </c>
    </row>
    <row r="43" customFormat="false" ht="15" hidden="false" customHeight="false" outlineLevel="0" collapsed="false">
      <c r="B43" s="8" t="s">
        <v>311</v>
      </c>
      <c r="H43" s="18" t="n">
        <f aca="false">SUMIFS('Role data'!$M$2:$M$550,'Role data'!$C$2:$C$550,"Ampol Customer",'Role data'!$D$2:$D$550,"Customer, AI",'Role data'!$E$2:$E$550,"squad")</f>
        <v>729287.25</v>
      </c>
      <c r="I43" s="18" t="n">
        <f aca="false">SUMIFS('Role data'!$N$2:$N$550,'Role data'!$C$2:$C$550,"Ampol Customer",'Role data'!$D$2:$D$550,"Customer, AI",'Role data'!$E$2:$E$550,"squad")</f>
        <v>729287.25</v>
      </c>
    </row>
    <row r="44" customFormat="false" ht="15" hidden="false" customHeight="false" outlineLevel="0" collapsed="false">
      <c r="B44" s="19" t="s">
        <v>386</v>
      </c>
      <c r="C44" s="9" t="s">
        <v>387</v>
      </c>
      <c r="D44" s="9" t="s">
        <v>388</v>
      </c>
      <c r="E44" s="9" t="s">
        <v>53</v>
      </c>
      <c r="F44" s="9" t="s">
        <v>53</v>
      </c>
      <c r="G44" s="9"/>
      <c r="H44" s="20" t="n">
        <v>194789.85</v>
      </c>
      <c r="I44" s="20" t="n">
        <v>194789.85</v>
      </c>
    </row>
    <row r="45" customFormat="false" ht="15" hidden="false" customHeight="false" outlineLevel="0" collapsed="false">
      <c r="B45" s="19" t="s">
        <v>389</v>
      </c>
      <c r="C45" s="9" t="s">
        <v>69</v>
      </c>
      <c r="D45" s="9" t="n">
        <v>0.01</v>
      </c>
      <c r="E45" s="9" t="s">
        <v>69</v>
      </c>
      <c r="F45" s="9" t="s">
        <v>82</v>
      </c>
      <c r="G45" s="9"/>
      <c r="H45" s="20" t="n">
        <v>194789.85</v>
      </c>
      <c r="I45" s="20" t="n">
        <v>194789.85</v>
      </c>
    </row>
    <row r="46" customFormat="false" ht="15" hidden="false" customHeight="false" outlineLevel="0" collapsed="false">
      <c r="B46" s="19" t="s">
        <v>390</v>
      </c>
      <c r="C46" s="9" t="s">
        <v>391</v>
      </c>
      <c r="D46" s="9" t="s">
        <v>392</v>
      </c>
      <c r="E46" s="9" t="s">
        <v>53</v>
      </c>
      <c r="F46" s="9" t="s">
        <v>53</v>
      </c>
      <c r="G46" s="9"/>
      <c r="H46" s="20" t="n">
        <v>339707.55</v>
      </c>
      <c r="I46" s="20" t="n">
        <v>339707.55</v>
      </c>
    </row>
    <row r="47" customFormat="false" ht="15" hidden="false" customHeight="false" outlineLevel="0" collapsed="false">
      <c r="B47" s="8" t="s">
        <v>308</v>
      </c>
      <c r="H47" s="18" t="n">
        <f aca="false">SUMIFS('Role data'!$M$2:$M$550,'Role data'!$C$2:$C$550,"Ampol Customer",'Role data'!$D$2:$D$550,"Digital Operations",'Role data'!$E$2:$E$550,"squad")</f>
        <v>716689.45</v>
      </c>
      <c r="I47" s="18" t="n">
        <f aca="false">SUMIFS('Role data'!$N$2:$N$550,'Role data'!$C$2:$C$550,"Ampol Customer",'Role data'!$D$2:$D$550,"Digital Operations",'Role data'!$E$2:$E$550,"squad")</f>
        <v>716689.45</v>
      </c>
    </row>
    <row r="48" customFormat="false" ht="15" hidden="false" customHeight="false" outlineLevel="0" collapsed="false">
      <c r="B48" s="19" t="s">
        <v>393</v>
      </c>
      <c r="C48" s="9" t="s">
        <v>394</v>
      </c>
      <c r="D48" s="9" t="s">
        <v>395</v>
      </c>
      <c r="E48" s="9" t="s">
        <v>53</v>
      </c>
      <c r="F48" s="9" t="s">
        <v>71</v>
      </c>
      <c r="G48" s="9"/>
      <c r="H48" s="20" t="n">
        <v>73260</v>
      </c>
      <c r="I48" s="20" t="n">
        <v>73260</v>
      </c>
    </row>
    <row r="49" customFormat="false" ht="15" hidden="false" customHeight="false" outlineLevel="0" collapsed="false">
      <c r="B49" s="19" t="s">
        <v>396</v>
      </c>
      <c r="C49" s="9" t="s">
        <v>69</v>
      </c>
      <c r="D49" s="9" t="s">
        <v>395</v>
      </c>
      <c r="E49" s="9" t="s">
        <v>69</v>
      </c>
      <c r="F49" s="9" t="s">
        <v>71</v>
      </c>
      <c r="G49" s="9"/>
      <c r="H49" s="20" t="n">
        <v>73260</v>
      </c>
      <c r="I49" s="20" t="n">
        <v>73260</v>
      </c>
    </row>
    <row r="50" customFormat="false" ht="15" hidden="false" customHeight="false" outlineLevel="0" collapsed="false">
      <c r="B50" s="19" t="s">
        <v>397</v>
      </c>
      <c r="C50" s="9" t="s">
        <v>69</v>
      </c>
      <c r="D50" s="9" t="s">
        <v>395</v>
      </c>
      <c r="E50" s="9" t="s">
        <v>69</v>
      </c>
      <c r="F50" s="9" t="s">
        <v>71</v>
      </c>
      <c r="G50" s="9"/>
      <c r="H50" s="20" t="n">
        <v>73260</v>
      </c>
      <c r="I50" s="20" t="n">
        <v>73260</v>
      </c>
    </row>
    <row r="51" customFormat="false" ht="15" hidden="false" customHeight="false" outlineLevel="0" collapsed="false">
      <c r="B51" s="19" t="s">
        <v>398</v>
      </c>
      <c r="C51" s="9" t="s">
        <v>69</v>
      </c>
      <c r="D51" s="9" t="s">
        <v>351</v>
      </c>
      <c r="E51" s="9" t="s">
        <v>69</v>
      </c>
      <c r="F51" s="9" t="s">
        <v>71</v>
      </c>
      <c r="G51" s="9"/>
      <c r="H51" s="20" t="n">
        <v>73260</v>
      </c>
      <c r="I51" s="20" t="n">
        <v>73260</v>
      </c>
    </row>
    <row r="52" customFormat="false" ht="15" hidden="false" customHeight="false" outlineLevel="0" collapsed="false">
      <c r="B52" s="19" t="s">
        <v>399</v>
      </c>
      <c r="C52" s="9" t="s">
        <v>400</v>
      </c>
      <c r="D52" s="9" t="s">
        <v>401</v>
      </c>
      <c r="E52" s="9" t="s">
        <v>53</v>
      </c>
      <c r="F52" s="9" t="s">
        <v>53</v>
      </c>
      <c r="G52" s="9"/>
      <c r="H52" s="20" t="n">
        <v>257788.5</v>
      </c>
      <c r="I52" s="20" t="n">
        <v>257788.5</v>
      </c>
    </row>
    <row r="53" customFormat="false" ht="15" hidden="false" customHeight="false" outlineLevel="0" collapsed="false">
      <c r="B53" s="19" t="s">
        <v>402</v>
      </c>
      <c r="C53" s="9" t="s">
        <v>403</v>
      </c>
      <c r="D53" s="9" t="s">
        <v>404</v>
      </c>
      <c r="E53" s="9" t="s">
        <v>53</v>
      </c>
      <c r="F53" s="9" t="s">
        <v>53</v>
      </c>
      <c r="G53" s="9"/>
      <c r="H53" s="20" t="n">
        <v>165860.95</v>
      </c>
      <c r="I53" s="20" t="n">
        <v>165860.95</v>
      </c>
    </row>
    <row r="54" customFormat="false" ht="15" hidden="false" customHeight="false" outlineLevel="0" collapsed="false">
      <c r="B54" s="8" t="s">
        <v>405</v>
      </c>
      <c r="H54" s="18" t="n">
        <f aca="false">SUMIFS('Role data'!$M$2:$M$550,'Role data'!$C$2:$C$550,"Ampol Customer",'Role data'!$D$2:$D$550,"EGI Customer",'Role data'!$E$2:$E$550,"sig")</f>
        <v>2859859.05</v>
      </c>
      <c r="I54" s="18" t="n">
        <f aca="false">SUMIFS('Role data'!$N$2:$N$550,'Role data'!$C$2:$C$550,"Ampol Customer",'Role data'!$D$2:$D$550,"EGI Customer",'Role data'!$E$2:$E$550,"sig")</f>
        <v>2661865.2</v>
      </c>
    </row>
    <row r="55" customFormat="false" ht="15" hidden="false" customHeight="false" outlineLevel="0" collapsed="false">
      <c r="B55" s="19" t="s">
        <v>406</v>
      </c>
      <c r="C55" s="9" t="s">
        <v>407</v>
      </c>
      <c r="D55" s="9" t="s">
        <v>84</v>
      </c>
      <c r="E55" s="9" t="s">
        <v>53</v>
      </c>
      <c r="F55" s="9" t="s">
        <v>53</v>
      </c>
      <c r="G55" s="9"/>
      <c r="H55" s="20" t="n">
        <v>264180</v>
      </c>
      <c r="I55" s="20" t="n">
        <v>264180</v>
      </c>
    </row>
    <row r="56" customFormat="false" ht="15" hidden="false" customHeight="false" outlineLevel="0" collapsed="false">
      <c r="B56" s="19" t="s">
        <v>408</v>
      </c>
      <c r="C56" s="9" t="s">
        <v>409</v>
      </c>
      <c r="D56" s="9" t="s">
        <v>80</v>
      </c>
      <c r="E56" s="9" t="s">
        <v>53</v>
      </c>
      <c r="F56" s="9" t="s">
        <v>53</v>
      </c>
      <c r="G56" s="9"/>
      <c r="H56" s="20" t="n">
        <v>269730</v>
      </c>
      <c r="I56" s="20" t="n">
        <v>269730</v>
      </c>
    </row>
    <row r="57" customFormat="false" ht="15" hidden="false" customHeight="false" outlineLevel="0" collapsed="false">
      <c r="B57" s="19" t="s">
        <v>410</v>
      </c>
      <c r="C57" s="9" t="s">
        <v>411</v>
      </c>
      <c r="D57" s="9" t="s">
        <v>324</v>
      </c>
      <c r="E57" s="9" t="s">
        <v>53</v>
      </c>
      <c r="F57" s="9" t="s">
        <v>53</v>
      </c>
      <c r="G57" s="9"/>
      <c r="H57" s="20" t="n">
        <v>0</v>
      </c>
      <c r="I57" s="20" t="n">
        <v>0</v>
      </c>
    </row>
    <row r="58" customFormat="false" ht="15" hidden="false" customHeight="false" outlineLevel="0" collapsed="false">
      <c r="B58" s="19" t="s">
        <v>412</v>
      </c>
      <c r="C58" s="9" t="s">
        <v>413</v>
      </c>
      <c r="D58" s="9" t="s">
        <v>324</v>
      </c>
      <c r="E58" s="9" t="s">
        <v>53</v>
      </c>
      <c r="F58" s="9" t="s">
        <v>53</v>
      </c>
      <c r="G58" s="9"/>
      <c r="H58" s="20" t="n">
        <v>264180</v>
      </c>
      <c r="I58" s="20" t="n">
        <v>264180</v>
      </c>
    </row>
    <row r="59" customFormat="false" ht="15" hidden="false" customHeight="false" outlineLevel="0" collapsed="false">
      <c r="B59" s="19" t="s">
        <v>414</v>
      </c>
      <c r="C59" s="9" t="s">
        <v>415</v>
      </c>
      <c r="D59" s="9" t="s">
        <v>416</v>
      </c>
      <c r="E59" s="9" t="s">
        <v>53</v>
      </c>
      <c r="F59" s="9" t="s">
        <v>53</v>
      </c>
      <c r="G59" s="9"/>
      <c r="H59" s="20" t="n">
        <v>304903.1</v>
      </c>
      <c r="I59" s="20" t="n">
        <v>304903.1</v>
      </c>
    </row>
    <row r="60" customFormat="false" ht="15" hidden="false" customHeight="false" outlineLevel="0" collapsed="false">
      <c r="B60" s="19" t="s">
        <v>417</v>
      </c>
      <c r="C60" s="9" t="s">
        <v>418</v>
      </c>
      <c r="D60" s="9" t="s">
        <v>77</v>
      </c>
      <c r="E60" s="9" t="s">
        <v>53</v>
      </c>
      <c r="F60" s="9" t="s">
        <v>53</v>
      </c>
      <c r="G60" s="9"/>
      <c r="H60" s="20" t="n">
        <v>216047.05</v>
      </c>
      <c r="I60" s="20" t="n">
        <v>216047.05</v>
      </c>
    </row>
    <row r="61" customFormat="false" ht="15" hidden="false" customHeight="false" outlineLevel="0" collapsed="false">
      <c r="B61" s="19" t="s">
        <v>419</v>
      </c>
      <c r="C61" s="9" t="s">
        <v>420</v>
      </c>
      <c r="D61" s="9" t="s">
        <v>421</v>
      </c>
      <c r="E61" s="9" t="s">
        <v>53</v>
      </c>
      <c r="F61" s="9" t="s">
        <v>53</v>
      </c>
      <c r="G61" s="9"/>
      <c r="H61" s="20" t="n">
        <v>218926.65</v>
      </c>
      <c r="I61" s="20" t="n">
        <v>218926.65</v>
      </c>
    </row>
    <row r="62" customFormat="false" ht="15" hidden="false" customHeight="false" outlineLevel="0" collapsed="false">
      <c r="B62" s="19" t="s">
        <v>422</v>
      </c>
      <c r="C62" s="9" t="s">
        <v>423</v>
      </c>
      <c r="D62" s="9" t="s">
        <v>52</v>
      </c>
      <c r="E62" s="9" t="s">
        <v>53</v>
      </c>
      <c r="F62" s="9" t="s">
        <v>53</v>
      </c>
      <c r="G62" s="9"/>
      <c r="H62" s="20" t="n">
        <v>223946.25</v>
      </c>
      <c r="I62" s="20" t="n">
        <v>223946.25</v>
      </c>
    </row>
    <row r="63" customFormat="false" ht="15" hidden="false" customHeight="false" outlineLevel="0" collapsed="false">
      <c r="B63" s="19" t="s">
        <v>424</v>
      </c>
      <c r="C63" s="9" t="s">
        <v>425</v>
      </c>
      <c r="D63" s="9" t="s">
        <v>426</v>
      </c>
      <c r="E63" s="9" t="s">
        <v>53</v>
      </c>
      <c r="F63" s="9" t="s">
        <v>78</v>
      </c>
      <c r="G63" s="9"/>
      <c r="H63" s="20" t="n">
        <v>197993.85</v>
      </c>
      <c r="I63" s="20" t="n">
        <v>0</v>
      </c>
    </row>
    <row r="64" customFormat="false" ht="15" hidden="false" customHeight="false" outlineLevel="0" collapsed="false">
      <c r="B64" s="19" t="s">
        <v>427</v>
      </c>
      <c r="C64" s="9" t="s">
        <v>69</v>
      </c>
      <c r="D64" s="9" t="s">
        <v>428</v>
      </c>
      <c r="E64" s="9" t="s">
        <v>69</v>
      </c>
      <c r="F64" s="9" t="s">
        <v>82</v>
      </c>
      <c r="G64" s="9"/>
      <c r="H64" s="20" t="n">
        <v>304902.1</v>
      </c>
      <c r="I64" s="20" t="n">
        <v>304902.1</v>
      </c>
    </row>
    <row r="65" customFormat="false" ht="15" hidden="false" customHeight="false" outlineLevel="0" collapsed="false">
      <c r="B65" s="19" t="s">
        <v>429</v>
      </c>
      <c r="C65" s="9" t="s">
        <v>430</v>
      </c>
      <c r="D65" s="9" t="s">
        <v>431</v>
      </c>
      <c r="E65" s="9" t="s">
        <v>53</v>
      </c>
      <c r="F65" s="9" t="s">
        <v>53</v>
      </c>
      <c r="G65" s="9"/>
      <c r="H65" s="20" t="n">
        <v>240301</v>
      </c>
      <c r="I65" s="20" t="n">
        <v>240301</v>
      </c>
    </row>
    <row r="66" customFormat="false" ht="15" hidden="false" customHeight="false" outlineLevel="0" collapsed="false">
      <c r="B66" s="19" t="s">
        <v>432</v>
      </c>
      <c r="C66" s="9" t="s">
        <v>433</v>
      </c>
      <c r="D66" s="9" t="s">
        <v>77</v>
      </c>
      <c r="E66" s="9" t="s">
        <v>53</v>
      </c>
      <c r="F66" s="9" t="s">
        <v>53</v>
      </c>
      <c r="G66" s="9"/>
      <c r="H66" s="20" t="n">
        <v>216045.05</v>
      </c>
      <c r="I66" s="20" t="n">
        <v>216045.05</v>
      </c>
    </row>
    <row r="67" customFormat="false" ht="15" hidden="false" customHeight="false" outlineLevel="0" collapsed="false">
      <c r="B67" s="19" t="s">
        <v>434</v>
      </c>
      <c r="C67" s="9" t="s">
        <v>435</v>
      </c>
      <c r="D67" s="9" t="s">
        <v>86</v>
      </c>
      <c r="E67" s="9" t="s">
        <v>53</v>
      </c>
      <c r="F67" s="9" t="s">
        <v>53</v>
      </c>
      <c r="G67" s="9"/>
      <c r="H67" s="20" t="n">
        <v>138704</v>
      </c>
      <c r="I67" s="20" t="n">
        <v>138704</v>
      </c>
    </row>
    <row r="68" customFormat="false" ht="15" hidden="false" customHeight="false" outlineLevel="0" collapsed="false">
      <c r="B68" s="8" t="s">
        <v>436</v>
      </c>
      <c r="H68" s="18" t="n">
        <f aca="false">SUMIFS('Role data'!$M$2:$M$550,'Role data'!$C$2:$C$550,"Ampol Customer",'Role data'!$D$2:$D$550,"Energy",'Role data'!$E$2:$E$550,"sig")</f>
        <v>52014.2442009675</v>
      </c>
      <c r="I68" s="18" t="n">
        <f aca="false">SUMIFS('Role data'!$N$2:$N$550,'Role data'!$C$2:$C$550,"Ampol Customer",'Role data'!$D$2:$D$550,"Energy",'Role data'!$E$2:$E$550,"sig")</f>
        <v>20805.697680387</v>
      </c>
    </row>
    <row r="69" customFormat="false" ht="15" hidden="false" customHeight="false" outlineLevel="0" collapsed="false">
      <c r="B69" s="19" t="s">
        <v>437</v>
      </c>
      <c r="C69" s="9" t="s">
        <v>438</v>
      </c>
      <c r="D69" s="9" t="s">
        <v>439</v>
      </c>
      <c r="E69" s="9" t="s">
        <v>53</v>
      </c>
      <c r="F69" s="9" t="s">
        <v>71</v>
      </c>
      <c r="G69" s="9"/>
      <c r="H69" s="20" t="n">
        <v>52014.2442009675</v>
      </c>
      <c r="I69" s="20" t="n">
        <v>20805.697680387</v>
      </c>
    </row>
    <row r="70" customFormat="false" ht="15" hidden="false" customHeight="false" outlineLevel="0" collapsed="false">
      <c r="B70" s="8" t="s">
        <v>203</v>
      </c>
      <c r="H70" s="18" t="n">
        <f aca="false">SUMIFS('Role data'!$M$2:$M$550,'Role data'!$C$2:$C$550,"Ampol Customer",'Role data'!$D$2:$D$550,"Delivery Manager",'Role data'!$E$2:$E$550,"overhead")</f>
        <v>200406.139401987</v>
      </c>
      <c r="I70" s="18" t="n">
        <f aca="false">SUMIFS('Role data'!$N$2:$N$550,'Role data'!$C$2:$C$550,"Ampol Customer",'Role data'!$D$2:$D$550,"Delivery Manager",'Role data'!$E$2:$E$550,"overhead")</f>
        <v>200406.139401987</v>
      </c>
    </row>
    <row r="71" customFormat="false" ht="15" hidden="false" customHeight="false" outlineLevel="0" collapsed="false">
      <c r="B71" s="19" t="s">
        <v>440</v>
      </c>
      <c r="C71" s="9" t="s">
        <v>441</v>
      </c>
      <c r="D71" s="9" t="s">
        <v>203</v>
      </c>
      <c r="E71" s="9" t="s">
        <v>53</v>
      </c>
      <c r="F71" s="9" t="s">
        <v>53</v>
      </c>
      <c r="G71" s="9"/>
      <c r="H71" s="20" t="n">
        <v>84442.0249914295</v>
      </c>
      <c r="I71" s="20" t="n">
        <v>84442.0249914295</v>
      </c>
    </row>
    <row r="72" customFormat="false" ht="15" hidden="false" customHeight="false" outlineLevel="0" collapsed="false">
      <c r="B72" s="19" t="s">
        <v>442</v>
      </c>
      <c r="C72" s="9" t="s">
        <v>443</v>
      </c>
      <c r="D72" s="9" t="s">
        <v>203</v>
      </c>
      <c r="E72" s="9" t="s">
        <v>53</v>
      </c>
      <c r="F72" s="9" t="s">
        <v>53</v>
      </c>
      <c r="G72" s="9"/>
      <c r="H72" s="20" t="n">
        <v>115964.114410557</v>
      </c>
      <c r="I72" s="20" t="n">
        <v>115964.114410557</v>
      </c>
    </row>
    <row r="73" customFormat="false" ht="15" hidden="false" customHeight="false" outlineLevel="0" collapsed="false">
      <c r="B73" s="8" t="s">
        <v>206</v>
      </c>
      <c r="H73" s="18" t="n">
        <f aca="false">SUMIFS('Role data'!$M$2:$M$550,'Role data'!$C$2:$C$550,"Ampol Customer",'Role data'!$D$2:$D$550,"Technology Manager",'Role data'!$E$2:$E$550,"overhead")</f>
        <v>394357.079095935</v>
      </c>
      <c r="I73" s="18" t="n">
        <f aca="false">SUMIFS('Role data'!$N$2:$N$550,'Role data'!$C$2:$C$550,"Ampol Customer",'Role data'!$D$2:$D$550,"Technology Manager",'Role data'!$E$2:$E$550,"overhead")</f>
        <v>394357.079095935</v>
      </c>
    </row>
    <row r="74" customFormat="false" ht="15" hidden="false" customHeight="false" outlineLevel="0" collapsed="false">
      <c r="B74" s="19" t="s">
        <v>444</v>
      </c>
      <c r="C74" s="9" t="s">
        <v>445</v>
      </c>
      <c r="D74" s="9" t="s">
        <v>446</v>
      </c>
      <c r="E74" s="9" t="s">
        <v>53</v>
      </c>
      <c r="F74" s="9" t="s">
        <v>53</v>
      </c>
      <c r="G74" s="9"/>
      <c r="H74" s="20" t="n">
        <v>78997.667123388</v>
      </c>
      <c r="I74" s="20" t="n">
        <v>78997.667123388</v>
      </c>
    </row>
    <row r="75" customFormat="false" ht="15" hidden="false" customHeight="false" outlineLevel="0" collapsed="false">
      <c r="B75" s="19" t="s">
        <v>447</v>
      </c>
      <c r="C75" s="9" t="s">
        <v>448</v>
      </c>
      <c r="D75" s="9" t="s">
        <v>449</v>
      </c>
      <c r="E75" s="9" t="s">
        <v>53</v>
      </c>
      <c r="F75" s="9" t="s">
        <v>53</v>
      </c>
      <c r="G75" s="9"/>
      <c r="H75" s="20" t="n">
        <v>84889.6243734661</v>
      </c>
      <c r="I75" s="20" t="n">
        <v>84889.6243734661</v>
      </c>
    </row>
    <row r="76" customFormat="false" ht="15" hidden="false" customHeight="false" outlineLevel="0" collapsed="false">
      <c r="B76" s="19" t="s">
        <v>450</v>
      </c>
      <c r="C76" s="9" t="s">
        <v>451</v>
      </c>
      <c r="D76" s="9" t="s">
        <v>452</v>
      </c>
      <c r="E76" s="9" t="s">
        <v>53</v>
      </c>
      <c r="F76" s="9" t="s">
        <v>53</v>
      </c>
      <c r="G76" s="9"/>
      <c r="H76" s="20" t="n">
        <v>114505.673188524</v>
      </c>
      <c r="I76" s="20" t="n">
        <v>114505.673188524</v>
      </c>
    </row>
    <row r="77" customFormat="false" ht="15" hidden="false" customHeight="false" outlineLevel="0" collapsed="false">
      <c r="B77" s="19" t="s">
        <v>453</v>
      </c>
      <c r="C77" s="9" t="s">
        <v>69</v>
      </c>
      <c r="D77" s="9" t="s">
        <v>300</v>
      </c>
      <c r="E77" s="9" t="s">
        <v>69</v>
      </c>
      <c r="F77" s="9" t="s">
        <v>82</v>
      </c>
      <c r="G77" s="9"/>
      <c r="H77" s="20" t="n">
        <v>115964.114410557</v>
      </c>
      <c r="I77" s="20" t="n">
        <v>115964.114410557</v>
      </c>
    </row>
    <row r="78" customFormat="false" ht="15" hidden="false" customHeight="false" outlineLevel="0" collapsed="false">
      <c r="B78" s="8" t="s">
        <v>454</v>
      </c>
      <c r="H78" s="18" t="n">
        <f aca="false">SUMIFS('Role data'!$M$2:$M$550,'Role data'!$C$2:$C$550,"Ampol Customer",'Role data'!$D$2:$D$550,"Heads of Customer Portfolio",'Role data'!$E$2:$E$550,"overhead")</f>
        <v>218866.190920373</v>
      </c>
      <c r="I78" s="18" t="n">
        <f aca="false">SUMIFS('Role data'!$N$2:$N$550,'Role data'!$C$2:$C$550,"Ampol Customer",'Role data'!$D$2:$D$550,"Heads of Customer Portfolio",'Role data'!$E$2:$E$550,"overhead")</f>
        <v>218866.190920373</v>
      </c>
    </row>
    <row r="79" customFormat="false" ht="15" hidden="false" customHeight="false" outlineLevel="0" collapsed="false">
      <c r="B79" s="19" t="s">
        <v>455</v>
      </c>
      <c r="C79" s="9" t="s">
        <v>456</v>
      </c>
      <c r="D79" s="9" t="s">
        <v>457</v>
      </c>
      <c r="E79" s="9" t="s">
        <v>53</v>
      </c>
      <c r="F79" s="9" t="s">
        <v>53</v>
      </c>
      <c r="G79" s="9"/>
      <c r="H79" s="20" t="n">
        <v>114536.68015893</v>
      </c>
      <c r="I79" s="20" t="n">
        <v>114536.68015893</v>
      </c>
    </row>
    <row r="80" customFormat="false" ht="15" hidden="false" customHeight="false" outlineLevel="0" collapsed="false">
      <c r="B80" s="19" t="s">
        <v>458</v>
      </c>
      <c r="C80" s="9" t="s">
        <v>459</v>
      </c>
      <c r="D80" s="9" t="s">
        <v>460</v>
      </c>
      <c r="E80" s="9" t="s">
        <v>53</v>
      </c>
      <c r="F80" s="9" t="s">
        <v>53</v>
      </c>
      <c r="G80" s="9"/>
      <c r="H80" s="20" t="n">
        <v>104329.510761442</v>
      </c>
      <c r="I80" s="20" t="n">
        <v>104329.510761442</v>
      </c>
    </row>
    <row r="81" customFormat="false" ht="15" hidden="false" customHeight="false" outlineLevel="0" collapsed="false">
      <c r="B81" s="13" t="s">
        <v>38</v>
      </c>
      <c r="C81" s="21"/>
      <c r="D81" s="21"/>
      <c r="E81" s="21"/>
      <c r="F81" s="21"/>
      <c r="G81" s="21"/>
      <c r="H81" s="22" t="n">
        <f aca="false">SUMIFS('Role data'!$M$2:$M$550,'Role data'!$C$2:$C$550,"Ampol Customer")</f>
        <v>11770888.5814193</v>
      </c>
      <c r="I81" s="22" t="n">
        <f aca="false">SUMIFS('Role data'!$N$2:$N$550,'Role data'!$C$2:$C$550,"Ampol Customer")</f>
        <v>9105070.24025868</v>
      </c>
    </row>
  </sheetData>
  <sheetProtection sheet="true" password="c5c5"/>
  <mergeCells count="7">
    <mergeCell ref="C5:C6"/>
    <mergeCell ref="D5:D6"/>
    <mergeCell ref="E5:E6"/>
    <mergeCell ref="F5:F6"/>
    <mergeCell ref="G5:G6"/>
    <mergeCell ref="H5:H6"/>
    <mergeCell ref="I5:I6"/>
  </mergeCells>
  <conditionalFormatting sqref="F5">
    <cfRule type="cellIs" priority="2" operator="greaterThan" aboveAverage="0" equalAverage="0" bottom="0" percent="0" rank="0" text="" dxfId="0">
      <formula>0</formula>
    </cfRule>
  </conditionalFormatting>
  <conditionalFormatting sqref="H10:H23 H25:H32 H34:H42 H44:H46 H48:H53 H55:H67 H69 H71:H72 H74:H77 H79:H80">
    <cfRule type="dataBar" priority="3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{67DCD0B7-54B0-45DC-9F66-B35356CF1315}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DCD0B7-54B0-45DC-9F66-B35356CF1315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H10:H23 H25:H32 H34:H42 H44:H46 H48:H53 H55:H67 H69 H71:H72 H74:H77 H79:H80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19.5"/>
    <col collapsed="false" customWidth="true" hidden="false" outlineLevel="0" max="4" min="4" style="0" width="40.5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22" min="20" style="0" width="13"/>
  </cols>
  <sheetData>
    <row r="2" customFormat="false" ht="17.35" hidden="false" customHeight="false" outlineLevel="0" collapsed="false">
      <c r="B2" s="1" t="s">
        <v>19</v>
      </c>
    </row>
    <row r="4" customFormat="false" ht="42" hidden="false" customHeight="true" outlineLevel="0" collapsed="false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Format="false" ht="19.5" hidden="false" customHeight="true" outlineLevel="0" collapsed="false">
      <c r="C5" s="16" t="n">
        <f aca="false">'TDD Dashboard'!$C$13</f>
        <v>4.61957496722132</v>
      </c>
      <c r="D5" s="16" t="n">
        <f aca="false">'TDD Dashboard'!$D$13</f>
        <v>4.0480544828341</v>
      </c>
      <c r="E5" s="16" t="n">
        <f aca="false">'TDD Dashboard'!$E$13</f>
        <v>4</v>
      </c>
      <c r="F5" s="16" t="n">
        <f aca="false">'TDD Dashboard'!$F$13</f>
        <v>0.0480544828340959</v>
      </c>
      <c r="G5" s="17" t="n">
        <f aca="false">'TDD Dashboard'!$G$13</f>
        <v>0.876282885667511</v>
      </c>
      <c r="H5" s="16" t="n">
        <f aca="false">'TDD Dashboard'!$H$13</f>
        <v>0</v>
      </c>
      <c r="I5" s="16" t="n">
        <f aca="false">'TDD Dashboard'!$I$13</f>
        <v>0.571520484387223</v>
      </c>
    </row>
    <row r="6" customFormat="false" ht="19.5" hidden="false" customHeight="true" outlineLevel="0" collapsed="false">
      <c r="C6" s="16"/>
      <c r="D6" s="16"/>
      <c r="E6" s="16"/>
      <c r="F6" s="16"/>
      <c r="G6" s="16"/>
      <c r="H6" s="16"/>
      <c r="I6" s="16"/>
    </row>
    <row r="8" customFormat="false" ht="45" hidden="false" customHeight="true" outlineLevel="0" collapsed="false">
      <c r="B8" s="5" t="s">
        <v>39</v>
      </c>
      <c r="C8" s="5" t="s">
        <v>40</v>
      </c>
      <c r="D8" s="5" t="s">
        <v>41</v>
      </c>
      <c r="E8" s="5" t="s">
        <v>42</v>
      </c>
      <c r="F8" s="5" t="s">
        <v>43</v>
      </c>
      <c r="G8" s="5" t="s">
        <v>44</v>
      </c>
      <c r="H8" s="6" t="s">
        <v>45</v>
      </c>
      <c r="I8" s="6" t="s">
        <v>46</v>
      </c>
      <c r="T8" s="7" t="s">
        <v>47</v>
      </c>
      <c r="U8" s="7" t="s">
        <v>2</v>
      </c>
      <c r="V8" s="7" t="s">
        <v>7</v>
      </c>
    </row>
    <row r="9" customFormat="false" ht="15" hidden="false" customHeight="false" outlineLevel="0" collapsed="false">
      <c r="B9" s="8" t="s">
        <v>461</v>
      </c>
      <c r="H9" s="18" t="n">
        <f aca="false">SUMIFS('Role data'!$M$2:$M$550,'Role data'!$C$2:$C$550,"Z Customer",'Role data'!$D$2:$D$550,"Z App and Web",'Role data'!$E$2:$E$550,"squad")</f>
        <v>1032931.16</v>
      </c>
      <c r="I9" s="18" t="n">
        <f aca="false">SUMIFS('Role data'!$N$2:$N$550,'Role data'!$C$2:$C$550,"Z Customer",'Role data'!$D$2:$D$550,"Z App and Web",'Role data'!$E$2:$E$550,"squad")</f>
        <v>1032931.16</v>
      </c>
      <c r="T9" s="9" t="s">
        <v>461</v>
      </c>
      <c r="U9" s="10" t="n">
        <f aca="false">SUMIFS('Role data'!$Q$2:$Q$550,'Role data'!$C$2:$C$550,"Z Customer",'Role data'!$D$2:$D$550,"Z App and Web",'Role data'!$E$2:$E$550,"squad")/1000000</f>
        <v>0.723051812</v>
      </c>
      <c r="V9" s="10" t="n">
        <f aca="false">(SUMIFS('Role data'!$N$2:$N$550,'Role data'!$C$2:$C$550,"Z Customer",'Role data'!$D$2:$D$550,"Z App and Web",'Role data'!$E$2:$E$550,"squad")-SUMIFS('Role data'!$Q$2:$Q$550,'Role data'!$C$2:$C$550,"Z Customer",'Role data'!$D$2:$D$550,"Z App and Web",'Role data'!$E$2:$E$550,"squad"))/1000000</f>
        <v>0.309879348</v>
      </c>
    </row>
    <row r="10" customFormat="false" ht="15" hidden="false" customHeight="false" outlineLevel="0" collapsed="false">
      <c r="B10" s="19" t="s">
        <v>462</v>
      </c>
      <c r="C10" s="9" t="s">
        <v>463</v>
      </c>
      <c r="D10" s="9" t="s">
        <v>84</v>
      </c>
      <c r="E10" s="9" t="s">
        <v>53</v>
      </c>
      <c r="F10" s="9" t="s">
        <v>53</v>
      </c>
      <c r="G10" s="9"/>
      <c r="H10" s="20" t="n">
        <v>178285.368</v>
      </c>
      <c r="I10" s="20" t="n">
        <v>178285.368</v>
      </c>
      <c r="T10" s="9" t="s">
        <v>464</v>
      </c>
      <c r="U10" s="10" t="n">
        <f aca="false">SUMIFS('Role data'!$Q$2:$Q$550,'Role data'!$C$2:$C$550,"Z Customer",'Role data'!$D$2:$D$550,"Z Loyalty &amp; Martech",'Role data'!$E$2:$E$550,"squad")/1000000</f>
        <v>1.558980897824</v>
      </c>
      <c r="V10" s="10" t="n">
        <f aca="false">(SUMIFS('Role data'!$N$2:$N$550,'Role data'!$C$2:$C$550,"Z Customer",'Role data'!$D$2:$D$550,"Z Loyalty &amp; Martech",'Role data'!$E$2:$E$550,"squad")-SUMIFS('Role data'!$Q$2:$Q$550,'Role data'!$C$2:$C$550,"Z Customer",'Role data'!$D$2:$D$550,"Z Loyalty &amp; Martech",'Role data'!$E$2:$E$550,"squad"))/1000000</f>
        <v>0.668134670496</v>
      </c>
    </row>
    <row r="11" customFormat="false" ht="15" hidden="false" customHeight="false" outlineLevel="0" collapsed="false">
      <c r="B11" s="19" t="s">
        <v>465</v>
      </c>
      <c r="C11" s="9" t="s">
        <v>466</v>
      </c>
      <c r="D11" s="9" t="s">
        <v>332</v>
      </c>
      <c r="E11" s="9" t="s">
        <v>53</v>
      </c>
      <c r="F11" s="9" t="s">
        <v>53</v>
      </c>
      <c r="G11" s="9"/>
      <c r="H11" s="20" t="n">
        <v>181091.736</v>
      </c>
      <c r="I11" s="20" t="n">
        <v>181091.736</v>
      </c>
    </row>
    <row r="12" customFormat="false" ht="15" hidden="false" customHeight="false" outlineLevel="0" collapsed="false">
      <c r="B12" s="19" t="s">
        <v>467</v>
      </c>
      <c r="C12" s="9" t="s">
        <v>468</v>
      </c>
      <c r="D12" s="9" t="s">
        <v>332</v>
      </c>
      <c r="E12" s="9" t="s">
        <v>53</v>
      </c>
      <c r="F12" s="9" t="s">
        <v>53</v>
      </c>
      <c r="G12" s="9"/>
      <c r="H12" s="20" t="n">
        <v>163597.2</v>
      </c>
      <c r="I12" s="20" t="n">
        <v>163597.2</v>
      </c>
    </row>
    <row r="13" customFormat="false" ht="15" hidden="false" customHeight="false" outlineLevel="0" collapsed="false">
      <c r="B13" s="19" t="s">
        <v>469</v>
      </c>
      <c r="C13" s="9" t="s">
        <v>470</v>
      </c>
      <c r="D13" s="9" t="s">
        <v>471</v>
      </c>
      <c r="E13" s="9" t="s">
        <v>53</v>
      </c>
      <c r="F13" s="9" t="s">
        <v>53</v>
      </c>
      <c r="G13" s="9"/>
      <c r="H13" s="20" t="n">
        <v>186432.888</v>
      </c>
      <c r="I13" s="20" t="n">
        <v>186432.888</v>
      </c>
    </row>
    <row r="14" customFormat="false" ht="15" hidden="false" customHeight="false" outlineLevel="0" collapsed="false">
      <c r="B14" s="19" t="s">
        <v>472</v>
      </c>
      <c r="C14" s="9" t="s">
        <v>473</v>
      </c>
      <c r="D14" s="9" t="s">
        <v>349</v>
      </c>
      <c r="E14" s="9" t="s">
        <v>53</v>
      </c>
      <c r="F14" s="9" t="s">
        <v>53</v>
      </c>
      <c r="G14" s="9"/>
      <c r="H14" s="20" t="n">
        <v>114349.968</v>
      </c>
      <c r="I14" s="20" t="n">
        <v>114349.968</v>
      </c>
    </row>
    <row r="15" customFormat="false" ht="15" hidden="false" customHeight="false" outlineLevel="0" collapsed="false">
      <c r="B15" s="19" t="s">
        <v>474</v>
      </c>
      <c r="C15" s="9" t="s">
        <v>475</v>
      </c>
      <c r="D15" s="9" t="s">
        <v>476</v>
      </c>
      <c r="E15" s="9" t="s">
        <v>53</v>
      </c>
      <c r="F15" s="9" t="s">
        <v>53</v>
      </c>
      <c r="G15" s="9"/>
      <c r="H15" s="20" t="n">
        <v>209174</v>
      </c>
      <c r="I15" s="20" t="n">
        <v>209174</v>
      </c>
    </row>
    <row r="16" customFormat="false" ht="15" hidden="false" customHeight="false" outlineLevel="0" collapsed="false">
      <c r="B16" s="8" t="s">
        <v>464</v>
      </c>
      <c r="H16" s="18" t="n">
        <f aca="false">SUMIFS('Role data'!$M$2:$M$550,'Role data'!$C$2:$C$550,"Z Customer",'Role data'!$D$2:$D$550,"Z Loyalty &amp; Martech",'Role data'!$E$2:$E$550,"squad")</f>
        <v>2227115.56832</v>
      </c>
      <c r="I16" s="18" t="n">
        <f aca="false">SUMIFS('Role data'!$N$2:$N$550,'Role data'!$C$2:$C$550,"Z Customer",'Role data'!$D$2:$D$550,"Z Loyalty &amp; Martech",'Role data'!$E$2:$E$550,"squad")</f>
        <v>2227115.56832</v>
      </c>
    </row>
    <row r="17" customFormat="false" ht="15" hidden="false" customHeight="false" outlineLevel="0" collapsed="false">
      <c r="B17" s="19" t="s">
        <v>477</v>
      </c>
      <c r="C17" s="9" t="s">
        <v>478</v>
      </c>
      <c r="D17" s="9" t="s">
        <v>84</v>
      </c>
      <c r="E17" s="9" t="s">
        <v>53</v>
      </c>
      <c r="F17" s="9" t="s">
        <v>53</v>
      </c>
      <c r="G17" s="9"/>
      <c r="H17" s="20" t="n">
        <v>197171.772</v>
      </c>
      <c r="I17" s="20" t="n">
        <v>197171.772</v>
      </c>
    </row>
    <row r="18" customFormat="false" ht="15" hidden="false" customHeight="false" outlineLevel="0" collapsed="false">
      <c r="B18" s="19" t="s">
        <v>479</v>
      </c>
      <c r="C18" s="9" t="s">
        <v>480</v>
      </c>
      <c r="D18" s="9" t="s">
        <v>481</v>
      </c>
      <c r="E18" s="9" t="s">
        <v>53</v>
      </c>
      <c r="F18" s="9" t="s">
        <v>53</v>
      </c>
      <c r="G18" s="9"/>
      <c r="H18" s="20" t="n">
        <v>174743.46</v>
      </c>
      <c r="I18" s="20" t="n">
        <v>174743.46</v>
      </c>
    </row>
    <row r="19" customFormat="false" ht="15" hidden="false" customHeight="false" outlineLevel="0" collapsed="false">
      <c r="B19" s="19" t="s">
        <v>482</v>
      </c>
      <c r="C19" s="9" t="s">
        <v>483</v>
      </c>
      <c r="D19" s="9" t="s">
        <v>118</v>
      </c>
      <c r="E19" s="9" t="s">
        <v>53</v>
      </c>
      <c r="F19" s="9" t="s">
        <v>53</v>
      </c>
      <c r="G19" s="9"/>
      <c r="H19" s="20" t="n">
        <v>124779.79392</v>
      </c>
      <c r="I19" s="20" t="n">
        <v>124779.79392</v>
      </c>
    </row>
    <row r="20" customFormat="false" ht="15" hidden="false" customHeight="false" outlineLevel="0" collapsed="false">
      <c r="B20" s="19" t="s">
        <v>484</v>
      </c>
      <c r="C20" s="9" t="s">
        <v>485</v>
      </c>
      <c r="D20" s="9" t="s">
        <v>481</v>
      </c>
      <c r="E20" s="9" t="s">
        <v>53</v>
      </c>
      <c r="F20" s="9" t="s">
        <v>53</v>
      </c>
      <c r="G20" s="9"/>
      <c r="H20" s="20" t="n">
        <v>196277.808</v>
      </c>
      <c r="I20" s="20" t="n">
        <v>196277.808</v>
      </c>
    </row>
    <row r="21" customFormat="false" ht="15" hidden="false" customHeight="false" outlineLevel="0" collapsed="false">
      <c r="B21" s="19" t="s">
        <v>486</v>
      </c>
      <c r="C21" s="9" t="s">
        <v>487</v>
      </c>
      <c r="D21" s="9" t="s">
        <v>77</v>
      </c>
      <c r="E21" s="9" t="s">
        <v>53</v>
      </c>
      <c r="F21" s="9" t="s">
        <v>53</v>
      </c>
      <c r="G21" s="9"/>
      <c r="H21" s="20" t="n">
        <v>118683.6384</v>
      </c>
      <c r="I21" s="20" t="n">
        <v>118683.6384</v>
      </c>
    </row>
    <row r="22" customFormat="false" ht="15" hidden="false" customHeight="false" outlineLevel="0" collapsed="false">
      <c r="B22" s="19" t="s">
        <v>488</v>
      </c>
      <c r="C22" s="9" t="s">
        <v>489</v>
      </c>
      <c r="D22" s="9" t="s">
        <v>77</v>
      </c>
      <c r="E22" s="9" t="s">
        <v>53</v>
      </c>
      <c r="F22" s="9" t="s">
        <v>53</v>
      </c>
      <c r="G22" s="9"/>
      <c r="H22" s="20" t="n">
        <v>154465.188</v>
      </c>
      <c r="I22" s="20" t="n">
        <v>154465.188</v>
      </c>
    </row>
    <row r="23" customFormat="false" ht="15" hidden="false" customHeight="false" outlineLevel="0" collapsed="false">
      <c r="B23" s="19" t="s">
        <v>490</v>
      </c>
      <c r="C23" s="9" t="s">
        <v>491</v>
      </c>
      <c r="D23" s="9" t="s">
        <v>492</v>
      </c>
      <c r="E23" s="9" t="s">
        <v>53</v>
      </c>
      <c r="F23" s="9" t="s">
        <v>53</v>
      </c>
      <c r="G23" s="9"/>
      <c r="H23" s="20" t="n">
        <v>157984.464</v>
      </c>
      <c r="I23" s="20" t="n">
        <v>157984.464</v>
      </c>
    </row>
    <row r="24" customFormat="false" ht="15" hidden="false" customHeight="false" outlineLevel="0" collapsed="false">
      <c r="B24" s="19" t="s">
        <v>493</v>
      </c>
      <c r="C24" s="9" t="s">
        <v>494</v>
      </c>
      <c r="D24" s="9" t="s">
        <v>492</v>
      </c>
      <c r="E24" s="9" t="s">
        <v>53</v>
      </c>
      <c r="F24" s="9" t="s">
        <v>53</v>
      </c>
      <c r="G24" s="9"/>
      <c r="H24" s="20" t="n">
        <v>138284.308</v>
      </c>
      <c r="I24" s="20" t="n">
        <v>138284.308</v>
      </c>
    </row>
    <row r="25" customFormat="false" ht="15" hidden="false" customHeight="false" outlineLevel="0" collapsed="false">
      <c r="B25" s="19" t="s">
        <v>495</v>
      </c>
      <c r="C25" s="9" t="s">
        <v>496</v>
      </c>
      <c r="D25" s="9" t="s">
        <v>492</v>
      </c>
      <c r="E25" s="9" t="s">
        <v>53</v>
      </c>
      <c r="F25" s="9" t="s">
        <v>53</v>
      </c>
      <c r="G25" s="9"/>
      <c r="H25" s="20" t="n">
        <v>150021</v>
      </c>
      <c r="I25" s="20" t="n">
        <v>150021</v>
      </c>
    </row>
    <row r="26" customFormat="false" ht="15" hidden="false" customHeight="false" outlineLevel="0" collapsed="false">
      <c r="B26" s="19" t="s">
        <v>497</v>
      </c>
      <c r="C26" s="9" t="s">
        <v>498</v>
      </c>
      <c r="D26" s="9" t="s">
        <v>86</v>
      </c>
      <c r="E26" s="9" t="s">
        <v>53</v>
      </c>
      <c r="F26" s="9" t="s">
        <v>53</v>
      </c>
      <c r="G26" s="9"/>
      <c r="H26" s="20" t="n">
        <v>155680</v>
      </c>
      <c r="I26" s="20" t="n">
        <v>155680</v>
      </c>
    </row>
    <row r="27" customFormat="false" ht="15" hidden="false" customHeight="false" outlineLevel="0" collapsed="false">
      <c r="B27" s="19" t="s">
        <v>499</v>
      </c>
      <c r="C27" s="9" t="s">
        <v>500</v>
      </c>
      <c r="D27" s="9" t="s">
        <v>501</v>
      </c>
      <c r="E27" s="9" t="s">
        <v>53</v>
      </c>
      <c r="F27" s="9" t="s">
        <v>53</v>
      </c>
      <c r="G27" s="9"/>
      <c r="H27" s="20" t="n">
        <v>107279.584</v>
      </c>
      <c r="I27" s="20" t="n">
        <v>107279.584</v>
      </c>
    </row>
    <row r="28" customFormat="false" ht="15" hidden="false" customHeight="false" outlineLevel="0" collapsed="false">
      <c r="B28" s="19" t="s">
        <v>502</v>
      </c>
      <c r="C28" s="9" t="s">
        <v>503</v>
      </c>
      <c r="D28" s="9" t="s">
        <v>504</v>
      </c>
      <c r="E28" s="9" t="s">
        <v>53</v>
      </c>
      <c r="F28" s="9" t="s">
        <v>53</v>
      </c>
      <c r="G28" s="9"/>
      <c r="H28" s="20" t="n">
        <v>105043.248</v>
      </c>
      <c r="I28" s="20" t="n">
        <v>105043.248</v>
      </c>
    </row>
    <row r="29" customFormat="false" ht="15" hidden="false" customHeight="false" outlineLevel="0" collapsed="false">
      <c r="B29" s="19" t="s">
        <v>505</v>
      </c>
      <c r="C29" s="9" t="s">
        <v>506</v>
      </c>
      <c r="D29" s="9" t="s">
        <v>507</v>
      </c>
      <c r="E29" s="9" t="s">
        <v>53</v>
      </c>
      <c r="F29" s="9" t="s">
        <v>53</v>
      </c>
      <c r="G29" s="9"/>
      <c r="H29" s="20" t="n">
        <v>106519.664</v>
      </c>
      <c r="I29" s="20" t="n">
        <v>106519.664</v>
      </c>
    </row>
    <row r="30" customFormat="false" ht="15" hidden="false" customHeight="false" outlineLevel="0" collapsed="false">
      <c r="B30" s="19" t="s">
        <v>508</v>
      </c>
      <c r="C30" s="9" t="s">
        <v>509</v>
      </c>
      <c r="D30" s="9" t="s">
        <v>510</v>
      </c>
      <c r="E30" s="9" t="s">
        <v>53</v>
      </c>
      <c r="F30" s="9" t="s">
        <v>53</v>
      </c>
      <c r="G30" s="9"/>
      <c r="H30" s="20" t="n">
        <v>104847.84</v>
      </c>
      <c r="I30" s="20" t="n">
        <v>104847.84</v>
      </c>
    </row>
    <row r="31" customFormat="false" ht="15" hidden="false" customHeight="false" outlineLevel="0" collapsed="false">
      <c r="B31" s="19" t="s">
        <v>511</v>
      </c>
      <c r="C31" s="9" t="s">
        <v>69</v>
      </c>
      <c r="D31" s="9" t="s">
        <v>52</v>
      </c>
      <c r="E31" s="9" t="s">
        <v>69</v>
      </c>
      <c r="F31" s="9" t="s">
        <v>82</v>
      </c>
      <c r="G31" s="9"/>
      <c r="H31" s="20" t="n">
        <v>235333.8</v>
      </c>
      <c r="I31" s="20" t="n">
        <v>235333.8</v>
      </c>
    </row>
    <row r="32" customFormat="false" ht="15" hidden="false" customHeight="false" outlineLevel="0" collapsed="false">
      <c r="B32" s="8" t="s">
        <v>436</v>
      </c>
      <c r="H32" s="18" t="n">
        <f aca="false">SUMIFS('Role data'!$M$2:$M$550,'Role data'!$C$2:$C$550,"Z Customer",'Role data'!$D$2:$D$550,"Energy",'Role data'!$E$2:$E$550,"sig")</f>
        <v>84745.7557990325</v>
      </c>
      <c r="I32" s="18" t="n">
        <f aca="false">SUMIFS('Role data'!$N$2:$N$550,'Role data'!$C$2:$C$550,"Z Customer",'Role data'!$D$2:$D$550,"Energy",'Role data'!$E$2:$E$550,"sig")</f>
        <v>33898.302319613</v>
      </c>
    </row>
    <row r="33" customFormat="false" ht="15" hidden="false" customHeight="false" outlineLevel="0" collapsed="false">
      <c r="B33" s="19" t="s">
        <v>437</v>
      </c>
      <c r="C33" s="9" t="s">
        <v>438</v>
      </c>
      <c r="D33" s="9" t="s">
        <v>439</v>
      </c>
      <c r="E33" s="9" t="s">
        <v>53</v>
      </c>
      <c r="F33" s="9" t="s">
        <v>71</v>
      </c>
      <c r="G33" s="9"/>
      <c r="H33" s="20" t="n">
        <v>84745.7557990325</v>
      </c>
      <c r="I33" s="20" t="n">
        <v>33898.302319613</v>
      </c>
    </row>
    <row r="34" customFormat="false" ht="15" hidden="false" customHeight="false" outlineLevel="0" collapsed="false">
      <c r="B34" s="8" t="s">
        <v>203</v>
      </c>
      <c r="H34" s="18" t="n">
        <f aca="false">SUMIFS('Role data'!$M$2:$M$550,'Role data'!$C$2:$C$550,"Z Customer",'Role data'!$D$2:$D$550,"Delivery Manager",'Role data'!$E$2:$E$550,"overhead")</f>
        <v>326517.668598013</v>
      </c>
      <c r="I34" s="18" t="n">
        <f aca="false">SUMIFS('Role data'!$N$2:$N$550,'Role data'!$C$2:$C$550,"Z Customer",'Role data'!$D$2:$D$550,"Delivery Manager",'Role data'!$E$2:$E$550,"overhead")</f>
        <v>326517.668598013</v>
      </c>
    </row>
    <row r="35" customFormat="false" ht="15" hidden="false" customHeight="false" outlineLevel="0" collapsed="false">
      <c r="B35" s="19" t="s">
        <v>440</v>
      </c>
      <c r="C35" s="9" t="s">
        <v>441</v>
      </c>
      <c r="D35" s="9" t="s">
        <v>203</v>
      </c>
      <c r="E35" s="9" t="s">
        <v>53</v>
      </c>
      <c r="F35" s="9" t="s">
        <v>53</v>
      </c>
      <c r="G35" s="9"/>
      <c r="H35" s="20" t="n">
        <v>137579.683008571</v>
      </c>
      <c r="I35" s="20" t="n">
        <v>137579.683008571</v>
      </c>
    </row>
    <row r="36" customFormat="false" ht="15" hidden="false" customHeight="false" outlineLevel="0" collapsed="false">
      <c r="B36" s="19" t="s">
        <v>442</v>
      </c>
      <c r="C36" s="9" t="s">
        <v>443</v>
      </c>
      <c r="D36" s="9" t="s">
        <v>203</v>
      </c>
      <c r="E36" s="9" t="s">
        <v>53</v>
      </c>
      <c r="F36" s="9" t="s">
        <v>53</v>
      </c>
      <c r="G36" s="9"/>
      <c r="H36" s="20" t="n">
        <v>188937.985589443</v>
      </c>
      <c r="I36" s="20" t="n">
        <v>188937.985589443</v>
      </c>
    </row>
    <row r="37" customFormat="false" ht="15" hidden="false" customHeight="false" outlineLevel="0" collapsed="false">
      <c r="B37" s="8" t="s">
        <v>206</v>
      </c>
      <c r="H37" s="18" t="n">
        <f aca="false">SUMIFS('Role data'!$M$2:$M$550,'Role data'!$C$2:$C$550,"Z Customer",'Role data'!$D$2:$D$550,"Technology Manager",'Role data'!$E$2:$E$550,"overhead")</f>
        <v>642518.010904065</v>
      </c>
      <c r="I37" s="18" t="n">
        <f aca="false">SUMIFS('Role data'!$N$2:$N$550,'Role data'!$C$2:$C$550,"Z Customer",'Role data'!$D$2:$D$550,"Technology Manager",'Role data'!$E$2:$E$550,"overhead")</f>
        <v>642518.010904065</v>
      </c>
    </row>
    <row r="38" customFormat="false" ht="15" hidden="false" customHeight="false" outlineLevel="0" collapsed="false">
      <c r="B38" s="19" t="s">
        <v>444</v>
      </c>
      <c r="C38" s="9" t="s">
        <v>445</v>
      </c>
      <c r="D38" s="9" t="s">
        <v>446</v>
      </c>
      <c r="E38" s="9" t="s">
        <v>53</v>
      </c>
      <c r="F38" s="9" t="s">
        <v>53</v>
      </c>
      <c r="G38" s="9"/>
      <c r="H38" s="20" t="n">
        <v>128709.300876612</v>
      </c>
      <c r="I38" s="20" t="n">
        <v>128709.300876612</v>
      </c>
    </row>
    <row r="39" customFormat="false" ht="15" hidden="false" customHeight="false" outlineLevel="0" collapsed="false">
      <c r="B39" s="19" t="s">
        <v>447</v>
      </c>
      <c r="C39" s="9" t="s">
        <v>448</v>
      </c>
      <c r="D39" s="9" t="s">
        <v>449</v>
      </c>
      <c r="E39" s="9" t="s">
        <v>53</v>
      </c>
      <c r="F39" s="9" t="s">
        <v>53</v>
      </c>
      <c r="G39" s="9"/>
      <c r="H39" s="20" t="n">
        <v>138308.947626534</v>
      </c>
      <c r="I39" s="20" t="n">
        <v>138308.947626534</v>
      </c>
    </row>
    <row r="40" customFormat="false" ht="15" hidden="false" customHeight="false" outlineLevel="0" collapsed="false">
      <c r="B40" s="19" t="s">
        <v>450</v>
      </c>
      <c r="C40" s="9" t="s">
        <v>451</v>
      </c>
      <c r="D40" s="9" t="s">
        <v>452</v>
      </c>
      <c r="E40" s="9" t="s">
        <v>53</v>
      </c>
      <c r="F40" s="9" t="s">
        <v>53</v>
      </c>
      <c r="G40" s="9"/>
      <c r="H40" s="20" t="n">
        <v>186561.776811476</v>
      </c>
      <c r="I40" s="20" t="n">
        <v>186561.776811476</v>
      </c>
    </row>
    <row r="41" customFormat="false" ht="15" hidden="false" customHeight="false" outlineLevel="0" collapsed="false">
      <c r="B41" s="19" t="s">
        <v>453</v>
      </c>
      <c r="C41" s="9" t="s">
        <v>69</v>
      </c>
      <c r="D41" s="9" t="s">
        <v>300</v>
      </c>
      <c r="E41" s="9" t="s">
        <v>69</v>
      </c>
      <c r="F41" s="9" t="s">
        <v>82</v>
      </c>
      <c r="G41" s="9"/>
      <c r="H41" s="20" t="n">
        <v>188937.985589443</v>
      </c>
      <c r="I41" s="20" t="n">
        <v>188937.985589443</v>
      </c>
    </row>
    <row r="42" customFormat="false" ht="15" hidden="false" customHeight="false" outlineLevel="0" collapsed="false">
      <c r="B42" s="8" t="s">
        <v>454</v>
      </c>
      <c r="H42" s="18" t="n">
        <f aca="false">SUMIFS('Role data'!$M$2:$M$550,'Role data'!$C$2:$C$550,"Z Customer",'Role data'!$D$2:$D$550,"Heads of Customer Portfolio",'Role data'!$E$2:$E$550,"overhead")</f>
        <v>356594.257079628</v>
      </c>
      <c r="I42" s="18" t="n">
        <f aca="false">SUMIFS('Role data'!$N$2:$N$550,'Role data'!$C$2:$C$550,"Z Customer",'Role data'!$D$2:$D$550,"Heads of Customer Portfolio",'Role data'!$E$2:$E$550,"overhead")</f>
        <v>356594.257079628</v>
      </c>
    </row>
    <row r="43" customFormat="false" ht="15" hidden="false" customHeight="false" outlineLevel="0" collapsed="false">
      <c r="B43" s="19" t="s">
        <v>455</v>
      </c>
      <c r="C43" s="9" t="s">
        <v>456</v>
      </c>
      <c r="D43" s="9" t="s">
        <v>457</v>
      </c>
      <c r="E43" s="9" t="s">
        <v>53</v>
      </c>
      <c r="F43" s="9" t="s">
        <v>53</v>
      </c>
      <c r="G43" s="9"/>
      <c r="H43" s="20" t="n">
        <v>186612.29584107</v>
      </c>
      <c r="I43" s="20" t="n">
        <v>186612.29584107</v>
      </c>
    </row>
    <row r="44" customFormat="false" ht="15" hidden="false" customHeight="false" outlineLevel="0" collapsed="false">
      <c r="B44" s="19" t="s">
        <v>458</v>
      </c>
      <c r="C44" s="9" t="s">
        <v>459</v>
      </c>
      <c r="D44" s="9" t="s">
        <v>460</v>
      </c>
      <c r="E44" s="9" t="s">
        <v>53</v>
      </c>
      <c r="F44" s="9" t="s">
        <v>53</v>
      </c>
      <c r="G44" s="9"/>
      <c r="H44" s="20" t="n">
        <v>169981.961238558</v>
      </c>
      <c r="I44" s="20" t="n">
        <v>169981.961238558</v>
      </c>
    </row>
    <row r="45" customFormat="false" ht="15" hidden="false" customHeight="false" outlineLevel="0" collapsed="false">
      <c r="B45" s="13" t="s">
        <v>38</v>
      </c>
      <c r="C45" s="21"/>
      <c r="D45" s="21"/>
      <c r="E45" s="21"/>
      <c r="F45" s="21"/>
      <c r="G45" s="21"/>
      <c r="H45" s="22" t="n">
        <f aca="false">SUMIFS('Role data'!$M$2:$M$550,'Role data'!$C$2:$C$550,"Z Customer")</f>
        <v>4670422.42070074</v>
      </c>
      <c r="I45" s="22" t="n">
        <f aca="false">SUMIFS('Role data'!$N$2:$N$550,'Role data'!$C$2:$C$550,"Z Customer")</f>
        <v>4619574.96722132</v>
      </c>
    </row>
  </sheetData>
  <sheetProtection sheet="true" password="c5c5"/>
  <mergeCells count="7">
    <mergeCell ref="C5:C6"/>
    <mergeCell ref="D5:D6"/>
    <mergeCell ref="E5:E6"/>
    <mergeCell ref="F5:F6"/>
    <mergeCell ref="G5:G6"/>
    <mergeCell ref="H5:H6"/>
    <mergeCell ref="I5:I6"/>
  </mergeCells>
  <conditionalFormatting sqref="F5">
    <cfRule type="cellIs" priority="2" operator="greaterThan" aboveAverage="0" equalAverage="0" bottom="0" percent="0" rank="0" text="" dxfId="0">
      <formula>0</formula>
    </cfRule>
  </conditionalFormatting>
  <conditionalFormatting sqref="H10:H15 H17:H31 H33 H35:H36 H38:H41 H43:H44">
    <cfRule type="dataBar" priority="3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{E34CA238-F740-45DD-A5F0-E1EC15D0DD4F}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4CA238-F740-45DD-A5F0-E1EC15D0DD4F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H10:H15 H17:H31 H33 H35:H36 H38:H41 H43:H44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26.5"/>
    <col collapsed="false" customWidth="true" hidden="false" outlineLevel="0" max="4" min="4" style="0" width="37.5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22" min="20" style="0" width="13"/>
  </cols>
  <sheetData>
    <row r="2" customFormat="false" ht="17.35" hidden="false" customHeight="false" outlineLevel="0" collapsed="false">
      <c r="B2" s="1" t="s">
        <v>20</v>
      </c>
    </row>
    <row r="4" customFormat="false" ht="42" hidden="false" customHeight="true" outlineLevel="0" collapsed="false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Format="false" ht="19.5" hidden="false" customHeight="true" outlineLevel="0" collapsed="false">
      <c r="C5" s="16" t="n">
        <f aca="false">'TDD Dashboard'!$C$14</f>
        <v>8.9409346318</v>
      </c>
      <c r="D5" s="16" t="n">
        <f aca="false">'TDD Dashboard'!$D$14</f>
        <v>2.43435809138545</v>
      </c>
      <c r="E5" s="16" t="n">
        <f aca="false">'TDD Dashboard'!$E$14</f>
        <v>2.5</v>
      </c>
      <c r="F5" s="16" t="n">
        <f aca="false">'TDD Dashboard'!$F$14</f>
        <v>-0.0656419086145457</v>
      </c>
      <c r="G5" s="17" t="n">
        <f aca="false">'TDD Dashboard'!$G$14</f>
        <v>0.272271098228057</v>
      </c>
      <c r="H5" s="16" t="n">
        <f aca="false">'TDD Dashboard'!$H$14</f>
        <v>3.8</v>
      </c>
      <c r="I5" s="16" t="n">
        <f aca="false">'TDD Dashboard'!$I$14</f>
        <v>2.70657654041455</v>
      </c>
    </row>
    <row r="6" customFormat="false" ht="19.5" hidden="false" customHeight="true" outlineLevel="0" collapsed="false">
      <c r="C6" s="16"/>
      <c r="D6" s="16"/>
      <c r="E6" s="16"/>
      <c r="F6" s="16"/>
      <c r="G6" s="16"/>
      <c r="H6" s="16"/>
      <c r="I6" s="16"/>
    </row>
    <row r="8" customFormat="false" ht="45" hidden="false" customHeight="true" outlineLevel="0" collapsed="false">
      <c r="B8" s="5" t="s">
        <v>39</v>
      </c>
      <c r="C8" s="5" t="s">
        <v>40</v>
      </c>
      <c r="D8" s="5" t="s">
        <v>41</v>
      </c>
      <c r="E8" s="5" t="s">
        <v>42</v>
      </c>
      <c r="F8" s="5" t="s">
        <v>43</v>
      </c>
      <c r="G8" s="5" t="s">
        <v>44</v>
      </c>
      <c r="H8" s="6" t="s">
        <v>45</v>
      </c>
      <c r="I8" s="6" t="s">
        <v>46</v>
      </c>
      <c r="T8" s="7" t="s">
        <v>47</v>
      </c>
      <c r="U8" s="7" t="s">
        <v>2</v>
      </c>
      <c r="V8" s="7" t="s">
        <v>7</v>
      </c>
    </row>
    <row r="9" customFormat="false" ht="15" hidden="false" customHeight="false" outlineLevel="0" collapsed="false">
      <c r="B9" s="8" t="s">
        <v>512</v>
      </c>
      <c r="H9" s="18" t="n">
        <f aca="false">SUMIFS('Role data'!$M$2:$M$550,'Role data'!$C$2:$C$550,"Commercial Fuels",'Role data'!$D$2:$D$550,"Supply",'Role data'!$E$2:$E$550,"squad")</f>
        <v>1059255.75</v>
      </c>
      <c r="I9" s="18" t="n">
        <f aca="false">SUMIFS('Role data'!$N$2:$N$550,'Role data'!$C$2:$C$550,"Commercial Fuels",'Role data'!$D$2:$D$550,"Supply",'Role data'!$E$2:$E$550,"squad")</f>
        <v>1059255.75</v>
      </c>
      <c r="T9" s="9" t="s">
        <v>513</v>
      </c>
      <c r="U9" s="10" t="n">
        <f aca="false">SUMIFS('Role data'!$Q$2:$Q$550,'Role data'!$C$2:$C$550,"Commercial Fuels",'Role data'!$D$2:$D$550,"Trading &amp; Shipping Data",'Role data'!$E$2:$E$550,"squad")/1000000</f>
        <v>0</v>
      </c>
      <c r="V9" s="10" t="n">
        <f aca="false">(SUMIFS('Role data'!$N$2:$N$550,'Role data'!$C$2:$C$550,"Commercial Fuels",'Role data'!$D$2:$D$550,"Trading &amp; Shipping Data",'Role data'!$E$2:$E$550,"squad")-SUMIFS('Role data'!$Q$2:$Q$550,'Role data'!$C$2:$C$550,"Commercial Fuels",'Role data'!$D$2:$D$550,"Trading &amp; Shipping Data",'Role data'!$E$2:$E$550,"squad"))/1000000</f>
        <v>1.0146279396</v>
      </c>
    </row>
    <row r="10" customFormat="false" ht="15" hidden="false" customHeight="false" outlineLevel="0" collapsed="false">
      <c r="B10" s="19" t="s">
        <v>514</v>
      </c>
      <c r="C10" s="9" t="s">
        <v>69</v>
      </c>
      <c r="D10" s="9" t="s">
        <v>84</v>
      </c>
      <c r="E10" s="9" t="s">
        <v>69</v>
      </c>
      <c r="F10" s="9" t="s">
        <v>82</v>
      </c>
      <c r="G10" s="9"/>
      <c r="H10" s="20" t="n">
        <v>231689.25</v>
      </c>
      <c r="I10" s="20" t="n">
        <v>231689.25</v>
      </c>
      <c r="T10" s="9" t="s">
        <v>512</v>
      </c>
      <c r="U10" s="10" t="n">
        <f aca="false">SUMIFS('Role data'!$Q$2:$Q$550,'Role data'!$C$2:$C$550,"Commercial Fuels",'Role data'!$D$2:$D$550,"Supply",'Role data'!$E$2:$E$550,"squad")/1000000</f>
        <v>0</v>
      </c>
      <c r="V10" s="10" t="n">
        <f aca="false">(SUMIFS('Role data'!$N$2:$N$550,'Role data'!$C$2:$C$550,"Commercial Fuels",'Role data'!$D$2:$D$550,"Supply",'Role data'!$E$2:$E$550,"squad")-SUMIFS('Role data'!$Q$2:$Q$550,'Role data'!$C$2:$C$550,"Commercial Fuels",'Role data'!$D$2:$D$550,"Supply",'Role data'!$E$2:$E$550,"squad"))/1000000</f>
        <v>1.05925575</v>
      </c>
    </row>
    <row r="11" customFormat="false" ht="15" hidden="false" customHeight="false" outlineLevel="0" collapsed="false">
      <c r="B11" s="19" t="s">
        <v>515</v>
      </c>
      <c r="C11" s="9" t="s">
        <v>69</v>
      </c>
      <c r="D11" s="9" t="s">
        <v>516</v>
      </c>
      <c r="E11" s="9" t="s">
        <v>69</v>
      </c>
      <c r="F11" s="9" t="s">
        <v>82</v>
      </c>
      <c r="G11" s="9"/>
      <c r="H11" s="20" t="n">
        <v>202853.25</v>
      </c>
      <c r="I11" s="20" t="n">
        <v>202853.25</v>
      </c>
      <c r="T11" s="9" t="s">
        <v>517</v>
      </c>
      <c r="U11" s="10" t="n">
        <f aca="false">SUMIFS('Role data'!$Q$2:$Q$550,'Role data'!$C$2:$C$550,"Commercial Fuels",'Role data'!$D$2:$D$550,"Trading &amp; Shipping",'Role data'!$E$2:$E$550,"squad")/1000000</f>
        <v>0.50278987484</v>
      </c>
      <c r="V11" s="10" t="n">
        <f aca="false">(SUMIFS('Role data'!$N$2:$N$550,'Role data'!$C$2:$C$550,"Commercial Fuels",'Role data'!$D$2:$D$550,"Trading &amp; Shipping",'Role data'!$E$2:$E$550,"squad")-SUMIFS('Role data'!$Q$2:$Q$550,'Role data'!$C$2:$C$550,"Commercial Fuels",'Role data'!$D$2:$D$550,"Trading &amp; Shipping",'Role data'!$E$2:$E$550,"squad"))/1000000</f>
        <v>2.01115949936</v>
      </c>
    </row>
    <row r="12" customFormat="false" ht="15" hidden="false" customHeight="false" outlineLevel="0" collapsed="false">
      <c r="B12" s="19" t="s">
        <v>518</v>
      </c>
      <c r="C12" s="9" t="s">
        <v>519</v>
      </c>
      <c r="D12" s="9" t="s">
        <v>516</v>
      </c>
      <c r="E12" s="9" t="s">
        <v>69</v>
      </c>
      <c r="F12" s="9" t="s">
        <v>82</v>
      </c>
      <c r="G12" s="9"/>
      <c r="H12" s="20" t="n">
        <v>202853.25</v>
      </c>
      <c r="I12" s="20" t="n">
        <v>202853.25</v>
      </c>
    </row>
    <row r="13" customFormat="false" ht="15" hidden="false" customHeight="false" outlineLevel="0" collapsed="false">
      <c r="B13" s="19" t="s">
        <v>520</v>
      </c>
      <c r="C13" s="9" t="s">
        <v>521</v>
      </c>
      <c r="D13" s="9" t="s">
        <v>133</v>
      </c>
      <c r="E13" s="9" t="s">
        <v>53</v>
      </c>
      <c r="F13" s="9" t="s">
        <v>53</v>
      </c>
      <c r="G13" s="9"/>
      <c r="H13" s="20" t="n">
        <v>219006.75</v>
      </c>
      <c r="I13" s="20" t="n">
        <v>219006.75</v>
      </c>
    </row>
    <row r="14" customFormat="false" ht="15" hidden="false" customHeight="false" outlineLevel="0" collapsed="false">
      <c r="B14" s="19" t="s">
        <v>522</v>
      </c>
      <c r="C14" s="9" t="s">
        <v>69</v>
      </c>
      <c r="D14" s="9" t="s">
        <v>523</v>
      </c>
      <c r="E14" s="9" t="s">
        <v>69</v>
      </c>
      <c r="F14" s="9" t="s">
        <v>82</v>
      </c>
      <c r="G14" s="9"/>
      <c r="H14" s="20" t="n">
        <v>202853.25</v>
      </c>
      <c r="I14" s="20" t="n">
        <v>202853.25</v>
      </c>
    </row>
    <row r="15" customFormat="false" ht="15" hidden="false" customHeight="false" outlineLevel="0" collapsed="false">
      <c r="B15" s="8" t="s">
        <v>517</v>
      </c>
      <c r="H15" s="18" t="n">
        <f aca="false">SUMIFS('Role data'!$M$2:$M$550,'Role data'!$C$2:$C$550,"Commercial Fuels",'Role data'!$D$2:$D$550,"Trading &amp; Shipping",'Role data'!$E$2:$E$550,"squad")</f>
        <v>2679143.5617</v>
      </c>
      <c r="I15" s="18" t="n">
        <f aca="false">SUMIFS('Role data'!$N$2:$N$550,'Role data'!$C$2:$C$550,"Commercial Fuels",'Role data'!$D$2:$D$550,"Trading &amp; Shipping",'Role data'!$E$2:$E$550,"squad")</f>
        <v>2513949.3742</v>
      </c>
    </row>
    <row r="16" customFormat="false" ht="15" hidden="false" customHeight="false" outlineLevel="0" collapsed="false">
      <c r="B16" s="19" t="s">
        <v>524</v>
      </c>
      <c r="C16" s="9" t="s">
        <v>525</v>
      </c>
      <c r="D16" s="9" t="s">
        <v>526</v>
      </c>
      <c r="E16" s="9" t="s">
        <v>53</v>
      </c>
      <c r="F16" s="9" t="s">
        <v>53</v>
      </c>
      <c r="G16" s="9"/>
      <c r="H16" s="20" t="n">
        <v>346651.0332</v>
      </c>
      <c r="I16" s="20" t="n">
        <v>346651.0332</v>
      </c>
    </row>
    <row r="17" customFormat="false" ht="15" hidden="false" customHeight="false" outlineLevel="0" collapsed="false">
      <c r="B17" s="19" t="s">
        <v>527</v>
      </c>
      <c r="C17" s="9" t="s">
        <v>528</v>
      </c>
      <c r="D17" s="9" t="s">
        <v>133</v>
      </c>
      <c r="E17" s="9" t="s">
        <v>53</v>
      </c>
      <c r="F17" s="9" t="s">
        <v>53</v>
      </c>
      <c r="G17" s="9"/>
      <c r="H17" s="20" t="n">
        <v>352114.3405</v>
      </c>
      <c r="I17" s="20" t="n">
        <v>352114.3405</v>
      </c>
    </row>
    <row r="18" customFormat="false" ht="15" hidden="false" customHeight="false" outlineLevel="0" collapsed="false">
      <c r="B18" s="19" t="s">
        <v>529</v>
      </c>
      <c r="C18" s="9" t="s">
        <v>69</v>
      </c>
      <c r="D18" s="9" t="s">
        <v>84</v>
      </c>
      <c r="E18" s="9" t="s">
        <v>69</v>
      </c>
      <c r="F18" s="9" t="s">
        <v>82</v>
      </c>
      <c r="G18" s="9"/>
      <c r="H18" s="20" t="n">
        <v>231689.25</v>
      </c>
      <c r="I18" s="20" t="n">
        <v>231689.25</v>
      </c>
    </row>
    <row r="19" customFormat="false" ht="15" hidden="false" customHeight="false" outlineLevel="0" collapsed="false">
      <c r="B19" s="19" t="s">
        <v>530</v>
      </c>
      <c r="C19" s="9" t="s">
        <v>531</v>
      </c>
      <c r="D19" s="9" t="s">
        <v>57</v>
      </c>
      <c r="E19" s="9" t="s">
        <v>53</v>
      </c>
      <c r="F19" s="9" t="s">
        <v>53</v>
      </c>
      <c r="G19" s="9"/>
      <c r="H19" s="20" t="n">
        <v>293634.617</v>
      </c>
      <c r="I19" s="20" t="n">
        <v>293634.617</v>
      </c>
    </row>
    <row r="20" customFormat="false" ht="15" hidden="false" customHeight="false" outlineLevel="0" collapsed="false">
      <c r="B20" s="19" t="s">
        <v>532</v>
      </c>
      <c r="C20" s="9" t="s">
        <v>533</v>
      </c>
      <c r="D20" s="9" t="s">
        <v>534</v>
      </c>
      <c r="E20" s="9" t="s">
        <v>53</v>
      </c>
      <c r="F20" s="9" t="s">
        <v>53</v>
      </c>
      <c r="G20" s="9"/>
      <c r="H20" s="20" t="n">
        <v>212558.7</v>
      </c>
      <c r="I20" s="20" t="n">
        <v>212558.7</v>
      </c>
    </row>
    <row r="21" customFormat="false" ht="15" hidden="false" customHeight="false" outlineLevel="0" collapsed="false">
      <c r="B21" s="19" t="s">
        <v>535</v>
      </c>
      <c r="C21" s="9" t="s">
        <v>536</v>
      </c>
      <c r="D21" s="9" t="s">
        <v>133</v>
      </c>
      <c r="E21" s="9" t="s">
        <v>53</v>
      </c>
      <c r="F21" s="9" t="s">
        <v>53</v>
      </c>
      <c r="G21" s="9"/>
      <c r="H21" s="20" t="n">
        <v>226429.35</v>
      </c>
      <c r="I21" s="20" t="n">
        <v>226429.35</v>
      </c>
    </row>
    <row r="22" customFormat="false" ht="15" hidden="false" customHeight="false" outlineLevel="0" collapsed="false">
      <c r="B22" s="19" t="s">
        <v>537</v>
      </c>
      <c r="C22" s="9" t="s">
        <v>538</v>
      </c>
      <c r="D22" s="9" t="s">
        <v>516</v>
      </c>
      <c r="E22" s="9" t="s">
        <v>53</v>
      </c>
      <c r="F22" s="9" t="s">
        <v>53</v>
      </c>
      <c r="G22" s="9"/>
      <c r="H22" s="20" t="n">
        <v>180010.35</v>
      </c>
      <c r="I22" s="20" t="n">
        <v>180010.35</v>
      </c>
    </row>
    <row r="23" customFormat="false" ht="15" hidden="false" customHeight="false" outlineLevel="0" collapsed="false">
      <c r="B23" s="19" t="s">
        <v>539</v>
      </c>
      <c r="C23" s="9" t="s">
        <v>540</v>
      </c>
      <c r="D23" s="9" t="s">
        <v>541</v>
      </c>
      <c r="E23" s="9" t="s">
        <v>53</v>
      </c>
      <c r="F23" s="9" t="s">
        <v>53</v>
      </c>
      <c r="G23" s="9"/>
      <c r="H23" s="20" t="n">
        <v>146390.4</v>
      </c>
      <c r="I23" s="20" t="n">
        <v>146390.4</v>
      </c>
    </row>
    <row r="24" customFormat="false" ht="15" hidden="false" customHeight="false" outlineLevel="0" collapsed="false">
      <c r="B24" s="19" t="s">
        <v>542</v>
      </c>
      <c r="C24" s="9" t="s">
        <v>543</v>
      </c>
      <c r="D24" s="9" t="s">
        <v>516</v>
      </c>
      <c r="E24" s="9" t="s">
        <v>53</v>
      </c>
      <c r="F24" s="9" t="s">
        <v>53</v>
      </c>
      <c r="G24" s="9"/>
      <c r="H24" s="20" t="n">
        <v>179970.9</v>
      </c>
      <c r="I24" s="20" t="n">
        <v>179970.9</v>
      </c>
    </row>
    <row r="25" customFormat="false" ht="15" hidden="false" customHeight="false" outlineLevel="0" collapsed="false">
      <c r="B25" s="19" t="s">
        <v>544</v>
      </c>
      <c r="C25" s="9" t="s">
        <v>545</v>
      </c>
      <c r="D25" s="9" t="s">
        <v>546</v>
      </c>
      <c r="E25" s="9" t="s">
        <v>53</v>
      </c>
      <c r="F25" s="9" t="s">
        <v>53</v>
      </c>
      <c r="G25" s="9"/>
      <c r="H25" s="20" t="n">
        <v>216633.121</v>
      </c>
      <c r="I25" s="20" t="n">
        <v>216633.121</v>
      </c>
    </row>
    <row r="26" customFormat="false" ht="15" hidden="false" customHeight="false" outlineLevel="0" collapsed="false">
      <c r="B26" s="19" t="s">
        <v>547</v>
      </c>
      <c r="C26" s="9" t="s">
        <v>69</v>
      </c>
      <c r="D26" s="9" t="s">
        <v>80</v>
      </c>
      <c r="E26" s="9" t="s">
        <v>69</v>
      </c>
      <c r="F26" s="9" t="s">
        <v>82</v>
      </c>
      <c r="G26" s="9" t="s">
        <v>121</v>
      </c>
      <c r="H26" s="20" t="n">
        <v>170489.75</v>
      </c>
      <c r="I26" s="20" t="n">
        <v>127867.3125</v>
      </c>
    </row>
    <row r="27" customFormat="false" ht="15" hidden="false" customHeight="false" outlineLevel="0" collapsed="false">
      <c r="B27" s="19" t="s">
        <v>548</v>
      </c>
      <c r="C27" s="9" t="s">
        <v>69</v>
      </c>
      <c r="D27" s="9" t="s">
        <v>549</v>
      </c>
      <c r="E27" s="9" t="s">
        <v>69</v>
      </c>
      <c r="F27" s="9" t="s">
        <v>78</v>
      </c>
      <c r="G27" s="9"/>
      <c r="H27" s="20" t="n">
        <v>122571.75</v>
      </c>
      <c r="I27" s="20" t="n">
        <v>0</v>
      </c>
    </row>
    <row r="28" customFormat="false" ht="15" hidden="false" customHeight="false" outlineLevel="0" collapsed="false">
      <c r="B28" s="8" t="s">
        <v>513</v>
      </c>
      <c r="H28" s="18" t="n">
        <f aca="false">SUMIFS('Role data'!$M$2:$M$550,'Role data'!$C$2:$C$550,"Commercial Fuels",'Role data'!$D$2:$D$550,"Trading &amp; Shipping Data",'Role data'!$E$2:$E$550,"squad")</f>
        <v>2106168.849</v>
      </c>
      <c r="I28" s="18" t="n">
        <f aca="false">SUMIFS('Role data'!$N$2:$N$550,'Role data'!$C$2:$C$550,"Commercial Fuels",'Role data'!$D$2:$D$550,"Trading &amp; Shipping Data",'Role data'!$E$2:$E$550,"squad")</f>
        <v>1014627.9396</v>
      </c>
    </row>
    <row r="29" customFormat="false" ht="15" hidden="false" customHeight="false" outlineLevel="0" collapsed="false">
      <c r="B29" s="19" t="s">
        <v>550</v>
      </c>
      <c r="C29" s="9" t="s">
        <v>551</v>
      </c>
      <c r="D29" s="9" t="s">
        <v>84</v>
      </c>
      <c r="E29" s="9" t="s">
        <v>53</v>
      </c>
      <c r="F29" s="9" t="s">
        <v>53</v>
      </c>
      <c r="G29" s="9"/>
      <c r="H29" s="20" t="n">
        <v>286934</v>
      </c>
      <c r="I29" s="20" t="n">
        <v>286934</v>
      </c>
    </row>
    <row r="30" customFormat="false" ht="15" hidden="false" customHeight="false" outlineLevel="0" collapsed="false">
      <c r="B30" s="19" t="s">
        <v>552</v>
      </c>
      <c r="C30" s="9" t="s">
        <v>553</v>
      </c>
      <c r="D30" s="9" t="s">
        <v>133</v>
      </c>
      <c r="E30" s="9" t="s">
        <v>53</v>
      </c>
      <c r="F30" s="9" t="s">
        <v>71</v>
      </c>
      <c r="G30" s="9"/>
      <c r="H30" s="20" t="n">
        <v>322387</v>
      </c>
      <c r="I30" s="20" t="n">
        <v>128954.8</v>
      </c>
    </row>
    <row r="31" customFormat="false" ht="15" hidden="false" customHeight="false" outlineLevel="0" collapsed="false">
      <c r="B31" s="19" t="s">
        <v>554</v>
      </c>
      <c r="C31" s="9" t="s">
        <v>555</v>
      </c>
      <c r="D31" s="9" t="s">
        <v>556</v>
      </c>
      <c r="E31" s="9" t="s">
        <v>53</v>
      </c>
      <c r="F31" s="9" t="s">
        <v>71</v>
      </c>
      <c r="G31" s="9"/>
      <c r="H31" s="20" t="n">
        <v>375566.5</v>
      </c>
      <c r="I31" s="20" t="n">
        <v>150226.6</v>
      </c>
    </row>
    <row r="32" customFormat="false" ht="15" hidden="false" customHeight="false" outlineLevel="0" collapsed="false">
      <c r="B32" s="19" t="s">
        <v>557</v>
      </c>
      <c r="C32" s="9" t="s">
        <v>558</v>
      </c>
      <c r="D32" s="9" t="s">
        <v>559</v>
      </c>
      <c r="E32" s="9" t="s">
        <v>53</v>
      </c>
      <c r="F32" s="9" t="s">
        <v>71</v>
      </c>
      <c r="G32" s="9"/>
      <c r="H32" s="20" t="n">
        <v>325684.129</v>
      </c>
      <c r="I32" s="20" t="n">
        <v>130273.6516</v>
      </c>
    </row>
    <row r="33" customFormat="false" ht="15" hidden="false" customHeight="false" outlineLevel="0" collapsed="false">
      <c r="B33" s="19" t="s">
        <v>560</v>
      </c>
      <c r="C33" s="9" t="s">
        <v>561</v>
      </c>
      <c r="D33" s="9" t="s">
        <v>562</v>
      </c>
      <c r="E33" s="9" t="s">
        <v>53</v>
      </c>
      <c r="F33" s="9" t="s">
        <v>71</v>
      </c>
      <c r="G33" s="9"/>
      <c r="H33" s="20" t="n">
        <v>268285.722</v>
      </c>
      <c r="I33" s="20" t="n">
        <v>107314.2888</v>
      </c>
    </row>
    <row r="34" customFormat="false" ht="15" hidden="false" customHeight="false" outlineLevel="0" collapsed="false">
      <c r="B34" s="19" t="s">
        <v>563</v>
      </c>
      <c r="C34" s="9" t="s">
        <v>564</v>
      </c>
      <c r="D34" s="9" t="s">
        <v>565</v>
      </c>
      <c r="E34" s="9" t="s">
        <v>53</v>
      </c>
      <c r="F34" s="9" t="s">
        <v>71</v>
      </c>
      <c r="G34" s="9"/>
      <c r="H34" s="20" t="n">
        <v>260911.498</v>
      </c>
      <c r="I34" s="20" t="n">
        <v>104364.5992</v>
      </c>
    </row>
    <row r="35" customFormat="false" ht="15" hidden="false" customHeight="false" outlineLevel="0" collapsed="false">
      <c r="B35" s="19" t="s">
        <v>566</v>
      </c>
      <c r="C35" s="9" t="s">
        <v>567</v>
      </c>
      <c r="D35" s="9" t="s">
        <v>568</v>
      </c>
      <c r="E35" s="9" t="s">
        <v>53</v>
      </c>
      <c r="F35" s="9" t="s">
        <v>71</v>
      </c>
      <c r="G35" s="9"/>
      <c r="H35" s="20" t="n">
        <v>266400</v>
      </c>
      <c r="I35" s="20" t="n">
        <v>106560</v>
      </c>
    </row>
    <row r="36" customFormat="false" ht="15" hidden="false" customHeight="false" outlineLevel="0" collapsed="false">
      <c r="B36" s="8" t="s">
        <v>569</v>
      </c>
      <c r="H36" s="18" t="n">
        <f aca="false">SUMIFS('Role data'!$M$2:$M$550,'Role data'!$C$2:$C$550,"Commercial Fuels",'Role data'!$D$2:$D$550,"CTRM",'Role data'!$E$2:$E$550,"sig")</f>
        <v>3221759.232</v>
      </c>
      <c r="I36" s="18" t="n">
        <f aca="false">SUMIFS('Role data'!$N$2:$N$550,'Role data'!$C$2:$C$550,"Commercial Fuels",'Role data'!$D$2:$D$550,"CTRM",'Role data'!$E$2:$E$550,"sig")</f>
        <v>3221759.232</v>
      </c>
    </row>
    <row r="37" customFormat="false" ht="15" hidden="false" customHeight="false" outlineLevel="0" collapsed="false">
      <c r="B37" s="19" t="s">
        <v>570</v>
      </c>
      <c r="C37" s="9" t="s">
        <v>571</v>
      </c>
      <c r="D37" s="9" t="s">
        <v>572</v>
      </c>
      <c r="E37" s="9" t="s">
        <v>53</v>
      </c>
      <c r="F37" s="9" t="s">
        <v>53</v>
      </c>
      <c r="G37" s="9"/>
      <c r="H37" s="20" t="n">
        <v>323695.95</v>
      </c>
      <c r="I37" s="20" t="n">
        <v>323695.95</v>
      </c>
    </row>
    <row r="38" customFormat="false" ht="15" hidden="false" customHeight="false" outlineLevel="0" collapsed="false">
      <c r="B38" s="19" t="s">
        <v>573</v>
      </c>
      <c r="C38" s="9" t="s">
        <v>574</v>
      </c>
      <c r="D38" s="9" t="s">
        <v>575</v>
      </c>
      <c r="E38" s="9" t="s">
        <v>53</v>
      </c>
      <c r="F38" s="9" t="s">
        <v>53</v>
      </c>
      <c r="G38" s="9"/>
      <c r="H38" s="20" t="n">
        <v>304660.5</v>
      </c>
      <c r="I38" s="20" t="n">
        <v>304660.5</v>
      </c>
    </row>
    <row r="39" customFormat="false" ht="15" hidden="false" customHeight="false" outlineLevel="0" collapsed="false">
      <c r="B39" s="19" t="s">
        <v>576</v>
      </c>
      <c r="C39" s="9" t="s">
        <v>577</v>
      </c>
      <c r="D39" s="9" t="s">
        <v>575</v>
      </c>
      <c r="E39" s="9" t="s">
        <v>53</v>
      </c>
      <c r="F39" s="9" t="s">
        <v>53</v>
      </c>
      <c r="G39" s="9"/>
      <c r="H39" s="20" t="n">
        <v>221249.55</v>
      </c>
      <c r="I39" s="20" t="n">
        <v>221249.55</v>
      </c>
    </row>
    <row r="40" customFormat="false" ht="15" hidden="false" customHeight="false" outlineLevel="0" collapsed="false">
      <c r="B40" s="19" t="s">
        <v>578</v>
      </c>
      <c r="C40" s="9" t="s">
        <v>579</v>
      </c>
      <c r="D40" s="9" t="s">
        <v>84</v>
      </c>
      <c r="E40" s="9" t="s">
        <v>53</v>
      </c>
      <c r="F40" s="9" t="s">
        <v>53</v>
      </c>
      <c r="G40" s="9"/>
      <c r="H40" s="20" t="n">
        <v>253997.1</v>
      </c>
      <c r="I40" s="20" t="n">
        <v>253997.1</v>
      </c>
    </row>
    <row r="41" customFormat="false" ht="15" hidden="false" customHeight="false" outlineLevel="0" collapsed="false">
      <c r="B41" s="19" t="s">
        <v>580</v>
      </c>
      <c r="C41" s="9" t="s">
        <v>581</v>
      </c>
      <c r="D41" s="9" t="s">
        <v>192</v>
      </c>
      <c r="E41" s="9" t="s">
        <v>53</v>
      </c>
      <c r="F41" s="9" t="s">
        <v>53</v>
      </c>
      <c r="G41" s="9"/>
      <c r="H41" s="20" t="n">
        <v>366703.25</v>
      </c>
      <c r="I41" s="20" t="n">
        <v>366703.25</v>
      </c>
    </row>
    <row r="42" customFormat="false" ht="15" hidden="false" customHeight="false" outlineLevel="0" collapsed="false">
      <c r="B42" s="19" t="s">
        <v>582</v>
      </c>
      <c r="C42" s="9" t="s">
        <v>583</v>
      </c>
      <c r="D42" s="9" t="s">
        <v>52</v>
      </c>
      <c r="E42" s="9" t="s">
        <v>53</v>
      </c>
      <c r="F42" s="9" t="s">
        <v>53</v>
      </c>
      <c r="G42" s="9"/>
      <c r="H42" s="20" t="n">
        <v>276972.45</v>
      </c>
      <c r="I42" s="20" t="n">
        <v>276972.45</v>
      </c>
    </row>
    <row r="43" customFormat="false" ht="15" hidden="false" customHeight="false" outlineLevel="0" collapsed="false">
      <c r="B43" s="19" t="s">
        <v>584</v>
      </c>
      <c r="C43" s="9" t="s">
        <v>585</v>
      </c>
      <c r="D43" s="9" t="s">
        <v>118</v>
      </c>
      <c r="E43" s="9" t="s">
        <v>53</v>
      </c>
      <c r="F43" s="9" t="s">
        <v>53</v>
      </c>
      <c r="G43" s="9"/>
      <c r="H43" s="20" t="n">
        <v>180639.096</v>
      </c>
      <c r="I43" s="20" t="n">
        <v>180639.096</v>
      </c>
    </row>
    <row r="44" customFormat="false" ht="15" hidden="false" customHeight="false" outlineLevel="0" collapsed="false">
      <c r="B44" s="19" t="s">
        <v>586</v>
      </c>
      <c r="C44" s="9" t="s">
        <v>587</v>
      </c>
      <c r="D44" s="9" t="s">
        <v>588</v>
      </c>
      <c r="E44" s="9" t="s">
        <v>53</v>
      </c>
      <c r="F44" s="9" t="s">
        <v>53</v>
      </c>
      <c r="G44" s="9"/>
      <c r="H44" s="20" t="n">
        <v>280350</v>
      </c>
      <c r="I44" s="20" t="n">
        <v>280350</v>
      </c>
    </row>
    <row r="45" customFormat="false" ht="15" hidden="false" customHeight="false" outlineLevel="0" collapsed="false">
      <c r="B45" s="19" t="s">
        <v>589</v>
      </c>
      <c r="C45" s="9" t="s">
        <v>590</v>
      </c>
      <c r="D45" s="9" t="s">
        <v>591</v>
      </c>
      <c r="E45" s="9" t="s">
        <v>53</v>
      </c>
      <c r="F45" s="9" t="s">
        <v>53</v>
      </c>
      <c r="G45" s="9"/>
      <c r="H45" s="20" t="n">
        <v>197318.88</v>
      </c>
      <c r="I45" s="20" t="n">
        <v>197318.88</v>
      </c>
    </row>
    <row r="46" customFormat="false" ht="15" hidden="false" customHeight="false" outlineLevel="0" collapsed="false">
      <c r="B46" s="19" t="s">
        <v>592</v>
      </c>
      <c r="C46" s="9" t="s">
        <v>593</v>
      </c>
      <c r="D46" s="9" t="s">
        <v>77</v>
      </c>
      <c r="E46" s="9" t="s">
        <v>53</v>
      </c>
      <c r="F46" s="9" t="s">
        <v>53</v>
      </c>
      <c r="G46" s="9"/>
      <c r="H46" s="20" t="n">
        <v>279205.246</v>
      </c>
      <c r="I46" s="20" t="n">
        <v>279205.246</v>
      </c>
    </row>
    <row r="47" customFormat="false" ht="15" hidden="false" customHeight="false" outlineLevel="0" collapsed="false">
      <c r="B47" s="19" t="s">
        <v>594</v>
      </c>
      <c r="C47" s="9" t="s">
        <v>595</v>
      </c>
      <c r="D47" s="9" t="s">
        <v>596</v>
      </c>
      <c r="E47" s="9" t="s">
        <v>53</v>
      </c>
      <c r="F47" s="9" t="s">
        <v>53</v>
      </c>
      <c r="G47" s="9"/>
      <c r="H47" s="20" t="n">
        <v>194522.85</v>
      </c>
      <c r="I47" s="20" t="n">
        <v>194522.85</v>
      </c>
    </row>
    <row r="48" customFormat="false" ht="15" hidden="false" customHeight="false" outlineLevel="0" collapsed="false">
      <c r="B48" s="19" t="s">
        <v>597</v>
      </c>
      <c r="C48" s="9" t="s">
        <v>598</v>
      </c>
      <c r="D48" s="9" t="s">
        <v>599</v>
      </c>
      <c r="E48" s="9" t="s">
        <v>53</v>
      </c>
      <c r="F48" s="9" t="s">
        <v>53</v>
      </c>
      <c r="G48" s="9"/>
      <c r="H48" s="20" t="n">
        <v>156490.752</v>
      </c>
      <c r="I48" s="20" t="n">
        <v>156490.752</v>
      </c>
    </row>
    <row r="49" customFormat="false" ht="15" hidden="false" customHeight="false" outlineLevel="0" collapsed="false">
      <c r="B49" s="19" t="s">
        <v>600</v>
      </c>
      <c r="C49" s="9" t="s">
        <v>601</v>
      </c>
      <c r="D49" s="9" t="s">
        <v>523</v>
      </c>
      <c r="E49" s="9" t="s">
        <v>53</v>
      </c>
      <c r="F49" s="9" t="s">
        <v>53</v>
      </c>
      <c r="G49" s="9"/>
      <c r="H49" s="20" t="n">
        <v>101439.056</v>
      </c>
      <c r="I49" s="20" t="n">
        <v>101439.056</v>
      </c>
    </row>
    <row r="50" customFormat="false" ht="15" hidden="false" customHeight="false" outlineLevel="0" collapsed="false">
      <c r="B50" s="19" t="s">
        <v>602</v>
      </c>
      <c r="C50" s="9" t="s">
        <v>603</v>
      </c>
      <c r="D50" s="9" t="s">
        <v>604</v>
      </c>
      <c r="E50" s="9" t="s">
        <v>53</v>
      </c>
      <c r="F50" s="9" t="s">
        <v>53</v>
      </c>
      <c r="G50" s="9"/>
      <c r="H50" s="20" t="n">
        <v>84514.552</v>
      </c>
      <c r="I50" s="20" t="n">
        <v>84514.552</v>
      </c>
    </row>
    <row r="51" customFormat="false" ht="15" hidden="false" customHeight="false" outlineLevel="0" collapsed="false">
      <c r="B51" s="8" t="s">
        <v>199</v>
      </c>
      <c r="H51" s="18" t="n">
        <f aca="false">SUMIFS('Role data'!$M$2:$M$550,'Role data'!$C$2:$C$550,"Commercial Fuels",'Role data'!$D$2:$D$550,"Head of Technology",'Role data'!$E$2:$E$550,"overhead")</f>
        <v>292434.736</v>
      </c>
      <c r="I51" s="18" t="n">
        <f aca="false">SUMIFS('Role data'!$N$2:$N$550,'Role data'!$C$2:$C$550,"Commercial Fuels",'Role data'!$D$2:$D$550,"Head of Technology",'Role data'!$E$2:$E$550,"overhead")</f>
        <v>292434.736</v>
      </c>
    </row>
    <row r="52" customFormat="false" ht="15" hidden="false" customHeight="false" outlineLevel="0" collapsed="false">
      <c r="B52" s="19" t="s">
        <v>605</v>
      </c>
      <c r="C52" s="9" t="s">
        <v>606</v>
      </c>
      <c r="D52" s="9" t="s">
        <v>607</v>
      </c>
      <c r="E52" s="9" t="s">
        <v>53</v>
      </c>
      <c r="F52" s="9" t="s">
        <v>53</v>
      </c>
      <c r="G52" s="9"/>
      <c r="H52" s="20" t="n">
        <v>292434.736</v>
      </c>
      <c r="I52" s="20" t="n">
        <v>292434.736</v>
      </c>
    </row>
    <row r="53" customFormat="false" ht="15" hidden="false" customHeight="false" outlineLevel="0" collapsed="false">
      <c r="B53" s="8" t="s">
        <v>203</v>
      </c>
      <c r="H53" s="18" t="n">
        <f aca="false">SUMIFS('Role data'!$M$2:$M$550,'Role data'!$C$2:$C$550,"Commercial Fuels",'Role data'!$D$2:$D$550,"Delivery Manager",'Role data'!$E$2:$E$550,"overhead")</f>
        <v>275810.25</v>
      </c>
      <c r="I53" s="18" t="n">
        <f aca="false">SUMIFS('Role data'!$N$2:$N$550,'Role data'!$C$2:$C$550,"Commercial Fuels",'Role data'!$D$2:$D$550,"Delivery Manager",'Role data'!$E$2:$E$550,"overhead")</f>
        <v>275810.25</v>
      </c>
    </row>
    <row r="54" customFormat="false" ht="15" hidden="false" customHeight="false" outlineLevel="0" collapsed="false">
      <c r="B54" s="19" t="s">
        <v>608</v>
      </c>
      <c r="C54" s="9" t="s">
        <v>69</v>
      </c>
      <c r="D54" s="9" t="s">
        <v>203</v>
      </c>
      <c r="E54" s="9" t="s">
        <v>69</v>
      </c>
      <c r="F54" s="9" t="s">
        <v>82</v>
      </c>
      <c r="G54" s="9"/>
      <c r="H54" s="20" t="n">
        <v>275810.25</v>
      </c>
      <c r="I54" s="20" t="n">
        <v>275810.25</v>
      </c>
    </row>
    <row r="55" customFormat="false" ht="15" hidden="false" customHeight="false" outlineLevel="0" collapsed="false">
      <c r="B55" s="8" t="s">
        <v>206</v>
      </c>
      <c r="H55" s="18" t="n">
        <f aca="false">SUMIFS('Role data'!$M$2:$M$550,'Role data'!$C$2:$C$550,"Commercial Fuels",'Role data'!$D$2:$D$550,"Technology Manager",'Role data'!$E$2:$E$550,"overhead")</f>
        <v>563097.35</v>
      </c>
      <c r="I55" s="18" t="n">
        <f aca="false">SUMIFS('Role data'!$N$2:$N$550,'Role data'!$C$2:$C$550,"Commercial Fuels",'Role data'!$D$2:$D$550,"Technology Manager",'Role data'!$E$2:$E$550,"overhead")</f>
        <v>563097.35</v>
      </c>
    </row>
    <row r="56" customFormat="false" ht="15" hidden="false" customHeight="false" outlineLevel="0" collapsed="false">
      <c r="B56" s="19" t="s">
        <v>609</v>
      </c>
      <c r="C56" s="9" t="s">
        <v>610</v>
      </c>
      <c r="D56" s="9" t="s">
        <v>611</v>
      </c>
      <c r="E56" s="9" t="s">
        <v>53</v>
      </c>
      <c r="F56" s="9" t="s">
        <v>53</v>
      </c>
      <c r="G56" s="9"/>
      <c r="H56" s="20" t="n">
        <v>287287.1</v>
      </c>
      <c r="I56" s="20" t="n">
        <v>287287.1</v>
      </c>
    </row>
    <row r="57" customFormat="false" ht="15" hidden="false" customHeight="false" outlineLevel="0" collapsed="false">
      <c r="B57" s="19" t="s">
        <v>612</v>
      </c>
      <c r="C57" s="9" t="s">
        <v>69</v>
      </c>
      <c r="D57" s="9" t="s">
        <v>303</v>
      </c>
      <c r="E57" s="9" t="s">
        <v>69</v>
      </c>
      <c r="F57" s="9" t="s">
        <v>82</v>
      </c>
      <c r="G57" s="9"/>
      <c r="H57" s="20" t="n">
        <v>275810.25</v>
      </c>
      <c r="I57" s="20" t="n">
        <v>275810.25</v>
      </c>
    </row>
    <row r="58" customFormat="false" ht="15" hidden="false" customHeight="false" outlineLevel="0" collapsed="false">
      <c r="B58" s="13" t="s">
        <v>38</v>
      </c>
      <c r="C58" s="21"/>
      <c r="D58" s="21"/>
      <c r="E58" s="21"/>
      <c r="F58" s="21"/>
      <c r="G58" s="21"/>
      <c r="H58" s="22" t="n">
        <f aca="false">SUMIFS('Role data'!$M$2:$M$550,'Role data'!$C$2:$C$550,"Commercial Fuels")</f>
        <v>10197669.7287</v>
      </c>
      <c r="I58" s="22" t="n">
        <f aca="false">SUMIFS('Role data'!$N$2:$N$550,'Role data'!$C$2:$C$550,"Commercial Fuels")</f>
        <v>8940934.6318</v>
      </c>
    </row>
  </sheetData>
  <sheetProtection sheet="true" password="c5c5"/>
  <mergeCells count="7">
    <mergeCell ref="C5:C6"/>
    <mergeCell ref="D5:D6"/>
    <mergeCell ref="E5:E6"/>
    <mergeCell ref="F5:F6"/>
    <mergeCell ref="G5:G6"/>
    <mergeCell ref="H5:H6"/>
    <mergeCell ref="I5:I6"/>
  </mergeCells>
  <conditionalFormatting sqref="F5">
    <cfRule type="cellIs" priority="2" operator="greaterThan" aboveAverage="0" equalAverage="0" bottom="0" percent="0" rank="0" text="" dxfId="0">
      <formula>0</formula>
    </cfRule>
  </conditionalFormatting>
  <conditionalFormatting sqref="H10:H14 H16:H27 H29:H35 H37:H50 H52 H54 H56:H57">
    <cfRule type="dataBar" priority="3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{88E7451F-7069-4790-A198-B09087E96B99}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7451F-7069-4790-A198-B09087E96B99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H10:H14 H16:H27 H29:H35 H37:H50 H52 H54 H56:H57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17.5"/>
    <col collapsed="false" customWidth="true" hidden="false" outlineLevel="0" max="4" min="4" style="0" width="43.5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22" min="20" style="0" width="13"/>
  </cols>
  <sheetData>
    <row r="2" customFormat="false" ht="17.35" hidden="false" customHeight="false" outlineLevel="0" collapsed="false">
      <c r="B2" s="1" t="s">
        <v>22</v>
      </c>
    </row>
    <row r="4" customFormat="false" ht="42" hidden="false" customHeight="true" outlineLevel="0" collapsed="false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Format="false" ht="19.5" hidden="false" customHeight="true" outlineLevel="0" collapsed="false">
      <c r="C5" s="16" t="n">
        <f aca="false">'TDD Dashboard'!$C$15</f>
        <v>5.8851998495</v>
      </c>
      <c r="D5" s="16" t="n">
        <f aca="false">'TDD Dashboard'!$D$15</f>
        <v>2.46927518487045</v>
      </c>
      <c r="E5" s="16" t="n">
        <f aca="false">'TDD Dashboard'!$E$15</f>
        <v>2.5</v>
      </c>
      <c r="F5" s="16" t="n">
        <f aca="false">'TDD Dashboard'!$F$15</f>
        <v>-0.0307248151295454</v>
      </c>
      <c r="G5" s="17" t="n">
        <f aca="false">'TDD Dashboard'!$G$15</f>
        <v>0.419573718483025</v>
      </c>
      <c r="H5" s="16" t="n">
        <f aca="false">'TDD Dashboard'!$H$15</f>
        <v>0</v>
      </c>
      <c r="I5" s="16" t="n">
        <f aca="false">'TDD Dashboard'!$I$15</f>
        <v>3.41592466462954</v>
      </c>
    </row>
    <row r="6" customFormat="false" ht="19.5" hidden="false" customHeight="true" outlineLevel="0" collapsed="false">
      <c r="C6" s="16"/>
      <c r="D6" s="16"/>
      <c r="E6" s="16"/>
      <c r="F6" s="16"/>
      <c r="G6" s="16"/>
      <c r="H6" s="16"/>
      <c r="I6" s="16"/>
    </row>
    <row r="8" customFormat="false" ht="45" hidden="false" customHeight="true" outlineLevel="0" collapsed="false">
      <c r="B8" s="5" t="s">
        <v>39</v>
      </c>
      <c r="C8" s="5" t="s">
        <v>40</v>
      </c>
      <c r="D8" s="5" t="s">
        <v>41</v>
      </c>
      <c r="E8" s="5" t="s">
        <v>42</v>
      </c>
      <c r="F8" s="5" t="s">
        <v>43</v>
      </c>
      <c r="G8" s="5" t="s">
        <v>44</v>
      </c>
      <c r="H8" s="6" t="s">
        <v>45</v>
      </c>
      <c r="I8" s="6" t="s">
        <v>46</v>
      </c>
      <c r="T8" s="7" t="s">
        <v>47</v>
      </c>
      <c r="U8" s="7" t="s">
        <v>2</v>
      </c>
      <c r="V8" s="7" t="s">
        <v>7</v>
      </c>
    </row>
    <row r="9" customFormat="false" ht="15" hidden="false" customHeight="false" outlineLevel="0" collapsed="false">
      <c r="B9" s="8" t="s">
        <v>613</v>
      </c>
      <c r="H9" s="18" t="n">
        <f aca="false">SUMIFS('Role data'!$M$2:$M$550,'Role data'!$C$2:$C$550,"Energy Solutions &amp; B2B",'Role data'!$D$2:$D$550,"B2B",'Role data'!$E$2:$E$550,"squad")</f>
        <v>2593511.07</v>
      </c>
      <c r="I9" s="18" t="n">
        <f aca="false">SUMIFS('Role data'!$N$2:$N$550,'Role data'!$C$2:$C$550,"Energy Solutions &amp; B2B",'Role data'!$D$2:$D$550,"B2B",'Role data'!$E$2:$E$550,"squad")</f>
        <v>2187804.57</v>
      </c>
      <c r="T9" s="9" t="s">
        <v>614</v>
      </c>
      <c r="U9" s="10" t="n">
        <f aca="false">SUMIFS('Role data'!$Q$2:$Q$550,'Role data'!$C$2:$C$550,"Energy Solutions &amp; B2B",'Role data'!$D$2:$D$550,"EVCI",'Role data'!$E$2:$E$550,"squad")/1000000</f>
        <v>0.1396198938</v>
      </c>
      <c r="V9" s="10" t="n">
        <f aca="false">(SUMIFS('Role data'!$N$2:$N$550,'Role data'!$C$2:$C$550,"Energy Solutions &amp; B2B",'Role data'!$D$2:$D$550,"EVCI",'Role data'!$E$2:$E$550,"squad")-SUMIFS('Role data'!$Q$2:$Q$550,'Role data'!$C$2:$C$550,"Energy Solutions &amp; B2B",'Role data'!$D$2:$D$550,"EVCI",'Role data'!$E$2:$E$550,"squad"))/1000000</f>
        <v>0.7911793982</v>
      </c>
    </row>
    <row r="10" customFormat="false" ht="15" hidden="false" customHeight="false" outlineLevel="0" collapsed="false">
      <c r="B10" s="19" t="s">
        <v>615</v>
      </c>
      <c r="C10" s="9" t="s">
        <v>616</v>
      </c>
      <c r="D10" s="9" t="s">
        <v>617</v>
      </c>
      <c r="E10" s="9" t="s">
        <v>53</v>
      </c>
      <c r="F10" s="9" t="s">
        <v>53</v>
      </c>
      <c r="G10" s="9"/>
      <c r="H10" s="20" t="n">
        <v>223625.85</v>
      </c>
      <c r="I10" s="20" t="n">
        <v>223625.85</v>
      </c>
      <c r="T10" s="9" t="s">
        <v>436</v>
      </c>
      <c r="U10" s="10" t="n">
        <f aca="false">SUMIFS('Role data'!$Q$2:$Q$550,'Role data'!$C$2:$C$550,"Energy Solutions &amp; B2B",'Role data'!$D$2:$D$550,"Energy",'Role data'!$E$2:$E$550,"squad")/1000000</f>
        <v>0.256931829525</v>
      </c>
      <c r="V10" s="10" t="n">
        <f aca="false">(SUMIFS('Role data'!$N$2:$N$550,'Role data'!$C$2:$C$550,"Energy Solutions &amp; B2B",'Role data'!$D$2:$D$550,"Energy",'Role data'!$E$2:$E$550,"squad")-SUMIFS('Role data'!$Q$2:$Q$550,'Role data'!$C$2:$C$550,"Energy Solutions &amp; B2B",'Role data'!$D$2:$D$550,"Energy",'Role data'!$E$2:$E$550,"squad"))/1000000</f>
        <v>1.455947033975</v>
      </c>
    </row>
    <row r="11" customFormat="false" ht="15" hidden="false" customHeight="false" outlineLevel="0" collapsed="false">
      <c r="B11" s="19" t="s">
        <v>618</v>
      </c>
      <c r="C11" s="9" t="s">
        <v>619</v>
      </c>
      <c r="D11" s="9" t="s">
        <v>620</v>
      </c>
      <c r="E11" s="9" t="s">
        <v>53</v>
      </c>
      <c r="F11" s="9" t="s">
        <v>53</v>
      </c>
      <c r="G11" s="9"/>
      <c r="H11" s="20" t="n">
        <v>221610</v>
      </c>
      <c r="I11" s="20" t="n">
        <v>221610</v>
      </c>
      <c r="T11" s="9" t="s">
        <v>613</v>
      </c>
      <c r="U11" s="10" t="n">
        <f aca="false">SUMIFS('Role data'!$Q$2:$Q$550,'Role data'!$C$2:$C$550,"Energy Solutions &amp; B2B",'Role data'!$D$2:$D$550,"B2B",'Role data'!$E$2:$E$550,"squad")/1000000</f>
        <v>0.218780457</v>
      </c>
      <c r="V11" s="10" t="n">
        <f aca="false">(SUMIFS('Role data'!$N$2:$N$550,'Role data'!$C$2:$C$550,"Energy Solutions &amp; B2B",'Role data'!$D$2:$D$550,"B2B",'Role data'!$E$2:$E$550,"squad")-SUMIFS('Role data'!$Q$2:$Q$550,'Role data'!$C$2:$C$550,"Energy Solutions &amp; B2B",'Role data'!$D$2:$D$550,"B2B",'Role data'!$E$2:$E$550,"squad"))/1000000</f>
        <v>1.969024113</v>
      </c>
    </row>
    <row r="12" customFormat="false" ht="15" hidden="false" customHeight="false" outlineLevel="0" collapsed="false">
      <c r="B12" s="19" t="s">
        <v>621</v>
      </c>
      <c r="C12" s="9" t="s">
        <v>69</v>
      </c>
      <c r="D12" s="9" t="s">
        <v>52</v>
      </c>
      <c r="E12" s="9" t="s">
        <v>69</v>
      </c>
      <c r="F12" s="9" t="s">
        <v>82</v>
      </c>
      <c r="G12" s="9"/>
      <c r="H12" s="20" t="n">
        <v>231689.25</v>
      </c>
      <c r="I12" s="20" t="n">
        <v>231689.25</v>
      </c>
    </row>
    <row r="13" customFormat="false" ht="15" hidden="false" customHeight="false" outlineLevel="0" collapsed="false">
      <c r="B13" s="19" t="s">
        <v>622</v>
      </c>
      <c r="C13" s="9" t="s">
        <v>623</v>
      </c>
      <c r="D13" s="9" t="s">
        <v>84</v>
      </c>
      <c r="E13" s="9" t="s">
        <v>53</v>
      </c>
      <c r="F13" s="9" t="s">
        <v>53</v>
      </c>
      <c r="G13" s="9"/>
      <c r="H13" s="20" t="n">
        <v>266612.85</v>
      </c>
      <c r="I13" s="20" t="n">
        <v>266612.85</v>
      </c>
    </row>
    <row r="14" customFormat="false" ht="15" hidden="false" customHeight="false" outlineLevel="0" collapsed="false">
      <c r="B14" s="19" t="s">
        <v>624</v>
      </c>
      <c r="C14" s="9" t="s">
        <v>625</v>
      </c>
      <c r="D14" s="9" t="s">
        <v>626</v>
      </c>
      <c r="E14" s="9" t="s">
        <v>53</v>
      </c>
      <c r="F14" s="9" t="s">
        <v>53</v>
      </c>
      <c r="G14" s="9"/>
      <c r="H14" s="20" t="n">
        <v>186900</v>
      </c>
      <c r="I14" s="20" t="n">
        <v>186900</v>
      </c>
    </row>
    <row r="15" customFormat="false" ht="15" hidden="false" customHeight="false" outlineLevel="0" collapsed="false">
      <c r="B15" s="19" t="s">
        <v>627</v>
      </c>
      <c r="C15" s="9" t="s">
        <v>69</v>
      </c>
      <c r="D15" s="9" t="s">
        <v>523</v>
      </c>
      <c r="E15" s="9" t="s">
        <v>69</v>
      </c>
      <c r="F15" s="9" t="s">
        <v>78</v>
      </c>
      <c r="G15" s="9"/>
      <c r="H15" s="20" t="n">
        <v>202853.25</v>
      </c>
      <c r="I15" s="20" t="n">
        <v>0</v>
      </c>
    </row>
    <row r="16" customFormat="false" ht="15" hidden="false" customHeight="false" outlineLevel="0" collapsed="false">
      <c r="B16" s="19" t="s">
        <v>628</v>
      </c>
      <c r="C16" s="9" t="s">
        <v>629</v>
      </c>
      <c r="D16" s="9" t="s">
        <v>133</v>
      </c>
      <c r="E16" s="9" t="s">
        <v>53</v>
      </c>
      <c r="F16" s="9" t="s">
        <v>53</v>
      </c>
      <c r="G16" s="9"/>
      <c r="H16" s="20" t="n">
        <v>219447.3</v>
      </c>
      <c r="I16" s="20" t="n">
        <v>219447.3</v>
      </c>
    </row>
    <row r="17" customFormat="false" ht="15" hidden="false" customHeight="false" outlineLevel="0" collapsed="false">
      <c r="B17" s="19" t="s">
        <v>630</v>
      </c>
      <c r="C17" s="9" t="s">
        <v>69</v>
      </c>
      <c r="D17" s="9" t="s">
        <v>77</v>
      </c>
      <c r="E17" s="9" t="s">
        <v>69</v>
      </c>
      <c r="F17" s="9" t="s">
        <v>78</v>
      </c>
      <c r="G17" s="9"/>
      <c r="H17" s="20" t="n">
        <v>202853.25</v>
      </c>
      <c r="I17" s="20" t="n">
        <v>0</v>
      </c>
    </row>
    <row r="18" customFormat="false" ht="15" hidden="false" customHeight="false" outlineLevel="0" collapsed="false">
      <c r="B18" s="19" t="s">
        <v>631</v>
      </c>
      <c r="C18" s="9" t="s">
        <v>632</v>
      </c>
      <c r="D18" s="9" t="s">
        <v>633</v>
      </c>
      <c r="E18" s="9" t="s">
        <v>53</v>
      </c>
      <c r="F18" s="9" t="s">
        <v>53</v>
      </c>
      <c r="G18" s="9"/>
      <c r="H18" s="20" t="n">
        <v>190306.8</v>
      </c>
      <c r="I18" s="20" t="n">
        <v>190306.8</v>
      </c>
    </row>
    <row r="19" customFormat="false" ht="15" hidden="false" customHeight="false" outlineLevel="0" collapsed="false">
      <c r="B19" s="19" t="s">
        <v>634</v>
      </c>
      <c r="C19" s="9" t="s">
        <v>635</v>
      </c>
      <c r="D19" s="9" t="s">
        <v>636</v>
      </c>
      <c r="E19" s="9" t="s">
        <v>53</v>
      </c>
      <c r="F19" s="9" t="s">
        <v>53</v>
      </c>
      <c r="G19" s="9"/>
      <c r="H19" s="20" t="n">
        <v>163823.52</v>
      </c>
      <c r="I19" s="20" t="n">
        <v>163823.52</v>
      </c>
    </row>
    <row r="20" customFormat="false" ht="15" hidden="false" customHeight="false" outlineLevel="0" collapsed="false">
      <c r="B20" s="19" t="s">
        <v>637</v>
      </c>
      <c r="C20" s="9" t="s">
        <v>638</v>
      </c>
      <c r="D20" s="9" t="s">
        <v>80</v>
      </c>
      <c r="E20" s="9" t="s">
        <v>53</v>
      </c>
      <c r="F20" s="9" t="s">
        <v>53</v>
      </c>
      <c r="G20" s="9"/>
      <c r="H20" s="20" t="n">
        <v>149160.45</v>
      </c>
      <c r="I20" s="20" t="n">
        <v>149160.45</v>
      </c>
    </row>
    <row r="21" customFormat="false" ht="15" hidden="false" customHeight="false" outlineLevel="0" collapsed="false">
      <c r="B21" s="19" t="s">
        <v>639</v>
      </c>
      <c r="C21" s="9" t="s">
        <v>640</v>
      </c>
      <c r="D21" s="9" t="s">
        <v>633</v>
      </c>
      <c r="E21" s="9" t="s">
        <v>53</v>
      </c>
      <c r="F21" s="9" t="s">
        <v>53</v>
      </c>
      <c r="G21" s="9"/>
      <c r="H21" s="20" t="n">
        <v>137509.55</v>
      </c>
      <c r="I21" s="20" t="n">
        <v>137509.55</v>
      </c>
    </row>
    <row r="22" customFormat="false" ht="15" hidden="false" customHeight="false" outlineLevel="0" collapsed="false">
      <c r="B22" s="19" t="s">
        <v>641</v>
      </c>
      <c r="C22" s="9" t="s">
        <v>642</v>
      </c>
      <c r="D22" s="9" t="s">
        <v>643</v>
      </c>
      <c r="E22" s="9" t="s">
        <v>53</v>
      </c>
      <c r="F22" s="9" t="s">
        <v>53</v>
      </c>
      <c r="G22" s="9"/>
      <c r="H22" s="20" t="n">
        <v>87044</v>
      </c>
      <c r="I22" s="20" t="n">
        <v>87044</v>
      </c>
    </row>
    <row r="23" customFormat="false" ht="15" hidden="false" customHeight="false" outlineLevel="0" collapsed="false">
      <c r="B23" s="19" t="s">
        <v>644</v>
      </c>
      <c r="C23" s="9" t="s">
        <v>645</v>
      </c>
      <c r="D23" s="9" t="s">
        <v>646</v>
      </c>
      <c r="E23" s="9" t="s">
        <v>53</v>
      </c>
      <c r="F23" s="9" t="s">
        <v>53</v>
      </c>
      <c r="G23" s="9"/>
      <c r="H23" s="20" t="n">
        <v>110075</v>
      </c>
      <c r="I23" s="20" t="n">
        <v>110075</v>
      </c>
    </row>
    <row r="24" customFormat="false" ht="15" hidden="false" customHeight="false" outlineLevel="0" collapsed="false">
      <c r="B24" s="8" t="s">
        <v>614</v>
      </c>
      <c r="H24" s="18" t="n">
        <f aca="false">SUMIFS('Role data'!$M$2:$M$550,'Role data'!$C$2:$C$550,"Energy Solutions &amp; B2B",'Role data'!$D$2:$D$550,"EVCI",'Role data'!$E$2:$E$550,"squad")</f>
        <v>930799.292</v>
      </c>
      <c r="I24" s="18" t="n">
        <f aca="false">SUMIFS('Role data'!$N$2:$N$550,'Role data'!$C$2:$C$550,"Energy Solutions &amp; B2B",'Role data'!$D$2:$D$550,"EVCI",'Role data'!$E$2:$E$550,"squad")</f>
        <v>930799.292</v>
      </c>
    </row>
    <row r="25" customFormat="false" ht="15" hidden="false" customHeight="false" outlineLevel="0" collapsed="false">
      <c r="B25" s="19" t="s">
        <v>647</v>
      </c>
      <c r="C25" s="9" t="s">
        <v>648</v>
      </c>
      <c r="D25" s="9" t="s">
        <v>591</v>
      </c>
      <c r="E25" s="9" t="s">
        <v>53</v>
      </c>
      <c r="F25" s="9" t="s">
        <v>53</v>
      </c>
      <c r="G25" s="9"/>
      <c r="H25" s="20" t="n">
        <v>184214.952</v>
      </c>
      <c r="I25" s="20" t="n">
        <v>184214.952</v>
      </c>
    </row>
    <row r="26" customFormat="false" ht="15" hidden="false" customHeight="false" outlineLevel="0" collapsed="false">
      <c r="B26" s="19" t="s">
        <v>649</v>
      </c>
      <c r="C26" s="9" t="s">
        <v>650</v>
      </c>
      <c r="D26" s="9" t="s">
        <v>84</v>
      </c>
      <c r="E26" s="9" t="s">
        <v>53</v>
      </c>
      <c r="F26" s="9" t="s">
        <v>53</v>
      </c>
      <c r="G26" s="9"/>
      <c r="H26" s="20" t="n">
        <v>188300.028</v>
      </c>
      <c r="I26" s="20" t="n">
        <v>188300.028</v>
      </c>
    </row>
    <row r="27" customFormat="false" ht="15" hidden="false" customHeight="false" outlineLevel="0" collapsed="false">
      <c r="B27" s="19" t="s">
        <v>651</v>
      </c>
      <c r="C27" s="9" t="s">
        <v>652</v>
      </c>
      <c r="D27" s="9" t="s">
        <v>636</v>
      </c>
      <c r="E27" s="9" t="s">
        <v>53</v>
      </c>
      <c r="F27" s="9" t="s">
        <v>53</v>
      </c>
      <c r="G27" s="9"/>
      <c r="H27" s="20" t="n">
        <v>144360</v>
      </c>
      <c r="I27" s="20" t="n">
        <v>144360</v>
      </c>
    </row>
    <row r="28" customFormat="false" ht="15" hidden="false" customHeight="false" outlineLevel="0" collapsed="false">
      <c r="B28" s="19" t="s">
        <v>653</v>
      </c>
      <c r="C28" s="9" t="s">
        <v>654</v>
      </c>
      <c r="D28" s="9" t="s">
        <v>655</v>
      </c>
      <c r="E28" s="9" t="s">
        <v>53</v>
      </c>
      <c r="F28" s="9" t="s">
        <v>53</v>
      </c>
      <c r="G28" s="9"/>
      <c r="H28" s="20" t="n">
        <v>153503.328</v>
      </c>
      <c r="I28" s="20" t="n">
        <v>153503.328</v>
      </c>
    </row>
    <row r="29" customFormat="false" ht="15" hidden="false" customHeight="false" outlineLevel="0" collapsed="false">
      <c r="B29" s="19" t="s">
        <v>656</v>
      </c>
      <c r="C29" s="9" t="s">
        <v>657</v>
      </c>
      <c r="D29" s="9" t="s">
        <v>133</v>
      </c>
      <c r="E29" s="9" t="s">
        <v>53</v>
      </c>
      <c r="F29" s="9" t="s">
        <v>53</v>
      </c>
      <c r="G29" s="9"/>
      <c r="H29" s="20" t="n">
        <v>158753.952</v>
      </c>
      <c r="I29" s="20" t="n">
        <v>158753.952</v>
      </c>
    </row>
    <row r="30" customFormat="false" ht="15" hidden="false" customHeight="false" outlineLevel="0" collapsed="false">
      <c r="B30" s="19" t="s">
        <v>658</v>
      </c>
      <c r="C30" s="9" t="s">
        <v>659</v>
      </c>
      <c r="D30" s="9" t="s">
        <v>523</v>
      </c>
      <c r="E30" s="9" t="s">
        <v>53</v>
      </c>
      <c r="F30" s="9" t="s">
        <v>53</v>
      </c>
      <c r="G30" s="9"/>
      <c r="H30" s="20" t="n">
        <v>101667.032</v>
      </c>
      <c r="I30" s="20" t="n">
        <v>101667.032</v>
      </c>
    </row>
    <row r="31" customFormat="false" ht="15" hidden="false" customHeight="false" outlineLevel="0" collapsed="false">
      <c r="B31" s="8" t="s">
        <v>436</v>
      </c>
      <c r="H31" s="18" t="n">
        <f aca="false">SUMIFS('Role data'!$M$2:$M$550,'Role data'!$C$2:$C$550,"Energy Solutions &amp; B2B",'Role data'!$D$2:$D$550,"Energy",'Role data'!$E$2:$E$550,"squad")</f>
        <v>1763592.176</v>
      </c>
      <c r="I31" s="18" t="n">
        <f aca="false">SUMIFS('Role data'!$N$2:$N$550,'Role data'!$C$2:$C$550,"Energy Solutions &amp; B2B",'Role data'!$D$2:$D$550,"Energy",'Role data'!$E$2:$E$550,"squad")</f>
        <v>1712878.8635</v>
      </c>
    </row>
    <row r="32" customFormat="false" ht="15" hidden="false" customHeight="false" outlineLevel="0" collapsed="false">
      <c r="B32" s="19" t="s">
        <v>660</v>
      </c>
      <c r="C32" s="9" t="s">
        <v>661</v>
      </c>
      <c r="D32" s="9" t="s">
        <v>52</v>
      </c>
      <c r="E32" s="9" t="s">
        <v>53</v>
      </c>
      <c r="F32" s="9" t="s">
        <v>53</v>
      </c>
      <c r="G32" s="9"/>
      <c r="H32" s="20" t="n">
        <v>191717.46</v>
      </c>
      <c r="I32" s="20" t="n">
        <v>191717.46</v>
      </c>
    </row>
    <row r="33" customFormat="false" ht="15" hidden="false" customHeight="false" outlineLevel="0" collapsed="false">
      <c r="B33" s="19" t="s">
        <v>662</v>
      </c>
      <c r="C33" s="9" t="s">
        <v>663</v>
      </c>
      <c r="D33" s="9" t="s">
        <v>664</v>
      </c>
      <c r="E33" s="9" t="s">
        <v>53</v>
      </c>
      <c r="F33" s="9" t="s">
        <v>53</v>
      </c>
      <c r="G33" s="9"/>
      <c r="H33" s="20" t="n">
        <v>250619.55</v>
      </c>
      <c r="I33" s="20" t="n">
        <v>250619.55</v>
      </c>
    </row>
    <row r="34" customFormat="false" ht="15" hidden="false" customHeight="false" outlineLevel="0" collapsed="false">
      <c r="B34" s="19" t="s">
        <v>665</v>
      </c>
      <c r="C34" s="9" t="s">
        <v>666</v>
      </c>
      <c r="D34" s="9" t="s">
        <v>118</v>
      </c>
      <c r="E34" s="9" t="s">
        <v>53</v>
      </c>
      <c r="F34" s="9" t="s">
        <v>53</v>
      </c>
      <c r="G34" s="9"/>
      <c r="H34" s="20" t="n">
        <v>208473.6</v>
      </c>
      <c r="I34" s="20" t="n">
        <v>208473.6</v>
      </c>
    </row>
    <row r="35" customFormat="false" ht="15" hidden="false" customHeight="false" outlineLevel="0" collapsed="false">
      <c r="B35" s="19" t="s">
        <v>667</v>
      </c>
      <c r="C35" s="9" t="s">
        <v>668</v>
      </c>
      <c r="D35" s="9" t="s">
        <v>516</v>
      </c>
      <c r="E35" s="9" t="s">
        <v>53</v>
      </c>
      <c r="F35" s="9" t="s">
        <v>53</v>
      </c>
      <c r="G35" s="9"/>
      <c r="H35" s="20" t="n">
        <v>213533.25</v>
      </c>
      <c r="I35" s="20" t="n">
        <v>213533.25</v>
      </c>
    </row>
    <row r="36" customFormat="false" ht="15" hidden="false" customHeight="false" outlineLevel="0" collapsed="false">
      <c r="B36" s="19" t="s">
        <v>669</v>
      </c>
      <c r="C36" s="9" t="s">
        <v>69</v>
      </c>
      <c r="D36" s="9" t="s">
        <v>670</v>
      </c>
      <c r="E36" s="9" t="s">
        <v>69</v>
      </c>
      <c r="F36" s="9" t="s">
        <v>82</v>
      </c>
      <c r="G36" s="9" t="s">
        <v>121</v>
      </c>
      <c r="H36" s="20" t="n">
        <v>202853.25</v>
      </c>
      <c r="I36" s="20" t="n">
        <v>152139.9375</v>
      </c>
    </row>
    <row r="37" customFormat="false" ht="15" hidden="false" customHeight="false" outlineLevel="0" collapsed="false">
      <c r="B37" s="19" t="s">
        <v>671</v>
      </c>
      <c r="C37" s="9" t="s">
        <v>69</v>
      </c>
      <c r="D37" s="9" t="s">
        <v>636</v>
      </c>
      <c r="E37" s="9" t="s">
        <v>69</v>
      </c>
      <c r="F37" s="9" t="s">
        <v>82</v>
      </c>
      <c r="G37" s="9"/>
      <c r="H37" s="20" t="n">
        <v>202853.25</v>
      </c>
      <c r="I37" s="20" t="n">
        <v>202853.25</v>
      </c>
    </row>
    <row r="38" customFormat="false" ht="15" hidden="false" customHeight="false" outlineLevel="0" collapsed="false">
      <c r="B38" s="19" t="s">
        <v>672</v>
      </c>
      <c r="C38" s="9" t="s">
        <v>69</v>
      </c>
      <c r="D38" s="9" t="s">
        <v>77</v>
      </c>
      <c r="E38" s="9" t="s">
        <v>69</v>
      </c>
      <c r="F38" s="9" t="s">
        <v>82</v>
      </c>
      <c r="G38" s="9"/>
      <c r="H38" s="20" t="n">
        <v>202853.25</v>
      </c>
      <c r="I38" s="20" t="n">
        <v>202853.25</v>
      </c>
    </row>
    <row r="39" customFormat="false" ht="15" hidden="false" customHeight="false" outlineLevel="0" collapsed="false">
      <c r="B39" s="19" t="s">
        <v>673</v>
      </c>
      <c r="C39" s="9" t="s">
        <v>674</v>
      </c>
      <c r="D39" s="9" t="s">
        <v>516</v>
      </c>
      <c r="E39" s="9" t="s">
        <v>53</v>
      </c>
      <c r="F39" s="9" t="s">
        <v>53</v>
      </c>
      <c r="G39" s="9"/>
      <c r="H39" s="20" t="n">
        <v>203253.75</v>
      </c>
      <c r="I39" s="20" t="n">
        <v>203253.75</v>
      </c>
    </row>
    <row r="40" customFormat="false" ht="15" hidden="false" customHeight="false" outlineLevel="0" collapsed="false">
      <c r="B40" s="19" t="s">
        <v>675</v>
      </c>
      <c r="C40" s="9" t="s">
        <v>676</v>
      </c>
      <c r="D40" s="9" t="s">
        <v>677</v>
      </c>
      <c r="E40" s="9" t="s">
        <v>53</v>
      </c>
      <c r="F40" s="9" t="s">
        <v>53</v>
      </c>
      <c r="G40" s="9"/>
      <c r="H40" s="20" t="n">
        <v>87434.816</v>
      </c>
      <c r="I40" s="20" t="n">
        <v>87434.816</v>
      </c>
    </row>
    <row r="41" customFormat="false" ht="15" hidden="false" customHeight="false" outlineLevel="0" collapsed="false">
      <c r="B41" s="8" t="s">
        <v>199</v>
      </c>
      <c r="H41" s="18" t="n">
        <f aca="false">SUMIFS('Role data'!$M$2:$M$550,'Role data'!$C$2:$C$550,"Energy Solutions &amp; B2B",'Role data'!$D$2:$D$550,"Head of Technology",'Role data'!$E$2:$E$550,"overhead")</f>
        <v>273758</v>
      </c>
      <c r="I41" s="18" t="n">
        <f aca="false">SUMIFS('Role data'!$N$2:$N$550,'Role data'!$C$2:$C$550,"Energy Solutions &amp; B2B",'Role data'!$D$2:$D$550,"Head of Technology",'Role data'!$E$2:$E$550,"overhead")</f>
        <v>273758</v>
      </c>
    </row>
    <row r="42" customFormat="false" ht="15" hidden="false" customHeight="false" outlineLevel="0" collapsed="false">
      <c r="B42" s="19" t="s">
        <v>678</v>
      </c>
      <c r="C42" s="9" t="s">
        <v>679</v>
      </c>
      <c r="D42" s="9" t="s">
        <v>680</v>
      </c>
      <c r="E42" s="9" t="s">
        <v>53</v>
      </c>
      <c r="F42" s="9" t="s">
        <v>53</v>
      </c>
      <c r="G42" s="9"/>
      <c r="H42" s="20" t="n">
        <v>273758</v>
      </c>
      <c r="I42" s="20" t="n">
        <v>273758</v>
      </c>
    </row>
    <row r="43" customFormat="false" ht="15" hidden="false" customHeight="false" outlineLevel="0" collapsed="false">
      <c r="B43" s="8" t="s">
        <v>203</v>
      </c>
      <c r="H43" s="18" t="n">
        <f aca="false">SUMIFS('Role data'!$M$2:$M$550,'Role data'!$C$2:$C$550,"Energy Solutions &amp; B2B",'Role data'!$D$2:$D$550,"Delivery Manager",'Role data'!$E$2:$E$550,"overhead")</f>
        <v>275810.25</v>
      </c>
      <c r="I43" s="18" t="n">
        <f aca="false">SUMIFS('Role data'!$N$2:$N$550,'Role data'!$C$2:$C$550,"Energy Solutions &amp; B2B",'Role data'!$D$2:$D$550,"Delivery Manager",'Role data'!$E$2:$E$550,"overhead")</f>
        <v>275810.25</v>
      </c>
    </row>
    <row r="44" customFormat="false" ht="15" hidden="false" customHeight="false" outlineLevel="0" collapsed="false">
      <c r="B44" s="19" t="s">
        <v>681</v>
      </c>
      <c r="C44" s="9" t="s">
        <v>69</v>
      </c>
      <c r="D44" s="9" t="s">
        <v>682</v>
      </c>
      <c r="E44" s="9" t="s">
        <v>69</v>
      </c>
      <c r="F44" s="9" t="s">
        <v>82</v>
      </c>
      <c r="G44" s="9"/>
      <c r="H44" s="20" t="n">
        <v>275810.25</v>
      </c>
      <c r="I44" s="20" t="n">
        <v>275810.25</v>
      </c>
    </row>
    <row r="45" customFormat="false" ht="15" hidden="false" customHeight="false" outlineLevel="0" collapsed="false">
      <c r="B45" s="8" t="s">
        <v>206</v>
      </c>
      <c r="H45" s="18" t="n">
        <f aca="false">SUMIFS('Role data'!$M$2:$M$550,'Role data'!$C$2:$C$550,"Energy Solutions &amp; B2B",'Role data'!$D$2:$D$550,"Technology Manager",'Role data'!$E$2:$E$550,"overhead")</f>
        <v>504148.874</v>
      </c>
      <c r="I45" s="18" t="n">
        <f aca="false">SUMIFS('Role data'!$N$2:$N$550,'Role data'!$C$2:$C$550,"Energy Solutions &amp; B2B",'Role data'!$D$2:$D$550,"Technology Manager",'Role data'!$E$2:$E$550,"overhead")</f>
        <v>504148.874</v>
      </c>
    </row>
    <row r="46" customFormat="false" ht="15" hidden="false" customHeight="false" outlineLevel="0" collapsed="false">
      <c r="B46" s="19" t="s">
        <v>683</v>
      </c>
      <c r="C46" s="9" t="s">
        <v>684</v>
      </c>
      <c r="D46" s="9" t="s">
        <v>685</v>
      </c>
      <c r="E46" s="9" t="s">
        <v>53</v>
      </c>
      <c r="F46" s="9" t="s">
        <v>53</v>
      </c>
      <c r="G46" s="9"/>
      <c r="H46" s="20" t="n">
        <v>209585.424</v>
      </c>
      <c r="I46" s="20" t="n">
        <v>209585.424</v>
      </c>
    </row>
    <row r="47" customFormat="false" ht="15" hidden="false" customHeight="false" outlineLevel="0" collapsed="false">
      <c r="B47" s="19" t="s">
        <v>686</v>
      </c>
      <c r="C47" s="9" t="s">
        <v>687</v>
      </c>
      <c r="D47" s="9" t="s">
        <v>688</v>
      </c>
      <c r="E47" s="9" t="s">
        <v>53</v>
      </c>
      <c r="F47" s="9" t="s">
        <v>53</v>
      </c>
      <c r="G47" s="9"/>
      <c r="H47" s="20" t="n">
        <v>294563.45</v>
      </c>
      <c r="I47" s="20" t="n">
        <v>294563.45</v>
      </c>
    </row>
    <row r="48" customFormat="false" ht="15" hidden="false" customHeight="false" outlineLevel="0" collapsed="false">
      <c r="B48" s="13" t="s">
        <v>38</v>
      </c>
      <c r="C48" s="21"/>
      <c r="D48" s="21"/>
      <c r="E48" s="21"/>
      <c r="F48" s="21"/>
      <c r="G48" s="21"/>
      <c r="H48" s="22" t="n">
        <f aca="false">SUMIFS('Role data'!$M$2:$M$550,'Role data'!$C$2:$C$550,"Energy Solutions &amp; B2B")</f>
        <v>6341619.662</v>
      </c>
      <c r="I48" s="22" t="n">
        <f aca="false">SUMIFS('Role data'!$N$2:$N$550,'Role data'!$C$2:$C$550,"Energy Solutions &amp; B2B")</f>
        <v>5885199.8495</v>
      </c>
    </row>
  </sheetData>
  <sheetProtection sheet="true" password="c5c5"/>
  <mergeCells count="7">
    <mergeCell ref="C5:C6"/>
    <mergeCell ref="D5:D6"/>
    <mergeCell ref="E5:E6"/>
    <mergeCell ref="F5:F6"/>
    <mergeCell ref="G5:G6"/>
    <mergeCell ref="H5:H6"/>
    <mergeCell ref="I5:I6"/>
  </mergeCells>
  <conditionalFormatting sqref="F5">
    <cfRule type="cellIs" priority="2" operator="greaterThan" aboveAverage="0" equalAverage="0" bottom="0" percent="0" rank="0" text="" dxfId="0">
      <formula>0</formula>
    </cfRule>
  </conditionalFormatting>
  <conditionalFormatting sqref="H10:H23 H25:H30 H32:H40 H42 H44 H46:H47">
    <cfRule type="dataBar" priority="3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{66C0165D-BD99-40F1-B991-00B9F7221433}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6C0165D-BD99-40F1-B991-00B9F7221433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H10:H23 H25:H30 H32:H40 H42 H44 H46:H47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21.5"/>
    <col collapsed="false" customWidth="true" hidden="false" outlineLevel="0" max="4" min="4" style="0" width="45.5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22" min="20" style="0" width="13"/>
  </cols>
  <sheetData>
    <row r="2" customFormat="false" ht="17.35" hidden="false" customHeight="false" outlineLevel="0" collapsed="false">
      <c r="B2" s="1" t="s">
        <v>24</v>
      </c>
    </row>
    <row r="4" customFormat="false" ht="42" hidden="false" customHeight="true" outlineLevel="0" collapsed="false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Format="false" ht="19.5" hidden="false" customHeight="true" outlineLevel="0" collapsed="false">
      <c r="C5" s="16" t="n">
        <f aca="false">'TDD Dashboard'!$C$16</f>
        <v>6.346248615</v>
      </c>
      <c r="D5" s="16" t="n">
        <f aca="false">'TDD Dashboard'!$D$16</f>
        <v>3.17612685754545</v>
      </c>
      <c r="E5" s="16" t="n">
        <f aca="false">'TDD Dashboard'!$E$16</f>
        <v>2.5</v>
      </c>
      <c r="F5" s="16" t="n">
        <f aca="false">'TDD Dashboard'!$F$16</f>
        <v>0.676126857545455</v>
      </c>
      <c r="G5" s="17" t="n">
        <f aca="false">'TDD Dashboard'!$G$16</f>
        <v>0.500473122032811</v>
      </c>
      <c r="H5" s="16" t="n">
        <f aca="false">'TDD Dashboard'!$H$16</f>
        <v>0</v>
      </c>
      <c r="I5" s="16" t="n">
        <f aca="false">'TDD Dashboard'!$I$16</f>
        <v>3.17012175745455</v>
      </c>
    </row>
    <row r="6" customFormat="false" ht="19.5" hidden="false" customHeight="true" outlineLevel="0" collapsed="false">
      <c r="C6" s="16"/>
      <c r="D6" s="16"/>
      <c r="E6" s="16"/>
      <c r="F6" s="16"/>
      <c r="G6" s="16"/>
      <c r="H6" s="16"/>
      <c r="I6" s="16"/>
    </row>
    <row r="8" customFormat="false" ht="45" hidden="false" customHeight="true" outlineLevel="0" collapsed="false">
      <c r="B8" s="5" t="s">
        <v>39</v>
      </c>
      <c r="C8" s="5" t="s">
        <v>40</v>
      </c>
      <c r="D8" s="5" t="s">
        <v>41</v>
      </c>
      <c r="E8" s="5" t="s">
        <v>42</v>
      </c>
      <c r="F8" s="5" t="s">
        <v>43</v>
      </c>
      <c r="G8" s="5" t="s">
        <v>44</v>
      </c>
      <c r="H8" s="6" t="s">
        <v>45</v>
      </c>
      <c r="I8" s="6" t="s">
        <v>46</v>
      </c>
      <c r="T8" s="7" t="s">
        <v>47</v>
      </c>
      <c r="U8" s="7" t="s">
        <v>2</v>
      </c>
      <c r="V8" s="7" t="s">
        <v>7</v>
      </c>
    </row>
    <row r="9" customFormat="false" ht="15" hidden="false" customHeight="false" outlineLevel="0" collapsed="false">
      <c r="B9" s="8" t="s">
        <v>689</v>
      </c>
      <c r="H9" s="18" t="n">
        <f aca="false">SUMIFS('Role data'!$M$2:$M$550,'Role data'!$C$2:$C$550,"Infrastructure",'Role data'!$D$2:$D$550,"Data &amp; Insights",'Role data'!$E$2:$E$550,"squad")</f>
        <v>1535946.75</v>
      </c>
      <c r="I9" s="18" t="n">
        <f aca="false">SUMIFS('Role data'!$N$2:$N$550,'Role data'!$C$2:$C$550,"Infrastructure",'Role data'!$D$2:$D$550,"Data &amp; Insights",'Role data'!$E$2:$E$550,"squad")</f>
        <v>876463.425</v>
      </c>
      <c r="T9" s="9" t="s">
        <v>690</v>
      </c>
      <c r="U9" s="10" t="n">
        <f aca="false">SUMIFS('Role data'!$Q$2:$Q$550,'Role data'!$C$2:$C$550,"Infrastructure",'Role data'!$D$2:$D$550,"Technology Support",'Role data'!$E$2:$E$550,"squad")/1000000</f>
        <v>0.593068232</v>
      </c>
      <c r="V9" s="10" t="n">
        <f aca="false">(SUMIFS('Role data'!$N$2:$N$550,'Role data'!$C$2:$C$550,"Infrastructure",'Role data'!$D$2:$D$550,"Technology Support",'Role data'!$E$2:$E$550,"squad")-SUMIFS('Role data'!$Q$2:$Q$550,'Role data'!$C$2:$C$550,"Infrastructure",'Role data'!$D$2:$D$550,"Technology Support",'Role data'!$E$2:$E$550,"squad"))/1000000</f>
        <v>0.148267058</v>
      </c>
    </row>
    <row r="10" customFormat="false" ht="15" hidden="false" customHeight="false" outlineLevel="0" collapsed="false">
      <c r="B10" s="19" t="s">
        <v>691</v>
      </c>
      <c r="C10" s="9" t="s">
        <v>692</v>
      </c>
      <c r="D10" s="9" t="s">
        <v>693</v>
      </c>
      <c r="E10" s="9" t="s">
        <v>53</v>
      </c>
      <c r="F10" s="9" t="s">
        <v>53</v>
      </c>
      <c r="G10" s="9"/>
      <c r="H10" s="20" t="n">
        <v>197580</v>
      </c>
      <c r="I10" s="20" t="n">
        <v>197580</v>
      </c>
      <c r="T10" s="9" t="s">
        <v>689</v>
      </c>
      <c r="U10" s="10" t="n">
        <f aca="false">SUMIFS('Role data'!$Q$2:$Q$550,'Role data'!$C$2:$C$550,"Infrastructure",'Role data'!$D$2:$D$550,"Data &amp; Insights",'Role data'!$E$2:$E$550,"squad")/1000000</f>
        <v>0.175292685</v>
      </c>
      <c r="V10" s="10" t="n">
        <f aca="false">(SUMIFS('Role data'!$N$2:$N$550,'Role data'!$C$2:$C$550,"Infrastructure",'Role data'!$D$2:$D$550,"Data &amp; Insights",'Role data'!$E$2:$E$550,"squad")-SUMIFS('Role data'!$Q$2:$Q$550,'Role data'!$C$2:$C$550,"Infrastructure",'Role data'!$D$2:$D$550,"Data &amp; Insights",'Role data'!$E$2:$E$550,"squad"))/1000000</f>
        <v>0.70117074</v>
      </c>
    </row>
    <row r="11" customFormat="false" ht="15" hidden="false" customHeight="false" outlineLevel="0" collapsed="false">
      <c r="B11" s="19" t="s">
        <v>694</v>
      </c>
      <c r="C11" s="9" t="s">
        <v>695</v>
      </c>
      <c r="D11" s="9" t="s">
        <v>84</v>
      </c>
      <c r="E11" s="9" t="s">
        <v>53</v>
      </c>
      <c r="F11" s="9" t="s">
        <v>53</v>
      </c>
      <c r="G11" s="9"/>
      <c r="H11" s="20" t="n">
        <v>277842.75</v>
      </c>
      <c r="I11" s="20" t="n">
        <v>277842.75</v>
      </c>
      <c r="T11" s="9" t="s">
        <v>696</v>
      </c>
      <c r="U11" s="10" t="n">
        <f aca="false">SUMIFS('Role data'!$Q$2:$Q$550,'Role data'!$C$2:$C$550,"Infrastructure",'Role data'!$D$2:$D$550,"Manufacturing Group Projects",'Role data'!$E$2:$E$550,"squad")/1000000</f>
        <v>0.226889145</v>
      </c>
      <c r="V11" s="10" t="n">
        <f aca="false">(SUMIFS('Role data'!$N$2:$N$550,'Role data'!$C$2:$C$550,"Infrastructure",'Role data'!$D$2:$D$550,"Manufacturing Group Projects",'Role data'!$E$2:$E$550,"squad")-SUMIFS('Role data'!$Q$2:$Q$550,'Role data'!$C$2:$C$550,"Infrastructure",'Role data'!$D$2:$D$550,"Manufacturing Group Projects",'Role data'!$E$2:$E$550,"squad"))/1000000</f>
        <v>1.285705155</v>
      </c>
    </row>
    <row r="12" customFormat="false" ht="15" hidden="false" customHeight="false" outlineLevel="0" collapsed="false">
      <c r="B12" s="19" t="s">
        <v>697</v>
      </c>
      <c r="C12" s="9" t="s">
        <v>69</v>
      </c>
      <c r="D12" s="9" t="s">
        <v>698</v>
      </c>
      <c r="E12" s="9" t="s">
        <v>69</v>
      </c>
      <c r="F12" s="9" t="s">
        <v>71</v>
      </c>
      <c r="G12" s="9" t="s">
        <v>121</v>
      </c>
      <c r="H12" s="20" t="n">
        <v>231689.25</v>
      </c>
      <c r="I12" s="20" t="n">
        <v>69506.775</v>
      </c>
      <c r="T12" s="9" t="s">
        <v>699</v>
      </c>
      <c r="U12" s="10" t="n">
        <f aca="false">SUMIFS('Role data'!$Q$2:$Q$550,'Role data'!$C$2:$C$550,"Infrastructure",'Role data'!$D$2:$D$550,"Distribution, Sales &amp; Services",'Role data'!$E$2:$E$550,"squad")/1000000</f>
        <v>0.175393065</v>
      </c>
      <c r="V12" s="10" t="n">
        <f aca="false">(SUMIFS('Role data'!$N$2:$N$550,'Role data'!$C$2:$C$550,"Infrastructure",'Role data'!$D$2:$D$550,"Distribution, Sales &amp; Services",'Role data'!$E$2:$E$550,"squad")-SUMIFS('Role data'!$Q$2:$Q$550,'Role data'!$C$2:$C$550,"Infrastructure",'Role data'!$D$2:$D$550,"Distribution, Sales &amp; Services",'Role data'!$E$2:$E$550,"squad"))/1000000</f>
        <v>1.578537585</v>
      </c>
    </row>
    <row r="13" customFormat="false" ht="15" hidden="false" customHeight="false" outlineLevel="0" collapsed="false">
      <c r="B13" s="19" t="s">
        <v>700</v>
      </c>
      <c r="C13" s="9" t="s">
        <v>701</v>
      </c>
      <c r="D13" s="9" t="s">
        <v>86</v>
      </c>
      <c r="E13" s="9" t="s">
        <v>53</v>
      </c>
      <c r="F13" s="9" t="s">
        <v>71</v>
      </c>
      <c r="G13" s="9"/>
      <c r="H13" s="20" t="n">
        <v>189476.55</v>
      </c>
      <c r="I13" s="20" t="n">
        <v>75790.62</v>
      </c>
    </row>
    <row r="14" customFormat="false" ht="15" hidden="false" customHeight="false" outlineLevel="0" collapsed="false">
      <c r="B14" s="19" t="s">
        <v>702</v>
      </c>
      <c r="C14" s="9" t="s">
        <v>703</v>
      </c>
      <c r="D14" s="9" t="s">
        <v>704</v>
      </c>
      <c r="E14" s="9" t="s">
        <v>53</v>
      </c>
      <c r="F14" s="9" t="s">
        <v>71</v>
      </c>
      <c r="G14" s="9"/>
      <c r="H14" s="20" t="n">
        <v>230327.55</v>
      </c>
      <c r="I14" s="20" t="n">
        <v>92131.02</v>
      </c>
    </row>
    <row r="15" customFormat="false" ht="15" hidden="false" customHeight="false" outlineLevel="0" collapsed="false">
      <c r="B15" s="19" t="s">
        <v>705</v>
      </c>
      <c r="C15" s="9" t="s">
        <v>706</v>
      </c>
      <c r="D15" s="9" t="s">
        <v>565</v>
      </c>
      <c r="E15" s="9" t="s">
        <v>53</v>
      </c>
      <c r="F15" s="9" t="s">
        <v>71</v>
      </c>
      <c r="G15" s="9"/>
      <c r="H15" s="20" t="n">
        <v>206177.4</v>
      </c>
      <c r="I15" s="20" t="n">
        <v>82470.96</v>
      </c>
    </row>
    <row r="16" customFormat="false" ht="15" hidden="false" customHeight="false" outlineLevel="0" collapsed="false">
      <c r="B16" s="19" t="s">
        <v>707</v>
      </c>
      <c r="C16" s="9" t="s">
        <v>69</v>
      </c>
      <c r="D16" s="9" t="s">
        <v>693</v>
      </c>
      <c r="E16" s="9" t="s">
        <v>69</v>
      </c>
      <c r="F16" s="9" t="s">
        <v>71</v>
      </c>
      <c r="G16" s="9"/>
      <c r="H16" s="20" t="n">
        <v>202853.25</v>
      </c>
      <c r="I16" s="20" t="n">
        <v>81141.3</v>
      </c>
    </row>
    <row r="17" customFormat="false" ht="15" hidden="false" customHeight="false" outlineLevel="0" collapsed="false">
      <c r="B17" s="8" t="s">
        <v>699</v>
      </c>
      <c r="H17" s="18" t="n">
        <f aca="false">SUMIFS('Role data'!$M$2:$M$550,'Role data'!$C$2:$C$550,"Infrastructure",'Role data'!$D$2:$D$550,"Distribution, Sales &amp; Services",'Role data'!$E$2:$E$550,"squad")</f>
        <v>2127273.65</v>
      </c>
      <c r="I17" s="18" t="n">
        <f aca="false">SUMIFS('Role data'!$N$2:$N$550,'Role data'!$C$2:$C$550,"Infrastructure",'Role data'!$D$2:$D$550,"Distribution, Sales &amp; Services",'Role data'!$E$2:$E$550,"squad")</f>
        <v>1753930.65</v>
      </c>
    </row>
    <row r="18" customFormat="false" ht="15" hidden="false" customHeight="false" outlineLevel="0" collapsed="false">
      <c r="B18" s="19" t="s">
        <v>708</v>
      </c>
      <c r="C18" s="9" t="s">
        <v>709</v>
      </c>
      <c r="D18" s="9" t="s">
        <v>617</v>
      </c>
      <c r="E18" s="9" t="s">
        <v>53</v>
      </c>
      <c r="F18" s="9" t="s">
        <v>53</v>
      </c>
      <c r="G18" s="9"/>
      <c r="H18" s="20" t="n">
        <v>235494</v>
      </c>
      <c r="I18" s="20" t="n">
        <v>235494</v>
      </c>
    </row>
    <row r="19" customFormat="false" ht="15" hidden="false" customHeight="false" outlineLevel="0" collapsed="false">
      <c r="B19" s="19" t="s">
        <v>710</v>
      </c>
      <c r="C19" s="9" t="s">
        <v>711</v>
      </c>
      <c r="D19" s="9" t="s">
        <v>84</v>
      </c>
      <c r="E19" s="9" t="s">
        <v>53</v>
      </c>
      <c r="F19" s="9" t="s">
        <v>53</v>
      </c>
      <c r="G19" s="9"/>
      <c r="H19" s="20" t="n">
        <v>257481.45</v>
      </c>
      <c r="I19" s="20" t="n">
        <v>257481.45</v>
      </c>
    </row>
    <row r="20" customFormat="false" ht="15" hidden="false" customHeight="false" outlineLevel="0" collapsed="false">
      <c r="B20" s="19" t="s">
        <v>712</v>
      </c>
      <c r="C20" s="9" t="s">
        <v>713</v>
      </c>
      <c r="D20" s="9" t="s">
        <v>617</v>
      </c>
      <c r="E20" s="9" t="s">
        <v>53</v>
      </c>
      <c r="F20" s="9" t="s">
        <v>53</v>
      </c>
      <c r="G20" s="9"/>
      <c r="H20" s="20" t="n">
        <v>215388.9</v>
      </c>
      <c r="I20" s="20" t="n">
        <v>215388.9</v>
      </c>
    </row>
    <row r="21" customFormat="false" ht="15" hidden="false" customHeight="false" outlineLevel="0" collapsed="false">
      <c r="B21" s="19" t="s">
        <v>714</v>
      </c>
      <c r="C21" s="9" t="s">
        <v>715</v>
      </c>
      <c r="D21" s="9" t="s">
        <v>617</v>
      </c>
      <c r="E21" s="9" t="s">
        <v>53</v>
      </c>
      <c r="F21" s="9" t="s">
        <v>53</v>
      </c>
      <c r="G21" s="9"/>
      <c r="H21" s="20" t="n">
        <v>209394.75</v>
      </c>
      <c r="I21" s="20" t="n">
        <v>209394.75</v>
      </c>
    </row>
    <row r="22" customFormat="false" ht="15" hidden="false" customHeight="false" outlineLevel="0" collapsed="false">
      <c r="B22" s="19" t="s">
        <v>716</v>
      </c>
      <c r="C22" s="9" t="s">
        <v>717</v>
      </c>
      <c r="D22" s="9" t="s">
        <v>718</v>
      </c>
      <c r="E22" s="9" t="s">
        <v>53</v>
      </c>
      <c r="F22" s="9" t="s">
        <v>53</v>
      </c>
      <c r="G22" s="9"/>
      <c r="H22" s="20" t="n">
        <v>213600</v>
      </c>
      <c r="I22" s="20" t="n">
        <v>213600</v>
      </c>
    </row>
    <row r="23" customFormat="false" ht="15" hidden="false" customHeight="false" outlineLevel="0" collapsed="false">
      <c r="B23" s="19" t="s">
        <v>719</v>
      </c>
      <c r="C23" s="9" t="s">
        <v>720</v>
      </c>
      <c r="D23" s="9" t="s">
        <v>57</v>
      </c>
      <c r="E23" s="9" t="s">
        <v>53</v>
      </c>
      <c r="F23" s="9" t="s">
        <v>53</v>
      </c>
      <c r="G23" s="9"/>
      <c r="H23" s="20" t="n">
        <v>222090.6</v>
      </c>
      <c r="I23" s="20" t="n">
        <v>222090.6</v>
      </c>
    </row>
    <row r="24" customFormat="false" ht="15" hidden="false" customHeight="false" outlineLevel="0" collapsed="false">
      <c r="B24" s="19" t="s">
        <v>721</v>
      </c>
      <c r="C24" s="9" t="s">
        <v>722</v>
      </c>
      <c r="D24" s="9" t="s">
        <v>174</v>
      </c>
      <c r="E24" s="9" t="s">
        <v>53</v>
      </c>
      <c r="F24" s="9" t="s">
        <v>53</v>
      </c>
      <c r="G24" s="9"/>
      <c r="H24" s="20" t="n">
        <v>233331.3</v>
      </c>
      <c r="I24" s="20" t="n">
        <v>233331.3</v>
      </c>
    </row>
    <row r="25" customFormat="false" ht="15" hidden="false" customHeight="false" outlineLevel="0" collapsed="false">
      <c r="B25" s="19" t="s">
        <v>723</v>
      </c>
      <c r="C25" s="9" t="s">
        <v>69</v>
      </c>
      <c r="D25" s="9" t="s">
        <v>77</v>
      </c>
      <c r="E25" s="9" t="s">
        <v>69</v>
      </c>
      <c r="F25" s="9" t="s">
        <v>78</v>
      </c>
      <c r="G25" s="9"/>
      <c r="H25" s="20" t="n">
        <v>202853.25</v>
      </c>
      <c r="I25" s="20" t="n">
        <v>0</v>
      </c>
    </row>
    <row r="26" customFormat="false" ht="15" hidden="false" customHeight="false" outlineLevel="0" collapsed="false">
      <c r="B26" s="19" t="s">
        <v>724</v>
      </c>
      <c r="C26" s="9" t="s">
        <v>725</v>
      </c>
      <c r="D26" s="9" t="s">
        <v>57</v>
      </c>
      <c r="E26" s="9" t="s">
        <v>53</v>
      </c>
      <c r="F26" s="9" t="s">
        <v>53</v>
      </c>
      <c r="G26" s="9"/>
      <c r="H26" s="20" t="n">
        <v>167149.65</v>
      </c>
      <c r="I26" s="20" t="n">
        <v>167149.65</v>
      </c>
    </row>
    <row r="27" customFormat="false" ht="15" hidden="false" customHeight="false" outlineLevel="0" collapsed="false">
      <c r="B27" s="19" t="s">
        <v>726</v>
      </c>
      <c r="C27" s="9" t="s">
        <v>69</v>
      </c>
      <c r="D27" s="9" t="s">
        <v>80</v>
      </c>
      <c r="E27" s="9" t="s">
        <v>69</v>
      </c>
      <c r="F27" s="9" t="s">
        <v>78</v>
      </c>
      <c r="G27" s="9"/>
      <c r="H27" s="20" t="n">
        <v>170489.75</v>
      </c>
      <c r="I27" s="20" t="n">
        <v>0</v>
      </c>
    </row>
    <row r="28" customFormat="false" ht="15" hidden="false" customHeight="false" outlineLevel="0" collapsed="false">
      <c r="B28" s="8" t="s">
        <v>696</v>
      </c>
      <c r="H28" s="18" t="n">
        <f aca="false">SUMIFS('Role data'!$M$2:$M$550,'Role data'!$C$2:$C$550,"Infrastructure",'Role data'!$D$2:$D$550,"Manufacturing Group Projects",'Role data'!$E$2:$E$550,"squad")</f>
        <v>1914773.3</v>
      </c>
      <c r="I28" s="18" t="n">
        <f aca="false">SUMIFS('Role data'!$N$2:$N$550,'Role data'!$C$2:$C$550,"Infrastructure",'Role data'!$D$2:$D$550,"Manufacturing Group Projects",'Role data'!$E$2:$E$550,"squad")</f>
        <v>1512594.3</v>
      </c>
    </row>
    <row r="29" customFormat="false" ht="15" hidden="false" customHeight="false" outlineLevel="0" collapsed="false">
      <c r="B29" s="19" t="s">
        <v>727</v>
      </c>
      <c r="C29" s="9" t="s">
        <v>728</v>
      </c>
      <c r="D29" s="9" t="s">
        <v>617</v>
      </c>
      <c r="E29" s="9" t="s">
        <v>53</v>
      </c>
      <c r="F29" s="9" t="s">
        <v>53</v>
      </c>
      <c r="G29" s="9"/>
      <c r="H29" s="20" t="n">
        <v>225051.95</v>
      </c>
      <c r="I29" s="20" t="n">
        <v>225051.95</v>
      </c>
    </row>
    <row r="30" customFormat="false" ht="15" hidden="false" customHeight="false" outlineLevel="0" collapsed="false">
      <c r="B30" s="19" t="s">
        <v>729</v>
      </c>
      <c r="C30" s="9" t="s">
        <v>730</v>
      </c>
      <c r="D30" s="9" t="s">
        <v>731</v>
      </c>
      <c r="E30" s="9" t="s">
        <v>53</v>
      </c>
      <c r="F30" s="9" t="s">
        <v>53</v>
      </c>
      <c r="G30" s="9"/>
      <c r="H30" s="20" t="n">
        <v>257693.9</v>
      </c>
      <c r="I30" s="20" t="n">
        <v>257693.9</v>
      </c>
    </row>
    <row r="31" customFormat="false" ht="15" hidden="false" customHeight="false" outlineLevel="0" collapsed="false">
      <c r="B31" s="19" t="s">
        <v>732</v>
      </c>
      <c r="C31" s="9" t="s">
        <v>69</v>
      </c>
      <c r="D31" s="9" t="s">
        <v>52</v>
      </c>
      <c r="E31" s="9" t="s">
        <v>69</v>
      </c>
      <c r="F31" s="9" t="s">
        <v>78</v>
      </c>
      <c r="G31" s="9"/>
      <c r="H31" s="20" t="n">
        <v>231689.25</v>
      </c>
      <c r="I31" s="20" t="n">
        <v>0</v>
      </c>
    </row>
    <row r="32" customFormat="false" ht="15" hidden="false" customHeight="false" outlineLevel="0" collapsed="false">
      <c r="B32" s="19" t="s">
        <v>733</v>
      </c>
      <c r="C32" s="9" t="s">
        <v>734</v>
      </c>
      <c r="D32" s="9" t="s">
        <v>84</v>
      </c>
      <c r="E32" s="9" t="s">
        <v>53</v>
      </c>
      <c r="F32" s="9" t="s">
        <v>53</v>
      </c>
      <c r="G32" s="9"/>
      <c r="H32" s="20" t="n">
        <v>256466.85</v>
      </c>
      <c r="I32" s="20" t="n">
        <v>256466.85</v>
      </c>
    </row>
    <row r="33" customFormat="false" ht="15" hidden="false" customHeight="false" outlineLevel="0" collapsed="false">
      <c r="B33" s="19" t="s">
        <v>735</v>
      </c>
      <c r="C33" s="9" t="s">
        <v>736</v>
      </c>
      <c r="D33" s="9" t="s">
        <v>263</v>
      </c>
      <c r="E33" s="9" t="s">
        <v>53</v>
      </c>
      <c r="F33" s="9" t="s">
        <v>53</v>
      </c>
      <c r="G33" s="9"/>
      <c r="H33" s="20" t="n">
        <v>193575</v>
      </c>
      <c r="I33" s="20" t="n">
        <v>193575</v>
      </c>
    </row>
    <row r="34" customFormat="false" ht="15" hidden="false" customHeight="false" outlineLevel="0" collapsed="false">
      <c r="B34" s="19" t="s">
        <v>737</v>
      </c>
      <c r="C34" s="9" t="s">
        <v>738</v>
      </c>
      <c r="D34" s="9" t="s">
        <v>617</v>
      </c>
      <c r="E34" s="9" t="s">
        <v>53</v>
      </c>
      <c r="F34" s="9" t="s">
        <v>53</v>
      </c>
      <c r="G34" s="9"/>
      <c r="H34" s="20" t="n">
        <v>213359.7</v>
      </c>
      <c r="I34" s="20" t="n">
        <v>213359.7</v>
      </c>
    </row>
    <row r="35" customFormat="false" ht="15" hidden="false" customHeight="false" outlineLevel="0" collapsed="false">
      <c r="B35" s="19" t="s">
        <v>739</v>
      </c>
      <c r="C35" s="9" t="s">
        <v>740</v>
      </c>
      <c r="D35" s="9" t="s">
        <v>174</v>
      </c>
      <c r="E35" s="9" t="s">
        <v>53</v>
      </c>
      <c r="F35" s="9" t="s">
        <v>53</v>
      </c>
      <c r="G35" s="9"/>
      <c r="H35" s="20" t="n">
        <v>221796.9</v>
      </c>
      <c r="I35" s="20" t="n">
        <v>221796.9</v>
      </c>
    </row>
    <row r="36" customFormat="false" ht="15" hidden="false" customHeight="false" outlineLevel="0" collapsed="false">
      <c r="B36" s="19" t="s">
        <v>741</v>
      </c>
      <c r="C36" s="9" t="s">
        <v>742</v>
      </c>
      <c r="D36" s="9" t="s">
        <v>526</v>
      </c>
      <c r="E36" s="9" t="s">
        <v>53</v>
      </c>
      <c r="F36" s="9" t="s">
        <v>53</v>
      </c>
      <c r="G36" s="9"/>
      <c r="H36" s="20" t="n">
        <v>144650</v>
      </c>
      <c r="I36" s="20" t="n">
        <v>144650</v>
      </c>
    </row>
    <row r="37" customFormat="false" ht="15" hidden="false" customHeight="false" outlineLevel="0" collapsed="false">
      <c r="B37" s="19" t="s">
        <v>743</v>
      </c>
      <c r="C37" s="9" t="s">
        <v>69</v>
      </c>
      <c r="D37" s="9" t="s">
        <v>80</v>
      </c>
      <c r="E37" s="9" t="s">
        <v>69</v>
      </c>
      <c r="F37" s="9" t="s">
        <v>78</v>
      </c>
      <c r="G37" s="9"/>
      <c r="H37" s="20" t="n">
        <v>170489.75</v>
      </c>
      <c r="I37" s="20" t="n">
        <v>0</v>
      </c>
    </row>
    <row r="38" customFormat="false" ht="15" hidden="false" customHeight="false" outlineLevel="0" collapsed="false">
      <c r="B38" s="8" t="s">
        <v>690</v>
      </c>
      <c r="H38" s="18" t="n">
        <f aca="false">SUMIFS('Role data'!$M$2:$M$550,'Role data'!$C$2:$C$550,"Infrastructure",'Role data'!$D$2:$D$550,"Technology Support",'Role data'!$E$2:$E$550,"squad")</f>
        <v>741335.29</v>
      </c>
      <c r="I38" s="18" t="n">
        <f aca="false">SUMIFS('Role data'!$N$2:$N$550,'Role data'!$C$2:$C$550,"Infrastructure",'Role data'!$D$2:$D$550,"Technology Support",'Role data'!$E$2:$E$550,"squad")</f>
        <v>741335.29</v>
      </c>
    </row>
    <row r="39" customFormat="false" ht="15" hidden="false" customHeight="false" outlineLevel="0" collapsed="false">
      <c r="B39" s="19" t="s">
        <v>744</v>
      </c>
      <c r="C39" s="9" t="s">
        <v>745</v>
      </c>
      <c r="D39" s="9" t="s">
        <v>746</v>
      </c>
      <c r="E39" s="9" t="s">
        <v>53</v>
      </c>
      <c r="F39" s="9" t="s">
        <v>53</v>
      </c>
      <c r="G39" s="9"/>
      <c r="H39" s="20" t="n">
        <v>162936.39</v>
      </c>
      <c r="I39" s="20" t="n">
        <v>162936.39</v>
      </c>
    </row>
    <row r="40" customFormat="false" ht="15" hidden="false" customHeight="false" outlineLevel="0" collapsed="false">
      <c r="B40" s="19" t="s">
        <v>747</v>
      </c>
      <c r="C40" s="9" t="s">
        <v>748</v>
      </c>
      <c r="D40" s="9" t="s">
        <v>746</v>
      </c>
      <c r="E40" s="9" t="s">
        <v>53</v>
      </c>
      <c r="F40" s="9" t="s">
        <v>53</v>
      </c>
      <c r="G40" s="9"/>
      <c r="H40" s="20" t="n">
        <v>153697.2</v>
      </c>
      <c r="I40" s="20" t="n">
        <v>153697.2</v>
      </c>
    </row>
    <row r="41" customFormat="false" ht="15" hidden="false" customHeight="false" outlineLevel="0" collapsed="false">
      <c r="B41" s="19" t="s">
        <v>749</v>
      </c>
      <c r="C41" s="9" t="s">
        <v>750</v>
      </c>
      <c r="D41" s="9" t="s">
        <v>746</v>
      </c>
      <c r="E41" s="9" t="s">
        <v>53</v>
      </c>
      <c r="F41" s="9" t="s">
        <v>53</v>
      </c>
      <c r="G41" s="9"/>
      <c r="H41" s="20" t="n">
        <v>146727.7</v>
      </c>
      <c r="I41" s="20" t="n">
        <v>146727.7</v>
      </c>
    </row>
    <row r="42" customFormat="false" ht="15" hidden="false" customHeight="false" outlineLevel="0" collapsed="false">
      <c r="B42" s="19" t="s">
        <v>751</v>
      </c>
      <c r="C42" s="9" t="s">
        <v>752</v>
      </c>
      <c r="D42" s="9" t="s">
        <v>753</v>
      </c>
      <c r="E42" s="9" t="s">
        <v>53</v>
      </c>
      <c r="F42" s="9" t="s">
        <v>53</v>
      </c>
      <c r="G42" s="9"/>
      <c r="H42" s="20" t="n">
        <v>171291.9</v>
      </c>
      <c r="I42" s="20" t="n">
        <v>171291.9</v>
      </c>
    </row>
    <row r="43" customFormat="false" ht="15" hidden="false" customHeight="false" outlineLevel="0" collapsed="false">
      <c r="B43" s="19" t="s">
        <v>754</v>
      </c>
      <c r="C43" s="9" t="s">
        <v>755</v>
      </c>
      <c r="D43" s="9" t="s">
        <v>746</v>
      </c>
      <c r="E43" s="9" t="s">
        <v>53</v>
      </c>
      <c r="F43" s="9" t="s">
        <v>53</v>
      </c>
      <c r="G43" s="9"/>
      <c r="H43" s="20" t="n">
        <v>106682.1</v>
      </c>
      <c r="I43" s="20" t="n">
        <v>106682.1</v>
      </c>
    </row>
    <row r="44" customFormat="false" ht="15" hidden="false" customHeight="false" outlineLevel="0" collapsed="false">
      <c r="B44" s="8" t="s">
        <v>756</v>
      </c>
      <c r="H44" s="18" t="n">
        <f aca="false">SUMIFS('Role data'!$M$2:$M$550,'Role data'!$C$2:$C$550,"Infrastructure",'Role data'!$D$2:$D$550,"Leadership",'Role data'!$E$2:$E$550,"sig")</f>
        <v>256667.1</v>
      </c>
      <c r="I44" s="18" t="n">
        <f aca="false">SUMIFS('Role data'!$N$2:$N$550,'Role data'!$C$2:$C$550,"Infrastructure",'Role data'!$D$2:$D$550,"Leadership",'Role data'!$E$2:$E$550,"sig")</f>
        <v>256667.1</v>
      </c>
    </row>
    <row r="45" customFormat="false" ht="15" hidden="false" customHeight="false" outlineLevel="0" collapsed="false">
      <c r="B45" s="19" t="s">
        <v>757</v>
      </c>
      <c r="C45" s="9" t="s">
        <v>758</v>
      </c>
      <c r="D45" s="9" t="s">
        <v>52</v>
      </c>
      <c r="E45" s="9" t="s">
        <v>53</v>
      </c>
      <c r="F45" s="9" t="s">
        <v>53</v>
      </c>
      <c r="G45" s="9"/>
      <c r="H45" s="20" t="n">
        <v>256667.1</v>
      </c>
      <c r="I45" s="20" t="n">
        <v>256667.1</v>
      </c>
    </row>
    <row r="46" customFormat="false" ht="15" hidden="false" customHeight="false" outlineLevel="0" collapsed="false">
      <c r="B46" s="8" t="s">
        <v>199</v>
      </c>
      <c r="H46" s="18" t="n">
        <f aca="false">SUMIFS('Role data'!$M$2:$M$550,'Role data'!$C$2:$C$550,"Infrastructure",'Role data'!$D$2:$D$550,"Head of Technology",'Role data'!$E$2:$E$550,"overhead")</f>
        <v>363626.7</v>
      </c>
      <c r="I46" s="18" t="n">
        <f aca="false">SUMIFS('Role data'!$N$2:$N$550,'Role data'!$C$2:$C$550,"Infrastructure",'Role data'!$D$2:$D$550,"Head of Technology",'Role data'!$E$2:$E$550,"overhead")</f>
        <v>363626.7</v>
      </c>
    </row>
    <row r="47" customFormat="false" ht="15" hidden="false" customHeight="false" outlineLevel="0" collapsed="false">
      <c r="B47" s="19" t="s">
        <v>759</v>
      </c>
      <c r="C47" s="9" t="s">
        <v>760</v>
      </c>
      <c r="D47" s="9" t="s">
        <v>761</v>
      </c>
      <c r="E47" s="9" t="s">
        <v>53</v>
      </c>
      <c r="F47" s="9" t="s">
        <v>53</v>
      </c>
      <c r="G47" s="9"/>
      <c r="H47" s="20" t="n">
        <v>363626.7</v>
      </c>
      <c r="I47" s="20" t="n">
        <v>363626.7</v>
      </c>
    </row>
    <row r="48" customFormat="false" ht="15" hidden="false" customHeight="false" outlineLevel="0" collapsed="false">
      <c r="B48" s="8" t="s">
        <v>203</v>
      </c>
      <c r="H48" s="18" t="n">
        <f aca="false">SUMIFS('Role data'!$M$2:$M$550,'Role data'!$C$2:$C$550,"Infrastructure",'Role data'!$D$2:$D$550,"Delivery Manager",'Role data'!$E$2:$E$550,"overhead")</f>
        <v>316744.8</v>
      </c>
      <c r="I48" s="18" t="n">
        <f aca="false">SUMIFS('Role data'!$N$2:$N$550,'Role data'!$C$2:$C$550,"Infrastructure",'Role data'!$D$2:$D$550,"Delivery Manager",'Role data'!$E$2:$E$550,"overhead")</f>
        <v>316744.8</v>
      </c>
    </row>
    <row r="49" customFormat="false" ht="15" hidden="false" customHeight="false" outlineLevel="0" collapsed="false">
      <c r="B49" s="19" t="s">
        <v>762</v>
      </c>
      <c r="C49" s="9" t="s">
        <v>763</v>
      </c>
      <c r="D49" s="9" t="s">
        <v>682</v>
      </c>
      <c r="E49" s="9" t="s">
        <v>53</v>
      </c>
      <c r="F49" s="9" t="s">
        <v>53</v>
      </c>
      <c r="G49" s="9"/>
      <c r="H49" s="20" t="n">
        <v>316744.8</v>
      </c>
      <c r="I49" s="20" t="n">
        <v>316744.8</v>
      </c>
    </row>
    <row r="50" customFormat="false" ht="15" hidden="false" customHeight="false" outlineLevel="0" collapsed="false">
      <c r="B50" s="8" t="s">
        <v>206</v>
      </c>
      <c r="H50" s="18" t="n">
        <f aca="false">SUMIFS('Role data'!$M$2:$M$550,'Role data'!$C$2:$C$550,"Infrastructure",'Role data'!$D$2:$D$550,"Technology Manager",'Role data'!$E$2:$E$550,"overhead")</f>
        <v>524886.35</v>
      </c>
      <c r="I50" s="18" t="n">
        <f aca="false">SUMIFS('Role data'!$N$2:$N$550,'Role data'!$C$2:$C$550,"Infrastructure",'Role data'!$D$2:$D$550,"Technology Manager",'Role data'!$E$2:$E$550,"overhead")</f>
        <v>524886.35</v>
      </c>
    </row>
    <row r="51" customFormat="false" ht="15" hidden="false" customHeight="false" outlineLevel="0" collapsed="false">
      <c r="B51" s="19" t="s">
        <v>764</v>
      </c>
      <c r="C51" s="9" t="s">
        <v>765</v>
      </c>
      <c r="D51" s="9" t="s">
        <v>766</v>
      </c>
      <c r="E51" s="9" t="s">
        <v>53</v>
      </c>
      <c r="F51" s="9" t="s">
        <v>53</v>
      </c>
      <c r="G51" s="9"/>
      <c r="H51" s="20" t="n">
        <v>249076.1</v>
      </c>
      <c r="I51" s="20" t="n">
        <v>249076.1</v>
      </c>
    </row>
    <row r="52" customFormat="false" ht="15" hidden="false" customHeight="false" outlineLevel="0" collapsed="false">
      <c r="B52" s="19" t="s">
        <v>767</v>
      </c>
      <c r="C52" s="9" t="s">
        <v>69</v>
      </c>
      <c r="D52" s="9" t="s">
        <v>768</v>
      </c>
      <c r="E52" s="9" t="s">
        <v>69</v>
      </c>
      <c r="F52" s="9" t="s">
        <v>82</v>
      </c>
      <c r="G52" s="9"/>
      <c r="H52" s="20" t="n">
        <v>275810.25</v>
      </c>
      <c r="I52" s="20" t="n">
        <v>275810.25</v>
      </c>
    </row>
    <row r="53" customFormat="false" ht="15" hidden="false" customHeight="false" outlineLevel="0" collapsed="false">
      <c r="B53" s="13" t="s">
        <v>38</v>
      </c>
      <c r="C53" s="21"/>
      <c r="D53" s="21"/>
      <c r="E53" s="21"/>
      <c r="F53" s="21"/>
      <c r="G53" s="21"/>
      <c r="H53" s="22" t="n">
        <f aca="false">SUMIFS('Role data'!$M$2:$M$550,'Role data'!$C$2:$C$550,"Infrastructure")</f>
        <v>7781253.94</v>
      </c>
      <c r="I53" s="22" t="n">
        <f aca="false">SUMIFS('Role data'!$N$2:$N$550,'Role data'!$C$2:$C$550,"Infrastructure")</f>
        <v>6346248.615</v>
      </c>
    </row>
  </sheetData>
  <sheetProtection sheet="true" password="c5c5"/>
  <mergeCells count="7">
    <mergeCell ref="C5:C6"/>
    <mergeCell ref="D5:D6"/>
    <mergeCell ref="E5:E6"/>
    <mergeCell ref="F5:F6"/>
    <mergeCell ref="G5:G6"/>
    <mergeCell ref="H5:H6"/>
    <mergeCell ref="I5:I6"/>
  </mergeCells>
  <conditionalFormatting sqref="F5">
    <cfRule type="cellIs" priority="2" operator="greaterThan" aboveAverage="0" equalAverage="0" bottom="0" percent="0" rank="0" text="" dxfId="0">
      <formula>0</formula>
    </cfRule>
  </conditionalFormatting>
  <conditionalFormatting sqref="H10:H16 H18:H27 H29:H37 H39:H43 H45 H47 H49 H51:H52">
    <cfRule type="dataBar" priority="3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{B118A77D-7B82-4BA4-82D6-3FAA6E9783EB}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18A77D-7B82-4BA4-82D6-3FAA6E9783EB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H10:H16 H18:H27 H29:H37 H39:H43 H45 H47 H49 H51:H52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17.5"/>
    <col collapsed="false" customWidth="true" hidden="false" outlineLevel="0" max="4" min="4" style="0" width="42.5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22" min="20" style="0" width="13"/>
  </cols>
  <sheetData>
    <row r="2" customFormat="false" ht="17.35" hidden="false" customHeight="false" outlineLevel="0" collapsed="false">
      <c r="B2" s="1" t="s">
        <v>26</v>
      </c>
    </row>
    <row r="4" customFormat="false" ht="42" hidden="false" customHeight="true" outlineLevel="0" collapsed="false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Format="false" ht="19.5" hidden="false" customHeight="true" outlineLevel="0" collapsed="false">
      <c r="C5" s="16" t="n">
        <f aca="false">'TDD Dashboard'!$C$17</f>
        <v>3.36223158</v>
      </c>
      <c r="D5" s="16" t="n">
        <f aca="false">'TDD Dashboard'!$D$17</f>
        <v>2.10052199504545</v>
      </c>
      <c r="E5" s="16" t="n">
        <f aca="false">'TDD Dashboard'!$E$17</f>
        <v>2</v>
      </c>
      <c r="F5" s="16" t="n">
        <f aca="false">'TDD Dashboard'!$F$17</f>
        <v>0.100521995045455</v>
      </c>
      <c r="G5" s="17" t="n">
        <f aca="false">'TDD Dashboard'!$G$17</f>
        <v>0.624740427619639</v>
      </c>
      <c r="H5" s="16" t="n">
        <f aca="false">'TDD Dashboard'!$H$17</f>
        <v>0.238965</v>
      </c>
      <c r="I5" s="16" t="n">
        <f aca="false">'TDD Dashboard'!$I$17</f>
        <v>1.02274458495455</v>
      </c>
    </row>
    <row r="6" customFormat="false" ht="19.5" hidden="false" customHeight="true" outlineLevel="0" collapsed="false">
      <c r="C6" s="16"/>
      <c r="D6" s="16"/>
      <c r="E6" s="16"/>
      <c r="F6" s="16"/>
      <c r="G6" s="16"/>
      <c r="H6" s="16"/>
      <c r="I6" s="16"/>
    </row>
    <row r="8" customFormat="false" ht="45" hidden="false" customHeight="true" outlineLevel="0" collapsed="false">
      <c r="B8" s="5" t="s">
        <v>39</v>
      </c>
      <c r="C8" s="5" t="s">
        <v>40</v>
      </c>
      <c r="D8" s="5" t="s">
        <v>41</v>
      </c>
      <c r="E8" s="5" t="s">
        <v>42</v>
      </c>
      <c r="F8" s="5" t="s">
        <v>43</v>
      </c>
      <c r="G8" s="5" t="s">
        <v>44</v>
      </c>
      <c r="H8" s="6" t="s">
        <v>45</v>
      </c>
      <c r="I8" s="6" t="s">
        <v>46</v>
      </c>
      <c r="T8" s="7" t="s">
        <v>47</v>
      </c>
      <c r="U8" s="7" t="s">
        <v>2</v>
      </c>
      <c r="V8" s="7" t="s">
        <v>7</v>
      </c>
    </row>
    <row r="9" customFormat="false" ht="15" hidden="false" customHeight="false" outlineLevel="0" collapsed="false">
      <c r="B9" s="8" t="s">
        <v>26</v>
      </c>
      <c r="H9" s="18" t="n">
        <f aca="false">SUMIFS('Role data'!$M$2:$M$550,'Role data'!$C$2:$C$550,"P&amp;C",'Role data'!$D$2:$D$550,"P&amp;C",'Role data'!$E$2:$E$550,"squad")</f>
        <v>1765517.93</v>
      </c>
      <c r="I9" s="18" t="n">
        <f aca="false">SUMIFS('Role data'!$N$2:$N$550,'Role data'!$C$2:$C$550,"P&amp;C",'Role data'!$D$2:$D$550,"P&amp;C",'Role data'!$E$2:$E$550,"squad")</f>
        <v>1663224.08</v>
      </c>
      <c r="T9" s="9" t="s">
        <v>769</v>
      </c>
      <c r="U9" s="10" t="n">
        <f aca="false">SUMIFS('Role data'!$Q$2:$Q$550,'Role data'!$C$2:$C$550,"P&amp;C",'Role data'!$D$2:$D$550,"P&amp;C RTA",'Role data'!$E$2:$E$550,"squad")/1000000</f>
        <v>0.1143873525</v>
      </c>
      <c r="V9" s="10" t="n">
        <f aca="false">(SUMIFS('Role data'!$N$2:$N$550,'Role data'!$C$2:$C$550,"P&amp;C",'Role data'!$D$2:$D$550,"P&amp;C RTA",'Role data'!$E$2:$E$550,"squad")-SUMIFS('Role data'!$Q$2:$Q$550,'Role data'!$C$2:$C$550,"P&amp;C",'Role data'!$D$2:$D$550,"P&amp;C RTA",'Role data'!$E$2:$E$550,"squad"))/1000000</f>
        <v>0.6481949975</v>
      </c>
    </row>
    <row r="10" customFormat="false" ht="15" hidden="false" customHeight="false" outlineLevel="0" collapsed="false">
      <c r="B10" s="19" t="s">
        <v>770</v>
      </c>
      <c r="C10" s="9" t="s">
        <v>771</v>
      </c>
      <c r="D10" s="9" t="s">
        <v>772</v>
      </c>
      <c r="E10" s="9" t="s">
        <v>53</v>
      </c>
      <c r="F10" s="9" t="s">
        <v>53</v>
      </c>
      <c r="G10" s="9"/>
      <c r="H10" s="20" t="n">
        <v>237963.75</v>
      </c>
      <c r="I10" s="20" t="n">
        <v>237963.75</v>
      </c>
      <c r="T10" s="9" t="s">
        <v>26</v>
      </c>
      <c r="U10" s="10" t="n">
        <f aca="false">SUMIFS('Role data'!$Q$2:$Q$550,'Role data'!$C$2:$C$550,"P&amp;C",'Role data'!$D$2:$D$550,"P&amp;C",'Role data'!$E$2:$E$550,"squad")/1000000</f>
        <v>0.249483612</v>
      </c>
      <c r="V10" s="10" t="n">
        <f aca="false">(SUMIFS('Role data'!$N$2:$N$550,'Role data'!$C$2:$C$550,"P&amp;C",'Role data'!$D$2:$D$550,"P&amp;C",'Role data'!$E$2:$E$550,"squad")-SUMIFS('Role data'!$Q$2:$Q$550,'Role data'!$C$2:$C$550,"P&amp;C",'Role data'!$D$2:$D$550,"P&amp;C",'Role data'!$E$2:$E$550,"squad"))/1000000</f>
        <v>1.413740468</v>
      </c>
    </row>
    <row r="11" customFormat="false" ht="15" hidden="false" customHeight="false" outlineLevel="0" collapsed="false">
      <c r="B11" s="19" t="s">
        <v>773</v>
      </c>
      <c r="C11" s="9" t="s">
        <v>774</v>
      </c>
      <c r="D11" s="9" t="s">
        <v>52</v>
      </c>
      <c r="E11" s="9" t="s">
        <v>53</v>
      </c>
      <c r="F11" s="9" t="s">
        <v>53</v>
      </c>
      <c r="G11" s="9"/>
      <c r="H11" s="20" t="n">
        <v>272340</v>
      </c>
      <c r="I11" s="20" t="n">
        <v>272340</v>
      </c>
    </row>
    <row r="12" customFormat="false" ht="15" hidden="false" customHeight="false" outlineLevel="0" collapsed="false">
      <c r="B12" s="19" t="s">
        <v>775</v>
      </c>
      <c r="C12" s="9" t="s">
        <v>776</v>
      </c>
      <c r="D12" s="9" t="s">
        <v>777</v>
      </c>
      <c r="E12" s="9" t="s">
        <v>53</v>
      </c>
      <c r="F12" s="9" t="s">
        <v>53</v>
      </c>
      <c r="G12" s="9"/>
      <c r="H12" s="20" t="n">
        <v>234172.35</v>
      </c>
      <c r="I12" s="20" t="n">
        <v>234172.35</v>
      </c>
    </row>
    <row r="13" customFormat="false" ht="15" hidden="false" customHeight="false" outlineLevel="0" collapsed="false">
      <c r="B13" s="19" t="s">
        <v>778</v>
      </c>
      <c r="C13" s="9" t="s">
        <v>779</v>
      </c>
      <c r="D13" s="9" t="s">
        <v>192</v>
      </c>
      <c r="E13" s="9" t="s">
        <v>53</v>
      </c>
      <c r="F13" s="9" t="s">
        <v>53</v>
      </c>
      <c r="G13" s="9"/>
      <c r="H13" s="20" t="n">
        <v>193358.28</v>
      </c>
      <c r="I13" s="20" t="n">
        <v>193358.28</v>
      </c>
    </row>
    <row r="14" customFormat="false" ht="15" hidden="false" customHeight="false" outlineLevel="0" collapsed="false">
      <c r="B14" s="19" t="s">
        <v>780</v>
      </c>
      <c r="C14" s="9" t="s">
        <v>781</v>
      </c>
      <c r="D14" s="9" t="s">
        <v>782</v>
      </c>
      <c r="E14" s="9" t="s">
        <v>53</v>
      </c>
      <c r="F14" s="9" t="s">
        <v>53</v>
      </c>
      <c r="G14" s="9"/>
      <c r="H14" s="20" t="n">
        <v>251487.3</v>
      </c>
      <c r="I14" s="20" t="n">
        <v>251487.3</v>
      </c>
    </row>
    <row r="15" customFormat="false" ht="15" hidden="false" customHeight="false" outlineLevel="0" collapsed="false">
      <c r="B15" s="19" t="s">
        <v>783</v>
      </c>
      <c r="C15" s="9" t="s">
        <v>69</v>
      </c>
      <c r="D15" s="9" t="s">
        <v>784</v>
      </c>
      <c r="E15" s="9" t="s">
        <v>69</v>
      </c>
      <c r="F15" s="9" t="s">
        <v>82</v>
      </c>
      <c r="G15" s="9"/>
      <c r="H15" s="20" t="n">
        <v>202853.25</v>
      </c>
      <c r="I15" s="20" t="n">
        <v>202853.25</v>
      </c>
    </row>
    <row r="16" customFormat="false" ht="15" hidden="false" customHeight="false" outlineLevel="0" collapsed="false">
      <c r="B16" s="19" t="s">
        <v>785</v>
      </c>
      <c r="C16" s="9" t="s">
        <v>69</v>
      </c>
      <c r="D16" s="9" t="s">
        <v>784</v>
      </c>
      <c r="E16" s="9" t="s">
        <v>69</v>
      </c>
      <c r="F16" s="9" t="s">
        <v>82</v>
      </c>
      <c r="G16" s="9"/>
      <c r="H16" s="20" t="n">
        <v>202853.25</v>
      </c>
      <c r="I16" s="20" t="n">
        <v>202853.25</v>
      </c>
    </row>
    <row r="17" customFormat="false" ht="15" hidden="false" customHeight="false" outlineLevel="0" collapsed="false">
      <c r="B17" s="19" t="s">
        <v>786</v>
      </c>
      <c r="C17" s="9" t="s">
        <v>69</v>
      </c>
      <c r="D17" s="9" t="s">
        <v>80</v>
      </c>
      <c r="E17" s="9" t="s">
        <v>69</v>
      </c>
      <c r="F17" s="9" t="s">
        <v>71</v>
      </c>
      <c r="G17" s="9"/>
      <c r="H17" s="20" t="n">
        <v>170489.75</v>
      </c>
      <c r="I17" s="20" t="n">
        <v>68195.9</v>
      </c>
    </row>
    <row r="18" customFormat="false" ht="15" hidden="false" customHeight="false" outlineLevel="0" collapsed="false">
      <c r="B18" s="8" t="s">
        <v>769</v>
      </c>
      <c r="H18" s="18" t="n">
        <f aca="false">SUMIFS('Role data'!$M$2:$M$550,'Role data'!$C$2:$C$550,"P&amp;C",'Role data'!$D$2:$D$550,"P&amp;C RTA",'Role data'!$E$2:$E$550,"squad")</f>
        <v>986588.15</v>
      </c>
      <c r="I18" s="18" t="n">
        <f aca="false">SUMIFS('Role data'!$N$2:$N$550,'Role data'!$C$2:$C$550,"P&amp;C",'Role data'!$D$2:$D$550,"P&amp;C RTA",'Role data'!$E$2:$E$550,"squad")</f>
        <v>762582.35</v>
      </c>
    </row>
    <row r="19" customFormat="false" ht="15" hidden="false" customHeight="false" outlineLevel="0" collapsed="false">
      <c r="B19" s="19" t="s">
        <v>787</v>
      </c>
      <c r="C19" s="9" t="s">
        <v>69</v>
      </c>
      <c r="D19" s="9" t="s">
        <v>788</v>
      </c>
      <c r="E19" s="9" t="s">
        <v>69</v>
      </c>
      <c r="F19" s="9" t="s">
        <v>82</v>
      </c>
      <c r="G19" s="9"/>
      <c r="H19" s="20" t="n">
        <v>231689.25</v>
      </c>
      <c r="I19" s="20" t="n">
        <v>231689.25</v>
      </c>
    </row>
    <row r="20" customFormat="false" ht="15" hidden="false" customHeight="false" outlineLevel="0" collapsed="false">
      <c r="B20" s="19" t="s">
        <v>789</v>
      </c>
      <c r="C20" s="9" t="s">
        <v>69</v>
      </c>
      <c r="D20" s="9" t="s">
        <v>784</v>
      </c>
      <c r="E20" s="9" t="s">
        <v>69</v>
      </c>
      <c r="F20" s="9" t="s">
        <v>71</v>
      </c>
      <c r="G20" s="9"/>
      <c r="H20" s="20" t="n">
        <v>202853.25</v>
      </c>
      <c r="I20" s="20" t="n">
        <v>81141.3</v>
      </c>
    </row>
    <row r="21" customFormat="false" ht="15" hidden="false" customHeight="false" outlineLevel="0" collapsed="false">
      <c r="B21" s="19" t="s">
        <v>790</v>
      </c>
      <c r="C21" s="9" t="s">
        <v>69</v>
      </c>
      <c r="D21" s="9" t="s">
        <v>791</v>
      </c>
      <c r="E21" s="9" t="s">
        <v>69</v>
      </c>
      <c r="F21" s="9" t="s">
        <v>82</v>
      </c>
      <c r="G21" s="9"/>
      <c r="H21" s="20" t="n">
        <v>201585</v>
      </c>
      <c r="I21" s="20" t="n">
        <v>201585</v>
      </c>
    </row>
    <row r="22" customFormat="false" ht="15" hidden="false" customHeight="false" outlineLevel="0" collapsed="false">
      <c r="B22" s="19" t="s">
        <v>792</v>
      </c>
      <c r="C22" s="9" t="s">
        <v>69</v>
      </c>
      <c r="D22" s="9" t="s">
        <v>80</v>
      </c>
      <c r="E22" s="9" t="s">
        <v>69</v>
      </c>
      <c r="F22" s="9" t="s">
        <v>71</v>
      </c>
      <c r="G22" s="9"/>
      <c r="H22" s="20" t="n">
        <v>170489.75</v>
      </c>
      <c r="I22" s="20" t="n">
        <v>68195.9</v>
      </c>
    </row>
    <row r="23" customFormat="false" ht="15" hidden="false" customHeight="false" outlineLevel="0" collapsed="false">
      <c r="B23" s="19" t="s">
        <v>793</v>
      </c>
      <c r="C23" s="9" t="s">
        <v>69</v>
      </c>
      <c r="D23" s="9" t="s">
        <v>794</v>
      </c>
      <c r="E23" s="9" t="s">
        <v>69</v>
      </c>
      <c r="F23" s="9" t="s">
        <v>82</v>
      </c>
      <c r="G23" s="9"/>
      <c r="H23" s="20" t="n">
        <v>179970.9</v>
      </c>
      <c r="I23" s="20" t="n">
        <v>179970.9</v>
      </c>
    </row>
    <row r="24" customFormat="false" ht="15" hidden="false" customHeight="false" outlineLevel="0" collapsed="false">
      <c r="B24" s="8" t="s">
        <v>795</v>
      </c>
      <c r="H24" s="18" t="n">
        <f aca="false">SUMIFS('Role data'!$M$2:$M$550,'Role data'!$C$2:$C$550,"P&amp;C",'Role data'!$D$2:$D$550,"EGI P&amp;C",'Role data'!$E$2:$E$550,"sig")</f>
        <v>238965</v>
      </c>
      <c r="I24" s="18" t="n">
        <f aca="false">SUMIFS('Role data'!$N$2:$N$550,'Role data'!$C$2:$C$550,"P&amp;C",'Role data'!$D$2:$D$550,"EGI P&amp;C",'Role data'!$E$2:$E$550,"sig")</f>
        <v>0</v>
      </c>
    </row>
    <row r="25" customFormat="false" ht="15" hidden="false" customHeight="false" outlineLevel="0" collapsed="false">
      <c r="B25" s="19" t="s">
        <v>796</v>
      </c>
      <c r="C25" s="9" t="s">
        <v>797</v>
      </c>
      <c r="D25" s="9" t="s">
        <v>798</v>
      </c>
      <c r="E25" s="9" t="s">
        <v>53</v>
      </c>
      <c r="F25" s="9" t="s">
        <v>78</v>
      </c>
      <c r="G25" s="9"/>
      <c r="H25" s="20" t="n">
        <v>238965</v>
      </c>
      <c r="I25" s="20" t="n">
        <v>0</v>
      </c>
    </row>
    <row r="26" customFormat="false" ht="15" hidden="false" customHeight="false" outlineLevel="0" collapsed="false">
      <c r="B26" s="8" t="s">
        <v>199</v>
      </c>
      <c r="H26" s="18" t="n">
        <f aca="false">SUMIFS('Role data'!$M$2:$M$550,'Role data'!$C$2:$C$550,"P&amp;C",'Role data'!$D$2:$D$550,"Head of Technology",'Role data'!$E$2:$E$550,"overhead")</f>
        <v>364249.3</v>
      </c>
      <c r="I26" s="18" t="n">
        <f aca="false">SUMIFS('Role data'!$N$2:$N$550,'Role data'!$C$2:$C$550,"P&amp;C",'Role data'!$D$2:$D$550,"Head of Technology",'Role data'!$E$2:$E$550,"overhead")</f>
        <v>364249.3</v>
      </c>
    </row>
    <row r="27" customFormat="false" ht="15" hidden="false" customHeight="false" outlineLevel="0" collapsed="false">
      <c r="B27" s="19" t="s">
        <v>799</v>
      </c>
      <c r="C27" s="9" t="s">
        <v>800</v>
      </c>
      <c r="D27" s="9" t="s">
        <v>801</v>
      </c>
      <c r="E27" s="9" t="s">
        <v>53</v>
      </c>
      <c r="F27" s="9" t="s">
        <v>53</v>
      </c>
      <c r="G27" s="9"/>
      <c r="H27" s="20" t="n">
        <v>364249.3</v>
      </c>
      <c r="I27" s="20" t="n">
        <v>364249.3</v>
      </c>
    </row>
    <row r="28" customFormat="false" ht="15" hidden="false" customHeight="false" outlineLevel="0" collapsed="false">
      <c r="B28" s="8" t="s">
        <v>203</v>
      </c>
      <c r="H28" s="18" t="n">
        <f aca="false">SUMIFS('Role data'!$M$2:$M$550,'Role data'!$C$2:$C$550,"P&amp;C",'Role data'!$D$2:$D$550,"Delivery Manager",'Role data'!$E$2:$E$550,"overhead")</f>
        <v>275810.25</v>
      </c>
      <c r="I28" s="18" t="n">
        <f aca="false">SUMIFS('Role data'!$N$2:$N$550,'Role data'!$C$2:$C$550,"P&amp;C",'Role data'!$D$2:$D$550,"Delivery Manager",'Role data'!$E$2:$E$550,"overhead")</f>
        <v>275810.25</v>
      </c>
    </row>
    <row r="29" customFormat="false" ht="15" hidden="false" customHeight="false" outlineLevel="0" collapsed="false">
      <c r="B29" s="19" t="s">
        <v>802</v>
      </c>
      <c r="C29" s="9" t="s">
        <v>69</v>
      </c>
      <c r="D29" s="9" t="s">
        <v>203</v>
      </c>
      <c r="E29" s="9" t="s">
        <v>69</v>
      </c>
      <c r="F29" s="9" t="s">
        <v>82</v>
      </c>
      <c r="G29" s="9"/>
      <c r="H29" s="20" t="n">
        <v>275810.25</v>
      </c>
      <c r="I29" s="20" t="n">
        <v>275810.25</v>
      </c>
    </row>
    <row r="30" customFormat="false" ht="15" hidden="false" customHeight="false" outlineLevel="0" collapsed="false">
      <c r="B30" s="8" t="s">
        <v>206</v>
      </c>
      <c r="H30" s="18" t="n">
        <f aca="false">SUMIFS('Role data'!$M$2:$M$550,'Role data'!$C$2:$C$550,"P&amp;C",'Role data'!$D$2:$D$550,"Technology Manager",'Role data'!$E$2:$E$550,"overhead")</f>
        <v>296365.6</v>
      </c>
      <c r="I30" s="18" t="n">
        <f aca="false">SUMIFS('Role data'!$N$2:$N$550,'Role data'!$C$2:$C$550,"P&amp;C",'Role data'!$D$2:$D$550,"Technology Manager",'Role data'!$E$2:$E$550,"overhead")</f>
        <v>296365.6</v>
      </c>
    </row>
    <row r="31" customFormat="false" ht="15" hidden="false" customHeight="false" outlineLevel="0" collapsed="false">
      <c r="B31" s="19" t="s">
        <v>803</v>
      </c>
      <c r="C31" s="9" t="s">
        <v>804</v>
      </c>
      <c r="D31" s="9" t="s">
        <v>805</v>
      </c>
      <c r="E31" s="9" t="s">
        <v>53</v>
      </c>
      <c r="F31" s="9" t="s">
        <v>53</v>
      </c>
      <c r="G31" s="9"/>
      <c r="H31" s="20" t="n">
        <v>296365.6</v>
      </c>
      <c r="I31" s="20" t="n">
        <v>296365.6</v>
      </c>
    </row>
    <row r="32" customFormat="false" ht="15" hidden="false" customHeight="false" outlineLevel="0" collapsed="false">
      <c r="B32" s="13" t="s">
        <v>38</v>
      </c>
      <c r="C32" s="21"/>
      <c r="D32" s="21"/>
      <c r="E32" s="21"/>
      <c r="F32" s="21"/>
      <c r="G32" s="21"/>
      <c r="H32" s="22" t="n">
        <f aca="false">SUMIFS('Role data'!$M$2:$M$550,'Role data'!$C$2:$C$550,"P&amp;C")</f>
        <v>3927496.23</v>
      </c>
      <c r="I32" s="22" t="n">
        <f aca="false">SUMIFS('Role data'!$N$2:$N$550,'Role data'!$C$2:$C$550,"P&amp;C")</f>
        <v>3362231.58</v>
      </c>
    </row>
  </sheetData>
  <sheetProtection sheet="true" password="c5c5"/>
  <mergeCells count="7">
    <mergeCell ref="C5:C6"/>
    <mergeCell ref="D5:D6"/>
    <mergeCell ref="E5:E6"/>
    <mergeCell ref="F5:F6"/>
    <mergeCell ref="G5:G6"/>
    <mergeCell ref="H5:H6"/>
    <mergeCell ref="I5:I6"/>
  </mergeCells>
  <conditionalFormatting sqref="F5">
    <cfRule type="cellIs" priority="2" operator="greaterThan" aboveAverage="0" equalAverage="0" bottom="0" percent="0" rank="0" text="" dxfId="0">
      <formula>0</formula>
    </cfRule>
  </conditionalFormatting>
  <conditionalFormatting sqref="H10:H17 H19:H23 H25 H27 H29 H31">
    <cfRule type="dataBar" priority="3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{466170DE-91A1-451F-BA27-23BE2C4EB0A2}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6170DE-91A1-451F-BA27-23BE2C4EB0A2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H10:H17 H19:H23 H25 H27 H29 H31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17.5"/>
    <col collapsed="false" customWidth="true" hidden="false" outlineLevel="0" max="4" min="4" style="0" width="37.5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22" min="20" style="0" width="13"/>
  </cols>
  <sheetData>
    <row r="2" customFormat="false" ht="17.35" hidden="false" customHeight="false" outlineLevel="0" collapsed="false">
      <c r="B2" s="1" t="s">
        <v>28</v>
      </c>
    </row>
    <row r="4" customFormat="false" ht="42" hidden="false" customHeight="true" outlineLevel="0" collapsed="false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Format="false" ht="19.5" hidden="false" customHeight="true" outlineLevel="0" collapsed="false">
      <c r="C5" s="16" t="n">
        <f aca="false">'TDD Dashboard'!$C$18</f>
        <v>3.021533848</v>
      </c>
      <c r="D5" s="16" t="n">
        <f aca="false">'TDD Dashboard'!$D$18</f>
        <v>2.15541804694545</v>
      </c>
      <c r="E5" s="16" t="n">
        <f aca="false">'TDD Dashboard'!$E$18</f>
        <v>2</v>
      </c>
      <c r="F5" s="16" t="n">
        <f aca="false">'TDD Dashboard'!$F$18</f>
        <v>0.155418046945455</v>
      </c>
      <c r="G5" s="17" t="n">
        <f aca="false">'TDD Dashboard'!$G$18</f>
        <v>0.71335227582248</v>
      </c>
      <c r="H5" s="16" t="n">
        <f aca="false">'TDD Dashboard'!$H$18</f>
        <v>0.24172845</v>
      </c>
      <c r="I5" s="16" t="n">
        <f aca="false">'TDD Dashboard'!$I$18</f>
        <v>0.624387351054546</v>
      </c>
    </row>
    <row r="6" customFormat="false" ht="19.5" hidden="false" customHeight="true" outlineLevel="0" collapsed="false">
      <c r="C6" s="16"/>
      <c r="D6" s="16"/>
      <c r="E6" s="16"/>
      <c r="F6" s="16"/>
      <c r="G6" s="16"/>
      <c r="H6" s="16"/>
      <c r="I6" s="16"/>
    </row>
    <row r="8" customFormat="false" ht="45" hidden="false" customHeight="true" outlineLevel="0" collapsed="false">
      <c r="B8" s="5" t="s">
        <v>39</v>
      </c>
      <c r="C8" s="5" t="s">
        <v>40</v>
      </c>
      <c r="D8" s="5" t="s">
        <v>41</v>
      </c>
      <c r="E8" s="5" t="s">
        <v>42</v>
      </c>
      <c r="F8" s="5" t="s">
        <v>43</v>
      </c>
      <c r="G8" s="5" t="s">
        <v>44</v>
      </c>
      <c r="H8" s="6" t="s">
        <v>45</v>
      </c>
      <c r="I8" s="6" t="s">
        <v>46</v>
      </c>
      <c r="T8" s="7" t="s">
        <v>47</v>
      </c>
      <c r="U8" s="7" t="s">
        <v>2</v>
      </c>
      <c r="V8" s="7" t="s">
        <v>7</v>
      </c>
    </row>
    <row r="9" customFormat="false" ht="15" hidden="false" customHeight="false" outlineLevel="0" collapsed="false">
      <c r="B9" s="8" t="s">
        <v>806</v>
      </c>
      <c r="H9" s="18" t="n">
        <f aca="false">SUMIFS('Role data'!$M$2:$M$550,'Role data'!$C$2:$C$550,"Finance",'Role data'!$D$2:$D$550,"NZ Finance",'Role data'!$E$2:$E$550,"squad")</f>
        <v>958560.1905</v>
      </c>
      <c r="I9" s="18" t="n">
        <f aca="false">SUMIFS('Role data'!$N$2:$N$550,'Role data'!$C$2:$C$550,"Finance",'Role data'!$D$2:$D$550,"NZ Finance",'Role data'!$E$2:$E$550,"squad")</f>
        <v>900637.878</v>
      </c>
      <c r="T9" s="9" t="s">
        <v>806</v>
      </c>
      <c r="U9" s="10" t="n">
        <f aca="false">SUMIFS('Role data'!$Q$2:$Q$550,'Role data'!$C$2:$C$550,"Finance",'Role data'!$D$2:$D$550,"NZ Finance",'Role data'!$E$2:$E$550,"squad")/1000000</f>
        <v>0.7205103024</v>
      </c>
      <c r="V9" s="10" t="n">
        <f aca="false">(SUMIFS('Role data'!$N$2:$N$550,'Role data'!$C$2:$C$550,"Finance",'Role data'!$D$2:$D$550,"NZ Finance",'Role data'!$E$2:$E$550,"squad")-SUMIFS('Role data'!$Q$2:$Q$550,'Role data'!$C$2:$C$550,"Finance",'Role data'!$D$2:$D$550,"NZ Finance",'Role data'!$E$2:$E$550,"squad"))/1000000</f>
        <v>0.1801275756</v>
      </c>
    </row>
    <row r="10" customFormat="false" ht="15" hidden="false" customHeight="false" outlineLevel="0" collapsed="false">
      <c r="B10" s="19" t="s">
        <v>807</v>
      </c>
      <c r="C10" s="9" t="s">
        <v>808</v>
      </c>
      <c r="D10" s="9" t="s">
        <v>809</v>
      </c>
      <c r="E10" s="9" t="s">
        <v>53</v>
      </c>
      <c r="F10" s="9" t="s">
        <v>53</v>
      </c>
      <c r="G10" s="9"/>
      <c r="H10" s="20" t="n">
        <v>184497.852</v>
      </c>
      <c r="I10" s="20" t="n">
        <v>184497.852</v>
      </c>
      <c r="T10" s="9" t="s">
        <v>810</v>
      </c>
      <c r="U10" s="10" t="n">
        <f aca="false">SUMIFS('Role data'!$Q$2:$Q$550,'Role data'!$C$2:$C$550,"Finance",'Role data'!$D$2:$D$550,"SAP ERP",'Role data'!$E$2:$E$550,"squad")/1000000</f>
        <v>0.311121414</v>
      </c>
      <c r="V10" s="10" t="n">
        <f aca="false">(SUMIFS('Role data'!$N$2:$N$550,'Role data'!$C$2:$C$550,"Finance",'Role data'!$D$2:$D$550,"SAP ERP",'Role data'!$E$2:$E$550,"squad")-SUMIFS('Role data'!$Q$2:$Q$550,'Role data'!$C$2:$C$550,"Finance",'Role data'!$D$2:$D$550,"SAP ERP",'Role data'!$E$2:$E$550,"squad"))/1000000</f>
        <v>1.244485656</v>
      </c>
    </row>
    <row r="11" customFormat="false" ht="15" hidden="false" customHeight="false" outlineLevel="0" collapsed="false">
      <c r="B11" s="19" t="s">
        <v>811</v>
      </c>
      <c r="C11" s="9" t="s">
        <v>812</v>
      </c>
      <c r="D11" s="9" t="s">
        <v>809</v>
      </c>
      <c r="E11" s="9" t="s">
        <v>53</v>
      </c>
      <c r="F11" s="9" t="s">
        <v>53</v>
      </c>
      <c r="G11" s="9"/>
      <c r="H11" s="20" t="n">
        <v>178930.38</v>
      </c>
      <c r="I11" s="20" t="n">
        <v>178930.38</v>
      </c>
    </row>
    <row r="12" customFormat="false" ht="15" hidden="false" customHeight="false" outlineLevel="0" collapsed="false">
      <c r="B12" s="19" t="s">
        <v>813</v>
      </c>
      <c r="C12" s="9" t="s">
        <v>814</v>
      </c>
      <c r="D12" s="9" t="s">
        <v>815</v>
      </c>
      <c r="E12" s="9" t="s">
        <v>53</v>
      </c>
      <c r="F12" s="9" t="s">
        <v>53</v>
      </c>
      <c r="G12" s="9"/>
      <c r="H12" s="20" t="n">
        <v>198099.684</v>
      </c>
      <c r="I12" s="20" t="n">
        <v>198099.684</v>
      </c>
    </row>
    <row r="13" customFormat="false" ht="15" hidden="false" customHeight="false" outlineLevel="0" collapsed="false">
      <c r="B13" s="19" t="s">
        <v>816</v>
      </c>
      <c r="C13" s="9" t="s">
        <v>69</v>
      </c>
      <c r="D13" s="9" t="s">
        <v>817</v>
      </c>
      <c r="E13" s="9" t="s">
        <v>69</v>
      </c>
      <c r="F13" s="9" t="s">
        <v>82</v>
      </c>
      <c r="G13" s="9"/>
      <c r="H13" s="20" t="n">
        <v>231689.25</v>
      </c>
      <c r="I13" s="20" t="n">
        <v>231689.25</v>
      </c>
    </row>
    <row r="14" customFormat="false" ht="15" hidden="false" customHeight="false" outlineLevel="0" collapsed="false">
      <c r="B14" s="19" t="s">
        <v>818</v>
      </c>
      <c r="C14" s="9" t="s">
        <v>819</v>
      </c>
      <c r="D14" s="9" t="s">
        <v>820</v>
      </c>
      <c r="E14" s="9" t="s">
        <v>53</v>
      </c>
      <c r="F14" s="9" t="s">
        <v>53</v>
      </c>
      <c r="G14" s="9"/>
      <c r="H14" s="20" t="n">
        <v>107420.712</v>
      </c>
      <c r="I14" s="20" t="n">
        <v>107420.712</v>
      </c>
    </row>
    <row r="15" customFormat="false" ht="15" hidden="false" customHeight="false" outlineLevel="0" collapsed="false">
      <c r="B15" s="19" t="s">
        <v>821</v>
      </c>
      <c r="C15" s="9" t="s">
        <v>822</v>
      </c>
      <c r="D15" s="9" t="s">
        <v>52</v>
      </c>
      <c r="E15" s="9" t="s">
        <v>69</v>
      </c>
      <c r="F15" s="9" t="s">
        <v>78</v>
      </c>
      <c r="G15" s="9"/>
      <c r="H15" s="20" t="n">
        <v>57922.3125</v>
      </c>
      <c r="I15" s="20" t="n">
        <v>0</v>
      </c>
    </row>
    <row r="16" customFormat="false" ht="15" hidden="false" customHeight="false" outlineLevel="0" collapsed="false">
      <c r="B16" s="8" t="s">
        <v>810</v>
      </c>
      <c r="H16" s="18" t="n">
        <f aca="false">SUMIFS('Role data'!$M$2:$M$550,'Role data'!$C$2:$C$550,"Finance",'Role data'!$D$2:$D$550,"SAP ERP",'Role data'!$E$2:$E$550,"squad")</f>
        <v>2018985.57</v>
      </c>
      <c r="I16" s="18" t="n">
        <f aca="false">SUMIFS('Role data'!$N$2:$N$550,'Role data'!$C$2:$C$550,"Finance",'Role data'!$D$2:$D$550,"SAP ERP",'Role data'!$E$2:$E$550,"squad")</f>
        <v>1555607.07</v>
      </c>
    </row>
    <row r="17" customFormat="false" ht="15" hidden="false" customHeight="false" outlineLevel="0" collapsed="false">
      <c r="B17" s="19" t="s">
        <v>823</v>
      </c>
      <c r="C17" s="9" t="s">
        <v>69</v>
      </c>
      <c r="D17" s="9" t="s">
        <v>824</v>
      </c>
      <c r="E17" s="9" t="s">
        <v>69</v>
      </c>
      <c r="F17" s="9" t="s">
        <v>82</v>
      </c>
      <c r="G17" s="9"/>
      <c r="H17" s="20" t="n">
        <v>231689.25</v>
      </c>
      <c r="I17" s="20" t="n">
        <v>231689.25</v>
      </c>
    </row>
    <row r="18" customFormat="false" ht="15" hidden="false" customHeight="false" outlineLevel="0" collapsed="false">
      <c r="B18" s="19" t="s">
        <v>825</v>
      </c>
      <c r="C18" s="9" t="s">
        <v>69</v>
      </c>
      <c r="D18" s="9" t="s">
        <v>824</v>
      </c>
      <c r="E18" s="9" t="s">
        <v>69</v>
      </c>
      <c r="F18" s="9" t="s">
        <v>82</v>
      </c>
      <c r="G18" s="9"/>
      <c r="H18" s="20" t="n">
        <v>231689.25</v>
      </c>
      <c r="I18" s="20" t="n">
        <v>231689.25</v>
      </c>
    </row>
    <row r="19" customFormat="false" ht="15" hidden="false" customHeight="false" outlineLevel="0" collapsed="false">
      <c r="B19" s="19" t="s">
        <v>826</v>
      </c>
      <c r="C19" s="9" t="s">
        <v>69</v>
      </c>
      <c r="D19" s="9" t="s">
        <v>824</v>
      </c>
      <c r="E19" s="9" t="s">
        <v>69</v>
      </c>
      <c r="F19" s="9" t="s">
        <v>78</v>
      </c>
      <c r="G19" s="9"/>
      <c r="H19" s="20" t="n">
        <v>231689.25</v>
      </c>
      <c r="I19" s="20" t="n">
        <v>0</v>
      </c>
    </row>
    <row r="20" customFormat="false" ht="15" hidden="false" customHeight="false" outlineLevel="0" collapsed="false">
      <c r="B20" s="19" t="s">
        <v>827</v>
      </c>
      <c r="C20" s="9" t="s">
        <v>828</v>
      </c>
      <c r="D20" s="9" t="s">
        <v>829</v>
      </c>
      <c r="E20" s="9" t="s">
        <v>53</v>
      </c>
      <c r="F20" s="9" t="s">
        <v>53</v>
      </c>
      <c r="G20" s="9"/>
      <c r="H20" s="20" t="n">
        <v>239899.5</v>
      </c>
      <c r="I20" s="20" t="n">
        <v>239899.5</v>
      </c>
    </row>
    <row r="21" customFormat="false" ht="15" hidden="false" customHeight="false" outlineLevel="0" collapsed="false">
      <c r="B21" s="19" t="s">
        <v>830</v>
      </c>
      <c r="C21" s="9" t="s">
        <v>831</v>
      </c>
      <c r="D21" s="9" t="s">
        <v>829</v>
      </c>
      <c r="E21" s="9" t="s">
        <v>53</v>
      </c>
      <c r="F21" s="9" t="s">
        <v>53</v>
      </c>
      <c r="G21" s="9"/>
      <c r="H21" s="20" t="n">
        <v>214093.95</v>
      </c>
      <c r="I21" s="20" t="n">
        <v>214093.95</v>
      </c>
    </row>
    <row r="22" customFormat="false" ht="15" hidden="false" customHeight="false" outlineLevel="0" collapsed="false">
      <c r="B22" s="19" t="s">
        <v>832</v>
      </c>
      <c r="C22" s="9" t="s">
        <v>69</v>
      </c>
      <c r="D22" s="9" t="s">
        <v>824</v>
      </c>
      <c r="E22" s="9" t="s">
        <v>69</v>
      </c>
      <c r="F22" s="9" t="s">
        <v>78</v>
      </c>
      <c r="G22" s="9"/>
      <c r="H22" s="20" t="n">
        <v>231689.25</v>
      </c>
      <c r="I22" s="20" t="n">
        <v>0</v>
      </c>
    </row>
    <row r="23" customFormat="false" ht="15" hidden="false" customHeight="false" outlineLevel="0" collapsed="false">
      <c r="B23" s="19" t="s">
        <v>833</v>
      </c>
      <c r="C23" s="9" t="s">
        <v>69</v>
      </c>
      <c r="D23" s="9" t="s">
        <v>834</v>
      </c>
      <c r="E23" s="9" t="s">
        <v>69</v>
      </c>
      <c r="F23" s="9" t="s">
        <v>82</v>
      </c>
      <c r="G23" s="9" t="s">
        <v>835</v>
      </c>
      <c r="H23" s="20" t="n">
        <v>231689.25</v>
      </c>
      <c r="I23" s="20" t="n">
        <v>231689.25</v>
      </c>
    </row>
    <row r="24" customFormat="false" ht="15" hidden="false" customHeight="false" outlineLevel="0" collapsed="false">
      <c r="B24" s="19" t="s">
        <v>836</v>
      </c>
      <c r="C24" s="9" t="s">
        <v>69</v>
      </c>
      <c r="D24" s="9" t="s">
        <v>837</v>
      </c>
      <c r="E24" s="9" t="s">
        <v>69</v>
      </c>
      <c r="F24" s="9" t="s">
        <v>82</v>
      </c>
      <c r="G24" s="9"/>
      <c r="H24" s="20" t="n">
        <v>231689.25</v>
      </c>
      <c r="I24" s="20" t="n">
        <v>231689.25</v>
      </c>
    </row>
    <row r="25" customFormat="false" ht="15" hidden="false" customHeight="false" outlineLevel="0" collapsed="false">
      <c r="B25" s="19" t="s">
        <v>838</v>
      </c>
      <c r="C25" s="9" t="s">
        <v>69</v>
      </c>
      <c r="D25" s="9" t="s">
        <v>839</v>
      </c>
      <c r="E25" s="9" t="s">
        <v>69</v>
      </c>
      <c r="F25" s="9" t="s">
        <v>82</v>
      </c>
      <c r="G25" s="9"/>
      <c r="H25" s="20" t="n">
        <v>174856.62</v>
      </c>
      <c r="I25" s="20" t="n">
        <v>174856.62</v>
      </c>
    </row>
    <row r="26" customFormat="false" ht="15" hidden="false" customHeight="false" outlineLevel="0" collapsed="false">
      <c r="B26" s="8" t="s">
        <v>840</v>
      </c>
      <c r="H26" s="18" t="n">
        <f aca="false">SUMIFS('Role data'!$M$2:$M$550,'Role data'!$C$2:$C$550,"Finance",'Role data'!$D$2:$D$550,"EGI Finance",'Role data'!$E$2:$E$550,"sig")</f>
        <v>241728.45</v>
      </c>
      <c r="I26" s="18" t="n">
        <f aca="false">SUMIFS('Role data'!$N$2:$N$550,'Role data'!$C$2:$C$550,"Finance",'Role data'!$D$2:$D$550,"EGI Finance",'Role data'!$E$2:$E$550,"sig")</f>
        <v>241728.45</v>
      </c>
    </row>
    <row r="27" customFormat="false" ht="15" hidden="false" customHeight="false" outlineLevel="0" collapsed="false">
      <c r="B27" s="19" t="s">
        <v>841</v>
      </c>
      <c r="C27" s="9" t="s">
        <v>842</v>
      </c>
      <c r="D27" s="9" t="s">
        <v>829</v>
      </c>
      <c r="E27" s="9" t="s">
        <v>53</v>
      </c>
      <c r="F27" s="9" t="s">
        <v>53</v>
      </c>
      <c r="G27" s="9"/>
      <c r="H27" s="20" t="n">
        <v>241728.45</v>
      </c>
      <c r="I27" s="20" t="n">
        <v>241728.45</v>
      </c>
    </row>
    <row r="28" customFormat="false" ht="15" hidden="false" customHeight="false" outlineLevel="0" collapsed="false">
      <c r="B28" s="8" t="s">
        <v>206</v>
      </c>
      <c r="H28" s="18" t="n">
        <f aca="false">SUMIFS('Role data'!$M$2:$M$550,'Role data'!$C$2:$C$550,"Finance",'Role data'!$D$2:$D$550,"Technology Manager",'Role data'!$E$2:$E$550,"overhead")</f>
        <v>323560.45</v>
      </c>
      <c r="I28" s="18" t="n">
        <f aca="false">SUMIFS('Role data'!$N$2:$N$550,'Role data'!$C$2:$C$550,"Finance",'Role data'!$D$2:$D$550,"Technology Manager",'Role data'!$E$2:$E$550,"overhead")</f>
        <v>323560.45</v>
      </c>
    </row>
    <row r="29" customFormat="false" ht="15" hidden="false" customHeight="false" outlineLevel="0" collapsed="false">
      <c r="B29" s="19" t="s">
        <v>843</v>
      </c>
      <c r="C29" s="9" t="s">
        <v>844</v>
      </c>
      <c r="D29" s="9" t="s">
        <v>845</v>
      </c>
      <c r="E29" s="9" t="s">
        <v>53</v>
      </c>
      <c r="F29" s="9" t="s">
        <v>53</v>
      </c>
      <c r="G29" s="9"/>
      <c r="H29" s="20" t="n">
        <v>323560.45</v>
      </c>
      <c r="I29" s="20" t="n">
        <v>323560.45</v>
      </c>
    </row>
    <row r="30" customFormat="false" ht="15" hidden="false" customHeight="false" outlineLevel="0" collapsed="false">
      <c r="B30" s="13" t="s">
        <v>38</v>
      </c>
      <c r="C30" s="21"/>
      <c r="D30" s="21"/>
      <c r="E30" s="21"/>
      <c r="F30" s="21"/>
      <c r="G30" s="21"/>
      <c r="H30" s="22" t="n">
        <f aca="false">SUMIFS('Role data'!$M$2:$M$550,'Role data'!$C$2:$C$550,"Finance")</f>
        <v>3542834.6605</v>
      </c>
      <c r="I30" s="22" t="n">
        <f aca="false">SUMIFS('Role data'!$N$2:$N$550,'Role data'!$C$2:$C$550,"Finance")</f>
        <v>3021533.848</v>
      </c>
    </row>
  </sheetData>
  <sheetProtection sheet="true" password="c5c5"/>
  <mergeCells count="7">
    <mergeCell ref="C5:C6"/>
    <mergeCell ref="D5:D6"/>
    <mergeCell ref="E5:E6"/>
    <mergeCell ref="F5:F6"/>
    <mergeCell ref="G5:G6"/>
    <mergeCell ref="H5:H6"/>
    <mergeCell ref="I5:I6"/>
  </mergeCells>
  <conditionalFormatting sqref="F5">
    <cfRule type="cellIs" priority="2" operator="greaterThan" aboveAverage="0" equalAverage="0" bottom="0" percent="0" rank="0" text="" dxfId="0">
      <formula>0</formula>
    </cfRule>
  </conditionalFormatting>
  <conditionalFormatting sqref="H10:H15 H17:H25 H27 H29">
    <cfRule type="dataBar" priority="3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{F35E3E3F-FAB2-4145-BC81-6BF14A2750E9}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5E3E3F-FAB2-4145-BC81-6BF14A2750E9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H10:H15 H17:H25 H27 H29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26.5"/>
    <col collapsed="false" customWidth="true" hidden="false" outlineLevel="0" max="4" min="4" style="0" width="4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22" min="20" style="0" width="13"/>
  </cols>
  <sheetData>
    <row r="2" customFormat="false" ht="17.35" hidden="false" customHeight="false" outlineLevel="0" collapsed="false">
      <c r="B2" s="1" t="s">
        <v>30</v>
      </c>
    </row>
    <row r="4" customFormat="false" ht="42" hidden="false" customHeight="true" outlineLevel="0" collapsed="false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Format="false" ht="19.5" hidden="false" customHeight="true" outlineLevel="0" collapsed="false">
      <c r="C5" s="16" t="n">
        <f aca="false">'TDD Dashboard'!$C$19</f>
        <v>8.11065089864348</v>
      </c>
      <c r="D5" s="16" t="n">
        <f aca="false">'TDD Dashboard'!$D$19</f>
        <v>5.58817021546719</v>
      </c>
      <c r="E5" s="16" t="n">
        <f aca="false">'TDD Dashboard'!$E$19</f>
        <v>5.5</v>
      </c>
      <c r="F5" s="16" t="n">
        <f aca="false">'TDD Dashboard'!$F$19</f>
        <v>0.0881702154671933</v>
      </c>
      <c r="G5" s="17" t="n">
        <f aca="false">'TDD Dashboard'!$G$19</f>
        <v>0.688991584683028</v>
      </c>
      <c r="H5" s="16" t="n">
        <f aca="false">'TDD Dashboard'!$H$19</f>
        <v>1.32454851</v>
      </c>
      <c r="I5" s="16" t="n">
        <f aca="false">'TDD Dashboard'!$I$19</f>
        <v>1.19793217317628</v>
      </c>
    </row>
    <row r="6" customFormat="false" ht="19.5" hidden="false" customHeight="true" outlineLevel="0" collapsed="false">
      <c r="C6" s="16"/>
      <c r="D6" s="16"/>
      <c r="E6" s="16"/>
      <c r="F6" s="16"/>
      <c r="G6" s="16"/>
      <c r="H6" s="16"/>
      <c r="I6" s="16"/>
    </row>
    <row r="8" customFormat="false" ht="45" hidden="false" customHeight="true" outlineLevel="0" collapsed="false">
      <c r="B8" s="5" t="s">
        <v>39</v>
      </c>
      <c r="C8" s="5" t="s">
        <v>40</v>
      </c>
      <c r="D8" s="5" t="s">
        <v>41</v>
      </c>
      <c r="E8" s="5" t="s">
        <v>42</v>
      </c>
      <c r="F8" s="5" t="s">
        <v>43</v>
      </c>
      <c r="G8" s="5" t="s">
        <v>44</v>
      </c>
      <c r="H8" s="6" t="s">
        <v>45</v>
      </c>
      <c r="I8" s="6" t="s">
        <v>46</v>
      </c>
      <c r="T8" s="7" t="s">
        <v>47</v>
      </c>
      <c r="U8" s="7" t="s">
        <v>2</v>
      </c>
      <c r="V8" s="7" t="s">
        <v>7</v>
      </c>
    </row>
    <row r="9" customFormat="false" ht="15" hidden="false" customHeight="false" outlineLevel="0" collapsed="false">
      <c r="B9" s="8" t="s">
        <v>846</v>
      </c>
      <c r="H9" s="18" t="n">
        <f aca="false">SUMIFS('Role data'!$M$2:$M$550,'Role data'!$C$2:$C$550,"TDD Group Functions",'Role data'!$D$2:$D$550,"Cloud, Network &amp; Infra Ops",'Role data'!$E$2:$E$550,"squad")</f>
        <v>2869730.3064</v>
      </c>
      <c r="I9" s="18" t="n">
        <f aca="false">SUMIFS('Role data'!$N$2:$N$550,'Role data'!$C$2:$C$550,"TDD Group Functions",'Role data'!$D$2:$D$550,"Cloud, Network &amp; Infra Ops",'Role data'!$E$2:$E$550,"squad")</f>
        <v>2412567.5664</v>
      </c>
      <c r="T9" s="9" t="s">
        <v>847</v>
      </c>
      <c r="U9" s="10" t="n">
        <f aca="false">SUMIFS('Role data'!$Q$2:$Q$550,'Role data'!$C$2:$C$550,"TDD Group Functions",'Role data'!$D$2:$D$550,"DevOps &amp; QE",'Role data'!$E$2:$E$550,"squad")/1000000</f>
        <v>0.5399610192</v>
      </c>
      <c r="V9" s="10" t="n">
        <f aca="false">(SUMIFS('Role data'!$N$2:$N$550,'Role data'!$C$2:$C$550,"TDD Group Functions",'Role data'!$D$2:$D$550,"DevOps &amp; QE",'Role data'!$E$2:$E$550,"squad")-SUMIFS('Role data'!$Q$2:$Q$550,'Role data'!$C$2:$C$550,"TDD Group Functions",'Role data'!$D$2:$D$550,"DevOps &amp; QE",'Role data'!$E$2:$E$550,"squad"))/1000000</f>
        <v>0</v>
      </c>
    </row>
    <row r="10" customFormat="false" ht="15" hidden="false" customHeight="false" outlineLevel="0" collapsed="false">
      <c r="B10" s="19" t="s">
        <v>848</v>
      </c>
      <c r="C10" s="9" t="s">
        <v>849</v>
      </c>
      <c r="D10" s="23" t="s">
        <v>850</v>
      </c>
      <c r="E10" s="9" t="s">
        <v>53</v>
      </c>
      <c r="F10" s="9" t="s">
        <v>53</v>
      </c>
      <c r="G10" s="9"/>
      <c r="H10" s="20" t="n">
        <v>194999.1</v>
      </c>
      <c r="I10" s="20" t="n">
        <v>194999.1</v>
      </c>
      <c r="T10" s="9" t="s">
        <v>851</v>
      </c>
      <c r="U10" s="10" t="n">
        <f aca="false">SUMIFS('Role data'!$Q$2:$Q$550,'Role data'!$C$2:$C$550,"TDD Group Functions",'Role data'!$D$2:$D$550,"Workplace &amp; Enterprise Tooling",'Role data'!$E$2:$E$550,"squad")/1000000</f>
        <v>0.914475972</v>
      </c>
      <c r="V10" s="10" t="n">
        <f aca="false">(SUMIFS('Role data'!$N$2:$N$550,'Role data'!$C$2:$C$550,"TDD Group Functions",'Role data'!$D$2:$D$550,"Workplace &amp; Enterprise Tooling",'Role data'!$E$2:$E$550,"squad")-SUMIFS('Role data'!$Q$2:$Q$550,'Role data'!$C$2:$C$550,"TDD Group Functions",'Role data'!$D$2:$D$550,"Workplace &amp; Enterprise Tooling",'Role data'!$E$2:$E$550,"squad"))/1000000</f>
        <v>0</v>
      </c>
    </row>
    <row r="11" customFormat="false" ht="15" hidden="false" customHeight="false" outlineLevel="0" collapsed="false">
      <c r="B11" s="19" t="s">
        <v>852</v>
      </c>
      <c r="C11" s="9" t="s">
        <v>853</v>
      </c>
      <c r="D11" s="23" t="s">
        <v>850</v>
      </c>
      <c r="E11" s="9" t="s">
        <v>53</v>
      </c>
      <c r="F11" s="9" t="s">
        <v>53</v>
      </c>
      <c r="G11" s="9"/>
      <c r="H11" s="20" t="n">
        <v>255332.1</v>
      </c>
      <c r="I11" s="20" t="n">
        <v>255332.1</v>
      </c>
      <c r="T11" s="9" t="s">
        <v>854</v>
      </c>
      <c r="U11" s="10" t="n">
        <f aca="false">SUMIFS('Role data'!$Q$2:$Q$550,'Role data'!$C$2:$C$550,"TDD Group Functions",'Role data'!$D$2:$D$550,"Integration &amp; Process Automation",'Role data'!$E$2:$E$550,"squad")/1000000</f>
        <v>0.791874270521739</v>
      </c>
      <c r="V11" s="10" t="n">
        <f aca="false">(SUMIFS('Role data'!$N$2:$N$550,'Role data'!$C$2:$C$550,"TDD Group Functions",'Role data'!$D$2:$D$550,"Integration &amp; Process Automation",'Role data'!$E$2:$E$550,"squad")-SUMIFS('Role data'!$Q$2:$Q$550,'Role data'!$C$2:$C$550,"TDD Group Functions",'Role data'!$D$2:$D$550,"Integration &amp; Process Automation",'Role data'!$E$2:$E$550,"squad"))/1000000</f>
        <v>0.791874270521739</v>
      </c>
    </row>
    <row r="12" customFormat="false" ht="15" hidden="false" customHeight="false" outlineLevel="0" collapsed="false">
      <c r="B12" s="19" t="s">
        <v>855</v>
      </c>
      <c r="C12" s="9" t="s">
        <v>856</v>
      </c>
      <c r="D12" s="23" t="s">
        <v>850</v>
      </c>
      <c r="E12" s="9" t="s">
        <v>53</v>
      </c>
      <c r="F12" s="9" t="s">
        <v>53</v>
      </c>
      <c r="G12" s="9"/>
      <c r="H12" s="20" t="n">
        <v>254531.1</v>
      </c>
      <c r="I12" s="20" t="n">
        <v>254531.1</v>
      </c>
      <c r="T12" s="9" t="s">
        <v>846</v>
      </c>
      <c r="U12" s="10" t="n">
        <f aca="false">SUMIFS('Role data'!$Q$2:$Q$550,'Role data'!$C$2:$C$550,"TDD Group Functions",'Role data'!$D$2:$D$550,"Cloud, Network &amp; Infra Ops",'Role data'!$E$2:$E$550,"squad")/1000000</f>
        <v>1.2062837832</v>
      </c>
      <c r="V12" s="10" t="n">
        <f aca="false">(SUMIFS('Role data'!$N$2:$N$550,'Role data'!$C$2:$C$550,"TDD Group Functions",'Role data'!$D$2:$D$550,"Cloud, Network &amp; Infra Ops",'Role data'!$E$2:$E$550,"squad")-SUMIFS('Role data'!$Q$2:$Q$550,'Role data'!$C$2:$C$550,"TDD Group Functions",'Role data'!$D$2:$D$550,"Cloud, Network &amp; Infra Ops",'Role data'!$E$2:$E$550,"squad"))/1000000</f>
        <v>1.2062837832</v>
      </c>
    </row>
    <row r="13" customFormat="false" ht="15" hidden="false" customHeight="false" outlineLevel="0" collapsed="false">
      <c r="B13" s="19" t="s">
        <v>857</v>
      </c>
      <c r="C13" s="9" t="s">
        <v>858</v>
      </c>
      <c r="D13" s="23" t="s">
        <v>859</v>
      </c>
      <c r="E13" s="9" t="s">
        <v>53</v>
      </c>
      <c r="F13" s="9" t="s">
        <v>53</v>
      </c>
      <c r="G13" s="9"/>
      <c r="H13" s="20" t="n">
        <v>249164.4</v>
      </c>
      <c r="I13" s="20" t="n">
        <v>249164.4</v>
      </c>
    </row>
    <row r="14" customFormat="false" ht="15" hidden="false" customHeight="false" outlineLevel="0" collapsed="false">
      <c r="B14" s="19" t="s">
        <v>860</v>
      </c>
      <c r="C14" s="9" t="s">
        <v>861</v>
      </c>
      <c r="D14" s="23" t="s">
        <v>862</v>
      </c>
      <c r="E14" s="9" t="s">
        <v>53</v>
      </c>
      <c r="F14" s="9" t="s">
        <v>53</v>
      </c>
      <c r="G14" s="9"/>
      <c r="H14" s="20" t="n">
        <v>246494.4</v>
      </c>
      <c r="I14" s="20" t="n">
        <v>246494.4</v>
      </c>
    </row>
    <row r="15" customFormat="false" ht="15" hidden="false" customHeight="false" outlineLevel="0" collapsed="false">
      <c r="B15" s="19" t="s">
        <v>863</v>
      </c>
      <c r="C15" s="9" t="s">
        <v>864</v>
      </c>
      <c r="D15" s="23" t="s">
        <v>865</v>
      </c>
      <c r="E15" s="9" t="s">
        <v>53</v>
      </c>
      <c r="F15" s="9" t="s">
        <v>53</v>
      </c>
      <c r="G15" s="9"/>
      <c r="H15" s="20" t="n">
        <v>259123.5</v>
      </c>
      <c r="I15" s="20" t="n">
        <v>259123.5</v>
      </c>
    </row>
    <row r="16" customFormat="false" ht="15" hidden="false" customHeight="false" outlineLevel="0" collapsed="false">
      <c r="B16" s="19" t="s">
        <v>866</v>
      </c>
      <c r="C16" s="9" t="s">
        <v>867</v>
      </c>
      <c r="D16" s="23" t="s">
        <v>865</v>
      </c>
      <c r="E16" s="9" t="s">
        <v>53</v>
      </c>
      <c r="F16" s="9" t="s">
        <v>53</v>
      </c>
      <c r="G16" s="9"/>
      <c r="H16" s="20" t="n">
        <v>243423.9</v>
      </c>
      <c r="I16" s="20" t="n">
        <v>243423.9</v>
      </c>
    </row>
    <row r="17" customFormat="false" ht="15" hidden="false" customHeight="false" outlineLevel="0" collapsed="false">
      <c r="B17" s="19" t="s">
        <v>868</v>
      </c>
      <c r="C17" s="9" t="s">
        <v>869</v>
      </c>
      <c r="D17" s="23" t="s">
        <v>870</v>
      </c>
      <c r="E17" s="9" t="s">
        <v>53</v>
      </c>
      <c r="F17" s="9" t="s">
        <v>71</v>
      </c>
      <c r="G17" s="9"/>
      <c r="H17" s="20" t="n">
        <v>206190.75</v>
      </c>
      <c r="I17" s="20" t="n">
        <v>82476.3</v>
      </c>
    </row>
    <row r="18" customFormat="false" ht="15" hidden="false" customHeight="false" outlineLevel="0" collapsed="false">
      <c r="B18" s="19" t="s">
        <v>871</v>
      </c>
      <c r="C18" s="9" t="s">
        <v>872</v>
      </c>
      <c r="D18" s="23" t="s">
        <v>873</v>
      </c>
      <c r="E18" s="9" t="s">
        <v>53</v>
      </c>
      <c r="F18" s="9" t="s">
        <v>71</v>
      </c>
      <c r="G18" s="9"/>
      <c r="H18" s="20" t="n">
        <v>217658.4</v>
      </c>
      <c r="I18" s="20" t="n">
        <v>87063.36</v>
      </c>
    </row>
    <row r="19" customFormat="false" ht="15" hidden="false" customHeight="false" outlineLevel="0" collapsed="false">
      <c r="B19" s="19" t="s">
        <v>874</v>
      </c>
      <c r="C19" s="9" t="s">
        <v>69</v>
      </c>
      <c r="D19" s="23" t="s">
        <v>875</v>
      </c>
      <c r="E19" s="9" t="s">
        <v>69</v>
      </c>
      <c r="F19" s="9" t="s">
        <v>82</v>
      </c>
      <c r="G19" s="9"/>
      <c r="H19" s="20" t="n">
        <v>202853.25</v>
      </c>
      <c r="I19" s="20" t="n">
        <v>202853.25</v>
      </c>
    </row>
    <row r="20" customFormat="false" ht="15" hidden="false" customHeight="false" outlineLevel="0" collapsed="false">
      <c r="B20" s="19" t="s">
        <v>876</v>
      </c>
      <c r="C20" s="9" t="s">
        <v>822</v>
      </c>
      <c r="D20" s="23" t="s">
        <v>877</v>
      </c>
      <c r="E20" s="9" t="s">
        <v>69</v>
      </c>
      <c r="F20" s="9" t="s">
        <v>78</v>
      </c>
      <c r="G20" s="9"/>
      <c r="H20" s="20" t="n">
        <v>202853.25</v>
      </c>
      <c r="I20" s="20" t="n">
        <v>0</v>
      </c>
    </row>
    <row r="21" customFormat="false" ht="15" hidden="false" customHeight="false" outlineLevel="0" collapsed="false">
      <c r="B21" s="19" t="s">
        <v>878</v>
      </c>
      <c r="C21" s="9" t="s">
        <v>879</v>
      </c>
      <c r="D21" s="23" t="s">
        <v>850</v>
      </c>
      <c r="E21" s="9" t="s">
        <v>53</v>
      </c>
      <c r="F21" s="9" t="s">
        <v>53</v>
      </c>
      <c r="G21" s="9"/>
      <c r="H21" s="20" t="n">
        <v>203293.8</v>
      </c>
      <c r="I21" s="20" t="n">
        <v>203293.8</v>
      </c>
    </row>
    <row r="22" customFormat="false" ht="15" hidden="false" customHeight="false" outlineLevel="0" collapsed="false">
      <c r="B22" s="19" t="s">
        <v>880</v>
      </c>
      <c r="C22" s="9" t="s">
        <v>881</v>
      </c>
      <c r="D22" s="23" t="s">
        <v>882</v>
      </c>
      <c r="E22" s="9" t="s">
        <v>53</v>
      </c>
      <c r="F22" s="9" t="s">
        <v>53</v>
      </c>
      <c r="G22" s="9"/>
      <c r="H22" s="20" t="n">
        <v>133812.3564</v>
      </c>
      <c r="I22" s="20" t="n">
        <v>133812.3564</v>
      </c>
    </row>
    <row r="23" customFormat="false" ht="15" hidden="false" customHeight="false" outlineLevel="0" collapsed="false">
      <c r="B23" s="8" t="s">
        <v>847</v>
      </c>
      <c r="H23" s="18" t="n">
        <f aca="false">SUMIFS('Role data'!$M$2:$M$550,'Role data'!$C$2:$C$550,"TDD Group Functions",'Role data'!$D$2:$D$550,"DevOps &amp; QE",'Role data'!$E$2:$E$550,"squad")</f>
        <v>1349902.548</v>
      </c>
      <c r="I23" s="18" t="n">
        <f aca="false">SUMIFS('Role data'!$N$2:$N$550,'Role data'!$C$2:$C$550,"TDD Group Functions",'Role data'!$D$2:$D$550,"DevOps &amp; QE",'Role data'!$E$2:$E$550,"squad")</f>
        <v>539961.0192</v>
      </c>
    </row>
    <row r="24" customFormat="false" ht="15" hidden="false" customHeight="false" outlineLevel="0" collapsed="false">
      <c r="B24" s="19" t="s">
        <v>883</v>
      </c>
      <c r="C24" s="9" t="s">
        <v>884</v>
      </c>
      <c r="D24" s="23" t="s">
        <v>885</v>
      </c>
      <c r="E24" s="9" t="s">
        <v>53</v>
      </c>
      <c r="F24" s="9" t="s">
        <v>71</v>
      </c>
      <c r="G24" s="9"/>
      <c r="H24" s="20" t="n">
        <v>183060.72</v>
      </c>
      <c r="I24" s="20" t="n">
        <v>73224.288</v>
      </c>
    </row>
    <row r="25" customFormat="false" ht="15" hidden="false" customHeight="false" outlineLevel="0" collapsed="false">
      <c r="B25" s="19" t="s">
        <v>886</v>
      </c>
      <c r="C25" s="9" t="s">
        <v>887</v>
      </c>
      <c r="D25" s="23" t="s">
        <v>888</v>
      </c>
      <c r="E25" s="9" t="s">
        <v>53</v>
      </c>
      <c r="F25" s="9" t="s">
        <v>71</v>
      </c>
      <c r="G25" s="9"/>
      <c r="H25" s="20" t="n">
        <v>200940</v>
      </c>
      <c r="I25" s="20" t="n">
        <v>80376</v>
      </c>
    </row>
    <row r="26" customFormat="false" ht="15" hidden="false" customHeight="false" outlineLevel="0" collapsed="false">
      <c r="B26" s="19" t="s">
        <v>889</v>
      </c>
      <c r="C26" s="9" t="s">
        <v>69</v>
      </c>
      <c r="D26" s="23" t="s">
        <v>890</v>
      </c>
      <c r="E26" s="9" t="s">
        <v>69</v>
      </c>
      <c r="F26" s="9" t="s">
        <v>71</v>
      </c>
      <c r="G26" s="9"/>
      <c r="H26" s="20" t="n">
        <v>231689.25</v>
      </c>
      <c r="I26" s="20" t="n">
        <v>92675.7</v>
      </c>
    </row>
    <row r="27" customFormat="false" ht="15" hidden="false" customHeight="false" outlineLevel="0" collapsed="false">
      <c r="B27" s="19" t="s">
        <v>891</v>
      </c>
      <c r="C27" s="9" t="s">
        <v>822</v>
      </c>
      <c r="D27" s="23" t="s">
        <v>892</v>
      </c>
      <c r="E27" s="9" t="s">
        <v>69</v>
      </c>
      <c r="F27" s="9" t="s">
        <v>71</v>
      </c>
      <c r="G27" s="9"/>
      <c r="H27" s="20" t="n">
        <v>202853.25</v>
      </c>
      <c r="I27" s="20" t="n">
        <v>81141.3</v>
      </c>
    </row>
    <row r="28" customFormat="false" ht="15" hidden="false" customHeight="false" outlineLevel="0" collapsed="false">
      <c r="B28" s="19" t="s">
        <v>893</v>
      </c>
      <c r="C28" s="9" t="s">
        <v>894</v>
      </c>
      <c r="D28" s="23" t="s">
        <v>895</v>
      </c>
      <c r="E28" s="9" t="s">
        <v>53</v>
      </c>
      <c r="F28" s="9" t="s">
        <v>71</v>
      </c>
      <c r="G28" s="9"/>
      <c r="H28" s="20" t="n">
        <v>194522.85</v>
      </c>
      <c r="I28" s="20" t="n">
        <v>77809.14</v>
      </c>
    </row>
    <row r="29" customFormat="false" ht="15" hidden="false" customHeight="false" outlineLevel="0" collapsed="false">
      <c r="B29" s="19" t="s">
        <v>896</v>
      </c>
      <c r="C29" s="9" t="s">
        <v>69</v>
      </c>
      <c r="D29" s="23" t="s">
        <v>895</v>
      </c>
      <c r="E29" s="9" t="s">
        <v>69</v>
      </c>
      <c r="F29" s="9" t="s">
        <v>71</v>
      </c>
      <c r="G29" s="9"/>
      <c r="H29" s="20" t="n">
        <v>202853.25</v>
      </c>
      <c r="I29" s="20" t="n">
        <v>81141.3</v>
      </c>
    </row>
    <row r="30" customFormat="false" ht="15" hidden="false" customHeight="false" outlineLevel="0" collapsed="false">
      <c r="B30" s="19" t="s">
        <v>897</v>
      </c>
      <c r="C30" s="9" t="s">
        <v>898</v>
      </c>
      <c r="D30" s="23" t="s">
        <v>80</v>
      </c>
      <c r="E30" s="9" t="s">
        <v>53</v>
      </c>
      <c r="F30" s="9" t="s">
        <v>71</v>
      </c>
      <c r="G30" s="9"/>
      <c r="H30" s="20" t="n">
        <v>133983.228</v>
      </c>
      <c r="I30" s="20" t="n">
        <v>53593.2912</v>
      </c>
    </row>
    <row r="31" customFormat="false" ht="15" hidden="false" customHeight="false" outlineLevel="0" collapsed="false">
      <c r="B31" s="8" t="s">
        <v>854</v>
      </c>
      <c r="H31" s="18" t="n">
        <f aca="false">SUMIFS('Role data'!$M$2:$M$550,'Role data'!$C$2:$C$550,"TDD Group Functions",'Role data'!$D$2:$D$550,"Integration &amp; Process Automation",'Role data'!$E$2:$E$550,"squad")</f>
        <v>1981237.90904348</v>
      </c>
      <c r="I31" s="18" t="n">
        <f aca="false">SUMIFS('Role data'!$N$2:$N$550,'Role data'!$C$2:$C$550,"TDD Group Functions",'Role data'!$D$2:$D$550,"Integration &amp; Process Automation",'Role data'!$E$2:$E$550,"squad")</f>
        <v>1583748.54104348</v>
      </c>
    </row>
    <row r="32" customFormat="false" ht="15" hidden="false" customHeight="false" outlineLevel="0" collapsed="false">
      <c r="B32" s="19" t="s">
        <v>899</v>
      </c>
      <c r="C32" s="9" t="s">
        <v>900</v>
      </c>
      <c r="D32" s="23" t="s">
        <v>901</v>
      </c>
      <c r="E32" s="9" t="s">
        <v>53</v>
      </c>
      <c r="F32" s="9" t="s">
        <v>53</v>
      </c>
      <c r="G32" s="9"/>
      <c r="H32" s="20" t="n">
        <v>271902.12</v>
      </c>
      <c r="I32" s="20" t="n">
        <v>271902.12</v>
      </c>
    </row>
    <row r="33" customFormat="false" ht="15" hidden="false" customHeight="false" outlineLevel="0" collapsed="false">
      <c r="B33" s="19" t="s">
        <v>902</v>
      </c>
      <c r="C33" s="9" t="s">
        <v>903</v>
      </c>
      <c r="D33" s="23" t="s">
        <v>591</v>
      </c>
      <c r="E33" s="9" t="s">
        <v>53</v>
      </c>
      <c r="F33" s="9" t="s">
        <v>53</v>
      </c>
      <c r="G33" s="9"/>
      <c r="H33" s="20" t="n">
        <v>178115.628</v>
      </c>
      <c r="I33" s="20" t="n">
        <v>178115.628</v>
      </c>
    </row>
    <row r="34" customFormat="false" ht="15" hidden="false" customHeight="false" outlineLevel="0" collapsed="false">
      <c r="B34" s="19" t="s">
        <v>904</v>
      </c>
      <c r="C34" s="9" t="s">
        <v>905</v>
      </c>
      <c r="D34" s="23" t="s">
        <v>52</v>
      </c>
      <c r="E34" s="9" t="s">
        <v>53</v>
      </c>
      <c r="F34" s="9" t="s">
        <v>53</v>
      </c>
      <c r="G34" s="9"/>
      <c r="H34" s="20" t="n">
        <v>216227.916</v>
      </c>
      <c r="I34" s="20" t="n">
        <v>216227.916</v>
      </c>
    </row>
    <row r="35" customFormat="false" ht="15" hidden="false" customHeight="false" outlineLevel="0" collapsed="false">
      <c r="B35" s="19" t="s">
        <v>906</v>
      </c>
      <c r="C35" s="9" t="s">
        <v>69</v>
      </c>
      <c r="D35" s="23" t="s">
        <v>907</v>
      </c>
      <c r="E35" s="9" t="s">
        <v>69</v>
      </c>
      <c r="F35" s="9" t="s">
        <v>82</v>
      </c>
      <c r="G35" s="9"/>
      <c r="H35" s="20" t="n">
        <v>231689.25</v>
      </c>
      <c r="I35" s="20" t="n">
        <v>231689.25</v>
      </c>
    </row>
    <row r="36" customFormat="false" ht="15" hidden="false" customHeight="false" outlineLevel="0" collapsed="false">
      <c r="B36" s="19" t="s">
        <v>908</v>
      </c>
      <c r="C36" s="9" t="s">
        <v>909</v>
      </c>
      <c r="D36" s="23" t="s">
        <v>910</v>
      </c>
      <c r="E36" s="9" t="s">
        <v>53</v>
      </c>
      <c r="F36" s="9" t="s">
        <v>53</v>
      </c>
      <c r="G36" s="9"/>
      <c r="H36" s="20" t="n">
        <v>202320.552</v>
      </c>
      <c r="I36" s="20" t="n">
        <v>202320.552</v>
      </c>
    </row>
    <row r="37" customFormat="false" ht="15" hidden="false" customHeight="false" outlineLevel="0" collapsed="false">
      <c r="B37" s="19" t="s">
        <v>911</v>
      </c>
      <c r="C37" s="9" t="s">
        <v>912</v>
      </c>
      <c r="D37" s="23" t="s">
        <v>913</v>
      </c>
      <c r="E37" s="9" t="s">
        <v>53</v>
      </c>
      <c r="F37" s="9" t="s">
        <v>53</v>
      </c>
      <c r="G37" s="9"/>
      <c r="H37" s="20" t="n">
        <v>186900</v>
      </c>
      <c r="I37" s="20" t="n">
        <v>186900</v>
      </c>
    </row>
    <row r="38" customFormat="false" ht="15" hidden="false" customHeight="false" outlineLevel="0" collapsed="false">
      <c r="B38" s="19" t="s">
        <v>914</v>
      </c>
      <c r="C38" s="9" t="s">
        <v>69</v>
      </c>
      <c r="D38" s="23" t="s">
        <v>915</v>
      </c>
      <c r="E38" s="9" t="s">
        <v>69</v>
      </c>
      <c r="F38" s="9" t="s">
        <v>78</v>
      </c>
      <c r="G38" s="9"/>
      <c r="H38" s="20" t="n">
        <v>201585</v>
      </c>
      <c r="I38" s="20" t="n">
        <v>0</v>
      </c>
    </row>
    <row r="39" customFormat="false" ht="15" hidden="false" customHeight="false" outlineLevel="0" collapsed="false">
      <c r="B39" s="19" t="s">
        <v>916</v>
      </c>
      <c r="C39" s="9" t="s">
        <v>917</v>
      </c>
      <c r="D39" s="23" t="s">
        <v>918</v>
      </c>
      <c r="E39" s="9" t="s">
        <v>53</v>
      </c>
      <c r="F39" s="9" t="s">
        <v>71</v>
      </c>
      <c r="G39" s="9"/>
      <c r="H39" s="20" t="n">
        <v>186900</v>
      </c>
      <c r="I39" s="20" t="n">
        <v>74760</v>
      </c>
    </row>
    <row r="40" customFormat="false" ht="15" hidden="false" customHeight="false" outlineLevel="0" collapsed="false">
      <c r="B40" s="19" t="s">
        <v>919</v>
      </c>
      <c r="C40" s="9" t="s">
        <v>920</v>
      </c>
      <c r="D40" s="23" t="s">
        <v>918</v>
      </c>
      <c r="E40" s="9" t="s">
        <v>53</v>
      </c>
      <c r="F40" s="9" t="s">
        <v>71</v>
      </c>
      <c r="G40" s="9"/>
      <c r="H40" s="20" t="n">
        <v>139607.28</v>
      </c>
      <c r="I40" s="20" t="n">
        <v>55842.912</v>
      </c>
    </row>
    <row r="41" customFormat="false" ht="15" hidden="false" customHeight="false" outlineLevel="0" collapsed="false">
      <c r="B41" s="19" t="s">
        <v>921</v>
      </c>
      <c r="C41" s="9" t="s">
        <v>922</v>
      </c>
      <c r="D41" s="23" t="s">
        <v>913</v>
      </c>
      <c r="E41" s="9" t="s">
        <v>53</v>
      </c>
      <c r="F41" s="9" t="s">
        <v>53</v>
      </c>
      <c r="G41" s="9"/>
      <c r="H41" s="20" t="n">
        <v>165990.163043478</v>
      </c>
      <c r="I41" s="20" t="n">
        <v>165990.163043478</v>
      </c>
    </row>
    <row r="42" customFormat="false" ht="15" hidden="false" customHeight="false" outlineLevel="0" collapsed="false">
      <c r="B42" s="8" t="s">
        <v>851</v>
      </c>
      <c r="H42" s="18" t="n">
        <f aca="false">SUMIFS('Role data'!$M$2:$M$550,'Role data'!$C$2:$C$550,"TDD Group Functions",'Role data'!$D$2:$D$550,"Workplace &amp; Enterprise Tooling",'Role data'!$E$2:$E$550,"squad")</f>
        <v>1117329.222</v>
      </c>
      <c r="I42" s="18" t="n">
        <f aca="false">SUMIFS('Role data'!$N$2:$N$550,'Role data'!$C$2:$C$550,"TDD Group Functions",'Role data'!$D$2:$D$550,"Workplace &amp; Enterprise Tooling",'Role data'!$E$2:$E$550,"squad")</f>
        <v>914475.972</v>
      </c>
    </row>
    <row r="43" customFormat="false" ht="15" hidden="false" customHeight="false" outlineLevel="0" collapsed="false">
      <c r="B43" s="19" t="s">
        <v>923</v>
      </c>
      <c r="C43" s="9" t="s">
        <v>924</v>
      </c>
      <c r="D43" s="23" t="s">
        <v>925</v>
      </c>
      <c r="E43" s="9" t="s">
        <v>53</v>
      </c>
      <c r="F43" s="9" t="s">
        <v>53</v>
      </c>
      <c r="G43" s="9"/>
      <c r="H43" s="20" t="n">
        <v>220875.75</v>
      </c>
      <c r="I43" s="20" t="n">
        <v>220875.75</v>
      </c>
    </row>
    <row r="44" customFormat="false" ht="15" hidden="false" customHeight="false" outlineLevel="0" collapsed="false">
      <c r="B44" s="19" t="s">
        <v>926</v>
      </c>
      <c r="C44" s="9" t="s">
        <v>927</v>
      </c>
      <c r="D44" s="23" t="s">
        <v>928</v>
      </c>
      <c r="E44" s="9" t="s">
        <v>53</v>
      </c>
      <c r="F44" s="9" t="s">
        <v>53</v>
      </c>
      <c r="G44" s="9"/>
      <c r="H44" s="20" t="n">
        <v>212438.55</v>
      </c>
      <c r="I44" s="20" t="n">
        <v>212438.55</v>
      </c>
    </row>
    <row r="45" customFormat="false" ht="15" hidden="false" customHeight="false" outlineLevel="0" collapsed="false">
      <c r="B45" s="19" t="s">
        <v>929</v>
      </c>
      <c r="C45" s="9" t="s">
        <v>69</v>
      </c>
      <c r="D45" s="23" t="s">
        <v>930</v>
      </c>
      <c r="E45" s="9" t="s">
        <v>69</v>
      </c>
      <c r="F45" s="9" t="s">
        <v>78</v>
      </c>
      <c r="G45" s="9"/>
      <c r="H45" s="20" t="n">
        <v>202853.25</v>
      </c>
      <c r="I45" s="20" t="n">
        <v>0</v>
      </c>
    </row>
    <row r="46" customFormat="false" ht="15" hidden="false" customHeight="false" outlineLevel="0" collapsed="false">
      <c r="B46" s="19" t="s">
        <v>931</v>
      </c>
      <c r="C46" s="9" t="s">
        <v>69</v>
      </c>
      <c r="D46" s="23" t="s">
        <v>932</v>
      </c>
      <c r="E46" s="9" t="s">
        <v>69</v>
      </c>
      <c r="F46" s="9" t="s">
        <v>53</v>
      </c>
      <c r="G46" s="9"/>
      <c r="H46" s="20" t="n">
        <v>201585</v>
      </c>
      <c r="I46" s="20" t="n">
        <v>201585</v>
      </c>
    </row>
    <row r="47" customFormat="false" ht="15" hidden="false" customHeight="false" outlineLevel="0" collapsed="false">
      <c r="B47" s="19" t="s">
        <v>933</v>
      </c>
      <c r="C47" s="9" t="s">
        <v>934</v>
      </c>
      <c r="D47" s="23" t="s">
        <v>935</v>
      </c>
      <c r="E47" s="9" t="s">
        <v>53</v>
      </c>
      <c r="F47" s="9" t="s">
        <v>53</v>
      </c>
      <c r="G47" s="9"/>
      <c r="H47" s="20" t="n">
        <v>135906.948</v>
      </c>
      <c r="I47" s="20" t="n">
        <v>135906.948</v>
      </c>
    </row>
    <row r="48" customFormat="false" ht="15" hidden="false" customHeight="false" outlineLevel="0" collapsed="false">
      <c r="B48" s="19" t="s">
        <v>936</v>
      </c>
      <c r="C48" s="9" t="s">
        <v>937</v>
      </c>
      <c r="D48" s="23" t="s">
        <v>935</v>
      </c>
      <c r="E48" s="9" t="s">
        <v>53</v>
      </c>
      <c r="F48" s="9" t="s">
        <v>53</v>
      </c>
      <c r="G48" s="9"/>
      <c r="H48" s="20" t="n">
        <v>143669.724</v>
      </c>
      <c r="I48" s="20" t="n">
        <v>143669.724</v>
      </c>
    </row>
    <row r="49" customFormat="false" ht="15" hidden="false" customHeight="false" outlineLevel="0" collapsed="false">
      <c r="B49" s="8" t="s">
        <v>938</v>
      </c>
      <c r="H49" s="18" t="n">
        <f aca="false">SUMIFS('Role data'!$M$2:$M$550,'Role data'!$C$2:$C$550,"TDD Group Functions",'Role data'!$D$2:$D$550,"EGI TDD",'Role data'!$E$2:$E$550,"sig")</f>
        <v>1324548.51</v>
      </c>
      <c r="I49" s="18" t="n">
        <f aca="false">SUMIFS('Role data'!$N$2:$N$550,'Role data'!$C$2:$C$550,"TDD Group Functions",'Role data'!$D$2:$D$550,"EGI TDD",'Role data'!$E$2:$E$550,"sig")</f>
        <v>1324548.51</v>
      </c>
    </row>
    <row r="50" customFormat="false" ht="15" hidden="false" customHeight="false" outlineLevel="0" collapsed="false">
      <c r="B50" s="19" t="s">
        <v>939</v>
      </c>
      <c r="C50" s="9" t="s">
        <v>940</v>
      </c>
      <c r="D50" s="23" t="s">
        <v>941</v>
      </c>
      <c r="E50" s="9" t="s">
        <v>53</v>
      </c>
      <c r="F50" s="9" t="s">
        <v>53</v>
      </c>
      <c r="G50" s="9"/>
      <c r="H50" s="20" t="n">
        <v>299700</v>
      </c>
      <c r="I50" s="20" t="n">
        <v>299700</v>
      </c>
    </row>
    <row r="51" customFormat="false" ht="15" hidden="false" customHeight="false" outlineLevel="0" collapsed="false">
      <c r="B51" s="19" t="s">
        <v>942</v>
      </c>
      <c r="C51" s="9" t="s">
        <v>943</v>
      </c>
      <c r="D51" s="23" t="s">
        <v>944</v>
      </c>
      <c r="E51" s="9" t="s">
        <v>53</v>
      </c>
      <c r="F51" s="9" t="s">
        <v>53</v>
      </c>
      <c r="G51" s="9"/>
      <c r="H51" s="20" t="n">
        <v>348096</v>
      </c>
      <c r="I51" s="20" t="n">
        <v>348096</v>
      </c>
    </row>
    <row r="52" customFormat="false" ht="15" hidden="false" customHeight="false" outlineLevel="0" collapsed="false">
      <c r="B52" s="19" t="s">
        <v>945</v>
      </c>
      <c r="C52" s="9" t="s">
        <v>946</v>
      </c>
      <c r="D52" s="23" t="s">
        <v>947</v>
      </c>
      <c r="E52" s="9" t="s">
        <v>53</v>
      </c>
      <c r="F52" s="9" t="s">
        <v>53</v>
      </c>
      <c r="G52" s="9"/>
      <c r="H52" s="20" t="n">
        <v>266400</v>
      </c>
      <c r="I52" s="20" t="n">
        <v>266400</v>
      </c>
    </row>
    <row r="53" customFormat="false" ht="15" hidden="false" customHeight="false" outlineLevel="0" collapsed="false">
      <c r="B53" s="19" t="s">
        <v>948</v>
      </c>
      <c r="C53" s="9" t="s">
        <v>949</v>
      </c>
      <c r="D53" s="23" t="s">
        <v>950</v>
      </c>
      <c r="E53" s="9" t="s">
        <v>53</v>
      </c>
      <c r="F53" s="9" t="s">
        <v>53</v>
      </c>
      <c r="G53" s="9"/>
      <c r="H53" s="20" t="n">
        <v>199355.76</v>
      </c>
      <c r="I53" s="20" t="n">
        <v>199355.76</v>
      </c>
    </row>
    <row r="54" customFormat="false" ht="15" hidden="false" customHeight="false" outlineLevel="0" collapsed="false">
      <c r="B54" s="19" t="s">
        <v>951</v>
      </c>
      <c r="C54" s="9" t="s">
        <v>952</v>
      </c>
      <c r="D54" s="23" t="s">
        <v>953</v>
      </c>
      <c r="E54" s="9" t="s">
        <v>53</v>
      </c>
      <c r="F54" s="9" t="s">
        <v>53</v>
      </c>
      <c r="G54" s="9"/>
      <c r="H54" s="20" t="n">
        <v>210996.75</v>
      </c>
      <c r="I54" s="20" t="n">
        <v>210996.75</v>
      </c>
    </row>
    <row r="55" customFormat="false" ht="15" hidden="false" customHeight="false" outlineLevel="0" collapsed="false">
      <c r="B55" s="8" t="s">
        <v>810</v>
      </c>
      <c r="H55" s="18" t="n">
        <f aca="false">SUMIFS('Role data'!$M$2:$M$550,'Role data'!$C$2:$C$550,"TDD Group Functions",'Role data'!$D$2:$D$550,"SAP ERP",'Role data'!$E$2:$E$550,"sig")</f>
        <v>355200</v>
      </c>
      <c r="I55" s="18" t="n">
        <f aca="false">SUMIFS('Role data'!$N$2:$N$550,'Role data'!$C$2:$C$550,"TDD Group Functions",'Role data'!$D$2:$D$550,"SAP ERP",'Role data'!$E$2:$E$550,"sig")</f>
        <v>0</v>
      </c>
    </row>
    <row r="56" customFormat="false" ht="15" hidden="false" customHeight="false" outlineLevel="0" collapsed="false">
      <c r="B56" s="19" t="s">
        <v>954</v>
      </c>
      <c r="C56" s="9" t="s">
        <v>955</v>
      </c>
      <c r="D56" s="23" t="s">
        <v>956</v>
      </c>
      <c r="E56" s="9" t="s">
        <v>53</v>
      </c>
      <c r="F56" s="9" t="s">
        <v>78</v>
      </c>
      <c r="G56" s="9"/>
      <c r="H56" s="20" t="n">
        <v>355200</v>
      </c>
      <c r="I56" s="20" t="n">
        <v>0</v>
      </c>
    </row>
    <row r="57" customFormat="false" ht="15" hidden="false" customHeight="false" outlineLevel="0" collapsed="false">
      <c r="B57" s="8" t="s">
        <v>199</v>
      </c>
      <c r="H57" s="18" t="n">
        <f aca="false">SUMIFS('Role data'!$M$2:$M$550,'Role data'!$C$2:$C$550,"TDD Group Functions",'Role data'!$D$2:$D$550,"Head of Technology",'Role data'!$E$2:$E$550,"overhead")</f>
        <v>333020.25</v>
      </c>
      <c r="I57" s="18" t="n">
        <f aca="false">SUMIFS('Role data'!$N$2:$N$550,'Role data'!$C$2:$C$550,"TDD Group Functions",'Role data'!$D$2:$D$550,"Head of Technology",'Role data'!$E$2:$E$550,"overhead")</f>
        <v>333020.25</v>
      </c>
    </row>
    <row r="58" customFormat="false" ht="15" hidden="false" customHeight="false" outlineLevel="0" collapsed="false">
      <c r="B58" s="19" t="s">
        <v>957</v>
      </c>
      <c r="C58" s="9" t="s">
        <v>69</v>
      </c>
      <c r="D58" s="23" t="s">
        <v>958</v>
      </c>
      <c r="E58" s="9" t="s">
        <v>69</v>
      </c>
      <c r="F58" s="9" t="s">
        <v>82</v>
      </c>
      <c r="G58" s="9"/>
      <c r="H58" s="20" t="n">
        <v>333020.25</v>
      </c>
      <c r="I58" s="20" t="n">
        <v>333020.25</v>
      </c>
    </row>
    <row r="59" customFormat="false" ht="15" hidden="false" customHeight="false" outlineLevel="0" collapsed="false">
      <c r="B59" s="8" t="s">
        <v>203</v>
      </c>
      <c r="H59" s="18" t="n">
        <f aca="false">SUMIFS('Role data'!$M$2:$M$550,'Role data'!$C$2:$C$550,"TDD Group Functions",'Role data'!$D$2:$D$550,"Delivery Manager",'Role data'!$E$2:$E$550,"overhead")</f>
        <v>275810.25</v>
      </c>
      <c r="I59" s="18" t="n">
        <f aca="false">SUMIFS('Role data'!$N$2:$N$550,'Role data'!$C$2:$C$550,"TDD Group Functions",'Role data'!$D$2:$D$550,"Delivery Manager",'Role data'!$E$2:$E$550,"overhead")</f>
        <v>275810.25</v>
      </c>
    </row>
    <row r="60" customFormat="false" ht="15" hidden="false" customHeight="false" outlineLevel="0" collapsed="false">
      <c r="B60" s="19" t="s">
        <v>959</v>
      </c>
      <c r="C60" s="9" t="s">
        <v>69</v>
      </c>
      <c r="D60" s="23" t="s">
        <v>203</v>
      </c>
      <c r="E60" s="9" t="s">
        <v>69</v>
      </c>
      <c r="F60" s="9" t="s">
        <v>82</v>
      </c>
      <c r="G60" s="9"/>
      <c r="H60" s="20" t="n">
        <v>275810.25</v>
      </c>
      <c r="I60" s="20" t="n">
        <v>275810.25</v>
      </c>
    </row>
    <row r="61" customFormat="false" ht="15" hidden="false" customHeight="false" outlineLevel="0" collapsed="false">
      <c r="B61" s="8" t="s">
        <v>206</v>
      </c>
      <c r="H61" s="18" t="n">
        <f aca="false">SUMIFS('Role data'!$M$2:$M$550,'Role data'!$C$2:$C$550,"TDD Group Functions",'Role data'!$D$2:$D$550,"Technology Manager",'Role data'!$E$2:$E$550,"overhead")</f>
        <v>1002329.04</v>
      </c>
      <c r="I61" s="18" t="n">
        <f aca="false">SUMIFS('Role data'!$N$2:$N$550,'Role data'!$C$2:$C$550,"TDD Group Functions",'Role data'!$D$2:$D$550,"Technology Manager",'Role data'!$E$2:$E$550,"overhead")</f>
        <v>726518.79</v>
      </c>
    </row>
    <row r="62" customFormat="false" ht="15" hidden="false" customHeight="false" outlineLevel="0" collapsed="false">
      <c r="B62" s="19" t="s">
        <v>960</v>
      </c>
      <c r="C62" s="9" t="s">
        <v>961</v>
      </c>
      <c r="D62" s="23" t="n">
        <v>0.01</v>
      </c>
      <c r="E62" s="9" t="s">
        <v>53</v>
      </c>
      <c r="F62" s="9" t="s">
        <v>53</v>
      </c>
      <c r="G62" s="9"/>
      <c r="H62" s="20" t="n">
        <v>275810.25</v>
      </c>
      <c r="I62" s="20" t="n">
        <v>275810.25</v>
      </c>
    </row>
    <row r="63" customFormat="false" ht="15" hidden="false" customHeight="false" outlineLevel="0" collapsed="false">
      <c r="B63" s="19" t="s">
        <v>962</v>
      </c>
      <c r="C63" s="9" t="s">
        <v>963</v>
      </c>
      <c r="D63" s="23" t="s">
        <v>964</v>
      </c>
      <c r="E63" s="9" t="s">
        <v>53</v>
      </c>
      <c r="F63" s="9" t="s">
        <v>53</v>
      </c>
      <c r="G63" s="9"/>
      <c r="H63" s="20" t="n">
        <v>221478.54</v>
      </c>
      <c r="I63" s="20" t="n">
        <v>221478.54</v>
      </c>
    </row>
    <row r="64" customFormat="false" ht="15" hidden="false" customHeight="false" outlineLevel="0" collapsed="false">
      <c r="B64" s="19" t="s">
        <v>965</v>
      </c>
      <c r="C64" s="9" t="s">
        <v>966</v>
      </c>
      <c r="D64" s="23" t="s">
        <v>967</v>
      </c>
      <c r="E64" s="9" t="s">
        <v>53</v>
      </c>
      <c r="F64" s="9" t="s">
        <v>53</v>
      </c>
      <c r="G64" s="9"/>
      <c r="H64" s="20" t="n">
        <v>229230</v>
      </c>
      <c r="I64" s="20" t="n">
        <v>229230</v>
      </c>
    </row>
    <row r="65" customFormat="false" ht="28.35" hidden="false" customHeight="false" outlineLevel="0" collapsed="false">
      <c r="B65" s="19" t="s">
        <v>968</v>
      </c>
      <c r="C65" s="9" t="s">
        <v>69</v>
      </c>
      <c r="D65" s="23" t="s">
        <v>969</v>
      </c>
      <c r="E65" s="9" t="s">
        <v>69</v>
      </c>
      <c r="F65" s="9" t="s">
        <v>78</v>
      </c>
      <c r="G65" s="9"/>
      <c r="H65" s="20" t="n">
        <v>275810.25</v>
      </c>
      <c r="I65" s="20" t="n">
        <v>0</v>
      </c>
    </row>
    <row r="66" customFormat="false" ht="15" hidden="false" customHeight="false" outlineLevel="0" collapsed="false">
      <c r="B66" s="13" t="s">
        <v>38</v>
      </c>
      <c r="C66" s="21"/>
      <c r="D66" s="21"/>
      <c r="E66" s="21"/>
      <c r="F66" s="21"/>
      <c r="G66" s="21"/>
      <c r="H66" s="22" t="n">
        <f aca="false">SUMIFS('Role data'!$M$2:$M$550,'Role data'!$C$2:$C$550,"TDD Group Functions")</f>
        <v>10609108.0354435</v>
      </c>
      <c r="I66" s="22" t="n">
        <f aca="false">SUMIFS('Role data'!$N$2:$N$550,'Role data'!$C$2:$C$550,"TDD Group Functions")</f>
        <v>8110650.89864348</v>
      </c>
    </row>
  </sheetData>
  <sheetProtection sheet="true" password="c5c5"/>
  <mergeCells count="7">
    <mergeCell ref="C5:C6"/>
    <mergeCell ref="D5:D6"/>
    <mergeCell ref="E5:E6"/>
    <mergeCell ref="F5:F6"/>
    <mergeCell ref="G5:G6"/>
    <mergeCell ref="H5:H6"/>
    <mergeCell ref="I5:I6"/>
  </mergeCells>
  <conditionalFormatting sqref="F5">
    <cfRule type="cellIs" priority="2" operator="greaterThan" aboveAverage="0" equalAverage="0" bottom="0" percent="0" rank="0" text="" dxfId="0">
      <formula>0</formula>
    </cfRule>
  </conditionalFormatting>
  <conditionalFormatting sqref="H10:H22 H24:H30 H32:H41 H43:H48 H50:H54 H56 H58 H60 H62:H65">
    <cfRule type="dataBar" priority="3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{B0E7B419-46EA-4F4A-8BF3-36425B787C70}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E7B419-46EA-4F4A-8BF3-36425B787C70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H10:H22 H24:H30 H32:H41 H43:H48 H50:H54 H56 H58 H60 H62:H65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24.5"/>
    <col collapsed="false" customWidth="true" hidden="false" outlineLevel="0" max="4" min="4" style="0" width="4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22" min="20" style="0" width="13"/>
  </cols>
  <sheetData>
    <row r="2" customFormat="false" ht="17.35" hidden="false" customHeight="false" outlineLevel="0" collapsed="false">
      <c r="B2" s="1" t="s">
        <v>31</v>
      </c>
    </row>
    <row r="4" customFormat="false" ht="42" hidden="false" customHeight="true" outlineLevel="0" collapsed="false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Format="false" ht="19.5" hidden="false" customHeight="true" outlineLevel="0" collapsed="false">
      <c r="C5" s="16" t="n">
        <f aca="false">'TDD Dashboard'!$C$20</f>
        <v>6.761902056</v>
      </c>
      <c r="D5" s="16" t="n">
        <f aca="false">'TDD Dashboard'!$D$20</f>
        <v>3.54657231784545</v>
      </c>
      <c r="E5" s="16" t="n">
        <f aca="false">'TDD Dashboard'!$E$20</f>
        <v>3.5</v>
      </c>
      <c r="F5" s="16" t="n">
        <f aca="false">'TDD Dashboard'!$F$20</f>
        <v>0.0465723178454542</v>
      </c>
      <c r="G5" s="17" t="n">
        <f aca="false">'TDD Dashboard'!$G$20</f>
        <v>0.524493299144801</v>
      </c>
      <c r="H5" s="16" t="n">
        <f aca="false">'TDD Dashboard'!$H$20</f>
        <v>1.83595565</v>
      </c>
      <c r="I5" s="16" t="n">
        <f aca="false">'TDD Dashboard'!$I$20</f>
        <v>1.37937408815455</v>
      </c>
    </row>
    <row r="6" customFormat="false" ht="19.5" hidden="false" customHeight="true" outlineLevel="0" collapsed="false">
      <c r="C6" s="16"/>
      <c r="D6" s="16"/>
      <c r="E6" s="16"/>
      <c r="F6" s="16"/>
      <c r="G6" s="16"/>
      <c r="H6" s="16"/>
      <c r="I6" s="16"/>
    </row>
    <row r="8" customFormat="false" ht="45" hidden="false" customHeight="true" outlineLevel="0" collapsed="false">
      <c r="B8" s="5" t="s">
        <v>39</v>
      </c>
      <c r="C8" s="5" t="s">
        <v>40</v>
      </c>
      <c r="D8" s="5" t="s">
        <v>41</v>
      </c>
      <c r="E8" s="5" t="s">
        <v>42</v>
      </c>
      <c r="F8" s="5" t="s">
        <v>43</v>
      </c>
      <c r="G8" s="5" t="s">
        <v>44</v>
      </c>
      <c r="H8" s="6" t="s">
        <v>45</v>
      </c>
      <c r="I8" s="6" t="s">
        <v>46</v>
      </c>
      <c r="T8" s="7" t="s">
        <v>47</v>
      </c>
      <c r="U8" s="7" t="s">
        <v>2</v>
      </c>
      <c r="V8" s="7" t="s">
        <v>7</v>
      </c>
    </row>
    <row r="9" customFormat="false" ht="15" hidden="false" customHeight="false" outlineLevel="0" collapsed="false">
      <c r="B9" s="8" t="s">
        <v>970</v>
      </c>
      <c r="H9" s="18" t="n">
        <f aca="false">SUMIFS('Role data'!$M$2:$M$550,'Role data'!$C$2:$C$550,"Enterprise Data",'Role data'!$D$2:$D$550,"Data Platforms",'Role data'!$E$2:$E$550,"squad")</f>
        <v>1626176.996</v>
      </c>
      <c r="I9" s="18" t="n">
        <f aca="false">SUMIFS('Role data'!$N$2:$N$550,'Role data'!$C$2:$C$550,"Enterprise Data",'Role data'!$D$2:$D$550,"Data Platforms",'Role data'!$E$2:$E$550,"squad")</f>
        <v>915323.396</v>
      </c>
      <c r="T9" s="9" t="s">
        <v>971</v>
      </c>
      <c r="U9" s="10" t="n">
        <f aca="false">SUMIFS('Role data'!$Q$2:$Q$550,'Role data'!$C$2:$C$550,"Enterprise Data",'Role data'!$D$2:$D$550,"Enterprise Data Delivery",'Role data'!$E$2:$E$550,"squad")/1000000</f>
        <v>0.087</v>
      </c>
      <c r="V9" s="10" t="n">
        <f aca="false">(SUMIFS('Role data'!$N$2:$N$550,'Role data'!$C$2:$C$550,"Enterprise Data",'Role data'!$D$2:$D$550,"Enterprise Data Delivery",'Role data'!$E$2:$E$550,"squad")-SUMIFS('Role data'!$Q$2:$Q$550,'Role data'!$C$2:$C$550,"Enterprise Data",'Role data'!$D$2:$D$550,"Enterprise Data Delivery",'Role data'!$E$2:$E$550,"squad"))/1000000</f>
        <v>0.493</v>
      </c>
    </row>
    <row r="10" customFormat="false" ht="15" hidden="false" customHeight="false" outlineLevel="0" collapsed="false">
      <c r="B10" s="19" t="s">
        <v>972</v>
      </c>
      <c r="C10" s="9" t="s">
        <v>973</v>
      </c>
      <c r="D10" s="9" t="s">
        <v>84</v>
      </c>
      <c r="E10" s="9" t="s">
        <v>53</v>
      </c>
      <c r="F10" s="9" t="s">
        <v>53</v>
      </c>
      <c r="G10" s="9"/>
      <c r="H10" s="20" t="n">
        <v>185776.56</v>
      </c>
      <c r="I10" s="20" t="n">
        <v>185776.56</v>
      </c>
      <c r="T10" s="9" t="s">
        <v>974</v>
      </c>
      <c r="U10" s="10" t="n">
        <f aca="false">SUMIFS('Role data'!$Q$2:$Q$550,'Role data'!$C$2:$C$550,"Enterprise Data",'Role data'!$D$2:$D$550,"Data Science",'Role data'!$E$2:$E$550,"squad")/1000000</f>
        <v>0.1209595995</v>
      </c>
      <c r="V10" s="10" t="n">
        <f aca="false">(SUMIFS('Role data'!$N$2:$N$550,'Role data'!$C$2:$C$550,"Enterprise Data",'Role data'!$D$2:$D$550,"Data Science",'Role data'!$E$2:$E$550,"squad")-SUMIFS('Role data'!$Q$2:$Q$550,'Role data'!$C$2:$C$550,"Enterprise Data",'Role data'!$D$2:$D$550,"Data Science",'Role data'!$E$2:$E$550,"squad"))/1000000</f>
        <v>0.6854377305</v>
      </c>
    </row>
    <row r="11" customFormat="false" ht="15" hidden="false" customHeight="false" outlineLevel="0" collapsed="false">
      <c r="B11" s="19" t="s">
        <v>975</v>
      </c>
      <c r="C11" s="9" t="s">
        <v>976</v>
      </c>
      <c r="D11" s="9" t="s">
        <v>977</v>
      </c>
      <c r="E11" s="9" t="s">
        <v>53</v>
      </c>
      <c r="F11" s="9" t="s">
        <v>53</v>
      </c>
      <c r="G11" s="9"/>
      <c r="H11" s="20" t="n">
        <v>204006.636</v>
      </c>
      <c r="I11" s="20" t="n">
        <v>204006.636</v>
      </c>
      <c r="T11" s="9" t="s">
        <v>970</v>
      </c>
      <c r="U11" s="10" t="n">
        <f aca="false">SUMIFS('Role data'!$Q$2:$Q$550,'Role data'!$C$2:$C$550,"Enterprise Data",'Role data'!$D$2:$D$550,"Data Platforms",'Role data'!$E$2:$E$550,"squad")/1000000</f>
        <v>0.7322587168</v>
      </c>
      <c r="V11" s="10" t="n">
        <f aca="false">(SUMIFS('Role data'!$N$2:$N$550,'Role data'!$C$2:$C$550,"Enterprise Data",'Role data'!$D$2:$D$550,"Data Platforms",'Role data'!$E$2:$E$550,"squad")-SUMIFS('Role data'!$Q$2:$Q$550,'Role data'!$C$2:$C$550,"Enterprise Data",'Role data'!$D$2:$D$550,"Data Platforms",'Role data'!$E$2:$E$550,"squad"))/1000000</f>
        <v>0.1830646792</v>
      </c>
    </row>
    <row r="12" customFormat="false" ht="15" hidden="false" customHeight="false" outlineLevel="0" collapsed="false">
      <c r="B12" s="19" t="s">
        <v>978</v>
      </c>
      <c r="C12" s="9" t="s">
        <v>979</v>
      </c>
      <c r="D12" s="9" t="s">
        <v>980</v>
      </c>
      <c r="E12" s="9" t="s">
        <v>53</v>
      </c>
      <c r="F12" s="9" t="s">
        <v>53</v>
      </c>
      <c r="G12" s="9"/>
      <c r="H12" s="20" t="n">
        <v>243984.6</v>
      </c>
      <c r="I12" s="20" t="n">
        <v>243984.6</v>
      </c>
      <c r="T12" s="9" t="s">
        <v>981</v>
      </c>
      <c r="U12" s="10" t="n">
        <f aca="false">SUMIFS('Role data'!$Q$2:$Q$550,'Role data'!$C$2:$C$550,"Enterprise Data",'Role data'!$D$2:$D$550,"Reporting &amp; Analytics",'Role data'!$E$2:$E$550,"squad")/1000000</f>
        <v>0.745093671</v>
      </c>
      <c r="V12" s="10" t="n">
        <f aca="false">(SUMIFS('Role data'!$N$2:$N$550,'Role data'!$C$2:$C$550,"Enterprise Data",'Role data'!$D$2:$D$550,"Reporting &amp; Analytics",'Role data'!$E$2:$E$550,"squad")-SUMIFS('Role data'!$Q$2:$Q$550,'Role data'!$C$2:$C$550,"Enterprise Data",'Role data'!$D$2:$D$550,"Reporting &amp; Analytics",'Role data'!$E$2:$E$550,"squad"))/1000000</f>
        <v>0.319325859</v>
      </c>
    </row>
    <row r="13" customFormat="false" ht="15" hidden="false" customHeight="false" outlineLevel="0" collapsed="false">
      <c r="B13" s="19" t="s">
        <v>982</v>
      </c>
      <c r="C13" s="9" t="s">
        <v>983</v>
      </c>
      <c r="D13" s="9" t="s">
        <v>984</v>
      </c>
      <c r="E13" s="9" t="s">
        <v>53</v>
      </c>
      <c r="F13" s="9" t="s">
        <v>53</v>
      </c>
      <c r="G13" s="9"/>
      <c r="H13" s="20" t="n">
        <v>213359.7</v>
      </c>
      <c r="I13" s="20" t="n">
        <v>213359.7</v>
      </c>
    </row>
    <row r="14" customFormat="false" ht="15" hidden="false" customHeight="false" outlineLevel="0" collapsed="false">
      <c r="B14" s="19" t="s">
        <v>985</v>
      </c>
      <c r="C14" s="9" t="s">
        <v>69</v>
      </c>
      <c r="D14" s="9" t="s">
        <v>290</v>
      </c>
      <c r="E14" s="9" t="s">
        <v>69</v>
      </c>
      <c r="F14" s="9" t="s">
        <v>78</v>
      </c>
      <c r="G14" s="9"/>
      <c r="H14" s="20" t="n">
        <v>202853.25</v>
      </c>
      <c r="I14" s="20" t="n">
        <v>0</v>
      </c>
    </row>
    <row r="15" customFormat="false" ht="15" hidden="false" customHeight="false" outlineLevel="0" collapsed="false">
      <c r="B15" s="19" t="s">
        <v>986</v>
      </c>
      <c r="C15" s="9" t="s">
        <v>69</v>
      </c>
      <c r="D15" s="9" t="s">
        <v>77</v>
      </c>
      <c r="E15" s="9" t="s">
        <v>69</v>
      </c>
      <c r="F15" s="9" t="s">
        <v>78</v>
      </c>
      <c r="G15" s="9"/>
      <c r="H15" s="20" t="n">
        <v>202853.25</v>
      </c>
      <c r="I15" s="20" t="n">
        <v>0</v>
      </c>
    </row>
    <row r="16" customFormat="false" ht="15" hidden="false" customHeight="false" outlineLevel="0" collapsed="false">
      <c r="B16" s="19" t="s">
        <v>987</v>
      </c>
      <c r="C16" s="9" t="s">
        <v>822</v>
      </c>
      <c r="D16" s="9" t="s">
        <v>89</v>
      </c>
      <c r="E16" s="9" t="s">
        <v>69</v>
      </c>
      <c r="F16" s="9" t="s">
        <v>78</v>
      </c>
      <c r="G16" s="9"/>
      <c r="H16" s="20" t="n">
        <v>202853.25</v>
      </c>
      <c r="I16" s="20" t="n">
        <v>0</v>
      </c>
    </row>
    <row r="17" customFormat="false" ht="15" hidden="false" customHeight="false" outlineLevel="0" collapsed="false">
      <c r="B17" s="19" t="s">
        <v>988</v>
      </c>
      <c r="C17" s="9" t="s">
        <v>69</v>
      </c>
      <c r="D17" s="9" t="s">
        <v>80</v>
      </c>
      <c r="E17" s="9" t="s">
        <v>69</v>
      </c>
      <c r="F17" s="9" t="s">
        <v>71</v>
      </c>
      <c r="G17" s="9"/>
      <c r="H17" s="20" t="n">
        <v>170489.75</v>
      </c>
      <c r="I17" s="20" t="n">
        <v>68195.9</v>
      </c>
    </row>
    <row r="18" customFormat="false" ht="15" hidden="false" customHeight="false" outlineLevel="0" collapsed="false">
      <c r="B18" s="8" t="s">
        <v>974</v>
      </c>
      <c r="H18" s="18" t="n">
        <f aca="false">SUMIFS('Role data'!$M$2:$M$550,'Role data'!$C$2:$C$550,"Enterprise Data",'Role data'!$D$2:$D$550,"Data Science",'Role data'!$E$2:$E$550,"squad")</f>
        <v>806397.33</v>
      </c>
      <c r="I18" s="18" t="n">
        <f aca="false">SUMIFS('Role data'!$N$2:$N$550,'Role data'!$C$2:$C$550,"Enterprise Data",'Role data'!$D$2:$D$550,"Data Science",'Role data'!$E$2:$E$550,"squad")</f>
        <v>806397.33</v>
      </c>
    </row>
    <row r="19" customFormat="false" ht="15" hidden="false" customHeight="false" outlineLevel="0" collapsed="false">
      <c r="B19" s="19" t="s">
        <v>989</v>
      </c>
      <c r="C19" s="9" t="s">
        <v>990</v>
      </c>
      <c r="D19" s="9" t="s">
        <v>991</v>
      </c>
      <c r="E19" s="9" t="s">
        <v>53</v>
      </c>
      <c r="F19" s="9" t="s">
        <v>53</v>
      </c>
      <c r="G19" s="9"/>
      <c r="H19" s="20" t="n">
        <v>184871.28</v>
      </c>
      <c r="I19" s="20" t="n">
        <v>184871.28</v>
      </c>
    </row>
    <row r="20" customFormat="false" ht="15" hidden="false" customHeight="false" outlineLevel="0" collapsed="false">
      <c r="B20" s="19" t="s">
        <v>992</v>
      </c>
      <c r="C20" s="9" t="s">
        <v>993</v>
      </c>
      <c r="D20" s="9" t="s">
        <v>991</v>
      </c>
      <c r="E20" s="9" t="s">
        <v>53</v>
      </c>
      <c r="F20" s="9" t="s">
        <v>53</v>
      </c>
      <c r="G20" s="9"/>
      <c r="H20" s="20" t="n">
        <v>231582.45</v>
      </c>
      <c r="I20" s="20" t="n">
        <v>231582.45</v>
      </c>
    </row>
    <row r="21" customFormat="false" ht="15" hidden="false" customHeight="false" outlineLevel="0" collapsed="false">
      <c r="B21" s="19" t="s">
        <v>994</v>
      </c>
      <c r="C21" s="9" t="s">
        <v>995</v>
      </c>
      <c r="D21" s="9" t="s">
        <v>996</v>
      </c>
      <c r="E21" s="9" t="s">
        <v>53</v>
      </c>
      <c r="F21" s="9" t="s">
        <v>53</v>
      </c>
      <c r="G21" s="9"/>
      <c r="H21" s="20" t="n">
        <v>208473.6</v>
      </c>
      <c r="I21" s="20" t="n">
        <v>208473.6</v>
      </c>
    </row>
    <row r="22" customFormat="false" ht="15" hidden="false" customHeight="false" outlineLevel="0" collapsed="false">
      <c r="B22" s="19" t="s">
        <v>997</v>
      </c>
      <c r="C22" s="9" t="s">
        <v>998</v>
      </c>
      <c r="D22" s="9" t="s">
        <v>996</v>
      </c>
      <c r="E22" s="9" t="s">
        <v>53</v>
      </c>
      <c r="F22" s="9" t="s">
        <v>53</v>
      </c>
      <c r="G22" s="9"/>
      <c r="H22" s="20" t="n">
        <v>181470</v>
      </c>
      <c r="I22" s="20" t="n">
        <v>181470</v>
      </c>
    </row>
    <row r="23" customFormat="false" ht="15" hidden="false" customHeight="false" outlineLevel="0" collapsed="false">
      <c r="B23" s="8" t="s">
        <v>981</v>
      </c>
      <c r="H23" s="18" t="n">
        <f aca="false">SUMIFS('Role data'!$M$2:$M$550,'Role data'!$C$2:$C$550,"Enterprise Data",'Role data'!$D$2:$D$550,"Reporting &amp; Analytics",'Role data'!$E$2:$E$550,"squad")</f>
        <v>1267272.78</v>
      </c>
      <c r="I23" s="18" t="n">
        <f aca="false">SUMIFS('Role data'!$N$2:$N$550,'Role data'!$C$2:$C$550,"Enterprise Data",'Role data'!$D$2:$D$550,"Reporting &amp; Analytics",'Role data'!$E$2:$E$550,"squad")</f>
        <v>1064419.53</v>
      </c>
    </row>
    <row r="24" customFormat="false" ht="15" hidden="false" customHeight="false" outlineLevel="0" collapsed="false">
      <c r="B24" s="19" t="s">
        <v>999</v>
      </c>
      <c r="C24" s="9" t="s">
        <v>1000</v>
      </c>
      <c r="D24" s="9" t="s">
        <v>1001</v>
      </c>
      <c r="E24" s="9" t="s">
        <v>53</v>
      </c>
      <c r="F24" s="9" t="s">
        <v>53</v>
      </c>
      <c r="G24" s="9"/>
      <c r="H24" s="20" t="n">
        <v>255372.15</v>
      </c>
      <c r="I24" s="20" t="n">
        <v>255372.15</v>
      </c>
    </row>
    <row r="25" customFormat="false" ht="15" hidden="false" customHeight="false" outlineLevel="0" collapsed="false">
      <c r="B25" s="19" t="s">
        <v>1002</v>
      </c>
      <c r="C25" s="9" t="s">
        <v>1003</v>
      </c>
      <c r="D25" s="9" t="s">
        <v>84</v>
      </c>
      <c r="E25" s="9" t="s">
        <v>53</v>
      </c>
      <c r="F25" s="9" t="s">
        <v>53</v>
      </c>
      <c r="G25" s="9"/>
      <c r="H25" s="20" t="n">
        <v>157941.18</v>
      </c>
      <c r="I25" s="20" t="n">
        <v>157941.18</v>
      </c>
    </row>
    <row r="26" customFormat="false" ht="15" hidden="false" customHeight="false" outlineLevel="0" collapsed="false">
      <c r="B26" s="19" t="s">
        <v>1004</v>
      </c>
      <c r="C26" s="9" t="s">
        <v>1005</v>
      </c>
      <c r="D26" s="9" t="s">
        <v>133</v>
      </c>
      <c r="E26" s="9" t="s">
        <v>53</v>
      </c>
      <c r="F26" s="9" t="s">
        <v>53</v>
      </c>
      <c r="G26" s="9"/>
      <c r="H26" s="20" t="n">
        <v>249124.35</v>
      </c>
      <c r="I26" s="20" t="n">
        <v>249124.35</v>
      </c>
    </row>
    <row r="27" customFormat="false" ht="15" hidden="false" customHeight="false" outlineLevel="0" collapsed="false">
      <c r="B27" s="19" t="s">
        <v>1006</v>
      </c>
      <c r="C27" s="9" t="s">
        <v>1007</v>
      </c>
      <c r="D27" s="9" t="s">
        <v>693</v>
      </c>
      <c r="E27" s="9" t="s">
        <v>53</v>
      </c>
      <c r="F27" s="9" t="s">
        <v>53</v>
      </c>
      <c r="G27" s="9"/>
      <c r="H27" s="20" t="n">
        <v>222357.6</v>
      </c>
      <c r="I27" s="20" t="n">
        <v>222357.6</v>
      </c>
    </row>
    <row r="28" customFormat="false" ht="15" hidden="false" customHeight="false" outlineLevel="0" collapsed="false">
      <c r="B28" s="19" t="s">
        <v>1008</v>
      </c>
      <c r="C28" s="9" t="s">
        <v>1009</v>
      </c>
      <c r="D28" s="9" t="s">
        <v>1010</v>
      </c>
      <c r="E28" s="9" t="s">
        <v>69</v>
      </c>
      <c r="F28" s="9" t="s">
        <v>78</v>
      </c>
      <c r="G28" s="9"/>
      <c r="H28" s="20" t="n">
        <v>202853.25</v>
      </c>
      <c r="I28" s="20" t="n">
        <v>0</v>
      </c>
    </row>
    <row r="29" customFormat="false" ht="15" hidden="false" customHeight="false" outlineLevel="0" collapsed="false">
      <c r="B29" s="19" t="s">
        <v>1011</v>
      </c>
      <c r="C29" s="9" t="s">
        <v>1012</v>
      </c>
      <c r="D29" s="9" t="s">
        <v>693</v>
      </c>
      <c r="E29" s="9" t="s">
        <v>53</v>
      </c>
      <c r="F29" s="9" t="s">
        <v>53</v>
      </c>
      <c r="G29" s="9"/>
      <c r="H29" s="20" t="n">
        <v>179624.25</v>
      </c>
      <c r="I29" s="20" t="n">
        <v>179624.25</v>
      </c>
    </row>
    <row r="30" customFormat="false" ht="15" hidden="false" customHeight="false" outlineLevel="0" collapsed="false">
      <c r="B30" s="8" t="s">
        <v>971</v>
      </c>
      <c r="H30" s="18" t="n">
        <f aca="false">SUMIFS('Role data'!$M$2:$M$550,'Role data'!$C$2:$C$550,"Enterprise Data",'Role data'!$D$2:$D$550,"Enterprise Data Delivery",'Role data'!$E$2:$E$550,"squad")</f>
        <v>580000</v>
      </c>
      <c r="I30" s="18" t="n">
        <f aca="false">SUMIFS('Role data'!$N$2:$N$550,'Role data'!$C$2:$C$550,"Enterprise Data",'Role data'!$D$2:$D$550,"Enterprise Data Delivery",'Role data'!$E$2:$E$550,"squad")</f>
        <v>580000</v>
      </c>
    </row>
    <row r="31" customFormat="false" ht="15" hidden="false" customHeight="false" outlineLevel="0" collapsed="false">
      <c r="B31" s="19" t="s">
        <v>1013</v>
      </c>
      <c r="C31" s="9" t="s">
        <v>1014</v>
      </c>
      <c r="D31" s="9" t="s">
        <v>1015</v>
      </c>
      <c r="E31" s="9" t="s">
        <v>53</v>
      </c>
      <c r="F31" s="9" t="s">
        <v>71</v>
      </c>
      <c r="G31" s="9"/>
      <c r="H31" s="20" t="n">
        <v>64444.4444444444</v>
      </c>
      <c r="I31" s="20" t="n">
        <v>64444.4444444444</v>
      </c>
    </row>
    <row r="32" customFormat="false" ht="15" hidden="false" customHeight="false" outlineLevel="0" collapsed="false">
      <c r="B32" s="19" t="s">
        <v>1016</v>
      </c>
      <c r="C32" s="9" t="s">
        <v>1017</v>
      </c>
      <c r="D32" s="9" t="s">
        <v>1015</v>
      </c>
      <c r="E32" s="9" t="s">
        <v>53</v>
      </c>
      <c r="F32" s="9" t="s">
        <v>71</v>
      </c>
      <c r="G32" s="9"/>
      <c r="H32" s="20" t="n">
        <v>64444.4444444444</v>
      </c>
      <c r="I32" s="20" t="n">
        <v>64444.4444444444</v>
      </c>
    </row>
    <row r="33" customFormat="false" ht="15" hidden="false" customHeight="false" outlineLevel="0" collapsed="false">
      <c r="B33" s="19" t="s">
        <v>1018</v>
      </c>
      <c r="C33" s="9" t="s">
        <v>1019</v>
      </c>
      <c r="D33" s="9" t="s">
        <v>1015</v>
      </c>
      <c r="E33" s="9" t="s">
        <v>53</v>
      </c>
      <c r="F33" s="9" t="s">
        <v>71</v>
      </c>
      <c r="G33" s="9"/>
      <c r="H33" s="20" t="n">
        <v>64444.4444444444</v>
      </c>
      <c r="I33" s="20" t="n">
        <v>64444.4444444444</v>
      </c>
    </row>
    <row r="34" customFormat="false" ht="15" hidden="false" customHeight="false" outlineLevel="0" collapsed="false">
      <c r="B34" s="19" t="s">
        <v>1020</v>
      </c>
      <c r="C34" s="9" t="s">
        <v>1021</v>
      </c>
      <c r="D34" s="9" t="s">
        <v>1015</v>
      </c>
      <c r="E34" s="9" t="s">
        <v>53</v>
      </c>
      <c r="F34" s="9" t="s">
        <v>71</v>
      </c>
      <c r="G34" s="9"/>
      <c r="H34" s="20" t="n">
        <v>64444.4444444444</v>
      </c>
      <c r="I34" s="20" t="n">
        <v>64444.4444444444</v>
      </c>
    </row>
    <row r="35" customFormat="false" ht="15" hidden="false" customHeight="false" outlineLevel="0" collapsed="false">
      <c r="B35" s="19" t="s">
        <v>1022</v>
      </c>
      <c r="C35" s="9" t="s">
        <v>1023</v>
      </c>
      <c r="D35" s="9" t="s">
        <v>1015</v>
      </c>
      <c r="E35" s="9" t="s">
        <v>53</v>
      </c>
      <c r="F35" s="9" t="s">
        <v>71</v>
      </c>
      <c r="G35" s="9"/>
      <c r="H35" s="20" t="n">
        <v>64444.4444444444</v>
      </c>
      <c r="I35" s="20" t="n">
        <v>64444.4444444444</v>
      </c>
    </row>
    <row r="36" customFormat="false" ht="15" hidden="false" customHeight="false" outlineLevel="0" collapsed="false">
      <c r="B36" s="19" t="s">
        <v>1024</v>
      </c>
      <c r="C36" s="9" t="s">
        <v>1025</v>
      </c>
      <c r="D36" s="9" t="s">
        <v>1015</v>
      </c>
      <c r="E36" s="9" t="s">
        <v>53</v>
      </c>
      <c r="F36" s="9" t="s">
        <v>71</v>
      </c>
      <c r="G36" s="9"/>
      <c r="H36" s="20" t="n">
        <v>64444.4444444444</v>
      </c>
      <c r="I36" s="20" t="n">
        <v>64444.4444444444</v>
      </c>
    </row>
    <row r="37" customFormat="false" ht="15" hidden="false" customHeight="false" outlineLevel="0" collapsed="false">
      <c r="B37" s="19" t="s">
        <v>1026</v>
      </c>
      <c r="C37" s="9" t="s">
        <v>1027</v>
      </c>
      <c r="D37" s="9" t="s">
        <v>1015</v>
      </c>
      <c r="E37" s="9" t="s">
        <v>53</v>
      </c>
      <c r="F37" s="9" t="s">
        <v>71</v>
      </c>
      <c r="G37" s="9"/>
      <c r="H37" s="20" t="n">
        <v>64444.4444444444</v>
      </c>
      <c r="I37" s="20" t="n">
        <v>64444.4444444444</v>
      </c>
    </row>
    <row r="38" customFormat="false" ht="15" hidden="false" customHeight="false" outlineLevel="0" collapsed="false">
      <c r="B38" s="19" t="s">
        <v>1028</v>
      </c>
      <c r="C38" s="9" t="s">
        <v>1029</v>
      </c>
      <c r="D38" s="9" t="s">
        <v>1015</v>
      </c>
      <c r="E38" s="9" t="s">
        <v>53</v>
      </c>
      <c r="F38" s="9" t="s">
        <v>71</v>
      </c>
      <c r="G38" s="9"/>
      <c r="H38" s="20" t="n">
        <v>64444.4444444444</v>
      </c>
      <c r="I38" s="20" t="n">
        <v>64444.4444444444</v>
      </c>
    </row>
    <row r="39" customFormat="false" ht="15" hidden="false" customHeight="false" outlineLevel="0" collapsed="false">
      <c r="B39" s="19" t="s">
        <v>1030</v>
      </c>
      <c r="C39" s="9" t="s">
        <v>1031</v>
      </c>
      <c r="D39" s="9" t="s">
        <v>1015</v>
      </c>
      <c r="E39" s="9" t="s">
        <v>53</v>
      </c>
      <c r="F39" s="9" t="s">
        <v>71</v>
      </c>
      <c r="G39" s="9"/>
      <c r="H39" s="20" t="n">
        <v>64444.4444444444</v>
      </c>
      <c r="I39" s="20" t="n">
        <v>64444.4444444444</v>
      </c>
    </row>
    <row r="40" customFormat="false" ht="15" hidden="false" customHeight="false" outlineLevel="0" collapsed="false">
      <c r="B40" s="8" t="s">
        <v>1032</v>
      </c>
      <c r="H40" s="18" t="n">
        <f aca="false">SUMIFS('Role data'!$M$2:$M$550,'Role data'!$C$2:$C$550,"Enterprise Data",'Role data'!$D$2:$D$550,"EGI Ent Data",'Role data'!$E$2:$E$550,"sig")</f>
        <v>1835955.65</v>
      </c>
      <c r="I40" s="18" t="n">
        <f aca="false">SUMIFS('Role data'!$N$2:$N$550,'Role data'!$C$2:$C$550,"Enterprise Data",'Role data'!$D$2:$D$550,"EGI Ent Data",'Role data'!$E$2:$E$550,"sig")</f>
        <v>1835955.65</v>
      </c>
    </row>
    <row r="41" customFormat="false" ht="15" hidden="false" customHeight="false" outlineLevel="0" collapsed="false">
      <c r="B41" s="19" t="s">
        <v>1033</v>
      </c>
      <c r="C41" s="9" t="s">
        <v>1034</v>
      </c>
      <c r="D41" s="9" t="s">
        <v>1035</v>
      </c>
      <c r="E41" s="9" t="s">
        <v>53</v>
      </c>
      <c r="F41" s="9" t="s">
        <v>53</v>
      </c>
      <c r="G41" s="9"/>
      <c r="H41" s="20" t="n">
        <v>263635.8</v>
      </c>
      <c r="I41" s="20" t="n">
        <v>263635.8</v>
      </c>
    </row>
    <row r="42" customFormat="false" ht="15" hidden="false" customHeight="false" outlineLevel="0" collapsed="false">
      <c r="B42" s="19" t="s">
        <v>1036</v>
      </c>
      <c r="C42" s="9" t="s">
        <v>1037</v>
      </c>
      <c r="D42" s="9" t="s">
        <v>1038</v>
      </c>
      <c r="E42" s="9" t="s">
        <v>53</v>
      </c>
      <c r="F42" s="9" t="s">
        <v>53</v>
      </c>
      <c r="G42" s="9"/>
      <c r="H42" s="20" t="n">
        <v>250993.35</v>
      </c>
      <c r="I42" s="20" t="n">
        <v>250993.35</v>
      </c>
    </row>
    <row r="43" customFormat="false" ht="15" hidden="false" customHeight="false" outlineLevel="0" collapsed="false">
      <c r="B43" s="19" t="s">
        <v>1039</v>
      </c>
      <c r="C43" s="9" t="s">
        <v>69</v>
      </c>
      <c r="D43" s="9" t="s">
        <v>77</v>
      </c>
      <c r="E43" s="9" t="s">
        <v>69</v>
      </c>
      <c r="F43" s="9" t="s">
        <v>82</v>
      </c>
      <c r="G43" s="9"/>
      <c r="H43" s="20" t="n">
        <v>202853.25</v>
      </c>
      <c r="I43" s="20" t="n">
        <v>202853.25</v>
      </c>
    </row>
    <row r="44" customFormat="false" ht="15" hidden="false" customHeight="false" outlineLevel="0" collapsed="false">
      <c r="B44" s="19" t="s">
        <v>1040</v>
      </c>
      <c r="C44" s="9" t="s">
        <v>1041</v>
      </c>
      <c r="D44" s="9" t="s">
        <v>1042</v>
      </c>
      <c r="E44" s="9" t="s">
        <v>53</v>
      </c>
      <c r="F44" s="9" t="s">
        <v>53</v>
      </c>
      <c r="G44" s="9"/>
      <c r="H44" s="20" t="n">
        <v>240300</v>
      </c>
      <c r="I44" s="20" t="n">
        <v>240300</v>
      </c>
    </row>
    <row r="45" customFormat="false" ht="15" hidden="false" customHeight="false" outlineLevel="0" collapsed="false">
      <c r="B45" s="19" t="s">
        <v>1043</v>
      </c>
      <c r="C45" s="9" t="s">
        <v>1044</v>
      </c>
      <c r="D45" s="9" t="s">
        <v>1045</v>
      </c>
      <c r="E45" s="9" t="s">
        <v>53</v>
      </c>
      <c r="F45" s="9" t="s">
        <v>53</v>
      </c>
      <c r="G45" s="9"/>
      <c r="H45" s="20" t="n">
        <v>237763.5</v>
      </c>
      <c r="I45" s="20" t="n">
        <v>237763.5</v>
      </c>
    </row>
    <row r="46" customFormat="false" ht="15" hidden="false" customHeight="false" outlineLevel="0" collapsed="false">
      <c r="B46" s="19" t="s">
        <v>1046</v>
      </c>
      <c r="C46" s="9" t="s">
        <v>1047</v>
      </c>
      <c r="D46" s="9" t="s">
        <v>1045</v>
      </c>
      <c r="E46" s="9" t="s">
        <v>53</v>
      </c>
      <c r="F46" s="9" t="s">
        <v>53</v>
      </c>
      <c r="G46" s="9"/>
      <c r="H46" s="20" t="n">
        <v>242970</v>
      </c>
      <c r="I46" s="20" t="n">
        <v>242970</v>
      </c>
    </row>
    <row r="47" customFormat="false" ht="15" hidden="false" customHeight="false" outlineLevel="0" collapsed="false">
      <c r="B47" s="19" t="s">
        <v>1048</v>
      </c>
      <c r="C47" s="9" t="s">
        <v>1049</v>
      </c>
      <c r="D47" s="9" t="s">
        <v>1050</v>
      </c>
      <c r="E47" s="9" t="s">
        <v>53</v>
      </c>
      <c r="F47" s="9" t="s">
        <v>53</v>
      </c>
      <c r="G47" s="9"/>
      <c r="H47" s="20" t="n">
        <v>226950</v>
      </c>
      <c r="I47" s="20" t="n">
        <v>226950</v>
      </c>
    </row>
    <row r="48" customFormat="false" ht="15" hidden="false" customHeight="false" outlineLevel="0" collapsed="false">
      <c r="B48" s="19" t="s">
        <v>1051</v>
      </c>
      <c r="C48" s="9" t="s">
        <v>822</v>
      </c>
      <c r="D48" s="9" t="s">
        <v>80</v>
      </c>
      <c r="E48" s="9" t="s">
        <v>69</v>
      </c>
      <c r="F48" s="9" t="s">
        <v>82</v>
      </c>
      <c r="G48" s="9"/>
      <c r="H48" s="20" t="n">
        <v>170489.75</v>
      </c>
      <c r="I48" s="20" t="n">
        <v>170489.75</v>
      </c>
    </row>
    <row r="49" customFormat="false" ht="15" hidden="false" customHeight="false" outlineLevel="0" collapsed="false">
      <c r="B49" s="8" t="s">
        <v>756</v>
      </c>
      <c r="H49" s="18" t="n">
        <f aca="false">SUMIFS('Role data'!$M$2:$M$550,'Role data'!$C$2:$C$550,"Enterprise Data",'Role data'!$D$2:$D$550,"Leadership",'Role data'!$E$2:$E$550,"sig")</f>
        <v>498771.7</v>
      </c>
      <c r="I49" s="18" t="n">
        <f aca="false">SUMIFS('Role data'!$N$2:$N$550,'Role data'!$C$2:$C$550,"Enterprise Data",'Role data'!$D$2:$D$550,"Leadership",'Role data'!$E$2:$E$550,"sig")</f>
        <v>498771.7</v>
      </c>
    </row>
    <row r="50" customFormat="false" ht="15" hidden="false" customHeight="false" outlineLevel="0" collapsed="false">
      <c r="B50" s="19" t="s">
        <v>1052</v>
      </c>
      <c r="C50" s="9" t="s">
        <v>1053</v>
      </c>
      <c r="D50" s="9" t="s">
        <v>1054</v>
      </c>
      <c r="E50" s="9" t="s">
        <v>53</v>
      </c>
      <c r="F50" s="9" t="s">
        <v>53</v>
      </c>
      <c r="G50" s="9"/>
      <c r="H50" s="20" t="n">
        <v>295918.45</v>
      </c>
      <c r="I50" s="20" t="n">
        <v>295918.45</v>
      </c>
    </row>
    <row r="51" customFormat="false" ht="15" hidden="false" customHeight="false" outlineLevel="0" collapsed="false">
      <c r="B51" s="19" t="s">
        <v>1055</v>
      </c>
      <c r="C51" s="9" t="s">
        <v>69</v>
      </c>
      <c r="D51" s="9" t="s">
        <v>1056</v>
      </c>
      <c r="E51" s="9" t="s">
        <v>69</v>
      </c>
      <c r="F51" s="9" t="s">
        <v>82</v>
      </c>
      <c r="G51" s="9"/>
      <c r="H51" s="20" t="n">
        <v>202853.25</v>
      </c>
      <c r="I51" s="20" t="n">
        <v>202853.25</v>
      </c>
    </row>
    <row r="52" customFormat="false" ht="15" hidden="false" customHeight="false" outlineLevel="0" collapsed="false">
      <c r="B52" s="8" t="s">
        <v>199</v>
      </c>
      <c r="H52" s="18" t="n">
        <f aca="false">SUMIFS('Role data'!$M$2:$M$550,'Role data'!$C$2:$C$550,"Enterprise Data",'Role data'!$D$2:$D$550,"Head of Technology",'Role data'!$E$2:$E$550,"overhead")</f>
        <v>409755.7</v>
      </c>
      <c r="I52" s="18" t="n">
        <f aca="false">SUMIFS('Role data'!$N$2:$N$550,'Role data'!$C$2:$C$550,"Enterprise Data",'Role data'!$D$2:$D$550,"Head of Technology",'Role data'!$E$2:$E$550,"overhead")</f>
        <v>409755.7</v>
      </c>
    </row>
    <row r="53" customFormat="false" ht="15" hidden="false" customHeight="false" outlineLevel="0" collapsed="false">
      <c r="B53" s="19" t="s">
        <v>1057</v>
      </c>
      <c r="C53" s="9" t="s">
        <v>1058</v>
      </c>
      <c r="D53" s="9" t="s">
        <v>1059</v>
      </c>
      <c r="E53" s="9" t="s">
        <v>53</v>
      </c>
      <c r="F53" s="9" t="s">
        <v>53</v>
      </c>
      <c r="G53" s="9"/>
      <c r="H53" s="20" t="n">
        <v>409755.7</v>
      </c>
      <c r="I53" s="20" t="n">
        <v>409755.7</v>
      </c>
    </row>
    <row r="54" customFormat="false" ht="15" hidden="false" customHeight="false" outlineLevel="0" collapsed="false">
      <c r="B54" s="8" t="s">
        <v>206</v>
      </c>
      <c r="H54" s="18" t="n">
        <f aca="false">SUMIFS('Role data'!$M$2:$M$550,'Role data'!$C$2:$C$550,"Enterprise Data",'Role data'!$D$2:$D$550,"Technology Manager",'Role data'!$E$2:$E$550,"overhead")</f>
        <v>651278.75</v>
      </c>
      <c r="I54" s="18" t="n">
        <f aca="false">SUMIFS('Role data'!$N$2:$N$550,'Role data'!$C$2:$C$550,"Enterprise Data",'Role data'!$D$2:$D$550,"Technology Manager",'Role data'!$E$2:$E$550,"overhead")</f>
        <v>651278.75</v>
      </c>
    </row>
    <row r="55" customFormat="false" ht="15" hidden="false" customHeight="false" outlineLevel="0" collapsed="false">
      <c r="B55" s="19" t="s">
        <v>1060</v>
      </c>
      <c r="C55" s="9" t="s">
        <v>1061</v>
      </c>
      <c r="D55" s="9" t="s">
        <v>1062</v>
      </c>
      <c r="E55" s="9" t="s">
        <v>53</v>
      </c>
      <c r="F55" s="9" t="s">
        <v>53</v>
      </c>
      <c r="G55" s="9"/>
      <c r="H55" s="20" t="n">
        <v>320862</v>
      </c>
      <c r="I55" s="20" t="n">
        <v>320862</v>
      </c>
    </row>
    <row r="56" customFormat="false" ht="15" hidden="false" customHeight="false" outlineLevel="0" collapsed="false">
      <c r="B56" s="19" t="s">
        <v>1063</v>
      </c>
      <c r="C56" s="9" t="s">
        <v>1064</v>
      </c>
      <c r="D56" s="9" t="s">
        <v>1065</v>
      </c>
      <c r="E56" s="9" t="s">
        <v>53</v>
      </c>
      <c r="F56" s="9" t="s">
        <v>53</v>
      </c>
      <c r="G56" s="9"/>
      <c r="H56" s="20" t="n">
        <v>330416.75</v>
      </c>
      <c r="I56" s="20" t="n">
        <v>330416.75</v>
      </c>
    </row>
    <row r="57" customFormat="false" ht="15" hidden="false" customHeight="false" outlineLevel="0" collapsed="false">
      <c r="B57" s="13" t="s">
        <v>38</v>
      </c>
      <c r="C57" s="21"/>
      <c r="D57" s="21"/>
      <c r="E57" s="21"/>
      <c r="F57" s="21"/>
      <c r="G57" s="21"/>
      <c r="H57" s="22" t="n">
        <f aca="false">SUMIFS('Role data'!$M$2:$M$550,'Role data'!$C$2:$C$550,"Enterprise Data")</f>
        <v>7675608.906</v>
      </c>
      <c r="I57" s="22" t="n">
        <f aca="false">SUMIFS('Role data'!$N$2:$N$550,'Role data'!$C$2:$C$550,"Enterprise Data")</f>
        <v>6761902.056</v>
      </c>
    </row>
  </sheetData>
  <sheetProtection sheet="true" password="c5c5"/>
  <mergeCells count="7">
    <mergeCell ref="C5:C6"/>
    <mergeCell ref="D5:D6"/>
    <mergeCell ref="E5:E6"/>
    <mergeCell ref="F5:F6"/>
    <mergeCell ref="G5:G6"/>
    <mergeCell ref="H5:H6"/>
    <mergeCell ref="I5:I6"/>
  </mergeCells>
  <conditionalFormatting sqref="F5">
    <cfRule type="cellIs" priority="2" operator="greaterThan" aboveAverage="0" equalAverage="0" bottom="0" percent="0" rank="0" text="" dxfId="0">
      <formula>0</formula>
    </cfRule>
  </conditionalFormatting>
  <conditionalFormatting sqref="H10:H17 H19:H22 H24:H29 H31:H39 H41:H48 H50:H51 H53 H55:H56">
    <cfRule type="dataBar" priority="3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{1B8D76D7-EA6C-4066-A048-7686AC1B3148}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8D76D7-EA6C-4066-A048-7686AC1B3148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H10:H17 H19:H22 H24:H29 H31:H39 H41:H48 H50:H51 H53 H55:H56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15.5"/>
    <col collapsed="false" customWidth="true" hidden="false" outlineLevel="0" max="4" min="4" style="0" width="37.5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22" min="20" style="0" width="13"/>
  </cols>
  <sheetData>
    <row r="2" customFormat="false" ht="17.35" hidden="false" customHeight="false" outlineLevel="0" collapsed="false">
      <c r="B2" s="1" t="s">
        <v>25</v>
      </c>
    </row>
    <row r="4" customFormat="false" ht="42" hidden="false" customHeight="true" outlineLevel="0" collapsed="false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Format="false" ht="19.5" hidden="false" customHeight="true" outlineLevel="0" collapsed="false">
      <c r="C5" s="16" t="n">
        <f aca="false">'TDD Dashboard'!$C$21</f>
        <v>2.1381967</v>
      </c>
      <c r="D5" s="16" t="n">
        <f aca="false">'TDD Dashboard'!$D$21</f>
        <v>1.47078600054545</v>
      </c>
      <c r="E5" s="16" t="n">
        <f aca="false">'TDD Dashboard'!$E$21</f>
        <v>1.5</v>
      </c>
      <c r="F5" s="16" t="n">
        <f aca="false">'TDD Dashboard'!$F$21</f>
        <v>-0.0292139994545455</v>
      </c>
      <c r="G5" s="17" t="n">
        <f aca="false">'TDD Dashboard'!$G$21</f>
        <v>0.687862814747331</v>
      </c>
      <c r="H5" s="16" t="n">
        <f aca="false">'TDD Dashboard'!$H$21</f>
        <v>1.2998</v>
      </c>
      <c r="I5" s="16" t="n">
        <f aca="false">'TDD Dashboard'!$I$21</f>
        <v>-0.632389300545454</v>
      </c>
    </row>
    <row r="6" customFormat="false" ht="19.5" hidden="false" customHeight="true" outlineLevel="0" collapsed="false">
      <c r="C6" s="16"/>
      <c r="D6" s="16"/>
      <c r="E6" s="16"/>
      <c r="F6" s="16"/>
      <c r="G6" s="16"/>
      <c r="H6" s="16"/>
      <c r="I6" s="16"/>
    </row>
    <row r="8" customFormat="false" ht="45" hidden="false" customHeight="true" outlineLevel="0" collapsed="false">
      <c r="B8" s="5" t="s">
        <v>39</v>
      </c>
      <c r="C8" s="5" t="s">
        <v>40</v>
      </c>
      <c r="D8" s="5" t="s">
        <v>41</v>
      </c>
      <c r="E8" s="5" t="s">
        <v>42</v>
      </c>
      <c r="F8" s="5" t="s">
        <v>43</v>
      </c>
      <c r="G8" s="5" t="s">
        <v>44</v>
      </c>
      <c r="H8" s="6" t="s">
        <v>45</v>
      </c>
      <c r="I8" s="6" t="s">
        <v>46</v>
      </c>
      <c r="T8" s="7" t="s">
        <v>47</v>
      </c>
      <c r="U8" s="7" t="s">
        <v>2</v>
      </c>
      <c r="V8" s="7" t="s">
        <v>7</v>
      </c>
    </row>
    <row r="9" customFormat="false" ht="15" hidden="false" customHeight="false" outlineLevel="0" collapsed="false">
      <c r="B9" s="8" t="s">
        <v>1066</v>
      </c>
      <c r="H9" s="18" t="n">
        <f aca="false">SUMIFS('Role data'!$M$2:$M$550,'Role data'!$C$2:$C$550,"TDD Cyber",'Role data'!$D$2:$D$550,"Identity",'Role data'!$E$2:$E$550,"squad")</f>
        <v>838200.15</v>
      </c>
      <c r="I9" s="18" t="n">
        <f aca="false">SUMIFS('Role data'!$N$2:$N$550,'Role data'!$C$2:$C$550,"TDD Cyber",'Role data'!$D$2:$D$550,"Identity",'Role data'!$E$2:$E$550,"squad")</f>
        <v>838200.15</v>
      </c>
      <c r="T9" s="9" t="s">
        <v>1066</v>
      </c>
      <c r="U9" s="10" t="n">
        <f aca="false">SUMIFS('Role data'!$Q$2:$Q$550,'Role data'!$C$2:$C$550,"TDD Cyber",'Role data'!$D$2:$D$550,"Identity",'Role data'!$E$2:$E$550,"squad")/1000000</f>
        <v>0.67056012</v>
      </c>
      <c r="V9" s="10" t="n">
        <f aca="false">(SUMIFS('Role data'!$N$2:$N$550,'Role data'!$C$2:$C$550,"TDD Cyber",'Role data'!$D$2:$D$550,"Identity",'Role data'!$E$2:$E$550,"squad")-SUMIFS('Role data'!$Q$2:$Q$550,'Role data'!$C$2:$C$550,"TDD Cyber",'Role data'!$D$2:$D$550,"Identity",'Role data'!$E$2:$E$550,"squad"))/1000000</f>
        <v>0.16764003</v>
      </c>
    </row>
    <row r="10" customFormat="false" ht="15" hidden="false" customHeight="false" outlineLevel="0" collapsed="false">
      <c r="B10" s="19" t="s">
        <v>1067</v>
      </c>
      <c r="C10" s="9" t="s">
        <v>1068</v>
      </c>
      <c r="D10" s="9" t="s">
        <v>1069</v>
      </c>
      <c r="E10" s="9" t="s">
        <v>53</v>
      </c>
      <c r="F10" s="9" t="s">
        <v>53</v>
      </c>
      <c r="G10" s="9"/>
      <c r="H10" s="20" t="n">
        <v>258709.65</v>
      </c>
      <c r="I10" s="20" t="n">
        <v>258709.65</v>
      </c>
    </row>
    <row r="11" customFormat="false" ht="15" hidden="false" customHeight="false" outlineLevel="0" collapsed="false">
      <c r="B11" s="19" t="s">
        <v>1070</v>
      </c>
      <c r="C11" s="9" t="s">
        <v>1071</v>
      </c>
      <c r="D11" s="9" t="s">
        <v>1072</v>
      </c>
      <c r="E11" s="9" t="s">
        <v>53</v>
      </c>
      <c r="F11" s="9" t="s">
        <v>53</v>
      </c>
      <c r="G11" s="9"/>
      <c r="H11" s="20" t="n">
        <v>215682.6</v>
      </c>
      <c r="I11" s="20" t="n">
        <v>215682.6</v>
      </c>
    </row>
    <row r="12" customFormat="false" ht="15" hidden="false" customHeight="false" outlineLevel="0" collapsed="false">
      <c r="B12" s="19" t="s">
        <v>1073</v>
      </c>
      <c r="C12" s="9" t="s">
        <v>1074</v>
      </c>
      <c r="D12" s="9" t="s">
        <v>1072</v>
      </c>
      <c r="E12" s="9" t="s">
        <v>53</v>
      </c>
      <c r="F12" s="9" t="s">
        <v>53</v>
      </c>
      <c r="G12" s="9"/>
      <c r="H12" s="20" t="n">
        <v>190675</v>
      </c>
      <c r="I12" s="20" t="n">
        <v>190675</v>
      </c>
    </row>
    <row r="13" customFormat="false" ht="15" hidden="false" customHeight="false" outlineLevel="0" collapsed="false">
      <c r="B13" s="19" t="s">
        <v>1075</v>
      </c>
      <c r="C13" s="9" t="s">
        <v>1076</v>
      </c>
      <c r="D13" s="9" t="s">
        <v>1072</v>
      </c>
      <c r="E13" s="9" t="s">
        <v>53</v>
      </c>
      <c r="F13" s="9" t="s">
        <v>53</v>
      </c>
      <c r="G13" s="9"/>
      <c r="H13" s="20" t="n">
        <v>173132.9</v>
      </c>
      <c r="I13" s="20" t="n">
        <v>173132.9</v>
      </c>
    </row>
    <row r="14" customFormat="false" ht="15" hidden="false" customHeight="false" outlineLevel="0" collapsed="false">
      <c r="B14" s="8" t="s">
        <v>1077</v>
      </c>
      <c r="H14" s="18" t="n">
        <f aca="false">SUMIFS('Role data'!$M$2:$M$550,'Role data'!$C$2:$C$550,"TDD Cyber",'Role data'!$D$2:$D$550,"Cyber Uplift",'Role data'!$E$2:$E$550,"sig")</f>
        <v>1299996.55</v>
      </c>
      <c r="I14" s="18" t="n">
        <f aca="false">SUMIFS('Role data'!$N$2:$N$550,'Role data'!$C$2:$C$550,"TDD Cyber",'Role data'!$D$2:$D$550,"Cyber Uplift",'Role data'!$E$2:$E$550,"sig")</f>
        <v>1299996.55</v>
      </c>
    </row>
    <row r="15" customFormat="false" ht="15" hidden="false" customHeight="false" outlineLevel="0" collapsed="false">
      <c r="B15" s="19" t="s">
        <v>1078</v>
      </c>
      <c r="C15" s="9" t="s">
        <v>1079</v>
      </c>
      <c r="D15" s="9" t="s">
        <v>1080</v>
      </c>
      <c r="E15" s="9" t="s">
        <v>53</v>
      </c>
      <c r="F15" s="9" t="s">
        <v>53</v>
      </c>
      <c r="G15" s="9"/>
      <c r="H15" s="20" t="n">
        <v>315674.35</v>
      </c>
      <c r="I15" s="20" t="n">
        <v>315674.35</v>
      </c>
    </row>
    <row r="16" customFormat="false" ht="15" hidden="false" customHeight="false" outlineLevel="0" collapsed="false">
      <c r="B16" s="19" t="s">
        <v>1081</v>
      </c>
      <c r="C16" s="9" t="s">
        <v>1082</v>
      </c>
      <c r="D16" s="9" t="s">
        <v>1083</v>
      </c>
      <c r="E16" s="9" t="s">
        <v>53</v>
      </c>
      <c r="F16" s="9" t="s">
        <v>53</v>
      </c>
      <c r="G16" s="9"/>
      <c r="H16" s="20" t="n">
        <v>284982.45</v>
      </c>
      <c r="I16" s="20" t="n">
        <v>284982.45</v>
      </c>
    </row>
    <row r="17" customFormat="false" ht="15" hidden="false" customHeight="false" outlineLevel="0" collapsed="false">
      <c r="B17" s="19" t="s">
        <v>1084</v>
      </c>
      <c r="C17" s="9" t="s">
        <v>1085</v>
      </c>
      <c r="D17" s="9" t="s">
        <v>1086</v>
      </c>
      <c r="E17" s="9" t="s">
        <v>53</v>
      </c>
      <c r="F17" s="9" t="s">
        <v>53</v>
      </c>
      <c r="G17" s="9"/>
      <c r="H17" s="20" t="n">
        <v>258576.15</v>
      </c>
      <c r="I17" s="20" t="n">
        <v>258576.15</v>
      </c>
    </row>
    <row r="18" customFormat="false" ht="15" hidden="false" customHeight="false" outlineLevel="0" collapsed="false">
      <c r="B18" s="19" t="s">
        <v>1087</v>
      </c>
      <c r="C18" s="9" t="s">
        <v>1088</v>
      </c>
      <c r="D18" s="9" t="s">
        <v>1089</v>
      </c>
      <c r="E18" s="9" t="s">
        <v>53</v>
      </c>
      <c r="F18" s="9" t="s">
        <v>53</v>
      </c>
      <c r="G18" s="9"/>
      <c r="H18" s="20" t="n">
        <v>227163.6</v>
      </c>
      <c r="I18" s="20" t="n">
        <v>227163.6</v>
      </c>
    </row>
    <row r="19" customFormat="false" ht="15" hidden="false" customHeight="false" outlineLevel="0" collapsed="false">
      <c r="B19" s="19" t="s">
        <v>1090</v>
      </c>
      <c r="C19" s="9" t="s">
        <v>1091</v>
      </c>
      <c r="D19" s="9" t="s">
        <v>1092</v>
      </c>
      <c r="E19" s="9" t="s">
        <v>53</v>
      </c>
      <c r="F19" s="9" t="s">
        <v>53</v>
      </c>
      <c r="G19" s="9"/>
      <c r="H19" s="20" t="n">
        <v>213600</v>
      </c>
      <c r="I19" s="20" t="n">
        <v>213600</v>
      </c>
    </row>
    <row r="20" customFormat="false" ht="15" hidden="false" customHeight="false" outlineLevel="0" collapsed="false">
      <c r="B20" s="13" t="s">
        <v>38</v>
      </c>
      <c r="C20" s="21"/>
      <c r="D20" s="21"/>
      <c r="E20" s="21"/>
      <c r="F20" s="21"/>
      <c r="G20" s="21"/>
      <c r="H20" s="22" t="n">
        <f aca="false">SUMIFS('Role data'!$M$2:$M$550,'Role data'!$C$2:$C$550,"TDD Cyber")</f>
        <v>2138196.7</v>
      </c>
      <c r="I20" s="22" t="n">
        <f aca="false">SUMIFS('Role data'!$N$2:$N$550,'Role data'!$C$2:$C$550,"TDD Cyber")</f>
        <v>2138196.7</v>
      </c>
    </row>
  </sheetData>
  <sheetProtection sheet="true" password="c5c5"/>
  <mergeCells count="7">
    <mergeCell ref="C5:C6"/>
    <mergeCell ref="D5:D6"/>
    <mergeCell ref="E5:E6"/>
    <mergeCell ref="F5:F6"/>
    <mergeCell ref="G5:G6"/>
    <mergeCell ref="H5:H6"/>
    <mergeCell ref="I5:I6"/>
  </mergeCells>
  <conditionalFormatting sqref="F5">
    <cfRule type="cellIs" priority="2" operator="greaterThan" aboveAverage="0" equalAverage="0" bottom="0" percent="0" rank="0" text="" dxfId="0">
      <formula>0</formula>
    </cfRule>
  </conditionalFormatting>
  <conditionalFormatting sqref="H10:H13 H15:H19">
    <cfRule type="dataBar" priority="3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{71998898-7C70-46A5-A42C-479663B4B4D6}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998898-7C70-46A5-A42C-479663B4B4D6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H10:H13 H15:H19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8"/>
    <col collapsed="false" customWidth="true" hidden="false" outlineLevel="0" max="3" min="3" style="0" width="17.5"/>
    <col collapsed="false" customWidth="true" hidden="false" outlineLevel="0" max="4" min="4" style="0" width="32.5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22" min="20" style="0" width="13"/>
  </cols>
  <sheetData>
    <row r="2" customFormat="false" ht="17.35" hidden="false" customHeight="false" outlineLevel="0" collapsed="false">
      <c r="B2" s="1" t="s">
        <v>36</v>
      </c>
    </row>
    <row r="4" customFormat="false" ht="42" hidden="false" customHeight="true" outlineLevel="0" collapsed="false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customFormat="false" ht="19.5" hidden="false" customHeight="true" outlineLevel="0" collapsed="false">
      <c r="C5" s="16" t="n">
        <f aca="false">'TDD Dashboard'!$C$30</f>
        <v>5.15081935</v>
      </c>
      <c r="D5" s="16" t="n">
        <f aca="false">'TDD Dashboard'!$D$30</f>
        <v>0</v>
      </c>
      <c r="E5" s="16" t="n">
        <f aca="false">'TDD Dashboard'!$E$30</f>
        <v>0</v>
      </c>
      <c r="F5" s="16" t="n">
        <f aca="false">'TDD Dashboard'!$F$30</f>
        <v>0</v>
      </c>
      <c r="G5" s="17" t="n">
        <f aca="false">'TDD Dashboard'!$G$30</f>
        <v>0</v>
      </c>
      <c r="H5" s="16" t="n">
        <f aca="false">'TDD Dashboard'!$H$30</f>
        <v>5.15081935</v>
      </c>
      <c r="I5" s="16" t="n">
        <f aca="false">'TDD Dashboard'!$I$30</f>
        <v>0</v>
      </c>
    </row>
    <row r="6" customFormat="false" ht="19.5" hidden="false" customHeight="true" outlineLevel="0" collapsed="false">
      <c r="C6" s="16"/>
      <c r="D6" s="16"/>
      <c r="E6" s="16"/>
      <c r="F6" s="16"/>
      <c r="G6" s="16"/>
      <c r="H6" s="16"/>
      <c r="I6" s="16"/>
    </row>
    <row r="8" customFormat="false" ht="45" hidden="false" customHeight="true" outlineLevel="0" collapsed="false">
      <c r="B8" s="5" t="s">
        <v>39</v>
      </c>
      <c r="C8" s="5" t="s">
        <v>40</v>
      </c>
      <c r="D8" s="5" t="s">
        <v>41</v>
      </c>
      <c r="E8" s="5" t="s">
        <v>42</v>
      </c>
      <c r="F8" s="5" t="s">
        <v>43</v>
      </c>
      <c r="G8" s="5" t="s">
        <v>44</v>
      </c>
      <c r="H8" s="6" t="s">
        <v>45</v>
      </c>
      <c r="I8" s="6" t="s">
        <v>46</v>
      </c>
    </row>
    <row r="9" customFormat="false" ht="15" hidden="false" customHeight="false" outlineLevel="0" collapsed="false">
      <c r="B9" s="19" t="s">
        <v>1093</v>
      </c>
      <c r="C9" s="9" t="s">
        <v>1094</v>
      </c>
      <c r="D9" s="9" t="s">
        <v>1095</v>
      </c>
      <c r="E9" s="9" t="s">
        <v>53</v>
      </c>
      <c r="F9" s="9" t="s">
        <v>53</v>
      </c>
      <c r="G9" s="9"/>
      <c r="H9" s="20" t="n">
        <v>488400</v>
      </c>
      <c r="I9" s="20" t="n">
        <v>488400</v>
      </c>
    </row>
    <row r="10" customFormat="false" ht="15" hidden="false" customHeight="false" outlineLevel="0" collapsed="false">
      <c r="B10" s="19" t="s">
        <v>1096</v>
      </c>
      <c r="C10" s="9" t="s">
        <v>1097</v>
      </c>
      <c r="D10" s="9" t="s">
        <v>1098</v>
      </c>
      <c r="E10" s="9" t="s">
        <v>53</v>
      </c>
      <c r="F10" s="9" t="s">
        <v>53</v>
      </c>
      <c r="G10" s="9"/>
      <c r="H10" s="20" t="n">
        <v>343158.72</v>
      </c>
      <c r="I10" s="20" t="n">
        <v>343158.72</v>
      </c>
    </row>
    <row r="11" customFormat="false" ht="15" hidden="false" customHeight="false" outlineLevel="0" collapsed="false">
      <c r="B11" s="19" t="s">
        <v>1099</v>
      </c>
      <c r="C11" s="9" t="s">
        <v>1100</v>
      </c>
      <c r="D11" s="9" t="s">
        <v>1101</v>
      </c>
      <c r="E11" s="9" t="s">
        <v>53</v>
      </c>
      <c r="F11" s="9" t="s">
        <v>53</v>
      </c>
      <c r="G11" s="9"/>
      <c r="H11" s="20" t="n">
        <v>333000</v>
      </c>
      <c r="I11" s="20" t="n">
        <v>333000</v>
      </c>
    </row>
    <row r="12" customFormat="false" ht="15" hidden="false" customHeight="false" outlineLevel="0" collapsed="false">
      <c r="B12" s="19" t="s">
        <v>1102</v>
      </c>
      <c r="C12" s="9" t="s">
        <v>1103</v>
      </c>
      <c r="D12" s="9" t="s">
        <v>1104</v>
      </c>
      <c r="E12" s="9" t="s">
        <v>53</v>
      </c>
      <c r="F12" s="9" t="s">
        <v>53</v>
      </c>
      <c r="G12" s="9"/>
      <c r="H12" s="20" t="n">
        <v>325464.15</v>
      </c>
      <c r="I12" s="20" t="n">
        <v>325464.15</v>
      </c>
    </row>
    <row r="13" customFormat="false" ht="15" hidden="false" customHeight="false" outlineLevel="0" collapsed="false">
      <c r="B13" s="19" t="s">
        <v>1105</v>
      </c>
      <c r="C13" s="9" t="s">
        <v>1106</v>
      </c>
      <c r="D13" s="9" t="s">
        <v>1107</v>
      </c>
      <c r="E13" s="9" t="s">
        <v>53</v>
      </c>
      <c r="F13" s="9" t="s">
        <v>53</v>
      </c>
      <c r="G13" s="9"/>
      <c r="H13" s="20" t="n">
        <v>310800</v>
      </c>
      <c r="I13" s="20" t="n">
        <v>310800</v>
      </c>
    </row>
    <row r="14" customFormat="false" ht="15" hidden="false" customHeight="false" outlineLevel="0" collapsed="false">
      <c r="B14" s="19" t="s">
        <v>1108</v>
      </c>
      <c r="C14" s="9" t="s">
        <v>1109</v>
      </c>
      <c r="D14" s="9" t="s">
        <v>1110</v>
      </c>
      <c r="E14" s="9" t="s">
        <v>53</v>
      </c>
      <c r="F14" s="9" t="s">
        <v>53</v>
      </c>
      <c r="G14" s="9"/>
      <c r="H14" s="20" t="n">
        <v>301254</v>
      </c>
      <c r="I14" s="20" t="n">
        <v>301254</v>
      </c>
    </row>
    <row r="15" customFormat="false" ht="15" hidden="false" customHeight="false" outlineLevel="0" collapsed="false">
      <c r="B15" s="19" t="s">
        <v>1111</v>
      </c>
      <c r="C15" s="9" t="s">
        <v>1112</v>
      </c>
      <c r="D15" s="9" t="s">
        <v>1110</v>
      </c>
      <c r="E15" s="9" t="s">
        <v>53</v>
      </c>
      <c r="F15" s="9" t="s">
        <v>53</v>
      </c>
      <c r="G15" s="9"/>
      <c r="H15" s="20" t="n">
        <v>299700</v>
      </c>
      <c r="I15" s="20" t="n">
        <v>299700</v>
      </c>
    </row>
    <row r="16" customFormat="false" ht="15" hidden="false" customHeight="false" outlineLevel="0" collapsed="false">
      <c r="B16" s="19" t="s">
        <v>1113</v>
      </c>
      <c r="C16" s="9" t="s">
        <v>1114</v>
      </c>
      <c r="D16" s="9" t="s">
        <v>1115</v>
      </c>
      <c r="E16" s="9" t="s">
        <v>53</v>
      </c>
      <c r="F16" s="9" t="s">
        <v>53</v>
      </c>
      <c r="G16" s="9"/>
      <c r="H16" s="20" t="n">
        <v>277500</v>
      </c>
      <c r="I16" s="20" t="n">
        <v>277500</v>
      </c>
    </row>
    <row r="17" customFormat="false" ht="15" hidden="false" customHeight="false" outlineLevel="0" collapsed="false">
      <c r="B17" s="19" t="s">
        <v>1116</v>
      </c>
      <c r="C17" s="9" t="s">
        <v>1117</v>
      </c>
      <c r="D17" s="9" t="s">
        <v>1118</v>
      </c>
      <c r="E17" s="9" t="s">
        <v>53</v>
      </c>
      <c r="F17" s="9" t="s">
        <v>53</v>
      </c>
      <c r="G17" s="9"/>
      <c r="H17" s="20" t="n">
        <v>277500</v>
      </c>
      <c r="I17" s="20" t="n">
        <v>277500</v>
      </c>
    </row>
    <row r="18" customFormat="false" ht="15" hidden="false" customHeight="false" outlineLevel="0" collapsed="false">
      <c r="B18" s="19" t="s">
        <v>1119</v>
      </c>
      <c r="C18" s="9" t="s">
        <v>1120</v>
      </c>
      <c r="D18" s="9" t="s">
        <v>1121</v>
      </c>
      <c r="E18" s="9" t="s">
        <v>53</v>
      </c>
      <c r="F18" s="9" t="s">
        <v>53</v>
      </c>
      <c r="G18" s="9"/>
      <c r="H18" s="20" t="n">
        <v>273504</v>
      </c>
      <c r="I18" s="20" t="n">
        <v>273504</v>
      </c>
    </row>
    <row r="19" customFormat="false" ht="15" hidden="false" customHeight="false" outlineLevel="0" collapsed="false">
      <c r="B19" s="19" t="s">
        <v>1122</v>
      </c>
      <c r="C19" s="9" t="s">
        <v>1123</v>
      </c>
      <c r="D19" s="9" t="s">
        <v>1124</v>
      </c>
      <c r="E19" s="9" t="s">
        <v>53</v>
      </c>
      <c r="F19" s="9" t="s">
        <v>53</v>
      </c>
      <c r="G19" s="9"/>
      <c r="H19" s="20" t="n">
        <v>266400</v>
      </c>
      <c r="I19" s="20" t="n">
        <v>266400</v>
      </c>
    </row>
    <row r="20" customFormat="false" ht="15" hidden="false" customHeight="false" outlineLevel="0" collapsed="false">
      <c r="B20" s="19" t="s">
        <v>1125</v>
      </c>
      <c r="C20" s="9" t="s">
        <v>1126</v>
      </c>
      <c r="D20" s="9" t="s">
        <v>1127</v>
      </c>
      <c r="E20" s="9" t="s">
        <v>53</v>
      </c>
      <c r="F20" s="9" t="s">
        <v>53</v>
      </c>
      <c r="G20" s="9"/>
      <c r="H20" s="20" t="n">
        <v>266400</v>
      </c>
      <c r="I20" s="20" t="n">
        <v>266400</v>
      </c>
    </row>
    <row r="21" customFormat="false" ht="15" hidden="false" customHeight="false" outlineLevel="0" collapsed="false">
      <c r="B21" s="19" t="s">
        <v>1128</v>
      </c>
      <c r="C21" s="9" t="s">
        <v>1129</v>
      </c>
      <c r="D21" s="9" t="s">
        <v>1130</v>
      </c>
      <c r="E21" s="9" t="s">
        <v>53</v>
      </c>
      <c r="F21" s="9" t="s">
        <v>53</v>
      </c>
      <c r="G21" s="9"/>
      <c r="H21" s="20" t="n">
        <v>244200</v>
      </c>
      <c r="I21" s="20" t="n">
        <v>244200</v>
      </c>
    </row>
    <row r="22" customFormat="false" ht="15" hidden="false" customHeight="false" outlineLevel="0" collapsed="false">
      <c r="B22" s="19" t="s">
        <v>1131</v>
      </c>
      <c r="C22" s="9" t="s">
        <v>1132</v>
      </c>
      <c r="D22" s="9" t="s">
        <v>1133</v>
      </c>
      <c r="E22" s="9" t="s">
        <v>53</v>
      </c>
      <c r="F22" s="9" t="s">
        <v>53</v>
      </c>
      <c r="G22" s="9"/>
      <c r="H22" s="20" t="n">
        <v>244200</v>
      </c>
      <c r="I22" s="20" t="n">
        <v>244200</v>
      </c>
    </row>
    <row r="23" customFormat="false" ht="15" hidden="false" customHeight="false" outlineLevel="0" collapsed="false">
      <c r="B23" s="19" t="s">
        <v>1134</v>
      </c>
      <c r="C23" s="9" t="s">
        <v>1135</v>
      </c>
      <c r="D23" s="9" t="s">
        <v>1136</v>
      </c>
      <c r="E23" s="9" t="s">
        <v>53</v>
      </c>
      <c r="F23" s="9" t="s">
        <v>53</v>
      </c>
      <c r="G23" s="9"/>
      <c r="H23" s="20" t="n">
        <v>239502.48</v>
      </c>
      <c r="I23" s="20" t="n">
        <v>239502.48</v>
      </c>
    </row>
    <row r="24" customFormat="false" ht="15" hidden="false" customHeight="false" outlineLevel="0" collapsed="false">
      <c r="B24" s="19" t="s">
        <v>1137</v>
      </c>
      <c r="C24" s="9" t="s">
        <v>1138</v>
      </c>
      <c r="D24" s="9" t="s">
        <v>1110</v>
      </c>
      <c r="E24" s="9" t="s">
        <v>53</v>
      </c>
      <c r="F24" s="9" t="s">
        <v>53</v>
      </c>
      <c r="G24" s="9"/>
      <c r="H24" s="20" t="n">
        <v>230436</v>
      </c>
      <c r="I24" s="20" t="n">
        <v>230436</v>
      </c>
    </row>
    <row r="25" customFormat="false" ht="15" hidden="false" customHeight="false" outlineLevel="0" collapsed="false">
      <c r="B25" s="19" t="s">
        <v>1139</v>
      </c>
      <c r="C25" s="9" t="s">
        <v>1140</v>
      </c>
      <c r="D25" s="9" t="s">
        <v>1141</v>
      </c>
      <c r="E25" s="9" t="s">
        <v>53</v>
      </c>
      <c r="F25" s="9" t="s">
        <v>53</v>
      </c>
      <c r="G25" s="9"/>
      <c r="H25" s="20" t="n">
        <v>222000</v>
      </c>
      <c r="I25" s="20" t="n">
        <v>222000</v>
      </c>
    </row>
    <row r="26" customFormat="false" ht="15" hidden="false" customHeight="false" outlineLevel="0" collapsed="false">
      <c r="B26" s="19" t="s">
        <v>1142</v>
      </c>
      <c r="C26" s="9" t="s">
        <v>1143</v>
      </c>
      <c r="D26" s="9" t="s">
        <v>1144</v>
      </c>
      <c r="E26" s="9" t="s">
        <v>53</v>
      </c>
      <c r="F26" s="9" t="s">
        <v>53</v>
      </c>
      <c r="G26" s="9"/>
      <c r="H26" s="20" t="n">
        <v>207400</v>
      </c>
      <c r="I26" s="20" t="n">
        <v>207400</v>
      </c>
    </row>
    <row r="27" customFormat="false" ht="15" hidden="false" customHeight="false" outlineLevel="0" collapsed="false">
      <c r="B27" s="13" t="s">
        <v>38</v>
      </c>
      <c r="C27" s="21"/>
      <c r="D27" s="21"/>
      <c r="E27" s="21"/>
      <c r="F27" s="21"/>
      <c r="G27" s="21"/>
      <c r="H27" s="22" t="n">
        <f aca="false">SUMIFS('Role data'!$M$2:$M$550,'Role data'!$C$2:$C$550,"EGI")</f>
        <v>5150819.35</v>
      </c>
      <c r="I27" s="22" t="n">
        <f aca="false">SUMIFS('Role data'!$N$2:$N$550,'Role data'!$C$2:$C$550,"EGI")</f>
        <v>5150819.35</v>
      </c>
    </row>
  </sheetData>
  <sheetProtection sheet="true" password="c5c5"/>
  <mergeCells count="7">
    <mergeCell ref="C5:C6"/>
    <mergeCell ref="D5:D6"/>
    <mergeCell ref="E5:E6"/>
    <mergeCell ref="F5:F6"/>
    <mergeCell ref="G5:G6"/>
    <mergeCell ref="H5:H6"/>
    <mergeCell ref="I5:I6"/>
  </mergeCells>
  <conditionalFormatting sqref="F5">
    <cfRule type="cellIs" priority="2" operator="greaterThan" aboveAverage="0" equalAverage="0" bottom="0" percent="0" rank="0" text="" dxfId="0">
      <formula>0</formula>
    </cfRule>
  </conditionalFormatting>
  <conditionalFormatting sqref="H9:H26">
    <cfRule type="dataBar" priority="3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{EA4FBE88-3CAB-4E74-B08A-6BDEF7844F64}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FBE88-3CAB-4E74-B08A-6BDEF7844F64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H9:H26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34"/>
    <col collapsed="false" customWidth="true" hidden="false" outlineLevel="0" max="4" min="3" style="0" width="10"/>
    <col collapsed="false" customWidth="true" hidden="false" outlineLevel="0" max="5" min="5" style="0" width="15"/>
    <col collapsed="false" customWidth="true" hidden="false" outlineLevel="0" max="7" min="6" style="0" width="16"/>
    <col collapsed="false" customWidth="true" hidden="false" outlineLevel="0" max="8" min="8" style="0" width="12"/>
  </cols>
  <sheetData>
    <row r="2" customFormat="false" ht="17.35" hidden="false" customHeight="false" outlineLevel="0" collapsed="false">
      <c r="B2" s="1" t="s">
        <v>1145</v>
      </c>
    </row>
    <row r="4" customFormat="false" ht="45" hidden="false" customHeight="true" outlineLevel="0" collapsed="false">
      <c r="B4" s="5" t="s">
        <v>1146</v>
      </c>
      <c r="C4" s="6" t="s">
        <v>1147</v>
      </c>
      <c r="D4" s="6" t="s">
        <v>1148</v>
      </c>
      <c r="E4" s="6" t="s">
        <v>1</v>
      </c>
      <c r="F4" s="6" t="s">
        <v>2</v>
      </c>
      <c r="G4" s="6" t="s">
        <v>7</v>
      </c>
      <c r="H4" s="6" t="s">
        <v>5</v>
      </c>
    </row>
    <row r="5" customFormat="false" ht="15" hidden="false" customHeight="false" outlineLevel="0" collapsed="false">
      <c r="B5" s="11" t="s">
        <v>1149</v>
      </c>
      <c r="C5" s="24" t="n">
        <f aca="false">COUNTIFS('Role data'!$K$2:$K$550,"TDD",'Role data'!$E$2:$E$550,"squad")</f>
        <v>36</v>
      </c>
      <c r="D5" s="25" t="n">
        <f aca="false">SUMIFS('Role data'!$I$2:$I$550,'Role data'!$K$2:$K$550,"TDD",'Role data'!$E$2:$E$550,"squad")</f>
        <v>36</v>
      </c>
      <c r="E5" s="10" t="n">
        <f aca="false">SUMIFS('Role data'!$N$2:$N$550,'Role data'!$K$2:$K$550,"TDD",'Role data'!$E$2:$E$550,"squad")/1000000</f>
        <v>5.45075309864348</v>
      </c>
      <c r="F5" s="10" t="n">
        <f aca="false">SUMIFS('Role data'!$Q$2:$Q$550,'Role data'!$K$2:$K$550,"TDD",'Role data'!$E$2:$E$550,"squad")/1000000</f>
        <v>3.45259504492174</v>
      </c>
      <c r="G5" s="10" t="n">
        <f aca="false">$E5-$F5</f>
        <v>1.99815805372174</v>
      </c>
      <c r="H5" s="12" t="n">
        <f aca="false">$F5/$E5</f>
        <v>0.633416150473039</v>
      </c>
    </row>
    <row r="6" customFormat="false" ht="15" hidden="false" customHeight="false" outlineLevel="0" collapsed="false">
      <c r="B6" s="11" t="s">
        <v>67</v>
      </c>
      <c r="C6" s="24" t="n">
        <f aca="false">COUNTIFS('Role data'!$K$2:$K$550,"Store Operations",'Role data'!$E$2:$E$550,"squad")</f>
        <v>25</v>
      </c>
      <c r="D6" s="25" t="n">
        <f aca="false">SUMIFS('Role data'!$I$2:$I$550,'Role data'!$K$2:$K$550,"Store Operations",'Role data'!$E$2:$E$550,"squad")</f>
        <v>25</v>
      </c>
      <c r="E6" s="10" t="n">
        <f aca="false">SUMIFS('Role data'!$N$2:$N$550,'Role data'!$K$2:$K$550,"Store Operations",'Role data'!$E$2:$E$550,"squad")/1000000</f>
        <v>3.98492830875</v>
      </c>
      <c r="F6" s="10" t="n">
        <f aca="false">SUMIFS('Role data'!$Q$2:$Q$550,'Role data'!$K$2:$K$550,"Store Operations",'Role data'!$E$2:$E$550,"squad")/1000000</f>
        <v>2.2936788373375</v>
      </c>
      <c r="G6" s="10" t="n">
        <f aca="false">$E6-$F6</f>
        <v>1.6912494714125</v>
      </c>
      <c r="H6" s="12" t="n">
        <f aca="false">$F6/$E6</f>
        <v>0.575588482307474</v>
      </c>
    </row>
    <row r="7" customFormat="false" ht="15" hidden="false" customHeight="false" outlineLevel="0" collapsed="false">
      <c r="B7" s="11" t="s">
        <v>1150</v>
      </c>
      <c r="C7" s="24" t="n">
        <f aca="false">COUNTIFS('Role data'!$K$2:$K$550,"Ampol Digital",'Role data'!$E$2:$E$550,"squad")</f>
        <v>29</v>
      </c>
      <c r="D7" s="25" t="n">
        <f aca="false">SUMIFS('Role data'!$I$2:$I$550,'Role data'!$K$2:$K$550,"Ampol Digital",'Role data'!$E$2:$E$550,"squad")</f>
        <v>29</v>
      </c>
      <c r="E7" s="10" t="n">
        <f aca="false">SUMIFS('Role data'!$N$2:$N$550,'Role data'!$K$2:$K$550,"Ampol Digital",'Role data'!$E$2:$E$550,"squad")/1000000</f>
        <v>3.68887232976</v>
      </c>
      <c r="F7" s="10" t="n">
        <f aca="false">SUMIFS('Role data'!$Q$2:$Q$550,'Role data'!$K$2:$K$550,"Ampol Digital",'Role data'!$E$2:$E$550,"squad")/1000000</f>
        <v>1.162516881964</v>
      </c>
      <c r="G7" s="10" t="n">
        <f aca="false">$E7-$F7</f>
        <v>2.526355447796</v>
      </c>
      <c r="H7" s="12" t="n">
        <f aca="false">$F7/$E7</f>
        <v>0.315141533249982</v>
      </c>
    </row>
    <row r="8" customFormat="false" ht="15" hidden="false" customHeight="false" outlineLevel="0" collapsed="false">
      <c r="B8" s="11" t="s">
        <v>517</v>
      </c>
      <c r="C8" s="24" t="n">
        <f aca="false">COUNTIFS('Role data'!$K$2:$K$550,"Trading &amp; Shipping",'Role data'!$E$2:$E$550,"squad")</f>
        <v>19</v>
      </c>
      <c r="D8" s="25" t="n">
        <f aca="false">SUMIFS('Role data'!$I$2:$I$550,'Role data'!$K$2:$K$550,"Trading &amp; Shipping",'Role data'!$E$2:$E$550,"squad")</f>
        <v>19</v>
      </c>
      <c r="E8" s="10" t="n">
        <f aca="false">SUMIFS('Role data'!$N$2:$N$550,'Role data'!$K$2:$K$550,"Trading &amp; Shipping",'Role data'!$E$2:$E$550,"squad")/1000000</f>
        <v>3.5285773138</v>
      </c>
      <c r="F8" s="10" t="n">
        <f aca="false">SUMIFS('Role data'!$Q$2:$Q$550,'Role data'!$K$2:$K$550,"Trading &amp; Shipping",'Role data'!$E$2:$E$550,"squad")/1000000</f>
        <v>0.50278987484</v>
      </c>
      <c r="G8" s="10" t="n">
        <f aca="false">$E8-$F8</f>
        <v>3.02578743896</v>
      </c>
      <c r="H8" s="12" t="n">
        <f aca="false">$F8/$E8</f>
        <v>0.142490819989582</v>
      </c>
    </row>
    <row r="9" customFormat="false" ht="15" hidden="false" customHeight="false" outlineLevel="0" collapsed="false">
      <c r="B9" s="11" t="s">
        <v>1151</v>
      </c>
      <c r="C9" s="24" t="n">
        <f aca="false">COUNTIFS('Role data'!$K$2:$K$550,"Group Data",'Role data'!$E$2:$E$550,"squad")</f>
        <v>27</v>
      </c>
      <c r="D9" s="25" t="n">
        <f aca="false">SUMIFS('Role data'!$I$2:$I$550,'Role data'!$K$2:$K$550,"Group Data",'Role data'!$E$2:$E$550,"squad")</f>
        <v>26.6</v>
      </c>
      <c r="E9" s="10" t="n">
        <f aca="false">SUMIFS('Role data'!$N$2:$N$550,'Role data'!$K$2:$K$550,"Group Data",'Role data'!$E$2:$E$550,"squad")/1000000</f>
        <v>3.366140256</v>
      </c>
      <c r="F9" s="10" t="n">
        <f aca="false">SUMIFS('Role data'!$Q$2:$Q$550,'Role data'!$K$2:$K$550,"Group Data",'Role data'!$E$2:$E$550,"squad")/1000000</f>
        <v>1.6853119873</v>
      </c>
      <c r="G9" s="10" t="n">
        <f aca="false">$E9-$F9</f>
        <v>1.6808282687</v>
      </c>
      <c r="H9" s="12" t="n">
        <f aca="false">$F9/$E9</f>
        <v>0.500666002937936</v>
      </c>
    </row>
    <row r="10" customFormat="false" ht="15" hidden="false" customHeight="false" outlineLevel="0" collapsed="false">
      <c r="B10" s="11" t="s">
        <v>19</v>
      </c>
      <c r="C10" s="24" t="n">
        <f aca="false">COUNTIFS('Role data'!$K$2:$K$550,"Z Customer",'Role data'!$E$2:$E$550,"squad")</f>
        <v>18</v>
      </c>
      <c r="D10" s="25" t="n">
        <f aca="false">SUMIFS('Role data'!$I$2:$I$550,'Role data'!$K$2:$K$550,"Z Customer",'Role data'!$E$2:$E$550,"squad")</f>
        <v>18</v>
      </c>
      <c r="E10" s="10" t="n">
        <f aca="false">SUMIFS('Role data'!$N$2:$N$550,'Role data'!$K$2:$K$550,"Z Customer",'Role data'!$E$2:$E$550,"squad")/1000000</f>
        <v>3.061843176</v>
      </c>
      <c r="F10" s="10" t="n">
        <f aca="false">SUMIFS('Role data'!$Q$2:$Q$550,'Role data'!$K$2:$K$550,"Z Customer",'Role data'!$E$2:$E$550,"squad")/1000000</f>
        <v>2.4494745408</v>
      </c>
      <c r="G10" s="10" t="n">
        <f aca="false">$E10-$F10</f>
        <v>0.6123686352</v>
      </c>
      <c r="H10" s="12" t="n">
        <f aca="false">$F10/$E10</f>
        <v>0.8</v>
      </c>
    </row>
    <row r="11" customFormat="false" ht="15" hidden="false" customHeight="false" outlineLevel="0" collapsed="false">
      <c r="B11" s="11" t="s">
        <v>1152</v>
      </c>
      <c r="C11" s="24" t="n">
        <f aca="false">COUNTIFS('Role data'!$K$2:$K$550,"Energy Solutions",'Role data'!$E$2:$E$550,"squad")</f>
        <v>15</v>
      </c>
      <c r="D11" s="25" t="n">
        <f aca="false">SUMIFS('Role data'!$I$2:$I$550,'Role data'!$K$2:$K$550,"Energy Solutions",'Role data'!$E$2:$E$550,"squad")</f>
        <v>15</v>
      </c>
      <c r="E11" s="10" t="n">
        <f aca="false">SUMIFS('Role data'!$N$2:$N$550,'Role data'!$K$2:$K$550,"Energy Solutions",'Role data'!$E$2:$E$550,"squad")/1000000</f>
        <v>2.6436781555</v>
      </c>
      <c r="F11" s="10" t="n">
        <f aca="false">SUMIFS('Role data'!$Q$2:$Q$550,'Role data'!$K$2:$K$550,"Energy Solutions",'Role data'!$E$2:$E$550,"squad")/1000000</f>
        <v>0.396551723325</v>
      </c>
      <c r="G11" s="10" t="n">
        <f aca="false">$E11-$F11</f>
        <v>2.247126432175</v>
      </c>
      <c r="H11" s="12" t="n">
        <f aca="false">$F11/$E11</f>
        <v>0.15</v>
      </c>
    </row>
    <row r="12" customFormat="false" ht="15" hidden="false" customHeight="false" outlineLevel="0" collapsed="false">
      <c r="B12" s="11" t="s">
        <v>26</v>
      </c>
      <c r="C12" s="24" t="n">
        <f aca="false">COUNTIFS('Role data'!$K$2:$K$550,"P&amp;C",'Role data'!$E$2:$E$550,"squad")</f>
        <v>13</v>
      </c>
      <c r="D12" s="25" t="n">
        <f aca="false">SUMIFS('Role data'!$I$2:$I$550,'Role data'!$K$2:$K$550,"P&amp;C",'Role data'!$E$2:$E$550,"squad")</f>
        <v>13</v>
      </c>
      <c r="E12" s="10" t="n">
        <f aca="false">SUMIFS('Role data'!$N$2:$N$550,'Role data'!$K$2:$K$550,"P&amp;C",'Role data'!$E$2:$E$550,"squad")/1000000</f>
        <v>2.42580643</v>
      </c>
      <c r="F12" s="10" t="n">
        <f aca="false">SUMIFS('Role data'!$Q$2:$Q$550,'Role data'!$K$2:$K$550,"P&amp;C",'Role data'!$E$2:$E$550,"squad")/1000000</f>
        <v>0.3638709645</v>
      </c>
      <c r="G12" s="10" t="n">
        <f aca="false">$E12-$F12</f>
        <v>2.0619354655</v>
      </c>
      <c r="H12" s="12" t="n">
        <f aca="false">$F12/$E12</f>
        <v>0.15</v>
      </c>
    </row>
    <row r="13" customFormat="false" ht="15" hidden="false" customHeight="false" outlineLevel="0" collapsed="false">
      <c r="B13" s="11" t="s">
        <v>464</v>
      </c>
      <c r="C13" s="24" t="n">
        <f aca="false">COUNTIFS('Role data'!$K$2:$K$550,"Z Loyalty &amp; Martech",'Role data'!$E$2:$E$550,"squad")</f>
        <v>15</v>
      </c>
      <c r="D13" s="25" t="n">
        <f aca="false">SUMIFS('Role data'!$I$2:$I$550,'Role data'!$K$2:$K$550,"Z Loyalty &amp; Martech",'Role data'!$E$2:$E$550,"squad")</f>
        <v>14.6</v>
      </c>
      <c r="E13" s="10" t="n">
        <f aca="false">SUMIFS('Role data'!$N$2:$N$550,'Role data'!$K$2:$K$550,"Z Loyalty &amp; Martech",'Role data'!$E$2:$E$550,"squad")/1000000</f>
        <v>2.22711556832</v>
      </c>
      <c r="F13" s="10" t="n">
        <f aca="false">SUMIFS('Role data'!$Q$2:$Q$550,'Role data'!$K$2:$K$550,"Z Loyalty &amp; Martech",'Role data'!$E$2:$E$550,"squad")/1000000</f>
        <v>1.558980897824</v>
      </c>
      <c r="G13" s="10" t="n">
        <f aca="false">$E13-$F13</f>
        <v>0.668134670496</v>
      </c>
      <c r="H13" s="12" t="n">
        <f aca="false">$F13/$E13</f>
        <v>0.7</v>
      </c>
    </row>
    <row r="14" customFormat="false" ht="15" hidden="false" customHeight="false" outlineLevel="0" collapsed="false">
      <c r="B14" s="11" t="s">
        <v>613</v>
      </c>
      <c r="C14" s="24" t="n">
        <f aca="false">COUNTIFS('Role data'!$K$2:$K$550,"B2B",'Role data'!$E$2:$E$550,"squad")</f>
        <v>14</v>
      </c>
      <c r="D14" s="25" t="n">
        <f aca="false">SUMIFS('Role data'!$I$2:$I$550,'Role data'!$K$2:$K$550,"B2B",'Role data'!$E$2:$E$550,"squad")</f>
        <v>14</v>
      </c>
      <c r="E14" s="10" t="n">
        <f aca="false">SUMIFS('Role data'!$N$2:$N$550,'Role data'!$K$2:$K$550,"B2B",'Role data'!$E$2:$E$550,"squad")/1000000</f>
        <v>2.18780457</v>
      </c>
      <c r="F14" s="10" t="n">
        <f aca="false">SUMIFS('Role data'!$Q$2:$Q$550,'Role data'!$K$2:$K$550,"B2B",'Role data'!$E$2:$E$550,"squad")/1000000</f>
        <v>0.218780457</v>
      </c>
      <c r="G14" s="10" t="n">
        <f aca="false">$E14-$F14</f>
        <v>1.969024113</v>
      </c>
      <c r="H14" s="12" t="n">
        <f aca="false">$F14/$E14</f>
        <v>0.1</v>
      </c>
    </row>
    <row r="15" customFormat="false" ht="15" hidden="false" customHeight="false" outlineLevel="0" collapsed="false">
      <c r="B15" s="11" t="s">
        <v>1153</v>
      </c>
      <c r="C15" s="24" t="n">
        <f aca="false">COUNTIFS('Role data'!$K$2:$K$550,"Distribution",'Role data'!$E$2:$E$550,"squad")</f>
        <v>10</v>
      </c>
      <c r="D15" s="25" t="n">
        <f aca="false">SUMIFS('Role data'!$I$2:$I$550,'Role data'!$K$2:$K$550,"Distribution",'Role data'!$E$2:$E$550,"squad")</f>
        <v>10</v>
      </c>
      <c r="E15" s="10" t="n">
        <f aca="false">SUMIFS('Role data'!$N$2:$N$550,'Role data'!$K$2:$K$550,"Distribution",'Role data'!$E$2:$E$550,"squad")/1000000</f>
        <v>1.75393065</v>
      </c>
      <c r="F15" s="10" t="n">
        <f aca="false">SUMIFS('Role data'!$Q$2:$Q$550,'Role data'!$K$2:$K$550,"Distribution",'Role data'!$E$2:$E$550,"squad")/1000000</f>
        <v>0.175393065</v>
      </c>
      <c r="G15" s="10" t="n">
        <f aca="false">$E15-$F15</f>
        <v>1.578537585</v>
      </c>
      <c r="H15" s="12" t="n">
        <f aca="false">$F15/$E15</f>
        <v>0.1</v>
      </c>
    </row>
    <row r="16" customFormat="false" ht="15" hidden="false" customHeight="false" outlineLevel="0" collapsed="false">
      <c r="B16" s="11" t="s">
        <v>48</v>
      </c>
      <c r="C16" s="24" t="n">
        <f aca="false">COUNTIFS('Role data'!$K$2:$K$550,"Above Store",'Role data'!$E$2:$E$550,"squad")</f>
        <v>11</v>
      </c>
      <c r="D16" s="25" t="n">
        <f aca="false">SUMIFS('Role data'!$I$2:$I$550,'Role data'!$K$2:$K$550,"Above Store",'Role data'!$E$2:$E$550,"squad")</f>
        <v>11</v>
      </c>
      <c r="E16" s="10" t="n">
        <f aca="false">SUMIFS('Role data'!$N$2:$N$550,'Role data'!$K$2:$K$550,"Above Store",'Role data'!$E$2:$E$550,"squad")/1000000</f>
        <v>1.690473806</v>
      </c>
      <c r="F16" s="10" t="n">
        <f aca="false">SUMIFS('Role data'!$Q$2:$Q$550,'Role data'!$K$2:$K$550,"Above Store",'Role data'!$E$2:$E$550,"squad")/1000000</f>
        <v>0.3380947612</v>
      </c>
      <c r="G16" s="10" t="n">
        <f aca="false">$E16-$F16</f>
        <v>1.3523790448</v>
      </c>
      <c r="H16" s="12" t="n">
        <f aca="false">$F16/$E16</f>
        <v>0.2</v>
      </c>
    </row>
    <row r="17" customFormat="false" ht="15" hidden="false" customHeight="false" outlineLevel="0" collapsed="false">
      <c r="B17" s="11" t="s">
        <v>220</v>
      </c>
      <c r="C17" s="24" t="n">
        <f aca="false">COUNTIFS('Role data'!$K$2:$K$550,"Z Supply",'Role data'!$E$2:$E$550,"squad")</f>
        <v>9</v>
      </c>
      <c r="D17" s="25" t="n">
        <f aca="false">SUMIFS('Role data'!$I$2:$I$550,'Role data'!$K$2:$K$550,"Z Supply",'Role data'!$E$2:$E$550,"squad")</f>
        <v>9</v>
      </c>
      <c r="E17" s="10" t="n">
        <f aca="false">SUMIFS('Role data'!$N$2:$N$550,'Role data'!$K$2:$K$550,"Z Supply",'Role data'!$E$2:$E$550,"squad")/1000000</f>
        <v>1.663774396</v>
      </c>
      <c r="F17" s="10" t="n">
        <f aca="false">SUMIFS('Role data'!$Q$2:$Q$550,'Role data'!$K$2:$K$550,"Z Supply",'Role data'!$E$2:$E$550,"squad")/1000000</f>
        <v>1.3310195168</v>
      </c>
      <c r="G17" s="10" t="n">
        <f aca="false">$E17-$F17</f>
        <v>0.3327548792</v>
      </c>
      <c r="H17" s="12" t="n">
        <f aca="false">$F17/$E17</f>
        <v>0.8</v>
      </c>
    </row>
    <row r="18" customFormat="false" ht="15" hidden="false" customHeight="false" outlineLevel="0" collapsed="false">
      <c r="B18" s="11" t="s">
        <v>1154</v>
      </c>
      <c r="C18" s="24" t="n">
        <f aca="false">COUNTIFS('Role data'!$K$2:$K$550,"AU Finance",'Role data'!$E$2:$E$550,"squad")</f>
        <v>9</v>
      </c>
      <c r="D18" s="25" t="n">
        <f aca="false">SUMIFS('Role data'!$I$2:$I$550,'Role data'!$K$2:$K$550,"AU Finance",'Role data'!$E$2:$E$550,"squad")</f>
        <v>9</v>
      </c>
      <c r="E18" s="10" t="n">
        <f aca="false">SUMIFS('Role data'!$N$2:$N$550,'Role data'!$K$2:$K$550,"AU Finance",'Role data'!$E$2:$E$550,"squad")/1000000</f>
        <v>1.55560707</v>
      </c>
      <c r="F18" s="10" t="n">
        <f aca="false">SUMIFS('Role data'!$Q$2:$Q$550,'Role data'!$K$2:$K$550,"AU Finance",'Role data'!$E$2:$E$550,"squad")/1000000</f>
        <v>0.311121414</v>
      </c>
      <c r="G18" s="10" t="n">
        <f aca="false">$E18-$F18</f>
        <v>1.244485656</v>
      </c>
      <c r="H18" s="12" t="n">
        <f aca="false">$F18/$E18</f>
        <v>0.2</v>
      </c>
    </row>
    <row r="19" customFormat="false" ht="15" hidden="false" customHeight="false" outlineLevel="0" collapsed="false">
      <c r="B19" s="11" t="s">
        <v>1155</v>
      </c>
      <c r="C19" s="24" t="n">
        <f aca="false">COUNTIFS('Role data'!$K$2:$K$550,"Manufacturing",'Role data'!$E$2:$E$550,"squad")</f>
        <v>9</v>
      </c>
      <c r="D19" s="25" t="n">
        <f aca="false">SUMIFS('Role data'!$I$2:$I$550,'Role data'!$K$2:$K$550,"Manufacturing",'Role data'!$E$2:$E$550,"squad")</f>
        <v>9</v>
      </c>
      <c r="E19" s="10" t="n">
        <f aca="false">SUMIFS('Role data'!$N$2:$N$550,'Role data'!$K$2:$K$550,"Manufacturing",'Role data'!$E$2:$E$550,"squad")/1000000</f>
        <v>1.5125943</v>
      </c>
      <c r="F19" s="10" t="n">
        <f aca="false">SUMIFS('Role data'!$Q$2:$Q$550,'Role data'!$K$2:$K$550,"Manufacturing",'Role data'!$E$2:$E$550,"squad")/1000000</f>
        <v>0.226889145</v>
      </c>
      <c r="G19" s="10" t="n">
        <f aca="false">$E19-$F19</f>
        <v>1.285705155</v>
      </c>
      <c r="H19" s="12" t="n">
        <f aca="false">$F19/$E19</f>
        <v>0.15</v>
      </c>
    </row>
    <row r="20" customFormat="false" ht="15" hidden="false" customHeight="false" outlineLevel="0" collapsed="false">
      <c r="B20" s="11" t="s">
        <v>315</v>
      </c>
      <c r="C20" s="24" t="n">
        <f aca="false">COUNTIFS('Role data'!$K$2:$K$550,"Ampol Loyalty &amp; Martech",'Role data'!$E$2:$E$550,"squad")</f>
        <v>8</v>
      </c>
      <c r="D20" s="25" t="n">
        <f aca="false">SUMIFS('Role data'!$I$2:$I$550,'Role data'!$K$2:$K$550,"Ampol Loyalty &amp; Martech",'Role data'!$E$2:$E$550,"squad")</f>
        <v>7.8</v>
      </c>
      <c r="E20" s="10" t="n">
        <f aca="false">SUMIFS('Role data'!$N$2:$N$550,'Role data'!$K$2:$K$550,"Ampol Loyalty &amp; Martech",'Role data'!$E$2:$E$550,"squad")/1000000</f>
        <v>1.1906103534</v>
      </c>
      <c r="F20" s="10" t="n">
        <f aca="false">SUMIFS('Role data'!$Q$2:$Q$550,'Role data'!$K$2:$K$550,"Ampol Loyalty &amp; Martech",'Role data'!$E$2:$E$550,"squad")/1000000</f>
        <v>0.23812207068</v>
      </c>
      <c r="G20" s="10" t="n">
        <f aca="false">$E20-$F20</f>
        <v>0.95248828272</v>
      </c>
      <c r="H20" s="12" t="n">
        <f aca="false">$F20/$E20</f>
        <v>0.2</v>
      </c>
    </row>
    <row r="21" customFormat="false" ht="15" hidden="false" customHeight="false" outlineLevel="0" collapsed="false">
      <c r="B21" s="11" t="s">
        <v>1156</v>
      </c>
      <c r="C21" s="24" t="n">
        <f aca="false">COUNTIFS('Role data'!$K$2:$K$550,"Network/QSR",'Role data'!$E$2:$E$550,"squad")</f>
        <v>6</v>
      </c>
      <c r="D21" s="25" t="n">
        <f aca="false">SUMIFS('Role data'!$I$2:$I$550,'Role data'!$K$2:$K$550,"Network/QSR",'Role data'!$E$2:$E$550,"squad")</f>
        <v>6</v>
      </c>
      <c r="E21" s="10" t="n">
        <f aca="false">SUMIFS('Role data'!$N$2:$N$550,'Role data'!$K$2:$K$550,"Network/QSR",'Role data'!$E$2:$E$550,"squad")/1000000</f>
        <v>1.1140311</v>
      </c>
      <c r="F21" s="10" t="n">
        <f aca="false">SUMIFS('Role data'!$Q$2:$Q$550,'Role data'!$K$2:$K$550,"Network/QSR",'Role data'!$E$2:$E$550,"squad")/1000000</f>
        <v>0.22280622</v>
      </c>
      <c r="G21" s="10" t="n">
        <f aca="false">$E21-$F21</f>
        <v>0.89122488</v>
      </c>
      <c r="H21" s="12" t="n">
        <f aca="false">$F21/$E21</f>
        <v>0.2</v>
      </c>
    </row>
    <row r="22" customFormat="false" ht="15" hidden="false" customHeight="false" outlineLevel="0" collapsed="false">
      <c r="B22" s="11" t="s">
        <v>512</v>
      </c>
      <c r="C22" s="24" t="n">
        <f aca="false">COUNTIFS('Role data'!$K$2:$K$550,"Supply",'Role data'!$E$2:$E$550,"squad")</f>
        <v>5</v>
      </c>
      <c r="D22" s="25" t="n">
        <f aca="false">SUMIFS('Role data'!$I$2:$I$550,'Role data'!$K$2:$K$550,"Supply",'Role data'!$E$2:$E$550,"squad")</f>
        <v>5</v>
      </c>
      <c r="E22" s="10" t="n">
        <f aca="false">SUMIFS('Role data'!$N$2:$N$550,'Role data'!$K$2:$K$550,"Supply",'Role data'!$E$2:$E$550,"squad")/1000000</f>
        <v>1.05925575</v>
      </c>
      <c r="F22" s="10" t="n">
        <f aca="false">SUMIFS('Role data'!$Q$2:$Q$550,'Role data'!$K$2:$K$550,"Supply",'Role data'!$E$2:$E$550,"squad")/1000000</f>
        <v>0</v>
      </c>
      <c r="G22" s="10" t="n">
        <f aca="false">$E22-$F22</f>
        <v>1.05925575</v>
      </c>
      <c r="H22" s="12" t="n">
        <f aca="false">$F22/$E22</f>
        <v>0</v>
      </c>
    </row>
    <row r="23" customFormat="false" ht="15" hidden="false" customHeight="false" outlineLevel="0" collapsed="false">
      <c r="B23" s="11" t="s">
        <v>1157</v>
      </c>
      <c r="C23" s="24" t="n">
        <f aca="false">COUNTIFS('Role data'!$K$2:$K$550,"Z Energy (Digitial)",'Role data'!$E$2:$E$550,"squad")</f>
        <v>6</v>
      </c>
      <c r="D23" s="25" t="n">
        <f aca="false">SUMIFS('Role data'!$I$2:$I$550,'Role data'!$K$2:$K$550,"Z Energy (Digitial)",'Role data'!$E$2:$E$550,"squad")</f>
        <v>6</v>
      </c>
      <c r="E23" s="10" t="n">
        <f aca="false">SUMIFS('Role data'!$N$2:$N$550,'Role data'!$K$2:$K$550,"Z Energy (Digitial)",'Role data'!$E$2:$E$550,"squad")/1000000</f>
        <v>1.03293116</v>
      </c>
      <c r="F23" s="10" t="n">
        <f aca="false">SUMIFS('Role data'!$Q$2:$Q$550,'Role data'!$K$2:$K$550,"Z Energy (Digitial)",'Role data'!$E$2:$E$550,"squad")/1000000</f>
        <v>0.723051812</v>
      </c>
      <c r="G23" s="10" t="n">
        <f aca="false">$E23-$F23</f>
        <v>0.309879348</v>
      </c>
      <c r="H23" s="12" t="n">
        <f aca="false">$F23/$E23</f>
        <v>0.7</v>
      </c>
    </row>
    <row r="24" customFormat="false" ht="15" hidden="false" customHeight="false" outlineLevel="0" collapsed="false">
      <c r="B24" s="11" t="s">
        <v>806</v>
      </c>
      <c r="C24" s="24" t="n">
        <f aca="false">COUNTIFS('Role data'!$K$2:$K$550,"NZ Finance",'Role data'!$E$2:$E$550,"squad")</f>
        <v>6</v>
      </c>
      <c r="D24" s="25" t="n">
        <f aca="false">SUMIFS('Role data'!$I$2:$I$550,'Role data'!$K$2:$K$550,"NZ Finance",'Role data'!$E$2:$E$550,"squad")</f>
        <v>5.5</v>
      </c>
      <c r="E24" s="10" t="n">
        <f aca="false">SUMIFS('Role data'!$N$2:$N$550,'Role data'!$K$2:$K$550,"NZ Finance",'Role data'!$E$2:$E$550,"squad")/1000000</f>
        <v>0.900637878</v>
      </c>
      <c r="F24" s="10" t="n">
        <f aca="false">SUMIFS('Role data'!$Q$2:$Q$550,'Role data'!$K$2:$K$550,"NZ Finance",'Role data'!$E$2:$E$550,"squad")/1000000</f>
        <v>0.7205103024</v>
      </c>
      <c r="G24" s="10" t="n">
        <f aca="false">$E24-$F24</f>
        <v>0.1801275756</v>
      </c>
      <c r="H24" s="12" t="n">
        <f aca="false">$F24/$E24</f>
        <v>0.8</v>
      </c>
    </row>
    <row r="25" customFormat="false" ht="15" hidden="false" customHeight="false" outlineLevel="0" collapsed="false">
      <c r="B25" s="11" t="s">
        <v>1158</v>
      </c>
      <c r="C25" s="24" t="n">
        <f aca="false">COUNTIFS('Role data'!$K$2:$K$550,"Data &amp; Insights ",'Role data'!$E$2:$E$550,"squad")</f>
        <v>7</v>
      </c>
      <c r="D25" s="25" t="n">
        <f aca="false">SUMIFS('Role data'!$I$2:$I$550,'Role data'!$K$2:$K$550,"Data &amp; Insights ",'Role data'!$E$2:$E$550,"squad")</f>
        <v>7</v>
      </c>
      <c r="E25" s="10" t="n">
        <f aca="false">SUMIFS('Role data'!$N$2:$N$550,'Role data'!$K$2:$K$550,"Data &amp; Insights ",'Role data'!$E$2:$E$550,"squad")/1000000</f>
        <v>0.876463425</v>
      </c>
      <c r="F25" s="10" t="n">
        <f aca="false">SUMIFS('Role data'!$Q$2:$Q$550,'Role data'!$K$2:$K$550,"Data &amp; Insights ",'Role data'!$E$2:$E$550,"squad")/1000000</f>
        <v>0.175292685</v>
      </c>
      <c r="G25" s="10" t="n">
        <f aca="false">$E25-$F25</f>
        <v>0.70117074</v>
      </c>
      <c r="H25" s="12" t="n">
        <f aca="false">$F25/$E25</f>
        <v>0.2</v>
      </c>
    </row>
    <row r="26" customFormat="false" ht="15" hidden="false" customHeight="false" outlineLevel="0" collapsed="false">
      <c r="B26" s="11" t="s">
        <v>1159</v>
      </c>
      <c r="C26" s="24" t="n">
        <f aca="false">COUNTIFS('Role data'!$K$2:$K$550,"NA",'Role data'!$E$2:$E$550,"squad")</f>
        <v>4</v>
      </c>
      <c r="D26" s="25" t="n">
        <f aca="false">SUMIFS('Role data'!$I$2:$I$550,'Role data'!$K$2:$K$550,"NA",'Role data'!$E$2:$E$550,"squad")</f>
        <v>4</v>
      </c>
      <c r="E26" s="10" t="n">
        <f aca="false">SUMIFS('Role data'!$N$2:$N$550,'Role data'!$K$2:$K$550,"NA",'Role data'!$E$2:$E$550,"squad")/1000000</f>
        <v>0.83820015</v>
      </c>
      <c r="F26" s="10" t="n">
        <f aca="false">SUMIFS('Role data'!$Q$2:$Q$550,'Role data'!$K$2:$K$550,"NA",'Role data'!$E$2:$E$550,"squad")/1000000</f>
        <v>0.67056012</v>
      </c>
      <c r="G26" s="10" t="n">
        <f aca="false">$E26-$F26</f>
        <v>0.16764003</v>
      </c>
      <c r="H26" s="12" t="n">
        <f aca="false">$F26/$E26</f>
        <v>0.8</v>
      </c>
    </row>
    <row r="27" customFormat="false" ht="15" hidden="false" customHeight="false" outlineLevel="0" collapsed="false">
      <c r="B27" s="11" t="s">
        <v>1160</v>
      </c>
      <c r="C27" s="24" t="n">
        <f aca="false">COUNTIFS('Role data'!$K$2:$K$550,"Z Customer &amp; Z Supply",'Role data'!$E$2:$E$550,"squad")</f>
        <v>7</v>
      </c>
      <c r="D27" s="25" t="n">
        <f aca="false">SUMIFS('Role data'!$I$2:$I$550,'Role data'!$K$2:$K$550,"Z Customer &amp; Z Supply",'Role data'!$E$2:$E$550,"squad")</f>
        <v>7</v>
      </c>
      <c r="E27" s="10" t="n">
        <f aca="false">SUMIFS('Role data'!$N$2:$N$550,'Role data'!$K$2:$K$550,"Z Customer &amp; Z Supply",'Role data'!$E$2:$E$550,"squad")/1000000</f>
        <v>0.745179862</v>
      </c>
      <c r="F27" s="10" t="n">
        <f aca="false">SUMIFS('Role data'!$Q$2:$Q$550,'Role data'!$K$2:$K$550,"Z Customer &amp; Z Supply",'Role data'!$E$2:$E$550,"squad")/1000000</f>
        <v>0.6706618758</v>
      </c>
      <c r="G27" s="10" t="n">
        <f aca="false">$E27-$F27</f>
        <v>0.0745179861999999</v>
      </c>
      <c r="H27" s="12" t="n">
        <f aca="false">$F27/$E27</f>
        <v>0.9</v>
      </c>
    </row>
    <row r="28" customFormat="false" ht="15" hidden="false" customHeight="false" outlineLevel="0" collapsed="false">
      <c r="B28" s="11" t="s">
        <v>1161</v>
      </c>
      <c r="C28" s="24" t="n">
        <f aca="false">COUNTIFS('Role data'!$K$2:$K$550,"Fuel Infrastructure",'Role data'!$E$2:$E$550,"squad")</f>
        <v>5</v>
      </c>
      <c r="D28" s="25" t="n">
        <f aca="false">SUMIFS('Role data'!$I$2:$I$550,'Role data'!$K$2:$K$550,"Fuel Infrastructure",'Role data'!$E$2:$E$550,"squad")</f>
        <v>5</v>
      </c>
      <c r="E28" s="10" t="n">
        <f aca="false">SUMIFS('Role data'!$N$2:$N$550,'Role data'!$K$2:$K$550,"Fuel Infrastructure",'Role data'!$E$2:$E$550,"squad")/1000000</f>
        <v>0.74133529</v>
      </c>
      <c r="F28" s="10" t="n">
        <f aca="false">SUMIFS('Role data'!$Q$2:$Q$550,'Role data'!$K$2:$K$550,"Fuel Infrastructure",'Role data'!$E$2:$E$550,"squad")/1000000</f>
        <v>0.593068232</v>
      </c>
      <c r="G28" s="10" t="n">
        <f aca="false">$E28-$F28</f>
        <v>0.148267058</v>
      </c>
      <c r="H28" s="12" t="n">
        <f aca="false">$F28/$E28</f>
        <v>0.8</v>
      </c>
    </row>
    <row r="29" customFormat="false" ht="15" hidden="false" customHeight="false" outlineLevel="0" collapsed="false">
      <c r="B29" s="11" t="s">
        <v>1162</v>
      </c>
      <c r="C29" s="24" t="n">
        <f aca="false">COUNTIFS('Role data'!$K$2:$K$550,"AI Enablement &amp; Program Management",'Role data'!$E$2:$E$550,"squad")</f>
        <v>3</v>
      </c>
      <c r="D29" s="25" t="n">
        <f aca="false">SUMIFS('Role data'!$I$2:$I$550,'Role data'!$K$2:$K$550,"AI Enablement &amp; Program Management",'Role data'!$E$2:$E$550,"squad")</f>
        <v>3</v>
      </c>
      <c r="E29" s="10" t="n">
        <f aca="false">SUMIFS('Role data'!$N$2:$N$550,'Role data'!$K$2:$K$550,"AI Enablement &amp; Program Management",'Role data'!$E$2:$E$550,"squad")/1000000</f>
        <v>0.72928725</v>
      </c>
      <c r="F29" s="10" t="n">
        <f aca="false">SUMIFS('Role data'!$Q$2:$Q$550,'Role data'!$K$2:$K$550,"AI Enablement &amp; Program Management",'Role data'!$E$2:$E$550,"squad")/1000000</f>
        <v>0</v>
      </c>
      <c r="G29" s="10" t="n">
        <f aca="false">$E29-$F29</f>
        <v>0.72928725</v>
      </c>
      <c r="H29" s="12" t="n">
        <f aca="false">$F29/$E29</f>
        <v>0</v>
      </c>
    </row>
    <row r="30" customFormat="false" ht="15" hidden="false" customHeight="false" outlineLevel="0" collapsed="false">
      <c r="B30" s="11" t="s">
        <v>1163</v>
      </c>
      <c r="C30" s="24" t="n">
        <f aca="false">COUNTIFS('Role data'!$K$2:$K$550,"(All Retail)",'Role data'!$E$2:$E$550,"squad")</f>
        <v>6</v>
      </c>
      <c r="D30" s="25" t="n">
        <f aca="false">SUMIFS('Role data'!$I$2:$I$550,'Role data'!$K$2:$K$550,"(All Retail)",'Role data'!$E$2:$E$550,"squad")</f>
        <v>6</v>
      </c>
      <c r="E30" s="10" t="n">
        <f aca="false">SUMIFS('Role data'!$N$2:$N$550,'Role data'!$K$2:$K$550,"(All Retail)",'Role data'!$E$2:$E$550,"squad")/1000000</f>
        <v>0.4849295</v>
      </c>
      <c r="F30" s="10" t="n">
        <f aca="false">SUMIFS('Role data'!$Q$2:$Q$550,'Role data'!$K$2:$K$550,"(All Retail)",'Role data'!$E$2:$E$550,"squad")/1000000</f>
        <v>0.43643655</v>
      </c>
      <c r="G30" s="10" t="n">
        <f aca="false">$E30-$F30</f>
        <v>0.04849295</v>
      </c>
      <c r="H30" s="12" t="n">
        <f aca="false">$F30/$E30</f>
        <v>0.9</v>
      </c>
    </row>
    <row r="31" customFormat="false" ht="15" hidden="false" customHeight="false" outlineLevel="0" collapsed="false">
      <c r="B31" s="13" t="s">
        <v>38</v>
      </c>
      <c r="C31" s="26" t="n">
        <f aca="false">SUM(C5:C30)</f>
        <v>322</v>
      </c>
      <c r="D31" s="27" t="n">
        <f aca="false">SUM(D5:D30)</f>
        <v>320.5</v>
      </c>
      <c r="E31" s="14" t="n">
        <f aca="false">SUM(E5:E30)</f>
        <v>50.4547611471735</v>
      </c>
      <c r="F31" s="14" t="n">
        <f aca="false">SUM(F5:F30)</f>
        <v>20.9175789796922</v>
      </c>
      <c r="G31" s="14" t="n">
        <f aca="false">SUM(G5:G30)</f>
        <v>29.5371821674812</v>
      </c>
      <c r="H31" s="15" t="n">
        <f aca="false">$F31/$E31</f>
        <v>0.414580874115664</v>
      </c>
    </row>
  </sheetData>
  <sheetProtection sheet="true" password="c5c5"/>
  <conditionalFormatting sqref="E5:E30">
    <cfRule type="dataBar" priority="2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{FDD8C056-5EAD-4CB2-BAE2-FF6876BFB8B0}</x14:id>
        </ext>
      </extLst>
    </cfRule>
  </conditionalFormatting>
  <conditionalFormatting sqref="H5:H30">
    <cfRule type="dataBar" priority="3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{FA5D501A-B9C9-479C-896D-516292C87AB6}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DD8C056-5EAD-4CB2-BAE2-FF6876BFB8B0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E5:E30</xm:sqref>
        </x14:conditionalFormatting>
        <x14:conditionalFormatting xmlns:xm="http://schemas.microsoft.com/office/excel/2006/main">
          <x14:cfRule type="dataBar" id="{FA5D501A-B9C9-479C-896D-516292C87AB6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H5:H30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32"/>
    <col collapsed="false" customWidth="true" hidden="false" outlineLevel="0" max="5" min="4" style="0" width="10"/>
    <col collapsed="false" customWidth="true" hidden="false" outlineLevel="0" max="6" min="6" style="0" width="15"/>
    <col collapsed="false" customWidth="true" hidden="false" outlineLevel="0" max="8" min="7" style="0" width="16"/>
    <col collapsed="false" customWidth="true" hidden="false" outlineLevel="0" max="9" min="9" style="0" width="12"/>
  </cols>
  <sheetData>
    <row r="2" customFormat="false" ht="17.35" hidden="false" customHeight="false" outlineLevel="0" collapsed="false">
      <c r="B2" s="1" t="s">
        <v>1164</v>
      </c>
    </row>
    <row r="4" customFormat="false" ht="45" hidden="false" customHeight="true" outlineLevel="0" collapsed="false">
      <c r="B4" s="5" t="s">
        <v>1165</v>
      </c>
      <c r="C4" s="5" t="s">
        <v>47</v>
      </c>
      <c r="D4" s="6" t="s">
        <v>1147</v>
      </c>
      <c r="E4" s="6" t="s">
        <v>1148</v>
      </c>
      <c r="F4" s="6" t="s">
        <v>1</v>
      </c>
      <c r="G4" s="6" t="s">
        <v>2</v>
      </c>
      <c r="H4" s="6" t="s">
        <v>7</v>
      </c>
      <c r="I4" s="6" t="s">
        <v>5</v>
      </c>
    </row>
    <row r="5" customFormat="false" ht="15" hidden="false" customHeight="false" outlineLevel="0" collapsed="false">
      <c r="B5" s="11" t="s">
        <v>20</v>
      </c>
      <c r="C5" s="11" t="s">
        <v>517</v>
      </c>
      <c r="D5" s="24" t="n">
        <f aca="false">COUNTIFS('Role data'!$C$2:$C$550,"Commercial Fuels",'Role data'!$D$2:$D$550,"Trading &amp; Shipping",'Role data'!$E$2:$E$550,"squad")</f>
        <v>12</v>
      </c>
      <c r="E5" s="25" t="n">
        <f aca="false">SUMIFS('Role data'!$I$2:$I$550,'Role data'!$C$2:$C$550,"Commercial Fuels",'Role data'!$D$2:$D$550,"Trading &amp; Shipping",'Role data'!$E$2:$E$550,"squad")</f>
        <v>12</v>
      </c>
      <c r="F5" s="10" t="n">
        <f aca="false">SUMIFS('Role data'!$N$2:$N$550,'Role data'!$C$2:$C$550,"Commercial Fuels",'Role data'!$D$2:$D$550,"Trading &amp; Shipping",'Role data'!$E$2:$E$550,"squad")/1000000</f>
        <v>2.5139493742</v>
      </c>
      <c r="G5" s="10" t="n">
        <f aca="false">SUMIFS('Role data'!$Q$2:$Q$550,'Role data'!$C$2:$C$550,"Commercial Fuels",'Role data'!$D$2:$D$550,"Trading &amp; Shipping",'Role data'!$E$2:$E$550,"squad")/1000000</f>
        <v>0.50278987484</v>
      </c>
      <c r="H5" s="10" t="n">
        <f aca="false">$F5-$G5</f>
        <v>2.01115949936</v>
      </c>
      <c r="I5" s="12" t="n">
        <f aca="false">$G5/$F5</f>
        <v>0.2</v>
      </c>
    </row>
    <row r="6" customFormat="false" ht="15" hidden="false" customHeight="false" outlineLevel="0" collapsed="false">
      <c r="B6" s="11" t="s">
        <v>30</v>
      </c>
      <c r="C6" s="11" t="s">
        <v>846</v>
      </c>
      <c r="D6" s="24" t="n">
        <f aca="false">COUNTIFS('Role data'!$C$2:$C$550,"TDD Group Functions",'Role data'!$D$2:$D$550,"Cloud, Network &amp; Infra Ops",'Role data'!$E$2:$E$550,"squad")</f>
        <v>13</v>
      </c>
      <c r="E6" s="25" t="n">
        <f aca="false">SUMIFS('Role data'!$I$2:$I$550,'Role data'!$C$2:$C$550,"TDD Group Functions",'Role data'!$D$2:$D$550,"Cloud, Network &amp; Infra Ops",'Role data'!$E$2:$E$550,"squad")</f>
        <v>13</v>
      </c>
      <c r="F6" s="10" t="n">
        <f aca="false">SUMIFS('Role data'!$N$2:$N$550,'Role data'!$C$2:$C$550,"TDD Group Functions",'Role data'!$D$2:$D$550,"Cloud, Network &amp; Infra Ops",'Role data'!$E$2:$E$550,"squad")/1000000</f>
        <v>2.4125675664</v>
      </c>
      <c r="G6" s="10" t="n">
        <f aca="false">SUMIFS('Role data'!$Q$2:$Q$550,'Role data'!$C$2:$C$550,"TDD Group Functions",'Role data'!$D$2:$D$550,"Cloud, Network &amp; Infra Ops",'Role data'!$E$2:$E$550,"squad")/1000000</f>
        <v>1.2062837832</v>
      </c>
      <c r="H6" s="10" t="n">
        <f aca="false">$F6-$G6</f>
        <v>1.2062837832</v>
      </c>
      <c r="I6" s="12" t="n">
        <f aca="false">$G6/$F6</f>
        <v>0.5</v>
      </c>
    </row>
    <row r="7" customFormat="false" ht="15" hidden="false" customHeight="false" outlineLevel="0" collapsed="false">
      <c r="B7" s="11" t="s">
        <v>19</v>
      </c>
      <c r="C7" s="11" t="s">
        <v>464</v>
      </c>
      <c r="D7" s="24" t="n">
        <f aca="false">COUNTIFS('Role data'!$C$2:$C$550,"Z Customer",'Role data'!$D$2:$D$550,"Z Loyalty &amp; Martech",'Role data'!$E$2:$E$550,"squad")</f>
        <v>15</v>
      </c>
      <c r="E7" s="25" t="n">
        <f aca="false">SUMIFS('Role data'!$I$2:$I$550,'Role data'!$C$2:$C$550,"Z Customer",'Role data'!$D$2:$D$550,"Z Loyalty &amp; Martech",'Role data'!$E$2:$E$550,"squad")</f>
        <v>14.6</v>
      </c>
      <c r="F7" s="10" t="n">
        <f aca="false">SUMIFS('Role data'!$N$2:$N$550,'Role data'!$C$2:$C$550,"Z Customer",'Role data'!$D$2:$D$550,"Z Loyalty &amp; Martech",'Role data'!$E$2:$E$550,"squad")/1000000</f>
        <v>2.22711556832</v>
      </c>
      <c r="G7" s="10" t="n">
        <f aca="false">SUMIFS('Role data'!$Q$2:$Q$550,'Role data'!$C$2:$C$550,"Z Customer",'Role data'!$D$2:$D$550,"Z Loyalty &amp; Martech",'Role data'!$E$2:$E$550,"squad")/1000000</f>
        <v>1.558980897824</v>
      </c>
      <c r="H7" s="10" t="n">
        <f aca="false">$F7-$G7</f>
        <v>0.668134670496</v>
      </c>
      <c r="I7" s="12" t="n">
        <f aca="false">$G7/$F7</f>
        <v>0.7</v>
      </c>
    </row>
    <row r="8" customFormat="false" ht="15" hidden="false" customHeight="false" outlineLevel="0" collapsed="false">
      <c r="B8" s="11" t="s">
        <v>22</v>
      </c>
      <c r="C8" s="11" t="s">
        <v>613</v>
      </c>
      <c r="D8" s="24" t="n">
        <f aca="false">COUNTIFS('Role data'!$C$2:$C$550,"Energy Solutions &amp; B2B",'Role data'!$D$2:$D$550,"B2B",'Role data'!$E$2:$E$550,"squad")</f>
        <v>14</v>
      </c>
      <c r="E8" s="25" t="n">
        <f aca="false">SUMIFS('Role data'!$I$2:$I$550,'Role data'!$C$2:$C$550,"Energy Solutions &amp; B2B",'Role data'!$D$2:$D$550,"B2B",'Role data'!$E$2:$E$550,"squad")</f>
        <v>14</v>
      </c>
      <c r="F8" s="10" t="n">
        <f aca="false">SUMIFS('Role data'!$N$2:$N$550,'Role data'!$C$2:$C$550,"Energy Solutions &amp; B2B",'Role data'!$D$2:$D$550,"B2B",'Role data'!$E$2:$E$550,"squad")/1000000</f>
        <v>2.18780457</v>
      </c>
      <c r="G8" s="10" t="n">
        <f aca="false">SUMIFS('Role data'!$Q$2:$Q$550,'Role data'!$C$2:$C$550,"Energy Solutions &amp; B2B",'Role data'!$D$2:$D$550,"B2B",'Role data'!$E$2:$E$550,"squad")/1000000</f>
        <v>0.218780457</v>
      </c>
      <c r="H8" s="10" t="n">
        <f aca="false">$F8-$G8</f>
        <v>1.969024113</v>
      </c>
      <c r="I8" s="12" t="n">
        <f aca="false">$G8/$F8</f>
        <v>0.1</v>
      </c>
    </row>
    <row r="9" customFormat="false" ht="15" hidden="false" customHeight="false" outlineLevel="0" collapsed="false">
      <c r="B9" s="11" t="s">
        <v>24</v>
      </c>
      <c r="C9" s="11" t="s">
        <v>699</v>
      </c>
      <c r="D9" s="24" t="n">
        <f aca="false">COUNTIFS('Role data'!$C$2:$C$550,"Infrastructure",'Role data'!$D$2:$D$550,"Distribution, Sales &amp; Services",'Role data'!$E$2:$E$550,"squad")</f>
        <v>10</v>
      </c>
      <c r="E9" s="25" t="n">
        <f aca="false">SUMIFS('Role data'!$I$2:$I$550,'Role data'!$C$2:$C$550,"Infrastructure",'Role data'!$D$2:$D$550,"Distribution, Sales &amp; Services",'Role data'!$E$2:$E$550,"squad")</f>
        <v>10</v>
      </c>
      <c r="F9" s="10" t="n">
        <f aca="false">SUMIFS('Role data'!$N$2:$N$550,'Role data'!$C$2:$C$550,"Infrastructure",'Role data'!$D$2:$D$550,"Distribution, Sales &amp; Services",'Role data'!$E$2:$E$550,"squad")/1000000</f>
        <v>1.75393065</v>
      </c>
      <c r="G9" s="10" t="n">
        <f aca="false">SUMIFS('Role data'!$Q$2:$Q$550,'Role data'!$C$2:$C$550,"Infrastructure",'Role data'!$D$2:$D$550,"Distribution, Sales &amp; Services",'Role data'!$E$2:$E$550,"squad")/1000000</f>
        <v>0.175393065</v>
      </c>
      <c r="H9" s="10" t="n">
        <f aca="false">$F9-$G9</f>
        <v>1.578537585</v>
      </c>
      <c r="I9" s="12" t="n">
        <f aca="false">$G9/$F9</f>
        <v>0.1</v>
      </c>
    </row>
    <row r="10" customFormat="false" ht="15" hidden="false" customHeight="false" outlineLevel="0" collapsed="false">
      <c r="B10" s="11" t="s">
        <v>18</v>
      </c>
      <c r="C10" s="11" t="s">
        <v>307</v>
      </c>
      <c r="D10" s="24" t="n">
        <f aca="false">COUNTIFS('Role data'!$C$2:$C$550,"Ampol Customer",'Role data'!$D$2:$D$550,"Ampol App",'Role data'!$E$2:$E$550,"squad")</f>
        <v>14</v>
      </c>
      <c r="E10" s="25" t="n">
        <f aca="false">SUMIFS('Role data'!$I$2:$I$550,'Role data'!$C$2:$C$550,"Ampol Customer",'Role data'!$D$2:$D$550,"Ampol App",'Role data'!$E$2:$E$550,"squad")</f>
        <v>14</v>
      </c>
      <c r="F10" s="10" t="n">
        <f aca="false">SUMIFS('Role data'!$N$2:$N$550,'Role data'!$C$2:$C$550,"Ampol Customer",'Role data'!$D$2:$D$550,"Ampol App",'Role data'!$E$2:$E$550,"squad")/1000000</f>
        <v>1.71465316976</v>
      </c>
      <c r="G10" s="10" t="n">
        <f aca="false">SUMIFS('Role data'!$Q$2:$Q$550,'Role data'!$C$2:$C$550,"Ampol Customer",'Role data'!$D$2:$D$550,"Ampol App",'Role data'!$E$2:$E$550,"squad")/1000000</f>
        <v>0.257197975464</v>
      </c>
      <c r="H10" s="10" t="n">
        <f aca="false">$F10-$G10</f>
        <v>1.457455194296</v>
      </c>
      <c r="I10" s="12" t="n">
        <f aca="false">$G10/$F10</f>
        <v>0.15</v>
      </c>
    </row>
    <row r="11" customFormat="false" ht="15" hidden="false" customHeight="false" outlineLevel="0" collapsed="false">
      <c r="B11" s="11" t="s">
        <v>22</v>
      </c>
      <c r="C11" s="11" t="s">
        <v>436</v>
      </c>
      <c r="D11" s="24" t="n">
        <f aca="false">COUNTIFS('Role data'!$C$2:$C$550,"Energy Solutions &amp; B2B",'Role data'!$D$2:$D$550,"Energy",'Role data'!$E$2:$E$550,"squad")</f>
        <v>9</v>
      </c>
      <c r="E11" s="25" t="n">
        <f aca="false">SUMIFS('Role data'!$I$2:$I$550,'Role data'!$C$2:$C$550,"Energy Solutions &amp; B2B",'Role data'!$D$2:$D$550,"Energy",'Role data'!$E$2:$E$550,"squad")</f>
        <v>9</v>
      </c>
      <c r="F11" s="10" t="n">
        <f aca="false">SUMIFS('Role data'!$N$2:$N$550,'Role data'!$C$2:$C$550,"Energy Solutions &amp; B2B",'Role data'!$D$2:$D$550,"Energy",'Role data'!$E$2:$E$550,"squad")/1000000</f>
        <v>1.7128788635</v>
      </c>
      <c r="G11" s="10" t="n">
        <f aca="false">SUMIFS('Role data'!$Q$2:$Q$550,'Role data'!$C$2:$C$550,"Energy Solutions &amp; B2B",'Role data'!$D$2:$D$550,"Energy",'Role data'!$E$2:$E$550,"squad")/1000000</f>
        <v>0.256931829525</v>
      </c>
      <c r="H11" s="10" t="n">
        <f aca="false">$F11-$G11</f>
        <v>1.455947033975</v>
      </c>
      <c r="I11" s="12" t="n">
        <f aca="false">$G11/$F11</f>
        <v>0.15</v>
      </c>
    </row>
    <row r="12" customFormat="false" ht="15" hidden="false" customHeight="false" outlineLevel="0" collapsed="false">
      <c r="B12" s="11" t="s">
        <v>14</v>
      </c>
      <c r="C12" s="11" t="s">
        <v>48</v>
      </c>
      <c r="D12" s="24" t="n">
        <f aca="false">COUNTIFS('Role data'!$C$2:$C$550,"Ampol Retail",'Role data'!$D$2:$D$550,"Above Store",'Role data'!$E$2:$E$550,"squad")</f>
        <v>11</v>
      </c>
      <c r="E12" s="25" t="n">
        <f aca="false">SUMIFS('Role data'!$I$2:$I$550,'Role data'!$C$2:$C$550,"Ampol Retail",'Role data'!$D$2:$D$550,"Above Store",'Role data'!$E$2:$E$550,"squad")</f>
        <v>11</v>
      </c>
      <c r="F12" s="10" t="n">
        <f aca="false">SUMIFS('Role data'!$N$2:$N$550,'Role data'!$C$2:$C$550,"Ampol Retail",'Role data'!$D$2:$D$550,"Above Store",'Role data'!$E$2:$E$550,"squad")/1000000</f>
        <v>1.690473806</v>
      </c>
      <c r="G12" s="10" t="n">
        <f aca="false">SUMIFS('Role data'!$Q$2:$Q$550,'Role data'!$C$2:$C$550,"Ampol Retail",'Role data'!$D$2:$D$550,"Above Store",'Role data'!$E$2:$E$550,"squad")/1000000</f>
        <v>0.3380947612</v>
      </c>
      <c r="H12" s="10" t="n">
        <f aca="false">$F12-$G12</f>
        <v>1.3523790448</v>
      </c>
      <c r="I12" s="12" t="n">
        <f aca="false">$G12/$F12</f>
        <v>0.2</v>
      </c>
    </row>
    <row r="13" customFormat="false" ht="15" hidden="false" customHeight="false" outlineLevel="0" collapsed="false">
      <c r="B13" s="11" t="s">
        <v>16</v>
      </c>
      <c r="C13" s="11" t="s">
        <v>224</v>
      </c>
      <c r="D13" s="24" t="n">
        <f aca="false">COUNTIFS('Role data'!$C$2:$C$550,"Z Retail",'Role data'!$D$2:$D$550,"Z Retail Backend",'Role data'!$E$2:$E$550,"squad")</f>
        <v>9</v>
      </c>
      <c r="E13" s="25" t="n">
        <f aca="false">SUMIFS('Role data'!$I$2:$I$550,'Role data'!$C$2:$C$550,"Z Retail",'Role data'!$D$2:$D$550,"Z Retail Backend",'Role data'!$E$2:$E$550,"squad")</f>
        <v>9</v>
      </c>
      <c r="F13" s="10" t="n">
        <f aca="false">SUMIFS('Role data'!$N$2:$N$550,'Role data'!$C$2:$C$550,"Z Retail",'Role data'!$D$2:$D$550,"Z Retail Backend",'Role data'!$E$2:$E$550,"squad")/1000000</f>
        <v>1.687177418</v>
      </c>
      <c r="G13" s="10" t="n">
        <f aca="false">SUMIFS('Role data'!$Q$2:$Q$550,'Role data'!$C$2:$C$550,"Z Retail",'Role data'!$D$2:$D$550,"Z Retail Backend",'Role data'!$E$2:$E$550,"squad")/1000000</f>
        <v>1.3497419344</v>
      </c>
      <c r="H13" s="10" t="n">
        <f aca="false">$F13-$G13</f>
        <v>0.3374354836</v>
      </c>
      <c r="I13" s="12" t="n">
        <f aca="false">$G13/$F13</f>
        <v>0.8</v>
      </c>
    </row>
    <row r="14" customFormat="false" ht="15" hidden="false" customHeight="false" outlineLevel="0" collapsed="false">
      <c r="B14" s="11" t="s">
        <v>16</v>
      </c>
      <c r="C14" s="11" t="s">
        <v>220</v>
      </c>
      <c r="D14" s="24" t="n">
        <f aca="false">COUNTIFS('Role data'!$C$2:$C$550,"Z Retail",'Role data'!$D$2:$D$550,"Z Supply",'Role data'!$E$2:$E$550,"squad")</f>
        <v>9</v>
      </c>
      <c r="E14" s="25" t="n">
        <f aca="false">SUMIFS('Role data'!$I$2:$I$550,'Role data'!$C$2:$C$550,"Z Retail",'Role data'!$D$2:$D$550,"Z Supply",'Role data'!$E$2:$E$550,"squad")</f>
        <v>9</v>
      </c>
      <c r="F14" s="10" t="n">
        <f aca="false">SUMIFS('Role data'!$N$2:$N$550,'Role data'!$C$2:$C$550,"Z Retail",'Role data'!$D$2:$D$550,"Z Supply",'Role data'!$E$2:$E$550,"squad")/1000000</f>
        <v>1.663774396</v>
      </c>
      <c r="G14" s="10" t="n">
        <f aca="false">SUMIFS('Role data'!$Q$2:$Q$550,'Role data'!$C$2:$C$550,"Z Retail",'Role data'!$D$2:$D$550,"Z Supply",'Role data'!$E$2:$E$550,"squad")/1000000</f>
        <v>1.3310195168</v>
      </c>
      <c r="H14" s="10" t="n">
        <f aca="false">$F14-$G14</f>
        <v>0.3327548792</v>
      </c>
      <c r="I14" s="12" t="n">
        <f aca="false">$G14/$F14</f>
        <v>0.8</v>
      </c>
    </row>
    <row r="15" customFormat="false" ht="15" hidden="false" customHeight="false" outlineLevel="0" collapsed="false">
      <c r="B15" s="11" t="s">
        <v>26</v>
      </c>
      <c r="C15" s="11" t="s">
        <v>26</v>
      </c>
      <c r="D15" s="24" t="n">
        <f aca="false">COUNTIFS('Role data'!$C$2:$C$550,"P&amp;C",'Role data'!$D$2:$D$550,"P&amp;C",'Role data'!$E$2:$E$550,"squad")</f>
        <v>8</v>
      </c>
      <c r="E15" s="25" t="n">
        <f aca="false">SUMIFS('Role data'!$I$2:$I$550,'Role data'!$C$2:$C$550,"P&amp;C",'Role data'!$D$2:$D$550,"P&amp;C",'Role data'!$E$2:$E$550,"squad")</f>
        <v>8</v>
      </c>
      <c r="F15" s="10" t="n">
        <f aca="false">SUMIFS('Role data'!$N$2:$N$550,'Role data'!$C$2:$C$550,"P&amp;C",'Role data'!$D$2:$D$550,"P&amp;C",'Role data'!$E$2:$E$550,"squad")/1000000</f>
        <v>1.66322408</v>
      </c>
      <c r="G15" s="10" t="n">
        <f aca="false">SUMIFS('Role data'!$Q$2:$Q$550,'Role data'!$C$2:$C$550,"P&amp;C",'Role data'!$D$2:$D$550,"P&amp;C",'Role data'!$E$2:$E$550,"squad")/1000000</f>
        <v>0.249483612</v>
      </c>
      <c r="H15" s="10" t="n">
        <f aca="false">$F15-$G15</f>
        <v>1.413740468</v>
      </c>
      <c r="I15" s="12" t="n">
        <f aca="false">$G15/$F15</f>
        <v>0.15</v>
      </c>
    </row>
    <row r="16" customFormat="false" ht="15" hidden="false" customHeight="false" outlineLevel="0" collapsed="false">
      <c r="B16" s="11" t="s">
        <v>30</v>
      </c>
      <c r="C16" s="11" t="s">
        <v>854</v>
      </c>
      <c r="D16" s="24" t="n">
        <f aca="false">COUNTIFS('Role data'!$C$2:$C$550,"TDD Group Functions",'Role data'!$D$2:$D$550,"Integration &amp; Process Automation",'Role data'!$E$2:$E$550,"squad")</f>
        <v>10</v>
      </c>
      <c r="E16" s="25" t="n">
        <f aca="false">SUMIFS('Role data'!$I$2:$I$550,'Role data'!$C$2:$C$550,"TDD Group Functions",'Role data'!$D$2:$D$550,"Integration &amp; Process Automation",'Role data'!$E$2:$E$550,"squad")</f>
        <v>10</v>
      </c>
      <c r="F16" s="10" t="n">
        <f aca="false">SUMIFS('Role data'!$N$2:$N$550,'Role data'!$C$2:$C$550,"TDD Group Functions",'Role data'!$D$2:$D$550,"Integration &amp; Process Automation",'Role data'!$E$2:$E$550,"squad")/1000000</f>
        <v>1.58374854104348</v>
      </c>
      <c r="G16" s="10" t="n">
        <f aca="false">SUMIFS('Role data'!$Q$2:$Q$550,'Role data'!$C$2:$C$550,"TDD Group Functions",'Role data'!$D$2:$D$550,"Integration &amp; Process Automation",'Role data'!$E$2:$E$550,"squad")/1000000</f>
        <v>0.791874270521739</v>
      </c>
      <c r="H16" s="10" t="n">
        <f aca="false">$F16-$G16</f>
        <v>0.791874270521739</v>
      </c>
      <c r="I16" s="12" t="n">
        <f aca="false">$G16/$F16</f>
        <v>0.5</v>
      </c>
    </row>
    <row r="17" customFormat="false" ht="15" hidden="false" customHeight="false" outlineLevel="0" collapsed="false">
      <c r="B17" s="11" t="s">
        <v>28</v>
      </c>
      <c r="C17" s="11" t="s">
        <v>810</v>
      </c>
      <c r="D17" s="24" t="n">
        <f aca="false">COUNTIFS('Role data'!$C$2:$C$550,"Finance",'Role data'!$D$2:$D$550,"SAP ERP",'Role data'!$E$2:$E$550,"squad")</f>
        <v>9</v>
      </c>
      <c r="E17" s="25" t="n">
        <f aca="false">SUMIFS('Role data'!$I$2:$I$550,'Role data'!$C$2:$C$550,"Finance",'Role data'!$D$2:$D$550,"SAP ERP",'Role data'!$E$2:$E$550,"squad")</f>
        <v>9</v>
      </c>
      <c r="F17" s="10" t="n">
        <f aca="false">SUMIFS('Role data'!$N$2:$N$550,'Role data'!$C$2:$C$550,"Finance",'Role data'!$D$2:$D$550,"SAP ERP",'Role data'!$E$2:$E$550,"squad")/1000000</f>
        <v>1.55560707</v>
      </c>
      <c r="G17" s="10" t="n">
        <f aca="false">SUMIFS('Role data'!$Q$2:$Q$550,'Role data'!$C$2:$C$550,"Finance",'Role data'!$D$2:$D$550,"SAP ERP",'Role data'!$E$2:$E$550,"squad")/1000000</f>
        <v>0.311121414</v>
      </c>
      <c r="H17" s="10" t="n">
        <f aca="false">$F17-$G17</f>
        <v>1.244485656</v>
      </c>
      <c r="I17" s="12" t="n">
        <f aca="false">$G17/$F17</f>
        <v>0.2</v>
      </c>
    </row>
    <row r="18" customFormat="false" ht="15" hidden="false" customHeight="false" outlineLevel="0" collapsed="false">
      <c r="B18" s="11" t="s">
        <v>24</v>
      </c>
      <c r="C18" s="11" t="s">
        <v>696</v>
      </c>
      <c r="D18" s="24" t="n">
        <f aca="false">COUNTIFS('Role data'!$C$2:$C$550,"Infrastructure",'Role data'!$D$2:$D$550,"Manufacturing Group Projects",'Role data'!$E$2:$E$550,"squad")</f>
        <v>9</v>
      </c>
      <c r="E18" s="25" t="n">
        <f aca="false">SUMIFS('Role data'!$I$2:$I$550,'Role data'!$C$2:$C$550,"Infrastructure",'Role data'!$D$2:$D$550,"Manufacturing Group Projects",'Role data'!$E$2:$E$550,"squad")</f>
        <v>9</v>
      </c>
      <c r="F18" s="10" t="n">
        <f aca="false">SUMIFS('Role data'!$N$2:$N$550,'Role data'!$C$2:$C$550,"Infrastructure",'Role data'!$D$2:$D$550,"Manufacturing Group Projects",'Role data'!$E$2:$E$550,"squad")/1000000</f>
        <v>1.5125943</v>
      </c>
      <c r="G18" s="10" t="n">
        <f aca="false">SUMIFS('Role data'!$Q$2:$Q$550,'Role data'!$C$2:$C$550,"Infrastructure",'Role data'!$D$2:$D$550,"Manufacturing Group Projects",'Role data'!$E$2:$E$550,"squad")/1000000</f>
        <v>0.226889145</v>
      </c>
      <c r="H18" s="10" t="n">
        <f aca="false">$F18-$G18</f>
        <v>1.285705155</v>
      </c>
      <c r="I18" s="12" t="n">
        <f aca="false">$G18/$F18</f>
        <v>0.15</v>
      </c>
    </row>
    <row r="19" customFormat="false" ht="15" hidden="false" customHeight="false" outlineLevel="0" collapsed="false">
      <c r="B19" s="11" t="s">
        <v>14</v>
      </c>
      <c r="C19" s="11" t="s">
        <v>67</v>
      </c>
      <c r="D19" s="24" t="n">
        <f aca="false">COUNTIFS('Role data'!$C$2:$C$550,"Ampol Retail",'Role data'!$D$2:$D$550,"Store Operations",'Role data'!$E$2:$E$550,"squad")</f>
        <v>8</v>
      </c>
      <c r="E19" s="25" t="n">
        <f aca="false">SUMIFS('Role data'!$I$2:$I$550,'Role data'!$C$2:$C$550,"Ampol Retail",'Role data'!$D$2:$D$550,"Store Operations",'Role data'!$E$2:$E$550,"squad")</f>
        <v>8</v>
      </c>
      <c r="F19" s="10" t="n">
        <f aca="false">SUMIFS('Role data'!$N$2:$N$550,'Role data'!$C$2:$C$550,"Ampol Retail",'Role data'!$D$2:$D$550,"Store Operations",'Role data'!$E$2:$E$550,"squad")/1000000</f>
        <v>1.429759453</v>
      </c>
      <c r="G19" s="10" t="n">
        <f aca="false">SUMIFS('Role data'!$Q$2:$Q$550,'Role data'!$C$2:$C$550,"Ampol Retail",'Role data'!$D$2:$D$550,"Store Operations",'Role data'!$E$2:$E$550,"squad")/1000000</f>
        <v>1.429759453</v>
      </c>
      <c r="H19" s="10" t="n">
        <f aca="false">$F19-$G19</f>
        <v>0</v>
      </c>
      <c r="I19" s="12" t="n">
        <f aca="false">$G19/$F19</f>
        <v>1</v>
      </c>
    </row>
    <row r="20" customFormat="false" ht="15" hidden="false" customHeight="false" outlineLevel="0" collapsed="false">
      <c r="B20" s="11" t="s">
        <v>16</v>
      </c>
      <c r="C20" s="11" t="s">
        <v>218</v>
      </c>
      <c r="D20" s="24" t="n">
        <f aca="false">COUNTIFS('Role data'!$C$2:$C$550,"Z Retail",'Role data'!$D$2:$D$550,"Site Systems",'Role data'!$E$2:$E$550,"squad")</f>
        <v>9</v>
      </c>
      <c r="E20" s="25" t="n">
        <f aca="false">SUMIFS('Role data'!$I$2:$I$550,'Role data'!$C$2:$C$550,"Z Retail",'Role data'!$D$2:$D$550,"Site Systems",'Role data'!$E$2:$E$550,"squad")</f>
        <v>9</v>
      </c>
      <c r="F20" s="10" t="n">
        <f aca="false">SUMIFS('Role data'!$N$2:$N$550,'Role data'!$C$2:$C$550,"Z Retail",'Role data'!$D$2:$D$550,"Site Systems",'Role data'!$E$2:$E$550,"squad")/1000000</f>
        <v>1.374665758</v>
      </c>
      <c r="G20" s="10" t="n">
        <f aca="false">SUMIFS('Role data'!$Q$2:$Q$550,'Role data'!$C$2:$C$550,"Z Retail",'Role data'!$D$2:$D$550,"Site Systems",'Role data'!$E$2:$E$550,"squad")/1000000</f>
        <v>1.0997326064</v>
      </c>
      <c r="H20" s="10" t="n">
        <f aca="false">$F20-$G20</f>
        <v>0.2749331516</v>
      </c>
      <c r="I20" s="12" t="n">
        <f aca="false">$G20/$F20</f>
        <v>0.8</v>
      </c>
    </row>
    <row r="21" customFormat="false" ht="15" hidden="false" customHeight="false" outlineLevel="0" collapsed="false">
      <c r="B21" s="11" t="s">
        <v>18</v>
      </c>
      <c r="C21" s="11" t="s">
        <v>318</v>
      </c>
      <c r="D21" s="24" t="n">
        <f aca="false">COUNTIFS('Role data'!$C$2:$C$550,"Ampol Customer",'Role data'!$D$2:$D$550,"Ampol Web",'Role data'!$E$2:$E$550,"squad")</f>
        <v>9</v>
      </c>
      <c r="E21" s="25" t="n">
        <f aca="false">SUMIFS('Role data'!$I$2:$I$550,'Role data'!$C$2:$C$550,"Ampol Customer",'Role data'!$D$2:$D$550,"Ampol Web",'Role data'!$E$2:$E$550,"squad")</f>
        <v>9</v>
      </c>
      <c r="F21" s="10" t="n">
        <f aca="false">SUMIFS('Role data'!$N$2:$N$550,'Role data'!$C$2:$C$550,"Ampol Customer",'Role data'!$D$2:$D$550,"Ampol Web",'Role data'!$E$2:$E$550,"squad")/1000000</f>
        <v>1.25752971</v>
      </c>
      <c r="G21" s="10" t="n">
        <f aca="false">SUMIFS('Role data'!$Q$2:$Q$550,'Role data'!$C$2:$C$550,"Ampol Customer",'Role data'!$D$2:$D$550,"Ampol Web",'Role data'!$E$2:$E$550,"squad")/1000000</f>
        <v>0.1886294565</v>
      </c>
      <c r="H21" s="10" t="n">
        <f aca="false">$F21-$G21</f>
        <v>1.0689002535</v>
      </c>
      <c r="I21" s="12" t="n">
        <f aca="false">$G21/$F21</f>
        <v>0.15</v>
      </c>
    </row>
    <row r="22" customFormat="false" ht="15" hidden="false" customHeight="false" outlineLevel="0" collapsed="false">
      <c r="B22" s="11" t="s">
        <v>18</v>
      </c>
      <c r="C22" s="11" t="s">
        <v>315</v>
      </c>
      <c r="D22" s="24" t="n">
        <f aca="false">COUNTIFS('Role data'!$C$2:$C$550,"Ampol Customer",'Role data'!$D$2:$D$550,"Ampol Loyalty &amp; Martech",'Role data'!$E$2:$E$550,"squad")</f>
        <v>8</v>
      </c>
      <c r="E22" s="25" t="n">
        <f aca="false">SUMIFS('Role data'!$I$2:$I$550,'Role data'!$C$2:$C$550,"Ampol Customer",'Role data'!$D$2:$D$550,"Ampol Loyalty &amp; Martech",'Role data'!$E$2:$E$550,"squad")</f>
        <v>7.8</v>
      </c>
      <c r="F22" s="10" t="n">
        <f aca="false">SUMIFS('Role data'!$N$2:$N$550,'Role data'!$C$2:$C$550,"Ampol Customer",'Role data'!$D$2:$D$550,"Ampol Loyalty &amp; Martech",'Role data'!$E$2:$E$550,"squad")/1000000</f>
        <v>1.1906103534</v>
      </c>
      <c r="G22" s="10" t="n">
        <f aca="false">SUMIFS('Role data'!$Q$2:$Q$550,'Role data'!$C$2:$C$550,"Ampol Customer",'Role data'!$D$2:$D$550,"Ampol Loyalty &amp; Martech",'Role data'!$E$2:$E$550,"squad")/1000000</f>
        <v>0.23812207068</v>
      </c>
      <c r="H22" s="10" t="n">
        <f aca="false">$F22-$G22</f>
        <v>0.95248828272</v>
      </c>
      <c r="I22" s="12" t="n">
        <f aca="false">$G22/$F22</f>
        <v>0.2</v>
      </c>
    </row>
    <row r="23" customFormat="false" ht="15" hidden="false" customHeight="false" outlineLevel="0" collapsed="false">
      <c r="B23" s="11" t="s">
        <v>14</v>
      </c>
      <c r="C23" s="11" t="s">
        <v>64</v>
      </c>
      <c r="D23" s="24" t="n">
        <f aca="false">COUNTIFS('Role data'!$C$2:$C$550,"Ampol Retail",'Role data'!$D$2:$D$550,"Network &amp; QSR",'Role data'!$E$2:$E$550,"squad")</f>
        <v>6</v>
      </c>
      <c r="E23" s="25" t="n">
        <f aca="false">SUMIFS('Role data'!$I$2:$I$550,'Role data'!$C$2:$C$550,"Ampol Retail",'Role data'!$D$2:$D$550,"Network &amp; QSR",'Role data'!$E$2:$E$550,"squad")</f>
        <v>6</v>
      </c>
      <c r="F23" s="10" t="n">
        <f aca="false">SUMIFS('Role data'!$N$2:$N$550,'Role data'!$C$2:$C$550,"Ampol Retail",'Role data'!$D$2:$D$550,"Network &amp; QSR",'Role data'!$E$2:$E$550,"squad")/1000000</f>
        <v>1.1140311</v>
      </c>
      <c r="G23" s="10" t="n">
        <f aca="false">SUMIFS('Role data'!$Q$2:$Q$550,'Role data'!$C$2:$C$550,"Ampol Retail",'Role data'!$D$2:$D$550,"Network &amp; QSR",'Role data'!$E$2:$E$550,"squad")/1000000</f>
        <v>0.22280622</v>
      </c>
      <c r="H23" s="10" t="n">
        <f aca="false">$F23-$G23</f>
        <v>0.89122488</v>
      </c>
      <c r="I23" s="12" t="n">
        <f aca="false">$G23/$F23</f>
        <v>0.2</v>
      </c>
    </row>
    <row r="24" customFormat="false" ht="15" hidden="false" customHeight="false" outlineLevel="0" collapsed="false">
      <c r="B24" s="11" t="s">
        <v>31</v>
      </c>
      <c r="C24" s="11" t="s">
        <v>981</v>
      </c>
      <c r="D24" s="24" t="n">
        <f aca="false">COUNTIFS('Role data'!$C$2:$C$550,"Enterprise Data",'Role data'!$D$2:$D$550,"Reporting &amp; Analytics",'Role data'!$E$2:$E$550,"squad")</f>
        <v>6</v>
      </c>
      <c r="E24" s="25" t="n">
        <f aca="false">SUMIFS('Role data'!$I$2:$I$550,'Role data'!$C$2:$C$550,"Enterprise Data",'Role data'!$D$2:$D$550,"Reporting &amp; Analytics",'Role data'!$E$2:$E$550,"squad")</f>
        <v>5.6</v>
      </c>
      <c r="F24" s="10" t="n">
        <f aca="false">SUMIFS('Role data'!$N$2:$N$550,'Role data'!$C$2:$C$550,"Enterprise Data",'Role data'!$D$2:$D$550,"Reporting &amp; Analytics",'Role data'!$E$2:$E$550,"squad")/1000000</f>
        <v>1.06441953</v>
      </c>
      <c r="G24" s="10" t="n">
        <f aca="false">SUMIFS('Role data'!$Q$2:$Q$550,'Role data'!$C$2:$C$550,"Enterprise Data",'Role data'!$D$2:$D$550,"Reporting &amp; Analytics",'Role data'!$E$2:$E$550,"squad")/1000000</f>
        <v>0.745093671</v>
      </c>
      <c r="H24" s="10" t="n">
        <f aca="false">$F24-$G24</f>
        <v>0.319325859</v>
      </c>
      <c r="I24" s="12" t="n">
        <f aca="false">$G24/$F24</f>
        <v>0.7</v>
      </c>
    </row>
    <row r="25" customFormat="false" ht="15" hidden="false" customHeight="false" outlineLevel="0" collapsed="false">
      <c r="B25" s="11" t="s">
        <v>20</v>
      </c>
      <c r="C25" s="11" t="s">
        <v>512</v>
      </c>
      <c r="D25" s="24" t="n">
        <f aca="false">COUNTIFS('Role data'!$C$2:$C$550,"Commercial Fuels",'Role data'!$D$2:$D$550,"Supply",'Role data'!$E$2:$E$550,"squad")</f>
        <v>5</v>
      </c>
      <c r="E25" s="25" t="n">
        <f aca="false">SUMIFS('Role data'!$I$2:$I$550,'Role data'!$C$2:$C$550,"Commercial Fuels",'Role data'!$D$2:$D$550,"Supply",'Role data'!$E$2:$E$550,"squad")</f>
        <v>5</v>
      </c>
      <c r="F25" s="10" t="n">
        <f aca="false">SUMIFS('Role data'!$N$2:$N$550,'Role data'!$C$2:$C$550,"Commercial Fuels",'Role data'!$D$2:$D$550,"Supply",'Role data'!$E$2:$E$550,"squad")/1000000</f>
        <v>1.05925575</v>
      </c>
      <c r="G25" s="10" t="n">
        <f aca="false">SUMIFS('Role data'!$Q$2:$Q$550,'Role data'!$C$2:$C$550,"Commercial Fuels",'Role data'!$D$2:$D$550,"Supply",'Role data'!$E$2:$E$550,"squad")/1000000</f>
        <v>0</v>
      </c>
      <c r="H25" s="10" t="n">
        <f aca="false">$F25-$G25</f>
        <v>1.05925575</v>
      </c>
      <c r="I25" s="12" t="n">
        <f aca="false">$G25/$F25</f>
        <v>0</v>
      </c>
    </row>
    <row r="26" customFormat="false" ht="15" hidden="false" customHeight="false" outlineLevel="0" collapsed="false">
      <c r="B26" s="11" t="s">
        <v>19</v>
      </c>
      <c r="C26" s="11" t="s">
        <v>461</v>
      </c>
      <c r="D26" s="24" t="n">
        <f aca="false">COUNTIFS('Role data'!$C$2:$C$550,"Z Customer",'Role data'!$D$2:$D$550,"Z App and Web",'Role data'!$E$2:$E$550,"squad")</f>
        <v>6</v>
      </c>
      <c r="E26" s="25" t="n">
        <f aca="false">SUMIFS('Role data'!$I$2:$I$550,'Role data'!$C$2:$C$550,"Z Customer",'Role data'!$D$2:$D$550,"Z App and Web",'Role data'!$E$2:$E$550,"squad")</f>
        <v>6</v>
      </c>
      <c r="F26" s="10" t="n">
        <f aca="false">SUMIFS('Role data'!$N$2:$N$550,'Role data'!$C$2:$C$550,"Z Customer",'Role data'!$D$2:$D$550,"Z App and Web",'Role data'!$E$2:$E$550,"squad")/1000000</f>
        <v>1.03293116</v>
      </c>
      <c r="G26" s="10" t="n">
        <f aca="false">SUMIFS('Role data'!$Q$2:$Q$550,'Role data'!$C$2:$C$550,"Z Customer",'Role data'!$D$2:$D$550,"Z App and Web",'Role data'!$E$2:$E$550,"squad")/1000000</f>
        <v>0.723051812</v>
      </c>
      <c r="H26" s="10" t="n">
        <f aca="false">$F26-$G26</f>
        <v>0.309879348</v>
      </c>
      <c r="I26" s="12" t="n">
        <f aca="false">$G26/$F26</f>
        <v>0.7</v>
      </c>
    </row>
    <row r="27" customFormat="false" ht="15" hidden="false" customHeight="false" outlineLevel="0" collapsed="false">
      <c r="B27" s="11" t="s">
        <v>20</v>
      </c>
      <c r="C27" s="11" t="s">
        <v>513</v>
      </c>
      <c r="D27" s="24" t="n">
        <f aca="false">COUNTIFS('Role data'!$C$2:$C$550,"Commercial Fuels",'Role data'!$D$2:$D$550,"Trading &amp; Shipping Data",'Role data'!$E$2:$E$550,"squad")</f>
        <v>7</v>
      </c>
      <c r="E27" s="25" t="n">
        <f aca="false">SUMIFS('Role data'!$I$2:$I$550,'Role data'!$C$2:$C$550,"Commercial Fuels",'Role data'!$D$2:$D$550,"Trading &amp; Shipping Data",'Role data'!$E$2:$E$550,"squad")</f>
        <v>7</v>
      </c>
      <c r="F27" s="10" t="n">
        <f aca="false">SUMIFS('Role data'!$N$2:$N$550,'Role data'!$C$2:$C$550,"Commercial Fuels",'Role data'!$D$2:$D$550,"Trading &amp; Shipping Data",'Role data'!$E$2:$E$550,"squad")/1000000</f>
        <v>1.0146279396</v>
      </c>
      <c r="G27" s="10" t="n">
        <f aca="false">SUMIFS('Role data'!$Q$2:$Q$550,'Role data'!$C$2:$C$550,"Commercial Fuels",'Role data'!$D$2:$D$550,"Trading &amp; Shipping Data",'Role data'!$E$2:$E$550,"squad")/1000000</f>
        <v>0</v>
      </c>
      <c r="H27" s="10" t="n">
        <f aca="false">$F27-$G27</f>
        <v>1.0146279396</v>
      </c>
      <c r="I27" s="12" t="n">
        <f aca="false">$G27/$F27</f>
        <v>0</v>
      </c>
    </row>
    <row r="28" customFormat="false" ht="15" hidden="false" customHeight="false" outlineLevel="0" collapsed="false">
      <c r="B28" s="11" t="s">
        <v>22</v>
      </c>
      <c r="C28" s="11" t="s">
        <v>614</v>
      </c>
      <c r="D28" s="24" t="n">
        <f aca="false">COUNTIFS('Role data'!$C$2:$C$550,"Energy Solutions &amp; B2B",'Role data'!$D$2:$D$550,"EVCI",'Role data'!$E$2:$E$550,"squad")</f>
        <v>6</v>
      </c>
      <c r="E28" s="25" t="n">
        <f aca="false">SUMIFS('Role data'!$I$2:$I$550,'Role data'!$C$2:$C$550,"Energy Solutions &amp; B2B",'Role data'!$D$2:$D$550,"EVCI",'Role data'!$E$2:$E$550,"squad")</f>
        <v>6</v>
      </c>
      <c r="F28" s="10" t="n">
        <f aca="false">SUMIFS('Role data'!$N$2:$N$550,'Role data'!$C$2:$C$550,"Energy Solutions &amp; B2B",'Role data'!$D$2:$D$550,"EVCI",'Role data'!$E$2:$E$550,"squad")/1000000</f>
        <v>0.930799292</v>
      </c>
      <c r="G28" s="10" t="n">
        <f aca="false">SUMIFS('Role data'!$Q$2:$Q$550,'Role data'!$C$2:$C$550,"Energy Solutions &amp; B2B",'Role data'!$D$2:$D$550,"EVCI",'Role data'!$E$2:$E$550,"squad")/1000000</f>
        <v>0.1396198938</v>
      </c>
      <c r="H28" s="10" t="n">
        <f aca="false">$F28-$G28</f>
        <v>0.7911793982</v>
      </c>
      <c r="I28" s="12" t="n">
        <f aca="false">$G28/$F28</f>
        <v>0.15</v>
      </c>
    </row>
    <row r="29" customFormat="false" ht="15" hidden="false" customHeight="false" outlineLevel="0" collapsed="false">
      <c r="B29" s="11" t="s">
        <v>31</v>
      </c>
      <c r="C29" s="11" t="s">
        <v>970</v>
      </c>
      <c r="D29" s="24" t="n">
        <f aca="false">COUNTIFS('Role data'!$C$2:$C$550,"Enterprise Data",'Role data'!$D$2:$D$550,"Data Platforms",'Role data'!$E$2:$E$550,"squad")</f>
        <v>8</v>
      </c>
      <c r="E29" s="25" t="n">
        <f aca="false">SUMIFS('Role data'!$I$2:$I$550,'Role data'!$C$2:$C$550,"Enterprise Data",'Role data'!$D$2:$D$550,"Data Platforms",'Role data'!$E$2:$E$550,"squad")</f>
        <v>8</v>
      </c>
      <c r="F29" s="10" t="n">
        <f aca="false">SUMIFS('Role data'!$N$2:$N$550,'Role data'!$C$2:$C$550,"Enterprise Data",'Role data'!$D$2:$D$550,"Data Platforms",'Role data'!$E$2:$E$550,"squad")/1000000</f>
        <v>0.915323396</v>
      </c>
      <c r="G29" s="10" t="n">
        <f aca="false">SUMIFS('Role data'!$Q$2:$Q$550,'Role data'!$C$2:$C$550,"Enterprise Data",'Role data'!$D$2:$D$550,"Data Platforms",'Role data'!$E$2:$E$550,"squad")/1000000</f>
        <v>0.7322587168</v>
      </c>
      <c r="H29" s="10" t="n">
        <f aca="false">$F29-$G29</f>
        <v>0.1830646792</v>
      </c>
      <c r="I29" s="12" t="n">
        <f aca="false">$G29/$F29</f>
        <v>0.8</v>
      </c>
    </row>
    <row r="30" customFormat="false" ht="15" hidden="false" customHeight="false" outlineLevel="0" collapsed="false">
      <c r="B30" s="11" t="s">
        <v>30</v>
      </c>
      <c r="C30" s="11" t="s">
        <v>851</v>
      </c>
      <c r="D30" s="24" t="n">
        <f aca="false">COUNTIFS('Role data'!$C$2:$C$550,"TDD Group Functions",'Role data'!$D$2:$D$550,"Workplace &amp; Enterprise Tooling",'Role data'!$E$2:$E$550,"squad")</f>
        <v>6</v>
      </c>
      <c r="E30" s="25" t="n">
        <f aca="false">SUMIFS('Role data'!$I$2:$I$550,'Role data'!$C$2:$C$550,"TDD Group Functions",'Role data'!$D$2:$D$550,"Workplace &amp; Enterprise Tooling",'Role data'!$E$2:$E$550,"squad")</f>
        <v>6</v>
      </c>
      <c r="F30" s="10" t="n">
        <f aca="false">SUMIFS('Role data'!$N$2:$N$550,'Role data'!$C$2:$C$550,"TDD Group Functions",'Role data'!$D$2:$D$550,"Workplace &amp; Enterprise Tooling",'Role data'!$E$2:$E$550,"squad")/1000000</f>
        <v>0.914475972</v>
      </c>
      <c r="G30" s="10" t="n">
        <f aca="false">SUMIFS('Role data'!$Q$2:$Q$550,'Role data'!$C$2:$C$550,"TDD Group Functions",'Role data'!$D$2:$D$550,"Workplace &amp; Enterprise Tooling",'Role data'!$E$2:$E$550,"squad")/1000000</f>
        <v>0.914475972</v>
      </c>
      <c r="H30" s="10" t="n">
        <f aca="false">$F30-$G30</f>
        <v>0</v>
      </c>
      <c r="I30" s="12" t="n">
        <f aca="false">$G30/$F30</f>
        <v>1</v>
      </c>
    </row>
    <row r="31" customFormat="false" ht="15" hidden="false" customHeight="false" outlineLevel="0" collapsed="false">
      <c r="B31" s="11" t="s">
        <v>28</v>
      </c>
      <c r="C31" s="11" t="s">
        <v>806</v>
      </c>
      <c r="D31" s="24" t="n">
        <f aca="false">COUNTIFS('Role data'!$C$2:$C$550,"Finance",'Role data'!$D$2:$D$550,"NZ Finance",'Role data'!$E$2:$E$550,"squad")</f>
        <v>6</v>
      </c>
      <c r="E31" s="25" t="n">
        <f aca="false">SUMIFS('Role data'!$I$2:$I$550,'Role data'!$C$2:$C$550,"Finance",'Role data'!$D$2:$D$550,"NZ Finance",'Role data'!$E$2:$E$550,"squad")</f>
        <v>5.5</v>
      </c>
      <c r="F31" s="10" t="n">
        <f aca="false">SUMIFS('Role data'!$N$2:$N$550,'Role data'!$C$2:$C$550,"Finance",'Role data'!$D$2:$D$550,"NZ Finance",'Role data'!$E$2:$E$550,"squad")/1000000</f>
        <v>0.900637878</v>
      </c>
      <c r="G31" s="10" t="n">
        <f aca="false">SUMIFS('Role data'!$Q$2:$Q$550,'Role data'!$C$2:$C$550,"Finance",'Role data'!$D$2:$D$550,"NZ Finance",'Role data'!$E$2:$E$550,"squad")/1000000</f>
        <v>0.7205103024</v>
      </c>
      <c r="H31" s="10" t="n">
        <f aca="false">$F31-$G31</f>
        <v>0.1801275756</v>
      </c>
      <c r="I31" s="12" t="n">
        <f aca="false">$G31/$F31</f>
        <v>0.8</v>
      </c>
    </row>
    <row r="32" customFormat="false" ht="15" hidden="false" customHeight="false" outlineLevel="0" collapsed="false">
      <c r="B32" s="11" t="s">
        <v>14</v>
      </c>
      <c r="C32" s="11" t="s">
        <v>61</v>
      </c>
      <c r="D32" s="24" t="n">
        <f aca="false">COUNTIFS('Role data'!$C$2:$C$550,"Ampol Retail",'Role data'!$D$2:$D$550,"Deployment",'Role data'!$E$2:$E$550,"squad")</f>
        <v>5</v>
      </c>
      <c r="E32" s="25" t="n">
        <f aca="false">SUMIFS('Role data'!$I$2:$I$550,'Role data'!$C$2:$C$550,"Ampol Retail",'Role data'!$D$2:$D$550,"Deployment",'Role data'!$E$2:$E$550,"squad")</f>
        <v>5</v>
      </c>
      <c r="F32" s="10" t="n">
        <f aca="false">SUMIFS('Role data'!$N$2:$N$550,'Role data'!$C$2:$C$550,"Ampol Retail",'Role data'!$D$2:$D$550,"Deployment",'Role data'!$E$2:$E$550,"squad")/1000000</f>
        <v>0.893835732</v>
      </c>
      <c r="G32" s="10" t="n">
        <f aca="false">SUMIFS('Role data'!$Q$2:$Q$550,'Role data'!$C$2:$C$550,"Ampol Retail",'Role data'!$D$2:$D$550,"Deployment",'Role data'!$E$2:$E$550,"squad")/1000000</f>
        <v>0.1787671464</v>
      </c>
      <c r="H32" s="10" t="n">
        <f aca="false">$F32-$G32</f>
        <v>0.7150685856</v>
      </c>
      <c r="I32" s="12" t="n">
        <f aca="false">$G32/$F32</f>
        <v>0.2</v>
      </c>
    </row>
    <row r="33" customFormat="false" ht="15" hidden="false" customHeight="false" outlineLevel="0" collapsed="false">
      <c r="B33" s="11" t="s">
        <v>24</v>
      </c>
      <c r="C33" s="11" t="s">
        <v>689</v>
      </c>
      <c r="D33" s="24" t="n">
        <f aca="false">COUNTIFS('Role data'!$C$2:$C$550,"Infrastructure",'Role data'!$D$2:$D$550,"Data &amp; Insights",'Role data'!$E$2:$E$550,"squad")</f>
        <v>7</v>
      </c>
      <c r="E33" s="25" t="n">
        <f aca="false">SUMIFS('Role data'!$I$2:$I$550,'Role data'!$C$2:$C$550,"Infrastructure",'Role data'!$D$2:$D$550,"Data &amp; Insights",'Role data'!$E$2:$E$550,"squad")</f>
        <v>7</v>
      </c>
      <c r="F33" s="10" t="n">
        <f aca="false">SUMIFS('Role data'!$N$2:$N$550,'Role data'!$C$2:$C$550,"Infrastructure",'Role data'!$D$2:$D$550,"Data &amp; Insights",'Role data'!$E$2:$E$550,"squad")/1000000</f>
        <v>0.876463425</v>
      </c>
      <c r="G33" s="10" t="n">
        <f aca="false">SUMIFS('Role data'!$Q$2:$Q$550,'Role data'!$C$2:$C$550,"Infrastructure",'Role data'!$D$2:$D$550,"Data &amp; Insights",'Role data'!$E$2:$E$550,"squad")/1000000</f>
        <v>0.175292685</v>
      </c>
      <c r="H33" s="10" t="n">
        <f aca="false">$F33-$G33</f>
        <v>0.70117074</v>
      </c>
      <c r="I33" s="12" t="n">
        <f aca="false">$G33/$F33</f>
        <v>0.2</v>
      </c>
    </row>
    <row r="34" customFormat="false" ht="15" hidden="false" customHeight="false" outlineLevel="0" collapsed="false">
      <c r="B34" s="11" t="s">
        <v>14</v>
      </c>
      <c r="C34" s="11" t="s">
        <v>58</v>
      </c>
      <c r="D34" s="24" t="n">
        <f aca="false">COUNTIFS('Role data'!$C$2:$C$550,"Ampol Retail",'Role data'!$D$2:$D$550,"POS",'Role data'!$E$2:$E$550,"squad")</f>
        <v>8</v>
      </c>
      <c r="E34" s="25" t="n">
        <f aca="false">SUMIFS('Role data'!$I$2:$I$550,'Role data'!$C$2:$C$550,"Ampol Retail",'Role data'!$D$2:$D$550,"POS",'Role data'!$E$2:$E$550,"squad")</f>
        <v>8</v>
      </c>
      <c r="F34" s="10" t="n">
        <f aca="false">SUMIFS('Role data'!$N$2:$N$550,'Role data'!$C$2:$C$550,"Ampol Retail",'Role data'!$D$2:$D$550,"POS",'Role data'!$E$2:$E$550,"squad")/1000000</f>
        <v>0.87190453875</v>
      </c>
      <c r="G34" s="10" t="n">
        <f aca="false">SUMIFS('Role data'!$Q$2:$Q$550,'Role data'!$C$2:$C$550,"Ampol Retail",'Role data'!$D$2:$D$550,"POS",'Role data'!$E$2:$E$550,"squad")/1000000</f>
        <v>0.5667379501875</v>
      </c>
      <c r="H34" s="10" t="n">
        <f aca="false">$F34-$G34</f>
        <v>0.3051665885625</v>
      </c>
      <c r="I34" s="12" t="n">
        <f aca="false">$G34/$F34</f>
        <v>0.65</v>
      </c>
    </row>
    <row r="35" customFormat="false" ht="15" hidden="false" customHeight="false" outlineLevel="0" collapsed="false">
      <c r="B35" s="11" t="s">
        <v>25</v>
      </c>
      <c r="C35" s="11" t="s">
        <v>1066</v>
      </c>
      <c r="D35" s="24" t="n">
        <f aca="false">COUNTIFS('Role data'!$C$2:$C$550,"TDD Cyber",'Role data'!$D$2:$D$550,"Identity",'Role data'!$E$2:$E$550,"squad")</f>
        <v>4</v>
      </c>
      <c r="E35" s="25" t="n">
        <f aca="false">SUMIFS('Role data'!$I$2:$I$550,'Role data'!$C$2:$C$550,"TDD Cyber",'Role data'!$D$2:$D$550,"Identity",'Role data'!$E$2:$E$550,"squad")</f>
        <v>4</v>
      </c>
      <c r="F35" s="10" t="n">
        <f aca="false">SUMIFS('Role data'!$N$2:$N$550,'Role data'!$C$2:$C$550,"TDD Cyber",'Role data'!$D$2:$D$550,"Identity",'Role data'!$E$2:$E$550,"squad")/1000000</f>
        <v>0.83820015</v>
      </c>
      <c r="G35" s="10" t="n">
        <f aca="false">SUMIFS('Role data'!$Q$2:$Q$550,'Role data'!$C$2:$C$550,"TDD Cyber",'Role data'!$D$2:$D$550,"Identity",'Role data'!$E$2:$E$550,"squad")/1000000</f>
        <v>0.67056012</v>
      </c>
      <c r="H35" s="10" t="n">
        <f aca="false">$F35-$G35</f>
        <v>0.16764003</v>
      </c>
      <c r="I35" s="12" t="n">
        <f aca="false">$G35/$F35</f>
        <v>0.8</v>
      </c>
    </row>
    <row r="36" customFormat="false" ht="15" hidden="false" customHeight="false" outlineLevel="0" collapsed="false">
      <c r="B36" s="11" t="s">
        <v>31</v>
      </c>
      <c r="C36" s="11" t="s">
        <v>974</v>
      </c>
      <c r="D36" s="24" t="n">
        <f aca="false">COUNTIFS('Role data'!$C$2:$C$550,"Enterprise Data",'Role data'!$D$2:$D$550,"Data Science",'Role data'!$E$2:$E$550,"squad")</f>
        <v>4</v>
      </c>
      <c r="E36" s="25" t="n">
        <f aca="false">SUMIFS('Role data'!$I$2:$I$550,'Role data'!$C$2:$C$550,"Enterprise Data",'Role data'!$D$2:$D$550,"Data Science",'Role data'!$E$2:$E$550,"squad")</f>
        <v>4</v>
      </c>
      <c r="F36" s="10" t="n">
        <f aca="false">SUMIFS('Role data'!$N$2:$N$550,'Role data'!$C$2:$C$550,"Enterprise Data",'Role data'!$D$2:$D$550,"Data Science",'Role data'!$E$2:$E$550,"squad")/1000000</f>
        <v>0.80639733</v>
      </c>
      <c r="G36" s="10" t="n">
        <f aca="false">SUMIFS('Role data'!$Q$2:$Q$550,'Role data'!$C$2:$C$550,"Enterprise Data",'Role data'!$D$2:$D$550,"Data Science",'Role data'!$E$2:$E$550,"squad")/1000000</f>
        <v>0.1209595995</v>
      </c>
      <c r="H36" s="10" t="n">
        <f aca="false">$F36-$G36</f>
        <v>0.6854377305</v>
      </c>
      <c r="I36" s="12" t="n">
        <f aca="false">$G36/$F36</f>
        <v>0.15</v>
      </c>
    </row>
    <row r="37" customFormat="false" ht="15" hidden="false" customHeight="false" outlineLevel="0" collapsed="false">
      <c r="B37" s="11" t="s">
        <v>14</v>
      </c>
      <c r="C37" s="11" t="s">
        <v>54</v>
      </c>
      <c r="D37" s="24" t="n">
        <f aca="false">COUNTIFS('Role data'!$C$2:$C$550,"Ampol Retail",'Role data'!$D$2:$D$550,"Payments",'Role data'!$E$2:$E$550,"squad")</f>
        <v>4</v>
      </c>
      <c r="E37" s="25" t="n">
        <f aca="false">SUMIFS('Role data'!$I$2:$I$550,'Role data'!$C$2:$C$550,"Ampol Retail",'Role data'!$D$2:$D$550,"Payments",'Role data'!$E$2:$E$550,"squad")</f>
        <v>4</v>
      </c>
      <c r="F37" s="10" t="n">
        <f aca="false">SUMIFS('Role data'!$N$2:$N$550,'Role data'!$C$2:$C$550,"Ampol Retail",'Role data'!$D$2:$D$550,"Payments",'Role data'!$E$2:$E$550,"squad")/1000000</f>
        <v>0.789428585</v>
      </c>
      <c r="G37" s="10" t="n">
        <f aca="false">SUMIFS('Role data'!$Q$2:$Q$550,'Role data'!$C$2:$C$550,"Ampol Retail",'Role data'!$D$2:$D$550,"Payments",'Role data'!$E$2:$E$550,"squad")/1000000</f>
        <v>0.11841428775</v>
      </c>
      <c r="H37" s="10" t="n">
        <f aca="false">$F37-$G37</f>
        <v>0.67101429725</v>
      </c>
      <c r="I37" s="12" t="n">
        <f aca="false">$G37/$F37</f>
        <v>0.15</v>
      </c>
    </row>
    <row r="38" customFormat="false" ht="15" hidden="false" customHeight="false" outlineLevel="0" collapsed="false">
      <c r="B38" s="11" t="s">
        <v>26</v>
      </c>
      <c r="C38" s="11" t="s">
        <v>769</v>
      </c>
      <c r="D38" s="24" t="n">
        <f aca="false">COUNTIFS('Role data'!$C$2:$C$550,"P&amp;C",'Role data'!$D$2:$D$550,"P&amp;C RTA",'Role data'!$E$2:$E$550,"squad")</f>
        <v>5</v>
      </c>
      <c r="E38" s="25" t="n">
        <f aca="false">SUMIFS('Role data'!$I$2:$I$550,'Role data'!$C$2:$C$550,"P&amp;C",'Role data'!$D$2:$D$550,"P&amp;C RTA",'Role data'!$E$2:$E$550,"squad")</f>
        <v>5</v>
      </c>
      <c r="F38" s="10" t="n">
        <f aca="false">SUMIFS('Role data'!$N$2:$N$550,'Role data'!$C$2:$C$550,"P&amp;C",'Role data'!$D$2:$D$550,"P&amp;C RTA",'Role data'!$E$2:$E$550,"squad")/1000000</f>
        <v>0.76258235</v>
      </c>
      <c r="G38" s="10" t="n">
        <f aca="false">SUMIFS('Role data'!$Q$2:$Q$550,'Role data'!$C$2:$C$550,"P&amp;C",'Role data'!$D$2:$D$550,"P&amp;C RTA",'Role data'!$E$2:$E$550,"squad")/1000000</f>
        <v>0.1143873525</v>
      </c>
      <c r="H38" s="10" t="n">
        <f aca="false">$F38-$G38</f>
        <v>0.6481949975</v>
      </c>
      <c r="I38" s="12" t="n">
        <f aca="false">$G38/$F38</f>
        <v>0.15</v>
      </c>
    </row>
    <row r="39" customFormat="false" ht="15" hidden="false" customHeight="false" outlineLevel="0" collapsed="false">
      <c r="B39" s="11" t="s">
        <v>16</v>
      </c>
      <c r="C39" s="11" t="s">
        <v>216</v>
      </c>
      <c r="D39" s="24" t="n">
        <f aca="false">COUNTIFS('Role data'!$C$2:$C$550,"Z Retail",'Role data'!$D$2:$D$550,"Data NZ",'Role data'!$E$2:$E$550,"squad")</f>
        <v>7</v>
      </c>
      <c r="E39" s="25" t="n">
        <f aca="false">SUMIFS('Role data'!$I$2:$I$550,'Role data'!$C$2:$C$550,"Z Retail",'Role data'!$D$2:$D$550,"Data NZ",'Role data'!$E$2:$E$550,"squad")</f>
        <v>7</v>
      </c>
      <c r="F39" s="10" t="n">
        <f aca="false">SUMIFS('Role data'!$N$2:$N$550,'Role data'!$C$2:$C$550,"Z Retail",'Role data'!$D$2:$D$550,"Data NZ",'Role data'!$E$2:$E$550,"squad")/1000000</f>
        <v>0.745179862</v>
      </c>
      <c r="G39" s="10" t="n">
        <f aca="false">SUMIFS('Role data'!$Q$2:$Q$550,'Role data'!$C$2:$C$550,"Z Retail",'Role data'!$D$2:$D$550,"Data NZ",'Role data'!$E$2:$E$550,"squad")/1000000</f>
        <v>0.6706618758</v>
      </c>
      <c r="H39" s="10" t="n">
        <f aca="false">$F39-$G39</f>
        <v>0.0745179861999999</v>
      </c>
      <c r="I39" s="12" t="n">
        <f aca="false">$G39/$F39</f>
        <v>0.9</v>
      </c>
    </row>
    <row r="40" customFormat="false" ht="15" hidden="false" customHeight="false" outlineLevel="0" collapsed="false">
      <c r="B40" s="11" t="s">
        <v>24</v>
      </c>
      <c r="C40" s="11" t="s">
        <v>690</v>
      </c>
      <c r="D40" s="24" t="n">
        <f aca="false">COUNTIFS('Role data'!$C$2:$C$550,"Infrastructure",'Role data'!$D$2:$D$550,"Technology Support",'Role data'!$E$2:$E$550,"squad")</f>
        <v>5</v>
      </c>
      <c r="E40" s="25" t="n">
        <f aca="false">SUMIFS('Role data'!$I$2:$I$550,'Role data'!$C$2:$C$550,"Infrastructure",'Role data'!$D$2:$D$550,"Technology Support",'Role data'!$E$2:$E$550,"squad")</f>
        <v>5</v>
      </c>
      <c r="F40" s="10" t="n">
        <f aca="false">SUMIFS('Role data'!$N$2:$N$550,'Role data'!$C$2:$C$550,"Infrastructure",'Role data'!$D$2:$D$550,"Technology Support",'Role data'!$E$2:$E$550,"squad")/1000000</f>
        <v>0.74133529</v>
      </c>
      <c r="G40" s="10" t="n">
        <f aca="false">SUMIFS('Role data'!$Q$2:$Q$550,'Role data'!$C$2:$C$550,"Infrastructure",'Role data'!$D$2:$D$550,"Technology Support",'Role data'!$E$2:$E$550,"squad")/1000000</f>
        <v>0.593068232</v>
      </c>
      <c r="H40" s="10" t="n">
        <f aca="false">$F40-$G40</f>
        <v>0.148267058</v>
      </c>
      <c r="I40" s="12" t="n">
        <f aca="false">$G40/$F40</f>
        <v>0.8</v>
      </c>
    </row>
    <row r="41" customFormat="false" ht="15" hidden="false" customHeight="false" outlineLevel="0" collapsed="false">
      <c r="B41" s="11" t="s">
        <v>18</v>
      </c>
      <c r="C41" s="11" t="s">
        <v>311</v>
      </c>
      <c r="D41" s="24" t="n">
        <f aca="false">COUNTIFS('Role data'!$C$2:$C$550,"Ampol Customer",'Role data'!$D$2:$D$550,"Customer, AI",'Role data'!$E$2:$E$550,"squad")</f>
        <v>3</v>
      </c>
      <c r="E41" s="25" t="n">
        <f aca="false">SUMIFS('Role data'!$I$2:$I$550,'Role data'!$C$2:$C$550,"Ampol Customer",'Role data'!$D$2:$D$550,"Customer, AI",'Role data'!$E$2:$E$550,"squad")</f>
        <v>3</v>
      </c>
      <c r="F41" s="10" t="n">
        <f aca="false">SUMIFS('Role data'!$N$2:$N$550,'Role data'!$C$2:$C$550,"Ampol Customer",'Role data'!$D$2:$D$550,"Customer, AI",'Role data'!$E$2:$E$550,"squad")/1000000</f>
        <v>0.72928725</v>
      </c>
      <c r="G41" s="10" t="n">
        <f aca="false">SUMIFS('Role data'!$Q$2:$Q$550,'Role data'!$C$2:$C$550,"Ampol Customer",'Role data'!$D$2:$D$550,"Customer, AI",'Role data'!$E$2:$E$550,"squad")/1000000</f>
        <v>0</v>
      </c>
      <c r="H41" s="10" t="n">
        <f aca="false">$F41-$G41</f>
        <v>0.72928725</v>
      </c>
      <c r="I41" s="12" t="n">
        <f aca="false">$G41/$F41</f>
        <v>0</v>
      </c>
    </row>
    <row r="42" customFormat="false" ht="15" hidden="false" customHeight="false" outlineLevel="0" collapsed="false">
      <c r="B42" s="11" t="s">
        <v>18</v>
      </c>
      <c r="C42" s="11" t="s">
        <v>308</v>
      </c>
      <c r="D42" s="24" t="n">
        <f aca="false">COUNTIFS('Role data'!$C$2:$C$550,"Ampol Customer",'Role data'!$D$2:$D$550,"Digital Operations",'Role data'!$E$2:$E$550,"squad")</f>
        <v>6</v>
      </c>
      <c r="E42" s="25" t="n">
        <f aca="false">SUMIFS('Role data'!$I$2:$I$550,'Role data'!$C$2:$C$550,"Ampol Customer",'Role data'!$D$2:$D$550,"Digital Operations",'Role data'!$E$2:$E$550,"squad")</f>
        <v>6</v>
      </c>
      <c r="F42" s="10" t="n">
        <f aca="false">SUMIFS('Role data'!$N$2:$N$550,'Role data'!$C$2:$C$550,"Ampol Customer",'Role data'!$D$2:$D$550,"Digital Operations",'Role data'!$E$2:$E$550,"squad")/1000000</f>
        <v>0.71668945</v>
      </c>
      <c r="G42" s="10" t="n">
        <f aca="false">SUMIFS('Role data'!$Q$2:$Q$550,'Role data'!$C$2:$C$550,"Ampol Customer",'Role data'!$D$2:$D$550,"Digital Operations",'Role data'!$E$2:$E$550,"squad")/1000000</f>
        <v>0.71668945</v>
      </c>
      <c r="H42" s="10" t="n">
        <f aca="false">$F42-$G42</f>
        <v>0</v>
      </c>
      <c r="I42" s="12" t="n">
        <f aca="false">$G42/$F42</f>
        <v>1</v>
      </c>
    </row>
    <row r="43" customFormat="false" ht="15" hidden="false" customHeight="false" outlineLevel="0" collapsed="false">
      <c r="B43" s="11" t="s">
        <v>31</v>
      </c>
      <c r="C43" s="11" t="s">
        <v>971</v>
      </c>
      <c r="D43" s="24" t="n">
        <f aca="false">COUNTIFS('Role data'!$C$2:$C$550,"Enterprise Data",'Role data'!$D$2:$D$550,"Enterprise Data Delivery",'Role data'!$E$2:$E$550,"squad")</f>
        <v>9</v>
      </c>
      <c r="E43" s="25" t="n">
        <f aca="false">SUMIFS('Role data'!$I$2:$I$550,'Role data'!$C$2:$C$550,"Enterprise Data",'Role data'!$D$2:$D$550,"Enterprise Data Delivery",'Role data'!$E$2:$E$550,"squad")</f>
        <v>9</v>
      </c>
      <c r="F43" s="10" t="n">
        <f aca="false">SUMIFS('Role data'!$N$2:$N$550,'Role data'!$C$2:$C$550,"Enterprise Data",'Role data'!$D$2:$D$550,"Enterprise Data Delivery",'Role data'!$E$2:$E$550,"squad")/1000000</f>
        <v>0.58</v>
      </c>
      <c r="G43" s="10" t="n">
        <f aca="false">SUMIFS('Role data'!$Q$2:$Q$550,'Role data'!$C$2:$C$550,"Enterprise Data",'Role data'!$D$2:$D$550,"Enterprise Data Delivery",'Role data'!$E$2:$E$550,"squad")/1000000</f>
        <v>0.087</v>
      </c>
      <c r="H43" s="10" t="n">
        <f aca="false">$F43-$G43</f>
        <v>0.493</v>
      </c>
      <c r="I43" s="12" t="n">
        <f aca="false">$G43/$F43</f>
        <v>0.15</v>
      </c>
    </row>
    <row r="44" customFormat="false" ht="15" hidden="false" customHeight="false" outlineLevel="0" collapsed="false">
      <c r="B44" s="11" t="s">
        <v>30</v>
      </c>
      <c r="C44" s="11" t="s">
        <v>847</v>
      </c>
      <c r="D44" s="24" t="n">
        <f aca="false">COUNTIFS('Role data'!$C$2:$C$550,"TDD Group Functions",'Role data'!$D$2:$D$550,"DevOps &amp; QE",'Role data'!$E$2:$E$550,"squad")</f>
        <v>7</v>
      </c>
      <c r="E44" s="25" t="n">
        <f aca="false">SUMIFS('Role data'!$I$2:$I$550,'Role data'!$C$2:$C$550,"TDD Group Functions",'Role data'!$D$2:$D$550,"DevOps &amp; QE",'Role data'!$E$2:$E$550,"squad")</f>
        <v>7</v>
      </c>
      <c r="F44" s="10" t="n">
        <f aca="false">SUMIFS('Role data'!$N$2:$N$550,'Role data'!$C$2:$C$550,"TDD Group Functions",'Role data'!$D$2:$D$550,"DevOps &amp; QE",'Role data'!$E$2:$E$550,"squad")/1000000</f>
        <v>0.5399610192</v>
      </c>
      <c r="G44" s="10" t="n">
        <f aca="false">SUMIFS('Role data'!$Q$2:$Q$550,'Role data'!$C$2:$C$550,"TDD Group Functions",'Role data'!$D$2:$D$550,"DevOps &amp; QE",'Role data'!$E$2:$E$550,"squad")/1000000</f>
        <v>0.5399610192</v>
      </c>
      <c r="H44" s="10" t="n">
        <f aca="false">$F44-$G44</f>
        <v>0</v>
      </c>
      <c r="I44" s="12" t="n">
        <f aca="false">$G44/$F44</f>
        <v>1</v>
      </c>
    </row>
    <row r="45" customFormat="false" ht="15" hidden="false" customHeight="false" outlineLevel="0" collapsed="false">
      <c r="B45" s="11" t="s">
        <v>14</v>
      </c>
      <c r="C45" s="11" t="s">
        <v>49</v>
      </c>
      <c r="D45" s="24" t="n">
        <f aca="false">COUNTIFS('Role data'!$C$2:$C$550,"Ampol Retail",'Role data'!$D$2:$D$550,"Data AU",'Role data'!$E$2:$E$550,"squad")</f>
        <v>6</v>
      </c>
      <c r="E45" s="25" t="n">
        <f aca="false">SUMIFS('Role data'!$I$2:$I$550,'Role data'!$C$2:$C$550,"Ampol Retail",'Role data'!$D$2:$D$550,"Data AU",'Role data'!$E$2:$E$550,"squad")</f>
        <v>6</v>
      </c>
      <c r="F45" s="10" t="n">
        <f aca="false">SUMIFS('Role data'!$N$2:$N$550,'Role data'!$C$2:$C$550,"Ampol Retail",'Role data'!$D$2:$D$550,"Data AU",'Role data'!$E$2:$E$550,"squad")/1000000</f>
        <v>0.4849295</v>
      </c>
      <c r="G45" s="10" t="n">
        <f aca="false">SUMIFS('Role data'!$Q$2:$Q$550,'Role data'!$C$2:$C$550,"Ampol Retail",'Role data'!$D$2:$D$550,"Data AU",'Role data'!$E$2:$E$550,"squad")/1000000</f>
        <v>0.43643655</v>
      </c>
      <c r="H45" s="10" t="n">
        <f aca="false">$F45-$G45</f>
        <v>0.04849295</v>
      </c>
      <c r="I45" s="12" t="n">
        <f aca="false">$G45/$F45</f>
        <v>0.9</v>
      </c>
    </row>
    <row r="46" customFormat="false" ht="15" hidden="false" customHeight="false" outlineLevel="0" collapsed="false">
      <c r="B46" s="13" t="s">
        <v>38</v>
      </c>
      <c r="C46" s="21"/>
      <c r="D46" s="26" t="n">
        <f aca="false">SUM(D5:D45)</f>
        <v>322</v>
      </c>
      <c r="E46" s="27" t="n">
        <f aca="false">SUM(E5:E45)</f>
        <v>320.5</v>
      </c>
      <c r="F46" s="14" t="n">
        <f aca="false">SUM(F5:F45)</f>
        <v>50.4547611471735</v>
      </c>
      <c r="G46" s="14" t="n">
        <f aca="false">SUM(G5:G45)</f>
        <v>20.9175789796922</v>
      </c>
      <c r="H46" s="14" t="n">
        <f aca="false">SUM(H5:H45)</f>
        <v>29.5371821674812</v>
      </c>
      <c r="I46" s="15" t="n">
        <f aca="false">$G46/$F46</f>
        <v>0.414580874115664</v>
      </c>
    </row>
  </sheetData>
  <sheetProtection sheet="true" password="c5c5"/>
  <conditionalFormatting sqref="F5:F45">
    <cfRule type="dataBar" priority="2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{CE7DD262-3FE0-4BED-B556-78EDAC92B558}</x14:id>
        </ext>
      </extLst>
    </cfRule>
  </conditionalFormatting>
  <conditionalFormatting sqref="I5:I45">
    <cfRule type="dataBar" priority="3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{CB5F8810-363A-4A88-9B5D-6180199EE06A}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E7DD262-3FE0-4BED-B556-78EDAC92B558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F5:F45</xm:sqref>
        </x14:conditionalFormatting>
        <x14:conditionalFormatting xmlns:xm="http://schemas.microsoft.com/office/excel/2006/main">
          <x14:cfRule type="dataBar" id="{CB5F8810-363A-4A88-9B5D-6180199EE06A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I5:I45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"/>
    <col collapsed="false" customWidth="true" hidden="true" outlineLevel="0" max="8" min="8" style="0" width="13"/>
  </cols>
  <sheetData>
    <row r="1" customFormat="false" ht="15" hidden="false" customHeight="false" outlineLevel="0" collapsed="false">
      <c r="B1" s="28" t="s">
        <v>1166</v>
      </c>
    </row>
    <row r="2" customFormat="false" ht="18" hidden="false" customHeight="true" outlineLevel="0" collapsed="false">
      <c r="B2" s="5" t="s">
        <v>1167</v>
      </c>
      <c r="C2" s="5" t="s">
        <v>1168</v>
      </c>
    </row>
    <row r="3" customFormat="false" ht="15" hidden="false" customHeight="false" outlineLevel="0" collapsed="false">
      <c r="B3" s="9" t="s">
        <v>1169</v>
      </c>
      <c r="C3" s="9" t="s">
        <v>1170</v>
      </c>
    </row>
    <row r="4" customFormat="false" ht="15" hidden="false" customHeight="false" outlineLevel="0" collapsed="false">
      <c r="B4" s="9" t="s">
        <v>1171</v>
      </c>
      <c r="C4" s="9" t="s">
        <v>1172</v>
      </c>
    </row>
    <row r="5" customFormat="false" ht="15" hidden="false" customHeight="false" outlineLevel="0" collapsed="false">
      <c r="B5" s="9" t="s">
        <v>1173</v>
      </c>
      <c r="C5" s="9" t="s">
        <v>1174</v>
      </c>
    </row>
    <row r="6" customFormat="false" ht="15" hidden="false" customHeight="false" outlineLevel="0" collapsed="false">
      <c r="B6" s="9" t="s">
        <v>1175</v>
      </c>
      <c r="C6" s="9" t="s">
        <v>1176</v>
      </c>
    </row>
    <row r="7" customFormat="false" ht="15" hidden="false" customHeight="false" outlineLevel="0" collapsed="false">
      <c r="B7" s="9" t="s">
        <v>1177</v>
      </c>
      <c r="C7" s="9" t="s">
        <v>1178</v>
      </c>
    </row>
    <row r="8" customFormat="false" ht="15" hidden="false" customHeight="false" outlineLevel="0" collapsed="false">
      <c r="B8" s="9" t="s">
        <v>5</v>
      </c>
      <c r="C8" s="9" t="s">
        <v>1179</v>
      </c>
    </row>
    <row r="9" customFormat="false" ht="15" hidden="false" customHeight="false" outlineLevel="0" collapsed="false">
      <c r="B9" s="9" t="s">
        <v>1180</v>
      </c>
      <c r="C9" s="9" t="s">
        <v>1181</v>
      </c>
    </row>
    <row r="10" customFormat="false" ht="15" hidden="false" customHeight="false" outlineLevel="0" collapsed="false">
      <c r="B10" s="9" t="s">
        <v>1182</v>
      </c>
      <c r="C10" s="9" t="s">
        <v>1183</v>
      </c>
    </row>
    <row r="11" customFormat="false" ht="15" hidden="false" customHeight="false" outlineLevel="0" collapsed="false">
      <c r="B11" s="9" t="s">
        <v>1146</v>
      </c>
      <c r="C11" s="9" t="s">
        <v>1184</v>
      </c>
    </row>
    <row r="12" customFormat="false" ht="15" hidden="false" customHeight="false" outlineLevel="0" collapsed="false">
      <c r="B12" s="9" t="s">
        <v>1185</v>
      </c>
      <c r="C12" s="9" t="s">
        <v>1186</v>
      </c>
    </row>
    <row r="14" customFormat="false" ht="15" hidden="false" customHeight="false" outlineLevel="0" collapsed="false">
      <c r="B14" s="28" t="s">
        <v>1187</v>
      </c>
    </row>
    <row r="15" customFormat="false" ht="18" hidden="false" customHeight="true" outlineLevel="0" collapsed="false">
      <c r="B15" s="5" t="s">
        <v>1188</v>
      </c>
      <c r="C15" s="5" t="s">
        <v>47</v>
      </c>
      <c r="D15" s="6" t="s">
        <v>1189</v>
      </c>
      <c r="E15" s="5" t="s">
        <v>1190</v>
      </c>
    </row>
    <row r="16" customFormat="false" ht="15" hidden="false" customHeight="false" outlineLevel="0" collapsed="false">
      <c r="B16" s="9" t="s">
        <v>14</v>
      </c>
      <c r="C16" s="9" t="s">
        <v>48</v>
      </c>
      <c r="D16" s="29" t="n">
        <v>0.2</v>
      </c>
      <c r="E16" s="19" t="s">
        <v>1191</v>
      </c>
      <c r="H16" s="9" t="s">
        <v>1192</v>
      </c>
    </row>
    <row r="17" customFormat="false" ht="15" hidden="false" customHeight="false" outlineLevel="0" collapsed="false">
      <c r="B17" s="9" t="s">
        <v>14</v>
      </c>
      <c r="C17" s="9" t="s">
        <v>49</v>
      </c>
      <c r="D17" s="29" t="n">
        <v>0.9</v>
      </c>
      <c r="E17" s="19" t="s">
        <v>1191</v>
      </c>
      <c r="H17" s="9" t="s">
        <v>1193</v>
      </c>
    </row>
    <row r="18" customFormat="false" ht="15" hidden="false" customHeight="false" outlineLevel="0" collapsed="false">
      <c r="B18" s="9" t="s">
        <v>14</v>
      </c>
      <c r="C18" s="9" t="s">
        <v>61</v>
      </c>
      <c r="D18" s="29" t="n">
        <v>0.2</v>
      </c>
      <c r="E18" s="19" t="s">
        <v>1191</v>
      </c>
      <c r="H18" s="9" t="s">
        <v>1194</v>
      </c>
    </row>
    <row r="19" customFormat="false" ht="15" hidden="false" customHeight="false" outlineLevel="0" collapsed="false">
      <c r="B19" s="9" t="s">
        <v>14</v>
      </c>
      <c r="C19" s="9" t="s">
        <v>64</v>
      </c>
      <c r="D19" s="29" t="n">
        <v>0.2</v>
      </c>
      <c r="E19" s="19" t="s">
        <v>1191</v>
      </c>
      <c r="H19" s="9" t="s">
        <v>1195</v>
      </c>
    </row>
    <row r="20" customFormat="false" ht="15" hidden="false" customHeight="false" outlineLevel="0" collapsed="false">
      <c r="B20" s="9" t="s">
        <v>14</v>
      </c>
      <c r="C20" s="9" t="s">
        <v>58</v>
      </c>
      <c r="D20" s="29" t="n">
        <v>0.65</v>
      </c>
      <c r="E20" s="19" t="s">
        <v>1191</v>
      </c>
      <c r="H20" s="9" t="s">
        <v>1196</v>
      </c>
    </row>
    <row r="21" customFormat="false" ht="15" hidden="false" customHeight="false" outlineLevel="0" collapsed="false">
      <c r="B21" s="9" t="s">
        <v>14</v>
      </c>
      <c r="C21" s="9" t="s">
        <v>54</v>
      </c>
      <c r="D21" s="29" t="n">
        <v>0.15</v>
      </c>
      <c r="E21" s="19" t="s">
        <v>1191</v>
      </c>
      <c r="H21" s="9" t="s">
        <v>1197</v>
      </c>
    </row>
    <row r="22" customFormat="false" ht="15" hidden="false" customHeight="false" outlineLevel="0" collapsed="false">
      <c r="B22" s="9" t="s">
        <v>14</v>
      </c>
      <c r="C22" s="9" t="s">
        <v>67</v>
      </c>
      <c r="D22" s="29" t="n">
        <v>1</v>
      </c>
      <c r="E22" s="19" t="s">
        <v>1191</v>
      </c>
      <c r="H22" s="9" t="s">
        <v>1198</v>
      </c>
    </row>
    <row r="23" customFormat="false" ht="15" hidden="false" customHeight="false" outlineLevel="0" collapsed="false">
      <c r="B23" s="9" t="s">
        <v>16</v>
      </c>
      <c r="C23" s="9" t="s">
        <v>216</v>
      </c>
      <c r="D23" s="29" t="n">
        <v>0.9</v>
      </c>
      <c r="E23" s="19" t="s">
        <v>1199</v>
      </c>
      <c r="H23" s="9" t="s">
        <v>1200</v>
      </c>
    </row>
    <row r="24" customFormat="false" ht="15" hidden="false" customHeight="false" outlineLevel="0" collapsed="false">
      <c r="B24" s="9" t="s">
        <v>16</v>
      </c>
      <c r="C24" s="9" t="s">
        <v>218</v>
      </c>
      <c r="D24" s="29" t="n">
        <v>0.8</v>
      </c>
      <c r="E24" s="19" t="s">
        <v>1199</v>
      </c>
      <c r="H24" s="9" t="s">
        <v>1201</v>
      </c>
    </row>
    <row r="25" customFormat="false" ht="15" hidden="false" customHeight="false" outlineLevel="0" collapsed="false">
      <c r="B25" s="9" t="s">
        <v>16</v>
      </c>
      <c r="C25" s="9" t="s">
        <v>224</v>
      </c>
      <c r="D25" s="29" t="n">
        <v>0.8</v>
      </c>
      <c r="E25" s="19" t="s">
        <v>1199</v>
      </c>
      <c r="H25" s="9" t="s">
        <v>1202</v>
      </c>
    </row>
    <row r="26" customFormat="false" ht="15" hidden="false" customHeight="false" outlineLevel="0" collapsed="false">
      <c r="B26" s="9" t="s">
        <v>16</v>
      </c>
      <c r="C26" s="9" t="s">
        <v>220</v>
      </c>
      <c r="D26" s="29" t="n">
        <v>0.8</v>
      </c>
      <c r="E26" s="19" t="s">
        <v>1199</v>
      </c>
      <c r="H26" s="9" t="s">
        <v>1203</v>
      </c>
    </row>
    <row r="27" customFormat="false" ht="15" hidden="false" customHeight="false" outlineLevel="0" collapsed="false">
      <c r="B27" s="9" t="s">
        <v>18</v>
      </c>
      <c r="C27" s="9" t="s">
        <v>307</v>
      </c>
      <c r="D27" s="29" t="n">
        <v>0.15</v>
      </c>
      <c r="E27" s="19" t="s">
        <v>1204</v>
      </c>
      <c r="H27" s="9" t="s">
        <v>1205</v>
      </c>
    </row>
    <row r="28" customFormat="false" ht="15" hidden="false" customHeight="false" outlineLevel="0" collapsed="false">
      <c r="B28" s="9" t="s">
        <v>18</v>
      </c>
      <c r="C28" s="9" t="s">
        <v>315</v>
      </c>
      <c r="D28" s="29" t="n">
        <v>0.2</v>
      </c>
      <c r="E28" s="19" t="s">
        <v>1204</v>
      </c>
      <c r="H28" s="9" t="s">
        <v>1206</v>
      </c>
    </row>
    <row r="29" customFormat="false" ht="15" hidden="false" customHeight="false" outlineLevel="0" collapsed="false">
      <c r="B29" s="9" t="s">
        <v>18</v>
      </c>
      <c r="C29" s="9" t="s">
        <v>318</v>
      </c>
      <c r="D29" s="29" t="n">
        <v>0.15</v>
      </c>
      <c r="E29" s="19" t="s">
        <v>1204</v>
      </c>
      <c r="H29" s="9" t="s">
        <v>1207</v>
      </c>
    </row>
    <row r="30" customFormat="false" ht="15" hidden="false" customHeight="false" outlineLevel="0" collapsed="false">
      <c r="B30" s="9" t="s">
        <v>18</v>
      </c>
      <c r="C30" s="9" t="s">
        <v>311</v>
      </c>
      <c r="D30" s="29" t="n">
        <v>0</v>
      </c>
      <c r="E30" s="19" t="s">
        <v>1204</v>
      </c>
      <c r="H30" s="9" t="s">
        <v>1208</v>
      </c>
    </row>
    <row r="31" customFormat="false" ht="15" hidden="false" customHeight="false" outlineLevel="0" collapsed="false">
      <c r="B31" s="9" t="s">
        <v>18</v>
      </c>
      <c r="C31" s="9" t="s">
        <v>308</v>
      </c>
      <c r="D31" s="29" t="n">
        <v>1</v>
      </c>
      <c r="E31" s="19" t="s">
        <v>1204</v>
      </c>
      <c r="H31" s="9" t="s">
        <v>1209</v>
      </c>
    </row>
    <row r="32" customFormat="false" ht="15" hidden="false" customHeight="false" outlineLevel="0" collapsed="false">
      <c r="B32" s="9" t="s">
        <v>19</v>
      </c>
      <c r="C32" s="9" t="s">
        <v>461</v>
      </c>
      <c r="D32" s="29" t="n">
        <v>0.7</v>
      </c>
      <c r="E32" s="19" t="s">
        <v>1204</v>
      </c>
      <c r="H32" s="9" t="s">
        <v>1210</v>
      </c>
    </row>
    <row r="33" customFormat="false" ht="15" hidden="false" customHeight="false" outlineLevel="0" collapsed="false">
      <c r="B33" s="9" t="s">
        <v>19</v>
      </c>
      <c r="C33" s="9" t="s">
        <v>464</v>
      </c>
      <c r="D33" s="29" t="n">
        <v>0.7</v>
      </c>
      <c r="E33" s="19" t="s">
        <v>1204</v>
      </c>
      <c r="H33" s="9" t="s">
        <v>1211</v>
      </c>
    </row>
    <row r="34" customFormat="false" ht="15" hidden="false" customHeight="false" outlineLevel="0" collapsed="false">
      <c r="B34" s="9" t="s">
        <v>20</v>
      </c>
      <c r="C34" s="9" t="s">
        <v>512</v>
      </c>
      <c r="D34" s="29" t="n">
        <v>0</v>
      </c>
      <c r="E34" s="19" t="s">
        <v>1212</v>
      </c>
      <c r="H34" s="9" t="s">
        <v>1213</v>
      </c>
    </row>
    <row r="35" customFormat="false" ht="15" hidden="false" customHeight="false" outlineLevel="0" collapsed="false">
      <c r="B35" s="9" t="s">
        <v>20</v>
      </c>
      <c r="C35" s="9" t="s">
        <v>517</v>
      </c>
      <c r="D35" s="29" t="n">
        <v>0.2</v>
      </c>
      <c r="E35" s="19" t="s">
        <v>1212</v>
      </c>
      <c r="H35" s="9" t="s">
        <v>1214</v>
      </c>
    </row>
    <row r="36" customFormat="false" ht="15" hidden="false" customHeight="false" outlineLevel="0" collapsed="false">
      <c r="B36" s="9" t="s">
        <v>20</v>
      </c>
      <c r="C36" s="9" t="s">
        <v>513</v>
      </c>
      <c r="D36" s="29" t="n">
        <v>0</v>
      </c>
      <c r="E36" s="19" t="s">
        <v>1212</v>
      </c>
      <c r="H36" s="9" t="s">
        <v>1215</v>
      </c>
    </row>
    <row r="37" customFormat="false" ht="15" hidden="false" customHeight="false" outlineLevel="0" collapsed="false">
      <c r="B37" s="9" t="s">
        <v>22</v>
      </c>
      <c r="C37" s="9" t="s">
        <v>613</v>
      </c>
      <c r="D37" s="29" t="n">
        <v>0.1</v>
      </c>
      <c r="E37" s="19" t="s">
        <v>1216</v>
      </c>
      <c r="H37" s="9" t="s">
        <v>1217</v>
      </c>
    </row>
    <row r="38" customFormat="false" ht="15" hidden="false" customHeight="false" outlineLevel="0" collapsed="false">
      <c r="B38" s="9" t="s">
        <v>22</v>
      </c>
      <c r="C38" s="9" t="s">
        <v>614</v>
      </c>
      <c r="D38" s="29" t="n">
        <v>0.15</v>
      </c>
      <c r="E38" s="19" t="s">
        <v>1216</v>
      </c>
      <c r="H38" s="9" t="s">
        <v>1218</v>
      </c>
    </row>
    <row r="39" customFormat="false" ht="15" hidden="false" customHeight="false" outlineLevel="0" collapsed="false">
      <c r="B39" s="9" t="s">
        <v>22</v>
      </c>
      <c r="C39" s="9" t="s">
        <v>436</v>
      </c>
      <c r="D39" s="29" t="n">
        <v>0.15</v>
      </c>
      <c r="E39" s="19" t="s">
        <v>1216</v>
      </c>
      <c r="H39" s="9" t="s">
        <v>1219</v>
      </c>
    </row>
    <row r="40" customFormat="false" ht="15" hidden="false" customHeight="false" outlineLevel="0" collapsed="false">
      <c r="B40" s="9" t="s">
        <v>24</v>
      </c>
      <c r="C40" s="9" t="s">
        <v>689</v>
      </c>
      <c r="D40" s="29" t="n">
        <v>0.2</v>
      </c>
      <c r="E40" s="19" t="s">
        <v>1220</v>
      </c>
      <c r="H40" s="9" t="s">
        <v>1221</v>
      </c>
    </row>
    <row r="41" customFormat="false" ht="15" hidden="false" customHeight="false" outlineLevel="0" collapsed="false">
      <c r="B41" s="9" t="s">
        <v>24</v>
      </c>
      <c r="C41" s="9" t="s">
        <v>699</v>
      </c>
      <c r="D41" s="29" t="n">
        <v>0.1</v>
      </c>
      <c r="E41" s="19" t="s">
        <v>1220</v>
      </c>
      <c r="H41" s="9" t="s">
        <v>1222</v>
      </c>
    </row>
    <row r="42" customFormat="false" ht="15" hidden="false" customHeight="false" outlineLevel="0" collapsed="false">
      <c r="B42" s="9" t="s">
        <v>24</v>
      </c>
      <c r="C42" s="9" t="s">
        <v>696</v>
      </c>
      <c r="D42" s="29" t="n">
        <v>0.15</v>
      </c>
      <c r="E42" s="19" t="s">
        <v>1220</v>
      </c>
      <c r="H42" s="9" t="s">
        <v>1223</v>
      </c>
    </row>
    <row r="43" customFormat="false" ht="15" hidden="false" customHeight="false" outlineLevel="0" collapsed="false">
      <c r="B43" s="9" t="s">
        <v>24</v>
      </c>
      <c r="C43" s="9" t="s">
        <v>690</v>
      </c>
      <c r="D43" s="29" t="n">
        <v>0.8</v>
      </c>
      <c r="E43" s="19" t="s">
        <v>1220</v>
      </c>
      <c r="H43" s="9" t="s">
        <v>1224</v>
      </c>
    </row>
    <row r="44" customFormat="false" ht="15" hidden="false" customHeight="false" outlineLevel="0" collapsed="false">
      <c r="B44" s="9" t="s">
        <v>26</v>
      </c>
      <c r="C44" s="9" t="s">
        <v>26</v>
      </c>
      <c r="D44" s="29" t="n">
        <v>0.15</v>
      </c>
      <c r="E44" s="19" t="s">
        <v>1225</v>
      </c>
      <c r="H44" s="9" t="s">
        <v>1226</v>
      </c>
    </row>
    <row r="45" customFormat="false" ht="15" hidden="false" customHeight="false" outlineLevel="0" collapsed="false">
      <c r="B45" s="9" t="s">
        <v>26</v>
      </c>
      <c r="C45" s="9" t="s">
        <v>769</v>
      </c>
      <c r="D45" s="29" t="n">
        <v>0.15</v>
      </c>
      <c r="E45" s="19" t="s">
        <v>1225</v>
      </c>
      <c r="H45" s="9" t="s">
        <v>1227</v>
      </c>
    </row>
    <row r="46" customFormat="false" ht="15" hidden="false" customHeight="false" outlineLevel="0" collapsed="false">
      <c r="B46" s="9" t="s">
        <v>28</v>
      </c>
      <c r="C46" s="9" t="s">
        <v>806</v>
      </c>
      <c r="D46" s="29" t="n">
        <v>0.8</v>
      </c>
      <c r="E46" s="19" t="s">
        <v>1228</v>
      </c>
      <c r="H46" s="9" t="s">
        <v>1229</v>
      </c>
    </row>
    <row r="47" customFormat="false" ht="15" hidden="false" customHeight="false" outlineLevel="0" collapsed="false">
      <c r="B47" s="9" t="s">
        <v>28</v>
      </c>
      <c r="C47" s="9" t="s">
        <v>810</v>
      </c>
      <c r="D47" s="29" t="n">
        <v>0.2</v>
      </c>
      <c r="E47" s="19" t="s">
        <v>1228</v>
      </c>
      <c r="H47" s="9" t="s">
        <v>1230</v>
      </c>
    </row>
    <row r="48" customFormat="false" ht="15" hidden="false" customHeight="false" outlineLevel="0" collapsed="false">
      <c r="B48" s="9" t="s">
        <v>30</v>
      </c>
      <c r="C48" s="9" t="s">
        <v>846</v>
      </c>
      <c r="D48" s="29" t="n">
        <v>0.5</v>
      </c>
      <c r="E48" s="19" t="s">
        <v>1231</v>
      </c>
      <c r="H48" s="9" t="s">
        <v>1232</v>
      </c>
    </row>
    <row r="49" customFormat="false" ht="15" hidden="false" customHeight="false" outlineLevel="0" collapsed="false">
      <c r="B49" s="9" t="s">
        <v>30</v>
      </c>
      <c r="C49" s="9" t="s">
        <v>847</v>
      </c>
      <c r="D49" s="29" t="n">
        <v>1</v>
      </c>
      <c r="E49" s="19" t="s">
        <v>1231</v>
      </c>
      <c r="H49" s="9" t="s">
        <v>1233</v>
      </c>
    </row>
    <row r="50" customFormat="false" ht="15" hidden="false" customHeight="false" outlineLevel="0" collapsed="false">
      <c r="B50" s="9" t="s">
        <v>30</v>
      </c>
      <c r="C50" s="9" t="s">
        <v>854</v>
      </c>
      <c r="D50" s="29" t="n">
        <v>0.5</v>
      </c>
      <c r="E50" s="19" t="s">
        <v>1231</v>
      </c>
      <c r="H50" s="9" t="s">
        <v>1234</v>
      </c>
    </row>
    <row r="51" customFormat="false" ht="15" hidden="false" customHeight="false" outlineLevel="0" collapsed="false">
      <c r="B51" s="9" t="s">
        <v>30</v>
      </c>
      <c r="C51" s="9" t="s">
        <v>851</v>
      </c>
      <c r="D51" s="29" t="n">
        <v>1</v>
      </c>
      <c r="E51" s="19" t="s">
        <v>1231</v>
      </c>
      <c r="H51" s="9" t="s">
        <v>1235</v>
      </c>
    </row>
    <row r="52" customFormat="false" ht="15" hidden="false" customHeight="false" outlineLevel="0" collapsed="false">
      <c r="B52" s="9" t="s">
        <v>31</v>
      </c>
      <c r="C52" s="9" t="s">
        <v>970</v>
      </c>
      <c r="D52" s="29" t="n">
        <v>0.8</v>
      </c>
      <c r="E52" s="19" t="s">
        <v>1236</v>
      </c>
      <c r="H52" s="9" t="s">
        <v>1237</v>
      </c>
    </row>
    <row r="53" customFormat="false" ht="15" hidden="false" customHeight="false" outlineLevel="0" collapsed="false">
      <c r="B53" s="9" t="s">
        <v>31</v>
      </c>
      <c r="C53" s="9" t="s">
        <v>974</v>
      </c>
      <c r="D53" s="29" t="n">
        <v>0.15</v>
      </c>
      <c r="E53" s="19" t="s">
        <v>1236</v>
      </c>
      <c r="H53" s="9" t="s">
        <v>1238</v>
      </c>
    </row>
    <row r="54" customFormat="false" ht="15" hidden="false" customHeight="false" outlineLevel="0" collapsed="false">
      <c r="B54" s="9" t="s">
        <v>31</v>
      </c>
      <c r="C54" s="9" t="s">
        <v>971</v>
      </c>
      <c r="D54" s="29" t="n">
        <v>0.15</v>
      </c>
      <c r="E54" s="19" t="s">
        <v>1236</v>
      </c>
      <c r="H54" s="9" t="s">
        <v>1239</v>
      </c>
    </row>
    <row r="55" customFormat="false" ht="15" hidden="false" customHeight="false" outlineLevel="0" collapsed="false">
      <c r="B55" s="9" t="s">
        <v>31</v>
      </c>
      <c r="C55" s="9" t="s">
        <v>981</v>
      </c>
      <c r="D55" s="29" t="n">
        <v>0.7</v>
      </c>
      <c r="E55" s="19" t="s">
        <v>1236</v>
      </c>
      <c r="H55" s="9" t="s">
        <v>1240</v>
      </c>
    </row>
    <row r="56" customFormat="false" ht="15" hidden="false" customHeight="false" outlineLevel="0" collapsed="false">
      <c r="B56" s="9" t="s">
        <v>25</v>
      </c>
      <c r="C56" s="9" t="s">
        <v>1066</v>
      </c>
      <c r="D56" s="29" t="n">
        <v>0.8</v>
      </c>
      <c r="E56" s="19" t="s">
        <v>1241</v>
      </c>
      <c r="H56" s="9" t="s">
        <v>1242</v>
      </c>
    </row>
    <row r="58" customFormat="false" ht="15" hidden="false" customHeight="false" outlineLevel="0" collapsed="false">
      <c r="B58" s="28" t="s">
        <v>1243</v>
      </c>
    </row>
    <row r="59" customFormat="false" ht="18" hidden="false" customHeight="true" outlineLevel="0" collapsed="false">
      <c r="B59" s="5" t="s">
        <v>1188</v>
      </c>
      <c r="C59" s="5" t="s">
        <v>1244</v>
      </c>
      <c r="D59" s="6" t="s">
        <v>1245</v>
      </c>
      <c r="E59" s="5" t="s">
        <v>1190</v>
      </c>
    </row>
    <row r="60" customFormat="false" ht="15" hidden="false" customHeight="false" outlineLevel="0" collapsed="false">
      <c r="B60" s="9" t="s">
        <v>14</v>
      </c>
      <c r="C60" s="9" t="s">
        <v>160</v>
      </c>
      <c r="D60" s="30" t="n">
        <v>1.404</v>
      </c>
      <c r="E60" s="19" t="s">
        <v>1191</v>
      </c>
    </row>
    <row r="61" customFormat="false" ht="15" hidden="false" customHeight="false" outlineLevel="0" collapsed="false">
      <c r="B61" s="9" t="s">
        <v>14</v>
      </c>
      <c r="C61" s="9" t="s">
        <v>184</v>
      </c>
      <c r="D61" s="30" t="n">
        <v>1.1822355812</v>
      </c>
      <c r="E61" s="19" t="s">
        <v>1191</v>
      </c>
    </row>
    <row r="62" customFormat="false" ht="15" hidden="false" customHeight="false" outlineLevel="0" collapsed="false">
      <c r="B62" s="9" t="s">
        <v>18</v>
      </c>
      <c r="C62" s="9" t="s">
        <v>405</v>
      </c>
      <c r="D62" s="30" t="n">
        <v>2.85985905</v>
      </c>
      <c r="E62" s="19" t="s">
        <v>1204</v>
      </c>
    </row>
    <row r="63" customFormat="false" ht="15" hidden="false" customHeight="false" outlineLevel="0" collapsed="false">
      <c r="B63" s="9" t="s">
        <v>18</v>
      </c>
      <c r="C63" s="9" t="s">
        <v>436</v>
      </c>
      <c r="D63" s="30" t="n">
        <v>0</v>
      </c>
      <c r="E63" s="19" t="s">
        <v>1204</v>
      </c>
    </row>
    <row r="64" customFormat="false" ht="15" hidden="false" customHeight="false" outlineLevel="0" collapsed="false">
      <c r="B64" s="9" t="s">
        <v>20</v>
      </c>
      <c r="C64" s="9" t="s">
        <v>569</v>
      </c>
      <c r="D64" s="30" t="n">
        <v>3.8</v>
      </c>
      <c r="E64" s="19" t="s">
        <v>1212</v>
      </c>
    </row>
    <row r="65" customFormat="false" ht="15" hidden="false" customHeight="false" outlineLevel="0" collapsed="false">
      <c r="B65" s="9" t="s">
        <v>26</v>
      </c>
      <c r="C65" s="9" t="s">
        <v>795</v>
      </c>
      <c r="D65" s="30" t="n">
        <v>0.238965</v>
      </c>
      <c r="E65" s="19" t="s">
        <v>1225</v>
      </c>
    </row>
    <row r="66" customFormat="false" ht="15" hidden="false" customHeight="false" outlineLevel="0" collapsed="false">
      <c r="B66" s="9" t="s">
        <v>28</v>
      </c>
      <c r="C66" s="9" t="s">
        <v>840</v>
      </c>
      <c r="D66" s="30" t="n">
        <v>0.24172845</v>
      </c>
      <c r="E66" s="19" t="s">
        <v>1228</v>
      </c>
    </row>
    <row r="67" customFormat="false" ht="15" hidden="false" customHeight="false" outlineLevel="0" collapsed="false">
      <c r="B67" s="9" t="s">
        <v>30</v>
      </c>
      <c r="C67" s="9" t="s">
        <v>938</v>
      </c>
      <c r="D67" s="30" t="n">
        <v>1.32454851</v>
      </c>
      <c r="E67" s="19" t="s">
        <v>1231</v>
      </c>
    </row>
    <row r="68" customFormat="false" ht="15" hidden="false" customHeight="false" outlineLevel="0" collapsed="false">
      <c r="B68" s="9" t="s">
        <v>30</v>
      </c>
      <c r="C68" s="9" t="s">
        <v>810</v>
      </c>
      <c r="D68" s="30" t="n">
        <v>0</v>
      </c>
      <c r="E68" s="19" t="s">
        <v>1231</v>
      </c>
    </row>
    <row r="69" customFormat="false" ht="15" hidden="false" customHeight="false" outlineLevel="0" collapsed="false">
      <c r="B69" s="9" t="s">
        <v>31</v>
      </c>
      <c r="C69" s="9" t="s">
        <v>1032</v>
      </c>
      <c r="D69" s="30" t="n">
        <v>1.83595565</v>
      </c>
      <c r="E69" s="19" t="s">
        <v>1236</v>
      </c>
    </row>
    <row r="70" customFormat="false" ht="15" hidden="false" customHeight="false" outlineLevel="0" collapsed="false">
      <c r="B70" s="9" t="s">
        <v>31</v>
      </c>
      <c r="C70" s="9" t="s">
        <v>756</v>
      </c>
      <c r="D70" s="30" t="n">
        <v>0</v>
      </c>
      <c r="E70" s="19" t="s">
        <v>1236</v>
      </c>
    </row>
    <row r="71" customFormat="false" ht="15" hidden="false" customHeight="false" outlineLevel="0" collapsed="false">
      <c r="B71" s="9" t="s">
        <v>25</v>
      </c>
      <c r="C71" s="9" t="s">
        <v>1077</v>
      </c>
      <c r="D71" s="30" t="n">
        <v>1.2998</v>
      </c>
      <c r="E71" s="19" t="s">
        <v>1241</v>
      </c>
    </row>
    <row r="72" customFormat="false" ht="15" hidden="false" customHeight="false" outlineLevel="0" collapsed="false">
      <c r="B72" s="9" t="s">
        <v>35</v>
      </c>
      <c r="C72" s="9" t="s">
        <v>1246</v>
      </c>
      <c r="D72" s="30" t="n">
        <v>0</v>
      </c>
      <c r="E72" s="19" t="s">
        <v>1247</v>
      </c>
    </row>
    <row r="73" customFormat="false" ht="15" hidden="false" customHeight="false" outlineLevel="0" collapsed="false">
      <c r="B73" s="9" t="s">
        <v>35</v>
      </c>
      <c r="C73" s="9" t="s">
        <v>756</v>
      </c>
      <c r="D73" s="30" t="n">
        <v>0</v>
      </c>
      <c r="E73" s="19" t="s">
        <v>1247</v>
      </c>
    </row>
    <row r="74" customFormat="false" ht="15" hidden="false" customHeight="false" outlineLevel="0" collapsed="false">
      <c r="B74" s="9" t="s">
        <v>35</v>
      </c>
      <c r="C74" s="9" t="s">
        <v>1248</v>
      </c>
      <c r="D74" s="30" t="n">
        <v>0</v>
      </c>
      <c r="E74" s="19" t="s">
        <v>1247</v>
      </c>
    </row>
    <row r="75" customFormat="false" ht="15" hidden="false" customHeight="false" outlineLevel="0" collapsed="false">
      <c r="B75" s="9" t="s">
        <v>32</v>
      </c>
      <c r="C75" s="9" t="s">
        <v>1249</v>
      </c>
      <c r="D75" s="30" t="n">
        <v>0.49481945</v>
      </c>
      <c r="E75" s="19" t="s">
        <v>1250</v>
      </c>
    </row>
    <row r="76" customFormat="false" ht="15" hidden="false" customHeight="false" outlineLevel="0" collapsed="false">
      <c r="B76" s="9" t="s">
        <v>27</v>
      </c>
      <c r="C76" s="9" t="s">
        <v>1251</v>
      </c>
      <c r="D76" s="30" t="n">
        <v>0</v>
      </c>
      <c r="E76" s="19" t="s">
        <v>1252</v>
      </c>
    </row>
    <row r="77" customFormat="false" ht="15" hidden="false" customHeight="false" outlineLevel="0" collapsed="false">
      <c r="B77" s="9" t="s">
        <v>29</v>
      </c>
      <c r="C77" s="9" t="s">
        <v>1253</v>
      </c>
      <c r="D77" s="30" t="n">
        <v>0</v>
      </c>
      <c r="E77" s="19" t="s">
        <v>1254</v>
      </c>
    </row>
    <row r="78" customFormat="false" ht="15" hidden="false" customHeight="false" outlineLevel="0" collapsed="false">
      <c r="B78" s="9" t="s">
        <v>33</v>
      </c>
      <c r="C78" s="9" t="s">
        <v>1255</v>
      </c>
      <c r="D78" s="30" t="n">
        <v>0</v>
      </c>
      <c r="E78" s="19" t="s">
        <v>1254</v>
      </c>
    </row>
    <row r="79" customFormat="false" ht="15" hidden="false" customHeight="false" outlineLevel="0" collapsed="false">
      <c r="B79" s="9" t="s">
        <v>33</v>
      </c>
      <c r="C79" s="9" t="s">
        <v>1256</v>
      </c>
      <c r="D79" s="30" t="n">
        <v>0</v>
      </c>
      <c r="E79" s="19" t="s">
        <v>1254</v>
      </c>
    </row>
    <row r="80" customFormat="false" ht="15" hidden="false" customHeight="false" outlineLevel="0" collapsed="false">
      <c r="B80" s="9" t="s">
        <v>23</v>
      </c>
      <c r="C80" s="9" t="s">
        <v>970</v>
      </c>
      <c r="D80" s="30" t="n">
        <v>0</v>
      </c>
      <c r="E80" s="19" t="s">
        <v>1247</v>
      </c>
    </row>
    <row r="81" customFormat="false" ht="15" hidden="false" customHeight="false" outlineLevel="0" collapsed="false">
      <c r="B81" s="9" t="s">
        <v>23</v>
      </c>
      <c r="C81" s="9" t="s">
        <v>1151</v>
      </c>
      <c r="D81" s="30" t="n">
        <v>0</v>
      </c>
      <c r="E81" s="19" t="s">
        <v>1247</v>
      </c>
    </row>
    <row r="82" customFormat="false" ht="15" hidden="false" customHeight="false" outlineLevel="0" collapsed="false">
      <c r="B82" s="9" t="s">
        <v>36</v>
      </c>
      <c r="C82" s="9" t="s">
        <v>36</v>
      </c>
      <c r="D82" s="30" t="n">
        <v>0</v>
      </c>
      <c r="E82" s="19" t="s">
        <v>1257</v>
      </c>
    </row>
    <row r="84" customFormat="false" ht="15" hidden="false" customHeight="false" outlineLevel="0" collapsed="false">
      <c r="B84" s="28" t="s">
        <v>1258</v>
      </c>
    </row>
    <row r="85" customFormat="false" ht="45" hidden="false" customHeight="true" outlineLevel="0" collapsed="false">
      <c r="B85" s="5" t="s">
        <v>1188</v>
      </c>
      <c r="C85" s="6" t="s">
        <v>1259</v>
      </c>
      <c r="D85" s="6" t="s">
        <v>1260</v>
      </c>
      <c r="E85" s="6" t="s">
        <v>1261</v>
      </c>
      <c r="F85" s="5" t="s">
        <v>1190</v>
      </c>
    </row>
    <row r="86" customFormat="false" ht="15" hidden="false" customHeight="false" outlineLevel="0" collapsed="false">
      <c r="B86" s="9" t="s">
        <v>14</v>
      </c>
      <c r="C86" s="30" t="n">
        <v>0.463636363636364</v>
      </c>
      <c r="D86" s="30" t="n">
        <v>0.210322581818182</v>
      </c>
      <c r="E86" s="30" t="n">
        <v>0.126266935090909</v>
      </c>
      <c r="F86" s="19" t="s">
        <v>1262</v>
      </c>
    </row>
    <row r="87" customFormat="false" ht="15" hidden="false" customHeight="false" outlineLevel="0" collapsed="false">
      <c r="B87" s="9" t="s">
        <v>16</v>
      </c>
      <c r="C87" s="30" t="n">
        <v>0.463636363636364</v>
      </c>
      <c r="D87" s="30" t="n">
        <v>0.210322581818182</v>
      </c>
      <c r="E87" s="30" t="n">
        <v>0.126266935090909</v>
      </c>
      <c r="F87" s="19" t="s">
        <v>1262</v>
      </c>
    </row>
    <row r="88" customFormat="false" ht="15" hidden="false" customHeight="false" outlineLevel="0" collapsed="false">
      <c r="B88" s="9" t="s">
        <v>18</v>
      </c>
      <c r="C88" s="30" t="n">
        <v>0.231818181818182</v>
      </c>
      <c r="D88" s="30" t="n">
        <v>0.0799924695208312</v>
      </c>
      <c r="E88" s="30" t="n">
        <v>0.048023392778051</v>
      </c>
      <c r="F88" s="19" t="s">
        <v>1262</v>
      </c>
    </row>
    <row r="89" customFormat="false" ht="15" hidden="false" customHeight="false" outlineLevel="0" collapsed="false">
      <c r="B89" s="9" t="s">
        <v>19</v>
      </c>
      <c r="C89" s="30" t="n">
        <v>0.231818181818182</v>
      </c>
      <c r="D89" s="30" t="n">
        <v>0.130330112297351</v>
      </c>
      <c r="E89" s="30" t="n">
        <v>0.0782435423128581</v>
      </c>
      <c r="F89" s="19" t="s">
        <v>1262</v>
      </c>
    </row>
    <row r="90" customFormat="false" ht="15" hidden="false" customHeight="false" outlineLevel="0" collapsed="false">
      <c r="B90" s="9" t="s">
        <v>20</v>
      </c>
      <c r="C90" s="30" t="n">
        <v>0.463636363636364</v>
      </c>
      <c r="D90" s="30" t="n">
        <v>0.210322581818182</v>
      </c>
      <c r="E90" s="30" t="n">
        <v>0.126266935090909</v>
      </c>
      <c r="F90" s="19" t="s">
        <v>1262</v>
      </c>
    </row>
    <row r="91" customFormat="false" ht="15" hidden="false" customHeight="false" outlineLevel="0" collapsed="false">
      <c r="B91" s="9" t="s">
        <v>22</v>
      </c>
      <c r="C91" s="30" t="n">
        <v>0.463636363636364</v>
      </c>
      <c r="D91" s="30" t="n">
        <v>0.210322581818182</v>
      </c>
      <c r="E91" s="30" t="n">
        <v>0.126266935090909</v>
      </c>
      <c r="F91" s="19" t="s">
        <v>1262</v>
      </c>
    </row>
    <row r="92" customFormat="false" ht="15" hidden="false" customHeight="false" outlineLevel="0" collapsed="false">
      <c r="B92" s="9" t="s">
        <v>24</v>
      </c>
      <c r="C92" s="30" t="n">
        <v>0.463636363636364</v>
      </c>
      <c r="D92" s="30" t="n">
        <v>0.210322581818182</v>
      </c>
      <c r="E92" s="30" t="n">
        <v>0.126266935090909</v>
      </c>
      <c r="F92" s="19" t="s">
        <v>1262</v>
      </c>
    </row>
    <row r="93" customFormat="false" ht="15" hidden="false" customHeight="false" outlineLevel="0" collapsed="false">
      <c r="B93" s="9" t="s">
        <v>26</v>
      </c>
      <c r="C93" s="30" t="n">
        <v>0.463636363636364</v>
      </c>
      <c r="D93" s="30" t="n">
        <v>0.210322581818182</v>
      </c>
      <c r="E93" s="30" t="n">
        <v>0.126266935090909</v>
      </c>
      <c r="F93" s="19" t="s">
        <v>1262</v>
      </c>
    </row>
    <row r="94" customFormat="false" ht="15" hidden="false" customHeight="false" outlineLevel="0" collapsed="false">
      <c r="B94" s="9" t="s">
        <v>28</v>
      </c>
      <c r="C94" s="30" t="n">
        <v>0.463636363636364</v>
      </c>
      <c r="D94" s="30" t="n">
        <v>0.210322581818182</v>
      </c>
      <c r="E94" s="30" t="n">
        <v>0.126266935090909</v>
      </c>
      <c r="F94" s="19" t="s">
        <v>1262</v>
      </c>
    </row>
    <row r="95" customFormat="false" ht="15" hidden="false" customHeight="false" outlineLevel="0" collapsed="false">
      <c r="B95" s="9" t="s">
        <v>30</v>
      </c>
      <c r="C95" s="30" t="n">
        <v>0.463636363636364</v>
      </c>
      <c r="D95" s="30" t="n">
        <v>0.210322581818182</v>
      </c>
      <c r="E95" s="30" t="n">
        <v>0.126266935090909</v>
      </c>
      <c r="F95" s="19" t="s">
        <v>1262</v>
      </c>
    </row>
    <row r="96" customFormat="false" ht="15" hidden="false" customHeight="false" outlineLevel="0" collapsed="false">
      <c r="B96" s="9" t="s">
        <v>31</v>
      </c>
      <c r="C96" s="30" t="n">
        <v>0.463636363636364</v>
      </c>
      <c r="D96" s="30" t="n">
        <v>0.210322581818182</v>
      </c>
      <c r="E96" s="30" t="n">
        <v>0.126266935090909</v>
      </c>
      <c r="F96" s="19" t="s">
        <v>1262</v>
      </c>
    </row>
    <row r="97" customFormat="false" ht="15" hidden="false" customHeight="false" outlineLevel="0" collapsed="false">
      <c r="B97" s="9" t="s">
        <v>25</v>
      </c>
      <c r="C97" s="30" t="n">
        <v>0.463636363636364</v>
      </c>
      <c r="D97" s="30" t="n">
        <v>0.210322581818182</v>
      </c>
      <c r="E97" s="30" t="n">
        <v>0.126266935090909</v>
      </c>
      <c r="F97" s="19" t="s">
        <v>1262</v>
      </c>
    </row>
    <row r="99" customFormat="false" ht="15" hidden="false" customHeight="false" outlineLevel="0" collapsed="false">
      <c r="B99" s="28" t="s">
        <v>1263</v>
      </c>
    </row>
    <row r="100" customFormat="false" ht="18" hidden="false" customHeight="true" outlineLevel="0" collapsed="false">
      <c r="B100" s="5" t="s">
        <v>1188</v>
      </c>
      <c r="C100" s="6" t="s">
        <v>1264</v>
      </c>
      <c r="D100" s="5" t="s">
        <v>1190</v>
      </c>
    </row>
    <row r="101" customFormat="false" ht="15" hidden="false" customHeight="false" outlineLevel="0" collapsed="false">
      <c r="B101" s="9" t="s">
        <v>35</v>
      </c>
      <c r="C101" s="30" t="n">
        <v>2</v>
      </c>
      <c r="D101" s="19" t="s">
        <v>1265</v>
      </c>
    </row>
    <row r="102" customFormat="false" ht="15" hidden="false" customHeight="false" outlineLevel="0" collapsed="false">
      <c r="B102" s="9" t="s">
        <v>27</v>
      </c>
      <c r="C102" s="30" t="n">
        <v>0.5</v>
      </c>
      <c r="D102" s="19" t="s">
        <v>1265</v>
      </c>
    </row>
    <row r="103" customFormat="false" ht="15" hidden="false" customHeight="false" outlineLevel="0" collapsed="false">
      <c r="B103" s="9" t="s">
        <v>32</v>
      </c>
      <c r="C103" s="30" t="n">
        <v>1.5</v>
      </c>
      <c r="D103" s="19" t="s">
        <v>1265</v>
      </c>
    </row>
    <row r="104" customFormat="false" ht="15" hidden="false" customHeight="false" outlineLevel="0" collapsed="false">
      <c r="B104" s="9" t="s">
        <v>29</v>
      </c>
      <c r="C104" s="30" t="n">
        <v>2</v>
      </c>
      <c r="D104" s="19" t="s">
        <v>1265</v>
      </c>
    </row>
    <row r="105" customFormat="false" ht="15" hidden="false" customHeight="false" outlineLevel="0" collapsed="false">
      <c r="B105" s="9" t="s">
        <v>33</v>
      </c>
      <c r="C105" s="30" t="n">
        <v>2</v>
      </c>
      <c r="D105" s="19" t="s">
        <v>1265</v>
      </c>
    </row>
    <row r="106" customFormat="false" ht="15" hidden="false" customHeight="false" outlineLevel="0" collapsed="false">
      <c r="B106" s="9" t="s">
        <v>23</v>
      </c>
      <c r="C106" s="30" t="n">
        <v>2</v>
      </c>
      <c r="D106" s="19" t="s">
        <v>1265</v>
      </c>
    </row>
    <row r="107" customFormat="false" ht="15" hidden="false" customHeight="false" outlineLevel="0" collapsed="false">
      <c r="B107" s="9" t="s">
        <v>14</v>
      </c>
      <c r="C107" s="30" t="n">
        <v>5.5</v>
      </c>
      <c r="D107" s="19" t="s">
        <v>1265</v>
      </c>
    </row>
    <row r="108" customFormat="false" ht="15" hidden="false" customHeight="false" outlineLevel="0" collapsed="false">
      <c r="B108" s="9" t="s">
        <v>16</v>
      </c>
      <c r="C108" s="30" t="n">
        <v>6.5</v>
      </c>
      <c r="D108" s="19" t="s">
        <v>1265</v>
      </c>
    </row>
    <row r="109" customFormat="false" ht="15" hidden="false" customHeight="false" outlineLevel="0" collapsed="false">
      <c r="B109" s="9" t="s">
        <v>18</v>
      </c>
      <c r="C109" s="30" t="n">
        <v>2.5</v>
      </c>
      <c r="D109" s="19" t="s">
        <v>1265</v>
      </c>
    </row>
    <row r="110" customFormat="false" ht="15" hidden="false" customHeight="false" outlineLevel="0" collapsed="false">
      <c r="B110" s="9" t="s">
        <v>19</v>
      </c>
      <c r="C110" s="30" t="n">
        <v>4</v>
      </c>
      <c r="D110" s="19" t="s">
        <v>1265</v>
      </c>
    </row>
    <row r="111" customFormat="false" ht="15" hidden="false" customHeight="false" outlineLevel="0" collapsed="false">
      <c r="B111" s="9" t="s">
        <v>20</v>
      </c>
      <c r="C111" s="30" t="n">
        <v>2.5</v>
      </c>
      <c r="D111" s="19" t="s">
        <v>1265</v>
      </c>
    </row>
    <row r="112" customFormat="false" ht="15" hidden="false" customHeight="false" outlineLevel="0" collapsed="false">
      <c r="B112" s="9" t="s">
        <v>22</v>
      </c>
      <c r="C112" s="30" t="n">
        <v>2.5</v>
      </c>
      <c r="D112" s="19" t="s">
        <v>1265</v>
      </c>
    </row>
    <row r="113" customFormat="false" ht="15" hidden="false" customHeight="false" outlineLevel="0" collapsed="false">
      <c r="B113" s="9" t="s">
        <v>24</v>
      </c>
      <c r="C113" s="30" t="n">
        <v>2.5</v>
      </c>
      <c r="D113" s="19" t="s">
        <v>1265</v>
      </c>
    </row>
    <row r="114" customFormat="false" ht="15" hidden="false" customHeight="false" outlineLevel="0" collapsed="false">
      <c r="B114" s="9" t="s">
        <v>26</v>
      </c>
      <c r="C114" s="30" t="n">
        <v>2</v>
      </c>
      <c r="D114" s="19" t="s">
        <v>1265</v>
      </c>
    </row>
    <row r="115" customFormat="false" ht="15" hidden="false" customHeight="false" outlineLevel="0" collapsed="false">
      <c r="B115" s="9" t="s">
        <v>28</v>
      </c>
      <c r="C115" s="30" t="n">
        <v>2</v>
      </c>
      <c r="D115" s="19" t="s">
        <v>1265</v>
      </c>
    </row>
    <row r="116" customFormat="false" ht="15" hidden="false" customHeight="false" outlineLevel="0" collapsed="false">
      <c r="B116" s="9" t="s">
        <v>30</v>
      </c>
      <c r="C116" s="30" t="n">
        <v>5.5</v>
      </c>
      <c r="D116" s="19" t="s">
        <v>1265</v>
      </c>
    </row>
    <row r="117" customFormat="false" ht="15" hidden="false" customHeight="false" outlineLevel="0" collapsed="false">
      <c r="B117" s="9" t="s">
        <v>31</v>
      </c>
      <c r="C117" s="30" t="n">
        <v>3.5</v>
      </c>
      <c r="D117" s="19" t="s">
        <v>1265</v>
      </c>
    </row>
    <row r="118" customFormat="false" ht="15" hidden="false" customHeight="false" outlineLevel="0" collapsed="false">
      <c r="B118" s="9" t="s">
        <v>25</v>
      </c>
      <c r="C118" s="30" t="n">
        <v>1.5</v>
      </c>
      <c r="D118" s="19" t="s">
        <v>1265</v>
      </c>
    </row>
    <row r="119" customFormat="false" ht="15" hidden="false" customHeight="false" outlineLevel="0" collapsed="false">
      <c r="B119" s="9" t="s">
        <v>36</v>
      </c>
      <c r="C119" s="30" t="n">
        <v>0</v>
      </c>
      <c r="D119" s="19" t="s">
        <v>1265</v>
      </c>
    </row>
    <row r="121" customFormat="false" ht="15" hidden="false" customHeight="false" outlineLevel="0" collapsed="false">
      <c r="B121" s="28" t="s">
        <v>1266</v>
      </c>
    </row>
    <row r="122" customFormat="false" ht="45" hidden="false" customHeight="true" outlineLevel="0" collapsed="false">
      <c r="B122" s="5" t="s">
        <v>1188</v>
      </c>
      <c r="C122" s="6" t="s">
        <v>6</v>
      </c>
      <c r="D122" s="5" t="s">
        <v>1190</v>
      </c>
    </row>
    <row r="123" customFormat="false" ht="15" hidden="false" customHeight="false" outlineLevel="0" collapsed="false">
      <c r="B123" s="9" t="s">
        <v>14</v>
      </c>
      <c r="C123" s="30" t="n">
        <v>2.5862355812</v>
      </c>
      <c r="D123" s="19" t="s">
        <v>1265</v>
      </c>
    </row>
    <row r="124" customFormat="false" ht="15" hidden="false" customHeight="false" outlineLevel="0" collapsed="false">
      <c r="B124" s="9" t="s">
        <v>16</v>
      </c>
      <c r="C124" s="30" t="n">
        <v>0</v>
      </c>
      <c r="D124" s="19" t="s">
        <v>1265</v>
      </c>
    </row>
    <row r="125" customFormat="false" ht="15" hidden="false" customHeight="false" outlineLevel="0" collapsed="false">
      <c r="B125" s="9" t="s">
        <v>18</v>
      </c>
      <c r="C125" s="30" t="n">
        <v>2.85985905</v>
      </c>
      <c r="D125" s="19" t="s">
        <v>1265</v>
      </c>
    </row>
    <row r="126" customFormat="false" ht="15" hidden="false" customHeight="false" outlineLevel="0" collapsed="false">
      <c r="B126" s="9" t="s">
        <v>19</v>
      </c>
      <c r="C126" s="30" t="n">
        <v>0</v>
      </c>
      <c r="D126" s="19" t="s">
        <v>1265</v>
      </c>
    </row>
    <row r="127" customFormat="false" ht="15" hidden="false" customHeight="false" outlineLevel="0" collapsed="false">
      <c r="B127" s="9" t="s">
        <v>20</v>
      </c>
      <c r="C127" s="30" t="n">
        <v>3.8</v>
      </c>
      <c r="D127" s="19" t="s">
        <v>1265</v>
      </c>
    </row>
    <row r="128" customFormat="false" ht="15" hidden="false" customHeight="false" outlineLevel="0" collapsed="false">
      <c r="B128" s="9" t="s">
        <v>22</v>
      </c>
      <c r="C128" s="30" t="n">
        <v>0</v>
      </c>
      <c r="D128" s="19" t="s">
        <v>1265</v>
      </c>
    </row>
    <row r="129" customFormat="false" ht="15" hidden="false" customHeight="false" outlineLevel="0" collapsed="false">
      <c r="B129" s="9" t="s">
        <v>24</v>
      </c>
      <c r="C129" s="30" t="n">
        <v>0</v>
      </c>
      <c r="D129" s="19" t="s">
        <v>1265</v>
      </c>
    </row>
    <row r="130" customFormat="false" ht="15" hidden="false" customHeight="false" outlineLevel="0" collapsed="false">
      <c r="B130" s="9" t="s">
        <v>26</v>
      </c>
      <c r="C130" s="30" t="n">
        <v>0.238965</v>
      </c>
      <c r="D130" s="19" t="s">
        <v>1265</v>
      </c>
    </row>
    <row r="131" customFormat="false" ht="15" hidden="false" customHeight="false" outlineLevel="0" collapsed="false">
      <c r="B131" s="9" t="s">
        <v>28</v>
      </c>
      <c r="C131" s="30" t="n">
        <v>0.24172845</v>
      </c>
      <c r="D131" s="19" t="s">
        <v>1265</v>
      </c>
    </row>
    <row r="132" customFormat="false" ht="15" hidden="false" customHeight="false" outlineLevel="0" collapsed="false">
      <c r="B132" s="9" t="s">
        <v>30</v>
      </c>
      <c r="C132" s="30" t="n">
        <v>1.32454851</v>
      </c>
      <c r="D132" s="19" t="s">
        <v>1265</v>
      </c>
    </row>
    <row r="133" customFormat="false" ht="15" hidden="false" customHeight="false" outlineLevel="0" collapsed="false">
      <c r="B133" s="9" t="s">
        <v>31</v>
      </c>
      <c r="C133" s="30" t="n">
        <v>1.83595565</v>
      </c>
      <c r="D133" s="19" t="s">
        <v>1265</v>
      </c>
    </row>
    <row r="134" customFormat="false" ht="15" hidden="false" customHeight="false" outlineLevel="0" collapsed="false">
      <c r="B134" s="9" t="s">
        <v>25</v>
      </c>
      <c r="C134" s="30" t="n">
        <v>1.2998</v>
      </c>
      <c r="D134" s="19" t="s">
        <v>1265</v>
      </c>
    </row>
    <row r="135" customFormat="false" ht="15" hidden="false" customHeight="false" outlineLevel="0" collapsed="false">
      <c r="B135" s="9" t="s">
        <v>35</v>
      </c>
      <c r="C135" s="30" t="n">
        <v>0</v>
      </c>
      <c r="D135" s="19" t="s">
        <v>1265</v>
      </c>
    </row>
    <row r="136" customFormat="false" ht="15" hidden="false" customHeight="false" outlineLevel="0" collapsed="false">
      <c r="B136" s="9" t="s">
        <v>32</v>
      </c>
      <c r="C136" s="30" t="n">
        <v>0.49481945</v>
      </c>
      <c r="D136" s="19" t="s">
        <v>1265</v>
      </c>
    </row>
    <row r="137" customFormat="false" ht="15" hidden="false" customHeight="false" outlineLevel="0" collapsed="false">
      <c r="B137" s="9" t="s">
        <v>27</v>
      </c>
      <c r="C137" s="30" t="n">
        <v>0</v>
      </c>
      <c r="D137" s="19" t="s">
        <v>1265</v>
      </c>
    </row>
    <row r="138" customFormat="false" ht="15" hidden="false" customHeight="false" outlineLevel="0" collapsed="false">
      <c r="B138" s="9" t="s">
        <v>29</v>
      </c>
      <c r="C138" s="30" t="n">
        <v>0</v>
      </c>
      <c r="D138" s="19" t="s">
        <v>1265</v>
      </c>
    </row>
    <row r="139" customFormat="false" ht="15" hidden="false" customHeight="false" outlineLevel="0" collapsed="false">
      <c r="B139" s="9" t="s">
        <v>33</v>
      </c>
      <c r="C139" s="30" t="n">
        <v>0</v>
      </c>
      <c r="D139" s="19" t="s">
        <v>1265</v>
      </c>
    </row>
    <row r="140" customFormat="false" ht="15" hidden="false" customHeight="false" outlineLevel="0" collapsed="false">
      <c r="B140" s="9" t="s">
        <v>23</v>
      </c>
      <c r="C140" s="30" t="n">
        <v>0</v>
      </c>
      <c r="D140" s="19" t="s">
        <v>1265</v>
      </c>
    </row>
    <row r="141" customFormat="false" ht="15" hidden="false" customHeight="false" outlineLevel="0" collapsed="false">
      <c r="B141" s="9" t="s">
        <v>36</v>
      </c>
      <c r="C141" s="30" t="n">
        <v>5.15081935</v>
      </c>
      <c r="D141" s="19" t="s">
        <v>1265</v>
      </c>
    </row>
    <row r="143" customFormat="false" ht="15" hidden="false" customHeight="false" outlineLevel="0" collapsed="false">
      <c r="B143" s="28" t="s">
        <v>1267</v>
      </c>
    </row>
    <row r="144" customFormat="false" ht="45" hidden="false" customHeight="true" outlineLevel="0" collapsed="false">
      <c r="B144" s="5" t="s">
        <v>21</v>
      </c>
      <c r="C144" s="6" t="s">
        <v>1</v>
      </c>
      <c r="D144" s="6" t="s">
        <v>2</v>
      </c>
      <c r="E144" s="6" t="s">
        <v>1268</v>
      </c>
    </row>
    <row r="145" customFormat="false" ht="15" hidden="false" customHeight="false" outlineLevel="0" collapsed="false">
      <c r="B145" s="9" t="s">
        <v>35</v>
      </c>
      <c r="C145" s="30" t="n">
        <v>3.341827336</v>
      </c>
      <c r="D145" s="30" t="n">
        <v>0.91580925</v>
      </c>
      <c r="E145" s="30" t="n">
        <v>1.0370818</v>
      </c>
    </row>
    <row r="146" customFormat="false" ht="15" hidden="false" customHeight="false" outlineLevel="0" collapsed="false">
      <c r="B146" s="9" t="s">
        <v>32</v>
      </c>
      <c r="C146" s="30" t="n">
        <v>3.15605997348</v>
      </c>
      <c r="D146" s="30" t="n">
        <v>2.46994667348</v>
      </c>
      <c r="E146" s="30" t="n">
        <v>0.19129385</v>
      </c>
    </row>
    <row r="147" customFormat="false" ht="15" hidden="false" customHeight="false" outlineLevel="0" collapsed="false">
      <c r="B147" s="9" t="s">
        <v>27</v>
      </c>
      <c r="C147" s="30" t="n">
        <v>2.8319503024</v>
      </c>
      <c r="D147" s="30" t="n">
        <v>2.4312789024</v>
      </c>
      <c r="E147" s="30" t="n">
        <v>0.4006714</v>
      </c>
    </row>
    <row r="148" customFormat="false" ht="15" hidden="false" customHeight="false" outlineLevel="0" collapsed="false">
      <c r="B148" s="9" t="s">
        <v>29</v>
      </c>
      <c r="C148" s="30" t="n">
        <v>2.88399343</v>
      </c>
      <c r="D148" s="30" t="n">
        <v>1.96447293</v>
      </c>
      <c r="E148" s="30" t="n">
        <v>0.9195205</v>
      </c>
    </row>
    <row r="149" customFormat="false" ht="15" hidden="false" customHeight="false" outlineLevel="0" collapsed="false">
      <c r="B149" s="9" t="s">
        <v>33</v>
      </c>
      <c r="C149" s="30" t="n">
        <v>3.292562592</v>
      </c>
      <c r="D149" s="30" t="n">
        <v>0.979014192</v>
      </c>
      <c r="E149" s="30" t="n">
        <v>0</v>
      </c>
    </row>
    <row r="150" customFormat="false" ht="15" hidden="false" customHeight="false" outlineLevel="0" collapsed="false">
      <c r="B150" s="9" t="s">
        <v>23</v>
      </c>
      <c r="C150" s="30" t="n">
        <v>1.628177866</v>
      </c>
      <c r="D150" s="30" t="n">
        <v>1.628177866</v>
      </c>
      <c r="E150" s="30" t="n">
        <v>0</v>
      </c>
    </row>
    <row r="152" customFormat="false" ht="15" hidden="false" customHeight="false" outlineLevel="0" collapsed="false">
      <c r="B152" s="28" t="s">
        <v>1269</v>
      </c>
    </row>
    <row r="153" customFormat="false" ht="18" hidden="false" customHeight="true" outlineLevel="0" collapsed="false">
      <c r="B153" s="5" t="s">
        <v>1188</v>
      </c>
      <c r="C153" s="6" t="s">
        <v>1270</v>
      </c>
      <c r="D153" s="5" t="s">
        <v>1190</v>
      </c>
    </row>
    <row r="154" customFormat="false" ht="15" hidden="false" customHeight="false" outlineLevel="0" collapsed="false">
      <c r="B154" s="9" t="s">
        <v>18</v>
      </c>
      <c r="C154" s="29" t="n">
        <v>0.380332291612807</v>
      </c>
      <c r="D154" s="19" t="s">
        <v>1262</v>
      </c>
    </row>
    <row r="155" customFormat="false" ht="15" hidden="false" customHeight="false" outlineLevel="0" collapsed="false">
      <c r="B155" s="9" t="s">
        <v>19</v>
      </c>
      <c r="C155" s="29" t="n">
        <v>0.619667708387193</v>
      </c>
      <c r="D155" s="19" t="s">
        <v>1262</v>
      </c>
    </row>
  </sheetData>
  <sheetProtection sheet="true" password="c5c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26"/>
    <col collapsed="false" customWidth="true" hidden="false" outlineLevel="0" max="12" min="12" style="0" width="8"/>
    <col collapsed="false" customWidth="true" hidden="false" outlineLevel="0" max="13" min="13" style="0" width="14"/>
    <col collapsed="false" customWidth="true" hidden="false" outlineLevel="0" max="15" min="14" style="0" width="16"/>
    <col collapsed="false" customWidth="true" hidden="false" outlineLevel="0" max="16" min="16" style="0" width="11"/>
    <col collapsed="false" customWidth="true" hidden="false" outlineLevel="0" max="17" min="17" style="0" width="14"/>
  </cols>
  <sheetData>
    <row r="1" customFormat="false" ht="45" hidden="false" customHeight="true" outlineLevel="0" collapsed="false">
      <c r="A1" s="5" t="s">
        <v>1271</v>
      </c>
      <c r="B1" s="5" t="s">
        <v>1272</v>
      </c>
      <c r="C1" s="5" t="s">
        <v>1188</v>
      </c>
      <c r="D1" s="5" t="s">
        <v>1273</v>
      </c>
      <c r="E1" s="5" t="s">
        <v>1274</v>
      </c>
      <c r="F1" s="5" t="s">
        <v>42</v>
      </c>
      <c r="G1" s="5" t="s">
        <v>1275</v>
      </c>
      <c r="H1" s="5" t="s">
        <v>1276</v>
      </c>
      <c r="I1" s="6" t="s">
        <v>1148</v>
      </c>
      <c r="J1" s="5" t="s">
        <v>1277</v>
      </c>
      <c r="K1" s="5" t="s">
        <v>1146</v>
      </c>
      <c r="L1" s="6" t="s">
        <v>1270</v>
      </c>
      <c r="M1" s="6" t="s">
        <v>45</v>
      </c>
      <c r="N1" s="6" t="s">
        <v>46</v>
      </c>
      <c r="O1" s="6" t="s">
        <v>1278</v>
      </c>
      <c r="P1" s="6" t="s">
        <v>1189</v>
      </c>
      <c r="Q1" s="6" t="s">
        <v>1279</v>
      </c>
    </row>
    <row r="2" customFormat="false" ht="15" hidden="false" customHeight="false" outlineLevel="0" collapsed="false">
      <c r="A2" s="9" t="s">
        <v>50</v>
      </c>
      <c r="B2" s="9" t="s">
        <v>1280</v>
      </c>
      <c r="C2" s="9" t="s">
        <v>14</v>
      </c>
      <c r="D2" s="9" t="s">
        <v>48</v>
      </c>
      <c r="E2" s="9" t="s">
        <v>1281</v>
      </c>
      <c r="F2" s="9" t="s">
        <v>53</v>
      </c>
      <c r="G2" s="9" t="s">
        <v>53</v>
      </c>
      <c r="H2" s="9"/>
      <c r="I2" s="25" t="n">
        <v>1</v>
      </c>
      <c r="J2" s="9" t="s">
        <v>1282</v>
      </c>
      <c r="K2" s="9" t="s">
        <v>48</v>
      </c>
      <c r="L2" s="12" t="n">
        <v>1</v>
      </c>
      <c r="M2" s="20" t="n">
        <v>243637.5</v>
      </c>
      <c r="N2" s="20" t="n">
        <v>243637.5</v>
      </c>
      <c r="O2" s="20" t="n">
        <v>0</v>
      </c>
      <c r="P2" s="12" t="n">
        <f aca="false">IF($E2="squad",INDEX(Assumptions!$D$16:$D$56,MATCH($C2&amp;"|"&amp;$D2,Assumptions!$H$16:$H$56,0)),0)</f>
        <v>0.2</v>
      </c>
      <c r="Q2" s="20" t="n">
        <f aca="false">$N2*$P2</f>
        <v>48727.5</v>
      </c>
    </row>
    <row r="3" customFormat="false" ht="15" hidden="false" customHeight="false" outlineLevel="0" collapsed="false">
      <c r="A3" s="9" t="s">
        <v>55</v>
      </c>
      <c r="B3" s="9" t="s">
        <v>1280</v>
      </c>
      <c r="C3" s="9" t="s">
        <v>14</v>
      </c>
      <c r="D3" s="9" t="s">
        <v>48</v>
      </c>
      <c r="E3" s="9" t="s">
        <v>1281</v>
      </c>
      <c r="F3" s="9" t="s">
        <v>53</v>
      </c>
      <c r="G3" s="9" t="s">
        <v>53</v>
      </c>
      <c r="H3" s="9"/>
      <c r="I3" s="25" t="n">
        <v>1</v>
      </c>
      <c r="J3" s="9" t="s">
        <v>1282</v>
      </c>
      <c r="K3" s="9" t="s">
        <v>48</v>
      </c>
      <c r="L3" s="12" t="n">
        <v>1</v>
      </c>
      <c r="M3" s="20" t="n">
        <v>176565.05</v>
      </c>
      <c r="N3" s="20" t="n">
        <v>176565.05</v>
      </c>
      <c r="O3" s="20" t="n">
        <v>0</v>
      </c>
      <c r="P3" s="12" t="n">
        <f aca="false">IF($E3="squad",INDEX(Assumptions!$D$16:$D$56,MATCH($C3&amp;"|"&amp;$D3,Assumptions!$H$16:$H$56,0)),0)</f>
        <v>0.2</v>
      </c>
      <c r="Q3" s="20" t="n">
        <f aca="false">$N3*$P3</f>
        <v>35313.01</v>
      </c>
    </row>
    <row r="4" customFormat="false" ht="15" hidden="false" customHeight="false" outlineLevel="0" collapsed="false">
      <c r="A4" s="9" t="s">
        <v>59</v>
      </c>
      <c r="B4" s="9" t="s">
        <v>1280</v>
      </c>
      <c r="C4" s="9" t="s">
        <v>14</v>
      </c>
      <c r="D4" s="9" t="s">
        <v>48</v>
      </c>
      <c r="E4" s="9" t="s">
        <v>1281</v>
      </c>
      <c r="F4" s="9" t="s">
        <v>53</v>
      </c>
      <c r="G4" s="9" t="s">
        <v>53</v>
      </c>
      <c r="H4" s="9"/>
      <c r="I4" s="25" t="n">
        <v>1</v>
      </c>
      <c r="J4" s="9" t="s">
        <v>1282</v>
      </c>
      <c r="K4" s="9" t="s">
        <v>48</v>
      </c>
      <c r="L4" s="12" t="n">
        <v>1</v>
      </c>
      <c r="M4" s="20" t="n">
        <v>134367.972</v>
      </c>
      <c r="N4" s="20" t="n">
        <v>134367.972</v>
      </c>
      <c r="O4" s="20" t="n">
        <v>0</v>
      </c>
      <c r="P4" s="12" t="n">
        <f aca="false">IF($E4="squad",INDEX(Assumptions!$D$16:$D$56,MATCH($C4&amp;"|"&amp;$D4,Assumptions!$H$16:$H$56,0)),0)</f>
        <v>0.2</v>
      </c>
      <c r="Q4" s="20" t="n">
        <f aca="false">$N4*$P4</f>
        <v>26873.5944</v>
      </c>
    </row>
    <row r="5" customFormat="false" ht="15" hidden="false" customHeight="false" outlineLevel="0" collapsed="false">
      <c r="A5" s="9" t="s">
        <v>62</v>
      </c>
      <c r="B5" s="9" t="s">
        <v>1280</v>
      </c>
      <c r="C5" s="9" t="s">
        <v>14</v>
      </c>
      <c r="D5" s="9" t="s">
        <v>48</v>
      </c>
      <c r="E5" s="9" t="s">
        <v>1281</v>
      </c>
      <c r="F5" s="9" t="s">
        <v>53</v>
      </c>
      <c r="G5" s="9" t="s">
        <v>53</v>
      </c>
      <c r="H5" s="9"/>
      <c r="I5" s="25" t="n">
        <v>1</v>
      </c>
      <c r="J5" s="9" t="s">
        <v>1282</v>
      </c>
      <c r="K5" s="9" t="s">
        <v>48</v>
      </c>
      <c r="L5" s="12" t="n">
        <v>1</v>
      </c>
      <c r="M5" s="20" t="n">
        <v>162060.6</v>
      </c>
      <c r="N5" s="20" t="n">
        <v>162060.6</v>
      </c>
      <c r="O5" s="20" t="n">
        <v>0</v>
      </c>
      <c r="P5" s="12" t="n">
        <f aca="false">IF($E5="squad",INDEX(Assumptions!$D$16:$D$56,MATCH($C5&amp;"|"&amp;$D5,Assumptions!$H$16:$H$56,0)),0)</f>
        <v>0.2</v>
      </c>
      <c r="Q5" s="20" t="n">
        <f aca="false">$N5*$P5</f>
        <v>32412.12</v>
      </c>
    </row>
    <row r="6" customFormat="false" ht="15" hidden="false" customHeight="false" outlineLevel="0" collapsed="false">
      <c r="A6" s="9" t="s">
        <v>65</v>
      </c>
      <c r="B6" s="9" t="s">
        <v>1280</v>
      </c>
      <c r="C6" s="9" t="s">
        <v>14</v>
      </c>
      <c r="D6" s="9" t="s">
        <v>48</v>
      </c>
      <c r="E6" s="9" t="s">
        <v>1281</v>
      </c>
      <c r="F6" s="9" t="s">
        <v>53</v>
      </c>
      <c r="G6" s="9" t="s">
        <v>53</v>
      </c>
      <c r="H6" s="9"/>
      <c r="I6" s="25" t="n">
        <v>1</v>
      </c>
      <c r="J6" s="9" t="s">
        <v>1282</v>
      </c>
      <c r="K6" s="9" t="s">
        <v>48</v>
      </c>
      <c r="L6" s="12" t="n">
        <v>1</v>
      </c>
      <c r="M6" s="20" t="n">
        <v>203213.7</v>
      </c>
      <c r="N6" s="20" t="n">
        <v>203213.7</v>
      </c>
      <c r="O6" s="20" t="n">
        <v>0</v>
      </c>
      <c r="P6" s="12" t="n">
        <f aca="false">IF($E6="squad",INDEX(Assumptions!$D$16:$D$56,MATCH($C6&amp;"|"&amp;$D6,Assumptions!$H$16:$H$56,0)),0)</f>
        <v>0.2</v>
      </c>
      <c r="Q6" s="20" t="n">
        <f aca="false">$N6*$P6</f>
        <v>40642.74</v>
      </c>
    </row>
    <row r="7" customFormat="false" ht="15" hidden="false" customHeight="false" outlineLevel="0" collapsed="false">
      <c r="A7" s="9" t="s">
        <v>68</v>
      </c>
      <c r="B7" s="9" t="s">
        <v>1280</v>
      </c>
      <c r="C7" s="9" t="s">
        <v>14</v>
      </c>
      <c r="D7" s="9" t="s">
        <v>48</v>
      </c>
      <c r="E7" s="9" t="s">
        <v>1281</v>
      </c>
      <c r="F7" s="9" t="s">
        <v>69</v>
      </c>
      <c r="G7" s="9" t="s">
        <v>71</v>
      </c>
      <c r="H7" s="9"/>
      <c r="I7" s="25" t="n">
        <v>1</v>
      </c>
      <c r="J7" s="9" t="s">
        <v>1282</v>
      </c>
      <c r="K7" s="9" t="s">
        <v>48</v>
      </c>
      <c r="L7" s="12" t="n">
        <v>1</v>
      </c>
      <c r="M7" s="20" t="n">
        <v>170489.75</v>
      </c>
      <c r="N7" s="20" t="n">
        <v>68195.9</v>
      </c>
      <c r="O7" s="20" t="n">
        <v>0</v>
      </c>
      <c r="P7" s="12" t="n">
        <f aca="false">IF($E7="squad",INDEX(Assumptions!$D$16:$D$56,MATCH($C7&amp;"|"&amp;$D7,Assumptions!$H$16:$H$56,0)),0)</f>
        <v>0.2</v>
      </c>
      <c r="Q7" s="20" t="n">
        <f aca="false">$N7*$P7</f>
        <v>13639.18</v>
      </c>
    </row>
    <row r="8" customFormat="false" ht="15" hidden="false" customHeight="false" outlineLevel="0" collapsed="false">
      <c r="A8" s="9" t="s">
        <v>72</v>
      </c>
      <c r="B8" s="9" t="s">
        <v>1280</v>
      </c>
      <c r="C8" s="9" t="s">
        <v>14</v>
      </c>
      <c r="D8" s="9" t="s">
        <v>48</v>
      </c>
      <c r="E8" s="9" t="s">
        <v>1281</v>
      </c>
      <c r="F8" s="9" t="s">
        <v>53</v>
      </c>
      <c r="G8" s="9" t="s">
        <v>53</v>
      </c>
      <c r="H8" s="9"/>
      <c r="I8" s="25" t="n">
        <v>1</v>
      </c>
      <c r="J8" s="9" t="s">
        <v>1282</v>
      </c>
      <c r="K8" s="9" t="s">
        <v>48</v>
      </c>
      <c r="L8" s="12" t="n">
        <v>1</v>
      </c>
      <c r="M8" s="20" t="n">
        <v>193575</v>
      </c>
      <c r="N8" s="20" t="n">
        <v>193575</v>
      </c>
      <c r="O8" s="20" t="n">
        <v>0</v>
      </c>
      <c r="P8" s="12" t="n">
        <f aca="false">IF($E8="squad",INDEX(Assumptions!$D$16:$D$56,MATCH($C8&amp;"|"&amp;$D8,Assumptions!$H$16:$H$56,0)),0)</f>
        <v>0.2</v>
      </c>
      <c r="Q8" s="20" t="n">
        <f aca="false">$N8*$P8</f>
        <v>38715</v>
      </c>
    </row>
    <row r="9" customFormat="false" ht="15" hidden="false" customHeight="false" outlineLevel="0" collapsed="false">
      <c r="A9" s="9" t="s">
        <v>74</v>
      </c>
      <c r="B9" s="9" t="s">
        <v>1280</v>
      </c>
      <c r="C9" s="9" t="s">
        <v>14</v>
      </c>
      <c r="D9" s="9" t="s">
        <v>48</v>
      </c>
      <c r="E9" s="9" t="s">
        <v>1281</v>
      </c>
      <c r="F9" s="9" t="s">
        <v>53</v>
      </c>
      <c r="G9" s="9" t="s">
        <v>53</v>
      </c>
      <c r="H9" s="9"/>
      <c r="I9" s="25" t="n">
        <v>1</v>
      </c>
      <c r="J9" s="9" t="s">
        <v>1282</v>
      </c>
      <c r="K9" s="9" t="s">
        <v>48</v>
      </c>
      <c r="L9" s="12" t="n">
        <v>1</v>
      </c>
      <c r="M9" s="20" t="n">
        <v>239072.45</v>
      </c>
      <c r="N9" s="20" t="n">
        <v>239072.45</v>
      </c>
      <c r="O9" s="20" t="n">
        <v>0</v>
      </c>
      <c r="P9" s="12" t="n">
        <f aca="false">IF($E9="squad",INDEX(Assumptions!$D$16:$D$56,MATCH($C9&amp;"|"&amp;$D9,Assumptions!$H$16:$H$56,0)),0)</f>
        <v>0.2</v>
      </c>
      <c r="Q9" s="20" t="n">
        <f aca="false">$N9*$P9</f>
        <v>47814.49</v>
      </c>
    </row>
    <row r="10" customFormat="false" ht="15" hidden="false" customHeight="false" outlineLevel="0" collapsed="false">
      <c r="A10" s="9" t="s">
        <v>76</v>
      </c>
      <c r="B10" s="9" t="s">
        <v>1280</v>
      </c>
      <c r="C10" s="9" t="s">
        <v>14</v>
      </c>
      <c r="D10" s="9" t="s">
        <v>48</v>
      </c>
      <c r="E10" s="9" t="s">
        <v>1281</v>
      </c>
      <c r="F10" s="9" t="s">
        <v>69</v>
      </c>
      <c r="G10" s="9" t="s">
        <v>78</v>
      </c>
      <c r="H10" s="9"/>
      <c r="I10" s="25" t="n">
        <v>1</v>
      </c>
      <c r="J10" s="9" t="s">
        <v>1282</v>
      </c>
      <c r="K10" s="9" t="s">
        <v>48</v>
      </c>
      <c r="L10" s="12" t="n">
        <v>1</v>
      </c>
      <c r="M10" s="20" t="n">
        <v>202853.25</v>
      </c>
      <c r="N10" s="20" t="n">
        <v>0</v>
      </c>
      <c r="O10" s="20" t="n">
        <v>0</v>
      </c>
      <c r="P10" s="12" t="n">
        <f aca="false">IF($E10="squad",INDEX(Assumptions!$D$16:$D$56,MATCH($C10&amp;"|"&amp;$D10,Assumptions!$H$16:$H$56,0)),0)</f>
        <v>0.2</v>
      </c>
      <c r="Q10" s="20" t="n">
        <f aca="false">$N10*$P10</f>
        <v>0</v>
      </c>
    </row>
    <row r="11" customFormat="false" ht="15" hidden="false" customHeight="false" outlineLevel="0" collapsed="false">
      <c r="A11" s="9" t="s">
        <v>79</v>
      </c>
      <c r="B11" s="9" t="s">
        <v>1280</v>
      </c>
      <c r="C11" s="9" t="s">
        <v>14</v>
      </c>
      <c r="D11" s="9" t="s">
        <v>48</v>
      </c>
      <c r="E11" s="9" t="s">
        <v>1281</v>
      </c>
      <c r="F11" s="9" t="s">
        <v>69</v>
      </c>
      <c r="G11" s="9" t="s">
        <v>71</v>
      </c>
      <c r="H11" s="9"/>
      <c r="I11" s="25" t="n">
        <v>1</v>
      </c>
      <c r="J11" s="9" t="s">
        <v>1282</v>
      </c>
      <c r="K11" s="9" t="s">
        <v>48</v>
      </c>
      <c r="L11" s="12" t="n">
        <v>1</v>
      </c>
      <c r="M11" s="20" t="n">
        <v>170501.585</v>
      </c>
      <c r="N11" s="20" t="n">
        <v>68200.634</v>
      </c>
      <c r="O11" s="20" t="n">
        <v>0</v>
      </c>
      <c r="P11" s="12" t="n">
        <f aca="false">IF($E11="squad",INDEX(Assumptions!$D$16:$D$56,MATCH($C11&amp;"|"&amp;$D11,Assumptions!$H$16:$H$56,0)),0)</f>
        <v>0.2</v>
      </c>
      <c r="Q11" s="20" t="n">
        <f aca="false">$N11*$P11</f>
        <v>13640.1268</v>
      </c>
    </row>
    <row r="12" customFormat="false" ht="15" hidden="false" customHeight="false" outlineLevel="0" collapsed="false">
      <c r="A12" s="9" t="s">
        <v>81</v>
      </c>
      <c r="B12" s="9" t="s">
        <v>1280</v>
      </c>
      <c r="C12" s="9" t="s">
        <v>14</v>
      </c>
      <c r="D12" s="9" t="s">
        <v>48</v>
      </c>
      <c r="E12" s="9" t="s">
        <v>1281</v>
      </c>
      <c r="F12" s="9" t="s">
        <v>69</v>
      </c>
      <c r="G12" s="9" t="s">
        <v>82</v>
      </c>
      <c r="H12" s="9"/>
      <c r="I12" s="25" t="n">
        <v>1</v>
      </c>
      <c r="J12" s="9" t="s">
        <v>1282</v>
      </c>
      <c r="K12" s="9" t="s">
        <v>48</v>
      </c>
      <c r="L12" s="12" t="n">
        <v>1</v>
      </c>
      <c r="M12" s="20" t="n">
        <v>201585</v>
      </c>
      <c r="N12" s="20" t="n">
        <v>201585</v>
      </c>
      <c r="O12" s="20" t="n">
        <v>0</v>
      </c>
      <c r="P12" s="12" t="n">
        <f aca="false">IF($E12="squad",INDEX(Assumptions!$D$16:$D$56,MATCH($C12&amp;"|"&amp;$D12,Assumptions!$H$16:$H$56,0)),0)</f>
        <v>0.2</v>
      </c>
      <c r="Q12" s="20" t="n">
        <f aca="false">$N12*$P12</f>
        <v>40317</v>
      </c>
    </row>
    <row r="13" customFormat="false" ht="15" hidden="false" customHeight="false" outlineLevel="0" collapsed="false">
      <c r="A13" s="9" t="s">
        <v>83</v>
      </c>
      <c r="B13" s="9" t="s">
        <v>1280</v>
      </c>
      <c r="C13" s="9" t="s">
        <v>14</v>
      </c>
      <c r="D13" s="9" t="s">
        <v>49</v>
      </c>
      <c r="E13" s="9" t="s">
        <v>1281</v>
      </c>
      <c r="F13" s="9" t="s">
        <v>69</v>
      </c>
      <c r="G13" s="9" t="s">
        <v>71</v>
      </c>
      <c r="H13" s="9"/>
      <c r="I13" s="25" t="n">
        <v>1</v>
      </c>
      <c r="J13" s="9" t="s">
        <v>1282</v>
      </c>
      <c r="K13" s="9" t="s">
        <v>1163</v>
      </c>
      <c r="L13" s="12" t="n">
        <v>1</v>
      </c>
      <c r="M13" s="20" t="n">
        <v>202853.25</v>
      </c>
      <c r="N13" s="20" t="n">
        <v>81141.3</v>
      </c>
      <c r="O13" s="20" t="n">
        <v>0</v>
      </c>
      <c r="P13" s="12" t="n">
        <f aca="false">IF($E13="squad",INDEX(Assumptions!$D$16:$D$56,MATCH($C13&amp;"|"&amp;$D13,Assumptions!$H$16:$H$56,0)),0)</f>
        <v>0.9</v>
      </c>
      <c r="Q13" s="20" t="n">
        <f aca="false">$N13*$P13</f>
        <v>73027.17</v>
      </c>
    </row>
    <row r="14" customFormat="false" ht="15" hidden="false" customHeight="false" outlineLevel="0" collapsed="false">
      <c r="A14" s="9" t="s">
        <v>85</v>
      </c>
      <c r="B14" s="9" t="s">
        <v>1280</v>
      </c>
      <c r="C14" s="9" t="s">
        <v>14</v>
      </c>
      <c r="D14" s="9" t="s">
        <v>49</v>
      </c>
      <c r="E14" s="9" t="s">
        <v>1281</v>
      </c>
      <c r="F14" s="9" t="s">
        <v>69</v>
      </c>
      <c r="G14" s="9" t="s">
        <v>71</v>
      </c>
      <c r="H14" s="9"/>
      <c r="I14" s="25" t="n">
        <v>1</v>
      </c>
      <c r="J14" s="9" t="s">
        <v>1282</v>
      </c>
      <c r="K14" s="9" t="s">
        <v>1163</v>
      </c>
      <c r="L14" s="12" t="n">
        <v>1</v>
      </c>
      <c r="M14" s="20" t="n">
        <v>201585</v>
      </c>
      <c r="N14" s="20" t="n">
        <v>80634</v>
      </c>
      <c r="O14" s="20" t="n">
        <v>0</v>
      </c>
      <c r="P14" s="12" t="n">
        <f aca="false">IF($E14="squad",INDEX(Assumptions!$D$16:$D$56,MATCH($C14&amp;"|"&amp;$D14,Assumptions!$H$16:$H$56,0)),0)</f>
        <v>0.9</v>
      </c>
      <c r="Q14" s="20" t="n">
        <f aca="false">$N14*$P14</f>
        <v>72570.6</v>
      </c>
    </row>
    <row r="15" customFormat="false" ht="15" hidden="false" customHeight="false" outlineLevel="0" collapsed="false">
      <c r="A15" s="9" t="s">
        <v>87</v>
      </c>
      <c r="B15" s="9" t="s">
        <v>1280</v>
      </c>
      <c r="C15" s="9" t="s">
        <v>14</v>
      </c>
      <c r="D15" s="9" t="s">
        <v>49</v>
      </c>
      <c r="E15" s="9" t="s">
        <v>1281</v>
      </c>
      <c r="F15" s="9" t="s">
        <v>69</v>
      </c>
      <c r="G15" s="9" t="s">
        <v>71</v>
      </c>
      <c r="H15" s="9"/>
      <c r="I15" s="25" t="n">
        <v>1</v>
      </c>
      <c r="J15" s="9" t="s">
        <v>1282</v>
      </c>
      <c r="K15" s="9" t="s">
        <v>1163</v>
      </c>
      <c r="L15" s="12" t="n">
        <v>1</v>
      </c>
      <c r="M15" s="20" t="n">
        <v>231689.25</v>
      </c>
      <c r="N15" s="20" t="n">
        <v>92675.7</v>
      </c>
      <c r="O15" s="20" t="n">
        <v>0</v>
      </c>
      <c r="P15" s="12" t="n">
        <f aca="false">IF($E15="squad",INDEX(Assumptions!$D$16:$D$56,MATCH($C15&amp;"|"&amp;$D15,Assumptions!$H$16:$H$56,0)),0)</f>
        <v>0.9</v>
      </c>
      <c r="Q15" s="20" t="n">
        <f aca="false">$N15*$P15</f>
        <v>83408.13</v>
      </c>
    </row>
    <row r="16" customFormat="false" ht="15" hidden="false" customHeight="false" outlineLevel="0" collapsed="false">
      <c r="A16" s="9" t="s">
        <v>88</v>
      </c>
      <c r="B16" s="9" t="s">
        <v>1280</v>
      </c>
      <c r="C16" s="9" t="s">
        <v>14</v>
      </c>
      <c r="D16" s="9" t="s">
        <v>49</v>
      </c>
      <c r="E16" s="9" t="s">
        <v>1281</v>
      </c>
      <c r="F16" s="9" t="s">
        <v>69</v>
      </c>
      <c r="G16" s="9" t="s">
        <v>71</v>
      </c>
      <c r="H16" s="9"/>
      <c r="I16" s="25" t="n">
        <v>1</v>
      </c>
      <c r="J16" s="9" t="s">
        <v>1282</v>
      </c>
      <c r="K16" s="9" t="s">
        <v>1163</v>
      </c>
      <c r="L16" s="12" t="n">
        <v>1</v>
      </c>
      <c r="M16" s="20" t="n">
        <v>202853.25</v>
      </c>
      <c r="N16" s="20" t="n">
        <v>81141.3</v>
      </c>
      <c r="O16" s="20" t="n">
        <v>0</v>
      </c>
      <c r="P16" s="12" t="n">
        <f aca="false">IF($E16="squad",INDEX(Assumptions!$D$16:$D$56,MATCH($C16&amp;"|"&amp;$D16,Assumptions!$H$16:$H$56,0)),0)</f>
        <v>0.9</v>
      </c>
      <c r="Q16" s="20" t="n">
        <f aca="false">$N16*$P16</f>
        <v>73027.17</v>
      </c>
    </row>
    <row r="17" customFormat="false" ht="15" hidden="false" customHeight="false" outlineLevel="0" collapsed="false">
      <c r="A17" s="9" t="s">
        <v>90</v>
      </c>
      <c r="B17" s="9" t="s">
        <v>1280</v>
      </c>
      <c r="C17" s="9" t="s">
        <v>14</v>
      </c>
      <c r="D17" s="9" t="s">
        <v>49</v>
      </c>
      <c r="E17" s="9" t="s">
        <v>1281</v>
      </c>
      <c r="F17" s="9" t="s">
        <v>69</v>
      </c>
      <c r="G17" s="9" t="s">
        <v>71</v>
      </c>
      <c r="H17" s="9"/>
      <c r="I17" s="25" t="n">
        <v>1</v>
      </c>
      <c r="J17" s="9" t="s">
        <v>1282</v>
      </c>
      <c r="K17" s="9" t="s">
        <v>1163</v>
      </c>
      <c r="L17" s="12" t="n">
        <v>1</v>
      </c>
      <c r="M17" s="20" t="n">
        <v>202853.25</v>
      </c>
      <c r="N17" s="20" t="n">
        <v>81141.3</v>
      </c>
      <c r="O17" s="20" t="n">
        <v>0</v>
      </c>
      <c r="P17" s="12" t="n">
        <f aca="false">IF($E17="squad",INDEX(Assumptions!$D$16:$D$56,MATCH($C17&amp;"|"&amp;$D17,Assumptions!$H$16:$H$56,0)),0)</f>
        <v>0.9</v>
      </c>
      <c r="Q17" s="20" t="n">
        <f aca="false">$N17*$P17</f>
        <v>73027.17</v>
      </c>
    </row>
    <row r="18" customFormat="false" ht="15" hidden="false" customHeight="false" outlineLevel="0" collapsed="false">
      <c r="A18" s="9" t="s">
        <v>91</v>
      </c>
      <c r="B18" s="9" t="s">
        <v>1280</v>
      </c>
      <c r="C18" s="9" t="s">
        <v>14</v>
      </c>
      <c r="D18" s="9" t="s">
        <v>49</v>
      </c>
      <c r="E18" s="9" t="s">
        <v>1281</v>
      </c>
      <c r="F18" s="9" t="s">
        <v>69</v>
      </c>
      <c r="G18" s="9" t="s">
        <v>71</v>
      </c>
      <c r="H18" s="9"/>
      <c r="I18" s="25" t="n">
        <v>1</v>
      </c>
      <c r="J18" s="9" t="s">
        <v>1282</v>
      </c>
      <c r="K18" s="9" t="s">
        <v>1163</v>
      </c>
      <c r="L18" s="12" t="n">
        <v>1</v>
      </c>
      <c r="M18" s="20" t="n">
        <v>170489.75</v>
      </c>
      <c r="N18" s="20" t="n">
        <v>68195.9</v>
      </c>
      <c r="O18" s="20" t="n">
        <v>0</v>
      </c>
      <c r="P18" s="12" t="n">
        <f aca="false">IF($E18="squad",INDEX(Assumptions!$D$16:$D$56,MATCH($C18&amp;"|"&amp;$D18,Assumptions!$H$16:$H$56,0)),0)</f>
        <v>0.9</v>
      </c>
      <c r="Q18" s="20" t="n">
        <f aca="false">$N18*$P18</f>
        <v>61376.31</v>
      </c>
    </row>
    <row r="19" customFormat="false" ht="15" hidden="false" customHeight="false" outlineLevel="0" collapsed="false">
      <c r="A19" s="9" t="s">
        <v>92</v>
      </c>
      <c r="B19" s="9" t="s">
        <v>1280</v>
      </c>
      <c r="C19" s="9" t="s">
        <v>14</v>
      </c>
      <c r="D19" s="9" t="s">
        <v>61</v>
      </c>
      <c r="E19" s="9" t="s">
        <v>1281</v>
      </c>
      <c r="F19" s="9" t="s">
        <v>53</v>
      </c>
      <c r="G19" s="9" t="s">
        <v>53</v>
      </c>
      <c r="H19" s="9"/>
      <c r="I19" s="25" t="n">
        <v>1</v>
      </c>
      <c r="J19" s="9" t="s">
        <v>1282</v>
      </c>
      <c r="K19" s="9" t="s">
        <v>67</v>
      </c>
      <c r="L19" s="12" t="n">
        <v>1</v>
      </c>
      <c r="M19" s="20" t="n">
        <v>136461.432</v>
      </c>
      <c r="N19" s="20" t="n">
        <v>136461.432</v>
      </c>
      <c r="O19" s="20" t="n">
        <v>0</v>
      </c>
      <c r="P19" s="12" t="n">
        <f aca="false">IF($E19="squad",INDEX(Assumptions!$D$16:$D$56,MATCH($C19&amp;"|"&amp;$D19,Assumptions!$H$16:$H$56,0)),0)</f>
        <v>0.2</v>
      </c>
      <c r="Q19" s="20" t="n">
        <f aca="false">$N19*$P19</f>
        <v>27292.2864</v>
      </c>
    </row>
    <row r="20" customFormat="false" ht="15" hidden="false" customHeight="false" outlineLevel="0" collapsed="false">
      <c r="A20" s="9" t="s">
        <v>95</v>
      </c>
      <c r="B20" s="9" t="s">
        <v>1280</v>
      </c>
      <c r="C20" s="9" t="s">
        <v>14</v>
      </c>
      <c r="D20" s="9" t="s">
        <v>61</v>
      </c>
      <c r="E20" s="9" t="s">
        <v>1281</v>
      </c>
      <c r="F20" s="9" t="s">
        <v>53</v>
      </c>
      <c r="G20" s="9" t="s">
        <v>53</v>
      </c>
      <c r="H20" s="9"/>
      <c r="I20" s="25" t="n">
        <v>1</v>
      </c>
      <c r="J20" s="9" t="s">
        <v>1282</v>
      </c>
      <c r="K20" s="9" t="s">
        <v>67</v>
      </c>
      <c r="L20" s="12" t="n">
        <v>1</v>
      </c>
      <c r="M20" s="20" t="n">
        <v>200250</v>
      </c>
      <c r="N20" s="20" t="n">
        <v>200250</v>
      </c>
      <c r="O20" s="20" t="n">
        <v>0</v>
      </c>
      <c r="P20" s="12" t="n">
        <f aca="false">IF($E20="squad",INDEX(Assumptions!$D$16:$D$56,MATCH($C20&amp;"|"&amp;$D20,Assumptions!$H$16:$H$56,0)),0)</f>
        <v>0.2</v>
      </c>
      <c r="Q20" s="20" t="n">
        <f aca="false">$N20*$P20</f>
        <v>40050</v>
      </c>
    </row>
    <row r="21" customFormat="false" ht="15" hidden="false" customHeight="false" outlineLevel="0" collapsed="false">
      <c r="A21" s="9" t="s">
        <v>98</v>
      </c>
      <c r="B21" s="9" t="s">
        <v>1280</v>
      </c>
      <c r="C21" s="9" t="s">
        <v>14</v>
      </c>
      <c r="D21" s="9" t="s">
        <v>61</v>
      </c>
      <c r="E21" s="9" t="s">
        <v>1281</v>
      </c>
      <c r="F21" s="9" t="s">
        <v>53</v>
      </c>
      <c r="G21" s="9" t="s">
        <v>53</v>
      </c>
      <c r="H21" s="9"/>
      <c r="I21" s="25" t="n">
        <v>1</v>
      </c>
      <c r="J21" s="9" t="s">
        <v>1282</v>
      </c>
      <c r="K21" s="9" t="s">
        <v>67</v>
      </c>
      <c r="L21" s="12" t="n">
        <v>1</v>
      </c>
      <c r="M21" s="20" t="n">
        <v>205483.2</v>
      </c>
      <c r="N21" s="20" t="n">
        <v>205483.2</v>
      </c>
      <c r="O21" s="20" t="n">
        <v>0</v>
      </c>
      <c r="P21" s="12" t="n">
        <f aca="false">IF($E21="squad",INDEX(Assumptions!$D$16:$D$56,MATCH($C21&amp;"|"&amp;$D21,Assumptions!$H$16:$H$56,0)),0)</f>
        <v>0.2</v>
      </c>
      <c r="Q21" s="20" t="n">
        <f aca="false">$N21*$P21</f>
        <v>41096.64</v>
      </c>
    </row>
    <row r="22" customFormat="false" ht="15" hidden="false" customHeight="false" outlineLevel="0" collapsed="false">
      <c r="A22" s="9" t="s">
        <v>101</v>
      </c>
      <c r="B22" s="9" t="s">
        <v>1280</v>
      </c>
      <c r="C22" s="9" t="s">
        <v>14</v>
      </c>
      <c r="D22" s="9" t="s">
        <v>61</v>
      </c>
      <c r="E22" s="9" t="s">
        <v>1281</v>
      </c>
      <c r="F22" s="9" t="s">
        <v>53</v>
      </c>
      <c r="G22" s="9" t="s">
        <v>53</v>
      </c>
      <c r="H22" s="9"/>
      <c r="I22" s="25" t="n">
        <v>1</v>
      </c>
      <c r="J22" s="9" t="s">
        <v>1282</v>
      </c>
      <c r="K22" s="9" t="s">
        <v>67</v>
      </c>
      <c r="L22" s="12" t="n">
        <v>1</v>
      </c>
      <c r="M22" s="20" t="n">
        <v>206070.6</v>
      </c>
      <c r="N22" s="20" t="n">
        <v>206070.6</v>
      </c>
      <c r="O22" s="20" t="n">
        <v>0</v>
      </c>
      <c r="P22" s="12" t="n">
        <f aca="false">IF($E22="squad",INDEX(Assumptions!$D$16:$D$56,MATCH($C22&amp;"|"&amp;$D22,Assumptions!$H$16:$H$56,0)),0)</f>
        <v>0.2</v>
      </c>
      <c r="Q22" s="20" t="n">
        <f aca="false">$N22*$P22</f>
        <v>41214.12</v>
      </c>
    </row>
    <row r="23" customFormat="false" ht="15" hidden="false" customHeight="false" outlineLevel="0" collapsed="false">
      <c r="A23" s="9" t="s">
        <v>104</v>
      </c>
      <c r="B23" s="9" t="s">
        <v>1280</v>
      </c>
      <c r="C23" s="9" t="s">
        <v>14</v>
      </c>
      <c r="D23" s="9" t="s">
        <v>61</v>
      </c>
      <c r="E23" s="9" t="s">
        <v>1281</v>
      </c>
      <c r="F23" s="9" t="s">
        <v>53</v>
      </c>
      <c r="G23" s="9" t="s">
        <v>53</v>
      </c>
      <c r="H23" s="9"/>
      <c r="I23" s="25" t="n">
        <v>1</v>
      </c>
      <c r="J23" s="9" t="s">
        <v>1282</v>
      </c>
      <c r="K23" s="9" t="s">
        <v>67</v>
      </c>
      <c r="L23" s="12" t="n">
        <v>1</v>
      </c>
      <c r="M23" s="20" t="n">
        <v>145570.5</v>
      </c>
      <c r="N23" s="20" t="n">
        <v>145570.5</v>
      </c>
      <c r="O23" s="20" t="n">
        <v>0</v>
      </c>
      <c r="P23" s="12" t="n">
        <f aca="false">IF($E23="squad",INDEX(Assumptions!$D$16:$D$56,MATCH($C23&amp;"|"&amp;$D23,Assumptions!$H$16:$H$56,0)),0)</f>
        <v>0.2</v>
      </c>
      <c r="Q23" s="20" t="n">
        <f aca="false">$N23*$P23</f>
        <v>29114.1</v>
      </c>
    </row>
    <row r="24" customFormat="false" ht="15" hidden="false" customHeight="false" outlineLevel="0" collapsed="false">
      <c r="A24" s="9" t="s">
        <v>107</v>
      </c>
      <c r="B24" s="9" t="s">
        <v>1280</v>
      </c>
      <c r="C24" s="9" t="s">
        <v>14</v>
      </c>
      <c r="D24" s="9" t="s">
        <v>64</v>
      </c>
      <c r="E24" s="9" t="s">
        <v>1281</v>
      </c>
      <c r="F24" s="9" t="s">
        <v>69</v>
      </c>
      <c r="G24" s="9" t="s">
        <v>82</v>
      </c>
      <c r="H24" s="9"/>
      <c r="I24" s="25" t="n">
        <v>1</v>
      </c>
      <c r="J24" s="9" t="s">
        <v>1282</v>
      </c>
      <c r="K24" s="9" t="s">
        <v>1156</v>
      </c>
      <c r="L24" s="12" t="n">
        <v>1</v>
      </c>
      <c r="M24" s="20" t="n">
        <v>202853.25</v>
      </c>
      <c r="N24" s="20" t="n">
        <v>202853.25</v>
      </c>
      <c r="O24" s="20" t="n">
        <v>0</v>
      </c>
      <c r="P24" s="12" t="n">
        <f aca="false">IF($E24="squad",INDEX(Assumptions!$D$16:$D$56,MATCH($C24&amp;"|"&amp;$D24,Assumptions!$H$16:$H$56,0)),0)</f>
        <v>0.2</v>
      </c>
      <c r="Q24" s="20" t="n">
        <f aca="false">$N24*$P24</f>
        <v>40570.65</v>
      </c>
    </row>
    <row r="25" customFormat="false" ht="15" hidden="false" customHeight="false" outlineLevel="0" collapsed="false">
      <c r="A25" s="9" t="s">
        <v>108</v>
      </c>
      <c r="B25" s="9" t="s">
        <v>1280</v>
      </c>
      <c r="C25" s="9" t="s">
        <v>14</v>
      </c>
      <c r="D25" s="9" t="s">
        <v>64</v>
      </c>
      <c r="E25" s="9" t="s">
        <v>1281</v>
      </c>
      <c r="F25" s="9" t="s">
        <v>53</v>
      </c>
      <c r="G25" s="9" t="s">
        <v>53</v>
      </c>
      <c r="H25" s="9"/>
      <c r="I25" s="25" t="n">
        <v>1</v>
      </c>
      <c r="J25" s="9" t="s">
        <v>1282</v>
      </c>
      <c r="K25" s="9" t="s">
        <v>1156</v>
      </c>
      <c r="L25" s="12" t="n">
        <v>1</v>
      </c>
      <c r="M25" s="20" t="n">
        <v>182454.45</v>
      </c>
      <c r="N25" s="20" t="n">
        <v>182454.45</v>
      </c>
      <c r="O25" s="20" t="n">
        <v>0</v>
      </c>
      <c r="P25" s="12" t="n">
        <f aca="false">IF($E25="squad",INDEX(Assumptions!$D$16:$D$56,MATCH($C25&amp;"|"&amp;$D25,Assumptions!$H$16:$H$56,0)),0)</f>
        <v>0.2</v>
      </c>
      <c r="Q25" s="20" t="n">
        <f aca="false">$N25*$P25</f>
        <v>36490.89</v>
      </c>
    </row>
    <row r="26" customFormat="false" ht="15" hidden="false" customHeight="false" outlineLevel="0" collapsed="false">
      <c r="A26" s="9" t="s">
        <v>110</v>
      </c>
      <c r="B26" s="9" t="s">
        <v>1280</v>
      </c>
      <c r="C26" s="9" t="s">
        <v>14</v>
      </c>
      <c r="D26" s="9" t="s">
        <v>64</v>
      </c>
      <c r="E26" s="9" t="s">
        <v>1281</v>
      </c>
      <c r="F26" s="9" t="s">
        <v>53</v>
      </c>
      <c r="G26" s="9" t="s">
        <v>53</v>
      </c>
      <c r="H26" s="9"/>
      <c r="I26" s="25" t="n">
        <v>1</v>
      </c>
      <c r="J26" s="9" t="s">
        <v>1282</v>
      </c>
      <c r="K26" s="9" t="s">
        <v>1156</v>
      </c>
      <c r="L26" s="12" t="n">
        <v>1</v>
      </c>
      <c r="M26" s="20" t="n">
        <v>133044</v>
      </c>
      <c r="N26" s="20" t="n">
        <v>133044</v>
      </c>
      <c r="O26" s="20" t="n">
        <v>0</v>
      </c>
      <c r="P26" s="12" t="n">
        <f aca="false">IF($E26="squad",INDEX(Assumptions!$D$16:$D$56,MATCH($C26&amp;"|"&amp;$D26,Assumptions!$H$16:$H$56,0)),0)</f>
        <v>0.2</v>
      </c>
      <c r="Q26" s="20" t="n">
        <f aca="false">$N26*$P26</f>
        <v>26608.8</v>
      </c>
    </row>
    <row r="27" customFormat="false" ht="15" hidden="false" customHeight="false" outlineLevel="0" collapsed="false">
      <c r="A27" s="9" t="s">
        <v>112</v>
      </c>
      <c r="B27" s="9" t="s">
        <v>1280</v>
      </c>
      <c r="C27" s="9" t="s">
        <v>14</v>
      </c>
      <c r="D27" s="9" t="s">
        <v>64</v>
      </c>
      <c r="E27" s="9" t="s">
        <v>1281</v>
      </c>
      <c r="F27" s="9" t="s">
        <v>53</v>
      </c>
      <c r="G27" s="9" t="s">
        <v>53</v>
      </c>
      <c r="H27" s="9"/>
      <c r="I27" s="25" t="n">
        <v>1</v>
      </c>
      <c r="J27" s="9" t="s">
        <v>1282</v>
      </c>
      <c r="K27" s="9" t="s">
        <v>1156</v>
      </c>
      <c r="L27" s="12" t="n">
        <v>1</v>
      </c>
      <c r="M27" s="20" t="n">
        <v>157839.45</v>
      </c>
      <c r="N27" s="20" t="n">
        <v>157839.45</v>
      </c>
      <c r="O27" s="20" t="n">
        <v>0</v>
      </c>
      <c r="P27" s="12" t="n">
        <f aca="false">IF($E27="squad",INDEX(Assumptions!$D$16:$D$56,MATCH($C27&amp;"|"&amp;$D27,Assumptions!$H$16:$H$56,0)),0)</f>
        <v>0.2</v>
      </c>
      <c r="Q27" s="20" t="n">
        <f aca="false">$N27*$P27</f>
        <v>31567.89</v>
      </c>
    </row>
    <row r="28" customFormat="false" ht="15" hidden="false" customHeight="false" outlineLevel="0" collapsed="false">
      <c r="A28" s="9" t="s">
        <v>114</v>
      </c>
      <c r="B28" s="9" t="s">
        <v>1280</v>
      </c>
      <c r="C28" s="9" t="s">
        <v>14</v>
      </c>
      <c r="D28" s="9" t="s">
        <v>64</v>
      </c>
      <c r="E28" s="9" t="s">
        <v>1281</v>
      </c>
      <c r="F28" s="9" t="s">
        <v>53</v>
      </c>
      <c r="G28" s="9" t="s">
        <v>53</v>
      </c>
      <c r="H28" s="9"/>
      <c r="I28" s="25" t="n">
        <v>1</v>
      </c>
      <c r="J28" s="9" t="s">
        <v>1282</v>
      </c>
      <c r="K28" s="9" t="s">
        <v>1156</v>
      </c>
      <c r="L28" s="12" t="n">
        <v>1</v>
      </c>
      <c r="M28" s="20" t="n">
        <v>206150.7</v>
      </c>
      <c r="N28" s="20" t="n">
        <v>206150.7</v>
      </c>
      <c r="O28" s="20" t="n">
        <v>0</v>
      </c>
      <c r="P28" s="12" t="n">
        <f aca="false">IF($E28="squad",INDEX(Assumptions!$D$16:$D$56,MATCH($C28&amp;"|"&amp;$D28,Assumptions!$H$16:$H$56,0)),0)</f>
        <v>0.2</v>
      </c>
      <c r="Q28" s="20" t="n">
        <f aca="false">$N28*$P28</f>
        <v>41230.14</v>
      </c>
    </row>
    <row r="29" customFormat="false" ht="15" hidden="false" customHeight="false" outlineLevel="0" collapsed="false">
      <c r="A29" s="9" t="s">
        <v>116</v>
      </c>
      <c r="B29" s="9" t="s">
        <v>1280</v>
      </c>
      <c r="C29" s="9" t="s">
        <v>14</v>
      </c>
      <c r="D29" s="9" t="s">
        <v>64</v>
      </c>
      <c r="E29" s="9" t="s">
        <v>1281</v>
      </c>
      <c r="F29" s="9" t="s">
        <v>69</v>
      </c>
      <c r="G29" s="9" t="s">
        <v>82</v>
      </c>
      <c r="H29" s="9"/>
      <c r="I29" s="25" t="n">
        <v>1</v>
      </c>
      <c r="J29" s="9" t="s">
        <v>1282</v>
      </c>
      <c r="K29" s="9" t="s">
        <v>1156</v>
      </c>
      <c r="L29" s="12" t="n">
        <v>1</v>
      </c>
      <c r="M29" s="20" t="n">
        <v>231689.25</v>
      </c>
      <c r="N29" s="20" t="n">
        <v>231689.25</v>
      </c>
      <c r="O29" s="20" t="n">
        <v>0</v>
      </c>
      <c r="P29" s="12" t="n">
        <f aca="false">IF($E29="squad",INDEX(Assumptions!$D$16:$D$56,MATCH($C29&amp;"|"&amp;$D29,Assumptions!$H$16:$H$56,0)),0)</f>
        <v>0.2</v>
      </c>
      <c r="Q29" s="20" t="n">
        <f aca="false">$N29*$P29</f>
        <v>46337.85</v>
      </c>
    </row>
    <row r="30" customFormat="false" ht="15" hidden="false" customHeight="false" outlineLevel="0" collapsed="false">
      <c r="A30" s="9" t="s">
        <v>117</v>
      </c>
      <c r="B30" s="9" t="s">
        <v>1280</v>
      </c>
      <c r="C30" s="9" t="s">
        <v>14</v>
      </c>
      <c r="D30" s="9" t="s">
        <v>58</v>
      </c>
      <c r="E30" s="9" t="s">
        <v>1281</v>
      </c>
      <c r="F30" s="9" t="s">
        <v>69</v>
      </c>
      <c r="G30" s="9" t="s">
        <v>82</v>
      </c>
      <c r="H30" s="9"/>
      <c r="I30" s="25" t="n">
        <v>1</v>
      </c>
      <c r="J30" s="9" t="s">
        <v>1282</v>
      </c>
      <c r="K30" s="9" t="s">
        <v>67</v>
      </c>
      <c r="L30" s="12" t="n">
        <v>1</v>
      </c>
      <c r="M30" s="20" t="n">
        <v>224493.6</v>
      </c>
      <c r="N30" s="20" t="n">
        <v>224493.6</v>
      </c>
      <c r="O30" s="20" t="n">
        <v>0</v>
      </c>
      <c r="P30" s="12" t="n">
        <f aca="false">IF($E30="squad",INDEX(Assumptions!$D$16:$D$56,MATCH($C30&amp;"|"&amp;$D30,Assumptions!$H$16:$H$56,0)),0)</f>
        <v>0.65</v>
      </c>
      <c r="Q30" s="20" t="n">
        <f aca="false">$N30*$P30</f>
        <v>145920.84</v>
      </c>
    </row>
    <row r="31" customFormat="false" ht="15" hidden="false" customHeight="false" outlineLevel="0" collapsed="false">
      <c r="A31" s="9" t="s">
        <v>119</v>
      </c>
      <c r="B31" s="9" t="s">
        <v>1280</v>
      </c>
      <c r="C31" s="9" t="s">
        <v>14</v>
      </c>
      <c r="D31" s="9" t="s">
        <v>58</v>
      </c>
      <c r="E31" s="9" t="s">
        <v>1281</v>
      </c>
      <c r="F31" s="9" t="s">
        <v>69</v>
      </c>
      <c r="G31" s="9" t="s">
        <v>71</v>
      </c>
      <c r="H31" s="9" t="s">
        <v>121</v>
      </c>
      <c r="I31" s="25" t="n">
        <v>1</v>
      </c>
      <c r="J31" s="9" t="s">
        <v>1282</v>
      </c>
      <c r="K31" s="9" t="s">
        <v>67</v>
      </c>
      <c r="L31" s="12" t="n">
        <v>1</v>
      </c>
      <c r="M31" s="20" t="n">
        <v>202853.25</v>
      </c>
      <c r="N31" s="20" t="n">
        <v>60855.975</v>
      </c>
      <c r="O31" s="20" t="n">
        <v>0</v>
      </c>
      <c r="P31" s="12" t="n">
        <f aca="false">IF($E31="squad",INDEX(Assumptions!$D$16:$D$56,MATCH($C31&amp;"|"&amp;$D31,Assumptions!$H$16:$H$56,0)),0)</f>
        <v>0.65</v>
      </c>
      <c r="Q31" s="20" t="n">
        <f aca="false">$N31*$P31</f>
        <v>39556.38375</v>
      </c>
    </row>
    <row r="32" customFormat="false" ht="15" hidden="false" customHeight="false" outlineLevel="0" collapsed="false">
      <c r="A32" s="9" t="s">
        <v>122</v>
      </c>
      <c r="B32" s="9" t="s">
        <v>1280</v>
      </c>
      <c r="C32" s="9" t="s">
        <v>14</v>
      </c>
      <c r="D32" s="9" t="s">
        <v>58</v>
      </c>
      <c r="E32" s="9" t="s">
        <v>1281</v>
      </c>
      <c r="F32" s="9" t="s">
        <v>69</v>
      </c>
      <c r="G32" s="9" t="s">
        <v>71</v>
      </c>
      <c r="H32" s="9"/>
      <c r="I32" s="25" t="n">
        <v>1</v>
      </c>
      <c r="J32" s="9" t="s">
        <v>1282</v>
      </c>
      <c r="K32" s="9" t="s">
        <v>67</v>
      </c>
      <c r="L32" s="12" t="n">
        <v>1</v>
      </c>
      <c r="M32" s="20" t="n">
        <v>231689.25</v>
      </c>
      <c r="N32" s="20" t="n">
        <v>92675.7</v>
      </c>
      <c r="O32" s="20" t="n">
        <v>0</v>
      </c>
      <c r="P32" s="12" t="n">
        <f aca="false">IF($E32="squad",INDEX(Assumptions!$D$16:$D$56,MATCH($C32&amp;"|"&amp;$D32,Assumptions!$H$16:$H$56,0)),0)</f>
        <v>0.65</v>
      </c>
      <c r="Q32" s="20" t="n">
        <f aca="false">$N32*$P32</f>
        <v>60239.205</v>
      </c>
    </row>
    <row r="33" customFormat="false" ht="15" hidden="false" customHeight="false" outlineLevel="0" collapsed="false">
      <c r="A33" s="9" t="s">
        <v>124</v>
      </c>
      <c r="B33" s="9" t="s">
        <v>1280</v>
      </c>
      <c r="C33" s="9" t="s">
        <v>14</v>
      </c>
      <c r="D33" s="9" t="s">
        <v>58</v>
      </c>
      <c r="E33" s="9" t="s">
        <v>1281</v>
      </c>
      <c r="F33" s="9" t="s">
        <v>69</v>
      </c>
      <c r="G33" s="9" t="s">
        <v>82</v>
      </c>
      <c r="H33" s="9" t="s">
        <v>121</v>
      </c>
      <c r="I33" s="25" t="n">
        <v>1</v>
      </c>
      <c r="J33" s="9" t="s">
        <v>1282</v>
      </c>
      <c r="K33" s="9" t="s">
        <v>67</v>
      </c>
      <c r="L33" s="12" t="n">
        <v>1</v>
      </c>
      <c r="M33" s="20" t="n">
        <v>170501.585</v>
      </c>
      <c r="N33" s="20" t="n">
        <v>127876.18875</v>
      </c>
      <c r="O33" s="20" t="n">
        <v>0</v>
      </c>
      <c r="P33" s="12" t="n">
        <f aca="false">IF($E33="squad",INDEX(Assumptions!$D$16:$D$56,MATCH($C33&amp;"|"&amp;$D33,Assumptions!$H$16:$H$56,0)),0)</f>
        <v>0.65</v>
      </c>
      <c r="Q33" s="20" t="n">
        <f aca="false">$N33*$P33</f>
        <v>83119.5226875</v>
      </c>
    </row>
    <row r="34" customFormat="false" ht="15" hidden="false" customHeight="false" outlineLevel="0" collapsed="false">
      <c r="A34" s="9" t="s">
        <v>125</v>
      </c>
      <c r="B34" s="9" t="s">
        <v>1280</v>
      </c>
      <c r="C34" s="9" t="s">
        <v>14</v>
      </c>
      <c r="D34" s="9" t="s">
        <v>58</v>
      </c>
      <c r="E34" s="9" t="s">
        <v>1281</v>
      </c>
      <c r="F34" s="9" t="s">
        <v>69</v>
      </c>
      <c r="G34" s="9" t="s">
        <v>71</v>
      </c>
      <c r="H34" s="9" t="s">
        <v>121</v>
      </c>
      <c r="I34" s="25" t="n">
        <v>1</v>
      </c>
      <c r="J34" s="9" t="s">
        <v>1282</v>
      </c>
      <c r="K34" s="9" t="s">
        <v>67</v>
      </c>
      <c r="L34" s="12" t="n">
        <v>1</v>
      </c>
      <c r="M34" s="20" t="n">
        <v>170489.75</v>
      </c>
      <c r="N34" s="20" t="n">
        <v>51146.925</v>
      </c>
      <c r="O34" s="20" t="n">
        <v>0</v>
      </c>
      <c r="P34" s="12" t="n">
        <f aca="false">IF($E34="squad",INDEX(Assumptions!$D$16:$D$56,MATCH($C34&amp;"|"&amp;$D34,Assumptions!$H$16:$H$56,0)),0)</f>
        <v>0.65</v>
      </c>
      <c r="Q34" s="20" t="n">
        <f aca="false">$N34*$P34</f>
        <v>33245.50125</v>
      </c>
    </row>
    <row r="35" customFormat="false" ht="15" hidden="false" customHeight="false" outlineLevel="0" collapsed="false">
      <c r="A35" s="9" t="s">
        <v>126</v>
      </c>
      <c r="B35" s="9" t="s">
        <v>1280</v>
      </c>
      <c r="C35" s="9" t="s">
        <v>14</v>
      </c>
      <c r="D35" s="9" t="s">
        <v>58</v>
      </c>
      <c r="E35" s="9" t="s">
        <v>1281</v>
      </c>
      <c r="F35" s="9" t="s">
        <v>69</v>
      </c>
      <c r="G35" s="9" t="s">
        <v>71</v>
      </c>
      <c r="H35" s="9" t="s">
        <v>121</v>
      </c>
      <c r="I35" s="25" t="n">
        <v>1</v>
      </c>
      <c r="J35" s="9" t="s">
        <v>1282</v>
      </c>
      <c r="K35" s="9" t="s">
        <v>67</v>
      </c>
      <c r="L35" s="12" t="n">
        <v>1</v>
      </c>
      <c r="M35" s="20" t="n">
        <v>170489.75</v>
      </c>
      <c r="N35" s="20" t="n">
        <v>51146.925</v>
      </c>
      <c r="O35" s="20" t="n">
        <v>0</v>
      </c>
      <c r="P35" s="12" t="n">
        <f aca="false">IF($E35="squad",INDEX(Assumptions!$D$16:$D$56,MATCH($C35&amp;"|"&amp;$D35,Assumptions!$H$16:$H$56,0)),0)</f>
        <v>0.65</v>
      </c>
      <c r="Q35" s="20" t="n">
        <f aca="false">$N35*$P35</f>
        <v>33245.50125</v>
      </c>
    </row>
    <row r="36" customFormat="false" ht="15" hidden="false" customHeight="false" outlineLevel="0" collapsed="false">
      <c r="A36" s="9" t="s">
        <v>127</v>
      </c>
      <c r="B36" s="9" t="s">
        <v>1280</v>
      </c>
      <c r="C36" s="9" t="s">
        <v>14</v>
      </c>
      <c r="D36" s="9" t="s">
        <v>58</v>
      </c>
      <c r="E36" s="9" t="s">
        <v>1281</v>
      </c>
      <c r="F36" s="9" t="s">
        <v>69</v>
      </c>
      <c r="G36" s="9" t="s">
        <v>71</v>
      </c>
      <c r="H36" s="9" t="s">
        <v>121</v>
      </c>
      <c r="I36" s="25" t="n">
        <v>1</v>
      </c>
      <c r="J36" s="9" t="s">
        <v>1282</v>
      </c>
      <c r="K36" s="9" t="s">
        <v>67</v>
      </c>
      <c r="L36" s="12" t="n">
        <v>1</v>
      </c>
      <c r="M36" s="20" t="n">
        <v>202853.25</v>
      </c>
      <c r="N36" s="20" t="n">
        <v>60855.975</v>
      </c>
      <c r="O36" s="20" t="n">
        <v>0</v>
      </c>
      <c r="P36" s="12" t="n">
        <f aca="false">IF($E36="squad",INDEX(Assumptions!$D$16:$D$56,MATCH($C36&amp;"|"&amp;$D36,Assumptions!$H$16:$H$56,0)),0)</f>
        <v>0.65</v>
      </c>
      <c r="Q36" s="20" t="n">
        <f aca="false">$N36*$P36</f>
        <v>39556.38375</v>
      </c>
    </row>
    <row r="37" customFormat="false" ht="15" hidden="false" customHeight="false" outlineLevel="0" collapsed="false">
      <c r="A37" s="9" t="s">
        <v>128</v>
      </c>
      <c r="B37" s="9" t="s">
        <v>1280</v>
      </c>
      <c r="C37" s="9" t="s">
        <v>14</v>
      </c>
      <c r="D37" s="9" t="s">
        <v>58</v>
      </c>
      <c r="E37" s="9" t="s">
        <v>1281</v>
      </c>
      <c r="F37" s="9" t="s">
        <v>69</v>
      </c>
      <c r="G37" s="9" t="s">
        <v>82</v>
      </c>
      <c r="H37" s="9"/>
      <c r="I37" s="25" t="n">
        <v>1</v>
      </c>
      <c r="J37" s="9" t="s">
        <v>1282</v>
      </c>
      <c r="K37" s="9" t="s">
        <v>67</v>
      </c>
      <c r="L37" s="12" t="n">
        <v>1</v>
      </c>
      <c r="M37" s="20" t="n">
        <v>202853.25</v>
      </c>
      <c r="N37" s="20" t="n">
        <v>202853.25</v>
      </c>
      <c r="O37" s="20" t="n">
        <v>0</v>
      </c>
      <c r="P37" s="12" t="n">
        <f aca="false">IF($E37="squad",INDEX(Assumptions!$D$16:$D$56,MATCH($C37&amp;"|"&amp;$D37,Assumptions!$H$16:$H$56,0)),0)</f>
        <v>0.65</v>
      </c>
      <c r="Q37" s="20" t="n">
        <f aca="false">$N37*$P37</f>
        <v>131854.6125</v>
      </c>
    </row>
    <row r="38" customFormat="false" ht="15" hidden="false" customHeight="false" outlineLevel="0" collapsed="false">
      <c r="A38" s="9" t="s">
        <v>129</v>
      </c>
      <c r="B38" s="9" t="s">
        <v>1280</v>
      </c>
      <c r="C38" s="9" t="s">
        <v>14</v>
      </c>
      <c r="D38" s="9" t="s">
        <v>54</v>
      </c>
      <c r="E38" s="9" t="s">
        <v>1281</v>
      </c>
      <c r="F38" s="9" t="s">
        <v>53</v>
      </c>
      <c r="G38" s="9" t="s">
        <v>53</v>
      </c>
      <c r="H38" s="9"/>
      <c r="I38" s="25" t="n">
        <v>1</v>
      </c>
      <c r="J38" s="9" t="s">
        <v>1282</v>
      </c>
      <c r="K38" s="9" t="s">
        <v>67</v>
      </c>
      <c r="L38" s="12" t="n">
        <v>1</v>
      </c>
      <c r="M38" s="20" t="n">
        <v>259243.65</v>
      </c>
      <c r="N38" s="20" t="n">
        <v>259243.65</v>
      </c>
      <c r="O38" s="20" t="n">
        <v>0</v>
      </c>
      <c r="P38" s="12" t="n">
        <f aca="false">IF($E38="squad",INDEX(Assumptions!$D$16:$D$56,MATCH($C38&amp;"|"&amp;$D38,Assumptions!$H$16:$H$56,0)),0)</f>
        <v>0.15</v>
      </c>
      <c r="Q38" s="20" t="n">
        <f aca="false">$N38*$P38</f>
        <v>38886.5475</v>
      </c>
    </row>
    <row r="39" customFormat="false" ht="15" hidden="false" customHeight="false" outlineLevel="0" collapsed="false">
      <c r="A39" s="9" t="s">
        <v>131</v>
      </c>
      <c r="B39" s="9" t="s">
        <v>1280</v>
      </c>
      <c r="C39" s="9" t="s">
        <v>14</v>
      </c>
      <c r="D39" s="9" t="s">
        <v>54</v>
      </c>
      <c r="E39" s="9" t="s">
        <v>1281</v>
      </c>
      <c r="F39" s="9" t="s">
        <v>53</v>
      </c>
      <c r="G39" s="9" t="s">
        <v>53</v>
      </c>
      <c r="H39" s="9"/>
      <c r="I39" s="25" t="n">
        <v>1</v>
      </c>
      <c r="J39" s="9" t="s">
        <v>1282</v>
      </c>
      <c r="K39" s="9" t="s">
        <v>67</v>
      </c>
      <c r="L39" s="12" t="n">
        <v>1</v>
      </c>
      <c r="M39" s="20" t="n">
        <v>213600</v>
      </c>
      <c r="N39" s="20" t="n">
        <v>213600</v>
      </c>
      <c r="O39" s="20" t="n">
        <v>0</v>
      </c>
      <c r="P39" s="12" t="n">
        <f aca="false">IF($E39="squad",INDEX(Assumptions!$D$16:$D$56,MATCH($C39&amp;"|"&amp;$D39,Assumptions!$H$16:$H$56,0)),0)</f>
        <v>0.15</v>
      </c>
      <c r="Q39" s="20" t="n">
        <f aca="false">$N39*$P39</f>
        <v>32040</v>
      </c>
    </row>
    <row r="40" customFormat="false" ht="15" hidden="false" customHeight="false" outlineLevel="0" collapsed="false">
      <c r="A40" s="9" t="s">
        <v>134</v>
      </c>
      <c r="B40" s="9" t="s">
        <v>1280</v>
      </c>
      <c r="C40" s="9" t="s">
        <v>14</v>
      </c>
      <c r="D40" s="9" t="s">
        <v>54</v>
      </c>
      <c r="E40" s="9" t="s">
        <v>1281</v>
      </c>
      <c r="F40" s="9" t="s">
        <v>69</v>
      </c>
      <c r="G40" s="9" t="s">
        <v>82</v>
      </c>
      <c r="H40" s="9"/>
      <c r="I40" s="25" t="n">
        <v>1</v>
      </c>
      <c r="J40" s="9" t="s">
        <v>1282</v>
      </c>
      <c r="K40" s="9" t="s">
        <v>67</v>
      </c>
      <c r="L40" s="12" t="n">
        <v>1</v>
      </c>
      <c r="M40" s="20" t="n">
        <v>170501.585</v>
      </c>
      <c r="N40" s="20" t="n">
        <v>170501.585</v>
      </c>
      <c r="O40" s="20" t="n">
        <v>0</v>
      </c>
      <c r="P40" s="12" t="n">
        <f aca="false">IF($E40="squad",INDEX(Assumptions!$D$16:$D$56,MATCH($C40&amp;"|"&amp;$D40,Assumptions!$H$16:$H$56,0)),0)</f>
        <v>0.15</v>
      </c>
      <c r="Q40" s="20" t="n">
        <f aca="false">$N40*$P40</f>
        <v>25575.23775</v>
      </c>
    </row>
    <row r="41" customFormat="false" ht="15" hidden="false" customHeight="false" outlineLevel="0" collapsed="false">
      <c r="A41" s="9" t="s">
        <v>135</v>
      </c>
      <c r="B41" s="9" t="s">
        <v>1280</v>
      </c>
      <c r="C41" s="9" t="s">
        <v>14</v>
      </c>
      <c r="D41" s="9" t="s">
        <v>54</v>
      </c>
      <c r="E41" s="9" t="s">
        <v>1281</v>
      </c>
      <c r="F41" s="9" t="s">
        <v>53</v>
      </c>
      <c r="G41" s="9" t="s">
        <v>53</v>
      </c>
      <c r="H41" s="9"/>
      <c r="I41" s="25" t="n">
        <v>1</v>
      </c>
      <c r="J41" s="9" t="s">
        <v>1282</v>
      </c>
      <c r="K41" s="9" t="s">
        <v>67</v>
      </c>
      <c r="L41" s="12" t="n">
        <v>1</v>
      </c>
      <c r="M41" s="20" t="n">
        <v>146083.35</v>
      </c>
      <c r="N41" s="20" t="n">
        <v>146083.35</v>
      </c>
      <c r="O41" s="20" t="n">
        <v>0</v>
      </c>
      <c r="P41" s="12" t="n">
        <f aca="false">IF($E41="squad",INDEX(Assumptions!$D$16:$D$56,MATCH($C41&amp;"|"&amp;$D41,Assumptions!$H$16:$H$56,0)),0)</f>
        <v>0.15</v>
      </c>
      <c r="Q41" s="20" t="n">
        <f aca="false">$N41*$P41</f>
        <v>21912.5025</v>
      </c>
    </row>
    <row r="42" customFormat="false" ht="15" hidden="false" customHeight="false" outlineLevel="0" collapsed="false">
      <c r="A42" s="9" t="s">
        <v>137</v>
      </c>
      <c r="B42" s="9" t="s">
        <v>1280</v>
      </c>
      <c r="C42" s="9" t="s">
        <v>14</v>
      </c>
      <c r="D42" s="9" t="s">
        <v>67</v>
      </c>
      <c r="E42" s="9" t="s">
        <v>1281</v>
      </c>
      <c r="F42" s="9" t="s">
        <v>53</v>
      </c>
      <c r="G42" s="9" t="s">
        <v>53</v>
      </c>
      <c r="H42" s="9"/>
      <c r="I42" s="25" t="n">
        <v>1</v>
      </c>
      <c r="J42" s="9" t="s">
        <v>1282</v>
      </c>
      <c r="K42" s="9" t="s">
        <v>67</v>
      </c>
      <c r="L42" s="12" t="n">
        <v>1</v>
      </c>
      <c r="M42" s="20" t="n">
        <v>77707.84</v>
      </c>
      <c r="N42" s="20" t="n">
        <v>77707.84</v>
      </c>
      <c r="O42" s="20" t="n">
        <v>0</v>
      </c>
      <c r="P42" s="12" t="n">
        <f aca="false">IF($E42="squad",INDEX(Assumptions!$D$16:$D$56,MATCH($C42&amp;"|"&amp;$D42,Assumptions!$H$16:$H$56,0)),0)</f>
        <v>1</v>
      </c>
      <c r="Q42" s="20" t="n">
        <f aca="false">$N42*$P42</f>
        <v>77707.84</v>
      </c>
    </row>
    <row r="43" customFormat="false" ht="15" hidden="false" customHeight="false" outlineLevel="0" collapsed="false">
      <c r="A43" s="9" t="s">
        <v>140</v>
      </c>
      <c r="B43" s="9" t="s">
        <v>1280</v>
      </c>
      <c r="C43" s="9" t="s">
        <v>14</v>
      </c>
      <c r="D43" s="9" t="s">
        <v>67</v>
      </c>
      <c r="E43" s="9" t="s">
        <v>1281</v>
      </c>
      <c r="F43" s="9" t="s">
        <v>53</v>
      </c>
      <c r="G43" s="9" t="s">
        <v>53</v>
      </c>
      <c r="H43" s="9"/>
      <c r="I43" s="25" t="n">
        <v>1</v>
      </c>
      <c r="J43" s="9" t="s">
        <v>1282</v>
      </c>
      <c r="K43" s="9" t="s">
        <v>67</v>
      </c>
      <c r="L43" s="12" t="n">
        <v>1</v>
      </c>
      <c r="M43" s="20" t="n">
        <v>242933.676</v>
      </c>
      <c r="N43" s="20" t="n">
        <v>242933.676</v>
      </c>
      <c r="O43" s="20" t="n">
        <v>0</v>
      </c>
      <c r="P43" s="12" t="n">
        <f aca="false">IF($E43="squad",INDEX(Assumptions!$D$16:$D$56,MATCH($C43&amp;"|"&amp;$D43,Assumptions!$H$16:$H$56,0)),0)</f>
        <v>1</v>
      </c>
      <c r="Q43" s="20" t="n">
        <f aca="false">$N43*$P43</f>
        <v>242933.676</v>
      </c>
    </row>
    <row r="44" customFormat="false" ht="15" hidden="false" customHeight="false" outlineLevel="0" collapsed="false">
      <c r="A44" s="9" t="s">
        <v>143</v>
      </c>
      <c r="B44" s="9" t="s">
        <v>1280</v>
      </c>
      <c r="C44" s="9" t="s">
        <v>14</v>
      </c>
      <c r="D44" s="9" t="s">
        <v>67</v>
      </c>
      <c r="E44" s="9" t="s">
        <v>1281</v>
      </c>
      <c r="F44" s="9" t="s">
        <v>69</v>
      </c>
      <c r="G44" s="9" t="s">
        <v>82</v>
      </c>
      <c r="H44" s="9"/>
      <c r="I44" s="25" t="n">
        <v>1</v>
      </c>
      <c r="J44" s="9" t="s">
        <v>1282</v>
      </c>
      <c r="K44" s="9" t="s">
        <v>67</v>
      </c>
      <c r="L44" s="12" t="n">
        <v>1</v>
      </c>
      <c r="M44" s="20" t="n">
        <v>170501.585</v>
      </c>
      <c r="N44" s="20" t="n">
        <v>170501.585</v>
      </c>
      <c r="O44" s="20" t="n">
        <v>0</v>
      </c>
      <c r="P44" s="12" t="n">
        <f aca="false">IF($E44="squad",INDEX(Assumptions!$D$16:$D$56,MATCH($C44&amp;"|"&amp;$D44,Assumptions!$H$16:$H$56,0)),0)</f>
        <v>1</v>
      </c>
      <c r="Q44" s="20" t="n">
        <f aca="false">$N44*$P44</f>
        <v>170501.585</v>
      </c>
    </row>
    <row r="45" customFormat="false" ht="15" hidden="false" customHeight="false" outlineLevel="0" collapsed="false">
      <c r="A45" s="9" t="s">
        <v>145</v>
      </c>
      <c r="B45" s="9" t="s">
        <v>1280</v>
      </c>
      <c r="C45" s="9" t="s">
        <v>14</v>
      </c>
      <c r="D45" s="9" t="s">
        <v>67</v>
      </c>
      <c r="E45" s="9" t="s">
        <v>1281</v>
      </c>
      <c r="F45" s="9" t="s">
        <v>53</v>
      </c>
      <c r="G45" s="9" t="s">
        <v>53</v>
      </c>
      <c r="H45" s="9"/>
      <c r="I45" s="25" t="n">
        <v>1</v>
      </c>
      <c r="J45" s="9" t="s">
        <v>1282</v>
      </c>
      <c r="K45" s="9" t="s">
        <v>67</v>
      </c>
      <c r="L45" s="12" t="n">
        <v>1</v>
      </c>
      <c r="M45" s="20" t="n">
        <v>167360.05</v>
      </c>
      <c r="N45" s="20" t="n">
        <v>167360.05</v>
      </c>
      <c r="O45" s="20" t="n">
        <v>0</v>
      </c>
      <c r="P45" s="12" t="n">
        <f aca="false">IF($E45="squad",INDEX(Assumptions!$D$16:$D$56,MATCH($C45&amp;"|"&amp;$D45,Assumptions!$H$16:$H$56,0)),0)</f>
        <v>1</v>
      </c>
      <c r="Q45" s="20" t="n">
        <f aca="false">$N45*$P45</f>
        <v>167360.05</v>
      </c>
    </row>
    <row r="46" customFormat="false" ht="15" hidden="false" customHeight="false" outlineLevel="0" collapsed="false">
      <c r="A46" s="9" t="s">
        <v>148</v>
      </c>
      <c r="B46" s="9" t="s">
        <v>1280</v>
      </c>
      <c r="C46" s="9" t="s">
        <v>14</v>
      </c>
      <c r="D46" s="9" t="s">
        <v>67</v>
      </c>
      <c r="E46" s="9" t="s">
        <v>1281</v>
      </c>
      <c r="F46" s="9" t="s">
        <v>53</v>
      </c>
      <c r="G46" s="9" t="s">
        <v>53</v>
      </c>
      <c r="H46" s="9"/>
      <c r="I46" s="25" t="n">
        <v>1</v>
      </c>
      <c r="J46" s="9" t="s">
        <v>1282</v>
      </c>
      <c r="K46" s="9" t="s">
        <v>67</v>
      </c>
      <c r="L46" s="12" t="n">
        <v>1</v>
      </c>
      <c r="M46" s="20" t="n">
        <v>190155.852</v>
      </c>
      <c r="N46" s="20" t="n">
        <v>190155.852</v>
      </c>
      <c r="O46" s="20" t="n">
        <v>0</v>
      </c>
      <c r="P46" s="12" t="n">
        <f aca="false">IF($E46="squad",INDEX(Assumptions!$D$16:$D$56,MATCH($C46&amp;"|"&amp;$D46,Assumptions!$H$16:$H$56,0)),0)</f>
        <v>1</v>
      </c>
      <c r="Q46" s="20" t="n">
        <f aca="false">$N46*$P46</f>
        <v>190155.852</v>
      </c>
    </row>
    <row r="47" customFormat="false" ht="15" hidden="false" customHeight="false" outlineLevel="0" collapsed="false">
      <c r="A47" s="9" t="s">
        <v>151</v>
      </c>
      <c r="B47" s="9" t="s">
        <v>1280</v>
      </c>
      <c r="C47" s="9" t="s">
        <v>14</v>
      </c>
      <c r="D47" s="9" t="s">
        <v>67</v>
      </c>
      <c r="E47" s="9" t="s">
        <v>1281</v>
      </c>
      <c r="F47" s="9" t="s">
        <v>53</v>
      </c>
      <c r="G47" s="9" t="s">
        <v>53</v>
      </c>
      <c r="H47" s="9"/>
      <c r="I47" s="25" t="n">
        <v>1</v>
      </c>
      <c r="J47" s="9" t="s">
        <v>1282</v>
      </c>
      <c r="K47" s="9" t="s">
        <v>67</v>
      </c>
      <c r="L47" s="12" t="n">
        <v>1</v>
      </c>
      <c r="M47" s="20" t="n">
        <v>202853.25</v>
      </c>
      <c r="N47" s="20" t="n">
        <v>202853.25</v>
      </c>
      <c r="O47" s="20" t="n">
        <v>0</v>
      </c>
      <c r="P47" s="12" t="n">
        <f aca="false">IF($E47="squad",INDEX(Assumptions!$D$16:$D$56,MATCH($C47&amp;"|"&amp;$D47,Assumptions!$H$16:$H$56,0)),0)</f>
        <v>1</v>
      </c>
      <c r="Q47" s="20" t="n">
        <f aca="false">$N47*$P47</f>
        <v>202853.25</v>
      </c>
    </row>
    <row r="48" customFormat="false" ht="15" hidden="false" customHeight="false" outlineLevel="0" collapsed="false">
      <c r="A48" s="9" t="s">
        <v>154</v>
      </c>
      <c r="B48" s="9" t="s">
        <v>1280</v>
      </c>
      <c r="C48" s="9" t="s">
        <v>14</v>
      </c>
      <c r="D48" s="9" t="s">
        <v>67</v>
      </c>
      <c r="E48" s="9" t="s">
        <v>1281</v>
      </c>
      <c r="F48" s="9" t="s">
        <v>53</v>
      </c>
      <c r="G48" s="9" t="s">
        <v>53</v>
      </c>
      <c r="H48" s="9"/>
      <c r="I48" s="25" t="n">
        <v>1</v>
      </c>
      <c r="J48" s="9" t="s">
        <v>1282</v>
      </c>
      <c r="K48" s="9" t="s">
        <v>67</v>
      </c>
      <c r="L48" s="12" t="n">
        <v>1</v>
      </c>
      <c r="M48" s="20" t="n">
        <v>164033.1</v>
      </c>
      <c r="N48" s="20" t="n">
        <v>164033.1</v>
      </c>
      <c r="O48" s="20" t="n">
        <v>0</v>
      </c>
      <c r="P48" s="12" t="n">
        <f aca="false">IF($E48="squad",INDEX(Assumptions!$D$16:$D$56,MATCH($C48&amp;"|"&amp;$D48,Assumptions!$H$16:$H$56,0)),0)</f>
        <v>1</v>
      </c>
      <c r="Q48" s="20" t="n">
        <f aca="false">$N48*$P48</f>
        <v>164033.1</v>
      </c>
    </row>
    <row r="49" customFormat="false" ht="15" hidden="false" customHeight="false" outlineLevel="0" collapsed="false">
      <c r="A49" s="9" t="s">
        <v>157</v>
      </c>
      <c r="B49" s="9" t="s">
        <v>1280</v>
      </c>
      <c r="C49" s="9" t="s">
        <v>14</v>
      </c>
      <c r="D49" s="9" t="s">
        <v>67</v>
      </c>
      <c r="E49" s="9" t="s">
        <v>1281</v>
      </c>
      <c r="F49" s="9" t="s">
        <v>53</v>
      </c>
      <c r="G49" s="9" t="s">
        <v>53</v>
      </c>
      <c r="H49" s="9"/>
      <c r="I49" s="25" t="n">
        <v>1</v>
      </c>
      <c r="J49" s="9" t="s">
        <v>1282</v>
      </c>
      <c r="K49" s="9" t="s">
        <v>67</v>
      </c>
      <c r="L49" s="12" t="n">
        <v>1</v>
      </c>
      <c r="M49" s="20" t="n">
        <v>214214.1</v>
      </c>
      <c r="N49" s="20" t="n">
        <v>214214.1</v>
      </c>
      <c r="O49" s="20" t="n">
        <v>0</v>
      </c>
      <c r="P49" s="12" t="n">
        <f aca="false">IF($E49="squad",INDEX(Assumptions!$D$16:$D$56,MATCH($C49&amp;"|"&amp;$D49,Assumptions!$H$16:$H$56,0)),0)</f>
        <v>1</v>
      </c>
      <c r="Q49" s="20" t="n">
        <f aca="false">$N49*$P49</f>
        <v>214214.1</v>
      </c>
    </row>
    <row r="50" customFormat="false" ht="15" hidden="false" customHeight="false" outlineLevel="0" collapsed="false">
      <c r="A50" s="9" t="s">
        <v>161</v>
      </c>
      <c r="B50" s="9" t="s">
        <v>1280</v>
      </c>
      <c r="C50" s="9" t="s">
        <v>14</v>
      </c>
      <c r="D50" s="9" t="s">
        <v>160</v>
      </c>
      <c r="E50" s="9" t="s">
        <v>1283</v>
      </c>
      <c r="F50" s="9" t="s">
        <v>53</v>
      </c>
      <c r="G50" s="9" t="s">
        <v>53</v>
      </c>
      <c r="H50" s="9"/>
      <c r="I50" s="25" t="n">
        <v>1</v>
      </c>
      <c r="J50" s="9" t="s">
        <v>1284</v>
      </c>
      <c r="K50" s="9" t="s">
        <v>1285</v>
      </c>
      <c r="L50" s="12" t="n">
        <v>1</v>
      </c>
      <c r="M50" s="20" t="n">
        <v>202026.336</v>
      </c>
      <c r="N50" s="20" t="n">
        <v>202026.336</v>
      </c>
      <c r="O50" s="20" t="n">
        <v>0</v>
      </c>
      <c r="P50" s="12" t="n">
        <f aca="false">IF($E50="squad",INDEX(Assumptions!$D$16:$D$56,MATCH($C50&amp;"|"&amp;$D50,Assumptions!$H$16:$H$56,0)),0)</f>
        <v>0</v>
      </c>
      <c r="Q50" s="20" t="n">
        <f aca="false">$N50*$P50</f>
        <v>0</v>
      </c>
    </row>
    <row r="51" customFormat="false" ht="15" hidden="false" customHeight="false" outlineLevel="0" collapsed="false">
      <c r="A51" s="9" t="s">
        <v>164</v>
      </c>
      <c r="B51" s="9" t="s">
        <v>1280</v>
      </c>
      <c r="C51" s="9" t="s">
        <v>14</v>
      </c>
      <c r="D51" s="9" t="s">
        <v>160</v>
      </c>
      <c r="E51" s="9" t="s">
        <v>1283</v>
      </c>
      <c r="F51" s="9" t="s">
        <v>53</v>
      </c>
      <c r="G51" s="9" t="s">
        <v>53</v>
      </c>
      <c r="H51" s="9"/>
      <c r="I51" s="25" t="n">
        <v>1</v>
      </c>
      <c r="J51" s="9" t="s">
        <v>1282</v>
      </c>
      <c r="K51" s="9" t="s">
        <v>1285</v>
      </c>
      <c r="L51" s="12" t="n">
        <v>1</v>
      </c>
      <c r="M51" s="20" t="n">
        <v>253142.7</v>
      </c>
      <c r="N51" s="20" t="n">
        <v>253142.7</v>
      </c>
      <c r="O51" s="20" t="n">
        <v>0</v>
      </c>
      <c r="P51" s="12" t="n">
        <f aca="false">IF($E51="squad",INDEX(Assumptions!$D$16:$D$56,MATCH($C51&amp;"|"&amp;$D51,Assumptions!$H$16:$H$56,0)),0)</f>
        <v>0</v>
      </c>
      <c r="Q51" s="20" t="n">
        <f aca="false">$N51*$P51</f>
        <v>0</v>
      </c>
    </row>
    <row r="52" customFormat="false" ht="15" hidden="false" customHeight="false" outlineLevel="0" collapsed="false">
      <c r="A52" s="9" t="s">
        <v>166</v>
      </c>
      <c r="B52" s="9" t="s">
        <v>1280</v>
      </c>
      <c r="C52" s="9" t="s">
        <v>14</v>
      </c>
      <c r="D52" s="9" t="s">
        <v>160</v>
      </c>
      <c r="E52" s="9" t="s">
        <v>1283</v>
      </c>
      <c r="F52" s="9" t="s">
        <v>53</v>
      </c>
      <c r="G52" s="9" t="s">
        <v>53</v>
      </c>
      <c r="H52" s="9"/>
      <c r="I52" s="25" t="n">
        <v>1</v>
      </c>
      <c r="J52" s="9" t="s">
        <v>1282</v>
      </c>
      <c r="K52" s="9" t="s">
        <v>1285</v>
      </c>
      <c r="L52" s="12" t="n">
        <v>1</v>
      </c>
      <c r="M52" s="20" t="n">
        <v>247455.6</v>
      </c>
      <c r="N52" s="20" t="n">
        <v>247455.6</v>
      </c>
      <c r="O52" s="20" t="n">
        <v>0</v>
      </c>
      <c r="P52" s="12" t="n">
        <f aca="false">IF($E52="squad",INDEX(Assumptions!$D$16:$D$56,MATCH($C52&amp;"|"&amp;$D52,Assumptions!$H$16:$H$56,0)),0)</f>
        <v>0</v>
      </c>
      <c r="Q52" s="20" t="n">
        <f aca="false">$N52*$P52</f>
        <v>0</v>
      </c>
    </row>
    <row r="53" customFormat="false" ht="15" hidden="false" customHeight="false" outlineLevel="0" collapsed="false">
      <c r="A53" s="9" t="s">
        <v>168</v>
      </c>
      <c r="B53" s="9" t="s">
        <v>1280</v>
      </c>
      <c r="C53" s="9" t="s">
        <v>14</v>
      </c>
      <c r="D53" s="9" t="s">
        <v>160</v>
      </c>
      <c r="E53" s="9" t="s">
        <v>1283</v>
      </c>
      <c r="F53" s="9" t="s">
        <v>53</v>
      </c>
      <c r="G53" s="9" t="s">
        <v>53</v>
      </c>
      <c r="H53" s="9"/>
      <c r="I53" s="25" t="n">
        <v>1</v>
      </c>
      <c r="J53" s="9" t="s">
        <v>1282</v>
      </c>
      <c r="K53" s="9" t="s">
        <v>1285</v>
      </c>
      <c r="L53" s="12" t="n">
        <v>1</v>
      </c>
      <c r="M53" s="20" t="n">
        <v>237654.03</v>
      </c>
      <c r="N53" s="20" t="n">
        <v>237654.03</v>
      </c>
      <c r="O53" s="20" t="n">
        <v>0</v>
      </c>
      <c r="P53" s="12" t="n">
        <f aca="false">IF($E53="squad",INDEX(Assumptions!$D$16:$D$56,MATCH($C53&amp;"|"&amp;$D53,Assumptions!$H$16:$H$56,0)),0)</f>
        <v>0</v>
      </c>
      <c r="Q53" s="20" t="n">
        <f aca="false">$N53*$P53</f>
        <v>0</v>
      </c>
    </row>
    <row r="54" customFormat="false" ht="15" hidden="false" customHeight="false" outlineLevel="0" collapsed="false">
      <c r="A54" s="9" t="s">
        <v>170</v>
      </c>
      <c r="B54" s="9" t="s">
        <v>1280</v>
      </c>
      <c r="C54" s="9" t="s">
        <v>14</v>
      </c>
      <c r="D54" s="9" t="s">
        <v>160</v>
      </c>
      <c r="E54" s="9" t="s">
        <v>1283</v>
      </c>
      <c r="F54" s="9" t="s">
        <v>53</v>
      </c>
      <c r="G54" s="9" t="s">
        <v>53</v>
      </c>
      <c r="H54" s="9"/>
      <c r="I54" s="25" t="n">
        <v>1</v>
      </c>
      <c r="J54" s="9" t="s">
        <v>1282</v>
      </c>
      <c r="K54" s="9" t="s">
        <v>1285</v>
      </c>
      <c r="L54" s="12" t="n">
        <v>1</v>
      </c>
      <c r="M54" s="20" t="n">
        <v>161334</v>
      </c>
      <c r="N54" s="20" t="n">
        <v>161334</v>
      </c>
      <c r="O54" s="20" t="n">
        <v>0</v>
      </c>
      <c r="P54" s="12" t="n">
        <f aca="false">IF($E54="squad",INDEX(Assumptions!$D$16:$D$56,MATCH($C54&amp;"|"&amp;$D54,Assumptions!$H$16:$H$56,0)),0)</f>
        <v>0</v>
      </c>
      <c r="Q54" s="20" t="n">
        <f aca="false">$N54*$P54</f>
        <v>0</v>
      </c>
    </row>
    <row r="55" customFormat="false" ht="15" hidden="false" customHeight="false" outlineLevel="0" collapsed="false">
      <c r="A55" s="9" t="s">
        <v>172</v>
      </c>
      <c r="B55" s="9" t="s">
        <v>1280</v>
      </c>
      <c r="C55" s="9" t="s">
        <v>14</v>
      </c>
      <c r="D55" s="9" t="s">
        <v>160</v>
      </c>
      <c r="E55" s="9" t="s">
        <v>1283</v>
      </c>
      <c r="F55" s="9" t="s">
        <v>53</v>
      </c>
      <c r="G55" s="9" t="s">
        <v>53</v>
      </c>
      <c r="H55" s="9"/>
      <c r="I55" s="25" t="n">
        <v>1</v>
      </c>
      <c r="J55" s="9" t="s">
        <v>1282</v>
      </c>
      <c r="K55" s="9" t="s">
        <v>160</v>
      </c>
      <c r="L55" s="12" t="n">
        <v>1</v>
      </c>
      <c r="M55" s="20" t="n">
        <v>210342.6</v>
      </c>
      <c r="N55" s="20" t="n">
        <v>210342.6</v>
      </c>
      <c r="O55" s="20" t="n">
        <v>0</v>
      </c>
      <c r="P55" s="12" t="n">
        <f aca="false">IF($E55="squad",INDEX(Assumptions!$D$16:$D$56,MATCH($C55&amp;"|"&amp;$D55,Assumptions!$H$16:$H$56,0)),0)</f>
        <v>0</v>
      </c>
      <c r="Q55" s="20" t="n">
        <f aca="false">$N55*$P55</f>
        <v>0</v>
      </c>
    </row>
    <row r="56" customFormat="false" ht="15" hidden="false" customHeight="false" outlineLevel="0" collapsed="false">
      <c r="A56" s="9" t="s">
        <v>175</v>
      </c>
      <c r="B56" s="9" t="s">
        <v>1280</v>
      </c>
      <c r="C56" s="9" t="s">
        <v>14</v>
      </c>
      <c r="D56" s="9" t="s">
        <v>160</v>
      </c>
      <c r="E56" s="9" t="s">
        <v>1283</v>
      </c>
      <c r="F56" s="9" t="s">
        <v>53</v>
      </c>
      <c r="G56" s="9" t="s">
        <v>53</v>
      </c>
      <c r="H56" s="9"/>
      <c r="I56" s="25" t="n">
        <v>1</v>
      </c>
      <c r="J56" s="9" t="s">
        <v>1282</v>
      </c>
      <c r="K56" s="9" t="s">
        <v>1285</v>
      </c>
      <c r="L56" s="12" t="n">
        <v>1</v>
      </c>
      <c r="M56" s="20" t="n">
        <v>262647.9</v>
      </c>
      <c r="N56" s="20" t="n">
        <v>262647.9</v>
      </c>
      <c r="O56" s="20" t="n">
        <v>0</v>
      </c>
      <c r="P56" s="12" t="n">
        <f aca="false">IF($E56="squad",INDEX(Assumptions!$D$16:$D$56,MATCH($C56&amp;"|"&amp;$D56,Assumptions!$H$16:$H$56,0)),0)</f>
        <v>0</v>
      </c>
      <c r="Q56" s="20" t="n">
        <f aca="false">$N56*$P56</f>
        <v>0</v>
      </c>
    </row>
    <row r="57" customFormat="false" ht="15" hidden="false" customHeight="false" outlineLevel="0" collapsed="false">
      <c r="A57" s="9" t="s">
        <v>177</v>
      </c>
      <c r="B57" s="9" t="s">
        <v>1280</v>
      </c>
      <c r="C57" s="9" t="s">
        <v>14</v>
      </c>
      <c r="D57" s="9" t="s">
        <v>160</v>
      </c>
      <c r="E57" s="9" t="s">
        <v>1283</v>
      </c>
      <c r="F57" s="9" t="s">
        <v>53</v>
      </c>
      <c r="G57" s="9" t="s">
        <v>53</v>
      </c>
      <c r="H57" s="9"/>
      <c r="I57" s="25" t="n">
        <v>1</v>
      </c>
      <c r="J57" s="9" t="s">
        <v>1282</v>
      </c>
      <c r="K57" s="9" t="s">
        <v>1285</v>
      </c>
      <c r="L57" s="12" t="n">
        <v>1</v>
      </c>
      <c r="M57" s="20" t="n">
        <v>147460.584</v>
      </c>
      <c r="N57" s="20" t="n">
        <v>147460.584</v>
      </c>
      <c r="O57" s="20" t="n">
        <v>0</v>
      </c>
      <c r="P57" s="12" t="n">
        <f aca="false">IF($E57="squad",INDEX(Assumptions!$D$16:$D$56,MATCH($C57&amp;"|"&amp;$D57,Assumptions!$H$16:$H$56,0)),0)</f>
        <v>0</v>
      </c>
      <c r="Q57" s="20" t="n">
        <f aca="false">$N57*$P57</f>
        <v>0</v>
      </c>
    </row>
    <row r="58" customFormat="false" ht="15" hidden="false" customHeight="false" outlineLevel="0" collapsed="false">
      <c r="A58" s="9" t="s">
        <v>179</v>
      </c>
      <c r="B58" s="9" t="s">
        <v>1280</v>
      </c>
      <c r="C58" s="9" t="s">
        <v>14</v>
      </c>
      <c r="D58" s="9" t="s">
        <v>160</v>
      </c>
      <c r="E58" s="9" t="s">
        <v>1283</v>
      </c>
      <c r="F58" s="9" t="s">
        <v>53</v>
      </c>
      <c r="G58" s="9" t="s">
        <v>53</v>
      </c>
      <c r="H58" s="9"/>
      <c r="I58" s="25" t="n">
        <v>1</v>
      </c>
      <c r="J58" s="9" t="s">
        <v>1282</v>
      </c>
      <c r="K58" s="9" t="s">
        <v>1285</v>
      </c>
      <c r="L58" s="12" t="n">
        <v>1</v>
      </c>
      <c r="M58" s="20" t="n">
        <v>194028.9</v>
      </c>
      <c r="N58" s="20" t="n">
        <v>194028.9</v>
      </c>
      <c r="O58" s="20" t="n">
        <v>0</v>
      </c>
      <c r="P58" s="12" t="n">
        <f aca="false">IF($E58="squad",INDEX(Assumptions!$D$16:$D$56,MATCH($C58&amp;"|"&amp;$D58,Assumptions!$H$16:$H$56,0)),0)</f>
        <v>0</v>
      </c>
      <c r="Q58" s="20" t="n">
        <f aca="false">$N58*$P58</f>
        <v>0</v>
      </c>
    </row>
    <row r="59" customFormat="false" ht="15" hidden="false" customHeight="false" outlineLevel="0" collapsed="false">
      <c r="A59" s="9" t="s">
        <v>181</v>
      </c>
      <c r="B59" s="9" t="s">
        <v>1280</v>
      </c>
      <c r="C59" s="9" t="s">
        <v>14</v>
      </c>
      <c r="D59" s="9" t="s">
        <v>160</v>
      </c>
      <c r="E59" s="9" t="s">
        <v>1283</v>
      </c>
      <c r="F59" s="9" t="s">
        <v>53</v>
      </c>
      <c r="G59" s="9" t="s">
        <v>53</v>
      </c>
      <c r="H59" s="9"/>
      <c r="I59" s="25" t="n">
        <v>1</v>
      </c>
      <c r="J59" s="9" t="s">
        <v>1282</v>
      </c>
      <c r="K59" s="9" t="s">
        <v>1285</v>
      </c>
      <c r="L59" s="12" t="n">
        <v>1</v>
      </c>
      <c r="M59" s="20" t="n">
        <v>198937.068</v>
      </c>
      <c r="N59" s="20" t="n">
        <v>198937.068</v>
      </c>
      <c r="O59" s="20" t="n">
        <v>0</v>
      </c>
      <c r="P59" s="12" t="n">
        <f aca="false">IF($E59="squad",INDEX(Assumptions!$D$16:$D$56,MATCH($C59&amp;"|"&amp;$D59,Assumptions!$H$16:$H$56,0)),0)</f>
        <v>0</v>
      </c>
      <c r="Q59" s="20" t="n">
        <f aca="false">$N59*$P59</f>
        <v>0</v>
      </c>
    </row>
    <row r="60" customFormat="false" ht="15" hidden="false" customHeight="false" outlineLevel="0" collapsed="false">
      <c r="A60" s="9" t="s">
        <v>185</v>
      </c>
      <c r="B60" s="9" t="s">
        <v>1280</v>
      </c>
      <c r="C60" s="9" t="s">
        <v>14</v>
      </c>
      <c r="D60" s="9" t="s">
        <v>184</v>
      </c>
      <c r="E60" s="9" t="s">
        <v>1283</v>
      </c>
      <c r="F60" s="9" t="s">
        <v>53</v>
      </c>
      <c r="G60" s="9" t="s">
        <v>53</v>
      </c>
      <c r="H60" s="9"/>
      <c r="I60" s="25" t="n">
        <v>1</v>
      </c>
      <c r="J60" s="9" t="s">
        <v>1282</v>
      </c>
      <c r="K60" s="9" t="s">
        <v>36</v>
      </c>
      <c r="L60" s="12" t="n">
        <v>1</v>
      </c>
      <c r="M60" s="20" t="n">
        <v>222000</v>
      </c>
      <c r="N60" s="20" t="n">
        <v>222000</v>
      </c>
      <c r="O60" s="20" t="n">
        <v>0</v>
      </c>
      <c r="P60" s="12" t="n">
        <f aca="false">IF($E60="squad",INDEX(Assumptions!$D$16:$D$56,MATCH($C60&amp;"|"&amp;$D60,Assumptions!$H$16:$H$56,0)),0)</f>
        <v>0</v>
      </c>
      <c r="Q60" s="20" t="n">
        <f aca="false">$N60*$P60</f>
        <v>0</v>
      </c>
    </row>
    <row r="61" customFormat="false" ht="15" hidden="false" customHeight="false" outlineLevel="0" collapsed="false">
      <c r="A61" s="9" t="s">
        <v>187</v>
      </c>
      <c r="B61" s="9" t="s">
        <v>1280</v>
      </c>
      <c r="C61" s="9" t="s">
        <v>14</v>
      </c>
      <c r="D61" s="9" t="s">
        <v>184</v>
      </c>
      <c r="E61" s="9" t="s">
        <v>1283</v>
      </c>
      <c r="F61" s="9" t="s">
        <v>53</v>
      </c>
      <c r="G61" s="9" t="s">
        <v>53</v>
      </c>
      <c r="H61" s="9"/>
      <c r="I61" s="25" t="n">
        <v>1</v>
      </c>
      <c r="J61" s="9" t="s">
        <v>1282</v>
      </c>
      <c r="K61" s="9" t="s">
        <v>36</v>
      </c>
      <c r="L61" s="12" t="n">
        <v>1</v>
      </c>
      <c r="M61" s="20" t="n">
        <v>155538.2</v>
      </c>
      <c r="N61" s="20" t="n">
        <v>155538.2</v>
      </c>
      <c r="O61" s="20" t="n">
        <v>0</v>
      </c>
      <c r="P61" s="12" t="n">
        <f aca="false">IF($E61="squad",INDEX(Assumptions!$D$16:$D$56,MATCH($C61&amp;"|"&amp;$D61,Assumptions!$H$16:$H$56,0)),0)</f>
        <v>0</v>
      </c>
      <c r="Q61" s="20" t="n">
        <f aca="false">$N61*$P61</f>
        <v>0</v>
      </c>
    </row>
    <row r="62" customFormat="false" ht="15" hidden="false" customHeight="false" outlineLevel="0" collapsed="false">
      <c r="A62" s="9" t="s">
        <v>190</v>
      </c>
      <c r="B62" s="9" t="s">
        <v>1280</v>
      </c>
      <c r="C62" s="9" t="s">
        <v>14</v>
      </c>
      <c r="D62" s="9" t="s">
        <v>184</v>
      </c>
      <c r="E62" s="9" t="s">
        <v>1283</v>
      </c>
      <c r="F62" s="9" t="s">
        <v>53</v>
      </c>
      <c r="G62" s="9" t="s">
        <v>53</v>
      </c>
      <c r="H62" s="9"/>
      <c r="I62" s="25" t="n">
        <v>0.8</v>
      </c>
      <c r="J62" s="9" t="s">
        <v>1284</v>
      </c>
      <c r="K62" s="9" t="s">
        <v>36</v>
      </c>
      <c r="L62" s="12" t="n">
        <v>1</v>
      </c>
      <c r="M62" s="20" t="n">
        <v>156488.1312</v>
      </c>
      <c r="N62" s="20" t="n">
        <v>156488.1312</v>
      </c>
      <c r="O62" s="20" t="n">
        <v>0</v>
      </c>
      <c r="P62" s="12" t="n">
        <f aca="false">IF($E62="squad",INDEX(Assumptions!$D$16:$D$56,MATCH($C62&amp;"|"&amp;$D62,Assumptions!$H$16:$H$56,0)),0)</f>
        <v>0</v>
      </c>
      <c r="Q62" s="20" t="n">
        <f aca="false">$N62*$P62</f>
        <v>0</v>
      </c>
    </row>
    <row r="63" customFormat="false" ht="15" hidden="false" customHeight="false" outlineLevel="0" collapsed="false">
      <c r="A63" s="9" t="s">
        <v>193</v>
      </c>
      <c r="B63" s="9" t="s">
        <v>1280</v>
      </c>
      <c r="C63" s="9" t="s">
        <v>14</v>
      </c>
      <c r="D63" s="9" t="s">
        <v>184</v>
      </c>
      <c r="E63" s="9" t="s">
        <v>1283</v>
      </c>
      <c r="F63" s="9" t="s">
        <v>53</v>
      </c>
      <c r="G63" s="9" t="s">
        <v>53</v>
      </c>
      <c r="H63" s="9"/>
      <c r="I63" s="25" t="n">
        <v>1</v>
      </c>
      <c r="J63" s="9" t="s">
        <v>1282</v>
      </c>
      <c r="K63" s="9" t="s">
        <v>36</v>
      </c>
      <c r="L63" s="12" t="n">
        <v>1</v>
      </c>
      <c r="M63" s="20" t="n">
        <v>133500</v>
      </c>
      <c r="N63" s="20" t="n">
        <v>133500</v>
      </c>
      <c r="O63" s="20" t="n">
        <v>0</v>
      </c>
      <c r="P63" s="12" t="n">
        <f aca="false">IF($E63="squad",INDEX(Assumptions!$D$16:$D$56,MATCH($C63&amp;"|"&amp;$D63,Assumptions!$H$16:$H$56,0)),0)</f>
        <v>0</v>
      </c>
      <c r="Q63" s="20" t="n">
        <f aca="false">$N63*$P63</f>
        <v>0</v>
      </c>
    </row>
    <row r="64" customFormat="false" ht="15" hidden="false" customHeight="false" outlineLevel="0" collapsed="false">
      <c r="A64" s="9" t="s">
        <v>195</v>
      </c>
      <c r="B64" s="9" t="s">
        <v>1280</v>
      </c>
      <c r="C64" s="9" t="s">
        <v>14</v>
      </c>
      <c r="D64" s="9" t="s">
        <v>184</v>
      </c>
      <c r="E64" s="9" t="s">
        <v>1283</v>
      </c>
      <c r="F64" s="9" t="s">
        <v>53</v>
      </c>
      <c r="G64" s="9" t="s">
        <v>53</v>
      </c>
      <c r="H64" s="9"/>
      <c r="I64" s="25" t="n">
        <v>1</v>
      </c>
      <c r="J64" s="9" t="s">
        <v>1282</v>
      </c>
      <c r="K64" s="9" t="s">
        <v>36</v>
      </c>
      <c r="L64" s="12" t="n">
        <v>1</v>
      </c>
      <c r="M64" s="20" t="n">
        <v>267547.35</v>
      </c>
      <c r="N64" s="20" t="n">
        <v>267547.35</v>
      </c>
      <c r="O64" s="20" t="n">
        <v>0</v>
      </c>
      <c r="P64" s="12" t="n">
        <f aca="false">IF($E64="squad",INDEX(Assumptions!$D$16:$D$56,MATCH($C64&amp;"|"&amp;$D64,Assumptions!$H$16:$H$56,0)),0)</f>
        <v>0</v>
      </c>
      <c r="Q64" s="20" t="n">
        <f aca="false">$N64*$P64</f>
        <v>0</v>
      </c>
    </row>
    <row r="65" customFormat="false" ht="15" hidden="false" customHeight="false" outlineLevel="0" collapsed="false">
      <c r="A65" s="9" t="s">
        <v>197</v>
      </c>
      <c r="B65" s="9" t="s">
        <v>1280</v>
      </c>
      <c r="C65" s="9" t="s">
        <v>14</v>
      </c>
      <c r="D65" s="9" t="s">
        <v>184</v>
      </c>
      <c r="E65" s="9" t="s">
        <v>1283</v>
      </c>
      <c r="F65" s="9" t="s">
        <v>53</v>
      </c>
      <c r="G65" s="9" t="s">
        <v>53</v>
      </c>
      <c r="H65" s="9"/>
      <c r="I65" s="25" t="n">
        <v>1</v>
      </c>
      <c r="J65" s="9" t="s">
        <v>1282</v>
      </c>
      <c r="K65" s="9" t="s">
        <v>36</v>
      </c>
      <c r="L65" s="12" t="n">
        <v>1</v>
      </c>
      <c r="M65" s="20" t="n">
        <v>247161.9</v>
      </c>
      <c r="N65" s="20" t="n">
        <v>247161.9</v>
      </c>
      <c r="O65" s="20" t="n">
        <v>0</v>
      </c>
      <c r="P65" s="12" t="n">
        <f aca="false">IF($E65="squad",INDEX(Assumptions!$D$16:$D$56,MATCH($C65&amp;"|"&amp;$D65,Assumptions!$H$16:$H$56,0)),0)</f>
        <v>0</v>
      </c>
      <c r="Q65" s="20" t="n">
        <f aca="false">$N65*$P65</f>
        <v>0</v>
      </c>
    </row>
    <row r="66" customFormat="false" ht="15" hidden="false" customHeight="false" outlineLevel="0" collapsed="false">
      <c r="A66" s="9" t="s">
        <v>200</v>
      </c>
      <c r="B66" s="9" t="s">
        <v>1280</v>
      </c>
      <c r="C66" s="9" t="s">
        <v>14</v>
      </c>
      <c r="D66" s="9" t="s">
        <v>199</v>
      </c>
      <c r="E66" s="9" t="s">
        <v>1286</v>
      </c>
      <c r="F66" s="9" t="s">
        <v>53</v>
      </c>
      <c r="G66" s="9" t="s">
        <v>53</v>
      </c>
      <c r="H66" s="9"/>
      <c r="I66" s="25" t="n">
        <v>1</v>
      </c>
      <c r="J66" s="9" t="s">
        <v>1282</v>
      </c>
      <c r="K66" s="9" t="s">
        <v>1163</v>
      </c>
      <c r="L66" s="12" t="n">
        <v>1</v>
      </c>
      <c r="M66" s="20" t="n">
        <v>186032.25</v>
      </c>
      <c r="N66" s="20" t="n">
        <v>186032.25</v>
      </c>
      <c r="O66" s="20" t="n">
        <v>0</v>
      </c>
      <c r="P66" s="12" t="n">
        <f aca="false">IF($E66="squad",INDEX(Assumptions!$D$16:$D$56,MATCH($C66&amp;"|"&amp;$D66,Assumptions!$H$16:$H$56,0)),0)</f>
        <v>0</v>
      </c>
      <c r="Q66" s="20" t="n">
        <f aca="false">$N66*$P66</f>
        <v>0</v>
      </c>
    </row>
    <row r="67" customFormat="false" ht="15" hidden="false" customHeight="false" outlineLevel="0" collapsed="false">
      <c r="A67" s="9" t="s">
        <v>204</v>
      </c>
      <c r="B67" s="9" t="s">
        <v>1280</v>
      </c>
      <c r="C67" s="9" t="s">
        <v>14</v>
      </c>
      <c r="D67" s="9" t="s">
        <v>203</v>
      </c>
      <c r="E67" s="9" t="s">
        <v>1286</v>
      </c>
      <c r="F67" s="9" t="s">
        <v>53</v>
      </c>
      <c r="G67" s="9" t="s">
        <v>53</v>
      </c>
      <c r="H67" s="9"/>
      <c r="I67" s="25" t="n">
        <v>0.7</v>
      </c>
      <c r="J67" s="9" t="s">
        <v>1282</v>
      </c>
      <c r="K67" s="9" t="s">
        <v>1163</v>
      </c>
      <c r="L67" s="12" t="n">
        <v>1</v>
      </c>
      <c r="M67" s="20" t="n">
        <v>212056.145</v>
      </c>
      <c r="N67" s="20" t="n">
        <v>212056.145</v>
      </c>
      <c r="O67" s="20" t="n">
        <v>0</v>
      </c>
      <c r="P67" s="12" t="n">
        <f aca="false">IF($E67="squad",INDEX(Assumptions!$D$16:$D$56,MATCH($C67&amp;"|"&amp;$D67,Assumptions!$H$16:$H$56,0)),0)</f>
        <v>0</v>
      </c>
      <c r="Q67" s="20" t="n">
        <f aca="false">$N67*$P67</f>
        <v>0</v>
      </c>
    </row>
    <row r="68" customFormat="false" ht="15" hidden="false" customHeight="false" outlineLevel="0" collapsed="false">
      <c r="A68" s="9" t="s">
        <v>207</v>
      </c>
      <c r="B68" s="9" t="s">
        <v>1280</v>
      </c>
      <c r="C68" s="9" t="s">
        <v>14</v>
      </c>
      <c r="D68" s="9" t="s">
        <v>206</v>
      </c>
      <c r="E68" s="9" t="s">
        <v>1286</v>
      </c>
      <c r="F68" s="9" t="s">
        <v>53</v>
      </c>
      <c r="G68" s="9" t="s">
        <v>53</v>
      </c>
      <c r="H68" s="9"/>
      <c r="I68" s="25" t="n">
        <v>1</v>
      </c>
      <c r="J68" s="9" t="s">
        <v>1282</v>
      </c>
      <c r="K68" s="9" t="s">
        <v>48</v>
      </c>
      <c r="L68" s="12" t="n">
        <v>1</v>
      </c>
      <c r="M68" s="20" t="n">
        <v>224341.488</v>
      </c>
      <c r="N68" s="20" t="n">
        <v>224341.488</v>
      </c>
      <c r="O68" s="20" t="n">
        <v>0</v>
      </c>
      <c r="P68" s="12" t="n">
        <f aca="false">IF($E68="squad",INDEX(Assumptions!$D$16:$D$56,MATCH($C68&amp;"|"&amp;$D68,Assumptions!$H$16:$H$56,0)),0)</f>
        <v>0</v>
      </c>
      <c r="Q68" s="20" t="n">
        <f aca="false">$N68*$P68</f>
        <v>0</v>
      </c>
    </row>
    <row r="69" customFormat="false" ht="15" hidden="false" customHeight="false" outlineLevel="0" collapsed="false">
      <c r="A69" s="9" t="s">
        <v>210</v>
      </c>
      <c r="B69" s="9" t="s">
        <v>1280</v>
      </c>
      <c r="C69" s="9" t="s">
        <v>14</v>
      </c>
      <c r="D69" s="9" t="s">
        <v>206</v>
      </c>
      <c r="E69" s="9" t="s">
        <v>1286</v>
      </c>
      <c r="F69" s="9" t="s">
        <v>53</v>
      </c>
      <c r="G69" s="9" t="s">
        <v>53</v>
      </c>
      <c r="H69" s="9"/>
      <c r="I69" s="25" t="n">
        <v>1</v>
      </c>
      <c r="J69" s="9" t="s">
        <v>1282</v>
      </c>
      <c r="K69" s="9" t="s">
        <v>1287</v>
      </c>
      <c r="L69" s="12" t="n">
        <v>1</v>
      </c>
      <c r="M69" s="20" t="n">
        <v>284550</v>
      </c>
      <c r="N69" s="20" t="n">
        <v>284550</v>
      </c>
      <c r="O69" s="20" t="n">
        <v>0</v>
      </c>
      <c r="P69" s="12" t="n">
        <f aca="false">IF($E69="squad",INDEX(Assumptions!$D$16:$D$56,MATCH($C69&amp;"|"&amp;$D69,Assumptions!$H$16:$H$56,0)),0)</f>
        <v>0</v>
      </c>
      <c r="Q69" s="20" t="n">
        <f aca="false">$N69*$P69</f>
        <v>0</v>
      </c>
    </row>
    <row r="70" customFormat="false" ht="15" hidden="false" customHeight="false" outlineLevel="0" collapsed="false">
      <c r="A70" s="9" t="s">
        <v>213</v>
      </c>
      <c r="B70" s="9" t="s">
        <v>1280</v>
      </c>
      <c r="C70" s="9" t="s">
        <v>14</v>
      </c>
      <c r="D70" s="9" t="s">
        <v>206</v>
      </c>
      <c r="E70" s="9" t="s">
        <v>1286</v>
      </c>
      <c r="F70" s="9" t="s">
        <v>53</v>
      </c>
      <c r="G70" s="9" t="s">
        <v>53</v>
      </c>
      <c r="H70" s="9"/>
      <c r="I70" s="25" t="n">
        <v>1</v>
      </c>
      <c r="J70" s="9" t="s">
        <v>1282</v>
      </c>
      <c r="K70" s="9" t="s">
        <v>1288</v>
      </c>
      <c r="L70" s="12" t="n">
        <v>1</v>
      </c>
      <c r="M70" s="20" t="n">
        <v>257754.875</v>
      </c>
      <c r="N70" s="20" t="n">
        <v>257754.875</v>
      </c>
      <c r="O70" s="20" t="n">
        <v>0</v>
      </c>
      <c r="P70" s="12" t="n">
        <f aca="false">IF($E70="squad",INDEX(Assumptions!$D$16:$D$56,MATCH($C70&amp;"|"&amp;$D70,Assumptions!$H$16:$H$56,0)),0)</f>
        <v>0</v>
      </c>
      <c r="Q70" s="20" t="n">
        <f aca="false">$N70*$P70</f>
        <v>0</v>
      </c>
    </row>
    <row r="71" customFormat="false" ht="15" hidden="false" customHeight="false" outlineLevel="0" collapsed="false">
      <c r="A71" s="9" t="s">
        <v>217</v>
      </c>
      <c r="B71" s="9" t="s">
        <v>1289</v>
      </c>
      <c r="C71" s="9" t="s">
        <v>16</v>
      </c>
      <c r="D71" s="9" t="s">
        <v>216</v>
      </c>
      <c r="E71" s="9" t="s">
        <v>1281</v>
      </c>
      <c r="F71" s="9" t="s">
        <v>69</v>
      </c>
      <c r="G71" s="9" t="s">
        <v>78</v>
      </c>
      <c r="H71" s="9"/>
      <c r="I71" s="25" t="n">
        <v>1</v>
      </c>
      <c r="J71" s="9" t="s">
        <v>1282</v>
      </c>
      <c r="K71" s="9" t="s">
        <v>1160</v>
      </c>
      <c r="L71" s="12" t="n">
        <v>1</v>
      </c>
      <c r="M71" s="20" t="n">
        <v>275810.25</v>
      </c>
      <c r="N71" s="20" t="n">
        <v>0</v>
      </c>
      <c r="O71" s="20" t="n">
        <v>0</v>
      </c>
      <c r="P71" s="12" t="n">
        <f aca="false">IF($E71="squad",INDEX(Assumptions!$D$16:$D$56,MATCH($C71&amp;"|"&amp;$D71,Assumptions!$H$16:$H$56,0)),0)</f>
        <v>0.9</v>
      </c>
      <c r="Q71" s="20" t="n">
        <f aca="false">$N71*$P71</f>
        <v>0</v>
      </c>
    </row>
    <row r="72" customFormat="false" ht="15" hidden="false" customHeight="false" outlineLevel="0" collapsed="false">
      <c r="A72" s="9" t="s">
        <v>219</v>
      </c>
      <c r="B72" s="9" t="s">
        <v>1289</v>
      </c>
      <c r="C72" s="9" t="s">
        <v>16</v>
      </c>
      <c r="D72" s="9" t="s">
        <v>216</v>
      </c>
      <c r="E72" s="9" t="s">
        <v>1281</v>
      </c>
      <c r="F72" s="9" t="s">
        <v>69</v>
      </c>
      <c r="G72" s="9" t="s">
        <v>78</v>
      </c>
      <c r="H72" s="9"/>
      <c r="I72" s="25" t="n">
        <v>1</v>
      </c>
      <c r="J72" s="9" t="s">
        <v>1282</v>
      </c>
      <c r="K72" s="9" t="s">
        <v>1160</v>
      </c>
      <c r="L72" s="12" t="n">
        <v>1</v>
      </c>
      <c r="M72" s="20" t="n">
        <v>202853.25</v>
      </c>
      <c r="N72" s="20" t="n">
        <v>0</v>
      </c>
      <c r="O72" s="20" t="n">
        <v>0</v>
      </c>
      <c r="P72" s="12" t="n">
        <f aca="false">IF($E72="squad",INDEX(Assumptions!$D$16:$D$56,MATCH($C72&amp;"|"&amp;$D72,Assumptions!$H$16:$H$56,0)),0)</f>
        <v>0.9</v>
      </c>
      <c r="Q72" s="20" t="n">
        <f aca="false">$N72*$P72</f>
        <v>0</v>
      </c>
    </row>
    <row r="73" customFormat="false" ht="15" hidden="false" customHeight="false" outlineLevel="0" collapsed="false">
      <c r="A73" s="9" t="s">
        <v>221</v>
      </c>
      <c r="B73" s="9" t="s">
        <v>1289</v>
      </c>
      <c r="C73" s="9" t="s">
        <v>16</v>
      </c>
      <c r="D73" s="9" t="s">
        <v>216</v>
      </c>
      <c r="E73" s="9" t="s">
        <v>1281</v>
      </c>
      <c r="F73" s="9" t="s">
        <v>53</v>
      </c>
      <c r="G73" s="9" t="s">
        <v>53</v>
      </c>
      <c r="H73" s="9"/>
      <c r="I73" s="25" t="n">
        <v>1</v>
      </c>
      <c r="J73" s="9" t="s">
        <v>1284</v>
      </c>
      <c r="K73" s="9" t="s">
        <v>1160</v>
      </c>
      <c r="L73" s="12" t="n">
        <v>1</v>
      </c>
      <c r="M73" s="20" t="n">
        <v>140772.828</v>
      </c>
      <c r="N73" s="20" t="n">
        <v>140772.828</v>
      </c>
      <c r="O73" s="20" t="n">
        <v>0</v>
      </c>
      <c r="P73" s="12" t="n">
        <f aca="false">IF($E73="squad",INDEX(Assumptions!$D$16:$D$56,MATCH($C73&amp;"|"&amp;$D73,Assumptions!$H$16:$H$56,0)),0)</f>
        <v>0.9</v>
      </c>
      <c r="Q73" s="20" t="n">
        <f aca="false">$N73*$P73</f>
        <v>126695.5452</v>
      </c>
    </row>
    <row r="74" customFormat="false" ht="15" hidden="false" customHeight="false" outlineLevel="0" collapsed="false">
      <c r="A74" s="9" t="s">
        <v>225</v>
      </c>
      <c r="B74" s="9" t="s">
        <v>1289</v>
      </c>
      <c r="C74" s="9" t="s">
        <v>16</v>
      </c>
      <c r="D74" s="9" t="s">
        <v>216</v>
      </c>
      <c r="E74" s="9" t="s">
        <v>1281</v>
      </c>
      <c r="F74" s="9" t="s">
        <v>53</v>
      </c>
      <c r="G74" s="9" t="s">
        <v>53</v>
      </c>
      <c r="H74" s="9"/>
      <c r="I74" s="25" t="n">
        <v>1</v>
      </c>
      <c r="J74" s="9" t="s">
        <v>1284</v>
      </c>
      <c r="K74" s="9" t="s">
        <v>1160</v>
      </c>
      <c r="L74" s="12" t="n">
        <v>1</v>
      </c>
      <c r="M74" s="20" t="n">
        <v>155676</v>
      </c>
      <c r="N74" s="20" t="n">
        <v>155676</v>
      </c>
      <c r="O74" s="20" t="n">
        <v>0</v>
      </c>
      <c r="P74" s="12" t="n">
        <f aca="false">IF($E74="squad",INDEX(Assumptions!$D$16:$D$56,MATCH($C74&amp;"|"&amp;$D74,Assumptions!$H$16:$H$56,0)),0)</f>
        <v>0.9</v>
      </c>
      <c r="Q74" s="20" t="n">
        <f aca="false">$N74*$P74</f>
        <v>140108.4</v>
      </c>
    </row>
    <row r="75" customFormat="false" ht="15" hidden="false" customHeight="false" outlineLevel="0" collapsed="false">
      <c r="A75" s="9" t="s">
        <v>227</v>
      </c>
      <c r="B75" s="9" t="s">
        <v>1289</v>
      </c>
      <c r="C75" s="9" t="s">
        <v>16</v>
      </c>
      <c r="D75" s="9" t="s">
        <v>216</v>
      </c>
      <c r="E75" s="9" t="s">
        <v>1281</v>
      </c>
      <c r="F75" s="9" t="s">
        <v>53</v>
      </c>
      <c r="G75" s="9" t="s">
        <v>53</v>
      </c>
      <c r="H75" s="9"/>
      <c r="I75" s="25" t="n">
        <v>1</v>
      </c>
      <c r="J75" s="9" t="s">
        <v>1284</v>
      </c>
      <c r="K75" s="9" t="s">
        <v>1160</v>
      </c>
      <c r="L75" s="12" t="n">
        <v>1</v>
      </c>
      <c r="M75" s="20" t="n">
        <v>144642.9</v>
      </c>
      <c r="N75" s="20" t="n">
        <v>144642.9</v>
      </c>
      <c r="O75" s="20" t="n">
        <v>0</v>
      </c>
      <c r="P75" s="12" t="n">
        <f aca="false">IF($E75="squad",INDEX(Assumptions!$D$16:$D$56,MATCH($C75&amp;"|"&amp;$D75,Assumptions!$H$16:$H$56,0)),0)</f>
        <v>0.9</v>
      </c>
      <c r="Q75" s="20" t="n">
        <f aca="false">$N75*$P75</f>
        <v>130178.61</v>
      </c>
    </row>
    <row r="76" customFormat="false" ht="15" hidden="false" customHeight="false" outlineLevel="0" collapsed="false">
      <c r="A76" s="9" t="s">
        <v>229</v>
      </c>
      <c r="B76" s="9" t="s">
        <v>1289</v>
      </c>
      <c r="C76" s="9" t="s">
        <v>16</v>
      </c>
      <c r="D76" s="9" t="s">
        <v>216</v>
      </c>
      <c r="E76" s="9" t="s">
        <v>1281</v>
      </c>
      <c r="F76" s="9" t="s">
        <v>53</v>
      </c>
      <c r="G76" s="9" t="s">
        <v>53</v>
      </c>
      <c r="H76" s="9"/>
      <c r="I76" s="25" t="n">
        <v>1</v>
      </c>
      <c r="J76" s="9" t="s">
        <v>1284</v>
      </c>
      <c r="K76" s="9" t="s">
        <v>1160</v>
      </c>
      <c r="L76" s="12" t="n">
        <v>1</v>
      </c>
      <c r="M76" s="20" t="n">
        <v>91809.784</v>
      </c>
      <c r="N76" s="20" t="n">
        <v>91809.784</v>
      </c>
      <c r="O76" s="20" t="n">
        <v>0</v>
      </c>
      <c r="P76" s="12" t="n">
        <f aca="false">IF($E76="squad",INDEX(Assumptions!$D$16:$D$56,MATCH($C76&amp;"|"&amp;$D76,Assumptions!$H$16:$H$56,0)),0)</f>
        <v>0.9</v>
      </c>
      <c r="Q76" s="20" t="n">
        <f aca="false">$N76*$P76</f>
        <v>82628.8056</v>
      </c>
    </row>
    <row r="77" customFormat="false" ht="15" hidden="false" customHeight="false" outlineLevel="0" collapsed="false">
      <c r="A77" s="9" t="s">
        <v>231</v>
      </c>
      <c r="B77" s="9" t="s">
        <v>1289</v>
      </c>
      <c r="C77" s="9" t="s">
        <v>16</v>
      </c>
      <c r="D77" s="9" t="s">
        <v>216</v>
      </c>
      <c r="E77" s="9" t="s">
        <v>1281</v>
      </c>
      <c r="F77" s="9" t="s">
        <v>53</v>
      </c>
      <c r="G77" s="9" t="s">
        <v>53</v>
      </c>
      <c r="H77" s="9"/>
      <c r="I77" s="25" t="n">
        <v>1</v>
      </c>
      <c r="J77" s="9" t="s">
        <v>1284</v>
      </c>
      <c r="K77" s="9" t="s">
        <v>1160</v>
      </c>
      <c r="L77" s="12" t="n">
        <v>1</v>
      </c>
      <c r="M77" s="20" t="n">
        <v>212278.35</v>
      </c>
      <c r="N77" s="20" t="n">
        <v>212278.35</v>
      </c>
      <c r="O77" s="20" t="n">
        <v>0</v>
      </c>
      <c r="P77" s="12" t="n">
        <f aca="false">IF($E77="squad",INDEX(Assumptions!$D$16:$D$56,MATCH($C77&amp;"|"&amp;$D77,Assumptions!$H$16:$H$56,0)),0)</f>
        <v>0.9</v>
      </c>
      <c r="Q77" s="20" t="n">
        <f aca="false">$N77*$P77</f>
        <v>191050.515</v>
      </c>
    </row>
    <row r="78" customFormat="false" ht="15" hidden="false" customHeight="false" outlineLevel="0" collapsed="false">
      <c r="A78" s="9" t="s">
        <v>233</v>
      </c>
      <c r="B78" s="9" t="s">
        <v>1289</v>
      </c>
      <c r="C78" s="9" t="s">
        <v>16</v>
      </c>
      <c r="D78" s="9" t="s">
        <v>218</v>
      </c>
      <c r="E78" s="9" t="s">
        <v>1281</v>
      </c>
      <c r="F78" s="9" t="s">
        <v>53</v>
      </c>
      <c r="G78" s="9" t="s">
        <v>53</v>
      </c>
      <c r="H78" s="9"/>
      <c r="I78" s="25" t="n">
        <v>1</v>
      </c>
      <c r="J78" s="9" t="s">
        <v>1284</v>
      </c>
      <c r="K78" s="9" t="s">
        <v>19</v>
      </c>
      <c r="L78" s="12" t="n">
        <v>1</v>
      </c>
      <c r="M78" s="20" t="n">
        <v>186217.884</v>
      </c>
      <c r="N78" s="20" t="n">
        <v>186217.884</v>
      </c>
      <c r="O78" s="20" t="n">
        <v>0</v>
      </c>
      <c r="P78" s="12" t="n">
        <f aca="false">IF($E78="squad",INDEX(Assumptions!$D$16:$D$56,MATCH($C78&amp;"|"&amp;$D78,Assumptions!$H$16:$H$56,0)),0)</f>
        <v>0.8</v>
      </c>
      <c r="Q78" s="20" t="n">
        <f aca="false">$N78*$P78</f>
        <v>148974.3072</v>
      </c>
    </row>
    <row r="79" customFormat="false" ht="15" hidden="false" customHeight="false" outlineLevel="0" collapsed="false">
      <c r="A79" s="9" t="s">
        <v>235</v>
      </c>
      <c r="B79" s="9" t="s">
        <v>1289</v>
      </c>
      <c r="C79" s="9" t="s">
        <v>16</v>
      </c>
      <c r="D79" s="9" t="s">
        <v>218</v>
      </c>
      <c r="E79" s="9" t="s">
        <v>1281</v>
      </c>
      <c r="F79" s="9" t="s">
        <v>53</v>
      </c>
      <c r="G79" s="9" t="s">
        <v>53</v>
      </c>
      <c r="H79" s="9"/>
      <c r="I79" s="25" t="n">
        <v>1</v>
      </c>
      <c r="J79" s="9" t="s">
        <v>1284</v>
      </c>
      <c r="K79" s="9" t="s">
        <v>19</v>
      </c>
      <c r="L79" s="12" t="n">
        <v>1</v>
      </c>
      <c r="M79" s="20" t="n">
        <v>81073.2</v>
      </c>
      <c r="N79" s="20" t="n">
        <v>81073.2</v>
      </c>
      <c r="O79" s="20" t="n">
        <v>0</v>
      </c>
      <c r="P79" s="12" t="n">
        <f aca="false">IF($E79="squad",INDEX(Assumptions!$D$16:$D$56,MATCH($C79&amp;"|"&amp;$D79,Assumptions!$H$16:$H$56,0)),0)</f>
        <v>0.8</v>
      </c>
      <c r="Q79" s="20" t="n">
        <f aca="false">$N79*$P79</f>
        <v>64858.56</v>
      </c>
    </row>
    <row r="80" customFormat="false" ht="15" hidden="false" customHeight="false" outlineLevel="0" collapsed="false">
      <c r="A80" s="9" t="s">
        <v>237</v>
      </c>
      <c r="B80" s="9" t="s">
        <v>1289</v>
      </c>
      <c r="C80" s="9" t="s">
        <v>16</v>
      </c>
      <c r="D80" s="9" t="s">
        <v>218</v>
      </c>
      <c r="E80" s="9" t="s">
        <v>1281</v>
      </c>
      <c r="F80" s="9" t="s">
        <v>53</v>
      </c>
      <c r="G80" s="9" t="s">
        <v>53</v>
      </c>
      <c r="H80" s="9"/>
      <c r="I80" s="25" t="n">
        <v>1</v>
      </c>
      <c r="J80" s="9" t="s">
        <v>1284</v>
      </c>
      <c r="K80" s="9" t="s">
        <v>19</v>
      </c>
      <c r="L80" s="12" t="n">
        <v>1</v>
      </c>
      <c r="M80" s="20" t="n">
        <v>199898.928</v>
      </c>
      <c r="N80" s="20" t="n">
        <v>199898.928</v>
      </c>
      <c r="O80" s="20" t="n">
        <v>0</v>
      </c>
      <c r="P80" s="12" t="n">
        <f aca="false">IF($E80="squad",INDEX(Assumptions!$D$16:$D$56,MATCH($C80&amp;"|"&amp;$D80,Assumptions!$H$16:$H$56,0)),0)</f>
        <v>0.8</v>
      </c>
      <c r="Q80" s="20" t="n">
        <f aca="false">$N80*$P80</f>
        <v>159919.1424</v>
      </c>
    </row>
    <row r="81" customFormat="false" ht="15" hidden="false" customHeight="false" outlineLevel="0" collapsed="false">
      <c r="A81" s="9" t="s">
        <v>239</v>
      </c>
      <c r="B81" s="9" t="s">
        <v>1289</v>
      </c>
      <c r="C81" s="9" t="s">
        <v>16</v>
      </c>
      <c r="D81" s="9" t="s">
        <v>218</v>
      </c>
      <c r="E81" s="9" t="s">
        <v>1281</v>
      </c>
      <c r="F81" s="9" t="s">
        <v>53</v>
      </c>
      <c r="G81" s="9" t="s">
        <v>53</v>
      </c>
      <c r="H81" s="9"/>
      <c r="I81" s="25" t="n">
        <v>1</v>
      </c>
      <c r="J81" s="9" t="s">
        <v>1284</v>
      </c>
      <c r="K81" s="9" t="s">
        <v>19</v>
      </c>
      <c r="L81" s="12" t="n">
        <v>1</v>
      </c>
      <c r="M81" s="20" t="n">
        <v>256913.42</v>
      </c>
      <c r="N81" s="20" t="n">
        <v>256913.42</v>
      </c>
      <c r="O81" s="20" t="n">
        <v>0</v>
      </c>
      <c r="P81" s="12" t="n">
        <f aca="false">IF($E81="squad",INDEX(Assumptions!$D$16:$D$56,MATCH($C81&amp;"|"&amp;$D81,Assumptions!$H$16:$H$56,0)),0)</f>
        <v>0.8</v>
      </c>
      <c r="Q81" s="20" t="n">
        <f aca="false">$N81*$P81</f>
        <v>205530.736</v>
      </c>
    </row>
    <row r="82" customFormat="false" ht="15" hidden="false" customHeight="false" outlineLevel="0" collapsed="false">
      <c r="A82" s="9" t="s">
        <v>241</v>
      </c>
      <c r="B82" s="9" t="s">
        <v>1289</v>
      </c>
      <c r="C82" s="9" t="s">
        <v>16</v>
      </c>
      <c r="D82" s="9" t="s">
        <v>218</v>
      </c>
      <c r="E82" s="9" t="s">
        <v>1281</v>
      </c>
      <c r="F82" s="9" t="s">
        <v>53</v>
      </c>
      <c r="G82" s="9" t="s">
        <v>53</v>
      </c>
      <c r="H82" s="9"/>
      <c r="I82" s="25" t="n">
        <v>1</v>
      </c>
      <c r="J82" s="9" t="s">
        <v>1284</v>
      </c>
      <c r="K82" s="9" t="s">
        <v>19</v>
      </c>
      <c r="L82" s="12" t="n">
        <v>1</v>
      </c>
      <c r="M82" s="20" t="n">
        <v>136438.8</v>
      </c>
      <c r="N82" s="20" t="n">
        <v>136438.8</v>
      </c>
      <c r="O82" s="20" t="n">
        <v>0</v>
      </c>
      <c r="P82" s="12" t="n">
        <f aca="false">IF($E82="squad",INDEX(Assumptions!$D$16:$D$56,MATCH($C82&amp;"|"&amp;$D82,Assumptions!$H$16:$H$56,0)),0)</f>
        <v>0.8</v>
      </c>
      <c r="Q82" s="20" t="n">
        <f aca="false">$N82*$P82</f>
        <v>109151.04</v>
      </c>
    </row>
    <row r="83" customFormat="false" ht="15" hidden="false" customHeight="false" outlineLevel="0" collapsed="false">
      <c r="A83" s="9" t="s">
        <v>243</v>
      </c>
      <c r="B83" s="9" t="s">
        <v>1289</v>
      </c>
      <c r="C83" s="9" t="s">
        <v>16</v>
      </c>
      <c r="D83" s="9" t="s">
        <v>218</v>
      </c>
      <c r="E83" s="9" t="s">
        <v>1281</v>
      </c>
      <c r="F83" s="9" t="s">
        <v>53</v>
      </c>
      <c r="G83" s="9" t="s">
        <v>53</v>
      </c>
      <c r="H83" s="9"/>
      <c r="I83" s="25" t="n">
        <v>1</v>
      </c>
      <c r="J83" s="9" t="s">
        <v>1284</v>
      </c>
      <c r="K83" s="9" t="s">
        <v>19</v>
      </c>
      <c r="L83" s="12" t="n">
        <v>1</v>
      </c>
      <c r="M83" s="20" t="n">
        <v>175039.65</v>
      </c>
      <c r="N83" s="20" t="n">
        <v>175039.65</v>
      </c>
      <c r="O83" s="20" t="n">
        <v>0</v>
      </c>
      <c r="P83" s="12" t="n">
        <f aca="false">IF($E83="squad",INDEX(Assumptions!$D$16:$D$56,MATCH($C83&amp;"|"&amp;$D83,Assumptions!$H$16:$H$56,0)),0)</f>
        <v>0.8</v>
      </c>
      <c r="Q83" s="20" t="n">
        <f aca="false">$N83*$P83</f>
        <v>140031.72</v>
      </c>
    </row>
    <row r="84" customFormat="false" ht="15" hidden="false" customHeight="false" outlineLevel="0" collapsed="false">
      <c r="A84" s="9" t="s">
        <v>246</v>
      </c>
      <c r="B84" s="9" t="s">
        <v>1289</v>
      </c>
      <c r="C84" s="9" t="s">
        <v>16</v>
      </c>
      <c r="D84" s="9" t="s">
        <v>218</v>
      </c>
      <c r="E84" s="9" t="s">
        <v>1281</v>
      </c>
      <c r="F84" s="9" t="s">
        <v>53</v>
      </c>
      <c r="G84" s="9" t="s">
        <v>53</v>
      </c>
      <c r="H84" s="9"/>
      <c r="I84" s="25" t="n">
        <v>1</v>
      </c>
      <c r="J84" s="9" t="s">
        <v>1284</v>
      </c>
      <c r="K84" s="9" t="s">
        <v>19</v>
      </c>
      <c r="L84" s="12" t="n">
        <v>1</v>
      </c>
      <c r="M84" s="20" t="n">
        <v>134979.036</v>
      </c>
      <c r="N84" s="20" t="n">
        <v>134979.036</v>
      </c>
      <c r="O84" s="20" t="n">
        <v>0</v>
      </c>
      <c r="P84" s="12" t="n">
        <f aca="false">IF($E84="squad",INDEX(Assumptions!$D$16:$D$56,MATCH($C84&amp;"|"&amp;$D84,Assumptions!$H$16:$H$56,0)),0)</f>
        <v>0.8</v>
      </c>
      <c r="Q84" s="20" t="n">
        <f aca="false">$N84*$P84</f>
        <v>107983.2288</v>
      </c>
    </row>
    <row r="85" customFormat="false" ht="15" hidden="false" customHeight="false" outlineLevel="0" collapsed="false">
      <c r="A85" s="9" t="s">
        <v>249</v>
      </c>
      <c r="B85" s="9" t="s">
        <v>1289</v>
      </c>
      <c r="C85" s="9" t="s">
        <v>16</v>
      </c>
      <c r="D85" s="9" t="s">
        <v>218</v>
      </c>
      <c r="E85" s="9" t="s">
        <v>1281</v>
      </c>
      <c r="F85" s="9" t="s">
        <v>53</v>
      </c>
      <c r="G85" s="9" t="s">
        <v>53</v>
      </c>
      <c r="H85" s="9"/>
      <c r="I85" s="25" t="n">
        <v>1</v>
      </c>
      <c r="J85" s="9" t="s">
        <v>1284</v>
      </c>
      <c r="K85" s="9" t="s">
        <v>19</v>
      </c>
      <c r="L85" s="12" t="n">
        <v>1</v>
      </c>
      <c r="M85" s="20" t="n">
        <v>107247.016</v>
      </c>
      <c r="N85" s="20" t="n">
        <v>107247.016</v>
      </c>
      <c r="O85" s="20" t="n">
        <v>0</v>
      </c>
      <c r="P85" s="12" t="n">
        <f aca="false">IF($E85="squad",INDEX(Assumptions!$D$16:$D$56,MATCH($C85&amp;"|"&amp;$D85,Assumptions!$H$16:$H$56,0)),0)</f>
        <v>0.8</v>
      </c>
      <c r="Q85" s="20" t="n">
        <f aca="false">$N85*$P85</f>
        <v>85797.6128</v>
      </c>
    </row>
    <row r="86" customFormat="false" ht="15" hidden="false" customHeight="false" outlineLevel="0" collapsed="false">
      <c r="A86" s="9" t="s">
        <v>252</v>
      </c>
      <c r="B86" s="9" t="s">
        <v>1289</v>
      </c>
      <c r="C86" s="9" t="s">
        <v>16</v>
      </c>
      <c r="D86" s="9" t="s">
        <v>218</v>
      </c>
      <c r="E86" s="9" t="s">
        <v>1281</v>
      </c>
      <c r="F86" s="9" t="s">
        <v>53</v>
      </c>
      <c r="G86" s="9" t="s">
        <v>53</v>
      </c>
      <c r="H86" s="9"/>
      <c r="I86" s="25" t="n">
        <v>1</v>
      </c>
      <c r="J86" s="9" t="s">
        <v>1284</v>
      </c>
      <c r="K86" s="9" t="s">
        <v>19</v>
      </c>
      <c r="L86" s="12" t="n">
        <v>1</v>
      </c>
      <c r="M86" s="20" t="n">
        <v>96857.824</v>
      </c>
      <c r="N86" s="20" t="n">
        <v>96857.824</v>
      </c>
      <c r="O86" s="20" t="n">
        <v>0</v>
      </c>
      <c r="P86" s="12" t="n">
        <f aca="false">IF($E86="squad",INDEX(Assumptions!$D$16:$D$56,MATCH($C86&amp;"|"&amp;$D86,Assumptions!$H$16:$H$56,0)),0)</f>
        <v>0.8</v>
      </c>
      <c r="Q86" s="20" t="n">
        <f aca="false">$N86*$P86</f>
        <v>77486.2592</v>
      </c>
    </row>
    <row r="87" customFormat="false" ht="15" hidden="false" customHeight="false" outlineLevel="0" collapsed="false">
      <c r="A87" s="9" t="s">
        <v>254</v>
      </c>
      <c r="B87" s="9" t="s">
        <v>1289</v>
      </c>
      <c r="C87" s="9" t="s">
        <v>16</v>
      </c>
      <c r="D87" s="9" t="s">
        <v>224</v>
      </c>
      <c r="E87" s="9" t="s">
        <v>1281</v>
      </c>
      <c r="F87" s="9" t="s">
        <v>53</v>
      </c>
      <c r="G87" s="9" t="s">
        <v>53</v>
      </c>
      <c r="H87" s="9"/>
      <c r="I87" s="25" t="n">
        <v>1</v>
      </c>
      <c r="J87" s="9" t="s">
        <v>1284</v>
      </c>
      <c r="K87" s="9" t="s">
        <v>19</v>
      </c>
      <c r="L87" s="12" t="n">
        <v>1</v>
      </c>
      <c r="M87" s="20" t="n">
        <v>206598</v>
      </c>
      <c r="N87" s="20" t="n">
        <v>206598</v>
      </c>
      <c r="O87" s="20" t="n">
        <v>0</v>
      </c>
      <c r="P87" s="12" t="n">
        <f aca="false">IF($E87="squad",INDEX(Assumptions!$D$16:$D$56,MATCH($C87&amp;"|"&amp;$D87,Assumptions!$H$16:$H$56,0)),0)</f>
        <v>0.8</v>
      </c>
      <c r="Q87" s="20" t="n">
        <f aca="false">$N87*$P87</f>
        <v>165278.4</v>
      </c>
    </row>
    <row r="88" customFormat="false" ht="15" hidden="false" customHeight="false" outlineLevel="0" collapsed="false">
      <c r="A88" s="9" t="s">
        <v>256</v>
      </c>
      <c r="B88" s="9" t="s">
        <v>1289</v>
      </c>
      <c r="C88" s="9" t="s">
        <v>16</v>
      </c>
      <c r="D88" s="9" t="s">
        <v>224</v>
      </c>
      <c r="E88" s="9" t="s">
        <v>1281</v>
      </c>
      <c r="F88" s="9" t="s">
        <v>53</v>
      </c>
      <c r="G88" s="9" t="s">
        <v>53</v>
      </c>
      <c r="H88" s="9"/>
      <c r="I88" s="25" t="n">
        <v>1</v>
      </c>
      <c r="J88" s="9" t="s">
        <v>1284</v>
      </c>
      <c r="K88" s="9" t="s">
        <v>19</v>
      </c>
      <c r="L88" s="12" t="n">
        <v>1</v>
      </c>
      <c r="M88" s="20" t="n">
        <v>175289.5</v>
      </c>
      <c r="N88" s="20" t="n">
        <v>175289.5</v>
      </c>
      <c r="O88" s="20" t="n">
        <v>0</v>
      </c>
      <c r="P88" s="12" t="n">
        <f aca="false">IF($E88="squad",INDEX(Assumptions!$D$16:$D$56,MATCH($C88&amp;"|"&amp;$D88,Assumptions!$H$16:$H$56,0)),0)</f>
        <v>0.8</v>
      </c>
      <c r="Q88" s="20" t="n">
        <f aca="false">$N88*$P88</f>
        <v>140231.6</v>
      </c>
    </row>
    <row r="89" customFormat="false" ht="15" hidden="false" customHeight="false" outlineLevel="0" collapsed="false">
      <c r="A89" s="9" t="s">
        <v>259</v>
      </c>
      <c r="B89" s="9" t="s">
        <v>1289</v>
      </c>
      <c r="C89" s="9" t="s">
        <v>16</v>
      </c>
      <c r="D89" s="9" t="s">
        <v>224</v>
      </c>
      <c r="E89" s="9" t="s">
        <v>1281</v>
      </c>
      <c r="F89" s="9" t="s">
        <v>69</v>
      </c>
      <c r="G89" s="9" t="s">
        <v>78</v>
      </c>
      <c r="H89" s="9"/>
      <c r="I89" s="25" t="n">
        <v>1</v>
      </c>
      <c r="J89" s="9" t="s">
        <v>1282</v>
      </c>
      <c r="K89" s="9" t="s">
        <v>19</v>
      </c>
      <c r="L89" s="12" t="n">
        <v>1</v>
      </c>
      <c r="M89" s="20" t="n">
        <v>170489.75</v>
      </c>
      <c r="N89" s="20" t="n">
        <v>0</v>
      </c>
      <c r="O89" s="20" t="n">
        <v>0</v>
      </c>
      <c r="P89" s="12" t="n">
        <f aca="false">IF($E89="squad",INDEX(Assumptions!$D$16:$D$56,MATCH($C89&amp;"|"&amp;$D89,Assumptions!$H$16:$H$56,0)),0)</f>
        <v>0.8</v>
      </c>
      <c r="Q89" s="20" t="n">
        <f aca="false">$N89*$P89</f>
        <v>0</v>
      </c>
    </row>
    <row r="90" customFormat="false" ht="15" hidden="false" customHeight="false" outlineLevel="0" collapsed="false">
      <c r="A90" s="9" t="s">
        <v>260</v>
      </c>
      <c r="B90" s="9" t="s">
        <v>1289</v>
      </c>
      <c r="C90" s="9" t="s">
        <v>16</v>
      </c>
      <c r="D90" s="9" t="s">
        <v>224</v>
      </c>
      <c r="E90" s="9" t="s">
        <v>1281</v>
      </c>
      <c r="F90" s="9" t="s">
        <v>53</v>
      </c>
      <c r="G90" s="9" t="s">
        <v>53</v>
      </c>
      <c r="H90" s="9"/>
      <c r="I90" s="25" t="n">
        <v>1</v>
      </c>
      <c r="J90" s="9" t="s">
        <v>1284</v>
      </c>
      <c r="K90" s="9" t="s">
        <v>19</v>
      </c>
      <c r="L90" s="12" t="n">
        <v>1</v>
      </c>
      <c r="M90" s="20" t="n">
        <v>180225</v>
      </c>
      <c r="N90" s="20" t="n">
        <v>180225</v>
      </c>
      <c r="O90" s="20" t="n">
        <v>0</v>
      </c>
      <c r="P90" s="12" t="n">
        <f aca="false">IF($E90="squad",INDEX(Assumptions!$D$16:$D$56,MATCH($C90&amp;"|"&amp;$D90,Assumptions!$H$16:$H$56,0)),0)</f>
        <v>0.8</v>
      </c>
      <c r="Q90" s="20" t="n">
        <f aca="false">$N90*$P90</f>
        <v>144180</v>
      </c>
    </row>
    <row r="91" customFormat="false" ht="15" hidden="false" customHeight="false" outlineLevel="0" collapsed="false">
      <c r="A91" s="9" t="s">
        <v>262</v>
      </c>
      <c r="B91" s="9" t="s">
        <v>1289</v>
      </c>
      <c r="C91" s="9" t="s">
        <v>16</v>
      </c>
      <c r="D91" s="9" t="s">
        <v>224</v>
      </c>
      <c r="E91" s="9" t="s">
        <v>1281</v>
      </c>
      <c r="F91" s="9" t="s">
        <v>69</v>
      </c>
      <c r="G91" s="9" t="s">
        <v>82</v>
      </c>
      <c r="H91" s="9"/>
      <c r="I91" s="25" t="n">
        <v>1</v>
      </c>
      <c r="J91" s="9" t="s">
        <v>1282</v>
      </c>
      <c r="K91" s="9" t="s">
        <v>19</v>
      </c>
      <c r="L91" s="12" t="n">
        <v>1</v>
      </c>
      <c r="M91" s="20" t="n">
        <v>231689.25</v>
      </c>
      <c r="N91" s="20" t="n">
        <v>231689.25</v>
      </c>
      <c r="O91" s="20" t="n">
        <v>0</v>
      </c>
      <c r="P91" s="12" t="n">
        <f aca="false">IF($E91="squad",INDEX(Assumptions!$D$16:$D$56,MATCH($C91&amp;"|"&amp;$D91,Assumptions!$H$16:$H$56,0)),0)</f>
        <v>0.8</v>
      </c>
      <c r="Q91" s="20" t="n">
        <f aca="false">$N91*$P91</f>
        <v>185351.4</v>
      </c>
    </row>
    <row r="92" customFormat="false" ht="15" hidden="false" customHeight="false" outlineLevel="0" collapsed="false">
      <c r="A92" s="9" t="s">
        <v>264</v>
      </c>
      <c r="B92" s="9" t="s">
        <v>1289</v>
      </c>
      <c r="C92" s="9" t="s">
        <v>16</v>
      </c>
      <c r="D92" s="9" t="s">
        <v>224</v>
      </c>
      <c r="E92" s="9" t="s">
        <v>1281</v>
      </c>
      <c r="F92" s="9" t="s">
        <v>53</v>
      </c>
      <c r="G92" s="9" t="s">
        <v>53</v>
      </c>
      <c r="H92" s="9"/>
      <c r="I92" s="25" t="n">
        <v>1</v>
      </c>
      <c r="J92" s="9" t="s">
        <v>1284</v>
      </c>
      <c r="K92" s="9" t="s">
        <v>19</v>
      </c>
      <c r="L92" s="12" t="n">
        <v>1</v>
      </c>
      <c r="M92" s="20" t="n">
        <v>142900.236</v>
      </c>
      <c r="N92" s="20" t="n">
        <v>142900.236</v>
      </c>
      <c r="O92" s="20" t="n">
        <v>0</v>
      </c>
      <c r="P92" s="12" t="n">
        <f aca="false">IF($E92="squad",INDEX(Assumptions!$D$16:$D$56,MATCH($C92&amp;"|"&amp;$D92,Assumptions!$H$16:$H$56,0)),0)</f>
        <v>0.8</v>
      </c>
      <c r="Q92" s="20" t="n">
        <f aca="false">$N92*$P92</f>
        <v>114320.1888</v>
      </c>
    </row>
    <row r="93" customFormat="false" ht="15" hidden="false" customHeight="false" outlineLevel="0" collapsed="false">
      <c r="A93" s="9" t="s">
        <v>267</v>
      </c>
      <c r="B93" s="9" t="s">
        <v>1289</v>
      </c>
      <c r="C93" s="9" t="s">
        <v>16</v>
      </c>
      <c r="D93" s="9" t="s">
        <v>224</v>
      </c>
      <c r="E93" s="9" t="s">
        <v>1281</v>
      </c>
      <c r="F93" s="9" t="s">
        <v>53</v>
      </c>
      <c r="G93" s="9" t="s">
        <v>53</v>
      </c>
      <c r="H93" s="9"/>
      <c r="I93" s="25" t="n">
        <v>1</v>
      </c>
      <c r="J93" s="9" t="s">
        <v>1284</v>
      </c>
      <c r="K93" s="9" t="s">
        <v>19</v>
      </c>
      <c r="L93" s="12" t="n">
        <v>1</v>
      </c>
      <c r="M93" s="20" t="n">
        <v>199378.392</v>
      </c>
      <c r="N93" s="20" t="n">
        <v>199378.392</v>
      </c>
      <c r="O93" s="20" t="n">
        <v>0</v>
      </c>
      <c r="P93" s="12" t="n">
        <f aca="false">IF($E93="squad",INDEX(Assumptions!$D$16:$D$56,MATCH($C93&amp;"|"&amp;$D93,Assumptions!$H$16:$H$56,0)),0)</f>
        <v>0.8</v>
      </c>
      <c r="Q93" s="20" t="n">
        <f aca="false">$N93*$P93</f>
        <v>159502.7136</v>
      </c>
    </row>
    <row r="94" customFormat="false" ht="15" hidden="false" customHeight="false" outlineLevel="0" collapsed="false">
      <c r="A94" s="9" t="s">
        <v>270</v>
      </c>
      <c r="B94" s="9" t="s">
        <v>1289</v>
      </c>
      <c r="C94" s="9" t="s">
        <v>16</v>
      </c>
      <c r="D94" s="9" t="s">
        <v>224</v>
      </c>
      <c r="E94" s="9" t="s">
        <v>1281</v>
      </c>
      <c r="F94" s="9" t="s">
        <v>53</v>
      </c>
      <c r="G94" s="9" t="s">
        <v>53</v>
      </c>
      <c r="H94" s="9"/>
      <c r="I94" s="25" t="n">
        <v>1</v>
      </c>
      <c r="J94" s="9" t="s">
        <v>1284</v>
      </c>
      <c r="K94" s="9" t="s">
        <v>19</v>
      </c>
      <c r="L94" s="12" t="n">
        <v>1</v>
      </c>
      <c r="M94" s="20" t="n">
        <v>112447.04</v>
      </c>
      <c r="N94" s="20" t="n">
        <v>112447.04</v>
      </c>
      <c r="O94" s="20" t="n">
        <v>0</v>
      </c>
      <c r="P94" s="12" t="n">
        <f aca="false">IF($E94="squad",INDEX(Assumptions!$D$16:$D$56,MATCH($C94&amp;"|"&amp;$D94,Assumptions!$H$16:$H$56,0)),0)</f>
        <v>0.8</v>
      </c>
      <c r="Q94" s="20" t="n">
        <f aca="false">$N94*$P94</f>
        <v>89957.632</v>
      </c>
    </row>
    <row r="95" customFormat="false" ht="15" hidden="false" customHeight="false" outlineLevel="0" collapsed="false">
      <c r="A95" s="9" t="s">
        <v>272</v>
      </c>
      <c r="B95" s="9" t="s">
        <v>1289</v>
      </c>
      <c r="C95" s="9" t="s">
        <v>16</v>
      </c>
      <c r="D95" s="9" t="s">
        <v>224</v>
      </c>
      <c r="E95" s="9" t="s">
        <v>1281</v>
      </c>
      <c r="F95" s="9" t="s">
        <v>53</v>
      </c>
      <c r="G95" s="9" t="s">
        <v>53</v>
      </c>
      <c r="H95" s="9"/>
      <c r="I95" s="25" t="n">
        <v>1</v>
      </c>
      <c r="J95" s="9" t="s">
        <v>1284</v>
      </c>
      <c r="K95" s="9" t="s">
        <v>19</v>
      </c>
      <c r="L95" s="12" t="n">
        <v>1</v>
      </c>
      <c r="M95" s="20" t="n">
        <v>438650</v>
      </c>
      <c r="N95" s="20" t="n">
        <v>438650</v>
      </c>
      <c r="O95" s="20" t="n">
        <v>0</v>
      </c>
      <c r="P95" s="12" t="n">
        <f aca="false">IF($E95="squad",INDEX(Assumptions!$D$16:$D$56,MATCH($C95&amp;"|"&amp;$D95,Assumptions!$H$16:$H$56,0)),0)</f>
        <v>0.8</v>
      </c>
      <c r="Q95" s="20" t="n">
        <f aca="false">$N95*$P95</f>
        <v>350920</v>
      </c>
    </row>
    <row r="96" customFormat="false" ht="15" hidden="false" customHeight="false" outlineLevel="0" collapsed="false">
      <c r="A96" s="9" t="s">
        <v>275</v>
      </c>
      <c r="B96" s="9" t="s">
        <v>1289</v>
      </c>
      <c r="C96" s="9" t="s">
        <v>16</v>
      </c>
      <c r="D96" s="9" t="s">
        <v>220</v>
      </c>
      <c r="E96" s="9" t="s">
        <v>1281</v>
      </c>
      <c r="F96" s="9" t="s">
        <v>53</v>
      </c>
      <c r="G96" s="9" t="s">
        <v>53</v>
      </c>
      <c r="H96" s="9"/>
      <c r="I96" s="25" t="n">
        <v>1</v>
      </c>
      <c r="J96" s="9" t="s">
        <v>1284</v>
      </c>
      <c r="K96" s="9" t="s">
        <v>220</v>
      </c>
      <c r="L96" s="12" t="n">
        <v>1</v>
      </c>
      <c r="M96" s="20" t="n">
        <v>184248.9</v>
      </c>
      <c r="N96" s="20" t="n">
        <v>184248.9</v>
      </c>
      <c r="O96" s="20" t="n">
        <v>0</v>
      </c>
      <c r="P96" s="12" t="n">
        <f aca="false">IF($E96="squad",INDEX(Assumptions!$D$16:$D$56,MATCH($C96&amp;"|"&amp;$D96,Assumptions!$H$16:$H$56,0)),0)</f>
        <v>0.8</v>
      </c>
      <c r="Q96" s="20" t="n">
        <f aca="false">$N96*$P96</f>
        <v>147399.12</v>
      </c>
    </row>
    <row r="97" customFormat="false" ht="15" hidden="false" customHeight="false" outlineLevel="0" collapsed="false">
      <c r="A97" s="9" t="s">
        <v>278</v>
      </c>
      <c r="B97" s="9" t="s">
        <v>1289</v>
      </c>
      <c r="C97" s="9" t="s">
        <v>16</v>
      </c>
      <c r="D97" s="9" t="s">
        <v>220</v>
      </c>
      <c r="E97" s="9" t="s">
        <v>1281</v>
      </c>
      <c r="F97" s="9" t="s">
        <v>53</v>
      </c>
      <c r="G97" s="9" t="s">
        <v>53</v>
      </c>
      <c r="H97" s="9"/>
      <c r="I97" s="25" t="n">
        <v>1</v>
      </c>
      <c r="J97" s="9" t="s">
        <v>1284</v>
      </c>
      <c r="K97" s="9" t="s">
        <v>220</v>
      </c>
      <c r="L97" s="12" t="n">
        <v>1</v>
      </c>
      <c r="M97" s="20" t="n">
        <v>239418.9</v>
      </c>
      <c r="N97" s="20" t="n">
        <v>239418.9</v>
      </c>
      <c r="O97" s="20" t="n">
        <v>0</v>
      </c>
      <c r="P97" s="12" t="n">
        <f aca="false">IF($E97="squad",INDEX(Assumptions!$D$16:$D$56,MATCH($C97&amp;"|"&amp;$D97,Assumptions!$H$16:$H$56,0)),0)</f>
        <v>0.8</v>
      </c>
      <c r="Q97" s="20" t="n">
        <f aca="false">$N97*$P97</f>
        <v>191535.12</v>
      </c>
    </row>
    <row r="98" customFormat="false" ht="15" hidden="false" customHeight="false" outlineLevel="0" collapsed="false">
      <c r="A98" s="9" t="s">
        <v>280</v>
      </c>
      <c r="B98" s="9" t="s">
        <v>1289</v>
      </c>
      <c r="C98" s="9" t="s">
        <v>16</v>
      </c>
      <c r="D98" s="9" t="s">
        <v>220</v>
      </c>
      <c r="E98" s="9" t="s">
        <v>1281</v>
      </c>
      <c r="F98" s="9" t="s">
        <v>53</v>
      </c>
      <c r="G98" s="9" t="s">
        <v>53</v>
      </c>
      <c r="H98" s="9"/>
      <c r="I98" s="25" t="n">
        <v>1</v>
      </c>
      <c r="J98" s="9" t="s">
        <v>1284</v>
      </c>
      <c r="K98" s="9" t="s">
        <v>220</v>
      </c>
      <c r="L98" s="12" t="n">
        <v>1</v>
      </c>
      <c r="M98" s="20" t="n">
        <v>224493.6</v>
      </c>
      <c r="N98" s="20" t="n">
        <v>224493.6</v>
      </c>
      <c r="O98" s="20" t="n">
        <v>0</v>
      </c>
      <c r="P98" s="12" t="n">
        <f aca="false">IF($E98="squad",INDEX(Assumptions!$D$16:$D$56,MATCH($C98&amp;"|"&amp;$D98,Assumptions!$H$16:$H$56,0)),0)</f>
        <v>0.8</v>
      </c>
      <c r="Q98" s="20" t="n">
        <f aca="false">$N98*$P98</f>
        <v>179594.88</v>
      </c>
    </row>
    <row r="99" customFormat="false" ht="15" hidden="false" customHeight="false" outlineLevel="0" collapsed="false">
      <c r="A99" s="9" t="s">
        <v>283</v>
      </c>
      <c r="B99" s="9" t="s">
        <v>1289</v>
      </c>
      <c r="C99" s="9" t="s">
        <v>16</v>
      </c>
      <c r="D99" s="9" t="s">
        <v>220</v>
      </c>
      <c r="E99" s="9" t="s">
        <v>1281</v>
      </c>
      <c r="F99" s="9" t="s">
        <v>53</v>
      </c>
      <c r="G99" s="9" t="s">
        <v>53</v>
      </c>
      <c r="H99" s="9"/>
      <c r="I99" s="25" t="n">
        <v>1</v>
      </c>
      <c r="J99" s="9" t="s">
        <v>1284</v>
      </c>
      <c r="K99" s="9" t="s">
        <v>220</v>
      </c>
      <c r="L99" s="12" t="n">
        <v>1</v>
      </c>
      <c r="M99" s="20" t="n">
        <v>104565.584</v>
      </c>
      <c r="N99" s="20" t="n">
        <v>104565.584</v>
      </c>
      <c r="O99" s="20" t="n">
        <v>0</v>
      </c>
      <c r="P99" s="12" t="n">
        <f aca="false">IF($E99="squad",INDEX(Assumptions!$D$16:$D$56,MATCH($C99&amp;"|"&amp;$D99,Assumptions!$H$16:$H$56,0)),0)</f>
        <v>0.8</v>
      </c>
      <c r="Q99" s="20" t="n">
        <f aca="false">$N99*$P99</f>
        <v>83652.4672</v>
      </c>
    </row>
    <row r="100" customFormat="false" ht="15" hidden="false" customHeight="false" outlineLevel="0" collapsed="false">
      <c r="A100" s="9" t="s">
        <v>285</v>
      </c>
      <c r="B100" s="9" t="s">
        <v>1289</v>
      </c>
      <c r="C100" s="9" t="s">
        <v>16</v>
      </c>
      <c r="D100" s="9" t="s">
        <v>220</v>
      </c>
      <c r="E100" s="9" t="s">
        <v>1281</v>
      </c>
      <c r="F100" s="9" t="s">
        <v>69</v>
      </c>
      <c r="G100" s="9" t="s">
        <v>82</v>
      </c>
      <c r="H100" s="9"/>
      <c r="I100" s="25" t="n">
        <v>1</v>
      </c>
      <c r="J100" s="9" t="s">
        <v>1282</v>
      </c>
      <c r="K100" s="9" t="s">
        <v>220</v>
      </c>
      <c r="L100" s="12" t="n">
        <v>1</v>
      </c>
      <c r="M100" s="20" t="n">
        <v>275810.25</v>
      </c>
      <c r="N100" s="20" t="n">
        <v>275810.25</v>
      </c>
      <c r="O100" s="20" t="n">
        <v>0</v>
      </c>
      <c r="P100" s="12" t="n">
        <f aca="false">IF($E100="squad",INDEX(Assumptions!$D$16:$D$56,MATCH($C100&amp;"|"&amp;$D100,Assumptions!$H$16:$H$56,0)),0)</f>
        <v>0.8</v>
      </c>
      <c r="Q100" s="20" t="n">
        <f aca="false">$N100*$P100</f>
        <v>220648.2</v>
      </c>
    </row>
    <row r="101" customFormat="false" ht="15" hidden="false" customHeight="false" outlineLevel="0" collapsed="false">
      <c r="A101" s="9" t="s">
        <v>286</v>
      </c>
      <c r="B101" s="9" t="s">
        <v>1289</v>
      </c>
      <c r="C101" s="9" t="s">
        <v>16</v>
      </c>
      <c r="D101" s="9" t="s">
        <v>220</v>
      </c>
      <c r="E101" s="9" t="s">
        <v>1281</v>
      </c>
      <c r="F101" s="9" t="s">
        <v>53</v>
      </c>
      <c r="G101" s="9" t="s">
        <v>53</v>
      </c>
      <c r="H101" s="9"/>
      <c r="I101" s="25" t="n">
        <v>1</v>
      </c>
      <c r="J101" s="9" t="s">
        <v>1284</v>
      </c>
      <c r="K101" s="9" t="s">
        <v>220</v>
      </c>
      <c r="L101" s="12" t="n">
        <v>1</v>
      </c>
      <c r="M101" s="20" t="n">
        <v>153774.912</v>
      </c>
      <c r="N101" s="20" t="n">
        <v>153774.912</v>
      </c>
      <c r="O101" s="20" t="n">
        <v>0</v>
      </c>
      <c r="P101" s="12" t="n">
        <f aca="false">IF($E101="squad",INDEX(Assumptions!$D$16:$D$56,MATCH($C101&amp;"|"&amp;$D101,Assumptions!$H$16:$H$56,0)),0)</f>
        <v>0.8</v>
      </c>
      <c r="Q101" s="20" t="n">
        <f aca="false">$N101*$P101</f>
        <v>123019.9296</v>
      </c>
    </row>
    <row r="102" customFormat="false" ht="15" hidden="false" customHeight="false" outlineLevel="0" collapsed="false">
      <c r="A102" s="9" t="s">
        <v>288</v>
      </c>
      <c r="B102" s="9" t="s">
        <v>1289</v>
      </c>
      <c r="C102" s="9" t="s">
        <v>16</v>
      </c>
      <c r="D102" s="9" t="s">
        <v>220</v>
      </c>
      <c r="E102" s="9" t="s">
        <v>1281</v>
      </c>
      <c r="F102" s="9" t="s">
        <v>53</v>
      </c>
      <c r="G102" s="9" t="s">
        <v>53</v>
      </c>
      <c r="H102" s="9"/>
      <c r="I102" s="25" t="n">
        <v>1</v>
      </c>
      <c r="J102" s="9" t="s">
        <v>1284</v>
      </c>
      <c r="K102" s="9" t="s">
        <v>220</v>
      </c>
      <c r="L102" s="12" t="n">
        <v>1</v>
      </c>
      <c r="M102" s="20" t="n">
        <v>174513.65</v>
      </c>
      <c r="N102" s="20" t="n">
        <v>174513.65</v>
      </c>
      <c r="O102" s="20" t="n">
        <v>0</v>
      </c>
      <c r="P102" s="12" t="n">
        <f aca="false">IF($E102="squad",INDEX(Assumptions!$D$16:$D$56,MATCH($C102&amp;"|"&amp;$D102,Assumptions!$H$16:$H$56,0)),0)</f>
        <v>0.8</v>
      </c>
      <c r="Q102" s="20" t="n">
        <f aca="false">$N102*$P102</f>
        <v>139610.92</v>
      </c>
    </row>
    <row r="103" customFormat="false" ht="15" hidden="false" customHeight="false" outlineLevel="0" collapsed="false">
      <c r="A103" s="9" t="s">
        <v>291</v>
      </c>
      <c r="B103" s="9" t="s">
        <v>1289</v>
      </c>
      <c r="C103" s="9" t="s">
        <v>16</v>
      </c>
      <c r="D103" s="9" t="s">
        <v>220</v>
      </c>
      <c r="E103" s="9" t="s">
        <v>1281</v>
      </c>
      <c r="F103" s="9" t="s">
        <v>53</v>
      </c>
      <c r="G103" s="9" t="s">
        <v>53</v>
      </c>
      <c r="H103" s="9"/>
      <c r="I103" s="25" t="n">
        <v>1</v>
      </c>
      <c r="J103" s="9" t="s">
        <v>1284</v>
      </c>
      <c r="K103" s="9" t="s">
        <v>220</v>
      </c>
      <c r="L103" s="12" t="n">
        <v>1</v>
      </c>
      <c r="M103" s="20" t="n">
        <v>190050.6</v>
      </c>
      <c r="N103" s="20" t="n">
        <v>190050.6</v>
      </c>
      <c r="O103" s="20" t="n">
        <v>0</v>
      </c>
      <c r="P103" s="12" t="n">
        <f aca="false">IF($E103="squad",INDEX(Assumptions!$D$16:$D$56,MATCH($C103&amp;"|"&amp;$D103,Assumptions!$H$16:$H$56,0)),0)</f>
        <v>0.8</v>
      </c>
      <c r="Q103" s="20" t="n">
        <f aca="false">$N103*$P103</f>
        <v>152040.48</v>
      </c>
    </row>
    <row r="104" customFormat="false" ht="15" hidden="false" customHeight="false" outlineLevel="0" collapsed="false">
      <c r="A104" s="9" t="s">
        <v>293</v>
      </c>
      <c r="B104" s="9" t="s">
        <v>1289</v>
      </c>
      <c r="C104" s="9" t="s">
        <v>16</v>
      </c>
      <c r="D104" s="9" t="s">
        <v>220</v>
      </c>
      <c r="E104" s="9" t="s">
        <v>1281</v>
      </c>
      <c r="F104" s="9" t="s">
        <v>53</v>
      </c>
      <c r="G104" s="9" t="s">
        <v>53</v>
      </c>
      <c r="H104" s="9"/>
      <c r="I104" s="25" t="n">
        <v>1</v>
      </c>
      <c r="J104" s="9" t="s">
        <v>1284</v>
      </c>
      <c r="K104" s="9" t="s">
        <v>220</v>
      </c>
      <c r="L104" s="12" t="n">
        <v>1</v>
      </c>
      <c r="M104" s="20" t="n">
        <v>116898</v>
      </c>
      <c r="N104" s="20" t="n">
        <v>116898</v>
      </c>
      <c r="O104" s="20" t="n">
        <v>0</v>
      </c>
      <c r="P104" s="12" t="n">
        <f aca="false">IF($E104="squad",INDEX(Assumptions!$D$16:$D$56,MATCH($C104&amp;"|"&amp;$D104,Assumptions!$H$16:$H$56,0)),0)</f>
        <v>0.8</v>
      </c>
      <c r="Q104" s="20" t="n">
        <f aca="false">$N104*$P104</f>
        <v>93518.4</v>
      </c>
    </row>
    <row r="105" customFormat="false" ht="15" hidden="false" customHeight="false" outlineLevel="0" collapsed="false">
      <c r="A105" s="9" t="s">
        <v>295</v>
      </c>
      <c r="B105" s="9" t="s">
        <v>1289</v>
      </c>
      <c r="C105" s="9" t="s">
        <v>16</v>
      </c>
      <c r="D105" s="9" t="s">
        <v>199</v>
      </c>
      <c r="E105" s="9" t="s">
        <v>1286</v>
      </c>
      <c r="F105" s="9" t="s">
        <v>69</v>
      </c>
      <c r="G105" s="9" t="s">
        <v>53</v>
      </c>
      <c r="H105" s="9"/>
      <c r="I105" s="25" t="n">
        <v>1</v>
      </c>
      <c r="J105" s="9" t="s">
        <v>1284</v>
      </c>
      <c r="K105" s="9" t="s">
        <v>1160</v>
      </c>
      <c r="L105" s="12" t="n">
        <v>1</v>
      </c>
      <c r="M105" s="20" t="n">
        <v>291422</v>
      </c>
      <c r="N105" s="20" t="n">
        <v>291422</v>
      </c>
      <c r="O105" s="20" t="n">
        <v>0</v>
      </c>
      <c r="P105" s="12" t="n">
        <f aca="false">IF($E105="squad",INDEX(Assumptions!$D$16:$D$56,MATCH($C105&amp;"|"&amp;$D105,Assumptions!$H$16:$H$56,0)),0)</f>
        <v>0</v>
      </c>
      <c r="Q105" s="20" t="n">
        <f aca="false">$N105*$P105</f>
        <v>0</v>
      </c>
    </row>
    <row r="106" customFormat="false" ht="15" hidden="false" customHeight="false" outlineLevel="0" collapsed="false">
      <c r="A106" s="9" t="s">
        <v>297</v>
      </c>
      <c r="B106" s="9" t="s">
        <v>1289</v>
      </c>
      <c r="C106" s="9" t="s">
        <v>16</v>
      </c>
      <c r="D106" s="9" t="s">
        <v>203</v>
      </c>
      <c r="E106" s="9" t="s">
        <v>1286</v>
      </c>
      <c r="F106" s="9" t="s">
        <v>69</v>
      </c>
      <c r="G106" s="9" t="s">
        <v>82</v>
      </c>
      <c r="H106" s="9"/>
      <c r="I106" s="25" t="n">
        <v>1</v>
      </c>
      <c r="J106" s="9" t="s">
        <v>1282</v>
      </c>
      <c r="K106" s="9" t="s">
        <v>1160</v>
      </c>
      <c r="L106" s="12" t="n">
        <v>1</v>
      </c>
      <c r="M106" s="20" t="n">
        <v>202853.25</v>
      </c>
      <c r="N106" s="20" t="n">
        <v>202853.25</v>
      </c>
      <c r="O106" s="20" t="n">
        <v>0</v>
      </c>
      <c r="P106" s="12" t="n">
        <f aca="false">IF($E106="squad",INDEX(Assumptions!$D$16:$D$56,MATCH($C106&amp;"|"&amp;$D106,Assumptions!$H$16:$H$56,0)),0)</f>
        <v>0</v>
      </c>
      <c r="Q106" s="20" t="n">
        <f aca="false">$N106*$P106</f>
        <v>0</v>
      </c>
    </row>
    <row r="107" customFormat="false" ht="15" hidden="false" customHeight="false" outlineLevel="0" collapsed="false">
      <c r="A107" s="9" t="s">
        <v>298</v>
      </c>
      <c r="B107" s="9" t="s">
        <v>1289</v>
      </c>
      <c r="C107" s="9" t="s">
        <v>16</v>
      </c>
      <c r="D107" s="9" t="s">
        <v>206</v>
      </c>
      <c r="E107" s="9" t="s">
        <v>1286</v>
      </c>
      <c r="F107" s="9" t="s">
        <v>53</v>
      </c>
      <c r="G107" s="9" t="s">
        <v>53</v>
      </c>
      <c r="H107" s="9"/>
      <c r="I107" s="25" t="n">
        <v>1</v>
      </c>
      <c r="J107" s="9" t="s">
        <v>1284</v>
      </c>
      <c r="K107" s="9" t="s">
        <v>756</v>
      </c>
      <c r="L107" s="12" t="n">
        <v>1</v>
      </c>
      <c r="M107" s="20" t="n">
        <v>236483.556</v>
      </c>
      <c r="N107" s="20" t="n">
        <v>236483.556</v>
      </c>
      <c r="O107" s="20" t="n">
        <v>0</v>
      </c>
      <c r="P107" s="12" t="n">
        <f aca="false">IF($E107="squad",INDEX(Assumptions!$D$16:$D$56,MATCH($C107&amp;"|"&amp;$D107,Assumptions!$H$16:$H$56,0)),0)</f>
        <v>0</v>
      </c>
      <c r="Q107" s="20" t="n">
        <f aca="false">$N107*$P107</f>
        <v>0</v>
      </c>
    </row>
    <row r="108" customFormat="false" ht="15" hidden="false" customHeight="false" outlineLevel="0" collapsed="false">
      <c r="A108" s="9" t="s">
        <v>301</v>
      </c>
      <c r="B108" s="9" t="s">
        <v>1289</v>
      </c>
      <c r="C108" s="9" t="s">
        <v>16</v>
      </c>
      <c r="D108" s="9" t="s">
        <v>206</v>
      </c>
      <c r="E108" s="9" t="s">
        <v>1286</v>
      </c>
      <c r="F108" s="9" t="s">
        <v>53</v>
      </c>
      <c r="G108" s="9" t="s">
        <v>53</v>
      </c>
      <c r="H108" s="9"/>
      <c r="I108" s="25" t="n">
        <v>1</v>
      </c>
      <c r="J108" s="9" t="s">
        <v>1282</v>
      </c>
      <c r="K108" s="9" t="s">
        <v>1160</v>
      </c>
      <c r="L108" s="12" t="n">
        <v>1</v>
      </c>
      <c r="M108" s="20" t="n">
        <v>254198</v>
      </c>
      <c r="N108" s="20" t="n">
        <v>254198</v>
      </c>
      <c r="O108" s="20" t="n">
        <v>0</v>
      </c>
      <c r="P108" s="12" t="n">
        <f aca="false">IF($E108="squad",INDEX(Assumptions!$D$16:$D$56,MATCH($C108&amp;"|"&amp;$D108,Assumptions!$H$16:$H$56,0)),0)</f>
        <v>0</v>
      </c>
      <c r="Q108" s="20" t="n">
        <f aca="false">$N108*$P108</f>
        <v>0</v>
      </c>
    </row>
    <row r="109" customFormat="false" ht="15" hidden="false" customHeight="false" outlineLevel="0" collapsed="false">
      <c r="A109" s="9" t="s">
        <v>304</v>
      </c>
      <c r="B109" s="9" t="s">
        <v>1289</v>
      </c>
      <c r="C109" s="9" t="s">
        <v>16</v>
      </c>
      <c r="D109" s="9" t="s">
        <v>206</v>
      </c>
      <c r="E109" s="9" t="s">
        <v>1286</v>
      </c>
      <c r="F109" s="9" t="s">
        <v>53</v>
      </c>
      <c r="G109" s="9" t="s">
        <v>53</v>
      </c>
      <c r="H109" s="9"/>
      <c r="I109" s="25" t="n">
        <v>1</v>
      </c>
      <c r="J109" s="9" t="s">
        <v>1284</v>
      </c>
      <c r="K109" s="9" t="s">
        <v>1160</v>
      </c>
      <c r="L109" s="12" t="n">
        <v>1</v>
      </c>
      <c r="M109" s="20" t="n">
        <v>210535.968</v>
      </c>
      <c r="N109" s="20" t="n">
        <v>210535.968</v>
      </c>
      <c r="O109" s="20" t="n">
        <v>0</v>
      </c>
      <c r="P109" s="12" t="n">
        <f aca="false">IF($E109="squad",INDEX(Assumptions!$D$16:$D$56,MATCH($C109&amp;"|"&amp;$D109,Assumptions!$H$16:$H$56,0)),0)</f>
        <v>0</v>
      </c>
      <c r="Q109" s="20" t="n">
        <f aca="false">$N109*$P109</f>
        <v>0</v>
      </c>
    </row>
    <row r="110" customFormat="false" ht="15" hidden="false" customHeight="false" outlineLevel="0" collapsed="false">
      <c r="A110" s="9" t="s">
        <v>309</v>
      </c>
      <c r="B110" s="9" t="s">
        <v>1290</v>
      </c>
      <c r="C110" s="9" t="s">
        <v>18</v>
      </c>
      <c r="D110" s="9" t="s">
        <v>307</v>
      </c>
      <c r="E110" s="9" t="s">
        <v>1281</v>
      </c>
      <c r="F110" s="9" t="s">
        <v>53</v>
      </c>
      <c r="G110" s="9" t="s">
        <v>53</v>
      </c>
      <c r="H110" s="9"/>
      <c r="I110" s="25" t="n">
        <v>1</v>
      </c>
      <c r="J110" s="9" t="s">
        <v>1282</v>
      </c>
      <c r="K110" s="9" t="s">
        <v>1150</v>
      </c>
      <c r="L110" s="12" t="n">
        <v>1</v>
      </c>
      <c r="M110" s="20" t="n">
        <v>259074</v>
      </c>
      <c r="N110" s="20" t="n">
        <v>259074</v>
      </c>
      <c r="O110" s="20" t="n">
        <v>0</v>
      </c>
      <c r="P110" s="12" t="n">
        <f aca="false">IF($E110="squad",INDEX(Assumptions!$D$16:$D$56,MATCH($C110&amp;"|"&amp;$D110,Assumptions!$H$16:$H$56,0)),0)</f>
        <v>0.15</v>
      </c>
      <c r="Q110" s="20" t="n">
        <f aca="false">$N110*$P110</f>
        <v>38861.1</v>
      </c>
    </row>
    <row r="111" customFormat="false" ht="15" hidden="false" customHeight="false" outlineLevel="0" collapsed="false">
      <c r="A111" s="9" t="s">
        <v>312</v>
      </c>
      <c r="B111" s="9" t="s">
        <v>1290</v>
      </c>
      <c r="C111" s="9" t="s">
        <v>18</v>
      </c>
      <c r="D111" s="9" t="s">
        <v>307</v>
      </c>
      <c r="E111" s="9" t="s">
        <v>1281</v>
      </c>
      <c r="F111" s="9" t="s">
        <v>53</v>
      </c>
      <c r="G111" s="9" t="s">
        <v>78</v>
      </c>
      <c r="H111" s="9"/>
      <c r="I111" s="25" t="n">
        <v>1</v>
      </c>
      <c r="J111" s="9" t="s">
        <v>1282</v>
      </c>
      <c r="K111" s="9" t="s">
        <v>1150</v>
      </c>
      <c r="L111" s="12" t="n">
        <v>1</v>
      </c>
      <c r="M111" s="20" t="n">
        <v>190920</v>
      </c>
      <c r="N111" s="20" t="n">
        <v>0</v>
      </c>
      <c r="O111" s="20" t="n">
        <v>0</v>
      </c>
      <c r="P111" s="12" t="n">
        <f aca="false">IF($E111="squad",INDEX(Assumptions!$D$16:$D$56,MATCH($C111&amp;"|"&amp;$D111,Assumptions!$H$16:$H$56,0)),0)</f>
        <v>0.15</v>
      </c>
      <c r="Q111" s="20" t="n">
        <f aca="false">$N111*$P111</f>
        <v>0</v>
      </c>
    </row>
    <row r="112" customFormat="false" ht="15" hidden="false" customHeight="false" outlineLevel="0" collapsed="false">
      <c r="A112" s="9" t="s">
        <v>316</v>
      </c>
      <c r="B112" s="9" t="s">
        <v>1290</v>
      </c>
      <c r="C112" s="9" t="s">
        <v>18</v>
      </c>
      <c r="D112" s="9" t="s">
        <v>307</v>
      </c>
      <c r="E112" s="9" t="s">
        <v>1281</v>
      </c>
      <c r="F112" s="9" t="s">
        <v>53</v>
      </c>
      <c r="G112" s="9" t="s">
        <v>71</v>
      </c>
      <c r="H112" s="9"/>
      <c r="I112" s="25" t="n">
        <v>1</v>
      </c>
      <c r="J112" s="9" t="s">
        <v>1282</v>
      </c>
      <c r="K112" s="9" t="s">
        <v>1150</v>
      </c>
      <c r="L112" s="12" t="n">
        <v>1</v>
      </c>
      <c r="M112" s="20" t="n">
        <v>179198.4</v>
      </c>
      <c r="N112" s="20" t="n">
        <v>71679.36</v>
      </c>
      <c r="O112" s="20" t="n">
        <v>0</v>
      </c>
      <c r="P112" s="12" t="n">
        <f aca="false">IF($E112="squad",INDEX(Assumptions!$D$16:$D$56,MATCH($C112&amp;"|"&amp;$D112,Assumptions!$H$16:$H$56,0)),0)</f>
        <v>0.15</v>
      </c>
      <c r="Q112" s="20" t="n">
        <f aca="false">$N112*$P112</f>
        <v>10751.904</v>
      </c>
    </row>
    <row r="113" customFormat="false" ht="15" hidden="false" customHeight="false" outlineLevel="0" collapsed="false">
      <c r="A113" s="9" t="s">
        <v>319</v>
      </c>
      <c r="B113" s="9" t="s">
        <v>1290</v>
      </c>
      <c r="C113" s="9" t="s">
        <v>18</v>
      </c>
      <c r="D113" s="9" t="s">
        <v>307</v>
      </c>
      <c r="E113" s="9" t="s">
        <v>1281</v>
      </c>
      <c r="F113" s="9" t="s">
        <v>53</v>
      </c>
      <c r="G113" s="9" t="s">
        <v>71</v>
      </c>
      <c r="H113" s="9"/>
      <c r="I113" s="25" t="n">
        <v>1</v>
      </c>
      <c r="J113" s="9" t="s">
        <v>1282</v>
      </c>
      <c r="K113" s="9" t="s">
        <v>1150</v>
      </c>
      <c r="L113" s="12" t="n">
        <v>1</v>
      </c>
      <c r="M113" s="20" t="n">
        <v>278166</v>
      </c>
      <c r="N113" s="20" t="n">
        <v>111266.4</v>
      </c>
      <c r="O113" s="20" t="n">
        <v>0</v>
      </c>
      <c r="P113" s="12" t="n">
        <f aca="false">IF($E113="squad",INDEX(Assumptions!$D$16:$D$56,MATCH($C113&amp;"|"&amp;$D113,Assumptions!$H$16:$H$56,0)),0)</f>
        <v>0.15</v>
      </c>
      <c r="Q113" s="20" t="n">
        <f aca="false">$N113*$P113</f>
        <v>16689.96</v>
      </c>
    </row>
    <row r="114" customFormat="false" ht="15" hidden="false" customHeight="false" outlineLevel="0" collapsed="false">
      <c r="A114" s="9" t="s">
        <v>322</v>
      </c>
      <c r="B114" s="9" t="s">
        <v>1290</v>
      </c>
      <c r="C114" s="9" t="s">
        <v>18</v>
      </c>
      <c r="D114" s="9" t="s">
        <v>307</v>
      </c>
      <c r="E114" s="9" t="s">
        <v>1281</v>
      </c>
      <c r="F114" s="9" t="s">
        <v>53</v>
      </c>
      <c r="G114" s="9" t="s">
        <v>71</v>
      </c>
      <c r="H114" s="9"/>
      <c r="I114" s="25" t="n">
        <v>1</v>
      </c>
      <c r="J114" s="9" t="s">
        <v>1282</v>
      </c>
      <c r="K114" s="9" t="s">
        <v>1150</v>
      </c>
      <c r="L114" s="12" t="n">
        <v>1</v>
      </c>
      <c r="M114" s="20" t="n">
        <v>270524.2494</v>
      </c>
      <c r="N114" s="20" t="n">
        <v>108209.69976</v>
      </c>
      <c r="O114" s="20" t="n">
        <v>0</v>
      </c>
      <c r="P114" s="12" t="n">
        <f aca="false">IF($E114="squad",INDEX(Assumptions!$D$16:$D$56,MATCH($C114&amp;"|"&amp;$D114,Assumptions!$H$16:$H$56,0)),0)</f>
        <v>0.15</v>
      </c>
      <c r="Q114" s="20" t="n">
        <f aca="false">$N114*$P114</f>
        <v>16231.454964</v>
      </c>
    </row>
    <row r="115" customFormat="false" ht="15" hidden="false" customHeight="false" outlineLevel="0" collapsed="false">
      <c r="A115" s="9" t="s">
        <v>325</v>
      </c>
      <c r="B115" s="9" t="s">
        <v>1290</v>
      </c>
      <c r="C115" s="9" t="s">
        <v>18</v>
      </c>
      <c r="D115" s="9" t="s">
        <v>307</v>
      </c>
      <c r="E115" s="9" t="s">
        <v>1281</v>
      </c>
      <c r="F115" s="9" t="s">
        <v>53</v>
      </c>
      <c r="G115" s="9" t="s">
        <v>53</v>
      </c>
      <c r="H115" s="9"/>
      <c r="I115" s="25" t="n">
        <v>1</v>
      </c>
      <c r="J115" s="9" t="s">
        <v>1282</v>
      </c>
      <c r="K115" s="9" t="s">
        <v>1150</v>
      </c>
      <c r="L115" s="12" t="n">
        <v>1</v>
      </c>
      <c r="M115" s="20" t="n">
        <v>254958.3</v>
      </c>
      <c r="N115" s="20" t="n">
        <v>254958.3</v>
      </c>
      <c r="O115" s="20" t="n">
        <v>0</v>
      </c>
      <c r="P115" s="12" t="n">
        <f aca="false">IF($E115="squad",INDEX(Assumptions!$D$16:$D$56,MATCH($C115&amp;"|"&amp;$D115,Assumptions!$H$16:$H$56,0)),0)</f>
        <v>0.15</v>
      </c>
      <c r="Q115" s="20" t="n">
        <f aca="false">$N115*$P115</f>
        <v>38243.745</v>
      </c>
    </row>
    <row r="116" customFormat="false" ht="15" hidden="false" customHeight="false" outlineLevel="0" collapsed="false">
      <c r="A116" s="9" t="s">
        <v>327</v>
      </c>
      <c r="B116" s="9" t="s">
        <v>1290</v>
      </c>
      <c r="C116" s="9" t="s">
        <v>18</v>
      </c>
      <c r="D116" s="9" t="s">
        <v>307</v>
      </c>
      <c r="E116" s="9" t="s">
        <v>1281</v>
      </c>
      <c r="F116" s="9" t="s">
        <v>53</v>
      </c>
      <c r="G116" s="9" t="s">
        <v>53</v>
      </c>
      <c r="H116" s="9"/>
      <c r="I116" s="25" t="n">
        <v>1</v>
      </c>
      <c r="J116" s="9" t="s">
        <v>1282</v>
      </c>
      <c r="K116" s="9" t="s">
        <v>1150</v>
      </c>
      <c r="L116" s="12" t="n">
        <v>1</v>
      </c>
      <c r="M116" s="20" t="n">
        <v>235333.8</v>
      </c>
      <c r="N116" s="20" t="n">
        <v>235333.8</v>
      </c>
      <c r="O116" s="20" t="n">
        <v>0</v>
      </c>
      <c r="P116" s="12" t="n">
        <f aca="false">IF($E116="squad",INDEX(Assumptions!$D$16:$D$56,MATCH($C116&amp;"|"&amp;$D116,Assumptions!$H$16:$H$56,0)),0)</f>
        <v>0.15</v>
      </c>
      <c r="Q116" s="20" t="n">
        <f aca="false">$N116*$P116</f>
        <v>35300.07</v>
      </c>
    </row>
    <row r="117" customFormat="false" ht="15" hidden="false" customHeight="false" outlineLevel="0" collapsed="false">
      <c r="A117" s="9" t="s">
        <v>330</v>
      </c>
      <c r="B117" s="9" t="s">
        <v>1290</v>
      </c>
      <c r="C117" s="9" t="s">
        <v>18</v>
      </c>
      <c r="D117" s="9" t="s">
        <v>307</v>
      </c>
      <c r="E117" s="9" t="s">
        <v>1281</v>
      </c>
      <c r="F117" s="9" t="s">
        <v>53</v>
      </c>
      <c r="G117" s="9" t="s">
        <v>53</v>
      </c>
      <c r="H117" s="9"/>
      <c r="I117" s="25" t="n">
        <v>1</v>
      </c>
      <c r="J117" s="9" t="s">
        <v>1282</v>
      </c>
      <c r="K117" s="9" t="s">
        <v>1150</v>
      </c>
      <c r="L117" s="12" t="n">
        <v>1</v>
      </c>
      <c r="M117" s="20" t="n">
        <v>240302</v>
      </c>
      <c r="N117" s="20" t="n">
        <v>240302</v>
      </c>
      <c r="O117" s="20" t="n">
        <v>0</v>
      </c>
      <c r="P117" s="12" t="n">
        <f aca="false">IF($E117="squad",INDEX(Assumptions!$D$16:$D$56,MATCH($C117&amp;"|"&amp;$D117,Assumptions!$H$16:$H$56,0)),0)</f>
        <v>0.15</v>
      </c>
      <c r="Q117" s="20" t="n">
        <f aca="false">$N117*$P117</f>
        <v>36045.3</v>
      </c>
    </row>
    <row r="118" customFormat="false" ht="15" hidden="false" customHeight="false" outlineLevel="0" collapsed="false">
      <c r="A118" s="9" t="s">
        <v>333</v>
      </c>
      <c r="B118" s="9" t="s">
        <v>1290</v>
      </c>
      <c r="C118" s="9" t="s">
        <v>18</v>
      </c>
      <c r="D118" s="9" t="s">
        <v>307</v>
      </c>
      <c r="E118" s="9" t="s">
        <v>1281</v>
      </c>
      <c r="F118" s="9" t="s">
        <v>53</v>
      </c>
      <c r="G118" s="9" t="s">
        <v>53</v>
      </c>
      <c r="H118" s="9"/>
      <c r="I118" s="25" t="n">
        <v>1</v>
      </c>
      <c r="J118" s="9" t="s">
        <v>1282</v>
      </c>
      <c r="K118" s="9" t="s">
        <v>1150</v>
      </c>
      <c r="L118" s="12" t="n">
        <v>1</v>
      </c>
      <c r="M118" s="20" t="n">
        <v>260204.85</v>
      </c>
      <c r="N118" s="20" t="n">
        <v>260204.85</v>
      </c>
      <c r="O118" s="20" t="n">
        <v>0</v>
      </c>
      <c r="P118" s="12" t="n">
        <f aca="false">IF($E118="squad",INDEX(Assumptions!$D$16:$D$56,MATCH($C118&amp;"|"&amp;$D118,Assumptions!$H$16:$H$56,0)),0)</f>
        <v>0.15</v>
      </c>
      <c r="Q118" s="20" t="n">
        <f aca="false">$N118*$P118</f>
        <v>39030.7275</v>
      </c>
    </row>
    <row r="119" customFormat="false" ht="15" hidden="false" customHeight="false" outlineLevel="0" collapsed="false">
      <c r="A119" s="9" t="s">
        <v>336</v>
      </c>
      <c r="B119" s="9" t="s">
        <v>1290</v>
      </c>
      <c r="C119" s="9" t="s">
        <v>18</v>
      </c>
      <c r="D119" s="9" t="s">
        <v>307</v>
      </c>
      <c r="E119" s="9" t="s">
        <v>1281</v>
      </c>
      <c r="F119" s="9" t="s">
        <v>53</v>
      </c>
      <c r="G119" s="9" t="s">
        <v>71</v>
      </c>
      <c r="H119" s="9"/>
      <c r="I119" s="25" t="n">
        <v>1</v>
      </c>
      <c r="J119" s="9" t="s">
        <v>1282</v>
      </c>
      <c r="K119" s="9" t="s">
        <v>1150</v>
      </c>
      <c r="L119" s="12" t="n">
        <v>1</v>
      </c>
      <c r="M119" s="20" t="n">
        <v>216043.05</v>
      </c>
      <c r="N119" s="20" t="n">
        <v>86417.22</v>
      </c>
      <c r="O119" s="20" t="n">
        <v>0</v>
      </c>
      <c r="P119" s="12" t="n">
        <f aca="false">IF($E119="squad",INDEX(Assumptions!$D$16:$D$56,MATCH($C119&amp;"|"&amp;$D119,Assumptions!$H$16:$H$56,0)),0)</f>
        <v>0.15</v>
      </c>
      <c r="Q119" s="20" t="n">
        <f aca="false">$N119*$P119</f>
        <v>12962.583</v>
      </c>
    </row>
    <row r="120" customFormat="false" ht="15" hidden="false" customHeight="false" outlineLevel="0" collapsed="false">
      <c r="A120" s="9" t="s">
        <v>339</v>
      </c>
      <c r="B120" s="9" t="s">
        <v>1290</v>
      </c>
      <c r="C120" s="9" t="s">
        <v>18</v>
      </c>
      <c r="D120" s="9" t="s">
        <v>307</v>
      </c>
      <c r="E120" s="9" t="s">
        <v>1281</v>
      </c>
      <c r="F120" s="9" t="s">
        <v>53</v>
      </c>
      <c r="G120" s="9" t="s">
        <v>71</v>
      </c>
      <c r="H120" s="9"/>
      <c r="I120" s="25" t="n">
        <v>1</v>
      </c>
      <c r="J120" s="9" t="s">
        <v>1282</v>
      </c>
      <c r="K120" s="9" t="s">
        <v>1150</v>
      </c>
      <c r="L120" s="12" t="n">
        <v>1</v>
      </c>
      <c r="M120" s="20" t="n">
        <v>218018.85</v>
      </c>
      <c r="N120" s="20" t="n">
        <v>87207.54</v>
      </c>
      <c r="O120" s="20" t="n">
        <v>0</v>
      </c>
      <c r="P120" s="12" t="n">
        <f aca="false">IF($E120="squad",INDEX(Assumptions!$D$16:$D$56,MATCH($C120&amp;"|"&amp;$D120,Assumptions!$H$16:$H$56,0)),0)</f>
        <v>0.15</v>
      </c>
      <c r="Q120" s="20" t="n">
        <f aca="false">$N120*$P120</f>
        <v>13081.131</v>
      </c>
    </row>
    <row r="121" customFormat="false" ht="15" hidden="false" customHeight="false" outlineLevel="0" collapsed="false">
      <c r="A121" s="9" t="s">
        <v>341</v>
      </c>
      <c r="B121" s="9" t="s">
        <v>1290</v>
      </c>
      <c r="C121" s="9" t="s">
        <v>18</v>
      </c>
      <c r="D121" s="9" t="s">
        <v>307</v>
      </c>
      <c r="E121" s="9" t="s">
        <v>1281</v>
      </c>
      <c r="F121" s="9" t="s">
        <v>53</v>
      </c>
      <c r="G121" s="9" t="s">
        <v>78</v>
      </c>
      <c r="H121" s="9"/>
      <c r="I121" s="25" t="n">
        <v>1</v>
      </c>
      <c r="J121" s="9" t="s">
        <v>1282</v>
      </c>
      <c r="K121" s="9" t="s">
        <v>1150</v>
      </c>
      <c r="L121" s="12" t="n">
        <v>1</v>
      </c>
      <c r="M121" s="20" t="n">
        <v>216046.05</v>
      </c>
      <c r="N121" s="20" t="n">
        <v>0</v>
      </c>
      <c r="O121" s="20" t="n">
        <v>0</v>
      </c>
      <c r="P121" s="12" t="n">
        <f aca="false">IF($E121="squad",INDEX(Assumptions!$D$16:$D$56,MATCH($C121&amp;"|"&amp;$D121,Assumptions!$H$16:$H$56,0)),0)</f>
        <v>0.15</v>
      </c>
      <c r="Q121" s="20" t="n">
        <f aca="false">$N121*$P121</f>
        <v>0</v>
      </c>
    </row>
    <row r="122" customFormat="false" ht="15" hidden="false" customHeight="false" outlineLevel="0" collapsed="false">
      <c r="A122" s="9" t="s">
        <v>344</v>
      </c>
      <c r="B122" s="9" t="s">
        <v>1290</v>
      </c>
      <c r="C122" s="9" t="s">
        <v>18</v>
      </c>
      <c r="D122" s="9" t="s">
        <v>307</v>
      </c>
      <c r="E122" s="9" t="s">
        <v>1281</v>
      </c>
      <c r="F122" s="9" t="s">
        <v>53</v>
      </c>
      <c r="G122" s="9" t="s">
        <v>78</v>
      </c>
      <c r="H122" s="9"/>
      <c r="I122" s="25" t="n">
        <v>1</v>
      </c>
      <c r="J122" s="9" t="s">
        <v>1282</v>
      </c>
      <c r="K122" s="9" t="s">
        <v>1150</v>
      </c>
      <c r="L122" s="12" t="n">
        <v>1</v>
      </c>
      <c r="M122" s="20" t="n">
        <v>216044.05</v>
      </c>
      <c r="N122" s="20" t="n">
        <v>0</v>
      </c>
      <c r="O122" s="20" t="n">
        <v>0</v>
      </c>
      <c r="P122" s="12" t="n">
        <f aca="false">IF($E122="squad",INDEX(Assumptions!$D$16:$D$56,MATCH($C122&amp;"|"&amp;$D122,Assumptions!$H$16:$H$56,0)),0)</f>
        <v>0.15</v>
      </c>
      <c r="Q122" s="20" t="n">
        <f aca="false">$N122*$P122</f>
        <v>0</v>
      </c>
    </row>
    <row r="123" customFormat="false" ht="15" hidden="false" customHeight="false" outlineLevel="0" collapsed="false">
      <c r="A123" s="9" t="s">
        <v>347</v>
      </c>
      <c r="B123" s="9" t="s">
        <v>1290</v>
      </c>
      <c r="C123" s="9" t="s">
        <v>18</v>
      </c>
      <c r="D123" s="9" t="s">
        <v>307</v>
      </c>
      <c r="E123" s="9" t="s">
        <v>1281</v>
      </c>
      <c r="F123" s="9" t="s">
        <v>53</v>
      </c>
      <c r="G123" s="9" t="s">
        <v>78</v>
      </c>
      <c r="H123" s="9"/>
      <c r="I123" s="25" t="n">
        <v>1</v>
      </c>
      <c r="J123" s="9" t="s">
        <v>1282</v>
      </c>
      <c r="K123" s="9" t="s">
        <v>1150</v>
      </c>
      <c r="L123" s="12" t="n">
        <v>1</v>
      </c>
      <c r="M123" s="20" t="n">
        <v>146464.7</v>
      </c>
      <c r="N123" s="20" t="n">
        <v>0</v>
      </c>
      <c r="O123" s="20" t="n">
        <v>0</v>
      </c>
      <c r="P123" s="12" t="n">
        <f aca="false">IF($E123="squad",INDEX(Assumptions!$D$16:$D$56,MATCH($C123&amp;"|"&amp;$D123,Assumptions!$H$16:$H$56,0)),0)</f>
        <v>0.15</v>
      </c>
      <c r="Q123" s="20" t="n">
        <f aca="false">$N123*$P123</f>
        <v>0</v>
      </c>
    </row>
    <row r="124" customFormat="false" ht="15" hidden="false" customHeight="false" outlineLevel="0" collapsed="false">
      <c r="A124" s="9" t="s">
        <v>350</v>
      </c>
      <c r="B124" s="9" t="s">
        <v>1290</v>
      </c>
      <c r="C124" s="9" t="s">
        <v>18</v>
      </c>
      <c r="D124" s="9" t="s">
        <v>315</v>
      </c>
      <c r="E124" s="9" t="s">
        <v>1281</v>
      </c>
      <c r="F124" s="9" t="s">
        <v>69</v>
      </c>
      <c r="G124" s="9" t="s">
        <v>71</v>
      </c>
      <c r="H124" s="9"/>
      <c r="I124" s="25" t="n">
        <v>1</v>
      </c>
      <c r="J124" s="9" t="s">
        <v>1282</v>
      </c>
      <c r="K124" s="9" t="s">
        <v>315</v>
      </c>
      <c r="L124" s="12" t="n">
        <v>1</v>
      </c>
      <c r="M124" s="20" t="n">
        <v>73260</v>
      </c>
      <c r="N124" s="20" t="n">
        <v>73260</v>
      </c>
      <c r="O124" s="20" t="n">
        <v>0</v>
      </c>
      <c r="P124" s="12" t="n">
        <f aca="false">IF($E124="squad",INDEX(Assumptions!$D$16:$D$56,MATCH($C124&amp;"|"&amp;$D124,Assumptions!$H$16:$H$56,0)),0)</f>
        <v>0.2</v>
      </c>
      <c r="Q124" s="20" t="n">
        <f aca="false">$N124*$P124</f>
        <v>14652</v>
      </c>
    </row>
    <row r="125" customFormat="false" ht="15" hidden="false" customHeight="false" outlineLevel="0" collapsed="false">
      <c r="A125" s="9" t="s">
        <v>352</v>
      </c>
      <c r="B125" s="9" t="s">
        <v>1290</v>
      </c>
      <c r="C125" s="9" t="s">
        <v>18</v>
      </c>
      <c r="D125" s="9" t="s">
        <v>315</v>
      </c>
      <c r="E125" s="9" t="s">
        <v>1281</v>
      </c>
      <c r="F125" s="9" t="s">
        <v>69</v>
      </c>
      <c r="G125" s="9" t="s">
        <v>71</v>
      </c>
      <c r="H125" s="9"/>
      <c r="I125" s="25" t="n">
        <v>1</v>
      </c>
      <c r="J125" s="9" t="s">
        <v>1282</v>
      </c>
      <c r="K125" s="9" t="s">
        <v>315</v>
      </c>
      <c r="L125" s="12" t="n">
        <v>1</v>
      </c>
      <c r="M125" s="20" t="n">
        <v>73260</v>
      </c>
      <c r="N125" s="20" t="n">
        <v>73260</v>
      </c>
      <c r="O125" s="20" t="n">
        <v>0</v>
      </c>
      <c r="P125" s="12" t="n">
        <f aca="false">IF($E125="squad",INDEX(Assumptions!$D$16:$D$56,MATCH($C125&amp;"|"&amp;$D125,Assumptions!$H$16:$H$56,0)),0)</f>
        <v>0.2</v>
      </c>
      <c r="Q125" s="20" t="n">
        <f aca="false">$N125*$P125</f>
        <v>14652</v>
      </c>
    </row>
    <row r="126" customFormat="false" ht="15" hidden="false" customHeight="false" outlineLevel="0" collapsed="false">
      <c r="A126" s="9" t="s">
        <v>354</v>
      </c>
      <c r="B126" s="9" t="s">
        <v>1290</v>
      </c>
      <c r="C126" s="9" t="s">
        <v>18</v>
      </c>
      <c r="D126" s="9" t="s">
        <v>315</v>
      </c>
      <c r="E126" s="9" t="s">
        <v>1281</v>
      </c>
      <c r="F126" s="9" t="s">
        <v>53</v>
      </c>
      <c r="G126" s="9" t="s">
        <v>53</v>
      </c>
      <c r="H126" s="9"/>
      <c r="I126" s="25" t="n">
        <v>0.8</v>
      </c>
      <c r="J126" s="9" t="s">
        <v>1284</v>
      </c>
      <c r="K126" s="9" t="s">
        <v>315</v>
      </c>
      <c r="L126" s="12" t="n">
        <v>1</v>
      </c>
      <c r="M126" s="20" t="n">
        <v>155347.4784</v>
      </c>
      <c r="N126" s="20" t="n">
        <v>155347.4784</v>
      </c>
      <c r="O126" s="20" t="n">
        <v>0</v>
      </c>
      <c r="P126" s="12" t="n">
        <f aca="false">IF($E126="squad",INDEX(Assumptions!$D$16:$D$56,MATCH($C126&amp;"|"&amp;$D126,Assumptions!$H$16:$H$56,0)),0)</f>
        <v>0.2</v>
      </c>
      <c r="Q126" s="20" t="n">
        <f aca="false">$N126*$P126</f>
        <v>31069.49568</v>
      </c>
    </row>
    <row r="127" customFormat="false" ht="15" hidden="false" customHeight="false" outlineLevel="0" collapsed="false">
      <c r="A127" s="9" t="s">
        <v>357</v>
      </c>
      <c r="B127" s="9" t="s">
        <v>1290</v>
      </c>
      <c r="C127" s="9" t="s">
        <v>18</v>
      </c>
      <c r="D127" s="9" t="s">
        <v>315</v>
      </c>
      <c r="E127" s="9" t="s">
        <v>1281</v>
      </c>
      <c r="F127" s="9" t="s">
        <v>53</v>
      </c>
      <c r="G127" s="9" t="s">
        <v>53</v>
      </c>
      <c r="H127" s="9"/>
      <c r="I127" s="25" t="n">
        <v>1</v>
      </c>
      <c r="J127" s="9" t="s">
        <v>1282</v>
      </c>
      <c r="K127" s="9" t="s">
        <v>315</v>
      </c>
      <c r="L127" s="12" t="n">
        <v>1</v>
      </c>
      <c r="M127" s="20" t="n">
        <v>206978.4</v>
      </c>
      <c r="N127" s="20" t="n">
        <v>206978.4</v>
      </c>
      <c r="O127" s="20" t="n">
        <v>0</v>
      </c>
      <c r="P127" s="12" t="n">
        <f aca="false">IF($E127="squad",INDEX(Assumptions!$D$16:$D$56,MATCH($C127&amp;"|"&amp;$D127,Assumptions!$H$16:$H$56,0)),0)</f>
        <v>0.2</v>
      </c>
      <c r="Q127" s="20" t="n">
        <f aca="false">$N127*$P127</f>
        <v>41395.68</v>
      </c>
    </row>
    <row r="128" customFormat="false" ht="15" hidden="false" customHeight="false" outlineLevel="0" collapsed="false">
      <c r="A128" s="9" t="s">
        <v>360</v>
      </c>
      <c r="B128" s="9" t="s">
        <v>1290</v>
      </c>
      <c r="C128" s="9" t="s">
        <v>18</v>
      </c>
      <c r="D128" s="9" t="s">
        <v>315</v>
      </c>
      <c r="E128" s="9" t="s">
        <v>1281</v>
      </c>
      <c r="F128" s="9" t="s">
        <v>53</v>
      </c>
      <c r="G128" s="9" t="s">
        <v>53</v>
      </c>
      <c r="H128" s="9"/>
      <c r="I128" s="25" t="n">
        <v>1</v>
      </c>
      <c r="J128" s="9" t="s">
        <v>1282</v>
      </c>
      <c r="K128" s="9" t="s">
        <v>315</v>
      </c>
      <c r="L128" s="12" t="n">
        <v>1</v>
      </c>
      <c r="M128" s="20" t="n">
        <v>194789.85</v>
      </c>
      <c r="N128" s="20" t="n">
        <v>194789.85</v>
      </c>
      <c r="O128" s="20" t="n">
        <v>0</v>
      </c>
      <c r="P128" s="12" t="n">
        <f aca="false">IF($E128="squad",INDEX(Assumptions!$D$16:$D$56,MATCH($C128&amp;"|"&amp;$D128,Assumptions!$H$16:$H$56,0)),0)</f>
        <v>0.2</v>
      </c>
      <c r="Q128" s="20" t="n">
        <f aca="false">$N128*$P128</f>
        <v>38957.97</v>
      </c>
    </row>
    <row r="129" customFormat="false" ht="15" hidden="false" customHeight="false" outlineLevel="0" collapsed="false">
      <c r="A129" s="9" t="s">
        <v>362</v>
      </c>
      <c r="B129" s="9" t="s">
        <v>1290</v>
      </c>
      <c r="C129" s="9" t="s">
        <v>18</v>
      </c>
      <c r="D129" s="9" t="s">
        <v>315</v>
      </c>
      <c r="E129" s="9" t="s">
        <v>1281</v>
      </c>
      <c r="F129" s="9" t="s">
        <v>69</v>
      </c>
      <c r="G129" s="9" t="s">
        <v>82</v>
      </c>
      <c r="H129" s="9" t="s">
        <v>121</v>
      </c>
      <c r="I129" s="25" t="n">
        <v>1</v>
      </c>
      <c r="J129" s="9" t="s">
        <v>1282</v>
      </c>
      <c r="K129" s="9" t="s">
        <v>315</v>
      </c>
      <c r="L129" s="12" t="n">
        <v>1</v>
      </c>
      <c r="M129" s="20" t="n">
        <v>194789.85</v>
      </c>
      <c r="N129" s="20" t="n">
        <v>146092.3875</v>
      </c>
      <c r="O129" s="20" t="n">
        <v>0</v>
      </c>
      <c r="P129" s="12" t="n">
        <f aca="false">IF($E129="squad",INDEX(Assumptions!$D$16:$D$56,MATCH($C129&amp;"|"&amp;$D129,Assumptions!$H$16:$H$56,0)),0)</f>
        <v>0.2</v>
      </c>
      <c r="Q129" s="20" t="n">
        <f aca="false">$N129*$P129</f>
        <v>29218.4775</v>
      </c>
    </row>
    <row r="130" customFormat="false" ht="15" hidden="false" customHeight="false" outlineLevel="0" collapsed="false">
      <c r="A130" s="9" t="s">
        <v>363</v>
      </c>
      <c r="B130" s="9" t="s">
        <v>1290</v>
      </c>
      <c r="C130" s="9" t="s">
        <v>18</v>
      </c>
      <c r="D130" s="9" t="s">
        <v>315</v>
      </c>
      <c r="E130" s="9" t="s">
        <v>1281</v>
      </c>
      <c r="F130" s="9" t="s">
        <v>69</v>
      </c>
      <c r="G130" s="9" t="s">
        <v>82</v>
      </c>
      <c r="H130" s="9" t="s">
        <v>121</v>
      </c>
      <c r="I130" s="25" t="n">
        <v>1</v>
      </c>
      <c r="J130" s="9" t="s">
        <v>1282</v>
      </c>
      <c r="K130" s="9" t="s">
        <v>315</v>
      </c>
      <c r="L130" s="12" t="n">
        <v>1</v>
      </c>
      <c r="M130" s="20" t="n">
        <v>194789.85</v>
      </c>
      <c r="N130" s="20" t="n">
        <v>146092.3875</v>
      </c>
      <c r="O130" s="20" t="n">
        <v>0</v>
      </c>
      <c r="P130" s="12" t="n">
        <f aca="false">IF($E130="squad",INDEX(Assumptions!$D$16:$D$56,MATCH($C130&amp;"|"&amp;$D130,Assumptions!$H$16:$H$56,0)),0)</f>
        <v>0.2</v>
      </c>
      <c r="Q130" s="20" t="n">
        <f aca="false">$N130*$P130</f>
        <v>29218.4775</v>
      </c>
    </row>
    <row r="131" customFormat="false" ht="15" hidden="false" customHeight="false" outlineLevel="0" collapsed="false">
      <c r="A131" s="9" t="s">
        <v>365</v>
      </c>
      <c r="B131" s="9" t="s">
        <v>1290</v>
      </c>
      <c r="C131" s="9" t="s">
        <v>18</v>
      </c>
      <c r="D131" s="9" t="s">
        <v>315</v>
      </c>
      <c r="E131" s="9" t="s">
        <v>1281</v>
      </c>
      <c r="F131" s="9" t="s">
        <v>69</v>
      </c>
      <c r="G131" s="9" t="s">
        <v>82</v>
      </c>
      <c r="H131" s="9"/>
      <c r="I131" s="25" t="n">
        <v>1</v>
      </c>
      <c r="J131" s="9" t="s">
        <v>1282</v>
      </c>
      <c r="K131" s="9" t="s">
        <v>315</v>
      </c>
      <c r="L131" s="12" t="n">
        <v>1</v>
      </c>
      <c r="M131" s="20" t="n">
        <v>194789.85</v>
      </c>
      <c r="N131" s="20" t="n">
        <v>194789.85</v>
      </c>
      <c r="O131" s="20" t="n">
        <v>0</v>
      </c>
      <c r="P131" s="12" t="n">
        <f aca="false">IF($E131="squad",INDEX(Assumptions!$D$16:$D$56,MATCH($C131&amp;"|"&amp;$D131,Assumptions!$H$16:$H$56,0)),0)</f>
        <v>0.2</v>
      </c>
      <c r="Q131" s="20" t="n">
        <f aca="false">$N131*$P131</f>
        <v>38957.97</v>
      </c>
    </row>
    <row r="132" customFormat="false" ht="15" hidden="false" customHeight="false" outlineLevel="0" collapsed="false">
      <c r="A132" s="9" t="s">
        <v>367</v>
      </c>
      <c r="B132" s="9" t="s">
        <v>1290</v>
      </c>
      <c r="C132" s="9" t="s">
        <v>18</v>
      </c>
      <c r="D132" s="9" t="s">
        <v>318</v>
      </c>
      <c r="E132" s="9" t="s">
        <v>1281</v>
      </c>
      <c r="F132" s="9" t="s">
        <v>53</v>
      </c>
      <c r="G132" s="9" t="s">
        <v>53</v>
      </c>
      <c r="H132" s="9"/>
      <c r="I132" s="25" t="n">
        <v>1</v>
      </c>
      <c r="J132" s="9" t="s">
        <v>1282</v>
      </c>
      <c r="K132" s="9" t="s">
        <v>1150</v>
      </c>
      <c r="L132" s="12" t="n">
        <v>1</v>
      </c>
      <c r="M132" s="20" t="n">
        <v>272882.4</v>
      </c>
      <c r="N132" s="20" t="n">
        <v>272882.4</v>
      </c>
      <c r="O132" s="20" t="n">
        <v>0</v>
      </c>
      <c r="P132" s="12" t="n">
        <f aca="false">IF($E132="squad",INDEX(Assumptions!$D$16:$D$56,MATCH($C132&amp;"|"&amp;$D132,Assumptions!$H$16:$H$56,0)),0)</f>
        <v>0.15</v>
      </c>
      <c r="Q132" s="20" t="n">
        <f aca="false">$N132*$P132</f>
        <v>40932.36</v>
      </c>
    </row>
    <row r="133" customFormat="false" ht="15" hidden="false" customHeight="false" outlineLevel="0" collapsed="false">
      <c r="A133" s="9" t="s">
        <v>369</v>
      </c>
      <c r="B133" s="9" t="s">
        <v>1290</v>
      </c>
      <c r="C133" s="9" t="s">
        <v>18</v>
      </c>
      <c r="D133" s="9" t="s">
        <v>318</v>
      </c>
      <c r="E133" s="9" t="s">
        <v>1281</v>
      </c>
      <c r="F133" s="9" t="s">
        <v>53</v>
      </c>
      <c r="G133" s="9" t="s">
        <v>53</v>
      </c>
      <c r="H133" s="9"/>
      <c r="I133" s="25" t="n">
        <v>1</v>
      </c>
      <c r="J133" s="9" t="s">
        <v>1282</v>
      </c>
      <c r="K133" s="9" t="s">
        <v>1150</v>
      </c>
      <c r="L133" s="12" t="n">
        <v>1</v>
      </c>
      <c r="M133" s="20" t="n">
        <v>321900</v>
      </c>
      <c r="N133" s="20" t="n">
        <v>321900</v>
      </c>
      <c r="O133" s="20" t="n">
        <v>0</v>
      </c>
      <c r="P133" s="12" t="n">
        <f aca="false">IF($E133="squad",INDEX(Assumptions!$D$16:$D$56,MATCH($C133&amp;"|"&amp;$D133,Assumptions!$H$16:$H$56,0)),0)</f>
        <v>0.15</v>
      </c>
      <c r="Q133" s="20" t="n">
        <f aca="false">$N133*$P133</f>
        <v>48285</v>
      </c>
    </row>
    <row r="134" customFormat="false" ht="15" hidden="false" customHeight="false" outlineLevel="0" collapsed="false">
      <c r="A134" s="9" t="s">
        <v>371</v>
      </c>
      <c r="B134" s="9" t="s">
        <v>1290</v>
      </c>
      <c r="C134" s="9" t="s">
        <v>18</v>
      </c>
      <c r="D134" s="9" t="s">
        <v>318</v>
      </c>
      <c r="E134" s="9" t="s">
        <v>1281</v>
      </c>
      <c r="F134" s="9" t="s">
        <v>53</v>
      </c>
      <c r="G134" s="9" t="s">
        <v>78</v>
      </c>
      <c r="H134" s="9"/>
      <c r="I134" s="25" t="n">
        <v>1</v>
      </c>
      <c r="J134" s="9" t="s">
        <v>1282</v>
      </c>
      <c r="K134" s="9" t="s">
        <v>1150</v>
      </c>
      <c r="L134" s="12" t="n">
        <v>1</v>
      </c>
      <c r="M134" s="20" t="n">
        <v>243090.15</v>
      </c>
      <c r="N134" s="20" t="n">
        <v>0</v>
      </c>
      <c r="O134" s="20" t="n">
        <v>0</v>
      </c>
      <c r="P134" s="12" t="n">
        <f aca="false">IF($E134="squad",INDEX(Assumptions!$D$16:$D$56,MATCH($C134&amp;"|"&amp;$D134,Assumptions!$H$16:$H$56,0)),0)</f>
        <v>0.15</v>
      </c>
      <c r="Q134" s="20" t="n">
        <f aca="false">$N134*$P134</f>
        <v>0</v>
      </c>
    </row>
    <row r="135" customFormat="false" ht="15" hidden="false" customHeight="false" outlineLevel="0" collapsed="false">
      <c r="A135" s="9" t="s">
        <v>373</v>
      </c>
      <c r="B135" s="9" t="s">
        <v>1290</v>
      </c>
      <c r="C135" s="9" t="s">
        <v>18</v>
      </c>
      <c r="D135" s="9" t="s">
        <v>318</v>
      </c>
      <c r="E135" s="9" t="s">
        <v>1281</v>
      </c>
      <c r="F135" s="9" t="s">
        <v>53</v>
      </c>
      <c r="G135" s="9" t="s">
        <v>71</v>
      </c>
      <c r="H135" s="9"/>
      <c r="I135" s="25" t="n">
        <v>1</v>
      </c>
      <c r="J135" s="9" t="s">
        <v>1282</v>
      </c>
      <c r="K135" s="9" t="s">
        <v>1150</v>
      </c>
      <c r="L135" s="12" t="n">
        <v>1</v>
      </c>
      <c r="M135" s="20" t="n">
        <v>277500</v>
      </c>
      <c r="N135" s="20" t="n">
        <v>111000</v>
      </c>
      <c r="O135" s="20" t="n">
        <v>0</v>
      </c>
      <c r="P135" s="12" t="n">
        <f aca="false">IF($E135="squad",INDEX(Assumptions!$D$16:$D$56,MATCH($C135&amp;"|"&amp;$D135,Assumptions!$H$16:$H$56,0)),0)</f>
        <v>0.15</v>
      </c>
      <c r="Q135" s="20" t="n">
        <f aca="false">$N135*$P135</f>
        <v>16650</v>
      </c>
    </row>
    <row r="136" customFormat="false" ht="15" hidden="false" customHeight="false" outlineLevel="0" collapsed="false">
      <c r="A136" s="9" t="s">
        <v>375</v>
      </c>
      <c r="B136" s="9" t="s">
        <v>1290</v>
      </c>
      <c r="C136" s="9" t="s">
        <v>18</v>
      </c>
      <c r="D136" s="9" t="s">
        <v>318</v>
      </c>
      <c r="E136" s="9" t="s">
        <v>1281</v>
      </c>
      <c r="F136" s="9" t="s">
        <v>53</v>
      </c>
      <c r="G136" s="9" t="s">
        <v>53</v>
      </c>
      <c r="H136" s="9"/>
      <c r="I136" s="25" t="n">
        <v>1</v>
      </c>
      <c r="J136" s="9" t="s">
        <v>1282</v>
      </c>
      <c r="K136" s="9" t="s">
        <v>1150</v>
      </c>
      <c r="L136" s="12" t="n">
        <v>1</v>
      </c>
      <c r="M136" s="20" t="n">
        <v>243090.15</v>
      </c>
      <c r="N136" s="20" t="n">
        <v>243090.15</v>
      </c>
      <c r="O136" s="20" t="n">
        <v>0</v>
      </c>
      <c r="P136" s="12" t="n">
        <f aca="false">IF($E136="squad",INDEX(Assumptions!$D$16:$D$56,MATCH($C136&amp;"|"&amp;$D136,Assumptions!$H$16:$H$56,0)),0)</f>
        <v>0.15</v>
      </c>
      <c r="Q136" s="20" t="n">
        <f aca="false">$N136*$P136</f>
        <v>36463.5225</v>
      </c>
    </row>
    <row r="137" customFormat="false" ht="15" hidden="false" customHeight="false" outlineLevel="0" collapsed="false">
      <c r="A137" s="9" t="s">
        <v>377</v>
      </c>
      <c r="B137" s="9" t="s">
        <v>1290</v>
      </c>
      <c r="C137" s="9" t="s">
        <v>18</v>
      </c>
      <c r="D137" s="9" t="s">
        <v>318</v>
      </c>
      <c r="E137" s="9" t="s">
        <v>1281</v>
      </c>
      <c r="F137" s="9" t="s">
        <v>53</v>
      </c>
      <c r="G137" s="9" t="s">
        <v>71</v>
      </c>
      <c r="H137" s="9"/>
      <c r="I137" s="25" t="n">
        <v>1</v>
      </c>
      <c r="J137" s="9" t="s">
        <v>1282</v>
      </c>
      <c r="K137" s="9" t="s">
        <v>1150</v>
      </c>
      <c r="L137" s="12" t="n">
        <v>1</v>
      </c>
      <c r="M137" s="20" t="n">
        <v>240300</v>
      </c>
      <c r="N137" s="20" t="n">
        <v>96120</v>
      </c>
      <c r="O137" s="20" t="n">
        <v>0</v>
      </c>
      <c r="P137" s="12" t="n">
        <f aca="false">IF($E137="squad",INDEX(Assumptions!$D$16:$D$56,MATCH($C137&amp;"|"&amp;$D137,Assumptions!$H$16:$H$56,0)),0)</f>
        <v>0.15</v>
      </c>
      <c r="Q137" s="20" t="n">
        <f aca="false">$N137*$P137</f>
        <v>14418</v>
      </c>
    </row>
    <row r="138" customFormat="false" ht="15" hidden="false" customHeight="false" outlineLevel="0" collapsed="false">
      <c r="A138" s="9" t="s">
        <v>379</v>
      </c>
      <c r="B138" s="9" t="s">
        <v>1290</v>
      </c>
      <c r="C138" s="9" t="s">
        <v>18</v>
      </c>
      <c r="D138" s="9" t="s">
        <v>318</v>
      </c>
      <c r="E138" s="9" t="s">
        <v>1281</v>
      </c>
      <c r="F138" s="9" t="s">
        <v>53</v>
      </c>
      <c r="G138" s="9" t="s">
        <v>71</v>
      </c>
      <c r="H138" s="9"/>
      <c r="I138" s="25" t="n">
        <v>1</v>
      </c>
      <c r="J138" s="9" t="s">
        <v>1282</v>
      </c>
      <c r="K138" s="9" t="s">
        <v>1150</v>
      </c>
      <c r="L138" s="12" t="n">
        <v>1</v>
      </c>
      <c r="M138" s="20" t="n">
        <v>207352.2</v>
      </c>
      <c r="N138" s="20" t="n">
        <v>82940.88</v>
      </c>
      <c r="O138" s="20" t="n">
        <v>0</v>
      </c>
      <c r="P138" s="12" t="n">
        <f aca="false">IF($E138="squad",INDEX(Assumptions!$D$16:$D$56,MATCH($C138&amp;"|"&amp;$D138,Assumptions!$H$16:$H$56,0)),0)</f>
        <v>0.15</v>
      </c>
      <c r="Q138" s="20" t="n">
        <f aca="false">$N138*$P138</f>
        <v>12441.132</v>
      </c>
    </row>
    <row r="139" customFormat="false" ht="15" hidden="false" customHeight="false" outlineLevel="0" collapsed="false">
      <c r="A139" s="9" t="s">
        <v>382</v>
      </c>
      <c r="B139" s="9" t="s">
        <v>1290</v>
      </c>
      <c r="C139" s="9" t="s">
        <v>18</v>
      </c>
      <c r="D139" s="9" t="s">
        <v>318</v>
      </c>
      <c r="E139" s="9" t="s">
        <v>1281</v>
      </c>
      <c r="F139" s="9" t="s">
        <v>53</v>
      </c>
      <c r="G139" s="9" t="s">
        <v>71</v>
      </c>
      <c r="H139" s="9"/>
      <c r="I139" s="25" t="n">
        <v>1</v>
      </c>
      <c r="J139" s="9" t="s">
        <v>1282</v>
      </c>
      <c r="K139" s="9" t="s">
        <v>1150</v>
      </c>
      <c r="L139" s="12" t="n">
        <v>1</v>
      </c>
      <c r="M139" s="20" t="n">
        <v>177525</v>
      </c>
      <c r="N139" s="20" t="n">
        <v>71010</v>
      </c>
      <c r="O139" s="20" t="n">
        <v>0</v>
      </c>
      <c r="P139" s="12" t="n">
        <f aca="false">IF($E139="squad",INDEX(Assumptions!$D$16:$D$56,MATCH($C139&amp;"|"&amp;$D139,Assumptions!$H$16:$H$56,0)),0)</f>
        <v>0.15</v>
      </c>
      <c r="Q139" s="20" t="n">
        <f aca="false">$N139*$P139</f>
        <v>10651.5</v>
      </c>
    </row>
    <row r="140" customFormat="false" ht="15" hidden="false" customHeight="false" outlineLevel="0" collapsed="false">
      <c r="A140" s="9" t="s">
        <v>384</v>
      </c>
      <c r="B140" s="9" t="s">
        <v>1290</v>
      </c>
      <c r="C140" s="9" t="s">
        <v>18</v>
      </c>
      <c r="D140" s="9" t="s">
        <v>318</v>
      </c>
      <c r="E140" s="9" t="s">
        <v>1281</v>
      </c>
      <c r="F140" s="9" t="s">
        <v>53</v>
      </c>
      <c r="G140" s="9" t="s">
        <v>71</v>
      </c>
      <c r="H140" s="9"/>
      <c r="I140" s="25" t="n">
        <v>1</v>
      </c>
      <c r="J140" s="9" t="s">
        <v>1282</v>
      </c>
      <c r="K140" s="9" t="s">
        <v>1150</v>
      </c>
      <c r="L140" s="12" t="n">
        <v>1</v>
      </c>
      <c r="M140" s="20" t="n">
        <v>146465.7</v>
      </c>
      <c r="N140" s="20" t="n">
        <v>58586.28</v>
      </c>
      <c r="O140" s="20" t="n">
        <v>0</v>
      </c>
      <c r="P140" s="12" t="n">
        <f aca="false">IF($E140="squad",INDEX(Assumptions!$D$16:$D$56,MATCH($C140&amp;"|"&amp;$D140,Assumptions!$H$16:$H$56,0)),0)</f>
        <v>0.15</v>
      </c>
      <c r="Q140" s="20" t="n">
        <f aca="false">$N140*$P140</f>
        <v>8787.942</v>
      </c>
    </row>
    <row r="141" customFormat="false" ht="15" hidden="false" customHeight="false" outlineLevel="0" collapsed="false">
      <c r="A141" s="9" t="s">
        <v>386</v>
      </c>
      <c r="B141" s="9" t="s">
        <v>1290</v>
      </c>
      <c r="C141" s="9" t="s">
        <v>18</v>
      </c>
      <c r="D141" s="9" t="s">
        <v>311</v>
      </c>
      <c r="E141" s="9" t="s">
        <v>1281</v>
      </c>
      <c r="F141" s="9" t="s">
        <v>53</v>
      </c>
      <c r="G141" s="9" t="s">
        <v>53</v>
      </c>
      <c r="H141" s="9"/>
      <c r="I141" s="25" t="n">
        <v>1</v>
      </c>
      <c r="J141" s="9" t="s">
        <v>1282</v>
      </c>
      <c r="K141" s="9" t="s">
        <v>1162</v>
      </c>
      <c r="L141" s="12" t="n">
        <v>1</v>
      </c>
      <c r="M141" s="20" t="n">
        <v>194789.85</v>
      </c>
      <c r="N141" s="20" t="n">
        <v>194789.85</v>
      </c>
      <c r="O141" s="20" t="n">
        <v>0</v>
      </c>
      <c r="P141" s="12" t="n">
        <f aca="false">IF($E141="squad",INDEX(Assumptions!$D$16:$D$56,MATCH($C141&amp;"|"&amp;$D141,Assumptions!$H$16:$H$56,0)),0)</f>
        <v>0</v>
      </c>
      <c r="Q141" s="20" t="n">
        <f aca="false">$N141*$P141</f>
        <v>0</v>
      </c>
    </row>
    <row r="142" customFormat="false" ht="15" hidden="false" customHeight="false" outlineLevel="0" collapsed="false">
      <c r="A142" s="9" t="s">
        <v>389</v>
      </c>
      <c r="B142" s="9" t="s">
        <v>1290</v>
      </c>
      <c r="C142" s="9" t="s">
        <v>18</v>
      </c>
      <c r="D142" s="9" t="s">
        <v>311</v>
      </c>
      <c r="E142" s="9" t="s">
        <v>1281</v>
      </c>
      <c r="F142" s="9" t="s">
        <v>69</v>
      </c>
      <c r="G142" s="9" t="s">
        <v>82</v>
      </c>
      <c r="H142" s="9"/>
      <c r="I142" s="25" t="n">
        <v>1</v>
      </c>
      <c r="J142" s="9" t="s">
        <v>1282</v>
      </c>
      <c r="K142" s="9" t="s">
        <v>1162</v>
      </c>
      <c r="L142" s="12" t="n">
        <v>1</v>
      </c>
      <c r="M142" s="20" t="n">
        <v>194789.85</v>
      </c>
      <c r="N142" s="20" t="n">
        <v>194789.85</v>
      </c>
      <c r="O142" s="20" t="n">
        <v>0</v>
      </c>
      <c r="P142" s="12" t="n">
        <f aca="false">IF($E142="squad",INDEX(Assumptions!$D$16:$D$56,MATCH($C142&amp;"|"&amp;$D142,Assumptions!$H$16:$H$56,0)),0)</f>
        <v>0</v>
      </c>
      <c r="Q142" s="20" t="n">
        <f aca="false">$N142*$P142</f>
        <v>0</v>
      </c>
    </row>
    <row r="143" customFormat="false" ht="15" hidden="false" customHeight="false" outlineLevel="0" collapsed="false">
      <c r="A143" s="9" t="s">
        <v>390</v>
      </c>
      <c r="B143" s="9" t="s">
        <v>1290</v>
      </c>
      <c r="C143" s="9" t="s">
        <v>18</v>
      </c>
      <c r="D143" s="9" t="s">
        <v>311</v>
      </c>
      <c r="E143" s="9" t="s">
        <v>1281</v>
      </c>
      <c r="F143" s="9" t="s">
        <v>53</v>
      </c>
      <c r="G143" s="9" t="s">
        <v>53</v>
      </c>
      <c r="H143" s="9"/>
      <c r="I143" s="25" t="n">
        <v>1</v>
      </c>
      <c r="J143" s="9" t="s">
        <v>1282</v>
      </c>
      <c r="K143" s="9" t="s">
        <v>1162</v>
      </c>
      <c r="L143" s="12" t="n">
        <v>1</v>
      </c>
      <c r="M143" s="20" t="n">
        <v>339707.55</v>
      </c>
      <c r="N143" s="20" t="n">
        <v>339707.55</v>
      </c>
      <c r="O143" s="20" t="n">
        <v>0</v>
      </c>
      <c r="P143" s="12" t="n">
        <f aca="false">IF($E143="squad",INDEX(Assumptions!$D$16:$D$56,MATCH($C143&amp;"|"&amp;$D143,Assumptions!$H$16:$H$56,0)),0)</f>
        <v>0</v>
      </c>
      <c r="Q143" s="20" t="n">
        <f aca="false">$N143*$P143</f>
        <v>0</v>
      </c>
    </row>
    <row r="144" customFormat="false" ht="15" hidden="false" customHeight="false" outlineLevel="0" collapsed="false">
      <c r="A144" s="9" t="s">
        <v>393</v>
      </c>
      <c r="B144" s="9" t="s">
        <v>1290</v>
      </c>
      <c r="C144" s="9" t="s">
        <v>18</v>
      </c>
      <c r="D144" s="9" t="s">
        <v>308</v>
      </c>
      <c r="E144" s="9" t="s">
        <v>1281</v>
      </c>
      <c r="F144" s="9" t="s">
        <v>53</v>
      </c>
      <c r="G144" s="9" t="s">
        <v>71</v>
      </c>
      <c r="H144" s="9"/>
      <c r="I144" s="25" t="n">
        <v>1</v>
      </c>
      <c r="J144" s="9" t="s">
        <v>1282</v>
      </c>
      <c r="K144" s="9" t="s">
        <v>1150</v>
      </c>
      <c r="L144" s="12" t="n">
        <v>1</v>
      </c>
      <c r="M144" s="20" t="n">
        <v>73260</v>
      </c>
      <c r="N144" s="20" t="n">
        <v>73260</v>
      </c>
      <c r="O144" s="20" t="n">
        <v>0</v>
      </c>
      <c r="P144" s="12" t="n">
        <f aca="false">IF($E144="squad",INDEX(Assumptions!$D$16:$D$56,MATCH($C144&amp;"|"&amp;$D144,Assumptions!$H$16:$H$56,0)),0)</f>
        <v>1</v>
      </c>
      <c r="Q144" s="20" t="n">
        <f aca="false">$N144*$P144</f>
        <v>73260</v>
      </c>
    </row>
    <row r="145" customFormat="false" ht="15" hidden="false" customHeight="false" outlineLevel="0" collapsed="false">
      <c r="A145" s="9" t="s">
        <v>396</v>
      </c>
      <c r="B145" s="9" t="s">
        <v>1290</v>
      </c>
      <c r="C145" s="9" t="s">
        <v>18</v>
      </c>
      <c r="D145" s="9" t="s">
        <v>308</v>
      </c>
      <c r="E145" s="9" t="s">
        <v>1281</v>
      </c>
      <c r="F145" s="9" t="s">
        <v>69</v>
      </c>
      <c r="G145" s="9" t="s">
        <v>71</v>
      </c>
      <c r="H145" s="9"/>
      <c r="I145" s="25" t="n">
        <v>1</v>
      </c>
      <c r="J145" s="9" t="s">
        <v>1282</v>
      </c>
      <c r="K145" s="9" t="s">
        <v>1150</v>
      </c>
      <c r="L145" s="12" t="n">
        <v>1</v>
      </c>
      <c r="M145" s="20" t="n">
        <v>73260</v>
      </c>
      <c r="N145" s="20" t="n">
        <v>73260</v>
      </c>
      <c r="O145" s="20" t="n">
        <v>0</v>
      </c>
      <c r="P145" s="12" t="n">
        <f aca="false">IF($E145="squad",INDEX(Assumptions!$D$16:$D$56,MATCH($C145&amp;"|"&amp;$D145,Assumptions!$H$16:$H$56,0)),0)</f>
        <v>1</v>
      </c>
      <c r="Q145" s="20" t="n">
        <f aca="false">$N145*$P145</f>
        <v>73260</v>
      </c>
    </row>
    <row r="146" customFormat="false" ht="15" hidden="false" customHeight="false" outlineLevel="0" collapsed="false">
      <c r="A146" s="9" t="s">
        <v>397</v>
      </c>
      <c r="B146" s="9" t="s">
        <v>1290</v>
      </c>
      <c r="C146" s="9" t="s">
        <v>18</v>
      </c>
      <c r="D146" s="9" t="s">
        <v>308</v>
      </c>
      <c r="E146" s="9" t="s">
        <v>1281</v>
      </c>
      <c r="F146" s="9" t="s">
        <v>69</v>
      </c>
      <c r="G146" s="9" t="s">
        <v>71</v>
      </c>
      <c r="H146" s="9"/>
      <c r="I146" s="25" t="n">
        <v>1</v>
      </c>
      <c r="J146" s="9" t="s">
        <v>1282</v>
      </c>
      <c r="K146" s="9" t="s">
        <v>1150</v>
      </c>
      <c r="L146" s="12" t="n">
        <v>1</v>
      </c>
      <c r="M146" s="20" t="n">
        <v>73260</v>
      </c>
      <c r="N146" s="20" t="n">
        <v>73260</v>
      </c>
      <c r="O146" s="20" t="n">
        <v>0</v>
      </c>
      <c r="P146" s="12" t="n">
        <f aca="false">IF($E146="squad",INDEX(Assumptions!$D$16:$D$56,MATCH($C146&amp;"|"&amp;$D146,Assumptions!$H$16:$H$56,0)),0)</f>
        <v>1</v>
      </c>
      <c r="Q146" s="20" t="n">
        <f aca="false">$N146*$P146</f>
        <v>73260</v>
      </c>
    </row>
    <row r="147" customFormat="false" ht="15" hidden="false" customHeight="false" outlineLevel="0" collapsed="false">
      <c r="A147" s="9" t="s">
        <v>398</v>
      </c>
      <c r="B147" s="9" t="s">
        <v>1290</v>
      </c>
      <c r="C147" s="9" t="s">
        <v>18</v>
      </c>
      <c r="D147" s="9" t="s">
        <v>308</v>
      </c>
      <c r="E147" s="9" t="s">
        <v>1281</v>
      </c>
      <c r="F147" s="9" t="s">
        <v>69</v>
      </c>
      <c r="G147" s="9" t="s">
        <v>71</v>
      </c>
      <c r="H147" s="9"/>
      <c r="I147" s="25" t="n">
        <v>1</v>
      </c>
      <c r="J147" s="9" t="s">
        <v>1282</v>
      </c>
      <c r="K147" s="9" t="s">
        <v>1150</v>
      </c>
      <c r="L147" s="12" t="n">
        <v>1</v>
      </c>
      <c r="M147" s="20" t="n">
        <v>73260</v>
      </c>
      <c r="N147" s="20" t="n">
        <v>73260</v>
      </c>
      <c r="O147" s="20" t="n">
        <v>0</v>
      </c>
      <c r="P147" s="12" t="n">
        <f aca="false">IF($E147="squad",INDEX(Assumptions!$D$16:$D$56,MATCH($C147&amp;"|"&amp;$D147,Assumptions!$H$16:$H$56,0)),0)</f>
        <v>1</v>
      </c>
      <c r="Q147" s="20" t="n">
        <f aca="false">$N147*$P147</f>
        <v>73260</v>
      </c>
    </row>
    <row r="148" customFormat="false" ht="15" hidden="false" customHeight="false" outlineLevel="0" collapsed="false">
      <c r="A148" s="9" t="s">
        <v>399</v>
      </c>
      <c r="B148" s="9" t="s">
        <v>1290</v>
      </c>
      <c r="C148" s="9" t="s">
        <v>18</v>
      </c>
      <c r="D148" s="9" t="s">
        <v>308</v>
      </c>
      <c r="E148" s="9" t="s">
        <v>1281</v>
      </c>
      <c r="F148" s="9" t="s">
        <v>53</v>
      </c>
      <c r="G148" s="9" t="s">
        <v>53</v>
      </c>
      <c r="H148" s="9"/>
      <c r="I148" s="25" t="n">
        <v>1</v>
      </c>
      <c r="J148" s="9" t="s">
        <v>1282</v>
      </c>
      <c r="K148" s="9" t="s">
        <v>1150</v>
      </c>
      <c r="L148" s="12" t="n">
        <v>1</v>
      </c>
      <c r="M148" s="20" t="n">
        <v>257788.5</v>
      </c>
      <c r="N148" s="20" t="n">
        <v>257788.5</v>
      </c>
      <c r="O148" s="20" t="n">
        <v>0</v>
      </c>
      <c r="P148" s="12" t="n">
        <f aca="false">IF($E148="squad",INDEX(Assumptions!$D$16:$D$56,MATCH($C148&amp;"|"&amp;$D148,Assumptions!$H$16:$H$56,0)),0)</f>
        <v>1</v>
      </c>
      <c r="Q148" s="20" t="n">
        <f aca="false">$N148*$P148</f>
        <v>257788.5</v>
      </c>
    </row>
    <row r="149" customFormat="false" ht="15" hidden="false" customHeight="false" outlineLevel="0" collapsed="false">
      <c r="A149" s="9" t="s">
        <v>402</v>
      </c>
      <c r="B149" s="9" t="s">
        <v>1290</v>
      </c>
      <c r="C149" s="9" t="s">
        <v>18</v>
      </c>
      <c r="D149" s="9" t="s">
        <v>308</v>
      </c>
      <c r="E149" s="9" t="s">
        <v>1281</v>
      </c>
      <c r="F149" s="9" t="s">
        <v>53</v>
      </c>
      <c r="G149" s="9" t="s">
        <v>53</v>
      </c>
      <c r="H149" s="9"/>
      <c r="I149" s="25" t="n">
        <v>1</v>
      </c>
      <c r="J149" s="9" t="s">
        <v>1282</v>
      </c>
      <c r="K149" s="9" t="s">
        <v>1150</v>
      </c>
      <c r="L149" s="12" t="n">
        <v>1</v>
      </c>
      <c r="M149" s="20" t="n">
        <v>165860.95</v>
      </c>
      <c r="N149" s="20" t="n">
        <v>165860.95</v>
      </c>
      <c r="O149" s="20" t="n">
        <v>0</v>
      </c>
      <c r="P149" s="12" t="n">
        <f aca="false">IF($E149="squad",INDEX(Assumptions!$D$16:$D$56,MATCH($C149&amp;"|"&amp;$D149,Assumptions!$H$16:$H$56,0)),0)</f>
        <v>1</v>
      </c>
      <c r="Q149" s="20" t="n">
        <f aca="false">$N149*$P149</f>
        <v>165860.95</v>
      </c>
    </row>
    <row r="150" customFormat="false" ht="15" hidden="false" customHeight="false" outlineLevel="0" collapsed="false">
      <c r="A150" s="9" t="s">
        <v>406</v>
      </c>
      <c r="B150" s="9" t="s">
        <v>1290</v>
      </c>
      <c r="C150" s="9" t="s">
        <v>18</v>
      </c>
      <c r="D150" s="9" t="s">
        <v>405</v>
      </c>
      <c r="E150" s="9" t="s">
        <v>1283</v>
      </c>
      <c r="F150" s="9" t="s">
        <v>53</v>
      </c>
      <c r="G150" s="9" t="s">
        <v>53</v>
      </c>
      <c r="H150" s="9"/>
      <c r="I150" s="25" t="n">
        <v>1</v>
      </c>
      <c r="J150" s="9" t="s">
        <v>1282</v>
      </c>
      <c r="K150" s="9" t="s">
        <v>36</v>
      </c>
      <c r="L150" s="12" t="n">
        <v>1</v>
      </c>
      <c r="M150" s="20" t="n">
        <v>264180</v>
      </c>
      <c r="N150" s="20" t="n">
        <v>264180</v>
      </c>
      <c r="O150" s="20" t="n">
        <v>0</v>
      </c>
      <c r="P150" s="12" t="n">
        <f aca="false">IF($E150="squad",INDEX(Assumptions!$D$16:$D$56,MATCH($C150&amp;"|"&amp;$D150,Assumptions!$H$16:$H$56,0)),0)</f>
        <v>0</v>
      </c>
      <c r="Q150" s="20" t="n">
        <f aca="false">$N150*$P150</f>
        <v>0</v>
      </c>
    </row>
    <row r="151" customFormat="false" ht="15" hidden="false" customHeight="false" outlineLevel="0" collapsed="false">
      <c r="A151" s="9" t="s">
        <v>408</v>
      </c>
      <c r="B151" s="9" t="s">
        <v>1290</v>
      </c>
      <c r="C151" s="9" t="s">
        <v>18</v>
      </c>
      <c r="D151" s="9" t="s">
        <v>405</v>
      </c>
      <c r="E151" s="9" t="s">
        <v>1283</v>
      </c>
      <c r="F151" s="9" t="s">
        <v>53</v>
      </c>
      <c r="G151" s="9" t="s">
        <v>53</v>
      </c>
      <c r="H151" s="9"/>
      <c r="I151" s="25" t="n">
        <v>1</v>
      </c>
      <c r="J151" s="9" t="s">
        <v>1282</v>
      </c>
      <c r="K151" s="9" t="s">
        <v>36</v>
      </c>
      <c r="L151" s="12" t="n">
        <v>1</v>
      </c>
      <c r="M151" s="20" t="n">
        <v>269730</v>
      </c>
      <c r="N151" s="20" t="n">
        <v>269730</v>
      </c>
      <c r="O151" s="20" t="n">
        <v>0</v>
      </c>
      <c r="P151" s="12" t="n">
        <f aca="false">IF($E151="squad",INDEX(Assumptions!$D$16:$D$56,MATCH($C151&amp;"|"&amp;$D151,Assumptions!$H$16:$H$56,0)),0)</f>
        <v>0</v>
      </c>
      <c r="Q151" s="20" t="n">
        <f aca="false">$N151*$P151</f>
        <v>0</v>
      </c>
    </row>
    <row r="152" customFormat="false" ht="15" hidden="false" customHeight="false" outlineLevel="0" collapsed="false">
      <c r="A152" s="9" t="s">
        <v>410</v>
      </c>
      <c r="B152" s="9" t="s">
        <v>1290</v>
      </c>
      <c r="C152" s="9" t="s">
        <v>18</v>
      </c>
      <c r="D152" s="9" t="s">
        <v>405</v>
      </c>
      <c r="E152" s="9" t="s">
        <v>1283</v>
      </c>
      <c r="F152" s="9" t="s">
        <v>53</v>
      </c>
      <c r="G152" s="9" t="s">
        <v>53</v>
      </c>
      <c r="H152" s="9"/>
      <c r="I152" s="25" t="n">
        <v>1</v>
      </c>
      <c r="J152" s="9" t="s">
        <v>1282</v>
      </c>
      <c r="K152" s="9" t="s">
        <v>36</v>
      </c>
      <c r="L152" s="12" t="n">
        <v>1</v>
      </c>
      <c r="M152" s="20" t="n">
        <v>0</v>
      </c>
      <c r="N152" s="20" t="n">
        <v>0</v>
      </c>
      <c r="O152" s="20" t="n">
        <v>0</v>
      </c>
      <c r="P152" s="12" t="n">
        <f aca="false">IF($E152="squad",INDEX(Assumptions!$D$16:$D$56,MATCH($C152&amp;"|"&amp;$D152,Assumptions!$H$16:$H$56,0)),0)</f>
        <v>0</v>
      </c>
      <c r="Q152" s="20" t="n">
        <f aca="false">$N152*$P152</f>
        <v>0</v>
      </c>
    </row>
    <row r="153" customFormat="false" ht="15" hidden="false" customHeight="false" outlineLevel="0" collapsed="false">
      <c r="A153" s="9" t="s">
        <v>412</v>
      </c>
      <c r="B153" s="9" t="s">
        <v>1290</v>
      </c>
      <c r="C153" s="9" t="s">
        <v>18</v>
      </c>
      <c r="D153" s="9" t="s">
        <v>405</v>
      </c>
      <c r="E153" s="9" t="s">
        <v>1283</v>
      </c>
      <c r="F153" s="9" t="s">
        <v>53</v>
      </c>
      <c r="G153" s="9" t="s">
        <v>53</v>
      </c>
      <c r="H153" s="9"/>
      <c r="I153" s="25" t="n">
        <v>1</v>
      </c>
      <c r="J153" s="9" t="s">
        <v>1282</v>
      </c>
      <c r="K153" s="9" t="s">
        <v>36</v>
      </c>
      <c r="L153" s="12" t="n">
        <v>1</v>
      </c>
      <c r="M153" s="20" t="n">
        <v>264180</v>
      </c>
      <c r="N153" s="20" t="n">
        <v>264180</v>
      </c>
      <c r="O153" s="20" t="n">
        <v>0</v>
      </c>
      <c r="P153" s="12" t="n">
        <f aca="false">IF($E153="squad",INDEX(Assumptions!$D$16:$D$56,MATCH($C153&amp;"|"&amp;$D153,Assumptions!$H$16:$H$56,0)),0)</f>
        <v>0</v>
      </c>
      <c r="Q153" s="20" t="n">
        <f aca="false">$N153*$P153</f>
        <v>0</v>
      </c>
    </row>
    <row r="154" customFormat="false" ht="15" hidden="false" customHeight="false" outlineLevel="0" collapsed="false">
      <c r="A154" s="9" t="s">
        <v>414</v>
      </c>
      <c r="B154" s="9" t="s">
        <v>1290</v>
      </c>
      <c r="C154" s="9" t="s">
        <v>18</v>
      </c>
      <c r="D154" s="9" t="s">
        <v>405</v>
      </c>
      <c r="E154" s="9" t="s">
        <v>1283</v>
      </c>
      <c r="F154" s="9" t="s">
        <v>53</v>
      </c>
      <c r="G154" s="9" t="s">
        <v>53</v>
      </c>
      <c r="H154" s="9"/>
      <c r="I154" s="25" t="n">
        <v>1</v>
      </c>
      <c r="J154" s="9" t="s">
        <v>1282</v>
      </c>
      <c r="K154" s="9" t="s">
        <v>36</v>
      </c>
      <c r="L154" s="12" t="n">
        <v>1</v>
      </c>
      <c r="M154" s="20" t="n">
        <v>304903.1</v>
      </c>
      <c r="N154" s="20" t="n">
        <v>304903.1</v>
      </c>
      <c r="O154" s="20" t="n">
        <v>0</v>
      </c>
      <c r="P154" s="12" t="n">
        <f aca="false">IF($E154="squad",INDEX(Assumptions!$D$16:$D$56,MATCH($C154&amp;"|"&amp;$D154,Assumptions!$H$16:$H$56,0)),0)</f>
        <v>0</v>
      </c>
      <c r="Q154" s="20" t="n">
        <f aca="false">$N154*$P154</f>
        <v>0</v>
      </c>
    </row>
    <row r="155" customFormat="false" ht="15" hidden="false" customHeight="false" outlineLevel="0" collapsed="false">
      <c r="A155" s="9" t="s">
        <v>417</v>
      </c>
      <c r="B155" s="9" t="s">
        <v>1290</v>
      </c>
      <c r="C155" s="9" t="s">
        <v>18</v>
      </c>
      <c r="D155" s="9" t="s">
        <v>405</v>
      </c>
      <c r="E155" s="9" t="s">
        <v>1283</v>
      </c>
      <c r="F155" s="9" t="s">
        <v>53</v>
      </c>
      <c r="G155" s="9" t="s">
        <v>53</v>
      </c>
      <c r="H155" s="9"/>
      <c r="I155" s="25" t="n">
        <v>1</v>
      </c>
      <c r="J155" s="9" t="s">
        <v>1282</v>
      </c>
      <c r="K155" s="9" t="s">
        <v>36</v>
      </c>
      <c r="L155" s="12" t="n">
        <v>1</v>
      </c>
      <c r="M155" s="20" t="n">
        <v>216047.05</v>
      </c>
      <c r="N155" s="20" t="n">
        <v>216047.05</v>
      </c>
      <c r="O155" s="20" t="n">
        <v>0</v>
      </c>
      <c r="P155" s="12" t="n">
        <f aca="false">IF($E155="squad",INDEX(Assumptions!$D$16:$D$56,MATCH($C155&amp;"|"&amp;$D155,Assumptions!$H$16:$H$56,0)),0)</f>
        <v>0</v>
      </c>
      <c r="Q155" s="20" t="n">
        <f aca="false">$N155*$P155</f>
        <v>0</v>
      </c>
    </row>
    <row r="156" customFormat="false" ht="15" hidden="false" customHeight="false" outlineLevel="0" collapsed="false">
      <c r="A156" s="9" t="s">
        <v>419</v>
      </c>
      <c r="B156" s="9" t="s">
        <v>1290</v>
      </c>
      <c r="C156" s="9" t="s">
        <v>18</v>
      </c>
      <c r="D156" s="9" t="s">
        <v>405</v>
      </c>
      <c r="E156" s="9" t="s">
        <v>1283</v>
      </c>
      <c r="F156" s="9" t="s">
        <v>53</v>
      </c>
      <c r="G156" s="9" t="s">
        <v>53</v>
      </c>
      <c r="H156" s="9"/>
      <c r="I156" s="25" t="n">
        <v>1</v>
      </c>
      <c r="J156" s="9" t="s">
        <v>1282</v>
      </c>
      <c r="K156" s="9" t="s">
        <v>36</v>
      </c>
      <c r="L156" s="12" t="n">
        <v>1</v>
      </c>
      <c r="M156" s="20" t="n">
        <v>218926.65</v>
      </c>
      <c r="N156" s="20" t="n">
        <v>218926.65</v>
      </c>
      <c r="O156" s="20" t="n">
        <v>0</v>
      </c>
      <c r="P156" s="12" t="n">
        <f aca="false">IF($E156="squad",INDEX(Assumptions!$D$16:$D$56,MATCH($C156&amp;"|"&amp;$D156,Assumptions!$H$16:$H$56,0)),0)</f>
        <v>0</v>
      </c>
      <c r="Q156" s="20" t="n">
        <f aca="false">$N156*$P156</f>
        <v>0</v>
      </c>
    </row>
    <row r="157" customFormat="false" ht="15" hidden="false" customHeight="false" outlineLevel="0" collapsed="false">
      <c r="A157" s="9" t="s">
        <v>422</v>
      </c>
      <c r="B157" s="9" t="s">
        <v>1290</v>
      </c>
      <c r="C157" s="9" t="s">
        <v>18</v>
      </c>
      <c r="D157" s="9" t="s">
        <v>405</v>
      </c>
      <c r="E157" s="9" t="s">
        <v>1283</v>
      </c>
      <c r="F157" s="9" t="s">
        <v>53</v>
      </c>
      <c r="G157" s="9" t="s">
        <v>53</v>
      </c>
      <c r="H157" s="9"/>
      <c r="I157" s="25" t="n">
        <v>1</v>
      </c>
      <c r="J157" s="9" t="s">
        <v>1282</v>
      </c>
      <c r="K157" s="9" t="s">
        <v>36</v>
      </c>
      <c r="L157" s="12" t="n">
        <v>1</v>
      </c>
      <c r="M157" s="20" t="n">
        <v>223946.25</v>
      </c>
      <c r="N157" s="20" t="n">
        <v>223946.25</v>
      </c>
      <c r="O157" s="20" t="n">
        <v>0</v>
      </c>
      <c r="P157" s="12" t="n">
        <f aca="false">IF($E157="squad",INDEX(Assumptions!$D$16:$D$56,MATCH($C157&amp;"|"&amp;$D157,Assumptions!$H$16:$H$56,0)),0)</f>
        <v>0</v>
      </c>
      <c r="Q157" s="20" t="n">
        <f aca="false">$N157*$P157</f>
        <v>0</v>
      </c>
    </row>
    <row r="158" customFormat="false" ht="15" hidden="false" customHeight="false" outlineLevel="0" collapsed="false">
      <c r="A158" s="9" t="s">
        <v>424</v>
      </c>
      <c r="B158" s="9" t="s">
        <v>1290</v>
      </c>
      <c r="C158" s="9" t="s">
        <v>18</v>
      </c>
      <c r="D158" s="9" t="s">
        <v>405</v>
      </c>
      <c r="E158" s="9" t="s">
        <v>1283</v>
      </c>
      <c r="F158" s="9" t="s">
        <v>53</v>
      </c>
      <c r="G158" s="9" t="s">
        <v>78</v>
      </c>
      <c r="H158" s="9"/>
      <c r="I158" s="25" t="n">
        <v>1</v>
      </c>
      <c r="J158" s="9" t="s">
        <v>1282</v>
      </c>
      <c r="K158" s="9" t="s">
        <v>36</v>
      </c>
      <c r="L158" s="12" t="n">
        <v>1</v>
      </c>
      <c r="M158" s="20" t="n">
        <v>197993.85</v>
      </c>
      <c r="N158" s="20" t="n">
        <v>0</v>
      </c>
      <c r="O158" s="20" t="n">
        <v>0</v>
      </c>
      <c r="P158" s="12" t="n">
        <f aca="false">IF($E158="squad",INDEX(Assumptions!$D$16:$D$56,MATCH($C158&amp;"|"&amp;$D158,Assumptions!$H$16:$H$56,0)),0)</f>
        <v>0</v>
      </c>
      <c r="Q158" s="20" t="n">
        <f aca="false">$N158*$P158</f>
        <v>0</v>
      </c>
    </row>
    <row r="159" customFormat="false" ht="15" hidden="false" customHeight="false" outlineLevel="0" collapsed="false">
      <c r="A159" s="9" t="s">
        <v>427</v>
      </c>
      <c r="B159" s="9" t="s">
        <v>1290</v>
      </c>
      <c r="C159" s="9" t="s">
        <v>18</v>
      </c>
      <c r="D159" s="9" t="s">
        <v>405</v>
      </c>
      <c r="E159" s="9" t="s">
        <v>1283</v>
      </c>
      <c r="F159" s="9" t="s">
        <v>69</v>
      </c>
      <c r="G159" s="9" t="s">
        <v>82</v>
      </c>
      <c r="H159" s="9"/>
      <c r="I159" s="25" t="n">
        <v>1</v>
      </c>
      <c r="J159" s="9" t="s">
        <v>1282</v>
      </c>
      <c r="K159" s="9" t="s">
        <v>405</v>
      </c>
      <c r="L159" s="12" t="n">
        <v>1</v>
      </c>
      <c r="M159" s="20" t="n">
        <v>304902.1</v>
      </c>
      <c r="N159" s="20" t="n">
        <v>304902.1</v>
      </c>
      <c r="O159" s="20" t="n">
        <v>0</v>
      </c>
      <c r="P159" s="12" t="n">
        <f aca="false">IF($E159="squad",INDEX(Assumptions!$D$16:$D$56,MATCH($C159&amp;"|"&amp;$D159,Assumptions!$H$16:$H$56,0)),0)</f>
        <v>0</v>
      </c>
      <c r="Q159" s="20" t="n">
        <f aca="false">$N159*$P159</f>
        <v>0</v>
      </c>
    </row>
    <row r="160" customFormat="false" ht="15" hidden="false" customHeight="false" outlineLevel="0" collapsed="false">
      <c r="A160" s="9" t="s">
        <v>429</v>
      </c>
      <c r="B160" s="9" t="s">
        <v>1290</v>
      </c>
      <c r="C160" s="9" t="s">
        <v>18</v>
      </c>
      <c r="D160" s="9" t="s">
        <v>405</v>
      </c>
      <c r="E160" s="9" t="s">
        <v>1283</v>
      </c>
      <c r="F160" s="9" t="s">
        <v>53</v>
      </c>
      <c r="G160" s="9" t="s">
        <v>53</v>
      </c>
      <c r="H160" s="9"/>
      <c r="I160" s="25" t="n">
        <v>1</v>
      </c>
      <c r="J160" s="9" t="s">
        <v>1282</v>
      </c>
      <c r="K160" s="9" t="s">
        <v>405</v>
      </c>
      <c r="L160" s="12" t="n">
        <v>1</v>
      </c>
      <c r="M160" s="20" t="n">
        <v>240301</v>
      </c>
      <c r="N160" s="20" t="n">
        <v>240301</v>
      </c>
      <c r="O160" s="20" t="n">
        <v>0</v>
      </c>
      <c r="P160" s="12" t="n">
        <f aca="false">IF($E160="squad",INDEX(Assumptions!$D$16:$D$56,MATCH($C160&amp;"|"&amp;$D160,Assumptions!$H$16:$H$56,0)),0)</f>
        <v>0</v>
      </c>
      <c r="Q160" s="20" t="n">
        <f aca="false">$N160*$P160</f>
        <v>0</v>
      </c>
    </row>
    <row r="161" customFormat="false" ht="15" hidden="false" customHeight="false" outlineLevel="0" collapsed="false">
      <c r="A161" s="9" t="s">
        <v>432</v>
      </c>
      <c r="B161" s="9" t="s">
        <v>1290</v>
      </c>
      <c r="C161" s="9" t="s">
        <v>18</v>
      </c>
      <c r="D161" s="9" t="s">
        <v>405</v>
      </c>
      <c r="E161" s="9" t="s">
        <v>1283</v>
      </c>
      <c r="F161" s="9" t="s">
        <v>53</v>
      </c>
      <c r="G161" s="9" t="s">
        <v>53</v>
      </c>
      <c r="H161" s="9"/>
      <c r="I161" s="25" t="n">
        <v>1</v>
      </c>
      <c r="J161" s="9" t="s">
        <v>1282</v>
      </c>
      <c r="K161" s="9" t="s">
        <v>405</v>
      </c>
      <c r="L161" s="12" t="n">
        <v>1</v>
      </c>
      <c r="M161" s="20" t="n">
        <v>216045.05</v>
      </c>
      <c r="N161" s="20" t="n">
        <v>216045.05</v>
      </c>
      <c r="O161" s="20" t="n">
        <v>0</v>
      </c>
      <c r="P161" s="12" t="n">
        <f aca="false">IF($E161="squad",INDEX(Assumptions!$D$16:$D$56,MATCH($C161&amp;"|"&amp;$D161,Assumptions!$H$16:$H$56,0)),0)</f>
        <v>0</v>
      </c>
      <c r="Q161" s="20" t="n">
        <f aca="false">$N161*$P161</f>
        <v>0</v>
      </c>
    </row>
    <row r="162" customFormat="false" ht="15" hidden="false" customHeight="false" outlineLevel="0" collapsed="false">
      <c r="A162" s="9" t="s">
        <v>434</v>
      </c>
      <c r="B162" s="9" t="s">
        <v>1290</v>
      </c>
      <c r="C162" s="9" t="s">
        <v>18</v>
      </c>
      <c r="D162" s="9" t="s">
        <v>405</v>
      </c>
      <c r="E162" s="9" t="s">
        <v>1283</v>
      </c>
      <c r="F162" s="9" t="s">
        <v>53</v>
      </c>
      <c r="G162" s="9" t="s">
        <v>53</v>
      </c>
      <c r="H162" s="9"/>
      <c r="I162" s="25" t="n">
        <v>1</v>
      </c>
      <c r="J162" s="9" t="s">
        <v>1284</v>
      </c>
      <c r="K162" s="9" t="s">
        <v>36</v>
      </c>
      <c r="L162" s="12" t="n">
        <v>1</v>
      </c>
      <c r="M162" s="20" t="n">
        <v>138704</v>
      </c>
      <c r="N162" s="20" t="n">
        <v>138704</v>
      </c>
      <c r="O162" s="20" t="n">
        <v>0</v>
      </c>
      <c r="P162" s="12" t="n">
        <f aca="false">IF($E162="squad",INDEX(Assumptions!$D$16:$D$56,MATCH($C162&amp;"|"&amp;$D162,Assumptions!$H$16:$H$56,0)),0)</f>
        <v>0</v>
      </c>
      <c r="Q162" s="20" t="n">
        <f aca="false">$N162*$P162</f>
        <v>0</v>
      </c>
    </row>
    <row r="163" customFormat="false" ht="15" hidden="false" customHeight="false" outlineLevel="0" collapsed="false">
      <c r="A163" s="9" t="s">
        <v>437</v>
      </c>
      <c r="B163" s="9" t="s">
        <v>1290</v>
      </c>
      <c r="C163" s="9" t="s">
        <v>18</v>
      </c>
      <c r="D163" s="9" t="s">
        <v>436</v>
      </c>
      <c r="E163" s="9" t="s">
        <v>1283</v>
      </c>
      <c r="F163" s="9" t="s">
        <v>53</v>
      </c>
      <c r="G163" s="9" t="s">
        <v>71</v>
      </c>
      <c r="H163" s="9"/>
      <c r="I163" s="25" t="n">
        <v>0.380332291612807</v>
      </c>
      <c r="J163" s="9" t="s">
        <v>1282</v>
      </c>
      <c r="K163" s="9" t="s">
        <v>1150</v>
      </c>
      <c r="L163" s="12" t="n">
        <v>0.380332291612807</v>
      </c>
      <c r="M163" s="20" t="n">
        <v>52014.2442009675</v>
      </c>
      <c r="N163" s="20" t="n">
        <v>20805.697680387</v>
      </c>
      <c r="O163" s="20" t="n">
        <v>0</v>
      </c>
      <c r="P163" s="12" t="n">
        <f aca="false">IF($E163="squad",INDEX(Assumptions!$D$16:$D$56,MATCH($C163&amp;"|"&amp;$D163,Assumptions!$H$16:$H$56,0)),0)</f>
        <v>0</v>
      </c>
      <c r="Q163" s="20" t="n">
        <f aca="false">$N163*$P163</f>
        <v>0</v>
      </c>
    </row>
    <row r="164" customFormat="false" ht="15" hidden="false" customHeight="false" outlineLevel="0" collapsed="false">
      <c r="A164" s="9" t="s">
        <v>440</v>
      </c>
      <c r="B164" s="9" t="s">
        <v>1290</v>
      </c>
      <c r="C164" s="9" t="s">
        <v>18</v>
      </c>
      <c r="D164" s="9" t="s">
        <v>203</v>
      </c>
      <c r="E164" s="9" t="s">
        <v>1286</v>
      </c>
      <c r="F164" s="9" t="s">
        <v>53</v>
      </c>
      <c r="G164" s="9" t="s">
        <v>53</v>
      </c>
      <c r="H164" s="9"/>
      <c r="I164" s="25" t="n">
        <v>0.380332291612807</v>
      </c>
      <c r="J164" s="9" t="s">
        <v>1284</v>
      </c>
      <c r="K164" s="9" t="s">
        <v>464</v>
      </c>
      <c r="L164" s="12" t="n">
        <v>0.380332291612807</v>
      </c>
      <c r="M164" s="20" t="n">
        <v>84442.0249914295</v>
      </c>
      <c r="N164" s="20" t="n">
        <v>84442.0249914295</v>
      </c>
      <c r="O164" s="20" t="n">
        <v>0</v>
      </c>
      <c r="P164" s="12" t="n">
        <f aca="false">IF($E164="squad",INDEX(Assumptions!$D$16:$D$56,MATCH($C164&amp;"|"&amp;$D164,Assumptions!$H$16:$H$56,0)),0)</f>
        <v>0</v>
      </c>
      <c r="Q164" s="20" t="n">
        <f aca="false">$N164*$P164</f>
        <v>0</v>
      </c>
    </row>
    <row r="165" customFormat="false" ht="15" hidden="false" customHeight="false" outlineLevel="0" collapsed="false">
      <c r="A165" s="9" t="s">
        <v>442</v>
      </c>
      <c r="B165" s="9" t="s">
        <v>1290</v>
      </c>
      <c r="C165" s="9" t="s">
        <v>18</v>
      </c>
      <c r="D165" s="9" t="s">
        <v>203</v>
      </c>
      <c r="E165" s="9" t="s">
        <v>1286</v>
      </c>
      <c r="F165" s="9" t="s">
        <v>53</v>
      </c>
      <c r="G165" s="9" t="s">
        <v>53</v>
      </c>
      <c r="H165" s="9"/>
      <c r="I165" s="25" t="n">
        <v>0.380332291612807</v>
      </c>
      <c r="J165" s="9" t="s">
        <v>1282</v>
      </c>
      <c r="K165" s="9" t="s">
        <v>1150</v>
      </c>
      <c r="L165" s="12" t="n">
        <v>0.380332291612807</v>
      </c>
      <c r="M165" s="20" t="n">
        <v>115964.114410557</v>
      </c>
      <c r="N165" s="20" t="n">
        <v>115964.114410557</v>
      </c>
      <c r="O165" s="20" t="n">
        <v>0</v>
      </c>
      <c r="P165" s="12" t="n">
        <f aca="false">IF($E165="squad",INDEX(Assumptions!$D$16:$D$56,MATCH($C165&amp;"|"&amp;$D165,Assumptions!$H$16:$H$56,0)),0)</f>
        <v>0</v>
      </c>
      <c r="Q165" s="20" t="n">
        <f aca="false">$N165*$P165</f>
        <v>0</v>
      </c>
    </row>
    <row r="166" customFormat="false" ht="15" hidden="false" customHeight="false" outlineLevel="0" collapsed="false">
      <c r="A166" s="9" t="s">
        <v>444</v>
      </c>
      <c r="B166" s="9" t="s">
        <v>1290</v>
      </c>
      <c r="C166" s="9" t="s">
        <v>18</v>
      </c>
      <c r="D166" s="9" t="s">
        <v>206</v>
      </c>
      <c r="E166" s="9" t="s">
        <v>1286</v>
      </c>
      <c r="F166" s="9" t="s">
        <v>53</v>
      </c>
      <c r="G166" s="9" t="s">
        <v>53</v>
      </c>
      <c r="H166" s="9"/>
      <c r="I166" s="25" t="n">
        <v>0.380332291612807</v>
      </c>
      <c r="J166" s="9" t="s">
        <v>1284</v>
      </c>
      <c r="K166" s="9" t="s">
        <v>464</v>
      </c>
      <c r="L166" s="12" t="n">
        <v>0.380332291612807</v>
      </c>
      <c r="M166" s="20" t="n">
        <v>78997.667123388</v>
      </c>
      <c r="N166" s="20" t="n">
        <v>78997.667123388</v>
      </c>
      <c r="O166" s="20" t="n">
        <v>0</v>
      </c>
      <c r="P166" s="12" t="n">
        <f aca="false">IF($E166="squad",INDEX(Assumptions!$D$16:$D$56,MATCH($C166&amp;"|"&amp;$D166,Assumptions!$H$16:$H$56,0)),0)</f>
        <v>0</v>
      </c>
      <c r="Q166" s="20" t="n">
        <f aca="false">$N166*$P166</f>
        <v>0</v>
      </c>
    </row>
    <row r="167" customFormat="false" ht="15" hidden="false" customHeight="false" outlineLevel="0" collapsed="false">
      <c r="A167" s="9" t="s">
        <v>447</v>
      </c>
      <c r="B167" s="9" t="s">
        <v>1290</v>
      </c>
      <c r="C167" s="9" t="s">
        <v>18</v>
      </c>
      <c r="D167" s="9" t="s">
        <v>206</v>
      </c>
      <c r="E167" s="9" t="s">
        <v>1286</v>
      </c>
      <c r="F167" s="9" t="s">
        <v>53</v>
      </c>
      <c r="G167" s="9" t="s">
        <v>53</v>
      </c>
      <c r="H167" s="9"/>
      <c r="I167" s="25" t="n">
        <v>0.380332291612807</v>
      </c>
      <c r="J167" s="9" t="s">
        <v>1284</v>
      </c>
      <c r="K167" s="9" t="s">
        <v>464</v>
      </c>
      <c r="L167" s="12" t="n">
        <v>0.380332291612807</v>
      </c>
      <c r="M167" s="20" t="n">
        <v>84889.6243734661</v>
      </c>
      <c r="N167" s="20" t="n">
        <v>84889.6243734661</v>
      </c>
      <c r="O167" s="20" t="n">
        <v>0</v>
      </c>
      <c r="P167" s="12" t="n">
        <f aca="false">IF($E167="squad",INDEX(Assumptions!$D$16:$D$56,MATCH($C167&amp;"|"&amp;$D167,Assumptions!$H$16:$H$56,0)),0)</f>
        <v>0</v>
      </c>
      <c r="Q167" s="20" t="n">
        <f aca="false">$N167*$P167</f>
        <v>0</v>
      </c>
    </row>
    <row r="168" customFormat="false" ht="15" hidden="false" customHeight="false" outlineLevel="0" collapsed="false">
      <c r="A168" s="9" t="s">
        <v>450</v>
      </c>
      <c r="B168" s="9" t="s">
        <v>1290</v>
      </c>
      <c r="C168" s="9" t="s">
        <v>18</v>
      </c>
      <c r="D168" s="9" t="s">
        <v>206</v>
      </c>
      <c r="E168" s="9" t="s">
        <v>1286</v>
      </c>
      <c r="F168" s="9" t="s">
        <v>53</v>
      </c>
      <c r="G168" s="9" t="s">
        <v>53</v>
      </c>
      <c r="H168" s="9"/>
      <c r="I168" s="25" t="n">
        <v>0.380332291612807</v>
      </c>
      <c r="J168" s="9" t="s">
        <v>1282</v>
      </c>
      <c r="K168" s="9" t="s">
        <v>1150</v>
      </c>
      <c r="L168" s="12" t="n">
        <v>0.380332291612807</v>
      </c>
      <c r="M168" s="20" t="n">
        <v>114505.673188524</v>
      </c>
      <c r="N168" s="20" t="n">
        <v>114505.673188524</v>
      </c>
      <c r="O168" s="20" t="n">
        <v>0</v>
      </c>
      <c r="P168" s="12" t="n">
        <f aca="false">IF($E168="squad",INDEX(Assumptions!$D$16:$D$56,MATCH($C168&amp;"|"&amp;$D168,Assumptions!$H$16:$H$56,0)),0)</f>
        <v>0</v>
      </c>
      <c r="Q168" s="20" t="n">
        <f aca="false">$N168*$P168</f>
        <v>0</v>
      </c>
    </row>
    <row r="169" customFormat="false" ht="15" hidden="false" customHeight="false" outlineLevel="0" collapsed="false">
      <c r="A169" s="9" t="s">
        <v>453</v>
      </c>
      <c r="B169" s="9" t="s">
        <v>1290</v>
      </c>
      <c r="C169" s="9" t="s">
        <v>18</v>
      </c>
      <c r="D169" s="9" t="s">
        <v>206</v>
      </c>
      <c r="E169" s="9" t="s">
        <v>1286</v>
      </c>
      <c r="F169" s="9" t="s">
        <v>69</v>
      </c>
      <c r="G169" s="9" t="s">
        <v>82</v>
      </c>
      <c r="H169" s="9"/>
      <c r="I169" s="25" t="n">
        <v>0.380332291612807</v>
      </c>
      <c r="J169" s="9" t="s">
        <v>1282</v>
      </c>
      <c r="K169" s="9" t="s">
        <v>1150</v>
      </c>
      <c r="L169" s="12" t="n">
        <v>0.380332291612807</v>
      </c>
      <c r="M169" s="20" t="n">
        <v>115964.114410557</v>
      </c>
      <c r="N169" s="20" t="n">
        <v>115964.114410557</v>
      </c>
      <c r="O169" s="20" t="n">
        <v>0</v>
      </c>
      <c r="P169" s="12" t="n">
        <f aca="false">IF($E169="squad",INDEX(Assumptions!$D$16:$D$56,MATCH($C169&amp;"|"&amp;$D169,Assumptions!$H$16:$H$56,0)),0)</f>
        <v>0</v>
      </c>
      <c r="Q169" s="20" t="n">
        <f aca="false">$N169*$P169</f>
        <v>0</v>
      </c>
    </row>
    <row r="170" customFormat="false" ht="15" hidden="false" customHeight="false" outlineLevel="0" collapsed="false">
      <c r="A170" s="9" t="s">
        <v>455</v>
      </c>
      <c r="B170" s="9" t="s">
        <v>1290</v>
      </c>
      <c r="C170" s="9" t="s">
        <v>18</v>
      </c>
      <c r="D170" s="9" t="s">
        <v>454</v>
      </c>
      <c r="E170" s="9" t="s">
        <v>1286</v>
      </c>
      <c r="F170" s="9" t="s">
        <v>53</v>
      </c>
      <c r="G170" s="9" t="s">
        <v>53</v>
      </c>
      <c r="H170" s="9"/>
      <c r="I170" s="25" t="n">
        <v>0.380332291612807</v>
      </c>
      <c r="J170" s="9" t="s">
        <v>1284</v>
      </c>
      <c r="K170" s="9" t="s">
        <v>1291</v>
      </c>
      <c r="L170" s="12" t="n">
        <v>0.380332291612807</v>
      </c>
      <c r="M170" s="20" t="n">
        <v>114536.68015893</v>
      </c>
      <c r="N170" s="20" t="n">
        <v>114536.68015893</v>
      </c>
      <c r="O170" s="20" t="n">
        <v>0</v>
      </c>
      <c r="P170" s="12" t="n">
        <f aca="false">IF($E170="squad",INDEX(Assumptions!$D$16:$D$56,MATCH($C170&amp;"|"&amp;$D170,Assumptions!$H$16:$H$56,0)),0)</f>
        <v>0</v>
      </c>
      <c r="Q170" s="20" t="n">
        <f aca="false">$N170*$P170</f>
        <v>0</v>
      </c>
    </row>
    <row r="171" customFormat="false" ht="15" hidden="false" customHeight="false" outlineLevel="0" collapsed="false">
      <c r="A171" s="9" t="s">
        <v>458</v>
      </c>
      <c r="B171" s="9" t="s">
        <v>1290</v>
      </c>
      <c r="C171" s="9" t="s">
        <v>18</v>
      </c>
      <c r="D171" s="9" t="s">
        <v>454</v>
      </c>
      <c r="E171" s="9" t="s">
        <v>1286</v>
      </c>
      <c r="F171" s="9" t="s">
        <v>53</v>
      </c>
      <c r="G171" s="9" t="s">
        <v>53</v>
      </c>
      <c r="H171" s="9"/>
      <c r="I171" s="25" t="n">
        <v>0.380332291612807</v>
      </c>
      <c r="J171" s="9" t="s">
        <v>1284</v>
      </c>
      <c r="K171" s="9" t="s">
        <v>1291</v>
      </c>
      <c r="L171" s="12" t="n">
        <v>0.380332291612807</v>
      </c>
      <c r="M171" s="20" t="n">
        <v>104329.510761442</v>
      </c>
      <c r="N171" s="20" t="n">
        <v>104329.510761442</v>
      </c>
      <c r="O171" s="20" t="n">
        <v>0</v>
      </c>
      <c r="P171" s="12" t="n">
        <f aca="false">IF($E171="squad",INDEX(Assumptions!$D$16:$D$56,MATCH($C171&amp;"|"&amp;$D171,Assumptions!$H$16:$H$56,0)),0)</f>
        <v>0</v>
      </c>
      <c r="Q171" s="20" t="n">
        <f aca="false">$N171*$P171</f>
        <v>0</v>
      </c>
    </row>
    <row r="172" customFormat="false" ht="15" hidden="false" customHeight="false" outlineLevel="0" collapsed="false">
      <c r="A172" s="9" t="s">
        <v>462</v>
      </c>
      <c r="B172" s="9" t="s">
        <v>1290</v>
      </c>
      <c r="C172" s="9" t="s">
        <v>19</v>
      </c>
      <c r="D172" s="9" t="s">
        <v>461</v>
      </c>
      <c r="E172" s="9" t="s">
        <v>1281</v>
      </c>
      <c r="F172" s="9" t="s">
        <v>53</v>
      </c>
      <c r="G172" s="9" t="s">
        <v>53</v>
      </c>
      <c r="H172" s="9"/>
      <c r="I172" s="25" t="n">
        <v>1</v>
      </c>
      <c r="J172" s="9" t="s">
        <v>1284</v>
      </c>
      <c r="K172" s="9" t="s">
        <v>1157</v>
      </c>
      <c r="L172" s="12" t="n">
        <v>1</v>
      </c>
      <c r="M172" s="20" t="n">
        <v>178285.368</v>
      </c>
      <c r="N172" s="20" t="n">
        <v>178285.368</v>
      </c>
      <c r="O172" s="20" t="n">
        <v>0</v>
      </c>
      <c r="P172" s="12" t="n">
        <f aca="false">IF($E172="squad",INDEX(Assumptions!$D$16:$D$56,MATCH($C172&amp;"|"&amp;$D172,Assumptions!$H$16:$H$56,0)),0)</f>
        <v>0.7</v>
      </c>
      <c r="Q172" s="20" t="n">
        <f aca="false">$N172*$P172</f>
        <v>124799.7576</v>
      </c>
    </row>
    <row r="173" customFormat="false" ht="15" hidden="false" customHeight="false" outlineLevel="0" collapsed="false">
      <c r="A173" s="9" t="s">
        <v>465</v>
      </c>
      <c r="B173" s="9" t="s">
        <v>1290</v>
      </c>
      <c r="C173" s="9" t="s">
        <v>19</v>
      </c>
      <c r="D173" s="9" t="s">
        <v>461</v>
      </c>
      <c r="E173" s="9" t="s">
        <v>1281</v>
      </c>
      <c r="F173" s="9" t="s">
        <v>53</v>
      </c>
      <c r="G173" s="9" t="s">
        <v>53</v>
      </c>
      <c r="H173" s="9"/>
      <c r="I173" s="25" t="n">
        <v>1</v>
      </c>
      <c r="J173" s="9" t="s">
        <v>1284</v>
      </c>
      <c r="K173" s="9" t="s">
        <v>1157</v>
      </c>
      <c r="L173" s="12" t="n">
        <v>1</v>
      </c>
      <c r="M173" s="20" t="n">
        <v>181091.736</v>
      </c>
      <c r="N173" s="20" t="n">
        <v>181091.736</v>
      </c>
      <c r="O173" s="20" t="n">
        <v>0</v>
      </c>
      <c r="P173" s="12" t="n">
        <f aca="false">IF($E173="squad",INDEX(Assumptions!$D$16:$D$56,MATCH($C173&amp;"|"&amp;$D173,Assumptions!$H$16:$H$56,0)),0)</f>
        <v>0.7</v>
      </c>
      <c r="Q173" s="20" t="n">
        <f aca="false">$N173*$P173</f>
        <v>126764.2152</v>
      </c>
    </row>
    <row r="174" customFormat="false" ht="15" hidden="false" customHeight="false" outlineLevel="0" collapsed="false">
      <c r="A174" s="9" t="s">
        <v>467</v>
      </c>
      <c r="B174" s="9" t="s">
        <v>1290</v>
      </c>
      <c r="C174" s="9" t="s">
        <v>19</v>
      </c>
      <c r="D174" s="9" t="s">
        <v>461</v>
      </c>
      <c r="E174" s="9" t="s">
        <v>1281</v>
      </c>
      <c r="F174" s="9" t="s">
        <v>53</v>
      </c>
      <c r="G174" s="9" t="s">
        <v>53</v>
      </c>
      <c r="H174" s="9"/>
      <c r="I174" s="25" t="n">
        <v>1</v>
      </c>
      <c r="J174" s="9" t="s">
        <v>1284</v>
      </c>
      <c r="K174" s="9" t="s">
        <v>1157</v>
      </c>
      <c r="L174" s="12" t="n">
        <v>1</v>
      </c>
      <c r="M174" s="20" t="n">
        <v>163597.2</v>
      </c>
      <c r="N174" s="20" t="n">
        <v>163597.2</v>
      </c>
      <c r="O174" s="20" t="n">
        <v>0</v>
      </c>
      <c r="P174" s="12" t="n">
        <f aca="false">IF($E174="squad",INDEX(Assumptions!$D$16:$D$56,MATCH($C174&amp;"|"&amp;$D174,Assumptions!$H$16:$H$56,0)),0)</f>
        <v>0.7</v>
      </c>
      <c r="Q174" s="20" t="n">
        <f aca="false">$N174*$P174</f>
        <v>114518.04</v>
      </c>
    </row>
    <row r="175" customFormat="false" ht="15" hidden="false" customHeight="false" outlineLevel="0" collapsed="false">
      <c r="A175" s="9" t="s">
        <v>469</v>
      </c>
      <c r="B175" s="9" t="s">
        <v>1290</v>
      </c>
      <c r="C175" s="9" t="s">
        <v>19</v>
      </c>
      <c r="D175" s="9" t="s">
        <v>461</v>
      </c>
      <c r="E175" s="9" t="s">
        <v>1281</v>
      </c>
      <c r="F175" s="9" t="s">
        <v>53</v>
      </c>
      <c r="G175" s="9" t="s">
        <v>53</v>
      </c>
      <c r="H175" s="9"/>
      <c r="I175" s="25" t="n">
        <v>1</v>
      </c>
      <c r="J175" s="9" t="s">
        <v>1284</v>
      </c>
      <c r="K175" s="9" t="s">
        <v>1157</v>
      </c>
      <c r="L175" s="12" t="n">
        <v>1</v>
      </c>
      <c r="M175" s="20" t="n">
        <v>186432.888</v>
      </c>
      <c r="N175" s="20" t="n">
        <v>186432.888</v>
      </c>
      <c r="O175" s="20" t="n">
        <v>0</v>
      </c>
      <c r="P175" s="12" t="n">
        <f aca="false">IF($E175="squad",INDEX(Assumptions!$D$16:$D$56,MATCH($C175&amp;"|"&amp;$D175,Assumptions!$H$16:$H$56,0)),0)</f>
        <v>0.7</v>
      </c>
      <c r="Q175" s="20" t="n">
        <f aca="false">$N175*$P175</f>
        <v>130503.0216</v>
      </c>
    </row>
    <row r="176" customFormat="false" ht="15" hidden="false" customHeight="false" outlineLevel="0" collapsed="false">
      <c r="A176" s="9" t="s">
        <v>472</v>
      </c>
      <c r="B176" s="9" t="s">
        <v>1290</v>
      </c>
      <c r="C176" s="9" t="s">
        <v>19</v>
      </c>
      <c r="D176" s="9" t="s">
        <v>461</v>
      </c>
      <c r="E176" s="9" t="s">
        <v>1281</v>
      </c>
      <c r="F176" s="9" t="s">
        <v>53</v>
      </c>
      <c r="G176" s="9" t="s">
        <v>53</v>
      </c>
      <c r="H176" s="9"/>
      <c r="I176" s="25" t="n">
        <v>1</v>
      </c>
      <c r="J176" s="9" t="s">
        <v>1284</v>
      </c>
      <c r="K176" s="9" t="s">
        <v>1157</v>
      </c>
      <c r="L176" s="12" t="n">
        <v>1</v>
      </c>
      <c r="M176" s="20" t="n">
        <v>114349.968</v>
      </c>
      <c r="N176" s="20" t="n">
        <v>114349.968</v>
      </c>
      <c r="O176" s="20" t="n">
        <v>0</v>
      </c>
      <c r="P176" s="12" t="n">
        <f aca="false">IF($E176="squad",INDEX(Assumptions!$D$16:$D$56,MATCH($C176&amp;"|"&amp;$D176,Assumptions!$H$16:$H$56,0)),0)</f>
        <v>0.7</v>
      </c>
      <c r="Q176" s="20" t="n">
        <f aca="false">$N176*$P176</f>
        <v>80044.9776</v>
      </c>
    </row>
    <row r="177" customFormat="false" ht="15" hidden="false" customHeight="false" outlineLevel="0" collapsed="false">
      <c r="A177" s="9" t="s">
        <v>474</v>
      </c>
      <c r="B177" s="9" t="s">
        <v>1290</v>
      </c>
      <c r="C177" s="9" t="s">
        <v>19</v>
      </c>
      <c r="D177" s="9" t="s">
        <v>461</v>
      </c>
      <c r="E177" s="9" t="s">
        <v>1281</v>
      </c>
      <c r="F177" s="9" t="s">
        <v>53</v>
      </c>
      <c r="G177" s="9" t="s">
        <v>53</v>
      </c>
      <c r="H177" s="9"/>
      <c r="I177" s="25" t="n">
        <v>1</v>
      </c>
      <c r="J177" s="9" t="s">
        <v>1284</v>
      </c>
      <c r="K177" s="9" t="s">
        <v>1157</v>
      </c>
      <c r="L177" s="12" t="n">
        <v>1</v>
      </c>
      <c r="M177" s="20" t="n">
        <v>209174</v>
      </c>
      <c r="N177" s="20" t="n">
        <v>209174</v>
      </c>
      <c r="O177" s="20" t="n">
        <v>0</v>
      </c>
      <c r="P177" s="12" t="n">
        <f aca="false">IF($E177="squad",INDEX(Assumptions!$D$16:$D$56,MATCH($C177&amp;"|"&amp;$D177,Assumptions!$H$16:$H$56,0)),0)</f>
        <v>0.7</v>
      </c>
      <c r="Q177" s="20" t="n">
        <f aca="false">$N177*$P177</f>
        <v>146421.8</v>
      </c>
    </row>
    <row r="178" customFormat="false" ht="15" hidden="false" customHeight="false" outlineLevel="0" collapsed="false">
      <c r="A178" s="9" t="s">
        <v>477</v>
      </c>
      <c r="B178" s="9" t="s">
        <v>1290</v>
      </c>
      <c r="C178" s="9" t="s">
        <v>19</v>
      </c>
      <c r="D178" s="9" t="s">
        <v>464</v>
      </c>
      <c r="E178" s="9" t="s">
        <v>1281</v>
      </c>
      <c r="F178" s="9" t="s">
        <v>53</v>
      </c>
      <c r="G178" s="9" t="s">
        <v>53</v>
      </c>
      <c r="H178" s="9"/>
      <c r="I178" s="25" t="n">
        <v>1</v>
      </c>
      <c r="J178" s="9" t="s">
        <v>1284</v>
      </c>
      <c r="K178" s="9" t="s">
        <v>464</v>
      </c>
      <c r="L178" s="12" t="n">
        <v>1</v>
      </c>
      <c r="M178" s="20" t="n">
        <v>197171.772</v>
      </c>
      <c r="N178" s="20" t="n">
        <v>197171.772</v>
      </c>
      <c r="O178" s="20" t="n">
        <v>0</v>
      </c>
      <c r="P178" s="12" t="n">
        <f aca="false">IF($E178="squad",INDEX(Assumptions!$D$16:$D$56,MATCH($C178&amp;"|"&amp;$D178,Assumptions!$H$16:$H$56,0)),0)</f>
        <v>0.7</v>
      </c>
      <c r="Q178" s="20" t="n">
        <f aca="false">$N178*$P178</f>
        <v>138020.2404</v>
      </c>
    </row>
    <row r="179" customFormat="false" ht="15" hidden="false" customHeight="false" outlineLevel="0" collapsed="false">
      <c r="A179" s="9" t="s">
        <v>479</v>
      </c>
      <c r="B179" s="9" t="s">
        <v>1290</v>
      </c>
      <c r="C179" s="9" t="s">
        <v>19</v>
      </c>
      <c r="D179" s="9" t="s">
        <v>464</v>
      </c>
      <c r="E179" s="9" t="s">
        <v>1281</v>
      </c>
      <c r="F179" s="9" t="s">
        <v>53</v>
      </c>
      <c r="G179" s="9" t="s">
        <v>53</v>
      </c>
      <c r="H179" s="9"/>
      <c r="I179" s="25" t="n">
        <v>1</v>
      </c>
      <c r="J179" s="9" t="s">
        <v>1284</v>
      </c>
      <c r="K179" s="9" t="s">
        <v>464</v>
      </c>
      <c r="L179" s="12" t="n">
        <v>1</v>
      </c>
      <c r="M179" s="20" t="n">
        <v>174743.46</v>
      </c>
      <c r="N179" s="20" t="n">
        <v>174743.46</v>
      </c>
      <c r="O179" s="20" t="n">
        <v>0</v>
      </c>
      <c r="P179" s="12" t="n">
        <f aca="false">IF($E179="squad",INDEX(Assumptions!$D$16:$D$56,MATCH($C179&amp;"|"&amp;$D179,Assumptions!$H$16:$H$56,0)),0)</f>
        <v>0.7</v>
      </c>
      <c r="Q179" s="20" t="n">
        <f aca="false">$N179*$P179</f>
        <v>122320.422</v>
      </c>
    </row>
    <row r="180" customFormat="false" ht="15" hidden="false" customHeight="false" outlineLevel="0" collapsed="false">
      <c r="A180" s="9" t="s">
        <v>482</v>
      </c>
      <c r="B180" s="9" t="s">
        <v>1290</v>
      </c>
      <c r="C180" s="9" t="s">
        <v>19</v>
      </c>
      <c r="D180" s="9" t="s">
        <v>464</v>
      </c>
      <c r="E180" s="9" t="s">
        <v>1281</v>
      </c>
      <c r="F180" s="9" t="s">
        <v>53</v>
      </c>
      <c r="G180" s="9" t="s">
        <v>53</v>
      </c>
      <c r="H180" s="9"/>
      <c r="I180" s="25" t="n">
        <v>0.8</v>
      </c>
      <c r="J180" s="9" t="s">
        <v>1284</v>
      </c>
      <c r="K180" s="9" t="s">
        <v>464</v>
      </c>
      <c r="L180" s="12" t="n">
        <v>1</v>
      </c>
      <c r="M180" s="20" t="n">
        <v>124779.79392</v>
      </c>
      <c r="N180" s="20" t="n">
        <v>124779.79392</v>
      </c>
      <c r="O180" s="20" t="n">
        <v>0</v>
      </c>
      <c r="P180" s="12" t="n">
        <f aca="false">IF($E180="squad",INDEX(Assumptions!$D$16:$D$56,MATCH($C180&amp;"|"&amp;$D180,Assumptions!$H$16:$H$56,0)),0)</f>
        <v>0.7</v>
      </c>
      <c r="Q180" s="20" t="n">
        <f aca="false">$N180*$P180</f>
        <v>87345.855744</v>
      </c>
    </row>
    <row r="181" customFormat="false" ht="15" hidden="false" customHeight="false" outlineLevel="0" collapsed="false">
      <c r="A181" s="9" t="s">
        <v>484</v>
      </c>
      <c r="B181" s="9" t="s">
        <v>1290</v>
      </c>
      <c r="C181" s="9" t="s">
        <v>19</v>
      </c>
      <c r="D181" s="9" t="s">
        <v>464</v>
      </c>
      <c r="E181" s="9" t="s">
        <v>1281</v>
      </c>
      <c r="F181" s="9" t="s">
        <v>53</v>
      </c>
      <c r="G181" s="9" t="s">
        <v>53</v>
      </c>
      <c r="H181" s="9"/>
      <c r="I181" s="25" t="n">
        <v>1</v>
      </c>
      <c r="J181" s="9" t="s">
        <v>1284</v>
      </c>
      <c r="K181" s="9" t="s">
        <v>464</v>
      </c>
      <c r="L181" s="12" t="n">
        <v>1</v>
      </c>
      <c r="M181" s="20" t="n">
        <v>196277.808</v>
      </c>
      <c r="N181" s="20" t="n">
        <v>196277.808</v>
      </c>
      <c r="O181" s="20" t="n">
        <v>0</v>
      </c>
      <c r="P181" s="12" t="n">
        <f aca="false">IF($E181="squad",INDEX(Assumptions!$D$16:$D$56,MATCH($C181&amp;"|"&amp;$D181,Assumptions!$H$16:$H$56,0)),0)</f>
        <v>0.7</v>
      </c>
      <c r="Q181" s="20" t="n">
        <f aca="false">$N181*$P181</f>
        <v>137394.4656</v>
      </c>
    </row>
    <row r="182" customFormat="false" ht="15" hidden="false" customHeight="false" outlineLevel="0" collapsed="false">
      <c r="A182" s="9" t="s">
        <v>486</v>
      </c>
      <c r="B182" s="9" t="s">
        <v>1290</v>
      </c>
      <c r="C182" s="9" t="s">
        <v>19</v>
      </c>
      <c r="D182" s="9" t="s">
        <v>464</v>
      </c>
      <c r="E182" s="9" t="s">
        <v>1281</v>
      </c>
      <c r="F182" s="9" t="s">
        <v>53</v>
      </c>
      <c r="G182" s="9" t="s">
        <v>53</v>
      </c>
      <c r="H182" s="9"/>
      <c r="I182" s="25" t="n">
        <v>0.8</v>
      </c>
      <c r="J182" s="9" t="s">
        <v>1284</v>
      </c>
      <c r="K182" s="9" t="s">
        <v>464</v>
      </c>
      <c r="L182" s="12" t="n">
        <v>1</v>
      </c>
      <c r="M182" s="20" t="n">
        <v>118683.6384</v>
      </c>
      <c r="N182" s="20" t="n">
        <v>118683.6384</v>
      </c>
      <c r="O182" s="20" t="n">
        <v>0</v>
      </c>
      <c r="P182" s="12" t="n">
        <f aca="false">IF($E182="squad",INDEX(Assumptions!$D$16:$D$56,MATCH($C182&amp;"|"&amp;$D182,Assumptions!$H$16:$H$56,0)),0)</f>
        <v>0.7</v>
      </c>
      <c r="Q182" s="20" t="n">
        <f aca="false">$N182*$P182</f>
        <v>83078.54688</v>
      </c>
    </row>
    <row r="183" customFormat="false" ht="15" hidden="false" customHeight="false" outlineLevel="0" collapsed="false">
      <c r="A183" s="9" t="s">
        <v>488</v>
      </c>
      <c r="B183" s="9" t="s">
        <v>1290</v>
      </c>
      <c r="C183" s="9" t="s">
        <v>19</v>
      </c>
      <c r="D183" s="9" t="s">
        <v>464</v>
      </c>
      <c r="E183" s="9" t="s">
        <v>1281</v>
      </c>
      <c r="F183" s="9" t="s">
        <v>53</v>
      </c>
      <c r="G183" s="9" t="s">
        <v>53</v>
      </c>
      <c r="H183" s="9"/>
      <c r="I183" s="25" t="n">
        <v>1</v>
      </c>
      <c r="J183" s="9" t="s">
        <v>1284</v>
      </c>
      <c r="K183" s="9" t="s">
        <v>464</v>
      </c>
      <c r="L183" s="12" t="n">
        <v>1</v>
      </c>
      <c r="M183" s="20" t="n">
        <v>154465.188</v>
      </c>
      <c r="N183" s="20" t="n">
        <v>154465.188</v>
      </c>
      <c r="O183" s="20" t="n">
        <v>0</v>
      </c>
      <c r="P183" s="12" t="n">
        <f aca="false">IF($E183="squad",INDEX(Assumptions!$D$16:$D$56,MATCH($C183&amp;"|"&amp;$D183,Assumptions!$H$16:$H$56,0)),0)</f>
        <v>0.7</v>
      </c>
      <c r="Q183" s="20" t="n">
        <f aca="false">$N183*$P183</f>
        <v>108125.6316</v>
      </c>
    </row>
    <row r="184" customFormat="false" ht="15" hidden="false" customHeight="false" outlineLevel="0" collapsed="false">
      <c r="A184" s="9" t="s">
        <v>490</v>
      </c>
      <c r="B184" s="9" t="s">
        <v>1290</v>
      </c>
      <c r="C184" s="9" t="s">
        <v>19</v>
      </c>
      <c r="D184" s="9" t="s">
        <v>464</v>
      </c>
      <c r="E184" s="9" t="s">
        <v>1281</v>
      </c>
      <c r="F184" s="9" t="s">
        <v>53</v>
      </c>
      <c r="G184" s="9" t="s">
        <v>53</v>
      </c>
      <c r="H184" s="9"/>
      <c r="I184" s="25" t="n">
        <v>1</v>
      </c>
      <c r="J184" s="9" t="s">
        <v>1284</v>
      </c>
      <c r="K184" s="9" t="s">
        <v>464</v>
      </c>
      <c r="L184" s="12" t="n">
        <v>1</v>
      </c>
      <c r="M184" s="20" t="n">
        <v>157984.464</v>
      </c>
      <c r="N184" s="20" t="n">
        <v>157984.464</v>
      </c>
      <c r="O184" s="20" t="n">
        <v>0</v>
      </c>
      <c r="P184" s="12" t="n">
        <f aca="false">IF($E184="squad",INDEX(Assumptions!$D$16:$D$56,MATCH($C184&amp;"|"&amp;$D184,Assumptions!$H$16:$H$56,0)),0)</f>
        <v>0.7</v>
      </c>
      <c r="Q184" s="20" t="n">
        <f aca="false">$N184*$P184</f>
        <v>110589.1248</v>
      </c>
    </row>
    <row r="185" customFormat="false" ht="15" hidden="false" customHeight="false" outlineLevel="0" collapsed="false">
      <c r="A185" s="9" t="s">
        <v>493</v>
      </c>
      <c r="B185" s="9" t="s">
        <v>1290</v>
      </c>
      <c r="C185" s="9" t="s">
        <v>19</v>
      </c>
      <c r="D185" s="9" t="s">
        <v>464</v>
      </c>
      <c r="E185" s="9" t="s">
        <v>1281</v>
      </c>
      <c r="F185" s="9" t="s">
        <v>53</v>
      </c>
      <c r="G185" s="9" t="s">
        <v>53</v>
      </c>
      <c r="H185" s="9"/>
      <c r="I185" s="25" t="n">
        <v>1</v>
      </c>
      <c r="J185" s="9" t="s">
        <v>1284</v>
      </c>
      <c r="K185" s="9" t="s">
        <v>464</v>
      </c>
      <c r="L185" s="12" t="n">
        <v>1</v>
      </c>
      <c r="M185" s="20" t="n">
        <v>138284.308</v>
      </c>
      <c r="N185" s="20" t="n">
        <v>138284.308</v>
      </c>
      <c r="O185" s="20" t="n">
        <v>0</v>
      </c>
      <c r="P185" s="12" t="n">
        <f aca="false">IF($E185="squad",INDEX(Assumptions!$D$16:$D$56,MATCH($C185&amp;"|"&amp;$D185,Assumptions!$H$16:$H$56,0)),0)</f>
        <v>0.7</v>
      </c>
      <c r="Q185" s="20" t="n">
        <f aca="false">$N185*$P185</f>
        <v>96799.0156</v>
      </c>
    </row>
    <row r="186" customFormat="false" ht="15" hidden="false" customHeight="false" outlineLevel="0" collapsed="false">
      <c r="A186" s="9" t="s">
        <v>495</v>
      </c>
      <c r="B186" s="9" t="s">
        <v>1290</v>
      </c>
      <c r="C186" s="9" t="s">
        <v>19</v>
      </c>
      <c r="D186" s="9" t="s">
        <v>464</v>
      </c>
      <c r="E186" s="9" t="s">
        <v>1281</v>
      </c>
      <c r="F186" s="9" t="s">
        <v>53</v>
      </c>
      <c r="G186" s="9" t="s">
        <v>53</v>
      </c>
      <c r="H186" s="9"/>
      <c r="I186" s="25" t="n">
        <v>1</v>
      </c>
      <c r="J186" s="9" t="s">
        <v>1284</v>
      </c>
      <c r="K186" s="9" t="s">
        <v>464</v>
      </c>
      <c r="L186" s="12" t="n">
        <v>1</v>
      </c>
      <c r="M186" s="20" t="n">
        <v>150021</v>
      </c>
      <c r="N186" s="20" t="n">
        <v>150021</v>
      </c>
      <c r="O186" s="20" t="n">
        <v>0</v>
      </c>
      <c r="P186" s="12" t="n">
        <f aca="false">IF($E186="squad",INDEX(Assumptions!$D$16:$D$56,MATCH($C186&amp;"|"&amp;$D186,Assumptions!$H$16:$H$56,0)),0)</f>
        <v>0.7</v>
      </c>
      <c r="Q186" s="20" t="n">
        <f aca="false">$N186*$P186</f>
        <v>105014.7</v>
      </c>
    </row>
    <row r="187" customFormat="false" ht="15" hidden="false" customHeight="false" outlineLevel="0" collapsed="false">
      <c r="A187" s="9" t="s">
        <v>497</v>
      </c>
      <c r="B187" s="9" t="s">
        <v>1290</v>
      </c>
      <c r="C187" s="9" t="s">
        <v>19</v>
      </c>
      <c r="D187" s="9" t="s">
        <v>464</v>
      </c>
      <c r="E187" s="9" t="s">
        <v>1281</v>
      </c>
      <c r="F187" s="9" t="s">
        <v>53</v>
      </c>
      <c r="G187" s="9" t="s">
        <v>53</v>
      </c>
      <c r="H187" s="9"/>
      <c r="I187" s="25" t="n">
        <v>1</v>
      </c>
      <c r="J187" s="9" t="s">
        <v>1284</v>
      </c>
      <c r="K187" s="9" t="s">
        <v>464</v>
      </c>
      <c r="L187" s="12" t="n">
        <v>1</v>
      </c>
      <c r="M187" s="20" t="n">
        <v>155680</v>
      </c>
      <c r="N187" s="20" t="n">
        <v>155680</v>
      </c>
      <c r="O187" s="20" t="n">
        <v>0</v>
      </c>
      <c r="P187" s="12" t="n">
        <f aca="false">IF($E187="squad",INDEX(Assumptions!$D$16:$D$56,MATCH($C187&amp;"|"&amp;$D187,Assumptions!$H$16:$H$56,0)),0)</f>
        <v>0.7</v>
      </c>
      <c r="Q187" s="20" t="n">
        <f aca="false">$N187*$P187</f>
        <v>108976</v>
      </c>
    </row>
    <row r="188" customFormat="false" ht="15" hidden="false" customHeight="false" outlineLevel="0" collapsed="false">
      <c r="A188" s="9" t="s">
        <v>499</v>
      </c>
      <c r="B188" s="9" t="s">
        <v>1290</v>
      </c>
      <c r="C188" s="9" t="s">
        <v>19</v>
      </c>
      <c r="D188" s="9" t="s">
        <v>464</v>
      </c>
      <c r="E188" s="9" t="s">
        <v>1281</v>
      </c>
      <c r="F188" s="9" t="s">
        <v>53</v>
      </c>
      <c r="G188" s="9" t="s">
        <v>53</v>
      </c>
      <c r="H188" s="9"/>
      <c r="I188" s="25" t="n">
        <v>1</v>
      </c>
      <c r="J188" s="9" t="s">
        <v>1284</v>
      </c>
      <c r="K188" s="9" t="s">
        <v>464</v>
      </c>
      <c r="L188" s="12" t="n">
        <v>1</v>
      </c>
      <c r="M188" s="20" t="n">
        <v>107279.584</v>
      </c>
      <c r="N188" s="20" t="n">
        <v>107279.584</v>
      </c>
      <c r="O188" s="20" t="n">
        <v>0</v>
      </c>
      <c r="P188" s="12" t="n">
        <f aca="false">IF($E188="squad",INDEX(Assumptions!$D$16:$D$56,MATCH($C188&amp;"|"&amp;$D188,Assumptions!$H$16:$H$56,0)),0)</f>
        <v>0.7</v>
      </c>
      <c r="Q188" s="20" t="n">
        <f aca="false">$N188*$P188</f>
        <v>75095.7088</v>
      </c>
    </row>
    <row r="189" customFormat="false" ht="15" hidden="false" customHeight="false" outlineLevel="0" collapsed="false">
      <c r="A189" s="9" t="s">
        <v>502</v>
      </c>
      <c r="B189" s="9" t="s">
        <v>1290</v>
      </c>
      <c r="C189" s="9" t="s">
        <v>19</v>
      </c>
      <c r="D189" s="9" t="s">
        <v>464</v>
      </c>
      <c r="E189" s="9" t="s">
        <v>1281</v>
      </c>
      <c r="F189" s="9" t="s">
        <v>53</v>
      </c>
      <c r="G189" s="9" t="s">
        <v>53</v>
      </c>
      <c r="H189" s="9"/>
      <c r="I189" s="25" t="n">
        <v>1</v>
      </c>
      <c r="J189" s="9" t="s">
        <v>1284</v>
      </c>
      <c r="K189" s="9" t="s">
        <v>464</v>
      </c>
      <c r="L189" s="12" t="n">
        <v>1</v>
      </c>
      <c r="M189" s="20" t="n">
        <v>105043.248</v>
      </c>
      <c r="N189" s="20" t="n">
        <v>105043.248</v>
      </c>
      <c r="O189" s="20" t="n">
        <v>0</v>
      </c>
      <c r="P189" s="12" t="n">
        <f aca="false">IF($E189="squad",INDEX(Assumptions!$D$16:$D$56,MATCH($C189&amp;"|"&amp;$D189,Assumptions!$H$16:$H$56,0)),0)</f>
        <v>0.7</v>
      </c>
      <c r="Q189" s="20" t="n">
        <f aca="false">$N189*$P189</f>
        <v>73530.2736</v>
      </c>
    </row>
    <row r="190" customFormat="false" ht="15" hidden="false" customHeight="false" outlineLevel="0" collapsed="false">
      <c r="A190" s="9" t="s">
        <v>505</v>
      </c>
      <c r="B190" s="9" t="s">
        <v>1290</v>
      </c>
      <c r="C190" s="9" t="s">
        <v>19</v>
      </c>
      <c r="D190" s="9" t="s">
        <v>464</v>
      </c>
      <c r="E190" s="9" t="s">
        <v>1281</v>
      </c>
      <c r="F190" s="9" t="s">
        <v>53</v>
      </c>
      <c r="G190" s="9" t="s">
        <v>53</v>
      </c>
      <c r="H190" s="9"/>
      <c r="I190" s="25" t="n">
        <v>1</v>
      </c>
      <c r="J190" s="9" t="s">
        <v>1284</v>
      </c>
      <c r="K190" s="9" t="s">
        <v>464</v>
      </c>
      <c r="L190" s="12" t="n">
        <v>1</v>
      </c>
      <c r="M190" s="20" t="n">
        <v>106519.664</v>
      </c>
      <c r="N190" s="20" t="n">
        <v>106519.664</v>
      </c>
      <c r="O190" s="20" t="n">
        <v>0</v>
      </c>
      <c r="P190" s="12" t="n">
        <f aca="false">IF($E190="squad",INDEX(Assumptions!$D$16:$D$56,MATCH($C190&amp;"|"&amp;$D190,Assumptions!$H$16:$H$56,0)),0)</f>
        <v>0.7</v>
      </c>
      <c r="Q190" s="20" t="n">
        <f aca="false">$N190*$P190</f>
        <v>74563.7648</v>
      </c>
    </row>
    <row r="191" customFormat="false" ht="15" hidden="false" customHeight="false" outlineLevel="0" collapsed="false">
      <c r="A191" s="9" t="s">
        <v>508</v>
      </c>
      <c r="B191" s="9" t="s">
        <v>1290</v>
      </c>
      <c r="C191" s="9" t="s">
        <v>19</v>
      </c>
      <c r="D191" s="9" t="s">
        <v>464</v>
      </c>
      <c r="E191" s="9" t="s">
        <v>1281</v>
      </c>
      <c r="F191" s="9" t="s">
        <v>53</v>
      </c>
      <c r="G191" s="9" t="s">
        <v>53</v>
      </c>
      <c r="H191" s="9"/>
      <c r="I191" s="25" t="n">
        <v>1</v>
      </c>
      <c r="J191" s="9" t="s">
        <v>1284</v>
      </c>
      <c r="K191" s="9" t="s">
        <v>464</v>
      </c>
      <c r="L191" s="12" t="n">
        <v>1</v>
      </c>
      <c r="M191" s="20" t="n">
        <v>104847.84</v>
      </c>
      <c r="N191" s="20" t="n">
        <v>104847.84</v>
      </c>
      <c r="O191" s="20" t="n">
        <v>0</v>
      </c>
      <c r="P191" s="12" t="n">
        <f aca="false">IF($E191="squad",INDEX(Assumptions!$D$16:$D$56,MATCH($C191&amp;"|"&amp;$D191,Assumptions!$H$16:$H$56,0)),0)</f>
        <v>0.7</v>
      </c>
      <c r="Q191" s="20" t="n">
        <f aca="false">$N191*$P191</f>
        <v>73393.488</v>
      </c>
    </row>
    <row r="192" customFormat="false" ht="15" hidden="false" customHeight="false" outlineLevel="0" collapsed="false">
      <c r="A192" s="9" t="s">
        <v>511</v>
      </c>
      <c r="B192" s="9" t="s">
        <v>1290</v>
      </c>
      <c r="C192" s="9" t="s">
        <v>19</v>
      </c>
      <c r="D192" s="9" t="s">
        <v>464</v>
      </c>
      <c r="E192" s="9" t="s">
        <v>1281</v>
      </c>
      <c r="F192" s="9" t="s">
        <v>69</v>
      </c>
      <c r="G192" s="9" t="s">
        <v>82</v>
      </c>
      <c r="H192" s="9"/>
      <c r="I192" s="25" t="n">
        <v>1</v>
      </c>
      <c r="J192" s="9" t="s">
        <v>1282</v>
      </c>
      <c r="K192" s="9" t="s">
        <v>464</v>
      </c>
      <c r="L192" s="12" t="n">
        <v>1</v>
      </c>
      <c r="M192" s="20" t="n">
        <v>235333.8</v>
      </c>
      <c r="N192" s="20" t="n">
        <v>235333.8</v>
      </c>
      <c r="O192" s="20" t="n">
        <v>0</v>
      </c>
      <c r="P192" s="12" t="n">
        <f aca="false">IF($E192="squad",INDEX(Assumptions!$D$16:$D$56,MATCH($C192&amp;"|"&amp;$D192,Assumptions!$H$16:$H$56,0)),0)</f>
        <v>0.7</v>
      </c>
      <c r="Q192" s="20" t="n">
        <f aca="false">$N192*$P192</f>
        <v>164733.66</v>
      </c>
    </row>
    <row r="193" customFormat="false" ht="15" hidden="false" customHeight="false" outlineLevel="0" collapsed="false">
      <c r="A193" s="9" t="s">
        <v>437</v>
      </c>
      <c r="B193" s="9" t="s">
        <v>1290</v>
      </c>
      <c r="C193" s="9" t="s">
        <v>19</v>
      </c>
      <c r="D193" s="9" t="s">
        <v>436</v>
      </c>
      <c r="E193" s="9" t="s">
        <v>1283</v>
      </c>
      <c r="F193" s="9" t="s">
        <v>53</v>
      </c>
      <c r="G193" s="9" t="s">
        <v>71</v>
      </c>
      <c r="H193" s="9"/>
      <c r="I193" s="25" t="n">
        <v>0.619667708387193</v>
      </c>
      <c r="J193" s="9" t="s">
        <v>1282</v>
      </c>
      <c r="K193" s="9" t="s">
        <v>1150</v>
      </c>
      <c r="L193" s="12" t="n">
        <v>0.619667708387193</v>
      </c>
      <c r="M193" s="20" t="n">
        <v>84745.7557990325</v>
      </c>
      <c r="N193" s="20" t="n">
        <v>33898.302319613</v>
      </c>
      <c r="O193" s="20" t="n">
        <v>0</v>
      </c>
      <c r="P193" s="12" t="n">
        <f aca="false">IF($E193="squad",INDEX(Assumptions!$D$16:$D$56,MATCH($C193&amp;"|"&amp;$D193,Assumptions!$H$16:$H$56,0)),0)</f>
        <v>0</v>
      </c>
      <c r="Q193" s="20" t="n">
        <f aca="false">$N193*$P193</f>
        <v>0</v>
      </c>
    </row>
    <row r="194" customFormat="false" ht="15" hidden="false" customHeight="false" outlineLevel="0" collapsed="false">
      <c r="A194" s="9" t="s">
        <v>440</v>
      </c>
      <c r="B194" s="9" t="s">
        <v>1290</v>
      </c>
      <c r="C194" s="9" t="s">
        <v>19</v>
      </c>
      <c r="D194" s="9" t="s">
        <v>203</v>
      </c>
      <c r="E194" s="9" t="s">
        <v>1286</v>
      </c>
      <c r="F194" s="9" t="s">
        <v>53</v>
      </c>
      <c r="G194" s="9" t="s">
        <v>53</v>
      </c>
      <c r="H194" s="9"/>
      <c r="I194" s="25" t="n">
        <v>0.619667708387193</v>
      </c>
      <c r="J194" s="9" t="s">
        <v>1284</v>
      </c>
      <c r="K194" s="9" t="s">
        <v>464</v>
      </c>
      <c r="L194" s="12" t="n">
        <v>0.619667708387193</v>
      </c>
      <c r="M194" s="20" t="n">
        <v>137579.683008571</v>
      </c>
      <c r="N194" s="20" t="n">
        <v>137579.683008571</v>
      </c>
      <c r="O194" s="20" t="n">
        <v>0</v>
      </c>
      <c r="P194" s="12" t="n">
        <f aca="false">IF($E194="squad",INDEX(Assumptions!$D$16:$D$56,MATCH($C194&amp;"|"&amp;$D194,Assumptions!$H$16:$H$56,0)),0)</f>
        <v>0</v>
      </c>
      <c r="Q194" s="20" t="n">
        <f aca="false">$N194*$P194</f>
        <v>0</v>
      </c>
    </row>
    <row r="195" customFormat="false" ht="15" hidden="false" customHeight="false" outlineLevel="0" collapsed="false">
      <c r="A195" s="9" t="s">
        <v>442</v>
      </c>
      <c r="B195" s="9" t="s">
        <v>1290</v>
      </c>
      <c r="C195" s="9" t="s">
        <v>19</v>
      </c>
      <c r="D195" s="9" t="s">
        <v>203</v>
      </c>
      <c r="E195" s="9" t="s">
        <v>1286</v>
      </c>
      <c r="F195" s="9" t="s">
        <v>53</v>
      </c>
      <c r="G195" s="9" t="s">
        <v>53</v>
      </c>
      <c r="H195" s="9"/>
      <c r="I195" s="25" t="n">
        <v>0.619667708387193</v>
      </c>
      <c r="J195" s="9" t="s">
        <v>1282</v>
      </c>
      <c r="K195" s="9" t="s">
        <v>1150</v>
      </c>
      <c r="L195" s="12" t="n">
        <v>0.619667708387193</v>
      </c>
      <c r="M195" s="20" t="n">
        <v>188937.985589443</v>
      </c>
      <c r="N195" s="20" t="n">
        <v>188937.985589443</v>
      </c>
      <c r="O195" s="20" t="n">
        <v>0</v>
      </c>
      <c r="P195" s="12" t="n">
        <f aca="false">IF($E195="squad",INDEX(Assumptions!$D$16:$D$56,MATCH($C195&amp;"|"&amp;$D195,Assumptions!$H$16:$H$56,0)),0)</f>
        <v>0</v>
      </c>
      <c r="Q195" s="20" t="n">
        <f aca="false">$N195*$P195</f>
        <v>0</v>
      </c>
    </row>
    <row r="196" customFormat="false" ht="15" hidden="false" customHeight="false" outlineLevel="0" collapsed="false">
      <c r="A196" s="9" t="s">
        <v>444</v>
      </c>
      <c r="B196" s="9" t="s">
        <v>1290</v>
      </c>
      <c r="C196" s="9" t="s">
        <v>19</v>
      </c>
      <c r="D196" s="9" t="s">
        <v>206</v>
      </c>
      <c r="E196" s="9" t="s">
        <v>1286</v>
      </c>
      <c r="F196" s="9" t="s">
        <v>53</v>
      </c>
      <c r="G196" s="9" t="s">
        <v>53</v>
      </c>
      <c r="H196" s="9"/>
      <c r="I196" s="25" t="n">
        <v>0.619667708387193</v>
      </c>
      <c r="J196" s="9" t="s">
        <v>1284</v>
      </c>
      <c r="K196" s="9" t="s">
        <v>464</v>
      </c>
      <c r="L196" s="12" t="n">
        <v>0.619667708387193</v>
      </c>
      <c r="M196" s="20" t="n">
        <v>128709.300876612</v>
      </c>
      <c r="N196" s="20" t="n">
        <v>128709.300876612</v>
      </c>
      <c r="O196" s="20" t="n">
        <v>0</v>
      </c>
      <c r="P196" s="12" t="n">
        <f aca="false">IF($E196="squad",INDEX(Assumptions!$D$16:$D$56,MATCH($C196&amp;"|"&amp;$D196,Assumptions!$H$16:$H$56,0)),0)</f>
        <v>0</v>
      </c>
      <c r="Q196" s="20" t="n">
        <f aca="false">$N196*$P196</f>
        <v>0</v>
      </c>
    </row>
    <row r="197" customFormat="false" ht="15" hidden="false" customHeight="false" outlineLevel="0" collapsed="false">
      <c r="A197" s="9" t="s">
        <v>447</v>
      </c>
      <c r="B197" s="9" t="s">
        <v>1290</v>
      </c>
      <c r="C197" s="9" t="s">
        <v>19</v>
      </c>
      <c r="D197" s="9" t="s">
        <v>206</v>
      </c>
      <c r="E197" s="9" t="s">
        <v>1286</v>
      </c>
      <c r="F197" s="9" t="s">
        <v>53</v>
      </c>
      <c r="G197" s="9" t="s">
        <v>53</v>
      </c>
      <c r="H197" s="9"/>
      <c r="I197" s="25" t="n">
        <v>0.619667708387193</v>
      </c>
      <c r="J197" s="9" t="s">
        <v>1284</v>
      </c>
      <c r="K197" s="9" t="s">
        <v>464</v>
      </c>
      <c r="L197" s="12" t="n">
        <v>0.619667708387193</v>
      </c>
      <c r="M197" s="20" t="n">
        <v>138308.947626534</v>
      </c>
      <c r="N197" s="20" t="n">
        <v>138308.947626534</v>
      </c>
      <c r="O197" s="20" t="n">
        <v>0</v>
      </c>
      <c r="P197" s="12" t="n">
        <f aca="false">IF($E197="squad",INDEX(Assumptions!$D$16:$D$56,MATCH($C197&amp;"|"&amp;$D197,Assumptions!$H$16:$H$56,0)),0)</f>
        <v>0</v>
      </c>
      <c r="Q197" s="20" t="n">
        <f aca="false">$N197*$P197</f>
        <v>0</v>
      </c>
    </row>
    <row r="198" customFormat="false" ht="15" hidden="false" customHeight="false" outlineLevel="0" collapsed="false">
      <c r="A198" s="9" t="s">
        <v>450</v>
      </c>
      <c r="B198" s="9" t="s">
        <v>1290</v>
      </c>
      <c r="C198" s="9" t="s">
        <v>19</v>
      </c>
      <c r="D198" s="9" t="s">
        <v>206</v>
      </c>
      <c r="E198" s="9" t="s">
        <v>1286</v>
      </c>
      <c r="F198" s="9" t="s">
        <v>53</v>
      </c>
      <c r="G198" s="9" t="s">
        <v>53</v>
      </c>
      <c r="H198" s="9"/>
      <c r="I198" s="25" t="n">
        <v>0.619667708387193</v>
      </c>
      <c r="J198" s="9" t="s">
        <v>1282</v>
      </c>
      <c r="K198" s="9" t="s">
        <v>1150</v>
      </c>
      <c r="L198" s="12" t="n">
        <v>0.619667708387193</v>
      </c>
      <c r="M198" s="20" t="n">
        <v>186561.776811476</v>
      </c>
      <c r="N198" s="20" t="n">
        <v>186561.776811476</v>
      </c>
      <c r="O198" s="20" t="n">
        <v>0</v>
      </c>
      <c r="P198" s="12" t="n">
        <f aca="false">IF($E198="squad",INDEX(Assumptions!$D$16:$D$56,MATCH($C198&amp;"|"&amp;$D198,Assumptions!$H$16:$H$56,0)),0)</f>
        <v>0</v>
      </c>
      <c r="Q198" s="20" t="n">
        <f aca="false">$N198*$P198</f>
        <v>0</v>
      </c>
    </row>
    <row r="199" customFormat="false" ht="15" hidden="false" customHeight="false" outlineLevel="0" collapsed="false">
      <c r="A199" s="9" t="s">
        <v>453</v>
      </c>
      <c r="B199" s="9" t="s">
        <v>1290</v>
      </c>
      <c r="C199" s="9" t="s">
        <v>19</v>
      </c>
      <c r="D199" s="9" t="s">
        <v>206</v>
      </c>
      <c r="E199" s="9" t="s">
        <v>1286</v>
      </c>
      <c r="F199" s="9" t="s">
        <v>69</v>
      </c>
      <c r="G199" s="9" t="s">
        <v>82</v>
      </c>
      <c r="H199" s="9"/>
      <c r="I199" s="25" t="n">
        <v>0.619667708387193</v>
      </c>
      <c r="J199" s="9" t="s">
        <v>1282</v>
      </c>
      <c r="K199" s="9" t="s">
        <v>1150</v>
      </c>
      <c r="L199" s="12" t="n">
        <v>0.619667708387193</v>
      </c>
      <c r="M199" s="20" t="n">
        <v>188937.985589443</v>
      </c>
      <c r="N199" s="20" t="n">
        <v>188937.985589443</v>
      </c>
      <c r="O199" s="20" t="n">
        <v>0</v>
      </c>
      <c r="P199" s="12" t="n">
        <f aca="false">IF($E199="squad",INDEX(Assumptions!$D$16:$D$56,MATCH($C199&amp;"|"&amp;$D199,Assumptions!$H$16:$H$56,0)),0)</f>
        <v>0</v>
      </c>
      <c r="Q199" s="20" t="n">
        <f aca="false">$N199*$P199</f>
        <v>0</v>
      </c>
    </row>
    <row r="200" customFormat="false" ht="15" hidden="false" customHeight="false" outlineLevel="0" collapsed="false">
      <c r="A200" s="9" t="s">
        <v>455</v>
      </c>
      <c r="B200" s="9" t="s">
        <v>1290</v>
      </c>
      <c r="C200" s="9" t="s">
        <v>19</v>
      </c>
      <c r="D200" s="9" t="s">
        <v>454</v>
      </c>
      <c r="E200" s="9" t="s">
        <v>1286</v>
      </c>
      <c r="F200" s="9" t="s">
        <v>53</v>
      </c>
      <c r="G200" s="9" t="s">
        <v>53</v>
      </c>
      <c r="H200" s="9"/>
      <c r="I200" s="25" t="n">
        <v>0.619667708387193</v>
      </c>
      <c r="J200" s="9" t="s">
        <v>1284</v>
      </c>
      <c r="K200" s="9" t="s">
        <v>1291</v>
      </c>
      <c r="L200" s="12" t="n">
        <v>0.619667708387193</v>
      </c>
      <c r="M200" s="20" t="n">
        <v>186612.29584107</v>
      </c>
      <c r="N200" s="20" t="n">
        <v>186612.29584107</v>
      </c>
      <c r="O200" s="20" t="n">
        <v>0</v>
      </c>
      <c r="P200" s="12" t="n">
        <f aca="false">IF($E200="squad",INDEX(Assumptions!$D$16:$D$56,MATCH($C200&amp;"|"&amp;$D200,Assumptions!$H$16:$H$56,0)),0)</f>
        <v>0</v>
      </c>
      <c r="Q200" s="20" t="n">
        <f aca="false">$N200*$P200</f>
        <v>0</v>
      </c>
    </row>
    <row r="201" customFormat="false" ht="15" hidden="false" customHeight="false" outlineLevel="0" collapsed="false">
      <c r="A201" s="9" t="s">
        <v>458</v>
      </c>
      <c r="B201" s="9" t="s">
        <v>1290</v>
      </c>
      <c r="C201" s="9" t="s">
        <v>19</v>
      </c>
      <c r="D201" s="9" t="s">
        <v>454</v>
      </c>
      <c r="E201" s="9" t="s">
        <v>1286</v>
      </c>
      <c r="F201" s="9" t="s">
        <v>53</v>
      </c>
      <c r="G201" s="9" t="s">
        <v>53</v>
      </c>
      <c r="H201" s="9"/>
      <c r="I201" s="25" t="n">
        <v>0.619667708387193</v>
      </c>
      <c r="J201" s="9" t="s">
        <v>1284</v>
      </c>
      <c r="K201" s="9" t="s">
        <v>1291</v>
      </c>
      <c r="L201" s="12" t="n">
        <v>0.619667708387193</v>
      </c>
      <c r="M201" s="20" t="n">
        <v>169981.961238558</v>
      </c>
      <c r="N201" s="20" t="n">
        <v>169981.961238558</v>
      </c>
      <c r="O201" s="20" t="n">
        <v>0</v>
      </c>
      <c r="P201" s="12" t="n">
        <f aca="false">IF($E201="squad",INDEX(Assumptions!$D$16:$D$56,MATCH($C201&amp;"|"&amp;$D201,Assumptions!$H$16:$H$56,0)),0)</f>
        <v>0</v>
      </c>
      <c r="Q201" s="20" t="n">
        <f aca="false">$N201*$P201</f>
        <v>0</v>
      </c>
    </row>
    <row r="202" customFormat="false" ht="15" hidden="false" customHeight="false" outlineLevel="0" collapsed="false">
      <c r="A202" s="9" t="s">
        <v>514</v>
      </c>
      <c r="B202" s="9" t="s">
        <v>1292</v>
      </c>
      <c r="C202" s="9" t="s">
        <v>20</v>
      </c>
      <c r="D202" s="9" t="s">
        <v>512</v>
      </c>
      <c r="E202" s="9" t="s">
        <v>1281</v>
      </c>
      <c r="F202" s="9" t="s">
        <v>69</v>
      </c>
      <c r="G202" s="9" t="s">
        <v>82</v>
      </c>
      <c r="H202" s="9"/>
      <c r="I202" s="25" t="n">
        <v>1</v>
      </c>
      <c r="J202" s="9" t="s">
        <v>1282</v>
      </c>
      <c r="K202" s="9" t="s">
        <v>512</v>
      </c>
      <c r="L202" s="12" t="n">
        <v>1</v>
      </c>
      <c r="M202" s="20" t="n">
        <v>231689.25</v>
      </c>
      <c r="N202" s="20" t="n">
        <v>231689.25</v>
      </c>
      <c r="O202" s="20" t="n">
        <v>0</v>
      </c>
      <c r="P202" s="12" t="n">
        <f aca="false">IF($E202="squad",INDEX(Assumptions!$D$16:$D$56,MATCH($C202&amp;"|"&amp;$D202,Assumptions!$H$16:$H$56,0)),0)</f>
        <v>0</v>
      </c>
      <c r="Q202" s="20" t="n">
        <f aca="false">$N202*$P202</f>
        <v>0</v>
      </c>
    </row>
    <row r="203" customFormat="false" ht="15" hidden="false" customHeight="false" outlineLevel="0" collapsed="false">
      <c r="A203" s="9" t="s">
        <v>515</v>
      </c>
      <c r="B203" s="9" t="s">
        <v>1292</v>
      </c>
      <c r="C203" s="9" t="s">
        <v>20</v>
      </c>
      <c r="D203" s="9" t="s">
        <v>512</v>
      </c>
      <c r="E203" s="9" t="s">
        <v>1281</v>
      </c>
      <c r="F203" s="9" t="s">
        <v>69</v>
      </c>
      <c r="G203" s="9" t="s">
        <v>82</v>
      </c>
      <c r="H203" s="9"/>
      <c r="I203" s="25" t="n">
        <v>1</v>
      </c>
      <c r="J203" s="9" t="s">
        <v>1282</v>
      </c>
      <c r="K203" s="9" t="s">
        <v>512</v>
      </c>
      <c r="L203" s="12" t="n">
        <v>1</v>
      </c>
      <c r="M203" s="20" t="n">
        <v>202853.25</v>
      </c>
      <c r="N203" s="20" t="n">
        <v>202853.25</v>
      </c>
      <c r="O203" s="20" t="n">
        <v>0</v>
      </c>
      <c r="P203" s="12" t="n">
        <f aca="false">IF($E203="squad",INDEX(Assumptions!$D$16:$D$56,MATCH($C203&amp;"|"&amp;$D203,Assumptions!$H$16:$H$56,0)),0)</f>
        <v>0</v>
      </c>
      <c r="Q203" s="20" t="n">
        <f aca="false">$N203*$P203</f>
        <v>0</v>
      </c>
    </row>
    <row r="204" customFormat="false" ht="15" hidden="false" customHeight="false" outlineLevel="0" collapsed="false">
      <c r="A204" s="9" t="s">
        <v>518</v>
      </c>
      <c r="B204" s="9" t="s">
        <v>1292</v>
      </c>
      <c r="C204" s="9" t="s">
        <v>20</v>
      </c>
      <c r="D204" s="9" t="s">
        <v>512</v>
      </c>
      <c r="E204" s="9" t="s">
        <v>1281</v>
      </c>
      <c r="F204" s="9" t="s">
        <v>69</v>
      </c>
      <c r="G204" s="9" t="s">
        <v>82</v>
      </c>
      <c r="H204" s="9"/>
      <c r="I204" s="25" t="n">
        <v>1</v>
      </c>
      <c r="J204" s="9" t="s">
        <v>1282</v>
      </c>
      <c r="K204" s="9" t="s">
        <v>512</v>
      </c>
      <c r="L204" s="12" t="n">
        <v>1</v>
      </c>
      <c r="M204" s="20" t="n">
        <v>202853.25</v>
      </c>
      <c r="N204" s="20" t="n">
        <v>202853.25</v>
      </c>
      <c r="O204" s="20" t="n">
        <v>0</v>
      </c>
      <c r="P204" s="12" t="n">
        <f aca="false">IF($E204="squad",INDEX(Assumptions!$D$16:$D$56,MATCH($C204&amp;"|"&amp;$D204,Assumptions!$H$16:$H$56,0)),0)</f>
        <v>0</v>
      </c>
      <c r="Q204" s="20" t="n">
        <f aca="false">$N204*$P204</f>
        <v>0</v>
      </c>
    </row>
    <row r="205" customFormat="false" ht="15" hidden="false" customHeight="false" outlineLevel="0" collapsed="false">
      <c r="A205" s="9" t="s">
        <v>520</v>
      </c>
      <c r="B205" s="9" t="s">
        <v>1292</v>
      </c>
      <c r="C205" s="9" t="s">
        <v>20</v>
      </c>
      <c r="D205" s="9" t="s">
        <v>512</v>
      </c>
      <c r="E205" s="9" t="s">
        <v>1281</v>
      </c>
      <c r="F205" s="9" t="s">
        <v>53</v>
      </c>
      <c r="G205" s="9" t="s">
        <v>53</v>
      </c>
      <c r="H205" s="9"/>
      <c r="I205" s="25" t="n">
        <v>1</v>
      </c>
      <c r="J205" s="9" t="s">
        <v>1282</v>
      </c>
      <c r="K205" s="9" t="s">
        <v>512</v>
      </c>
      <c r="L205" s="12" t="n">
        <v>1</v>
      </c>
      <c r="M205" s="20" t="n">
        <v>219006.75</v>
      </c>
      <c r="N205" s="20" t="n">
        <v>219006.75</v>
      </c>
      <c r="O205" s="20" t="n">
        <v>0</v>
      </c>
      <c r="P205" s="12" t="n">
        <f aca="false">IF($E205="squad",INDEX(Assumptions!$D$16:$D$56,MATCH($C205&amp;"|"&amp;$D205,Assumptions!$H$16:$H$56,0)),0)</f>
        <v>0</v>
      </c>
      <c r="Q205" s="20" t="n">
        <f aca="false">$N205*$P205</f>
        <v>0</v>
      </c>
    </row>
    <row r="206" customFormat="false" ht="15" hidden="false" customHeight="false" outlineLevel="0" collapsed="false">
      <c r="A206" s="9" t="s">
        <v>522</v>
      </c>
      <c r="B206" s="9" t="s">
        <v>1292</v>
      </c>
      <c r="C206" s="9" t="s">
        <v>20</v>
      </c>
      <c r="D206" s="9" t="s">
        <v>512</v>
      </c>
      <c r="E206" s="9" t="s">
        <v>1281</v>
      </c>
      <c r="F206" s="9" t="s">
        <v>69</v>
      </c>
      <c r="G206" s="9" t="s">
        <v>82</v>
      </c>
      <c r="H206" s="9"/>
      <c r="I206" s="25" t="n">
        <v>1</v>
      </c>
      <c r="J206" s="9" t="s">
        <v>1282</v>
      </c>
      <c r="K206" s="9" t="s">
        <v>512</v>
      </c>
      <c r="L206" s="12" t="n">
        <v>1</v>
      </c>
      <c r="M206" s="20" t="n">
        <v>202853.25</v>
      </c>
      <c r="N206" s="20" t="n">
        <v>202853.25</v>
      </c>
      <c r="O206" s="20" t="n">
        <v>0</v>
      </c>
      <c r="P206" s="12" t="n">
        <f aca="false">IF($E206="squad",INDEX(Assumptions!$D$16:$D$56,MATCH($C206&amp;"|"&amp;$D206,Assumptions!$H$16:$H$56,0)),0)</f>
        <v>0</v>
      </c>
      <c r="Q206" s="20" t="n">
        <f aca="false">$N206*$P206</f>
        <v>0</v>
      </c>
    </row>
    <row r="207" customFormat="false" ht="15" hidden="false" customHeight="false" outlineLevel="0" collapsed="false">
      <c r="A207" s="9" t="s">
        <v>524</v>
      </c>
      <c r="B207" s="9" t="s">
        <v>1292</v>
      </c>
      <c r="C207" s="9" t="s">
        <v>20</v>
      </c>
      <c r="D207" s="9" t="s">
        <v>517</v>
      </c>
      <c r="E207" s="9" t="s">
        <v>1281</v>
      </c>
      <c r="F207" s="9" t="s">
        <v>53</v>
      </c>
      <c r="G207" s="9" t="s">
        <v>53</v>
      </c>
      <c r="H207" s="9"/>
      <c r="I207" s="25" t="n">
        <v>1</v>
      </c>
      <c r="J207" s="9" t="s">
        <v>1282</v>
      </c>
      <c r="K207" s="9" t="s">
        <v>517</v>
      </c>
      <c r="L207" s="12" t="n">
        <v>1</v>
      </c>
      <c r="M207" s="20" t="n">
        <v>346651.0332</v>
      </c>
      <c r="N207" s="20" t="n">
        <v>346651.0332</v>
      </c>
      <c r="O207" s="20" t="n">
        <v>0</v>
      </c>
      <c r="P207" s="12" t="n">
        <f aca="false">IF($E207="squad",INDEX(Assumptions!$D$16:$D$56,MATCH($C207&amp;"|"&amp;$D207,Assumptions!$H$16:$H$56,0)),0)</f>
        <v>0.2</v>
      </c>
      <c r="Q207" s="20" t="n">
        <f aca="false">$N207*$P207</f>
        <v>69330.20664</v>
      </c>
    </row>
    <row r="208" customFormat="false" ht="15" hidden="false" customHeight="false" outlineLevel="0" collapsed="false">
      <c r="A208" s="9" t="s">
        <v>527</v>
      </c>
      <c r="B208" s="9" t="s">
        <v>1292</v>
      </c>
      <c r="C208" s="9" t="s">
        <v>20</v>
      </c>
      <c r="D208" s="9" t="s">
        <v>517</v>
      </c>
      <c r="E208" s="9" t="s">
        <v>1281</v>
      </c>
      <c r="F208" s="9" t="s">
        <v>53</v>
      </c>
      <c r="G208" s="9" t="s">
        <v>53</v>
      </c>
      <c r="H208" s="9"/>
      <c r="I208" s="25" t="n">
        <v>1</v>
      </c>
      <c r="J208" s="9" t="s">
        <v>1282</v>
      </c>
      <c r="K208" s="9" t="s">
        <v>517</v>
      </c>
      <c r="L208" s="12" t="n">
        <v>1</v>
      </c>
      <c r="M208" s="20" t="n">
        <v>352114.3405</v>
      </c>
      <c r="N208" s="20" t="n">
        <v>352114.3405</v>
      </c>
      <c r="O208" s="20" t="n">
        <v>0</v>
      </c>
      <c r="P208" s="12" t="n">
        <f aca="false">IF($E208="squad",INDEX(Assumptions!$D$16:$D$56,MATCH($C208&amp;"|"&amp;$D208,Assumptions!$H$16:$H$56,0)),0)</f>
        <v>0.2</v>
      </c>
      <c r="Q208" s="20" t="n">
        <f aca="false">$N208*$P208</f>
        <v>70422.8681</v>
      </c>
    </row>
    <row r="209" customFormat="false" ht="15" hidden="false" customHeight="false" outlineLevel="0" collapsed="false">
      <c r="A209" s="9" t="s">
        <v>529</v>
      </c>
      <c r="B209" s="9" t="s">
        <v>1292</v>
      </c>
      <c r="C209" s="9" t="s">
        <v>20</v>
      </c>
      <c r="D209" s="9" t="s">
        <v>517</v>
      </c>
      <c r="E209" s="9" t="s">
        <v>1281</v>
      </c>
      <c r="F209" s="9" t="s">
        <v>69</v>
      </c>
      <c r="G209" s="9" t="s">
        <v>82</v>
      </c>
      <c r="H209" s="9"/>
      <c r="I209" s="25" t="n">
        <v>1</v>
      </c>
      <c r="J209" s="9" t="s">
        <v>1282</v>
      </c>
      <c r="K209" s="9" t="s">
        <v>517</v>
      </c>
      <c r="L209" s="12" t="n">
        <v>1</v>
      </c>
      <c r="M209" s="20" t="n">
        <v>231689.25</v>
      </c>
      <c r="N209" s="20" t="n">
        <v>231689.25</v>
      </c>
      <c r="O209" s="20" t="n">
        <v>0</v>
      </c>
      <c r="P209" s="12" t="n">
        <f aca="false">IF($E209="squad",INDEX(Assumptions!$D$16:$D$56,MATCH($C209&amp;"|"&amp;$D209,Assumptions!$H$16:$H$56,0)),0)</f>
        <v>0.2</v>
      </c>
      <c r="Q209" s="20" t="n">
        <f aca="false">$N209*$P209</f>
        <v>46337.85</v>
      </c>
    </row>
    <row r="210" customFormat="false" ht="15" hidden="false" customHeight="false" outlineLevel="0" collapsed="false">
      <c r="A210" s="9" t="s">
        <v>530</v>
      </c>
      <c r="B210" s="9" t="s">
        <v>1292</v>
      </c>
      <c r="C210" s="9" t="s">
        <v>20</v>
      </c>
      <c r="D210" s="9" t="s">
        <v>517</v>
      </c>
      <c r="E210" s="9" t="s">
        <v>1281</v>
      </c>
      <c r="F210" s="9" t="s">
        <v>53</v>
      </c>
      <c r="G210" s="9" t="s">
        <v>53</v>
      </c>
      <c r="H210" s="9"/>
      <c r="I210" s="25" t="n">
        <v>1</v>
      </c>
      <c r="J210" s="9" t="s">
        <v>1282</v>
      </c>
      <c r="K210" s="9" t="s">
        <v>517</v>
      </c>
      <c r="L210" s="12" t="n">
        <v>1</v>
      </c>
      <c r="M210" s="20" t="n">
        <v>293634.617</v>
      </c>
      <c r="N210" s="20" t="n">
        <v>293634.617</v>
      </c>
      <c r="O210" s="20" t="n">
        <v>0</v>
      </c>
      <c r="P210" s="12" t="n">
        <f aca="false">IF($E210="squad",INDEX(Assumptions!$D$16:$D$56,MATCH($C210&amp;"|"&amp;$D210,Assumptions!$H$16:$H$56,0)),0)</f>
        <v>0.2</v>
      </c>
      <c r="Q210" s="20" t="n">
        <f aca="false">$N210*$P210</f>
        <v>58726.9234</v>
      </c>
    </row>
    <row r="211" customFormat="false" ht="15" hidden="false" customHeight="false" outlineLevel="0" collapsed="false">
      <c r="A211" s="9" t="s">
        <v>532</v>
      </c>
      <c r="B211" s="9" t="s">
        <v>1292</v>
      </c>
      <c r="C211" s="9" t="s">
        <v>20</v>
      </c>
      <c r="D211" s="9" t="s">
        <v>517</v>
      </c>
      <c r="E211" s="9" t="s">
        <v>1281</v>
      </c>
      <c r="F211" s="9" t="s">
        <v>53</v>
      </c>
      <c r="G211" s="9" t="s">
        <v>53</v>
      </c>
      <c r="H211" s="9"/>
      <c r="I211" s="25" t="n">
        <v>1</v>
      </c>
      <c r="J211" s="9" t="s">
        <v>1282</v>
      </c>
      <c r="K211" s="9" t="s">
        <v>517</v>
      </c>
      <c r="L211" s="12" t="n">
        <v>1</v>
      </c>
      <c r="M211" s="20" t="n">
        <v>212558.7</v>
      </c>
      <c r="N211" s="20" t="n">
        <v>212558.7</v>
      </c>
      <c r="O211" s="20" t="n">
        <v>0</v>
      </c>
      <c r="P211" s="12" t="n">
        <f aca="false">IF($E211="squad",INDEX(Assumptions!$D$16:$D$56,MATCH($C211&amp;"|"&amp;$D211,Assumptions!$H$16:$H$56,0)),0)</f>
        <v>0.2</v>
      </c>
      <c r="Q211" s="20" t="n">
        <f aca="false">$N211*$P211</f>
        <v>42511.74</v>
      </c>
    </row>
    <row r="212" customFormat="false" ht="15" hidden="false" customHeight="false" outlineLevel="0" collapsed="false">
      <c r="A212" s="9" t="s">
        <v>535</v>
      </c>
      <c r="B212" s="9" t="s">
        <v>1292</v>
      </c>
      <c r="C212" s="9" t="s">
        <v>20</v>
      </c>
      <c r="D212" s="9" t="s">
        <v>517</v>
      </c>
      <c r="E212" s="9" t="s">
        <v>1281</v>
      </c>
      <c r="F212" s="9" t="s">
        <v>53</v>
      </c>
      <c r="G212" s="9" t="s">
        <v>53</v>
      </c>
      <c r="H212" s="9"/>
      <c r="I212" s="25" t="n">
        <v>1</v>
      </c>
      <c r="J212" s="9" t="s">
        <v>1282</v>
      </c>
      <c r="K212" s="9" t="s">
        <v>517</v>
      </c>
      <c r="L212" s="12" t="n">
        <v>1</v>
      </c>
      <c r="M212" s="20" t="n">
        <v>226429.35</v>
      </c>
      <c r="N212" s="20" t="n">
        <v>226429.35</v>
      </c>
      <c r="O212" s="20" t="n">
        <v>0</v>
      </c>
      <c r="P212" s="12" t="n">
        <f aca="false">IF($E212="squad",INDEX(Assumptions!$D$16:$D$56,MATCH($C212&amp;"|"&amp;$D212,Assumptions!$H$16:$H$56,0)),0)</f>
        <v>0.2</v>
      </c>
      <c r="Q212" s="20" t="n">
        <f aca="false">$N212*$P212</f>
        <v>45285.87</v>
      </c>
    </row>
    <row r="213" customFormat="false" ht="15" hidden="false" customHeight="false" outlineLevel="0" collapsed="false">
      <c r="A213" s="9" t="s">
        <v>537</v>
      </c>
      <c r="B213" s="9" t="s">
        <v>1292</v>
      </c>
      <c r="C213" s="9" t="s">
        <v>20</v>
      </c>
      <c r="D213" s="9" t="s">
        <v>517</v>
      </c>
      <c r="E213" s="9" t="s">
        <v>1281</v>
      </c>
      <c r="F213" s="9" t="s">
        <v>53</v>
      </c>
      <c r="G213" s="9" t="s">
        <v>53</v>
      </c>
      <c r="H213" s="9"/>
      <c r="I213" s="25" t="n">
        <v>1</v>
      </c>
      <c r="J213" s="9" t="s">
        <v>1282</v>
      </c>
      <c r="K213" s="9" t="s">
        <v>517</v>
      </c>
      <c r="L213" s="12" t="n">
        <v>1</v>
      </c>
      <c r="M213" s="20" t="n">
        <v>180010.35</v>
      </c>
      <c r="N213" s="20" t="n">
        <v>180010.35</v>
      </c>
      <c r="O213" s="20" t="n">
        <v>0</v>
      </c>
      <c r="P213" s="12" t="n">
        <f aca="false">IF($E213="squad",INDEX(Assumptions!$D$16:$D$56,MATCH($C213&amp;"|"&amp;$D213,Assumptions!$H$16:$H$56,0)),0)</f>
        <v>0.2</v>
      </c>
      <c r="Q213" s="20" t="n">
        <f aca="false">$N213*$P213</f>
        <v>36002.07</v>
      </c>
    </row>
    <row r="214" customFormat="false" ht="15" hidden="false" customHeight="false" outlineLevel="0" collapsed="false">
      <c r="A214" s="9" t="s">
        <v>539</v>
      </c>
      <c r="B214" s="9" t="s">
        <v>1292</v>
      </c>
      <c r="C214" s="9" t="s">
        <v>20</v>
      </c>
      <c r="D214" s="9" t="s">
        <v>517</v>
      </c>
      <c r="E214" s="9" t="s">
        <v>1281</v>
      </c>
      <c r="F214" s="9" t="s">
        <v>53</v>
      </c>
      <c r="G214" s="9" t="s">
        <v>53</v>
      </c>
      <c r="H214" s="9"/>
      <c r="I214" s="25" t="n">
        <v>1</v>
      </c>
      <c r="J214" s="9" t="s">
        <v>1282</v>
      </c>
      <c r="K214" s="9" t="s">
        <v>517</v>
      </c>
      <c r="L214" s="12" t="n">
        <v>1</v>
      </c>
      <c r="M214" s="20" t="n">
        <v>146390.4</v>
      </c>
      <c r="N214" s="20" t="n">
        <v>146390.4</v>
      </c>
      <c r="O214" s="20" t="n">
        <v>0</v>
      </c>
      <c r="P214" s="12" t="n">
        <f aca="false">IF($E214="squad",INDEX(Assumptions!$D$16:$D$56,MATCH($C214&amp;"|"&amp;$D214,Assumptions!$H$16:$H$56,0)),0)</f>
        <v>0.2</v>
      </c>
      <c r="Q214" s="20" t="n">
        <f aca="false">$N214*$P214</f>
        <v>29278.08</v>
      </c>
    </row>
    <row r="215" customFormat="false" ht="15" hidden="false" customHeight="false" outlineLevel="0" collapsed="false">
      <c r="A215" s="9" t="s">
        <v>542</v>
      </c>
      <c r="B215" s="9" t="s">
        <v>1292</v>
      </c>
      <c r="C215" s="9" t="s">
        <v>20</v>
      </c>
      <c r="D215" s="9" t="s">
        <v>517</v>
      </c>
      <c r="E215" s="9" t="s">
        <v>1281</v>
      </c>
      <c r="F215" s="9" t="s">
        <v>53</v>
      </c>
      <c r="G215" s="9" t="s">
        <v>53</v>
      </c>
      <c r="H215" s="9"/>
      <c r="I215" s="25" t="n">
        <v>1</v>
      </c>
      <c r="J215" s="9" t="s">
        <v>1282</v>
      </c>
      <c r="K215" s="9" t="s">
        <v>517</v>
      </c>
      <c r="L215" s="12" t="n">
        <v>1</v>
      </c>
      <c r="M215" s="20" t="n">
        <v>179970.9</v>
      </c>
      <c r="N215" s="20" t="n">
        <v>179970.9</v>
      </c>
      <c r="O215" s="20" t="n">
        <v>0</v>
      </c>
      <c r="P215" s="12" t="n">
        <f aca="false">IF($E215="squad",INDEX(Assumptions!$D$16:$D$56,MATCH($C215&amp;"|"&amp;$D215,Assumptions!$H$16:$H$56,0)),0)</f>
        <v>0.2</v>
      </c>
      <c r="Q215" s="20" t="n">
        <f aca="false">$N215*$P215</f>
        <v>35994.18</v>
      </c>
    </row>
    <row r="216" customFormat="false" ht="15" hidden="false" customHeight="false" outlineLevel="0" collapsed="false">
      <c r="A216" s="9" t="s">
        <v>544</v>
      </c>
      <c r="B216" s="9" t="s">
        <v>1292</v>
      </c>
      <c r="C216" s="9" t="s">
        <v>20</v>
      </c>
      <c r="D216" s="9" t="s">
        <v>517</v>
      </c>
      <c r="E216" s="9" t="s">
        <v>1281</v>
      </c>
      <c r="F216" s="9" t="s">
        <v>53</v>
      </c>
      <c r="G216" s="9" t="s">
        <v>53</v>
      </c>
      <c r="H216" s="9"/>
      <c r="I216" s="25" t="n">
        <v>1</v>
      </c>
      <c r="J216" s="9" t="s">
        <v>1282</v>
      </c>
      <c r="K216" s="9" t="s">
        <v>517</v>
      </c>
      <c r="L216" s="12" t="n">
        <v>1</v>
      </c>
      <c r="M216" s="20" t="n">
        <v>216633.121</v>
      </c>
      <c r="N216" s="20" t="n">
        <v>216633.121</v>
      </c>
      <c r="O216" s="20" t="n">
        <v>0</v>
      </c>
      <c r="P216" s="12" t="n">
        <f aca="false">IF($E216="squad",INDEX(Assumptions!$D$16:$D$56,MATCH($C216&amp;"|"&amp;$D216,Assumptions!$H$16:$H$56,0)),0)</f>
        <v>0.2</v>
      </c>
      <c r="Q216" s="20" t="n">
        <f aca="false">$N216*$P216</f>
        <v>43326.6242</v>
      </c>
    </row>
    <row r="217" customFormat="false" ht="15" hidden="false" customHeight="false" outlineLevel="0" collapsed="false">
      <c r="A217" s="9" t="s">
        <v>547</v>
      </c>
      <c r="B217" s="9" t="s">
        <v>1292</v>
      </c>
      <c r="C217" s="9" t="s">
        <v>20</v>
      </c>
      <c r="D217" s="9" t="s">
        <v>517</v>
      </c>
      <c r="E217" s="9" t="s">
        <v>1281</v>
      </c>
      <c r="F217" s="9" t="s">
        <v>69</v>
      </c>
      <c r="G217" s="9" t="s">
        <v>82</v>
      </c>
      <c r="H217" s="9" t="s">
        <v>121</v>
      </c>
      <c r="I217" s="25" t="n">
        <v>1</v>
      </c>
      <c r="J217" s="9" t="s">
        <v>1282</v>
      </c>
      <c r="K217" s="9" t="s">
        <v>517</v>
      </c>
      <c r="L217" s="12" t="n">
        <v>1</v>
      </c>
      <c r="M217" s="20" t="n">
        <v>170489.75</v>
      </c>
      <c r="N217" s="20" t="n">
        <v>127867.3125</v>
      </c>
      <c r="O217" s="20" t="n">
        <v>0</v>
      </c>
      <c r="P217" s="12" t="n">
        <f aca="false">IF($E217="squad",INDEX(Assumptions!$D$16:$D$56,MATCH($C217&amp;"|"&amp;$D217,Assumptions!$H$16:$H$56,0)),0)</f>
        <v>0.2</v>
      </c>
      <c r="Q217" s="20" t="n">
        <f aca="false">$N217*$P217</f>
        <v>25573.4625</v>
      </c>
    </row>
    <row r="218" customFormat="false" ht="15" hidden="false" customHeight="false" outlineLevel="0" collapsed="false">
      <c r="A218" s="9" t="s">
        <v>548</v>
      </c>
      <c r="B218" s="9" t="s">
        <v>1292</v>
      </c>
      <c r="C218" s="9" t="s">
        <v>20</v>
      </c>
      <c r="D218" s="9" t="s">
        <v>517</v>
      </c>
      <c r="E218" s="9" t="s">
        <v>1281</v>
      </c>
      <c r="F218" s="9" t="s">
        <v>69</v>
      </c>
      <c r="G218" s="9" t="s">
        <v>78</v>
      </c>
      <c r="H218" s="9"/>
      <c r="I218" s="25" t="n">
        <v>1</v>
      </c>
      <c r="J218" s="9" t="s">
        <v>1282</v>
      </c>
      <c r="K218" s="9" t="s">
        <v>517</v>
      </c>
      <c r="L218" s="12" t="n">
        <v>1</v>
      </c>
      <c r="M218" s="20" t="n">
        <v>122571.75</v>
      </c>
      <c r="N218" s="20" t="n">
        <v>0</v>
      </c>
      <c r="O218" s="20" t="n">
        <v>0</v>
      </c>
      <c r="P218" s="12" t="n">
        <f aca="false">IF($E218="squad",INDEX(Assumptions!$D$16:$D$56,MATCH($C218&amp;"|"&amp;$D218,Assumptions!$H$16:$H$56,0)),0)</f>
        <v>0.2</v>
      </c>
      <c r="Q218" s="20" t="n">
        <f aca="false">$N218*$P218</f>
        <v>0</v>
      </c>
    </row>
    <row r="219" customFormat="false" ht="15" hidden="false" customHeight="false" outlineLevel="0" collapsed="false">
      <c r="A219" s="9" t="s">
        <v>550</v>
      </c>
      <c r="B219" s="9" t="s">
        <v>1292</v>
      </c>
      <c r="C219" s="9" t="s">
        <v>20</v>
      </c>
      <c r="D219" s="9" t="s">
        <v>513</v>
      </c>
      <c r="E219" s="9" t="s">
        <v>1281</v>
      </c>
      <c r="F219" s="9" t="s">
        <v>53</v>
      </c>
      <c r="G219" s="9" t="s">
        <v>53</v>
      </c>
      <c r="H219" s="9"/>
      <c r="I219" s="25" t="n">
        <v>1</v>
      </c>
      <c r="J219" s="9" t="s">
        <v>1282</v>
      </c>
      <c r="K219" s="9" t="s">
        <v>517</v>
      </c>
      <c r="L219" s="12" t="n">
        <v>1</v>
      </c>
      <c r="M219" s="20" t="n">
        <v>286934</v>
      </c>
      <c r="N219" s="20" t="n">
        <v>286934</v>
      </c>
      <c r="O219" s="20" t="n">
        <v>0</v>
      </c>
      <c r="P219" s="12" t="n">
        <f aca="false">IF($E219="squad",INDEX(Assumptions!$D$16:$D$56,MATCH($C219&amp;"|"&amp;$D219,Assumptions!$H$16:$H$56,0)),0)</f>
        <v>0</v>
      </c>
      <c r="Q219" s="20" t="n">
        <f aca="false">$N219*$P219</f>
        <v>0</v>
      </c>
    </row>
    <row r="220" customFormat="false" ht="15" hidden="false" customHeight="false" outlineLevel="0" collapsed="false">
      <c r="A220" s="9" t="s">
        <v>552</v>
      </c>
      <c r="B220" s="9" t="s">
        <v>1292</v>
      </c>
      <c r="C220" s="9" t="s">
        <v>20</v>
      </c>
      <c r="D220" s="9" t="s">
        <v>513</v>
      </c>
      <c r="E220" s="9" t="s">
        <v>1281</v>
      </c>
      <c r="F220" s="9" t="s">
        <v>53</v>
      </c>
      <c r="G220" s="9" t="s">
        <v>71</v>
      </c>
      <c r="H220" s="9"/>
      <c r="I220" s="25" t="n">
        <v>1</v>
      </c>
      <c r="J220" s="9" t="s">
        <v>1282</v>
      </c>
      <c r="K220" s="9" t="s">
        <v>517</v>
      </c>
      <c r="L220" s="12" t="n">
        <v>1</v>
      </c>
      <c r="M220" s="20" t="n">
        <v>322387</v>
      </c>
      <c r="N220" s="20" t="n">
        <v>128954.8</v>
      </c>
      <c r="O220" s="20" t="n">
        <v>0</v>
      </c>
      <c r="P220" s="12" t="n">
        <f aca="false">IF($E220="squad",INDEX(Assumptions!$D$16:$D$56,MATCH($C220&amp;"|"&amp;$D220,Assumptions!$H$16:$H$56,0)),0)</f>
        <v>0</v>
      </c>
      <c r="Q220" s="20" t="n">
        <f aca="false">$N220*$P220</f>
        <v>0</v>
      </c>
    </row>
    <row r="221" customFormat="false" ht="15" hidden="false" customHeight="false" outlineLevel="0" collapsed="false">
      <c r="A221" s="9" t="s">
        <v>554</v>
      </c>
      <c r="B221" s="9" t="s">
        <v>1292</v>
      </c>
      <c r="C221" s="9" t="s">
        <v>20</v>
      </c>
      <c r="D221" s="9" t="s">
        <v>513</v>
      </c>
      <c r="E221" s="9" t="s">
        <v>1281</v>
      </c>
      <c r="F221" s="9" t="s">
        <v>53</v>
      </c>
      <c r="G221" s="9" t="s">
        <v>71</v>
      </c>
      <c r="H221" s="9"/>
      <c r="I221" s="25" t="n">
        <v>1</v>
      </c>
      <c r="J221" s="9" t="s">
        <v>1282</v>
      </c>
      <c r="K221" s="9" t="s">
        <v>517</v>
      </c>
      <c r="L221" s="12" t="n">
        <v>1</v>
      </c>
      <c r="M221" s="20" t="n">
        <v>375566.5</v>
      </c>
      <c r="N221" s="20" t="n">
        <v>150226.6</v>
      </c>
      <c r="O221" s="20" t="n">
        <v>0</v>
      </c>
      <c r="P221" s="12" t="n">
        <f aca="false">IF($E221="squad",INDEX(Assumptions!$D$16:$D$56,MATCH($C221&amp;"|"&amp;$D221,Assumptions!$H$16:$H$56,0)),0)</f>
        <v>0</v>
      </c>
      <c r="Q221" s="20" t="n">
        <f aca="false">$N221*$P221</f>
        <v>0</v>
      </c>
    </row>
    <row r="222" customFormat="false" ht="15" hidden="false" customHeight="false" outlineLevel="0" collapsed="false">
      <c r="A222" s="9" t="s">
        <v>557</v>
      </c>
      <c r="B222" s="9" t="s">
        <v>1292</v>
      </c>
      <c r="C222" s="9" t="s">
        <v>20</v>
      </c>
      <c r="D222" s="9" t="s">
        <v>513</v>
      </c>
      <c r="E222" s="9" t="s">
        <v>1281</v>
      </c>
      <c r="F222" s="9" t="s">
        <v>53</v>
      </c>
      <c r="G222" s="9" t="s">
        <v>71</v>
      </c>
      <c r="H222" s="9"/>
      <c r="I222" s="25" t="n">
        <v>1</v>
      </c>
      <c r="J222" s="9" t="s">
        <v>1282</v>
      </c>
      <c r="K222" s="9" t="s">
        <v>517</v>
      </c>
      <c r="L222" s="12" t="n">
        <v>1</v>
      </c>
      <c r="M222" s="20" t="n">
        <v>325684.129</v>
      </c>
      <c r="N222" s="20" t="n">
        <v>130273.6516</v>
      </c>
      <c r="O222" s="20" t="n">
        <v>0</v>
      </c>
      <c r="P222" s="12" t="n">
        <f aca="false">IF($E222="squad",INDEX(Assumptions!$D$16:$D$56,MATCH($C222&amp;"|"&amp;$D222,Assumptions!$H$16:$H$56,0)),0)</f>
        <v>0</v>
      </c>
      <c r="Q222" s="20" t="n">
        <f aca="false">$N222*$P222</f>
        <v>0</v>
      </c>
    </row>
    <row r="223" customFormat="false" ht="15" hidden="false" customHeight="false" outlineLevel="0" collapsed="false">
      <c r="A223" s="9" t="s">
        <v>560</v>
      </c>
      <c r="B223" s="9" t="s">
        <v>1292</v>
      </c>
      <c r="C223" s="9" t="s">
        <v>20</v>
      </c>
      <c r="D223" s="9" t="s">
        <v>513</v>
      </c>
      <c r="E223" s="9" t="s">
        <v>1281</v>
      </c>
      <c r="F223" s="9" t="s">
        <v>53</v>
      </c>
      <c r="G223" s="9" t="s">
        <v>71</v>
      </c>
      <c r="H223" s="9"/>
      <c r="I223" s="25" t="n">
        <v>1</v>
      </c>
      <c r="J223" s="9" t="s">
        <v>1282</v>
      </c>
      <c r="K223" s="9" t="s">
        <v>517</v>
      </c>
      <c r="L223" s="12" t="n">
        <v>1</v>
      </c>
      <c r="M223" s="20" t="n">
        <v>268285.722</v>
      </c>
      <c r="N223" s="20" t="n">
        <v>107314.2888</v>
      </c>
      <c r="O223" s="20" t="n">
        <v>0</v>
      </c>
      <c r="P223" s="12" t="n">
        <f aca="false">IF($E223="squad",INDEX(Assumptions!$D$16:$D$56,MATCH($C223&amp;"|"&amp;$D223,Assumptions!$H$16:$H$56,0)),0)</f>
        <v>0</v>
      </c>
      <c r="Q223" s="20" t="n">
        <f aca="false">$N223*$P223</f>
        <v>0</v>
      </c>
    </row>
    <row r="224" customFormat="false" ht="15" hidden="false" customHeight="false" outlineLevel="0" collapsed="false">
      <c r="A224" s="9" t="s">
        <v>563</v>
      </c>
      <c r="B224" s="9" t="s">
        <v>1292</v>
      </c>
      <c r="C224" s="9" t="s">
        <v>20</v>
      </c>
      <c r="D224" s="9" t="s">
        <v>513</v>
      </c>
      <c r="E224" s="9" t="s">
        <v>1281</v>
      </c>
      <c r="F224" s="9" t="s">
        <v>53</v>
      </c>
      <c r="G224" s="9" t="s">
        <v>71</v>
      </c>
      <c r="H224" s="9"/>
      <c r="I224" s="25" t="n">
        <v>1</v>
      </c>
      <c r="J224" s="9" t="s">
        <v>1282</v>
      </c>
      <c r="K224" s="9" t="s">
        <v>517</v>
      </c>
      <c r="L224" s="12" t="n">
        <v>1</v>
      </c>
      <c r="M224" s="20" t="n">
        <v>260911.498</v>
      </c>
      <c r="N224" s="20" t="n">
        <v>104364.5992</v>
      </c>
      <c r="O224" s="20" t="n">
        <v>0</v>
      </c>
      <c r="P224" s="12" t="n">
        <f aca="false">IF($E224="squad",INDEX(Assumptions!$D$16:$D$56,MATCH($C224&amp;"|"&amp;$D224,Assumptions!$H$16:$H$56,0)),0)</f>
        <v>0</v>
      </c>
      <c r="Q224" s="20" t="n">
        <f aca="false">$N224*$P224</f>
        <v>0</v>
      </c>
    </row>
    <row r="225" customFormat="false" ht="15" hidden="false" customHeight="false" outlineLevel="0" collapsed="false">
      <c r="A225" s="9" t="s">
        <v>566</v>
      </c>
      <c r="B225" s="9" t="s">
        <v>1292</v>
      </c>
      <c r="C225" s="9" t="s">
        <v>20</v>
      </c>
      <c r="D225" s="9" t="s">
        <v>513</v>
      </c>
      <c r="E225" s="9" t="s">
        <v>1281</v>
      </c>
      <c r="F225" s="9" t="s">
        <v>53</v>
      </c>
      <c r="G225" s="9" t="s">
        <v>71</v>
      </c>
      <c r="H225" s="9"/>
      <c r="I225" s="25" t="n">
        <v>1</v>
      </c>
      <c r="J225" s="9" t="s">
        <v>1282</v>
      </c>
      <c r="K225" s="9" t="s">
        <v>517</v>
      </c>
      <c r="L225" s="12" t="n">
        <v>1</v>
      </c>
      <c r="M225" s="20" t="n">
        <v>266400</v>
      </c>
      <c r="N225" s="20" t="n">
        <v>106560</v>
      </c>
      <c r="O225" s="20" t="n">
        <v>0</v>
      </c>
      <c r="P225" s="12" t="n">
        <f aca="false">IF($E225="squad",INDEX(Assumptions!$D$16:$D$56,MATCH($C225&amp;"|"&amp;$D225,Assumptions!$H$16:$H$56,0)),0)</f>
        <v>0</v>
      </c>
      <c r="Q225" s="20" t="n">
        <f aca="false">$N225*$P225</f>
        <v>0</v>
      </c>
    </row>
    <row r="226" customFormat="false" ht="15" hidden="false" customHeight="false" outlineLevel="0" collapsed="false">
      <c r="A226" s="9" t="s">
        <v>570</v>
      </c>
      <c r="B226" s="9" t="s">
        <v>1292</v>
      </c>
      <c r="C226" s="9" t="s">
        <v>20</v>
      </c>
      <c r="D226" s="9" t="s">
        <v>569</v>
      </c>
      <c r="E226" s="9" t="s">
        <v>1283</v>
      </c>
      <c r="F226" s="9" t="s">
        <v>53</v>
      </c>
      <c r="G226" s="9" t="s">
        <v>53</v>
      </c>
      <c r="H226" s="9"/>
      <c r="I226" s="25" t="n">
        <v>1</v>
      </c>
      <c r="J226" s="9" t="s">
        <v>1282</v>
      </c>
      <c r="K226" s="9" t="s">
        <v>569</v>
      </c>
      <c r="L226" s="12" t="n">
        <v>1</v>
      </c>
      <c r="M226" s="20" t="n">
        <v>323695.95</v>
      </c>
      <c r="N226" s="20" t="n">
        <v>323695.95</v>
      </c>
      <c r="O226" s="20" t="n">
        <v>0</v>
      </c>
      <c r="P226" s="12" t="n">
        <f aca="false">IF($E226="squad",INDEX(Assumptions!$D$16:$D$56,MATCH($C226&amp;"|"&amp;$D226,Assumptions!$H$16:$H$56,0)),0)</f>
        <v>0</v>
      </c>
      <c r="Q226" s="20" t="n">
        <f aca="false">$N226*$P226</f>
        <v>0</v>
      </c>
    </row>
    <row r="227" customFormat="false" ht="15" hidden="false" customHeight="false" outlineLevel="0" collapsed="false">
      <c r="A227" s="9" t="s">
        <v>573</v>
      </c>
      <c r="B227" s="9" t="s">
        <v>1292</v>
      </c>
      <c r="C227" s="9" t="s">
        <v>20</v>
      </c>
      <c r="D227" s="9" t="s">
        <v>569</v>
      </c>
      <c r="E227" s="9" t="s">
        <v>1283</v>
      </c>
      <c r="F227" s="9" t="s">
        <v>53</v>
      </c>
      <c r="G227" s="9" t="s">
        <v>53</v>
      </c>
      <c r="H227" s="9"/>
      <c r="I227" s="25" t="n">
        <v>1</v>
      </c>
      <c r="J227" s="9" t="s">
        <v>1282</v>
      </c>
      <c r="K227" s="9" t="s">
        <v>569</v>
      </c>
      <c r="L227" s="12" t="n">
        <v>1</v>
      </c>
      <c r="M227" s="20" t="n">
        <v>304660.5</v>
      </c>
      <c r="N227" s="20" t="n">
        <v>304660.5</v>
      </c>
      <c r="O227" s="20" t="n">
        <v>0</v>
      </c>
      <c r="P227" s="12" t="n">
        <f aca="false">IF($E227="squad",INDEX(Assumptions!$D$16:$D$56,MATCH($C227&amp;"|"&amp;$D227,Assumptions!$H$16:$H$56,0)),0)</f>
        <v>0</v>
      </c>
      <c r="Q227" s="20" t="n">
        <f aca="false">$N227*$P227</f>
        <v>0</v>
      </c>
    </row>
    <row r="228" customFormat="false" ht="15" hidden="false" customHeight="false" outlineLevel="0" collapsed="false">
      <c r="A228" s="9" t="s">
        <v>576</v>
      </c>
      <c r="B228" s="9" t="s">
        <v>1292</v>
      </c>
      <c r="C228" s="9" t="s">
        <v>20</v>
      </c>
      <c r="D228" s="9" t="s">
        <v>569</v>
      </c>
      <c r="E228" s="9" t="s">
        <v>1283</v>
      </c>
      <c r="F228" s="9" t="s">
        <v>53</v>
      </c>
      <c r="G228" s="9" t="s">
        <v>53</v>
      </c>
      <c r="H228" s="9"/>
      <c r="I228" s="25" t="n">
        <v>1</v>
      </c>
      <c r="J228" s="9" t="s">
        <v>1282</v>
      </c>
      <c r="K228" s="9" t="s">
        <v>569</v>
      </c>
      <c r="L228" s="12" t="n">
        <v>1</v>
      </c>
      <c r="M228" s="20" t="n">
        <v>221249.55</v>
      </c>
      <c r="N228" s="20" t="n">
        <v>221249.55</v>
      </c>
      <c r="O228" s="20" t="n">
        <v>0</v>
      </c>
      <c r="P228" s="12" t="n">
        <f aca="false">IF($E228="squad",INDEX(Assumptions!$D$16:$D$56,MATCH($C228&amp;"|"&amp;$D228,Assumptions!$H$16:$H$56,0)),0)</f>
        <v>0</v>
      </c>
      <c r="Q228" s="20" t="n">
        <f aca="false">$N228*$P228</f>
        <v>0</v>
      </c>
    </row>
    <row r="229" customFormat="false" ht="15" hidden="false" customHeight="false" outlineLevel="0" collapsed="false">
      <c r="A229" s="9" t="s">
        <v>578</v>
      </c>
      <c r="B229" s="9" t="s">
        <v>1292</v>
      </c>
      <c r="C229" s="9" t="s">
        <v>20</v>
      </c>
      <c r="D229" s="9" t="s">
        <v>569</v>
      </c>
      <c r="E229" s="9" t="s">
        <v>1283</v>
      </c>
      <c r="F229" s="9" t="s">
        <v>53</v>
      </c>
      <c r="G229" s="9" t="s">
        <v>53</v>
      </c>
      <c r="H229" s="9"/>
      <c r="I229" s="25" t="n">
        <v>1</v>
      </c>
      <c r="J229" s="9" t="s">
        <v>1282</v>
      </c>
      <c r="K229" s="9" t="s">
        <v>569</v>
      </c>
      <c r="L229" s="12" t="n">
        <v>1</v>
      </c>
      <c r="M229" s="20" t="n">
        <v>253997.1</v>
      </c>
      <c r="N229" s="20" t="n">
        <v>253997.1</v>
      </c>
      <c r="O229" s="20" t="n">
        <v>0</v>
      </c>
      <c r="P229" s="12" t="n">
        <f aca="false">IF($E229="squad",INDEX(Assumptions!$D$16:$D$56,MATCH($C229&amp;"|"&amp;$D229,Assumptions!$H$16:$H$56,0)),0)</f>
        <v>0</v>
      </c>
      <c r="Q229" s="20" t="n">
        <f aca="false">$N229*$P229</f>
        <v>0</v>
      </c>
    </row>
    <row r="230" customFormat="false" ht="15" hidden="false" customHeight="false" outlineLevel="0" collapsed="false">
      <c r="A230" s="9" t="s">
        <v>580</v>
      </c>
      <c r="B230" s="9" t="s">
        <v>1292</v>
      </c>
      <c r="C230" s="9" t="s">
        <v>20</v>
      </c>
      <c r="D230" s="9" t="s">
        <v>569</v>
      </c>
      <c r="E230" s="9" t="s">
        <v>1283</v>
      </c>
      <c r="F230" s="9" t="s">
        <v>53</v>
      </c>
      <c r="G230" s="9" t="s">
        <v>53</v>
      </c>
      <c r="H230" s="9"/>
      <c r="I230" s="25" t="n">
        <v>1</v>
      </c>
      <c r="J230" s="9" t="s">
        <v>1282</v>
      </c>
      <c r="K230" s="9" t="s">
        <v>569</v>
      </c>
      <c r="L230" s="12" t="n">
        <v>1</v>
      </c>
      <c r="M230" s="20" t="n">
        <v>366703.25</v>
      </c>
      <c r="N230" s="20" t="n">
        <v>366703.25</v>
      </c>
      <c r="O230" s="20" t="n">
        <v>0</v>
      </c>
      <c r="P230" s="12" t="n">
        <f aca="false">IF($E230="squad",INDEX(Assumptions!$D$16:$D$56,MATCH($C230&amp;"|"&amp;$D230,Assumptions!$H$16:$H$56,0)),0)</f>
        <v>0</v>
      </c>
      <c r="Q230" s="20" t="n">
        <f aca="false">$N230*$P230</f>
        <v>0</v>
      </c>
    </row>
    <row r="231" customFormat="false" ht="15" hidden="false" customHeight="false" outlineLevel="0" collapsed="false">
      <c r="A231" s="9" t="s">
        <v>582</v>
      </c>
      <c r="B231" s="9" t="s">
        <v>1292</v>
      </c>
      <c r="C231" s="9" t="s">
        <v>20</v>
      </c>
      <c r="D231" s="9" t="s">
        <v>569</v>
      </c>
      <c r="E231" s="9" t="s">
        <v>1283</v>
      </c>
      <c r="F231" s="9" t="s">
        <v>53</v>
      </c>
      <c r="G231" s="9" t="s">
        <v>53</v>
      </c>
      <c r="H231" s="9"/>
      <c r="I231" s="25" t="n">
        <v>1</v>
      </c>
      <c r="J231" s="9" t="s">
        <v>1282</v>
      </c>
      <c r="K231" s="9" t="s">
        <v>569</v>
      </c>
      <c r="L231" s="12" t="n">
        <v>1</v>
      </c>
      <c r="M231" s="20" t="n">
        <v>276972.45</v>
      </c>
      <c r="N231" s="20" t="n">
        <v>276972.45</v>
      </c>
      <c r="O231" s="20" t="n">
        <v>0</v>
      </c>
      <c r="P231" s="12" t="n">
        <f aca="false">IF($E231="squad",INDEX(Assumptions!$D$16:$D$56,MATCH($C231&amp;"|"&amp;$D231,Assumptions!$H$16:$H$56,0)),0)</f>
        <v>0</v>
      </c>
      <c r="Q231" s="20" t="n">
        <f aca="false">$N231*$P231</f>
        <v>0</v>
      </c>
    </row>
    <row r="232" customFormat="false" ht="15" hidden="false" customHeight="false" outlineLevel="0" collapsed="false">
      <c r="A232" s="9" t="s">
        <v>584</v>
      </c>
      <c r="B232" s="9" t="s">
        <v>1292</v>
      </c>
      <c r="C232" s="9" t="s">
        <v>20</v>
      </c>
      <c r="D232" s="9" t="s">
        <v>569</v>
      </c>
      <c r="E232" s="9" t="s">
        <v>1283</v>
      </c>
      <c r="F232" s="9" t="s">
        <v>53</v>
      </c>
      <c r="G232" s="9" t="s">
        <v>53</v>
      </c>
      <c r="H232" s="9"/>
      <c r="I232" s="25" t="n">
        <v>1</v>
      </c>
      <c r="J232" s="9" t="s">
        <v>1284</v>
      </c>
      <c r="K232" s="9" t="s">
        <v>569</v>
      </c>
      <c r="L232" s="12" t="n">
        <v>1</v>
      </c>
      <c r="M232" s="20" t="n">
        <v>180639.096</v>
      </c>
      <c r="N232" s="20" t="n">
        <v>180639.096</v>
      </c>
      <c r="O232" s="20" t="n">
        <v>0</v>
      </c>
      <c r="P232" s="12" t="n">
        <f aca="false">IF($E232="squad",INDEX(Assumptions!$D$16:$D$56,MATCH($C232&amp;"|"&amp;$D232,Assumptions!$H$16:$H$56,0)),0)</f>
        <v>0</v>
      </c>
      <c r="Q232" s="20" t="n">
        <f aca="false">$N232*$P232</f>
        <v>0</v>
      </c>
    </row>
    <row r="233" customFormat="false" ht="15" hidden="false" customHeight="false" outlineLevel="0" collapsed="false">
      <c r="A233" s="9" t="s">
        <v>586</v>
      </c>
      <c r="B233" s="9" t="s">
        <v>1292</v>
      </c>
      <c r="C233" s="9" t="s">
        <v>20</v>
      </c>
      <c r="D233" s="9" t="s">
        <v>569</v>
      </c>
      <c r="E233" s="9" t="s">
        <v>1283</v>
      </c>
      <c r="F233" s="9" t="s">
        <v>53</v>
      </c>
      <c r="G233" s="9" t="s">
        <v>53</v>
      </c>
      <c r="H233" s="9"/>
      <c r="I233" s="25" t="n">
        <v>1</v>
      </c>
      <c r="J233" s="9" t="s">
        <v>1282</v>
      </c>
      <c r="K233" s="9" t="s">
        <v>569</v>
      </c>
      <c r="L233" s="12" t="n">
        <v>1</v>
      </c>
      <c r="M233" s="20" t="n">
        <v>280350</v>
      </c>
      <c r="N233" s="20" t="n">
        <v>280350</v>
      </c>
      <c r="O233" s="20" t="n">
        <v>0</v>
      </c>
      <c r="P233" s="12" t="n">
        <f aca="false">IF($E233="squad",INDEX(Assumptions!$D$16:$D$56,MATCH($C233&amp;"|"&amp;$D233,Assumptions!$H$16:$H$56,0)),0)</f>
        <v>0</v>
      </c>
      <c r="Q233" s="20" t="n">
        <f aca="false">$N233*$P233</f>
        <v>0</v>
      </c>
    </row>
    <row r="234" customFormat="false" ht="15" hidden="false" customHeight="false" outlineLevel="0" collapsed="false">
      <c r="A234" s="9" t="s">
        <v>589</v>
      </c>
      <c r="B234" s="9" t="s">
        <v>1292</v>
      </c>
      <c r="C234" s="9" t="s">
        <v>20</v>
      </c>
      <c r="D234" s="9" t="s">
        <v>569</v>
      </c>
      <c r="E234" s="9" t="s">
        <v>1283</v>
      </c>
      <c r="F234" s="9" t="s">
        <v>53</v>
      </c>
      <c r="G234" s="9" t="s">
        <v>53</v>
      </c>
      <c r="H234" s="9"/>
      <c r="I234" s="25" t="n">
        <v>1</v>
      </c>
      <c r="J234" s="9" t="s">
        <v>1284</v>
      </c>
      <c r="K234" s="9" t="s">
        <v>569</v>
      </c>
      <c r="L234" s="12" t="n">
        <v>1</v>
      </c>
      <c r="M234" s="20" t="n">
        <v>197318.88</v>
      </c>
      <c r="N234" s="20" t="n">
        <v>197318.88</v>
      </c>
      <c r="O234" s="20" t="n">
        <v>0</v>
      </c>
      <c r="P234" s="12" t="n">
        <f aca="false">IF($E234="squad",INDEX(Assumptions!$D$16:$D$56,MATCH($C234&amp;"|"&amp;$D234,Assumptions!$H$16:$H$56,0)),0)</f>
        <v>0</v>
      </c>
      <c r="Q234" s="20" t="n">
        <f aca="false">$N234*$P234</f>
        <v>0</v>
      </c>
    </row>
    <row r="235" customFormat="false" ht="15" hidden="false" customHeight="false" outlineLevel="0" collapsed="false">
      <c r="A235" s="9" t="s">
        <v>592</v>
      </c>
      <c r="B235" s="9" t="s">
        <v>1292</v>
      </c>
      <c r="C235" s="9" t="s">
        <v>20</v>
      </c>
      <c r="D235" s="9" t="s">
        <v>569</v>
      </c>
      <c r="E235" s="9" t="s">
        <v>1283</v>
      </c>
      <c r="F235" s="9" t="s">
        <v>53</v>
      </c>
      <c r="G235" s="9" t="s">
        <v>53</v>
      </c>
      <c r="H235" s="9"/>
      <c r="I235" s="25" t="n">
        <v>1</v>
      </c>
      <c r="J235" s="9" t="s">
        <v>1282</v>
      </c>
      <c r="K235" s="9" t="s">
        <v>569</v>
      </c>
      <c r="L235" s="12" t="n">
        <v>1</v>
      </c>
      <c r="M235" s="20" t="n">
        <v>279205.246</v>
      </c>
      <c r="N235" s="20" t="n">
        <v>279205.246</v>
      </c>
      <c r="O235" s="20" t="n">
        <v>0</v>
      </c>
      <c r="P235" s="12" t="n">
        <f aca="false">IF($E235="squad",INDEX(Assumptions!$D$16:$D$56,MATCH($C235&amp;"|"&amp;$D235,Assumptions!$H$16:$H$56,0)),0)</f>
        <v>0</v>
      </c>
      <c r="Q235" s="20" t="n">
        <f aca="false">$N235*$P235</f>
        <v>0</v>
      </c>
    </row>
    <row r="236" customFormat="false" ht="15" hidden="false" customHeight="false" outlineLevel="0" collapsed="false">
      <c r="A236" s="9" t="s">
        <v>594</v>
      </c>
      <c r="B236" s="9" t="s">
        <v>1292</v>
      </c>
      <c r="C236" s="9" t="s">
        <v>20</v>
      </c>
      <c r="D236" s="9" t="s">
        <v>569</v>
      </c>
      <c r="E236" s="9" t="s">
        <v>1283</v>
      </c>
      <c r="F236" s="9" t="s">
        <v>53</v>
      </c>
      <c r="G236" s="9" t="s">
        <v>53</v>
      </c>
      <c r="H236" s="9"/>
      <c r="I236" s="25" t="n">
        <v>1</v>
      </c>
      <c r="J236" s="9" t="s">
        <v>1282</v>
      </c>
      <c r="K236" s="9" t="s">
        <v>569</v>
      </c>
      <c r="L236" s="12" t="n">
        <v>1</v>
      </c>
      <c r="M236" s="20" t="n">
        <v>194522.85</v>
      </c>
      <c r="N236" s="20" t="n">
        <v>194522.85</v>
      </c>
      <c r="O236" s="20" t="n">
        <v>0</v>
      </c>
      <c r="P236" s="12" t="n">
        <f aca="false">IF($E236="squad",INDEX(Assumptions!$D$16:$D$56,MATCH($C236&amp;"|"&amp;$D236,Assumptions!$H$16:$H$56,0)),0)</f>
        <v>0</v>
      </c>
      <c r="Q236" s="20" t="n">
        <f aca="false">$N236*$P236</f>
        <v>0</v>
      </c>
    </row>
    <row r="237" customFormat="false" ht="15" hidden="false" customHeight="false" outlineLevel="0" collapsed="false">
      <c r="A237" s="9" t="s">
        <v>597</v>
      </c>
      <c r="B237" s="9" t="s">
        <v>1292</v>
      </c>
      <c r="C237" s="9" t="s">
        <v>20</v>
      </c>
      <c r="D237" s="9" t="s">
        <v>569</v>
      </c>
      <c r="E237" s="9" t="s">
        <v>1283</v>
      </c>
      <c r="F237" s="9" t="s">
        <v>53</v>
      </c>
      <c r="G237" s="9" t="s">
        <v>53</v>
      </c>
      <c r="H237" s="9"/>
      <c r="I237" s="25" t="n">
        <v>1</v>
      </c>
      <c r="J237" s="9" t="s">
        <v>1284</v>
      </c>
      <c r="K237" s="9" t="s">
        <v>569</v>
      </c>
      <c r="L237" s="12" t="n">
        <v>1</v>
      </c>
      <c r="M237" s="20" t="n">
        <v>156490.752</v>
      </c>
      <c r="N237" s="20" t="n">
        <v>156490.752</v>
      </c>
      <c r="O237" s="20" t="n">
        <v>0</v>
      </c>
      <c r="P237" s="12" t="n">
        <f aca="false">IF($E237="squad",INDEX(Assumptions!$D$16:$D$56,MATCH($C237&amp;"|"&amp;$D237,Assumptions!$H$16:$H$56,0)),0)</f>
        <v>0</v>
      </c>
      <c r="Q237" s="20" t="n">
        <f aca="false">$N237*$P237</f>
        <v>0</v>
      </c>
    </row>
    <row r="238" customFormat="false" ht="15" hidden="false" customHeight="false" outlineLevel="0" collapsed="false">
      <c r="A238" s="9" t="s">
        <v>600</v>
      </c>
      <c r="B238" s="9" t="s">
        <v>1292</v>
      </c>
      <c r="C238" s="9" t="s">
        <v>20</v>
      </c>
      <c r="D238" s="9" t="s">
        <v>569</v>
      </c>
      <c r="E238" s="9" t="s">
        <v>1283</v>
      </c>
      <c r="F238" s="9" t="s">
        <v>53</v>
      </c>
      <c r="G238" s="9" t="s">
        <v>53</v>
      </c>
      <c r="H238" s="9"/>
      <c r="I238" s="25" t="n">
        <v>1</v>
      </c>
      <c r="J238" s="9" t="s">
        <v>1284</v>
      </c>
      <c r="K238" s="9" t="s">
        <v>569</v>
      </c>
      <c r="L238" s="12" t="n">
        <v>1</v>
      </c>
      <c r="M238" s="20" t="n">
        <v>101439.056</v>
      </c>
      <c r="N238" s="20" t="n">
        <v>101439.056</v>
      </c>
      <c r="O238" s="20" t="n">
        <v>0</v>
      </c>
      <c r="P238" s="12" t="n">
        <f aca="false">IF($E238="squad",INDEX(Assumptions!$D$16:$D$56,MATCH($C238&amp;"|"&amp;$D238,Assumptions!$H$16:$H$56,0)),0)</f>
        <v>0</v>
      </c>
      <c r="Q238" s="20" t="n">
        <f aca="false">$N238*$P238</f>
        <v>0</v>
      </c>
    </row>
    <row r="239" customFormat="false" ht="15" hidden="false" customHeight="false" outlineLevel="0" collapsed="false">
      <c r="A239" s="9" t="s">
        <v>602</v>
      </c>
      <c r="B239" s="9" t="s">
        <v>1292</v>
      </c>
      <c r="C239" s="9" t="s">
        <v>20</v>
      </c>
      <c r="D239" s="9" t="s">
        <v>569</v>
      </c>
      <c r="E239" s="9" t="s">
        <v>1283</v>
      </c>
      <c r="F239" s="9" t="s">
        <v>53</v>
      </c>
      <c r="G239" s="9" t="s">
        <v>53</v>
      </c>
      <c r="H239" s="9"/>
      <c r="I239" s="25" t="n">
        <v>1</v>
      </c>
      <c r="J239" s="9" t="s">
        <v>1284</v>
      </c>
      <c r="K239" s="9" t="s">
        <v>569</v>
      </c>
      <c r="L239" s="12" t="n">
        <v>1</v>
      </c>
      <c r="M239" s="20" t="n">
        <v>84514.552</v>
      </c>
      <c r="N239" s="20" t="n">
        <v>84514.552</v>
      </c>
      <c r="O239" s="20" t="n">
        <v>0</v>
      </c>
      <c r="P239" s="12" t="n">
        <f aca="false">IF($E239="squad",INDEX(Assumptions!$D$16:$D$56,MATCH($C239&amp;"|"&amp;$D239,Assumptions!$H$16:$H$56,0)),0)</f>
        <v>0</v>
      </c>
      <c r="Q239" s="20" t="n">
        <f aca="false">$N239*$P239</f>
        <v>0</v>
      </c>
    </row>
    <row r="240" customFormat="false" ht="15" hidden="false" customHeight="false" outlineLevel="0" collapsed="false">
      <c r="A240" s="9" t="s">
        <v>605</v>
      </c>
      <c r="B240" s="9" t="s">
        <v>1292</v>
      </c>
      <c r="C240" s="9" t="s">
        <v>20</v>
      </c>
      <c r="D240" s="9" t="s">
        <v>199</v>
      </c>
      <c r="E240" s="9" t="s">
        <v>1286</v>
      </c>
      <c r="F240" s="9" t="s">
        <v>53</v>
      </c>
      <c r="G240" s="9" t="s">
        <v>53</v>
      </c>
      <c r="H240" s="9"/>
      <c r="I240" s="25" t="n">
        <v>1</v>
      </c>
      <c r="J240" s="9" t="s">
        <v>1284</v>
      </c>
      <c r="K240" s="9" t="s">
        <v>756</v>
      </c>
      <c r="L240" s="12" t="n">
        <v>1</v>
      </c>
      <c r="M240" s="20" t="n">
        <v>292434.736</v>
      </c>
      <c r="N240" s="20" t="n">
        <v>292434.736</v>
      </c>
      <c r="O240" s="20" t="n">
        <v>0</v>
      </c>
      <c r="P240" s="12" t="n">
        <f aca="false">IF($E240="squad",INDEX(Assumptions!$D$16:$D$56,MATCH($C240&amp;"|"&amp;$D240,Assumptions!$H$16:$H$56,0)),0)</f>
        <v>0</v>
      </c>
      <c r="Q240" s="20" t="n">
        <f aca="false">$N240*$P240</f>
        <v>0</v>
      </c>
    </row>
    <row r="241" customFormat="false" ht="15" hidden="false" customHeight="false" outlineLevel="0" collapsed="false">
      <c r="A241" s="9" t="s">
        <v>608</v>
      </c>
      <c r="B241" s="9" t="s">
        <v>1292</v>
      </c>
      <c r="C241" s="9" t="s">
        <v>20</v>
      </c>
      <c r="D241" s="9" t="s">
        <v>203</v>
      </c>
      <c r="E241" s="9" t="s">
        <v>1286</v>
      </c>
      <c r="F241" s="9" t="s">
        <v>69</v>
      </c>
      <c r="G241" s="9" t="s">
        <v>82</v>
      </c>
      <c r="H241" s="9"/>
      <c r="I241" s="25" t="n">
        <v>1</v>
      </c>
      <c r="J241" s="9" t="s">
        <v>1282</v>
      </c>
      <c r="K241" s="9" t="s">
        <v>756</v>
      </c>
      <c r="L241" s="12" t="n">
        <v>1</v>
      </c>
      <c r="M241" s="20" t="n">
        <v>275810.25</v>
      </c>
      <c r="N241" s="20" t="n">
        <v>275810.25</v>
      </c>
      <c r="O241" s="20" t="n">
        <v>0</v>
      </c>
      <c r="P241" s="12" t="n">
        <f aca="false">IF($E241="squad",INDEX(Assumptions!$D$16:$D$56,MATCH($C241&amp;"|"&amp;$D241,Assumptions!$H$16:$H$56,0)),0)</f>
        <v>0</v>
      </c>
      <c r="Q241" s="20" t="n">
        <f aca="false">$N241*$P241</f>
        <v>0</v>
      </c>
    </row>
    <row r="242" customFormat="false" ht="15" hidden="false" customHeight="false" outlineLevel="0" collapsed="false">
      <c r="A242" s="9" t="s">
        <v>609</v>
      </c>
      <c r="B242" s="9" t="s">
        <v>1292</v>
      </c>
      <c r="C242" s="9" t="s">
        <v>20</v>
      </c>
      <c r="D242" s="9" t="s">
        <v>206</v>
      </c>
      <c r="E242" s="9" t="s">
        <v>1286</v>
      </c>
      <c r="F242" s="9" t="s">
        <v>53</v>
      </c>
      <c r="G242" s="9" t="s">
        <v>53</v>
      </c>
      <c r="H242" s="9"/>
      <c r="I242" s="25" t="n">
        <v>1</v>
      </c>
      <c r="J242" s="9" t="s">
        <v>1282</v>
      </c>
      <c r="K242" s="9" t="s">
        <v>756</v>
      </c>
      <c r="L242" s="12" t="n">
        <v>1</v>
      </c>
      <c r="M242" s="20" t="n">
        <v>287287.1</v>
      </c>
      <c r="N242" s="20" t="n">
        <v>287287.1</v>
      </c>
      <c r="O242" s="20" t="n">
        <v>0</v>
      </c>
      <c r="P242" s="12" t="n">
        <f aca="false">IF($E242="squad",INDEX(Assumptions!$D$16:$D$56,MATCH($C242&amp;"|"&amp;$D242,Assumptions!$H$16:$H$56,0)),0)</f>
        <v>0</v>
      </c>
      <c r="Q242" s="20" t="n">
        <f aca="false">$N242*$P242</f>
        <v>0</v>
      </c>
    </row>
    <row r="243" customFormat="false" ht="15" hidden="false" customHeight="false" outlineLevel="0" collapsed="false">
      <c r="A243" s="9" t="s">
        <v>612</v>
      </c>
      <c r="B243" s="9" t="s">
        <v>1292</v>
      </c>
      <c r="C243" s="9" t="s">
        <v>20</v>
      </c>
      <c r="D243" s="9" t="s">
        <v>206</v>
      </c>
      <c r="E243" s="9" t="s">
        <v>1286</v>
      </c>
      <c r="F243" s="9" t="s">
        <v>69</v>
      </c>
      <c r="G243" s="9" t="s">
        <v>82</v>
      </c>
      <c r="H243" s="9"/>
      <c r="I243" s="25" t="n">
        <v>1</v>
      </c>
      <c r="J243" s="9" t="s">
        <v>1282</v>
      </c>
      <c r="K243" s="9" t="s">
        <v>756</v>
      </c>
      <c r="L243" s="12" t="n">
        <v>1</v>
      </c>
      <c r="M243" s="20" t="n">
        <v>275810.25</v>
      </c>
      <c r="N243" s="20" t="n">
        <v>275810.25</v>
      </c>
      <c r="O243" s="20" t="n">
        <v>0</v>
      </c>
      <c r="P243" s="12" t="n">
        <f aca="false">IF($E243="squad",INDEX(Assumptions!$D$16:$D$56,MATCH($C243&amp;"|"&amp;$D243,Assumptions!$H$16:$H$56,0)),0)</f>
        <v>0</v>
      </c>
      <c r="Q243" s="20" t="n">
        <f aca="false">$N243*$P243</f>
        <v>0</v>
      </c>
    </row>
    <row r="244" customFormat="false" ht="15" hidden="false" customHeight="false" outlineLevel="0" collapsed="false">
      <c r="A244" s="9" t="s">
        <v>615</v>
      </c>
      <c r="B244" s="9" t="s">
        <v>1293</v>
      </c>
      <c r="C244" s="9" t="s">
        <v>22</v>
      </c>
      <c r="D244" s="9" t="s">
        <v>613</v>
      </c>
      <c r="E244" s="9" t="s">
        <v>1281</v>
      </c>
      <c r="F244" s="9" t="s">
        <v>53</v>
      </c>
      <c r="G244" s="9" t="s">
        <v>53</v>
      </c>
      <c r="H244" s="9"/>
      <c r="I244" s="25" t="n">
        <v>1</v>
      </c>
      <c r="J244" s="9" t="s">
        <v>1282</v>
      </c>
      <c r="K244" s="9" t="s">
        <v>613</v>
      </c>
      <c r="L244" s="12" t="n">
        <v>1</v>
      </c>
      <c r="M244" s="20" t="n">
        <v>223625.85</v>
      </c>
      <c r="N244" s="20" t="n">
        <v>223625.85</v>
      </c>
      <c r="O244" s="20" t="n">
        <v>0</v>
      </c>
      <c r="P244" s="12" t="n">
        <f aca="false">IF($E244="squad",INDEX(Assumptions!$D$16:$D$56,MATCH($C244&amp;"|"&amp;$D244,Assumptions!$H$16:$H$56,0)),0)</f>
        <v>0.1</v>
      </c>
      <c r="Q244" s="20" t="n">
        <f aca="false">$N244*$P244</f>
        <v>22362.585</v>
      </c>
    </row>
    <row r="245" customFormat="false" ht="15" hidden="false" customHeight="false" outlineLevel="0" collapsed="false">
      <c r="A245" s="9" t="s">
        <v>618</v>
      </c>
      <c r="B245" s="9" t="s">
        <v>1293</v>
      </c>
      <c r="C245" s="9" t="s">
        <v>22</v>
      </c>
      <c r="D245" s="9" t="s">
        <v>613</v>
      </c>
      <c r="E245" s="9" t="s">
        <v>1281</v>
      </c>
      <c r="F245" s="9" t="s">
        <v>53</v>
      </c>
      <c r="G245" s="9" t="s">
        <v>53</v>
      </c>
      <c r="H245" s="9"/>
      <c r="I245" s="25" t="n">
        <v>1</v>
      </c>
      <c r="J245" s="9" t="s">
        <v>1282</v>
      </c>
      <c r="K245" s="9" t="s">
        <v>613</v>
      </c>
      <c r="L245" s="12" t="n">
        <v>1</v>
      </c>
      <c r="M245" s="20" t="n">
        <v>221610</v>
      </c>
      <c r="N245" s="20" t="n">
        <v>221610</v>
      </c>
      <c r="O245" s="20" t="n">
        <v>0</v>
      </c>
      <c r="P245" s="12" t="n">
        <f aca="false">IF($E245="squad",INDEX(Assumptions!$D$16:$D$56,MATCH($C245&amp;"|"&amp;$D245,Assumptions!$H$16:$H$56,0)),0)</f>
        <v>0.1</v>
      </c>
      <c r="Q245" s="20" t="n">
        <f aca="false">$N245*$P245</f>
        <v>22161</v>
      </c>
    </row>
    <row r="246" customFormat="false" ht="15" hidden="false" customHeight="false" outlineLevel="0" collapsed="false">
      <c r="A246" s="9" t="s">
        <v>621</v>
      </c>
      <c r="B246" s="9" t="s">
        <v>1293</v>
      </c>
      <c r="C246" s="9" t="s">
        <v>22</v>
      </c>
      <c r="D246" s="9" t="s">
        <v>613</v>
      </c>
      <c r="E246" s="9" t="s">
        <v>1281</v>
      </c>
      <c r="F246" s="9" t="s">
        <v>69</v>
      </c>
      <c r="G246" s="9" t="s">
        <v>82</v>
      </c>
      <c r="H246" s="9"/>
      <c r="I246" s="25" t="n">
        <v>1</v>
      </c>
      <c r="J246" s="9" t="s">
        <v>1282</v>
      </c>
      <c r="K246" s="9" t="s">
        <v>613</v>
      </c>
      <c r="L246" s="12" t="n">
        <v>1</v>
      </c>
      <c r="M246" s="20" t="n">
        <v>231689.25</v>
      </c>
      <c r="N246" s="20" t="n">
        <v>231689.25</v>
      </c>
      <c r="O246" s="20" t="n">
        <v>0</v>
      </c>
      <c r="P246" s="12" t="n">
        <f aca="false">IF($E246="squad",INDEX(Assumptions!$D$16:$D$56,MATCH($C246&amp;"|"&amp;$D246,Assumptions!$H$16:$H$56,0)),0)</f>
        <v>0.1</v>
      </c>
      <c r="Q246" s="20" t="n">
        <f aca="false">$N246*$P246</f>
        <v>23168.925</v>
      </c>
    </row>
    <row r="247" customFormat="false" ht="15" hidden="false" customHeight="false" outlineLevel="0" collapsed="false">
      <c r="A247" s="9" t="s">
        <v>622</v>
      </c>
      <c r="B247" s="9" t="s">
        <v>1293</v>
      </c>
      <c r="C247" s="9" t="s">
        <v>22</v>
      </c>
      <c r="D247" s="9" t="s">
        <v>613</v>
      </c>
      <c r="E247" s="9" t="s">
        <v>1281</v>
      </c>
      <c r="F247" s="9" t="s">
        <v>53</v>
      </c>
      <c r="G247" s="9" t="s">
        <v>53</v>
      </c>
      <c r="H247" s="9"/>
      <c r="I247" s="25" t="n">
        <v>1</v>
      </c>
      <c r="J247" s="9" t="s">
        <v>1282</v>
      </c>
      <c r="K247" s="9" t="s">
        <v>613</v>
      </c>
      <c r="L247" s="12" t="n">
        <v>1</v>
      </c>
      <c r="M247" s="20" t="n">
        <v>266612.85</v>
      </c>
      <c r="N247" s="20" t="n">
        <v>266612.85</v>
      </c>
      <c r="O247" s="20" t="n">
        <v>0</v>
      </c>
      <c r="P247" s="12" t="n">
        <f aca="false">IF($E247="squad",INDEX(Assumptions!$D$16:$D$56,MATCH($C247&amp;"|"&amp;$D247,Assumptions!$H$16:$H$56,0)),0)</f>
        <v>0.1</v>
      </c>
      <c r="Q247" s="20" t="n">
        <f aca="false">$N247*$P247</f>
        <v>26661.285</v>
      </c>
    </row>
    <row r="248" customFormat="false" ht="15" hidden="false" customHeight="false" outlineLevel="0" collapsed="false">
      <c r="A248" s="9" t="s">
        <v>624</v>
      </c>
      <c r="B248" s="9" t="s">
        <v>1293</v>
      </c>
      <c r="C248" s="9" t="s">
        <v>22</v>
      </c>
      <c r="D248" s="9" t="s">
        <v>613</v>
      </c>
      <c r="E248" s="9" t="s">
        <v>1281</v>
      </c>
      <c r="F248" s="9" t="s">
        <v>53</v>
      </c>
      <c r="G248" s="9" t="s">
        <v>53</v>
      </c>
      <c r="H248" s="9"/>
      <c r="I248" s="25" t="n">
        <v>1</v>
      </c>
      <c r="J248" s="9" t="s">
        <v>1282</v>
      </c>
      <c r="K248" s="9" t="s">
        <v>613</v>
      </c>
      <c r="L248" s="12" t="n">
        <v>1</v>
      </c>
      <c r="M248" s="20" t="n">
        <v>186900</v>
      </c>
      <c r="N248" s="20" t="n">
        <v>186900</v>
      </c>
      <c r="O248" s="20" t="n">
        <v>0</v>
      </c>
      <c r="P248" s="12" t="n">
        <f aca="false">IF($E248="squad",INDEX(Assumptions!$D$16:$D$56,MATCH($C248&amp;"|"&amp;$D248,Assumptions!$H$16:$H$56,0)),0)</f>
        <v>0.1</v>
      </c>
      <c r="Q248" s="20" t="n">
        <f aca="false">$N248*$P248</f>
        <v>18690</v>
      </c>
    </row>
    <row r="249" customFormat="false" ht="15" hidden="false" customHeight="false" outlineLevel="0" collapsed="false">
      <c r="A249" s="9" t="s">
        <v>627</v>
      </c>
      <c r="B249" s="9" t="s">
        <v>1293</v>
      </c>
      <c r="C249" s="9" t="s">
        <v>22</v>
      </c>
      <c r="D249" s="9" t="s">
        <v>613</v>
      </c>
      <c r="E249" s="9" t="s">
        <v>1281</v>
      </c>
      <c r="F249" s="9" t="s">
        <v>69</v>
      </c>
      <c r="G249" s="9" t="s">
        <v>78</v>
      </c>
      <c r="H249" s="9"/>
      <c r="I249" s="25" t="n">
        <v>1</v>
      </c>
      <c r="J249" s="9" t="s">
        <v>1282</v>
      </c>
      <c r="K249" s="9" t="s">
        <v>613</v>
      </c>
      <c r="L249" s="12" t="n">
        <v>1</v>
      </c>
      <c r="M249" s="20" t="n">
        <v>202853.25</v>
      </c>
      <c r="N249" s="20" t="n">
        <v>0</v>
      </c>
      <c r="O249" s="20" t="n">
        <v>0</v>
      </c>
      <c r="P249" s="12" t="n">
        <f aca="false">IF($E249="squad",INDEX(Assumptions!$D$16:$D$56,MATCH($C249&amp;"|"&amp;$D249,Assumptions!$H$16:$H$56,0)),0)</f>
        <v>0.1</v>
      </c>
      <c r="Q249" s="20" t="n">
        <f aca="false">$N249*$P249</f>
        <v>0</v>
      </c>
    </row>
    <row r="250" customFormat="false" ht="15" hidden="false" customHeight="false" outlineLevel="0" collapsed="false">
      <c r="A250" s="9" t="s">
        <v>628</v>
      </c>
      <c r="B250" s="9" t="s">
        <v>1293</v>
      </c>
      <c r="C250" s="9" t="s">
        <v>22</v>
      </c>
      <c r="D250" s="9" t="s">
        <v>613</v>
      </c>
      <c r="E250" s="9" t="s">
        <v>1281</v>
      </c>
      <c r="F250" s="9" t="s">
        <v>53</v>
      </c>
      <c r="G250" s="9" t="s">
        <v>53</v>
      </c>
      <c r="H250" s="9"/>
      <c r="I250" s="25" t="n">
        <v>1</v>
      </c>
      <c r="J250" s="9" t="s">
        <v>1282</v>
      </c>
      <c r="K250" s="9" t="s">
        <v>613</v>
      </c>
      <c r="L250" s="12" t="n">
        <v>1</v>
      </c>
      <c r="M250" s="20" t="n">
        <v>219447.3</v>
      </c>
      <c r="N250" s="20" t="n">
        <v>219447.3</v>
      </c>
      <c r="O250" s="20" t="n">
        <v>0</v>
      </c>
      <c r="P250" s="12" t="n">
        <f aca="false">IF($E250="squad",INDEX(Assumptions!$D$16:$D$56,MATCH($C250&amp;"|"&amp;$D250,Assumptions!$H$16:$H$56,0)),0)</f>
        <v>0.1</v>
      </c>
      <c r="Q250" s="20" t="n">
        <f aca="false">$N250*$P250</f>
        <v>21944.73</v>
      </c>
    </row>
    <row r="251" customFormat="false" ht="15" hidden="false" customHeight="false" outlineLevel="0" collapsed="false">
      <c r="A251" s="9" t="s">
        <v>630</v>
      </c>
      <c r="B251" s="9" t="s">
        <v>1293</v>
      </c>
      <c r="C251" s="9" t="s">
        <v>22</v>
      </c>
      <c r="D251" s="9" t="s">
        <v>613</v>
      </c>
      <c r="E251" s="9" t="s">
        <v>1281</v>
      </c>
      <c r="F251" s="9" t="s">
        <v>69</v>
      </c>
      <c r="G251" s="9" t="s">
        <v>78</v>
      </c>
      <c r="H251" s="9"/>
      <c r="I251" s="25" t="n">
        <v>1</v>
      </c>
      <c r="J251" s="9" t="s">
        <v>1282</v>
      </c>
      <c r="K251" s="9" t="s">
        <v>613</v>
      </c>
      <c r="L251" s="12" t="n">
        <v>1</v>
      </c>
      <c r="M251" s="20" t="n">
        <v>202853.25</v>
      </c>
      <c r="N251" s="20" t="n">
        <v>0</v>
      </c>
      <c r="O251" s="20" t="n">
        <v>0</v>
      </c>
      <c r="P251" s="12" t="n">
        <f aca="false">IF($E251="squad",INDEX(Assumptions!$D$16:$D$56,MATCH($C251&amp;"|"&amp;$D251,Assumptions!$H$16:$H$56,0)),0)</f>
        <v>0.1</v>
      </c>
      <c r="Q251" s="20" t="n">
        <f aca="false">$N251*$P251</f>
        <v>0</v>
      </c>
    </row>
    <row r="252" customFormat="false" ht="15" hidden="false" customHeight="false" outlineLevel="0" collapsed="false">
      <c r="A252" s="9" t="s">
        <v>631</v>
      </c>
      <c r="B252" s="9" t="s">
        <v>1293</v>
      </c>
      <c r="C252" s="9" t="s">
        <v>22</v>
      </c>
      <c r="D252" s="9" t="s">
        <v>613</v>
      </c>
      <c r="E252" s="9" t="s">
        <v>1281</v>
      </c>
      <c r="F252" s="9" t="s">
        <v>53</v>
      </c>
      <c r="G252" s="9" t="s">
        <v>53</v>
      </c>
      <c r="H252" s="9"/>
      <c r="I252" s="25" t="n">
        <v>1</v>
      </c>
      <c r="J252" s="9" t="s">
        <v>1282</v>
      </c>
      <c r="K252" s="9" t="s">
        <v>613</v>
      </c>
      <c r="L252" s="12" t="n">
        <v>1</v>
      </c>
      <c r="M252" s="20" t="n">
        <v>190306.8</v>
      </c>
      <c r="N252" s="20" t="n">
        <v>190306.8</v>
      </c>
      <c r="O252" s="20" t="n">
        <v>0</v>
      </c>
      <c r="P252" s="12" t="n">
        <f aca="false">IF($E252="squad",INDEX(Assumptions!$D$16:$D$56,MATCH($C252&amp;"|"&amp;$D252,Assumptions!$H$16:$H$56,0)),0)</f>
        <v>0.1</v>
      </c>
      <c r="Q252" s="20" t="n">
        <f aca="false">$N252*$P252</f>
        <v>19030.68</v>
      </c>
    </row>
    <row r="253" customFormat="false" ht="15" hidden="false" customHeight="false" outlineLevel="0" collapsed="false">
      <c r="A253" s="9" t="s">
        <v>634</v>
      </c>
      <c r="B253" s="9" t="s">
        <v>1293</v>
      </c>
      <c r="C253" s="9" t="s">
        <v>22</v>
      </c>
      <c r="D253" s="9" t="s">
        <v>613</v>
      </c>
      <c r="E253" s="9" t="s">
        <v>1281</v>
      </c>
      <c r="F253" s="9" t="s">
        <v>53</v>
      </c>
      <c r="G253" s="9" t="s">
        <v>53</v>
      </c>
      <c r="H253" s="9"/>
      <c r="I253" s="25" t="n">
        <v>1</v>
      </c>
      <c r="J253" s="9" t="s">
        <v>1284</v>
      </c>
      <c r="K253" s="9" t="s">
        <v>613</v>
      </c>
      <c r="L253" s="12" t="n">
        <v>1</v>
      </c>
      <c r="M253" s="20" t="n">
        <v>163823.52</v>
      </c>
      <c r="N253" s="20" t="n">
        <v>163823.52</v>
      </c>
      <c r="O253" s="20" t="n">
        <v>0</v>
      </c>
      <c r="P253" s="12" t="n">
        <f aca="false">IF($E253="squad",INDEX(Assumptions!$D$16:$D$56,MATCH($C253&amp;"|"&amp;$D253,Assumptions!$H$16:$H$56,0)),0)</f>
        <v>0.1</v>
      </c>
      <c r="Q253" s="20" t="n">
        <f aca="false">$N253*$P253</f>
        <v>16382.352</v>
      </c>
    </row>
    <row r="254" customFormat="false" ht="15" hidden="false" customHeight="false" outlineLevel="0" collapsed="false">
      <c r="A254" s="9" t="s">
        <v>637</v>
      </c>
      <c r="B254" s="9" t="s">
        <v>1293</v>
      </c>
      <c r="C254" s="9" t="s">
        <v>22</v>
      </c>
      <c r="D254" s="9" t="s">
        <v>613</v>
      </c>
      <c r="E254" s="9" t="s">
        <v>1281</v>
      </c>
      <c r="F254" s="9" t="s">
        <v>53</v>
      </c>
      <c r="G254" s="9" t="s">
        <v>53</v>
      </c>
      <c r="H254" s="9"/>
      <c r="I254" s="25" t="n">
        <v>1</v>
      </c>
      <c r="J254" s="9" t="s">
        <v>1282</v>
      </c>
      <c r="K254" s="9" t="s">
        <v>613</v>
      </c>
      <c r="L254" s="12" t="n">
        <v>1</v>
      </c>
      <c r="M254" s="20" t="n">
        <v>149160.45</v>
      </c>
      <c r="N254" s="20" t="n">
        <v>149160.45</v>
      </c>
      <c r="O254" s="20" t="n">
        <v>0</v>
      </c>
      <c r="P254" s="12" t="n">
        <f aca="false">IF($E254="squad",INDEX(Assumptions!$D$16:$D$56,MATCH($C254&amp;"|"&amp;$D254,Assumptions!$H$16:$H$56,0)),0)</f>
        <v>0.1</v>
      </c>
      <c r="Q254" s="20" t="n">
        <f aca="false">$N254*$P254</f>
        <v>14916.045</v>
      </c>
    </row>
    <row r="255" customFormat="false" ht="15" hidden="false" customHeight="false" outlineLevel="0" collapsed="false">
      <c r="A255" s="9" t="s">
        <v>639</v>
      </c>
      <c r="B255" s="9" t="s">
        <v>1293</v>
      </c>
      <c r="C255" s="9" t="s">
        <v>22</v>
      </c>
      <c r="D255" s="9" t="s">
        <v>613</v>
      </c>
      <c r="E255" s="9" t="s">
        <v>1281</v>
      </c>
      <c r="F255" s="9" t="s">
        <v>53</v>
      </c>
      <c r="G255" s="9" t="s">
        <v>53</v>
      </c>
      <c r="H255" s="9"/>
      <c r="I255" s="25" t="n">
        <v>1</v>
      </c>
      <c r="J255" s="9" t="s">
        <v>1282</v>
      </c>
      <c r="K255" s="9" t="s">
        <v>613</v>
      </c>
      <c r="L255" s="12" t="n">
        <v>1</v>
      </c>
      <c r="M255" s="20" t="n">
        <v>137509.55</v>
      </c>
      <c r="N255" s="20" t="n">
        <v>137509.55</v>
      </c>
      <c r="O255" s="20" t="n">
        <v>0</v>
      </c>
      <c r="P255" s="12" t="n">
        <f aca="false">IF($E255="squad",INDEX(Assumptions!$D$16:$D$56,MATCH($C255&amp;"|"&amp;$D255,Assumptions!$H$16:$H$56,0)),0)</f>
        <v>0.1</v>
      </c>
      <c r="Q255" s="20" t="n">
        <f aca="false">$N255*$P255</f>
        <v>13750.955</v>
      </c>
    </row>
    <row r="256" customFormat="false" ht="15" hidden="false" customHeight="false" outlineLevel="0" collapsed="false">
      <c r="A256" s="9" t="s">
        <v>641</v>
      </c>
      <c r="B256" s="9" t="s">
        <v>1293</v>
      </c>
      <c r="C256" s="9" t="s">
        <v>22</v>
      </c>
      <c r="D256" s="9" t="s">
        <v>613</v>
      </c>
      <c r="E256" s="9" t="s">
        <v>1281</v>
      </c>
      <c r="F256" s="9" t="s">
        <v>53</v>
      </c>
      <c r="G256" s="9" t="s">
        <v>53</v>
      </c>
      <c r="H256" s="9"/>
      <c r="I256" s="25" t="n">
        <v>1</v>
      </c>
      <c r="J256" s="9" t="s">
        <v>1284</v>
      </c>
      <c r="K256" s="9" t="s">
        <v>613</v>
      </c>
      <c r="L256" s="12" t="n">
        <v>1</v>
      </c>
      <c r="M256" s="20" t="n">
        <v>87044</v>
      </c>
      <c r="N256" s="20" t="n">
        <v>87044</v>
      </c>
      <c r="O256" s="20" t="n">
        <v>0</v>
      </c>
      <c r="P256" s="12" t="n">
        <f aca="false">IF($E256="squad",INDEX(Assumptions!$D$16:$D$56,MATCH($C256&amp;"|"&amp;$D256,Assumptions!$H$16:$H$56,0)),0)</f>
        <v>0.1</v>
      </c>
      <c r="Q256" s="20" t="n">
        <f aca="false">$N256*$P256</f>
        <v>8704.4</v>
      </c>
    </row>
    <row r="257" customFormat="false" ht="15" hidden="false" customHeight="false" outlineLevel="0" collapsed="false">
      <c r="A257" s="9" t="s">
        <v>644</v>
      </c>
      <c r="B257" s="9" t="s">
        <v>1293</v>
      </c>
      <c r="C257" s="9" t="s">
        <v>22</v>
      </c>
      <c r="D257" s="9" t="s">
        <v>613</v>
      </c>
      <c r="E257" s="9" t="s">
        <v>1281</v>
      </c>
      <c r="F257" s="9" t="s">
        <v>53</v>
      </c>
      <c r="G257" s="9" t="s">
        <v>53</v>
      </c>
      <c r="H257" s="9"/>
      <c r="I257" s="25" t="n">
        <v>1</v>
      </c>
      <c r="J257" s="9" t="s">
        <v>1282</v>
      </c>
      <c r="K257" s="9" t="s">
        <v>613</v>
      </c>
      <c r="L257" s="12" t="n">
        <v>1</v>
      </c>
      <c r="M257" s="20" t="n">
        <v>110075</v>
      </c>
      <c r="N257" s="20" t="n">
        <v>110075</v>
      </c>
      <c r="O257" s="20" t="n">
        <v>0</v>
      </c>
      <c r="P257" s="12" t="n">
        <f aca="false">IF($E257="squad",INDEX(Assumptions!$D$16:$D$56,MATCH($C257&amp;"|"&amp;$D257,Assumptions!$H$16:$H$56,0)),0)</f>
        <v>0.1</v>
      </c>
      <c r="Q257" s="20" t="n">
        <f aca="false">$N257*$P257</f>
        <v>11007.5</v>
      </c>
    </row>
    <row r="258" customFormat="false" ht="15" hidden="false" customHeight="false" outlineLevel="0" collapsed="false">
      <c r="A258" s="9" t="s">
        <v>647</v>
      </c>
      <c r="B258" s="9" t="s">
        <v>1293</v>
      </c>
      <c r="C258" s="9" t="s">
        <v>22</v>
      </c>
      <c r="D258" s="9" t="s">
        <v>614</v>
      </c>
      <c r="E258" s="9" t="s">
        <v>1281</v>
      </c>
      <c r="F258" s="9" t="s">
        <v>53</v>
      </c>
      <c r="G258" s="9" t="s">
        <v>53</v>
      </c>
      <c r="H258" s="9"/>
      <c r="I258" s="25" t="n">
        <v>1</v>
      </c>
      <c r="J258" s="9" t="s">
        <v>1284</v>
      </c>
      <c r="K258" s="9" t="s">
        <v>1152</v>
      </c>
      <c r="L258" s="12" t="n">
        <v>1</v>
      </c>
      <c r="M258" s="20" t="n">
        <v>184214.952</v>
      </c>
      <c r="N258" s="20" t="n">
        <v>184214.952</v>
      </c>
      <c r="O258" s="20" t="n">
        <v>0</v>
      </c>
      <c r="P258" s="12" t="n">
        <f aca="false">IF($E258="squad",INDEX(Assumptions!$D$16:$D$56,MATCH($C258&amp;"|"&amp;$D258,Assumptions!$H$16:$H$56,0)),0)</f>
        <v>0.15</v>
      </c>
      <c r="Q258" s="20" t="n">
        <f aca="false">$N258*$P258</f>
        <v>27632.2428</v>
      </c>
    </row>
    <row r="259" customFormat="false" ht="15" hidden="false" customHeight="false" outlineLevel="0" collapsed="false">
      <c r="A259" s="9" t="s">
        <v>649</v>
      </c>
      <c r="B259" s="9" t="s">
        <v>1293</v>
      </c>
      <c r="C259" s="9" t="s">
        <v>22</v>
      </c>
      <c r="D259" s="9" t="s">
        <v>614</v>
      </c>
      <c r="E259" s="9" t="s">
        <v>1281</v>
      </c>
      <c r="F259" s="9" t="s">
        <v>53</v>
      </c>
      <c r="G259" s="9" t="s">
        <v>53</v>
      </c>
      <c r="H259" s="9"/>
      <c r="I259" s="25" t="n">
        <v>1</v>
      </c>
      <c r="J259" s="9" t="s">
        <v>1284</v>
      </c>
      <c r="K259" s="9" t="s">
        <v>1152</v>
      </c>
      <c r="L259" s="12" t="n">
        <v>1</v>
      </c>
      <c r="M259" s="20" t="n">
        <v>188300.028</v>
      </c>
      <c r="N259" s="20" t="n">
        <v>188300.028</v>
      </c>
      <c r="O259" s="20" t="n">
        <v>0</v>
      </c>
      <c r="P259" s="12" t="n">
        <f aca="false">IF($E259="squad",INDEX(Assumptions!$D$16:$D$56,MATCH($C259&amp;"|"&amp;$D259,Assumptions!$H$16:$H$56,0)),0)</f>
        <v>0.15</v>
      </c>
      <c r="Q259" s="20" t="n">
        <f aca="false">$N259*$P259</f>
        <v>28245.0042</v>
      </c>
    </row>
    <row r="260" customFormat="false" ht="15" hidden="false" customHeight="false" outlineLevel="0" collapsed="false">
      <c r="A260" s="9" t="s">
        <v>651</v>
      </c>
      <c r="B260" s="9" t="s">
        <v>1293</v>
      </c>
      <c r="C260" s="9" t="s">
        <v>22</v>
      </c>
      <c r="D260" s="9" t="s">
        <v>614</v>
      </c>
      <c r="E260" s="9" t="s">
        <v>1281</v>
      </c>
      <c r="F260" s="9" t="s">
        <v>53</v>
      </c>
      <c r="G260" s="9" t="s">
        <v>53</v>
      </c>
      <c r="H260" s="9"/>
      <c r="I260" s="25" t="n">
        <v>1</v>
      </c>
      <c r="J260" s="9" t="s">
        <v>1284</v>
      </c>
      <c r="K260" s="9" t="s">
        <v>1152</v>
      </c>
      <c r="L260" s="12" t="n">
        <v>1</v>
      </c>
      <c r="M260" s="20" t="n">
        <v>144360</v>
      </c>
      <c r="N260" s="20" t="n">
        <v>144360</v>
      </c>
      <c r="O260" s="20" t="n">
        <v>0</v>
      </c>
      <c r="P260" s="12" t="n">
        <f aca="false">IF($E260="squad",INDEX(Assumptions!$D$16:$D$56,MATCH($C260&amp;"|"&amp;$D260,Assumptions!$H$16:$H$56,0)),0)</f>
        <v>0.15</v>
      </c>
      <c r="Q260" s="20" t="n">
        <f aca="false">$N260*$P260</f>
        <v>21654</v>
      </c>
    </row>
    <row r="261" customFormat="false" ht="15" hidden="false" customHeight="false" outlineLevel="0" collapsed="false">
      <c r="A261" s="9" t="s">
        <v>653</v>
      </c>
      <c r="B261" s="9" t="s">
        <v>1293</v>
      </c>
      <c r="C261" s="9" t="s">
        <v>22</v>
      </c>
      <c r="D261" s="9" t="s">
        <v>614</v>
      </c>
      <c r="E261" s="9" t="s">
        <v>1281</v>
      </c>
      <c r="F261" s="9" t="s">
        <v>53</v>
      </c>
      <c r="G261" s="9" t="s">
        <v>53</v>
      </c>
      <c r="H261" s="9"/>
      <c r="I261" s="25" t="n">
        <v>1</v>
      </c>
      <c r="J261" s="9" t="s">
        <v>1284</v>
      </c>
      <c r="K261" s="9" t="s">
        <v>1152</v>
      </c>
      <c r="L261" s="12" t="n">
        <v>1</v>
      </c>
      <c r="M261" s="20" t="n">
        <v>153503.328</v>
      </c>
      <c r="N261" s="20" t="n">
        <v>153503.328</v>
      </c>
      <c r="O261" s="20" t="n">
        <v>0</v>
      </c>
      <c r="P261" s="12" t="n">
        <f aca="false">IF($E261="squad",INDEX(Assumptions!$D$16:$D$56,MATCH($C261&amp;"|"&amp;$D261,Assumptions!$H$16:$H$56,0)),0)</f>
        <v>0.15</v>
      </c>
      <c r="Q261" s="20" t="n">
        <f aca="false">$N261*$P261</f>
        <v>23025.4992</v>
      </c>
    </row>
    <row r="262" customFormat="false" ht="15" hidden="false" customHeight="false" outlineLevel="0" collapsed="false">
      <c r="A262" s="9" t="s">
        <v>656</v>
      </c>
      <c r="B262" s="9" t="s">
        <v>1293</v>
      </c>
      <c r="C262" s="9" t="s">
        <v>22</v>
      </c>
      <c r="D262" s="9" t="s">
        <v>614</v>
      </c>
      <c r="E262" s="9" t="s">
        <v>1281</v>
      </c>
      <c r="F262" s="9" t="s">
        <v>53</v>
      </c>
      <c r="G262" s="9" t="s">
        <v>53</v>
      </c>
      <c r="H262" s="9"/>
      <c r="I262" s="25" t="n">
        <v>1</v>
      </c>
      <c r="J262" s="9" t="s">
        <v>1284</v>
      </c>
      <c r="K262" s="9" t="s">
        <v>1152</v>
      </c>
      <c r="L262" s="12" t="n">
        <v>1</v>
      </c>
      <c r="M262" s="20" t="n">
        <v>158753.952</v>
      </c>
      <c r="N262" s="20" t="n">
        <v>158753.952</v>
      </c>
      <c r="O262" s="20" t="n">
        <v>0</v>
      </c>
      <c r="P262" s="12" t="n">
        <f aca="false">IF($E262="squad",INDEX(Assumptions!$D$16:$D$56,MATCH($C262&amp;"|"&amp;$D262,Assumptions!$H$16:$H$56,0)),0)</f>
        <v>0.15</v>
      </c>
      <c r="Q262" s="20" t="n">
        <f aca="false">$N262*$P262</f>
        <v>23813.0928</v>
      </c>
    </row>
    <row r="263" customFormat="false" ht="15" hidden="false" customHeight="false" outlineLevel="0" collapsed="false">
      <c r="A263" s="9" t="s">
        <v>658</v>
      </c>
      <c r="B263" s="9" t="s">
        <v>1293</v>
      </c>
      <c r="C263" s="9" t="s">
        <v>22</v>
      </c>
      <c r="D263" s="9" t="s">
        <v>614</v>
      </c>
      <c r="E263" s="9" t="s">
        <v>1281</v>
      </c>
      <c r="F263" s="9" t="s">
        <v>53</v>
      </c>
      <c r="G263" s="9" t="s">
        <v>53</v>
      </c>
      <c r="H263" s="9"/>
      <c r="I263" s="25" t="n">
        <v>1</v>
      </c>
      <c r="J263" s="9" t="s">
        <v>1284</v>
      </c>
      <c r="K263" s="9" t="s">
        <v>1152</v>
      </c>
      <c r="L263" s="12" t="n">
        <v>1</v>
      </c>
      <c r="M263" s="20" t="n">
        <v>101667.032</v>
      </c>
      <c r="N263" s="20" t="n">
        <v>101667.032</v>
      </c>
      <c r="O263" s="20" t="n">
        <v>0</v>
      </c>
      <c r="P263" s="12" t="n">
        <f aca="false">IF($E263="squad",INDEX(Assumptions!$D$16:$D$56,MATCH($C263&amp;"|"&amp;$D263,Assumptions!$H$16:$H$56,0)),0)</f>
        <v>0.15</v>
      </c>
      <c r="Q263" s="20" t="n">
        <f aca="false">$N263*$P263</f>
        <v>15250.0548</v>
      </c>
    </row>
    <row r="264" customFormat="false" ht="15" hidden="false" customHeight="false" outlineLevel="0" collapsed="false">
      <c r="A264" s="9" t="s">
        <v>660</v>
      </c>
      <c r="B264" s="9" t="s">
        <v>1293</v>
      </c>
      <c r="C264" s="9" t="s">
        <v>22</v>
      </c>
      <c r="D264" s="9" t="s">
        <v>436</v>
      </c>
      <c r="E264" s="9" t="s">
        <v>1281</v>
      </c>
      <c r="F264" s="9" t="s">
        <v>53</v>
      </c>
      <c r="G264" s="9" t="s">
        <v>53</v>
      </c>
      <c r="H264" s="9"/>
      <c r="I264" s="25" t="n">
        <v>1</v>
      </c>
      <c r="J264" s="9" t="s">
        <v>1284</v>
      </c>
      <c r="K264" s="9" t="s">
        <v>1152</v>
      </c>
      <c r="L264" s="12" t="n">
        <v>1</v>
      </c>
      <c r="M264" s="20" t="n">
        <v>191717.46</v>
      </c>
      <c r="N264" s="20" t="n">
        <v>191717.46</v>
      </c>
      <c r="O264" s="20" t="n">
        <v>0</v>
      </c>
      <c r="P264" s="12" t="n">
        <f aca="false">IF($E264="squad",INDEX(Assumptions!$D$16:$D$56,MATCH($C264&amp;"|"&amp;$D264,Assumptions!$H$16:$H$56,0)),0)</f>
        <v>0.15</v>
      </c>
      <c r="Q264" s="20" t="n">
        <f aca="false">$N264*$P264</f>
        <v>28757.619</v>
      </c>
    </row>
    <row r="265" customFormat="false" ht="15" hidden="false" customHeight="false" outlineLevel="0" collapsed="false">
      <c r="A265" s="9" t="s">
        <v>662</v>
      </c>
      <c r="B265" s="9" t="s">
        <v>1293</v>
      </c>
      <c r="C265" s="9" t="s">
        <v>22</v>
      </c>
      <c r="D265" s="9" t="s">
        <v>436</v>
      </c>
      <c r="E265" s="9" t="s">
        <v>1281</v>
      </c>
      <c r="F265" s="9" t="s">
        <v>53</v>
      </c>
      <c r="G265" s="9" t="s">
        <v>53</v>
      </c>
      <c r="H265" s="9"/>
      <c r="I265" s="25" t="n">
        <v>1</v>
      </c>
      <c r="J265" s="9" t="s">
        <v>1282</v>
      </c>
      <c r="K265" s="9" t="s">
        <v>1152</v>
      </c>
      <c r="L265" s="12" t="n">
        <v>1</v>
      </c>
      <c r="M265" s="20" t="n">
        <v>250619.55</v>
      </c>
      <c r="N265" s="20" t="n">
        <v>250619.55</v>
      </c>
      <c r="O265" s="20" t="n">
        <v>0</v>
      </c>
      <c r="P265" s="12" t="n">
        <f aca="false">IF($E265="squad",INDEX(Assumptions!$D$16:$D$56,MATCH($C265&amp;"|"&amp;$D265,Assumptions!$H$16:$H$56,0)),0)</f>
        <v>0.15</v>
      </c>
      <c r="Q265" s="20" t="n">
        <f aca="false">$N265*$P265</f>
        <v>37592.9325</v>
      </c>
    </row>
    <row r="266" customFormat="false" ht="15" hidden="false" customHeight="false" outlineLevel="0" collapsed="false">
      <c r="A266" s="9" t="s">
        <v>665</v>
      </c>
      <c r="B266" s="9" t="s">
        <v>1293</v>
      </c>
      <c r="C266" s="9" t="s">
        <v>22</v>
      </c>
      <c r="D266" s="9" t="s">
        <v>436</v>
      </c>
      <c r="E266" s="9" t="s">
        <v>1281</v>
      </c>
      <c r="F266" s="9" t="s">
        <v>53</v>
      </c>
      <c r="G266" s="9" t="s">
        <v>53</v>
      </c>
      <c r="H266" s="9"/>
      <c r="I266" s="25" t="n">
        <v>1</v>
      </c>
      <c r="J266" s="9" t="s">
        <v>1282</v>
      </c>
      <c r="K266" s="9" t="s">
        <v>1152</v>
      </c>
      <c r="L266" s="12" t="n">
        <v>1</v>
      </c>
      <c r="M266" s="20" t="n">
        <v>208473.6</v>
      </c>
      <c r="N266" s="20" t="n">
        <v>208473.6</v>
      </c>
      <c r="O266" s="20" t="n">
        <v>0</v>
      </c>
      <c r="P266" s="12" t="n">
        <f aca="false">IF($E266="squad",INDEX(Assumptions!$D$16:$D$56,MATCH($C266&amp;"|"&amp;$D266,Assumptions!$H$16:$H$56,0)),0)</f>
        <v>0.15</v>
      </c>
      <c r="Q266" s="20" t="n">
        <f aca="false">$N266*$P266</f>
        <v>31271.04</v>
      </c>
    </row>
    <row r="267" customFormat="false" ht="15" hidden="false" customHeight="false" outlineLevel="0" collapsed="false">
      <c r="A267" s="9" t="s">
        <v>667</v>
      </c>
      <c r="B267" s="9" t="s">
        <v>1293</v>
      </c>
      <c r="C267" s="9" t="s">
        <v>22</v>
      </c>
      <c r="D267" s="9" t="s">
        <v>436</v>
      </c>
      <c r="E267" s="9" t="s">
        <v>1281</v>
      </c>
      <c r="F267" s="9" t="s">
        <v>53</v>
      </c>
      <c r="G267" s="9" t="s">
        <v>53</v>
      </c>
      <c r="H267" s="9"/>
      <c r="I267" s="25" t="n">
        <v>1</v>
      </c>
      <c r="J267" s="9" t="s">
        <v>1282</v>
      </c>
      <c r="K267" s="9" t="s">
        <v>1152</v>
      </c>
      <c r="L267" s="12" t="n">
        <v>1</v>
      </c>
      <c r="M267" s="20" t="n">
        <v>213533.25</v>
      </c>
      <c r="N267" s="20" t="n">
        <v>213533.25</v>
      </c>
      <c r="O267" s="20" t="n">
        <v>0</v>
      </c>
      <c r="P267" s="12" t="n">
        <f aca="false">IF($E267="squad",INDEX(Assumptions!$D$16:$D$56,MATCH($C267&amp;"|"&amp;$D267,Assumptions!$H$16:$H$56,0)),0)</f>
        <v>0.15</v>
      </c>
      <c r="Q267" s="20" t="n">
        <f aca="false">$N267*$P267</f>
        <v>32029.9875</v>
      </c>
    </row>
    <row r="268" customFormat="false" ht="15" hidden="false" customHeight="false" outlineLevel="0" collapsed="false">
      <c r="A268" s="9" t="s">
        <v>669</v>
      </c>
      <c r="B268" s="9" t="s">
        <v>1293</v>
      </c>
      <c r="C268" s="9" t="s">
        <v>22</v>
      </c>
      <c r="D268" s="9" t="s">
        <v>436</v>
      </c>
      <c r="E268" s="9" t="s">
        <v>1281</v>
      </c>
      <c r="F268" s="9" t="s">
        <v>69</v>
      </c>
      <c r="G268" s="9" t="s">
        <v>82</v>
      </c>
      <c r="H268" s="9" t="s">
        <v>121</v>
      </c>
      <c r="I268" s="25" t="n">
        <v>1</v>
      </c>
      <c r="J268" s="9" t="s">
        <v>1282</v>
      </c>
      <c r="K268" s="9" t="s">
        <v>1152</v>
      </c>
      <c r="L268" s="12" t="n">
        <v>1</v>
      </c>
      <c r="M268" s="20" t="n">
        <v>202853.25</v>
      </c>
      <c r="N268" s="20" t="n">
        <v>152139.9375</v>
      </c>
      <c r="O268" s="20" t="n">
        <v>0</v>
      </c>
      <c r="P268" s="12" t="n">
        <f aca="false">IF($E268="squad",INDEX(Assumptions!$D$16:$D$56,MATCH($C268&amp;"|"&amp;$D268,Assumptions!$H$16:$H$56,0)),0)</f>
        <v>0.15</v>
      </c>
      <c r="Q268" s="20" t="n">
        <f aca="false">$N268*$P268</f>
        <v>22820.990625</v>
      </c>
    </row>
    <row r="269" customFormat="false" ht="15" hidden="false" customHeight="false" outlineLevel="0" collapsed="false">
      <c r="A269" s="9" t="s">
        <v>671</v>
      </c>
      <c r="B269" s="9" t="s">
        <v>1293</v>
      </c>
      <c r="C269" s="9" t="s">
        <v>22</v>
      </c>
      <c r="D269" s="9" t="s">
        <v>436</v>
      </c>
      <c r="E269" s="9" t="s">
        <v>1281</v>
      </c>
      <c r="F269" s="9" t="s">
        <v>69</v>
      </c>
      <c r="G269" s="9" t="s">
        <v>82</v>
      </c>
      <c r="H269" s="9"/>
      <c r="I269" s="25" t="n">
        <v>1</v>
      </c>
      <c r="J269" s="9" t="s">
        <v>1282</v>
      </c>
      <c r="K269" s="9" t="s">
        <v>1152</v>
      </c>
      <c r="L269" s="12" t="n">
        <v>1</v>
      </c>
      <c r="M269" s="20" t="n">
        <v>202853.25</v>
      </c>
      <c r="N269" s="20" t="n">
        <v>202853.25</v>
      </c>
      <c r="O269" s="20" t="n">
        <v>0</v>
      </c>
      <c r="P269" s="12" t="n">
        <f aca="false">IF($E269="squad",INDEX(Assumptions!$D$16:$D$56,MATCH($C269&amp;"|"&amp;$D269,Assumptions!$H$16:$H$56,0)),0)</f>
        <v>0.15</v>
      </c>
      <c r="Q269" s="20" t="n">
        <f aca="false">$N269*$P269</f>
        <v>30427.9875</v>
      </c>
    </row>
    <row r="270" customFormat="false" ht="15" hidden="false" customHeight="false" outlineLevel="0" collapsed="false">
      <c r="A270" s="9" t="s">
        <v>672</v>
      </c>
      <c r="B270" s="9" t="s">
        <v>1293</v>
      </c>
      <c r="C270" s="9" t="s">
        <v>22</v>
      </c>
      <c r="D270" s="9" t="s">
        <v>436</v>
      </c>
      <c r="E270" s="9" t="s">
        <v>1281</v>
      </c>
      <c r="F270" s="9" t="s">
        <v>69</v>
      </c>
      <c r="G270" s="9" t="s">
        <v>82</v>
      </c>
      <c r="H270" s="9"/>
      <c r="I270" s="25" t="n">
        <v>1</v>
      </c>
      <c r="J270" s="9" t="s">
        <v>1282</v>
      </c>
      <c r="K270" s="9" t="s">
        <v>1152</v>
      </c>
      <c r="L270" s="12" t="n">
        <v>1</v>
      </c>
      <c r="M270" s="20" t="n">
        <v>202853.25</v>
      </c>
      <c r="N270" s="20" t="n">
        <v>202853.25</v>
      </c>
      <c r="O270" s="20" t="n">
        <v>0</v>
      </c>
      <c r="P270" s="12" t="n">
        <f aca="false">IF($E270="squad",INDEX(Assumptions!$D$16:$D$56,MATCH($C270&amp;"|"&amp;$D270,Assumptions!$H$16:$H$56,0)),0)</f>
        <v>0.15</v>
      </c>
      <c r="Q270" s="20" t="n">
        <f aca="false">$N270*$P270</f>
        <v>30427.9875</v>
      </c>
    </row>
    <row r="271" customFormat="false" ht="15" hidden="false" customHeight="false" outlineLevel="0" collapsed="false">
      <c r="A271" s="9" t="s">
        <v>673</v>
      </c>
      <c r="B271" s="9" t="s">
        <v>1293</v>
      </c>
      <c r="C271" s="9" t="s">
        <v>22</v>
      </c>
      <c r="D271" s="9" t="s">
        <v>436</v>
      </c>
      <c r="E271" s="9" t="s">
        <v>1281</v>
      </c>
      <c r="F271" s="9" t="s">
        <v>53</v>
      </c>
      <c r="G271" s="9" t="s">
        <v>53</v>
      </c>
      <c r="H271" s="9"/>
      <c r="I271" s="25" t="n">
        <v>1</v>
      </c>
      <c r="J271" s="9" t="s">
        <v>1282</v>
      </c>
      <c r="K271" s="9" t="s">
        <v>1152</v>
      </c>
      <c r="L271" s="12" t="n">
        <v>1</v>
      </c>
      <c r="M271" s="20" t="n">
        <v>203253.75</v>
      </c>
      <c r="N271" s="20" t="n">
        <v>203253.75</v>
      </c>
      <c r="O271" s="20" t="n">
        <v>0</v>
      </c>
      <c r="P271" s="12" t="n">
        <f aca="false">IF($E271="squad",INDEX(Assumptions!$D$16:$D$56,MATCH($C271&amp;"|"&amp;$D271,Assumptions!$H$16:$H$56,0)),0)</f>
        <v>0.15</v>
      </c>
      <c r="Q271" s="20" t="n">
        <f aca="false">$N271*$P271</f>
        <v>30488.0625</v>
      </c>
    </row>
    <row r="272" customFormat="false" ht="15" hidden="false" customHeight="false" outlineLevel="0" collapsed="false">
      <c r="A272" s="9" t="s">
        <v>675</v>
      </c>
      <c r="B272" s="9" t="s">
        <v>1293</v>
      </c>
      <c r="C272" s="9" t="s">
        <v>22</v>
      </c>
      <c r="D272" s="9" t="s">
        <v>436</v>
      </c>
      <c r="E272" s="9" t="s">
        <v>1281</v>
      </c>
      <c r="F272" s="9" t="s">
        <v>53</v>
      </c>
      <c r="G272" s="9" t="s">
        <v>53</v>
      </c>
      <c r="H272" s="9"/>
      <c r="I272" s="25" t="n">
        <v>1</v>
      </c>
      <c r="J272" s="9" t="s">
        <v>1284</v>
      </c>
      <c r="K272" s="9" t="s">
        <v>1152</v>
      </c>
      <c r="L272" s="12" t="n">
        <v>1</v>
      </c>
      <c r="M272" s="20" t="n">
        <v>87434.816</v>
      </c>
      <c r="N272" s="20" t="n">
        <v>87434.816</v>
      </c>
      <c r="O272" s="20" t="n">
        <v>0</v>
      </c>
      <c r="P272" s="12" t="n">
        <f aca="false">IF($E272="squad",INDEX(Assumptions!$D$16:$D$56,MATCH($C272&amp;"|"&amp;$D272,Assumptions!$H$16:$H$56,0)),0)</f>
        <v>0.15</v>
      </c>
      <c r="Q272" s="20" t="n">
        <f aca="false">$N272*$P272</f>
        <v>13115.2224</v>
      </c>
    </row>
    <row r="273" customFormat="false" ht="15" hidden="false" customHeight="false" outlineLevel="0" collapsed="false">
      <c r="A273" s="9" t="s">
        <v>678</v>
      </c>
      <c r="B273" s="9" t="s">
        <v>1293</v>
      </c>
      <c r="C273" s="9" t="s">
        <v>22</v>
      </c>
      <c r="D273" s="9" t="s">
        <v>199</v>
      </c>
      <c r="E273" s="9" t="s">
        <v>1286</v>
      </c>
      <c r="F273" s="9" t="s">
        <v>53</v>
      </c>
      <c r="G273" s="9" t="s">
        <v>53</v>
      </c>
      <c r="H273" s="9"/>
      <c r="I273" s="25" t="n">
        <v>1</v>
      </c>
      <c r="J273" s="9" t="s">
        <v>1284</v>
      </c>
      <c r="K273" s="9" t="s">
        <v>756</v>
      </c>
      <c r="L273" s="12" t="n">
        <v>1</v>
      </c>
      <c r="M273" s="20" t="n">
        <v>273758</v>
      </c>
      <c r="N273" s="20" t="n">
        <v>273758</v>
      </c>
      <c r="O273" s="20" t="n">
        <v>0</v>
      </c>
      <c r="P273" s="12" t="n">
        <f aca="false">IF($E273="squad",INDEX(Assumptions!$D$16:$D$56,MATCH($C273&amp;"|"&amp;$D273,Assumptions!$H$16:$H$56,0)),0)</f>
        <v>0</v>
      </c>
      <c r="Q273" s="20" t="n">
        <f aca="false">$N273*$P273</f>
        <v>0</v>
      </c>
    </row>
    <row r="274" customFormat="false" ht="15" hidden="false" customHeight="false" outlineLevel="0" collapsed="false">
      <c r="A274" s="9" t="s">
        <v>681</v>
      </c>
      <c r="B274" s="9" t="s">
        <v>1293</v>
      </c>
      <c r="C274" s="9" t="s">
        <v>22</v>
      </c>
      <c r="D274" s="9" t="s">
        <v>203</v>
      </c>
      <c r="E274" s="9" t="s">
        <v>1286</v>
      </c>
      <c r="F274" s="9" t="s">
        <v>69</v>
      </c>
      <c r="G274" s="9" t="s">
        <v>82</v>
      </c>
      <c r="H274" s="9"/>
      <c r="I274" s="25" t="n">
        <v>1</v>
      </c>
      <c r="J274" s="9" t="s">
        <v>1282</v>
      </c>
      <c r="K274" s="9" t="s">
        <v>756</v>
      </c>
      <c r="L274" s="12" t="n">
        <v>1</v>
      </c>
      <c r="M274" s="20" t="n">
        <v>275810.25</v>
      </c>
      <c r="N274" s="20" t="n">
        <v>275810.25</v>
      </c>
      <c r="O274" s="20" t="n">
        <v>0</v>
      </c>
      <c r="P274" s="12" t="n">
        <f aca="false">IF($E274="squad",INDEX(Assumptions!$D$16:$D$56,MATCH($C274&amp;"|"&amp;$D274,Assumptions!$H$16:$H$56,0)),0)</f>
        <v>0</v>
      </c>
      <c r="Q274" s="20" t="n">
        <f aca="false">$N274*$P274</f>
        <v>0</v>
      </c>
    </row>
    <row r="275" customFormat="false" ht="15" hidden="false" customHeight="false" outlineLevel="0" collapsed="false">
      <c r="A275" s="9" t="s">
        <v>683</v>
      </c>
      <c r="B275" s="9" t="s">
        <v>1293</v>
      </c>
      <c r="C275" s="9" t="s">
        <v>22</v>
      </c>
      <c r="D275" s="9" t="s">
        <v>206</v>
      </c>
      <c r="E275" s="9" t="s">
        <v>1286</v>
      </c>
      <c r="F275" s="9" t="s">
        <v>53</v>
      </c>
      <c r="G275" s="9" t="s">
        <v>53</v>
      </c>
      <c r="H275" s="9"/>
      <c r="I275" s="25" t="n">
        <v>1</v>
      </c>
      <c r="J275" s="9" t="s">
        <v>1284</v>
      </c>
      <c r="K275" s="9" t="s">
        <v>756</v>
      </c>
      <c r="L275" s="12" t="n">
        <v>1</v>
      </c>
      <c r="M275" s="20" t="n">
        <v>209585.424</v>
      </c>
      <c r="N275" s="20" t="n">
        <v>209585.424</v>
      </c>
      <c r="O275" s="20" t="n">
        <v>0</v>
      </c>
      <c r="P275" s="12" t="n">
        <f aca="false">IF($E275="squad",INDEX(Assumptions!$D$16:$D$56,MATCH($C275&amp;"|"&amp;$D275,Assumptions!$H$16:$H$56,0)),0)</f>
        <v>0</v>
      </c>
      <c r="Q275" s="20" t="n">
        <f aca="false">$N275*$P275</f>
        <v>0</v>
      </c>
    </row>
    <row r="276" customFormat="false" ht="15" hidden="false" customHeight="false" outlineLevel="0" collapsed="false">
      <c r="A276" s="9" t="s">
        <v>686</v>
      </c>
      <c r="B276" s="9" t="s">
        <v>1293</v>
      </c>
      <c r="C276" s="9" t="s">
        <v>22</v>
      </c>
      <c r="D276" s="9" t="s">
        <v>206</v>
      </c>
      <c r="E276" s="9" t="s">
        <v>1286</v>
      </c>
      <c r="F276" s="9" t="s">
        <v>53</v>
      </c>
      <c r="G276" s="9" t="s">
        <v>53</v>
      </c>
      <c r="H276" s="9"/>
      <c r="I276" s="25" t="n">
        <v>1</v>
      </c>
      <c r="J276" s="9" t="s">
        <v>1282</v>
      </c>
      <c r="K276" s="9" t="s">
        <v>756</v>
      </c>
      <c r="L276" s="12" t="n">
        <v>1</v>
      </c>
      <c r="M276" s="20" t="n">
        <v>294563.45</v>
      </c>
      <c r="N276" s="20" t="n">
        <v>294563.45</v>
      </c>
      <c r="O276" s="20" t="n">
        <v>0</v>
      </c>
      <c r="P276" s="12" t="n">
        <f aca="false">IF($E276="squad",INDEX(Assumptions!$D$16:$D$56,MATCH($C276&amp;"|"&amp;$D276,Assumptions!$H$16:$H$56,0)),0)</f>
        <v>0</v>
      </c>
      <c r="Q276" s="20" t="n">
        <f aca="false">$N276*$P276</f>
        <v>0</v>
      </c>
    </row>
    <row r="277" customFormat="false" ht="15" hidden="false" customHeight="false" outlineLevel="0" collapsed="false">
      <c r="A277" s="9" t="s">
        <v>691</v>
      </c>
      <c r="B277" s="9" t="s">
        <v>1294</v>
      </c>
      <c r="C277" s="9" t="s">
        <v>24</v>
      </c>
      <c r="D277" s="9" t="s">
        <v>689</v>
      </c>
      <c r="E277" s="9" t="s">
        <v>1281</v>
      </c>
      <c r="F277" s="9" t="s">
        <v>53</v>
      </c>
      <c r="G277" s="9" t="s">
        <v>53</v>
      </c>
      <c r="H277" s="9"/>
      <c r="I277" s="25" t="n">
        <v>1</v>
      </c>
      <c r="J277" s="9" t="s">
        <v>1282</v>
      </c>
      <c r="K277" s="9" t="s">
        <v>1158</v>
      </c>
      <c r="L277" s="12" t="n">
        <v>1</v>
      </c>
      <c r="M277" s="20" t="n">
        <v>197580</v>
      </c>
      <c r="N277" s="20" t="n">
        <v>197580</v>
      </c>
      <c r="O277" s="20" t="n">
        <v>0</v>
      </c>
      <c r="P277" s="12" t="n">
        <f aca="false">IF($E277="squad",INDEX(Assumptions!$D$16:$D$56,MATCH($C277&amp;"|"&amp;$D277,Assumptions!$H$16:$H$56,0)),0)</f>
        <v>0.2</v>
      </c>
      <c r="Q277" s="20" t="n">
        <f aca="false">$N277*$P277</f>
        <v>39516</v>
      </c>
    </row>
    <row r="278" customFormat="false" ht="15" hidden="false" customHeight="false" outlineLevel="0" collapsed="false">
      <c r="A278" s="9" t="s">
        <v>694</v>
      </c>
      <c r="B278" s="9" t="s">
        <v>1294</v>
      </c>
      <c r="C278" s="9" t="s">
        <v>24</v>
      </c>
      <c r="D278" s="9" t="s">
        <v>689</v>
      </c>
      <c r="E278" s="9" t="s">
        <v>1281</v>
      </c>
      <c r="F278" s="9" t="s">
        <v>53</v>
      </c>
      <c r="G278" s="9" t="s">
        <v>53</v>
      </c>
      <c r="H278" s="9"/>
      <c r="I278" s="25" t="n">
        <v>1</v>
      </c>
      <c r="J278" s="9" t="s">
        <v>1282</v>
      </c>
      <c r="K278" s="9" t="s">
        <v>1158</v>
      </c>
      <c r="L278" s="12" t="n">
        <v>1</v>
      </c>
      <c r="M278" s="20" t="n">
        <v>277842.75</v>
      </c>
      <c r="N278" s="20" t="n">
        <v>277842.75</v>
      </c>
      <c r="O278" s="20" t="n">
        <v>0</v>
      </c>
      <c r="P278" s="12" t="n">
        <f aca="false">IF($E278="squad",INDEX(Assumptions!$D$16:$D$56,MATCH($C278&amp;"|"&amp;$D278,Assumptions!$H$16:$H$56,0)),0)</f>
        <v>0.2</v>
      </c>
      <c r="Q278" s="20" t="n">
        <f aca="false">$N278*$P278</f>
        <v>55568.55</v>
      </c>
    </row>
    <row r="279" customFormat="false" ht="15" hidden="false" customHeight="false" outlineLevel="0" collapsed="false">
      <c r="A279" s="9" t="s">
        <v>697</v>
      </c>
      <c r="B279" s="9" t="s">
        <v>1294</v>
      </c>
      <c r="C279" s="9" t="s">
        <v>24</v>
      </c>
      <c r="D279" s="9" t="s">
        <v>689</v>
      </c>
      <c r="E279" s="9" t="s">
        <v>1281</v>
      </c>
      <c r="F279" s="9" t="s">
        <v>69</v>
      </c>
      <c r="G279" s="9" t="s">
        <v>71</v>
      </c>
      <c r="H279" s="9" t="s">
        <v>121</v>
      </c>
      <c r="I279" s="25" t="n">
        <v>1</v>
      </c>
      <c r="J279" s="9" t="s">
        <v>1282</v>
      </c>
      <c r="K279" s="9" t="s">
        <v>1158</v>
      </c>
      <c r="L279" s="12" t="n">
        <v>1</v>
      </c>
      <c r="M279" s="20" t="n">
        <v>231689.25</v>
      </c>
      <c r="N279" s="20" t="n">
        <v>69506.775</v>
      </c>
      <c r="O279" s="20" t="n">
        <v>0</v>
      </c>
      <c r="P279" s="12" t="n">
        <f aca="false">IF($E279="squad",INDEX(Assumptions!$D$16:$D$56,MATCH($C279&amp;"|"&amp;$D279,Assumptions!$H$16:$H$56,0)),0)</f>
        <v>0.2</v>
      </c>
      <c r="Q279" s="20" t="n">
        <f aca="false">$N279*$P279</f>
        <v>13901.355</v>
      </c>
    </row>
    <row r="280" customFormat="false" ht="15" hidden="false" customHeight="false" outlineLevel="0" collapsed="false">
      <c r="A280" s="9" t="s">
        <v>700</v>
      </c>
      <c r="B280" s="9" t="s">
        <v>1294</v>
      </c>
      <c r="C280" s="9" t="s">
        <v>24</v>
      </c>
      <c r="D280" s="9" t="s">
        <v>689</v>
      </c>
      <c r="E280" s="9" t="s">
        <v>1281</v>
      </c>
      <c r="F280" s="9" t="s">
        <v>53</v>
      </c>
      <c r="G280" s="9" t="s">
        <v>71</v>
      </c>
      <c r="H280" s="9"/>
      <c r="I280" s="25" t="n">
        <v>1</v>
      </c>
      <c r="J280" s="9" t="s">
        <v>1282</v>
      </c>
      <c r="K280" s="9" t="s">
        <v>1158</v>
      </c>
      <c r="L280" s="12" t="n">
        <v>1</v>
      </c>
      <c r="M280" s="20" t="n">
        <v>189476.55</v>
      </c>
      <c r="N280" s="20" t="n">
        <v>75790.62</v>
      </c>
      <c r="O280" s="20" t="n">
        <v>0</v>
      </c>
      <c r="P280" s="12" t="n">
        <f aca="false">IF($E280="squad",INDEX(Assumptions!$D$16:$D$56,MATCH($C280&amp;"|"&amp;$D280,Assumptions!$H$16:$H$56,0)),0)</f>
        <v>0.2</v>
      </c>
      <c r="Q280" s="20" t="n">
        <f aca="false">$N280*$P280</f>
        <v>15158.124</v>
      </c>
    </row>
    <row r="281" customFormat="false" ht="15" hidden="false" customHeight="false" outlineLevel="0" collapsed="false">
      <c r="A281" s="9" t="s">
        <v>702</v>
      </c>
      <c r="B281" s="9" t="s">
        <v>1294</v>
      </c>
      <c r="C281" s="9" t="s">
        <v>24</v>
      </c>
      <c r="D281" s="9" t="s">
        <v>689</v>
      </c>
      <c r="E281" s="9" t="s">
        <v>1281</v>
      </c>
      <c r="F281" s="9" t="s">
        <v>53</v>
      </c>
      <c r="G281" s="9" t="s">
        <v>71</v>
      </c>
      <c r="H281" s="9"/>
      <c r="I281" s="25" t="n">
        <v>1</v>
      </c>
      <c r="J281" s="9" t="s">
        <v>1282</v>
      </c>
      <c r="K281" s="9" t="s">
        <v>1158</v>
      </c>
      <c r="L281" s="12" t="n">
        <v>1</v>
      </c>
      <c r="M281" s="20" t="n">
        <v>230327.55</v>
      </c>
      <c r="N281" s="20" t="n">
        <v>92131.02</v>
      </c>
      <c r="O281" s="20" t="n">
        <v>0</v>
      </c>
      <c r="P281" s="12" t="n">
        <f aca="false">IF($E281="squad",INDEX(Assumptions!$D$16:$D$56,MATCH($C281&amp;"|"&amp;$D281,Assumptions!$H$16:$H$56,0)),0)</f>
        <v>0.2</v>
      </c>
      <c r="Q281" s="20" t="n">
        <f aca="false">$N281*$P281</f>
        <v>18426.204</v>
      </c>
    </row>
    <row r="282" customFormat="false" ht="15" hidden="false" customHeight="false" outlineLevel="0" collapsed="false">
      <c r="A282" s="9" t="s">
        <v>705</v>
      </c>
      <c r="B282" s="9" t="s">
        <v>1294</v>
      </c>
      <c r="C282" s="9" t="s">
        <v>24</v>
      </c>
      <c r="D282" s="9" t="s">
        <v>689</v>
      </c>
      <c r="E282" s="9" t="s">
        <v>1281</v>
      </c>
      <c r="F282" s="9" t="s">
        <v>53</v>
      </c>
      <c r="G282" s="9" t="s">
        <v>71</v>
      </c>
      <c r="H282" s="9"/>
      <c r="I282" s="25" t="n">
        <v>1</v>
      </c>
      <c r="J282" s="9" t="s">
        <v>1282</v>
      </c>
      <c r="K282" s="9" t="s">
        <v>1158</v>
      </c>
      <c r="L282" s="12" t="n">
        <v>1</v>
      </c>
      <c r="M282" s="20" t="n">
        <v>206177.4</v>
      </c>
      <c r="N282" s="20" t="n">
        <v>82470.96</v>
      </c>
      <c r="O282" s="20" t="n">
        <v>0</v>
      </c>
      <c r="P282" s="12" t="n">
        <f aca="false">IF($E282="squad",INDEX(Assumptions!$D$16:$D$56,MATCH($C282&amp;"|"&amp;$D282,Assumptions!$H$16:$H$56,0)),0)</f>
        <v>0.2</v>
      </c>
      <c r="Q282" s="20" t="n">
        <f aca="false">$N282*$P282</f>
        <v>16494.192</v>
      </c>
    </row>
    <row r="283" customFormat="false" ht="15" hidden="false" customHeight="false" outlineLevel="0" collapsed="false">
      <c r="A283" s="9" t="s">
        <v>707</v>
      </c>
      <c r="B283" s="9" t="s">
        <v>1294</v>
      </c>
      <c r="C283" s="9" t="s">
        <v>24</v>
      </c>
      <c r="D283" s="9" t="s">
        <v>689</v>
      </c>
      <c r="E283" s="9" t="s">
        <v>1281</v>
      </c>
      <c r="F283" s="9" t="s">
        <v>69</v>
      </c>
      <c r="G283" s="9" t="s">
        <v>71</v>
      </c>
      <c r="H283" s="9"/>
      <c r="I283" s="25" t="n">
        <v>1</v>
      </c>
      <c r="J283" s="9" t="s">
        <v>1282</v>
      </c>
      <c r="K283" s="9" t="s">
        <v>1158</v>
      </c>
      <c r="L283" s="12" t="n">
        <v>1</v>
      </c>
      <c r="M283" s="20" t="n">
        <v>202853.25</v>
      </c>
      <c r="N283" s="20" t="n">
        <v>81141.3</v>
      </c>
      <c r="O283" s="20" t="n">
        <v>0</v>
      </c>
      <c r="P283" s="12" t="n">
        <f aca="false">IF($E283="squad",INDEX(Assumptions!$D$16:$D$56,MATCH($C283&amp;"|"&amp;$D283,Assumptions!$H$16:$H$56,0)),0)</f>
        <v>0.2</v>
      </c>
      <c r="Q283" s="20" t="n">
        <f aca="false">$N283*$P283</f>
        <v>16228.26</v>
      </c>
    </row>
    <row r="284" customFormat="false" ht="15" hidden="false" customHeight="false" outlineLevel="0" collapsed="false">
      <c r="A284" s="9" t="s">
        <v>708</v>
      </c>
      <c r="B284" s="9" t="s">
        <v>1294</v>
      </c>
      <c r="C284" s="9" t="s">
        <v>24</v>
      </c>
      <c r="D284" s="9" t="s">
        <v>699</v>
      </c>
      <c r="E284" s="9" t="s">
        <v>1281</v>
      </c>
      <c r="F284" s="9" t="s">
        <v>53</v>
      </c>
      <c r="G284" s="9" t="s">
        <v>53</v>
      </c>
      <c r="H284" s="9"/>
      <c r="I284" s="25" t="n">
        <v>1</v>
      </c>
      <c r="J284" s="9" t="s">
        <v>1282</v>
      </c>
      <c r="K284" s="9" t="s">
        <v>1153</v>
      </c>
      <c r="L284" s="12" t="n">
        <v>1</v>
      </c>
      <c r="M284" s="20" t="n">
        <v>235494</v>
      </c>
      <c r="N284" s="20" t="n">
        <v>235494</v>
      </c>
      <c r="O284" s="20" t="n">
        <v>0</v>
      </c>
      <c r="P284" s="12" t="n">
        <f aca="false">IF($E284="squad",INDEX(Assumptions!$D$16:$D$56,MATCH($C284&amp;"|"&amp;$D284,Assumptions!$H$16:$H$56,0)),0)</f>
        <v>0.1</v>
      </c>
      <c r="Q284" s="20" t="n">
        <f aca="false">$N284*$P284</f>
        <v>23549.4</v>
      </c>
    </row>
    <row r="285" customFormat="false" ht="15" hidden="false" customHeight="false" outlineLevel="0" collapsed="false">
      <c r="A285" s="9" t="s">
        <v>710</v>
      </c>
      <c r="B285" s="9" t="s">
        <v>1294</v>
      </c>
      <c r="C285" s="9" t="s">
        <v>24</v>
      </c>
      <c r="D285" s="9" t="s">
        <v>699</v>
      </c>
      <c r="E285" s="9" t="s">
        <v>1281</v>
      </c>
      <c r="F285" s="9" t="s">
        <v>53</v>
      </c>
      <c r="G285" s="9" t="s">
        <v>53</v>
      </c>
      <c r="H285" s="9"/>
      <c r="I285" s="25" t="n">
        <v>1</v>
      </c>
      <c r="J285" s="9" t="s">
        <v>1282</v>
      </c>
      <c r="K285" s="9" t="s">
        <v>1153</v>
      </c>
      <c r="L285" s="12" t="n">
        <v>1</v>
      </c>
      <c r="M285" s="20" t="n">
        <v>257481.45</v>
      </c>
      <c r="N285" s="20" t="n">
        <v>257481.45</v>
      </c>
      <c r="O285" s="20" t="n">
        <v>0</v>
      </c>
      <c r="P285" s="12" t="n">
        <f aca="false">IF($E285="squad",INDEX(Assumptions!$D$16:$D$56,MATCH($C285&amp;"|"&amp;$D285,Assumptions!$H$16:$H$56,0)),0)</f>
        <v>0.1</v>
      </c>
      <c r="Q285" s="20" t="n">
        <f aca="false">$N285*$P285</f>
        <v>25748.145</v>
      </c>
    </row>
    <row r="286" customFormat="false" ht="15" hidden="false" customHeight="false" outlineLevel="0" collapsed="false">
      <c r="A286" s="9" t="s">
        <v>712</v>
      </c>
      <c r="B286" s="9" t="s">
        <v>1294</v>
      </c>
      <c r="C286" s="9" t="s">
        <v>24</v>
      </c>
      <c r="D286" s="9" t="s">
        <v>699</v>
      </c>
      <c r="E286" s="9" t="s">
        <v>1281</v>
      </c>
      <c r="F286" s="9" t="s">
        <v>53</v>
      </c>
      <c r="G286" s="9" t="s">
        <v>53</v>
      </c>
      <c r="H286" s="9"/>
      <c r="I286" s="25" t="n">
        <v>1</v>
      </c>
      <c r="J286" s="9" t="s">
        <v>1282</v>
      </c>
      <c r="K286" s="9" t="s">
        <v>1153</v>
      </c>
      <c r="L286" s="12" t="n">
        <v>1</v>
      </c>
      <c r="M286" s="20" t="n">
        <v>215388.9</v>
      </c>
      <c r="N286" s="20" t="n">
        <v>215388.9</v>
      </c>
      <c r="O286" s="20" t="n">
        <v>0</v>
      </c>
      <c r="P286" s="12" t="n">
        <f aca="false">IF($E286="squad",INDEX(Assumptions!$D$16:$D$56,MATCH($C286&amp;"|"&amp;$D286,Assumptions!$H$16:$H$56,0)),0)</f>
        <v>0.1</v>
      </c>
      <c r="Q286" s="20" t="n">
        <f aca="false">$N286*$P286</f>
        <v>21538.89</v>
      </c>
    </row>
    <row r="287" customFormat="false" ht="15" hidden="false" customHeight="false" outlineLevel="0" collapsed="false">
      <c r="A287" s="9" t="s">
        <v>714</v>
      </c>
      <c r="B287" s="9" t="s">
        <v>1294</v>
      </c>
      <c r="C287" s="9" t="s">
        <v>24</v>
      </c>
      <c r="D287" s="9" t="s">
        <v>699</v>
      </c>
      <c r="E287" s="9" t="s">
        <v>1281</v>
      </c>
      <c r="F287" s="9" t="s">
        <v>53</v>
      </c>
      <c r="G287" s="9" t="s">
        <v>53</v>
      </c>
      <c r="H287" s="9"/>
      <c r="I287" s="25" t="n">
        <v>1</v>
      </c>
      <c r="J287" s="9" t="s">
        <v>1282</v>
      </c>
      <c r="K287" s="9" t="s">
        <v>1153</v>
      </c>
      <c r="L287" s="12" t="n">
        <v>1</v>
      </c>
      <c r="M287" s="20" t="n">
        <v>209394.75</v>
      </c>
      <c r="N287" s="20" t="n">
        <v>209394.75</v>
      </c>
      <c r="O287" s="20" t="n">
        <v>0</v>
      </c>
      <c r="P287" s="12" t="n">
        <f aca="false">IF($E287="squad",INDEX(Assumptions!$D$16:$D$56,MATCH($C287&amp;"|"&amp;$D287,Assumptions!$H$16:$H$56,0)),0)</f>
        <v>0.1</v>
      </c>
      <c r="Q287" s="20" t="n">
        <f aca="false">$N287*$P287</f>
        <v>20939.475</v>
      </c>
    </row>
    <row r="288" customFormat="false" ht="15" hidden="false" customHeight="false" outlineLevel="0" collapsed="false">
      <c r="A288" s="9" t="s">
        <v>716</v>
      </c>
      <c r="B288" s="9" t="s">
        <v>1294</v>
      </c>
      <c r="C288" s="9" t="s">
        <v>24</v>
      </c>
      <c r="D288" s="9" t="s">
        <v>699</v>
      </c>
      <c r="E288" s="9" t="s">
        <v>1281</v>
      </c>
      <c r="F288" s="9" t="s">
        <v>53</v>
      </c>
      <c r="G288" s="9" t="s">
        <v>53</v>
      </c>
      <c r="H288" s="9"/>
      <c r="I288" s="25" t="n">
        <v>1</v>
      </c>
      <c r="J288" s="9" t="s">
        <v>1282</v>
      </c>
      <c r="K288" s="9" t="s">
        <v>1153</v>
      </c>
      <c r="L288" s="12" t="n">
        <v>1</v>
      </c>
      <c r="M288" s="20" t="n">
        <v>213600</v>
      </c>
      <c r="N288" s="20" t="n">
        <v>213600</v>
      </c>
      <c r="O288" s="20" t="n">
        <v>0</v>
      </c>
      <c r="P288" s="12" t="n">
        <f aca="false">IF($E288="squad",INDEX(Assumptions!$D$16:$D$56,MATCH($C288&amp;"|"&amp;$D288,Assumptions!$H$16:$H$56,0)),0)</f>
        <v>0.1</v>
      </c>
      <c r="Q288" s="20" t="n">
        <f aca="false">$N288*$P288</f>
        <v>21360</v>
      </c>
    </row>
    <row r="289" customFormat="false" ht="15" hidden="false" customHeight="false" outlineLevel="0" collapsed="false">
      <c r="A289" s="9" t="s">
        <v>719</v>
      </c>
      <c r="B289" s="9" t="s">
        <v>1294</v>
      </c>
      <c r="C289" s="9" t="s">
        <v>24</v>
      </c>
      <c r="D289" s="9" t="s">
        <v>699</v>
      </c>
      <c r="E289" s="9" t="s">
        <v>1281</v>
      </c>
      <c r="F289" s="9" t="s">
        <v>53</v>
      </c>
      <c r="G289" s="9" t="s">
        <v>53</v>
      </c>
      <c r="H289" s="9"/>
      <c r="I289" s="25" t="n">
        <v>1</v>
      </c>
      <c r="J289" s="9" t="s">
        <v>1282</v>
      </c>
      <c r="K289" s="9" t="s">
        <v>1153</v>
      </c>
      <c r="L289" s="12" t="n">
        <v>1</v>
      </c>
      <c r="M289" s="20" t="n">
        <v>222090.6</v>
      </c>
      <c r="N289" s="20" t="n">
        <v>222090.6</v>
      </c>
      <c r="O289" s="20" t="n">
        <v>0</v>
      </c>
      <c r="P289" s="12" t="n">
        <f aca="false">IF($E289="squad",INDEX(Assumptions!$D$16:$D$56,MATCH($C289&amp;"|"&amp;$D289,Assumptions!$H$16:$H$56,0)),0)</f>
        <v>0.1</v>
      </c>
      <c r="Q289" s="20" t="n">
        <f aca="false">$N289*$P289</f>
        <v>22209.06</v>
      </c>
    </row>
    <row r="290" customFormat="false" ht="15" hidden="false" customHeight="false" outlineLevel="0" collapsed="false">
      <c r="A290" s="9" t="s">
        <v>721</v>
      </c>
      <c r="B290" s="9" t="s">
        <v>1294</v>
      </c>
      <c r="C290" s="9" t="s">
        <v>24</v>
      </c>
      <c r="D290" s="9" t="s">
        <v>699</v>
      </c>
      <c r="E290" s="9" t="s">
        <v>1281</v>
      </c>
      <c r="F290" s="9" t="s">
        <v>53</v>
      </c>
      <c r="G290" s="9" t="s">
        <v>53</v>
      </c>
      <c r="H290" s="9"/>
      <c r="I290" s="25" t="n">
        <v>1</v>
      </c>
      <c r="J290" s="9" t="s">
        <v>1282</v>
      </c>
      <c r="K290" s="9" t="s">
        <v>1153</v>
      </c>
      <c r="L290" s="12" t="n">
        <v>1</v>
      </c>
      <c r="M290" s="20" t="n">
        <v>233331.3</v>
      </c>
      <c r="N290" s="20" t="n">
        <v>233331.3</v>
      </c>
      <c r="O290" s="20" t="n">
        <v>0</v>
      </c>
      <c r="P290" s="12" t="n">
        <f aca="false">IF($E290="squad",INDEX(Assumptions!$D$16:$D$56,MATCH($C290&amp;"|"&amp;$D290,Assumptions!$H$16:$H$56,0)),0)</f>
        <v>0.1</v>
      </c>
      <c r="Q290" s="20" t="n">
        <f aca="false">$N290*$P290</f>
        <v>23333.13</v>
      </c>
    </row>
    <row r="291" customFormat="false" ht="15" hidden="false" customHeight="false" outlineLevel="0" collapsed="false">
      <c r="A291" s="9" t="s">
        <v>723</v>
      </c>
      <c r="B291" s="9" t="s">
        <v>1294</v>
      </c>
      <c r="C291" s="9" t="s">
        <v>24</v>
      </c>
      <c r="D291" s="9" t="s">
        <v>699</v>
      </c>
      <c r="E291" s="9" t="s">
        <v>1281</v>
      </c>
      <c r="F291" s="9" t="s">
        <v>69</v>
      </c>
      <c r="G291" s="9" t="s">
        <v>78</v>
      </c>
      <c r="H291" s="9"/>
      <c r="I291" s="25" t="n">
        <v>1</v>
      </c>
      <c r="J291" s="9" t="s">
        <v>1282</v>
      </c>
      <c r="K291" s="9" t="s">
        <v>1153</v>
      </c>
      <c r="L291" s="12" t="n">
        <v>1</v>
      </c>
      <c r="M291" s="20" t="n">
        <v>202853.25</v>
      </c>
      <c r="N291" s="20" t="n">
        <v>0</v>
      </c>
      <c r="O291" s="20" t="n">
        <v>0</v>
      </c>
      <c r="P291" s="12" t="n">
        <f aca="false">IF($E291="squad",INDEX(Assumptions!$D$16:$D$56,MATCH($C291&amp;"|"&amp;$D291,Assumptions!$H$16:$H$56,0)),0)</f>
        <v>0.1</v>
      </c>
      <c r="Q291" s="20" t="n">
        <f aca="false">$N291*$P291</f>
        <v>0</v>
      </c>
    </row>
    <row r="292" customFormat="false" ht="15" hidden="false" customHeight="false" outlineLevel="0" collapsed="false">
      <c r="A292" s="9" t="s">
        <v>724</v>
      </c>
      <c r="B292" s="9" t="s">
        <v>1294</v>
      </c>
      <c r="C292" s="9" t="s">
        <v>24</v>
      </c>
      <c r="D292" s="9" t="s">
        <v>699</v>
      </c>
      <c r="E292" s="9" t="s">
        <v>1281</v>
      </c>
      <c r="F292" s="9" t="s">
        <v>53</v>
      </c>
      <c r="G292" s="9" t="s">
        <v>53</v>
      </c>
      <c r="H292" s="9"/>
      <c r="I292" s="25" t="n">
        <v>1</v>
      </c>
      <c r="J292" s="9" t="s">
        <v>1282</v>
      </c>
      <c r="K292" s="9" t="s">
        <v>1153</v>
      </c>
      <c r="L292" s="12" t="n">
        <v>1</v>
      </c>
      <c r="M292" s="20" t="n">
        <v>167149.65</v>
      </c>
      <c r="N292" s="20" t="n">
        <v>167149.65</v>
      </c>
      <c r="O292" s="20" t="n">
        <v>0</v>
      </c>
      <c r="P292" s="12" t="n">
        <f aca="false">IF($E292="squad",INDEX(Assumptions!$D$16:$D$56,MATCH($C292&amp;"|"&amp;$D292,Assumptions!$H$16:$H$56,0)),0)</f>
        <v>0.1</v>
      </c>
      <c r="Q292" s="20" t="n">
        <f aca="false">$N292*$P292</f>
        <v>16714.965</v>
      </c>
    </row>
    <row r="293" customFormat="false" ht="15" hidden="false" customHeight="false" outlineLevel="0" collapsed="false">
      <c r="A293" s="9" t="s">
        <v>726</v>
      </c>
      <c r="B293" s="9" t="s">
        <v>1294</v>
      </c>
      <c r="C293" s="9" t="s">
        <v>24</v>
      </c>
      <c r="D293" s="9" t="s">
        <v>699</v>
      </c>
      <c r="E293" s="9" t="s">
        <v>1281</v>
      </c>
      <c r="F293" s="9" t="s">
        <v>69</v>
      </c>
      <c r="G293" s="9" t="s">
        <v>78</v>
      </c>
      <c r="H293" s="9"/>
      <c r="I293" s="25" t="n">
        <v>1</v>
      </c>
      <c r="J293" s="9" t="s">
        <v>1282</v>
      </c>
      <c r="K293" s="9" t="s">
        <v>1153</v>
      </c>
      <c r="L293" s="12" t="n">
        <v>1</v>
      </c>
      <c r="M293" s="20" t="n">
        <v>170489.75</v>
      </c>
      <c r="N293" s="20" t="n">
        <v>0</v>
      </c>
      <c r="O293" s="20" t="n">
        <v>0</v>
      </c>
      <c r="P293" s="12" t="n">
        <f aca="false">IF($E293="squad",INDEX(Assumptions!$D$16:$D$56,MATCH($C293&amp;"|"&amp;$D293,Assumptions!$H$16:$H$56,0)),0)</f>
        <v>0.1</v>
      </c>
      <c r="Q293" s="20" t="n">
        <f aca="false">$N293*$P293</f>
        <v>0</v>
      </c>
    </row>
    <row r="294" customFormat="false" ht="15" hidden="false" customHeight="false" outlineLevel="0" collapsed="false">
      <c r="A294" s="9" t="s">
        <v>727</v>
      </c>
      <c r="B294" s="9" t="s">
        <v>1294</v>
      </c>
      <c r="C294" s="9" t="s">
        <v>24</v>
      </c>
      <c r="D294" s="9" t="s">
        <v>696</v>
      </c>
      <c r="E294" s="9" t="s">
        <v>1281</v>
      </c>
      <c r="F294" s="9" t="s">
        <v>53</v>
      </c>
      <c r="G294" s="9" t="s">
        <v>53</v>
      </c>
      <c r="H294" s="9"/>
      <c r="I294" s="25" t="n">
        <v>1</v>
      </c>
      <c r="J294" s="9" t="s">
        <v>1282</v>
      </c>
      <c r="K294" s="9" t="s">
        <v>1155</v>
      </c>
      <c r="L294" s="12" t="n">
        <v>1</v>
      </c>
      <c r="M294" s="20" t="n">
        <v>225051.95</v>
      </c>
      <c r="N294" s="20" t="n">
        <v>225051.95</v>
      </c>
      <c r="O294" s="20" t="n">
        <v>0</v>
      </c>
      <c r="P294" s="12" t="n">
        <f aca="false">IF($E294="squad",INDEX(Assumptions!$D$16:$D$56,MATCH($C294&amp;"|"&amp;$D294,Assumptions!$H$16:$H$56,0)),0)</f>
        <v>0.15</v>
      </c>
      <c r="Q294" s="20" t="n">
        <f aca="false">$N294*$P294</f>
        <v>33757.7925</v>
      </c>
    </row>
    <row r="295" customFormat="false" ht="15" hidden="false" customHeight="false" outlineLevel="0" collapsed="false">
      <c r="A295" s="9" t="s">
        <v>729</v>
      </c>
      <c r="B295" s="9" t="s">
        <v>1294</v>
      </c>
      <c r="C295" s="9" t="s">
        <v>24</v>
      </c>
      <c r="D295" s="9" t="s">
        <v>696</v>
      </c>
      <c r="E295" s="9" t="s">
        <v>1281</v>
      </c>
      <c r="F295" s="9" t="s">
        <v>53</v>
      </c>
      <c r="G295" s="9" t="s">
        <v>53</v>
      </c>
      <c r="H295" s="9"/>
      <c r="I295" s="25" t="n">
        <v>1</v>
      </c>
      <c r="J295" s="9" t="s">
        <v>1282</v>
      </c>
      <c r="K295" s="9" t="s">
        <v>1155</v>
      </c>
      <c r="L295" s="12" t="n">
        <v>1</v>
      </c>
      <c r="M295" s="20" t="n">
        <v>257693.9</v>
      </c>
      <c r="N295" s="20" t="n">
        <v>257693.9</v>
      </c>
      <c r="O295" s="20" t="n">
        <v>0</v>
      </c>
      <c r="P295" s="12" t="n">
        <f aca="false">IF($E295="squad",INDEX(Assumptions!$D$16:$D$56,MATCH($C295&amp;"|"&amp;$D295,Assumptions!$H$16:$H$56,0)),0)</f>
        <v>0.15</v>
      </c>
      <c r="Q295" s="20" t="n">
        <f aca="false">$N295*$P295</f>
        <v>38654.085</v>
      </c>
    </row>
    <row r="296" customFormat="false" ht="15" hidden="false" customHeight="false" outlineLevel="0" collapsed="false">
      <c r="A296" s="9" t="s">
        <v>732</v>
      </c>
      <c r="B296" s="9" t="s">
        <v>1294</v>
      </c>
      <c r="C296" s="9" t="s">
        <v>24</v>
      </c>
      <c r="D296" s="9" t="s">
        <v>696</v>
      </c>
      <c r="E296" s="9" t="s">
        <v>1281</v>
      </c>
      <c r="F296" s="9" t="s">
        <v>69</v>
      </c>
      <c r="G296" s="9" t="s">
        <v>78</v>
      </c>
      <c r="H296" s="9"/>
      <c r="I296" s="25" t="n">
        <v>1</v>
      </c>
      <c r="J296" s="9" t="s">
        <v>1282</v>
      </c>
      <c r="K296" s="9" t="s">
        <v>1155</v>
      </c>
      <c r="L296" s="12" t="n">
        <v>1</v>
      </c>
      <c r="M296" s="20" t="n">
        <v>231689.25</v>
      </c>
      <c r="N296" s="20" t="n">
        <v>0</v>
      </c>
      <c r="O296" s="20" t="n">
        <v>0</v>
      </c>
      <c r="P296" s="12" t="n">
        <f aca="false">IF($E296="squad",INDEX(Assumptions!$D$16:$D$56,MATCH($C296&amp;"|"&amp;$D296,Assumptions!$H$16:$H$56,0)),0)</f>
        <v>0.15</v>
      </c>
      <c r="Q296" s="20" t="n">
        <f aca="false">$N296*$P296</f>
        <v>0</v>
      </c>
    </row>
    <row r="297" customFormat="false" ht="15" hidden="false" customHeight="false" outlineLevel="0" collapsed="false">
      <c r="A297" s="9" t="s">
        <v>733</v>
      </c>
      <c r="B297" s="9" t="s">
        <v>1294</v>
      </c>
      <c r="C297" s="9" t="s">
        <v>24</v>
      </c>
      <c r="D297" s="9" t="s">
        <v>696</v>
      </c>
      <c r="E297" s="9" t="s">
        <v>1281</v>
      </c>
      <c r="F297" s="9" t="s">
        <v>53</v>
      </c>
      <c r="G297" s="9" t="s">
        <v>53</v>
      </c>
      <c r="H297" s="9"/>
      <c r="I297" s="25" t="n">
        <v>1</v>
      </c>
      <c r="J297" s="9" t="s">
        <v>1282</v>
      </c>
      <c r="K297" s="9" t="s">
        <v>1155</v>
      </c>
      <c r="L297" s="12" t="n">
        <v>1</v>
      </c>
      <c r="M297" s="20" t="n">
        <v>256466.85</v>
      </c>
      <c r="N297" s="20" t="n">
        <v>256466.85</v>
      </c>
      <c r="O297" s="20" t="n">
        <v>0</v>
      </c>
      <c r="P297" s="12" t="n">
        <f aca="false">IF($E297="squad",INDEX(Assumptions!$D$16:$D$56,MATCH($C297&amp;"|"&amp;$D297,Assumptions!$H$16:$H$56,0)),0)</f>
        <v>0.15</v>
      </c>
      <c r="Q297" s="20" t="n">
        <f aca="false">$N297*$P297</f>
        <v>38470.0275</v>
      </c>
    </row>
    <row r="298" customFormat="false" ht="15" hidden="false" customHeight="false" outlineLevel="0" collapsed="false">
      <c r="A298" s="9" t="s">
        <v>735</v>
      </c>
      <c r="B298" s="9" t="s">
        <v>1294</v>
      </c>
      <c r="C298" s="9" t="s">
        <v>24</v>
      </c>
      <c r="D298" s="9" t="s">
        <v>696</v>
      </c>
      <c r="E298" s="9" t="s">
        <v>1281</v>
      </c>
      <c r="F298" s="9" t="s">
        <v>53</v>
      </c>
      <c r="G298" s="9" t="s">
        <v>53</v>
      </c>
      <c r="H298" s="9"/>
      <c r="I298" s="25" t="n">
        <v>1</v>
      </c>
      <c r="J298" s="9" t="s">
        <v>1282</v>
      </c>
      <c r="K298" s="9" t="s">
        <v>1155</v>
      </c>
      <c r="L298" s="12" t="n">
        <v>1</v>
      </c>
      <c r="M298" s="20" t="n">
        <v>193575</v>
      </c>
      <c r="N298" s="20" t="n">
        <v>193575</v>
      </c>
      <c r="O298" s="20" t="n">
        <v>0</v>
      </c>
      <c r="P298" s="12" t="n">
        <f aca="false">IF($E298="squad",INDEX(Assumptions!$D$16:$D$56,MATCH($C298&amp;"|"&amp;$D298,Assumptions!$H$16:$H$56,0)),0)</f>
        <v>0.15</v>
      </c>
      <c r="Q298" s="20" t="n">
        <f aca="false">$N298*$P298</f>
        <v>29036.25</v>
      </c>
    </row>
    <row r="299" customFormat="false" ht="15" hidden="false" customHeight="false" outlineLevel="0" collapsed="false">
      <c r="A299" s="9" t="s">
        <v>737</v>
      </c>
      <c r="B299" s="9" t="s">
        <v>1294</v>
      </c>
      <c r="C299" s="9" t="s">
        <v>24</v>
      </c>
      <c r="D299" s="9" t="s">
        <v>696</v>
      </c>
      <c r="E299" s="9" t="s">
        <v>1281</v>
      </c>
      <c r="F299" s="9" t="s">
        <v>53</v>
      </c>
      <c r="G299" s="9" t="s">
        <v>53</v>
      </c>
      <c r="H299" s="9"/>
      <c r="I299" s="25" t="n">
        <v>1</v>
      </c>
      <c r="J299" s="9" t="s">
        <v>1282</v>
      </c>
      <c r="K299" s="9" t="s">
        <v>1155</v>
      </c>
      <c r="L299" s="12" t="n">
        <v>1</v>
      </c>
      <c r="M299" s="20" t="n">
        <v>213359.7</v>
      </c>
      <c r="N299" s="20" t="n">
        <v>213359.7</v>
      </c>
      <c r="O299" s="20" t="n">
        <v>0</v>
      </c>
      <c r="P299" s="12" t="n">
        <f aca="false">IF($E299="squad",INDEX(Assumptions!$D$16:$D$56,MATCH($C299&amp;"|"&amp;$D299,Assumptions!$H$16:$H$56,0)),0)</f>
        <v>0.15</v>
      </c>
      <c r="Q299" s="20" t="n">
        <f aca="false">$N299*$P299</f>
        <v>32003.955</v>
      </c>
    </row>
    <row r="300" customFormat="false" ht="15" hidden="false" customHeight="false" outlineLevel="0" collapsed="false">
      <c r="A300" s="9" t="s">
        <v>739</v>
      </c>
      <c r="B300" s="9" t="s">
        <v>1294</v>
      </c>
      <c r="C300" s="9" t="s">
        <v>24</v>
      </c>
      <c r="D300" s="9" t="s">
        <v>696</v>
      </c>
      <c r="E300" s="9" t="s">
        <v>1281</v>
      </c>
      <c r="F300" s="9" t="s">
        <v>53</v>
      </c>
      <c r="G300" s="9" t="s">
        <v>53</v>
      </c>
      <c r="H300" s="9"/>
      <c r="I300" s="25" t="n">
        <v>1</v>
      </c>
      <c r="J300" s="9" t="s">
        <v>1282</v>
      </c>
      <c r="K300" s="9" t="s">
        <v>1155</v>
      </c>
      <c r="L300" s="12" t="n">
        <v>1</v>
      </c>
      <c r="M300" s="20" t="n">
        <v>221796.9</v>
      </c>
      <c r="N300" s="20" t="n">
        <v>221796.9</v>
      </c>
      <c r="O300" s="20" t="n">
        <v>0</v>
      </c>
      <c r="P300" s="12" t="n">
        <f aca="false">IF($E300="squad",INDEX(Assumptions!$D$16:$D$56,MATCH($C300&amp;"|"&amp;$D300,Assumptions!$H$16:$H$56,0)),0)</f>
        <v>0.15</v>
      </c>
      <c r="Q300" s="20" t="n">
        <f aca="false">$N300*$P300</f>
        <v>33269.535</v>
      </c>
    </row>
    <row r="301" customFormat="false" ht="15" hidden="false" customHeight="false" outlineLevel="0" collapsed="false">
      <c r="A301" s="9" t="s">
        <v>741</v>
      </c>
      <c r="B301" s="9" t="s">
        <v>1294</v>
      </c>
      <c r="C301" s="9" t="s">
        <v>24</v>
      </c>
      <c r="D301" s="9" t="s">
        <v>696</v>
      </c>
      <c r="E301" s="9" t="s">
        <v>1281</v>
      </c>
      <c r="F301" s="9" t="s">
        <v>53</v>
      </c>
      <c r="G301" s="9" t="s">
        <v>53</v>
      </c>
      <c r="H301" s="9"/>
      <c r="I301" s="25" t="n">
        <v>1</v>
      </c>
      <c r="J301" s="9" t="s">
        <v>1282</v>
      </c>
      <c r="K301" s="9" t="s">
        <v>1155</v>
      </c>
      <c r="L301" s="12" t="n">
        <v>1</v>
      </c>
      <c r="M301" s="20" t="n">
        <v>144650</v>
      </c>
      <c r="N301" s="20" t="n">
        <v>144650</v>
      </c>
      <c r="O301" s="20" t="n">
        <v>0</v>
      </c>
      <c r="P301" s="12" t="n">
        <f aca="false">IF($E301="squad",INDEX(Assumptions!$D$16:$D$56,MATCH($C301&amp;"|"&amp;$D301,Assumptions!$H$16:$H$56,0)),0)</f>
        <v>0.15</v>
      </c>
      <c r="Q301" s="20" t="n">
        <f aca="false">$N301*$P301</f>
        <v>21697.5</v>
      </c>
    </row>
    <row r="302" customFormat="false" ht="15" hidden="false" customHeight="false" outlineLevel="0" collapsed="false">
      <c r="A302" s="9" t="s">
        <v>743</v>
      </c>
      <c r="B302" s="9" t="s">
        <v>1294</v>
      </c>
      <c r="C302" s="9" t="s">
        <v>24</v>
      </c>
      <c r="D302" s="9" t="s">
        <v>696</v>
      </c>
      <c r="E302" s="9" t="s">
        <v>1281</v>
      </c>
      <c r="F302" s="9" t="s">
        <v>69</v>
      </c>
      <c r="G302" s="9" t="s">
        <v>78</v>
      </c>
      <c r="H302" s="9"/>
      <c r="I302" s="25" t="n">
        <v>1</v>
      </c>
      <c r="J302" s="9" t="s">
        <v>1282</v>
      </c>
      <c r="K302" s="9" t="s">
        <v>1155</v>
      </c>
      <c r="L302" s="12" t="n">
        <v>1</v>
      </c>
      <c r="M302" s="20" t="n">
        <v>170489.75</v>
      </c>
      <c r="N302" s="20" t="n">
        <v>0</v>
      </c>
      <c r="O302" s="20" t="n">
        <v>0</v>
      </c>
      <c r="P302" s="12" t="n">
        <f aca="false">IF($E302="squad",INDEX(Assumptions!$D$16:$D$56,MATCH($C302&amp;"|"&amp;$D302,Assumptions!$H$16:$H$56,0)),0)</f>
        <v>0.15</v>
      </c>
      <c r="Q302" s="20" t="n">
        <f aca="false">$N302*$P302</f>
        <v>0</v>
      </c>
    </row>
    <row r="303" customFormat="false" ht="15" hidden="false" customHeight="false" outlineLevel="0" collapsed="false">
      <c r="A303" s="9" t="s">
        <v>744</v>
      </c>
      <c r="B303" s="9" t="s">
        <v>1294</v>
      </c>
      <c r="C303" s="9" t="s">
        <v>24</v>
      </c>
      <c r="D303" s="9" t="s">
        <v>690</v>
      </c>
      <c r="E303" s="9" t="s">
        <v>1281</v>
      </c>
      <c r="F303" s="9" t="s">
        <v>53</v>
      </c>
      <c r="G303" s="9" t="s">
        <v>53</v>
      </c>
      <c r="H303" s="9"/>
      <c r="I303" s="25" t="n">
        <v>1</v>
      </c>
      <c r="J303" s="9" t="s">
        <v>1282</v>
      </c>
      <c r="K303" s="9" t="s">
        <v>1161</v>
      </c>
      <c r="L303" s="12" t="n">
        <v>1</v>
      </c>
      <c r="M303" s="20" t="n">
        <v>162936.39</v>
      </c>
      <c r="N303" s="20" t="n">
        <v>162936.39</v>
      </c>
      <c r="O303" s="20" t="n">
        <v>0</v>
      </c>
      <c r="P303" s="12" t="n">
        <f aca="false">IF($E303="squad",INDEX(Assumptions!$D$16:$D$56,MATCH($C303&amp;"|"&amp;$D303,Assumptions!$H$16:$H$56,0)),0)</f>
        <v>0.8</v>
      </c>
      <c r="Q303" s="20" t="n">
        <f aca="false">$N303*$P303</f>
        <v>130349.112</v>
      </c>
    </row>
    <row r="304" customFormat="false" ht="15" hidden="false" customHeight="false" outlineLevel="0" collapsed="false">
      <c r="A304" s="9" t="s">
        <v>747</v>
      </c>
      <c r="B304" s="9" t="s">
        <v>1294</v>
      </c>
      <c r="C304" s="9" t="s">
        <v>24</v>
      </c>
      <c r="D304" s="9" t="s">
        <v>690</v>
      </c>
      <c r="E304" s="9" t="s">
        <v>1281</v>
      </c>
      <c r="F304" s="9" t="s">
        <v>53</v>
      </c>
      <c r="G304" s="9" t="s">
        <v>53</v>
      </c>
      <c r="H304" s="9"/>
      <c r="I304" s="25" t="n">
        <v>1</v>
      </c>
      <c r="J304" s="9" t="s">
        <v>1282</v>
      </c>
      <c r="K304" s="9" t="s">
        <v>1161</v>
      </c>
      <c r="L304" s="12" t="n">
        <v>1</v>
      </c>
      <c r="M304" s="20" t="n">
        <v>153697.2</v>
      </c>
      <c r="N304" s="20" t="n">
        <v>153697.2</v>
      </c>
      <c r="O304" s="20" t="n">
        <v>0</v>
      </c>
      <c r="P304" s="12" t="n">
        <f aca="false">IF($E304="squad",INDEX(Assumptions!$D$16:$D$56,MATCH($C304&amp;"|"&amp;$D304,Assumptions!$H$16:$H$56,0)),0)</f>
        <v>0.8</v>
      </c>
      <c r="Q304" s="20" t="n">
        <f aca="false">$N304*$P304</f>
        <v>122957.76</v>
      </c>
    </row>
    <row r="305" customFormat="false" ht="15" hidden="false" customHeight="false" outlineLevel="0" collapsed="false">
      <c r="A305" s="9" t="s">
        <v>749</v>
      </c>
      <c r="B305" s="9" t="s">
        <v>1294</v>
      </c>
      <c r="C305" s="9" t="s">
        <v>24</v>
      </c>
      <c r="D305" s="9" t="s">
        <v>690</v>
      </c>
      <c r="E305" s="9" t="s">
        <v>1281</v>
      </c>
      <c r="F305" s="9" t="s">
        <v>53</v>
      </c>
      <c r="G305" s="9" t="s">
        <v>53</v>
      </c>
      <c r="H305" s="9"/>
      <c r="I305" s="25" t="n">
        <v>1</v>
      </c>
      <c r="J305" s="9" t="s">
        <v>1282</v>
      </c>
      <c r="K305" s="9" t="s">
        <v>1161</v>
      </c>
      <c r="L305" s="12" t="n">
        <v>1</v>
      </c>
      <c r="M305" s="20" t="n">
        <v>146727.7</v>
      </c>
      <c r="N305" s="20" t="n">
        <v>146727.7</v>
      </c>
      <c r="O305" s="20" t="n">
        <v>0</v>
      </c>
      <c r="P305" s="12" t="n">
        <f aca="false">IF($E305="squad",INDEX(Assumptions!$D$16:$D$56,MATCH($C305&amp;"|"&amp;$D305,Assumptions!$H$16:$H$56,0)),0)</f>
        <v>0.8</v>
      </c>
      <c r="Q305" s="20" t="n">
        <f aca="false">$N305*$P305</f>
        <v>117382.16</v>
      </c>
    </row>
    <row r="306" customFormat="false" ht="15" hidden="false" customHeight="false" outlineLevel="0" collapsed="false">
      <c r="A306" s="9" t="s">
        <v>751</v>
      </c>
      <c r="B306" s="9" t="s">
        <v>1294</v>
      </c>
      <c r="C306" s="9" t="s">
        <v>24</v>
      </c>
      <c r="D306" s="9" t="s">
        <v>690</v>
      </c>
      <c r="E306" s="9" t="s">
        <v>1281</v>
      </c>
      <c r="F306" s="9" t="s">
        <v>53</v>
      </c>
      <c r="G306" s="9" t="s">
        <v>53</v>
      </c>
      <c r="H306" s="9"/>
      <c r="I306" s="25" t="n">
        <v>1</v>
      </c>
      <c r="J306" s="9" t="s">
        <v>1282</v>
      </c>
      <c r="K306" s="9" t="s">
        <v>1161</v>
      </c>
      <c r="L306" s="12" t="n">
        <v>1</v>
      </c>
      <c r="M306" s="20" t="n">
        <v>171291.9</v>
      </c>
      <c r="N306" s="20" t="n">
        <v>171291.9</v>
      </c>
      <c r="O306" s="20" t="n">
        <v>0</v>
      </c>
      <c r="P306" s="12" t="n">
        <f aca="false">IF($E306="squad",INDEX(Assumptions!$D$16:$D$56,MATCH($C306&amp;"|"&amp;$D306,Assumptions!$H$16:$H$56,0)),0)</f>
        <v>0.8</v>
      </c>
      <c r="Q306" s="20" t="n">
        <f aca="false">$N306*$P306</f>
        <v>137033.52</v>
      </c>
    </row>
    <row r="307" customFormat="false" ht="15" hidden="false" customHeight="false" outlineLevel="0" collapsed="false">
      <c r="A307" s="9" t="s">
        <v>754</v>
      </c>
      <c r="B307" s="9" t="s">
        <v>1294</v>
      </c>
      <c r="C307" s="9" t="s">
        <v>24</v>
      </c>
      <c r="D307" s="9" t="s">
        <v>690</v>
      </c>
      <c r="E307" s="9" t="s">
        <v>1281</v>
      </c>
      <c r="F307" s="9" t="s">
        <v>53</v>
      </c>
      <c r="G307" s="9" t="s">
        <v>53</v>
      </c>
      <c r="H307" s="9"/>
      <c r="I307" s="25" t="n">
        <v>1</v>
      </c>
      <c r="J307" s="9" t="s">
        <v>1282</v>
      </c>
      <c r="K307" s="9" t="s">
        <v>1161</v>
      </c>
      <c r="L307" s="12" t="n">
        <v>1</v>
      </c>
      <c r="M307" s="20" t="n">
        <v>106682.1</v>
      </c>
      <c r="N307" s="20" t="n">
        <v>106682.1</v>
      </c>
      <c r="O307" s="20" t="n">
        <v>0</v>
      </c>
      <c r="P307" s="12" t="n">
        <f aca="false">IF($E307="squad",INDEX(Assumptions!$D$16:$D$56,MATCH($C307&amp;"|"&amp;$D307,Assumptions!$H$16:$H$56,0)),0)</f>
        <v>0.8</v>
      </c>
      <c r="Q307" s="20" t="n">
        <f aca="false">$N307*$P307</f>
        <v>85345.68</v>
      </c>
    </row>
    <row r="308" customFormat="false" ht="15" hidden="false" customHeight="false" outlineLevel="0" collapsed="false">
      <c r="A308" s="9" t="s">
        <v>757</v>
      </c>
      <c r="B308" s="9" t="s">
        <v>1294</v>
      </c>
      <c r="C308" s="9" t="s">
        <v>24</v>
      </c>
      <c r="D308" s="9" t="s">
        <v>756</v>
      </c>
      <c r="E308" s="9" t="s">
        <v>1283</v>
      </c>
      <c r="F308" s="9" t="s">
        <v>53</v>
      </c>
      <c r="G308" s="9" t="s">
        <v>53</v>
      </c>
      <c r="H308" s="9"/>
      <c r="I308" s="25" t="n">
        <v>1</v>
      </c>
      <c r="J308" s="9" t="s">
        <v>1282</v>
      </c>
      <c r="K308" s="9" t="s">
        <v>1295</v>
      </c>
      <c r="L308" s="12" t="n">
        <v>1</v>
      </c>
      <c r="M308" s="20" t="n">
        <v>256667.1</v>
      </c>
      <c r="N308" s="20" t="n">
        <v>256667.1</v>
      </c>
      <c r="O308" s="20" t="n">
        <v>0</v>
      </c>
      <c r="P308" s="12" t="n">
        <f aca="false">IF($E308="squad",INDEX(Assumptions!$D$16:$D$56,MATCH($C308&amp;"|"&amp;$D308,Assumptions!$H$16:$H$56,0)),0)</f>
        <v>0</v>
      </c>
      <c r="Q308" s="20" t="n">
        <f aca="false">$N308*$P308</f>
        <v>0</v>
      </c>
    </row>
    <row r="309" customFormat="false" ht="15" hidden="false" customHeight="false" outlineLevel="0" collapsed="false">
      <c r="A309" s="9" t="s">
        <v>759</v>
      </c>
      <c r="B309" s="9" t="s">
        <v>1294</v>
      </c>
      <c r="C309" s="9" t="s">
        <v>24</v>
      </c>
      <c r="D309" s="9" t="s">
        <v>199</v>
      </c>
      <c r="E309" s="9" t="s">
        <v>1286</v>
      </c>
      <c r="F309" s="9" t="s">
        <v>53</v>
      </c>
      <c r="G309" s="9" t="s">
        <v>53</v>
      </c>
      <c r="H309" s="9"/>
      <c r="I309" s="25" t="n">
        <v>1</v>
      </c>
      <c r="J309" s="9" t="s">
        <v>1282</v>
      </c>
      <c r="K309" s="9" t="s">
        <v>1295</v>
      </c>
      <c r="L309" s="12" t="n">
        <v>1</v>
      </c>
      <c r="M309" s="20" t="n">
        <v>363626.7</v>
      </c>
      <c r="N309" s="20" t="n">
        <v>363626.7</v>
      </c>
      <c r="O309" s="20" t="n">
        <v>0</v>
      </c>
      <c r="P309" s="12" t="n">
        <f aca="false">IF($E309="squad",INDEX(Assumptions!$D$16:$D$56,MATCH($C309&amp;"|"&amp;$D309,Assumptions!$H$16:$H$56,0)),0)</f>
        <v>0</v>
      </c>
      <c r="Q309" s="20" t="n">
        <f aca="false">$N309*$P309</f>
        <v>0</v>
      </c>
    </row>
    <row r="310" customFormat="false" ht="15" hidden="false" customHeight="false" outlineLevel="0" collapsed="false">
      <c r="A310" s="9" t="s">
        <v>762</v>
      </c>
      <c r="B310" s="9" t="s">
        <v>1294</v>
      </c>
      <c r="C310" s="9" t="s">
        <v>24</v>
      </c>
      <c r="D310" s="9" t="s">
        <v>203</v>
      </c>
      <c r="E310" s="9" t="s">
        <v>1286</v>
      </c>
      <c r="F310" s="9" t="s">
        <v>53</v>
      </c>
      <c r="G310" s="9" t="s">
        <v>53</v>
      </c>
      <c r="H310" s="9"/>
      <c r="I310" s="25" t="n">
        <v>1</v>
      </c>
      <c r="J310" s="9" t="s">
        <v>1282</v>
      </c>
      <c r="K310" s="9" t="s">
        <v>1295</v>
      </c>
      <c r="L310" s="12" t="n">
        <v>1</v>
      </c>
      <c r="M310" s="20" t="n">
        <v>316744.8</v>
      </c>
      <c r="N310" s="20" t="n">
        <v>316744.8</v>
      </c>
      <c r="O310" s="20" t="n">
        <v>0</v>
      </c>
      <c r="P310" s="12" t="n">
        <f aca="false">IF($E310="squad",INDEX(Assumptions!$D$16:$D$56,MATCH($C310&amp;"|"&amp;$D310,Assumptions!$H$16:$H$56,0)),0)</f>
        <v>0</v>
      </c>
      <c r="Q310" s="20" t="n">
        <f aca="false">$N310*$P310</f>
        <v>0</v>
      </c>
    </row>
    <row r="311" customFormat="false" ht="15" hidden="false" customHeight="false" outlineLevel="0" collapsed="false">
      <c r="A311" s="9" t="s">
        <v>764</v>
      </c>
      <c r="B311" s="9" t="s">
        <v>1294</v>
      </c>
      <c r="C311" s="9" t="s">
        <v>24</v>
      </c>
      <c r="D311" s="9" t="s">
        <v>206</v>
      </c>
      <c r="E311" s="9" t="s">
        <v>1286</v>
      </c>
      <c r="F311" s="9" t="s">
        <v>53</v>
      </c>
      <c r="G311" s="9" t="s">
        <v>53</v>
      </c>
      <c r="H311" s="9"/>
      <c r="I311" s="25" t="n">
        <v>1</v>
      </c>
      <c r="J311" s="9" t="s">
        <v>1282</v>
      </c>
      <c r="K311" s="9" t="s">
        <v>1153</v>
      </c>
      <c r="L311" s="12" t="n">
        <v>1</v>
      </c>
      <c r="M311" s="20" t="n">
        <v>249076.1</v>
      </c>
      <c r="N311" s="20" t="n">
        <v>249076.1</v>
      </c>
      <c r="O311" s="20" t="n">
        <v>0</v>
      </c>
      <c r="P311" s="12" t="n">
        <f aca="false">IF($E311="squad",INDEX(Assumptions!$D$16:$D$56,MATCH($C311&amp;"|"&amp;$D311,Assumptions!$H$16:$H$56,0)),0)</f>
        <v>0</v>
      </c>
      <c r="Q311" s="20" t="n">
        <f aca="false">$N311*$P311</f>
        <v>0</v>
      </c>
    </row>
    <row r="312" customFormat="false" ht="15" hidden="false" customHeight="false" outlineLevel="0" collapsed="false">
      <c r="A312" s="9" t="s">
        <v>767</v>
      </c>
      <c r="B312" s="9" t="s">
        <v>1294</v>
      </c>
      <c r="C312" s="9" t="s">
        <v>24</v>
      </c>
      <c r="D312" s="9" t="s">
        <v>206</v>
      </c>
      <c r="E312" s="9" t="s">
        <v>1286</v>
      </c>
      <c r="F312" s="9" t="s">
        <v>69</v>
      </c>
      <c r="G312" s="9" t="s">
        <v>82</v>
      </c>
      <c r="H312" s="9"/>
      <c r="I312" s="25" t="n">
        <v>1</v>
      </c>
      <c r="J312" s="9" t="s">
        <v>1282</v>
      </c>
      <c r="K312" s="9" t="s">
        <v>756</v>
      </c>
      <c r="L312" s="12" t="n">
        <v>1</v>
      </c>
      <c r="M312" s="20" t="n">
        <v>275810.25</v>
      </c>
      <c r="N312" s="20" t="n">
        <v>275810.25</v>
      </c>
      <c r="O312" s="20" t="n">
        <v>0</v>
      </c>
      <c r="P312" s="12" t="n">
        <f aca="false">IF($E312="squad",INDEX(Assumptions!$D$16:$D$56,MATCH($C312&amp;"|"&amp;$D312,Assumptions!$H$16:$H$56,0)),0)</f>
        <v>0</v>
      </c>
      <c r="Q312" s="20" t="n">
        <f aca="false">$N312*$P312</f>
        <v>0</v>
      </c>
    </row>
    <row r="313" customFormat="false" ht="15" hidden="false" customHeight="false" outlineLevel="0" collapsed="false">
      <c r="A313" s="9" t="s">
        <v>770</v>
      </c>
      <c r="B313" s="9" t="s">
        <v>1296</v>
      </c>
      <c r="C313" s="9" t="s">
        <v>26</v>
      </c>
      <c r="D313" s="9" t="s">
        <v>26</v>
      </c>
      <c r="E313" s="9" t="s">
        <v>1281</v>
      </c>
      <c r="F313" s="9" t="s">
        <v>53</v>
      </c>
      <c r="G313" s="9" t="s">
        <v>53</v>
      </c>
      <c r="H313" s="9"/>
      <c r="I313" s="25" t="n">
        <v>1</v>
      </c>
      <c r="J313" s="9" t="s">
        <v>1282</v>
      </c>
      <c r="K313" s="9" t="s">
        <v>26</v>
      </c>
      <c r="L313" s="12" t="n">
        <v>1</v>
      </c>
      <c r="M313" s="20" t="n">
        <v>237963.75</v>
      </c>
      <c r="N313" s="20" t="n">
        <v>237963.75</v>
      </c>
      <c r="O313" s="20" t="n">
        <v>0</v>
      </c>
      <c r="P313" s="12" t="n">
        <f aca="false">IF($E313="squad",INDEX(Assumptions!$D$16:$D$56,MATCH($C313&amp;"|"&amp;$D313,Assumptions!$H$16:$H$56,0)),0)</f>
        <v>0.15</v>
      </c>
      <c r="Q313" s="20" t="n">
        <f aca="false">$N313*$P313</f>
        <v>35694.5625</v>
      </c>
    </row>
    <row r="314" customFormat="false" ht="15" hidden="false" customHeight="false" outlineLevel="0" collapsed="false">
      <c r="A314" s="9" t="s">
        <v>773</v>
      </c>
      <c r="B314" s="9" t="s">
        <v>1296</v>
      </c>
      <c r="C314" s="9" t="s">
        <v>26</v>
      </c>
      <c r="D314" s="9" t="s">
        <v>26</v>
      </c>
      <c r="E314" s="9" t="s">
        <v>1281</v>
      </c>
      <c r="F314" s="9" t="s">
        <v>53</v>
      </c>
      <c r="G314" s="9" t="s">
        <v>53</v>
      </c>
      <c r="H314" s="9"/>
      <c r="I314" s="25" t="n">
        <v>1</v>
      </c>
      <c r="J314" s="9" t="s">
        <v>1282</v>
      </c>
      <c r="K314" s="9" t="s">
        <v>26</v>
      </c>
      <c r="L314" s="12" t="n">
        <v>1</v>
      </c>
      <c r="M314" s="20" t="n">
        <v>272340</v>
      </c>
      <c r="N314" s="20" t="n">
        <v>272340</v>
      </c>
      <c r="O314" s="20" t="n">
        <v>0</v>
      </c>
      <c r="P314" s="12" t="n">
        <f aca="false">IF($E314="squad",INDEX(Assumptions!$D$16:$D$56,MATCH($C314&amp;"|"&amp;$D314,Assumptions!$H$16:$H$56,0)),0)</f>
        <v>0.15</v>
      </c>
      <c r="Q314" s="20" t="n">
        <f aca="false">$N314*$P314</f>
        <v>40851</v>
      </c>
    </row>
    <row r="315" customFormat="false" ht="15" hidden="false" customHeight="false" outlineLevel="0" collapsed="false">
      <c r="A315" s="9" t="s">
        <v>775</v>
      </c>
      <c r="B315" s="9" t="s">
        <v>1296</v>
      </c>
      <c r="C315" s="9" t="s">
        <v>26</v>
      </c>
      <c r="D315" s="9" t="s">
        <v>26</v>
      </c>
      <c r="E315" s="9" t="s">
        <v>1281</v>
      </c>
      <c r="F315" s="9" t="s">
        <v>53</v>
      </c>
      <c r="G315" s="9" t="s">
        <v>53</v>
      </c>
      <c r="H315" s="9"/>
      <c r="I315" s="25" t="n">
        <v>1</v>
      </c>
      <c r="J315" s="9" t="s">
        <v>1282</v>
      </c>
      <c r="K315" s="9" t="s">
        <v>26</v>
      </c>
      <c r="L315" s="12" t="n">
        <v>1</v>
      </c>
      <c r="M315" s="20" t="n">
        <v>234172.35</v>
      </c>
      <c r="N315" s="20" t="n">
        <v>234172.35</v>
      </c>
      <c r="O315" s="20" t="n">
        <v>0</v>
      </c>
      <c r="P315" s="12" t="n">
        <f aca="false">IF($E315="squad",INDEX(Assumptions!$D$16:$D$56,MATCH($C315&amp;"|"&amp;$D315,Assumptions!$H$16:$H$56,0)),0)</f>
        <v>0.15</v>
      </c>
      <c r="Q315" s="20" t="n">
        <f aca="false">$N315*$P315</f>
        <v>35125.8525</v>
      </c>
    </row>
    <row r="316" customFormat="false" ht="15" hidden="false" customHeight="false" outlineLevel="0" collapsed="false">
      <c r="A316" s="9" t="s">
        <v>778</v>
      </c>
      <c r="B316" s="9" t="s">
        <v>1296</v>
      </c>
      <c r="C316" s="9" t="s">
        <v>26</v>
      </c>
      <c r="D316" s="9" t="s">
        <v>26</v>
      </c>
      <c r="E316" s="9" t="s">
        <v>1281</v>
      </c>
      <c r="F316" s="9" t="s">
        <v>53</v>
      </c>
      <c r="G316" s="9" t="s">
        <v>53</v>
      </c>
      <c r="H316" s="9"/>
      <c r="I316" s="25" t="n">
        <v>1</v>
      </c>
      <c r="J316" s="9" t="s">
        <v>1284</v>
      </c>
      <c r="K316" s="9" t="s">
        <v>26</v>
      </c>
      <c r="L316" s="12" t="n">
        <v>1</v>
      </c>
      <c r="M316" s="20" t="n">
        <v>193358.28</v>
      </c>
      <c r="N316" s="20" t="n">
        <v>193358.28</v>
      </c>
      <c r="O316" s="20" t="n">
        <v>0</v>
      </c>
      <c r="P316" s="12" t="n">
        <f aca="false">IF($E316="squad",INDEX(Assumptions!$D$16:$D$56,MATCH($C316&amp;"|"&amp;$D316,Assumptions!$H$16:$H$56,0)),0)</f>
        <v>0.15</v>
      </c>
      <c r="Q316" s="20" t="n">
        <f aca="false">$N316*$P316</f>
        <v>29003.742</v>
      </c>
    </row>
    <row r="317" customFormat="false" ht="15" hidden="false" customHeight="false" outlineLevel="0" collapsed="false">
      <c r="A317" s="9" t="s">
        <v>780</v>
      </c>
      <c r="B317" s="9" t="s">
        <v>1296</v>
      </c>
      <c r="C317" s="9" t="s">
        <v>26</v>
      </c>
      <c r="D317" s="9" t="s">
        <v>26</v>
      </c>
      <c r="E317" s="9" t="s">
        <v>1281</v>
      </c>
      <c r="F317" s="9" t="s">
        <v>53</v>
      </c>
      <c r="G317" s="9" t="s">
        <v>53</v>
      </c>
      <c r="H317" s="9"/>
      <c r="I317" s="25" t="n">
        <v>1</v>
      </c>
      <c r="J317" s="9" t="s">
        <v>1282</v>
      </c>
      <c r="K317" s="9" t="s">
        <v>26</v>
      </c>
      <c r="L317" s="12" t="n">
        <v>1</v>
      </c>
      <c r="M317" s="20" t="n">
        <v>251487.3</v>
      </c>
      <c r="N317" s="20" t="n">
        <v>251487.3</v>
      </c>
      <c r="O317" s="20" t="n">
        <v>0</v>
      </c>
      <c r="P317" s="12" t="n">
        <f aca="false">IF($E317="squad",INDEX(Assumptions!$D$16:$D$56,MATCH($C317&amp;"|"&amp;$D317,Assumptions!$H$16:$H$56,0)),0)</f>
        <v>0.15</v>
      </c>
      <c r="Q317" s="20" t="n">
        <f aca="false">$N317*$P317</f>
        <v>37723.095</v>
      </c>
    </row>
    <row r="318" customFormat="false" ht="15" hidden="false" customHeight="false" outlineLevel="0" collapsed="false">
      <c r="A318" s="9" t="s">
        <v>783</v>
      </c>
      <c r="B318" s="9" t="s">
        <v>1296</v>
      </c>
      <c r="C318" s="9" t="s">
        <v>26</v>
      </c>
      <c r="D318" s="9" t="s">
        <v>26</v>
      </c>
      <c r="E318" s="9" t="s">
        <v>1281</v>
      </c>
      <c r="F318" s="9" t="s">
        <v>69</v>
      </c>
      <c r="G318" s="9" t="s">
        <v>82</v>
      </c>
      <c r="H318" s="9"/>
      <c r="I318" s="25" t="n">
        <v>1</v>
      </c>
      <c r="J318" s="9" t="s">
        <v>1282</v>
      </c>
      <c r="K318" s="9" t="s">
        <v>26</v>
      </c>
      <c r="L318" s="12" t="n">
        <v>1</v>
      </c>
      <c r="M318" s="20" t="n">
        <v>202853.25</v>
      </c>
      <c r="N318" s="20" t="n">
        <v>202853.25</v>
      </c>
      <c r="O318" s="20" t="n">
        <v>0</v>
      </c>
      <c r="P318" s="12" t="n">
        <f aca="false">IF($E318="squad",INDEX(Assumptions!$D$16:$D$56,MATCH($C318&amp;"|"&amp;$D318,Assumptions!$H$16:$H$56,0)),0)</f>
        <v>0.15</v>
      </c>
      <c r="Q318" s="20" t="n">
        <f aca="false">$N318*$P318</f>
        <v>30427.9875</v>
      </c>
    </row>
    <row r="319" customFormat="false" ht="15" hidden="false" customHeight="false" outlineLevel="0" collapsed="false">
      <c r="A319" s="9" t="s">
        <v>785</v>
      </c>
      <c r="B319" s="9" t="s">
        <v>1296</v>
      </c>
      <c r="C319" s="9" t="s">
        <v>26</v>
      </c>
      <c r="D319" s="9" t="s">
        <v>26</v>
      </c>
      <c r="E319" s="9" t="s">
        <v>1281</v>
      </c>
      <c r="F319" s="9" t="s">
        <v>69</v>
      </c>
      <c r="G319" s="9" t="s">
        <v>82</v>
      </c>
      <c r="H319" s="9"/>
      <c r="I319" s="25" t="n">
        <v>1</v>
      </c>
      <c r="J319" s="9" t="s">
        <v>1282</v>
      </c>
      <c r="K319" s="9" t="s">
        <v>26</v>
      </c>
      <c r="L319" s="12" t="n">
        <v>1</v>
      </c>
      <c r="M319" s="20" t="n">
        <v>202853.25</v>
      </c>
      <c r="N319" s="20" t="n">
        <v>202853.25</v>
      </c>
      <c r="O319" s="20" t="n">
        <v>0</v>
      </c>
      <c r="P319" s="12" t="n">
        <f aca="false">IF($E319="squad",INDEX(Assumptions!$D$16:$D$56,MATCH($C319&amp;"|"&amp;$D319,Assumptions!$H$16:$H$56,0)),0)</f>
        <v>0.15</v>
      </c>
      <c r="Q319" s="20" t="n">
        <f aca="false">$N319*$P319</f>
        <v>30427.9875</v>
      </c>
    </row>
    <row r="320" customFormat="false" ht="15" hidden="false" customHeight="false" outlineLevel="0" collapsed="false">
      <c r="A320" s="9" t="s">
        <v>786</v>
      </c>
      <c r="B320" s="9" t="s">
        <v>1296</v>
      </c>
      <c r="C320" s="9" t="s">
        <v>26</v>
      </c>
      <c r="D320" s="9" t="s">
        <v>26</v>
      </c>
      <c r="E320" s="9" t="s">
        <v>1281</v>
      </c>
      <c r="F320" s="9" t="s">
        <v>69</v>
      </c>
      <c r="G320" s="9" t="s">
        <v>71</v>
      </c>
      <c r="H320" s="9"/>
      <c r="I320" s="25" t="n">
        <v>1</v>
      </c>
      <c r="J320" s="9" t="s">
        <v>1282</v>
      </c>
      <c r="K320" s="9" t="s">
        <v>26</v>
      </c>
      <c r="L320" s="12" t="n">
        <v>1</v>
      </c>
      <c r="M320" s="20" t="n">
        <v>170489.75</v>
      </c>
      <c r="N320" s="20" t="n">
        <v>68195.9</v>
      </c>
      <c r="O320" s="20" t="n">
        <v>0</v>
      </c>
      <c r="P320" s="12" t="n">
        <f aca="false">IF($E320="squad",INDEX(Assumptions!$D$16:$D$56,MATCH($C320&amp;"|"&amp;$D320,Assumptions!$H$16:$H$56,0)),0)</f>
        <v>0.15</v>
      </c>
      <c r="Q320" s="20" t="n">
        <f aca="false">$N320*$P320</f>
        <v>10229.385</v>
      </c>
    </row>
    <row r="321" customFormat="false" ht="15" hidden="false" customHeight="false" outlineLevel="0" collapsed="false">
      <c r="A321" s="9" t="s">
        <v>787</v>
      </c>
      <c r="B321" s="9" t="s">
        <v>1296</v>
      </c>
      <c r="C321" s="9" t="s">
        <v>26</v>
      </c>
      <c r="D321" s="9" t="s">
        <v>769</v>
      </c>
      <c r="E321" s="9" t="s">
        <v>1281</v>
      </c>
      <c r="F321" s="9" t="s">
        <v>69</v>
      </c>
      <c r="G321" s="9" t="s">
        <v>82</v>
      </c>
      <c r="H321" s="9"/>
      <c r="I321" s="25" t="n">
        <v>1</v>
      </c>
      <c r="J321" s="9" t="s">
        <v>1282</v>
      </c>
      <c r="K321" s="9" t="s">
        <v>26</v>
      </c>
      <c r="L321" s="12" t="n">
        <v>1</v>
      </c>
      <c r="M321" s="20" t="n">
        <v>231689.25</v>
      </c>
      <c r="N321" s="20" t="n">
        <v>231689.25</v>
      </c>
      <c r="O321" s="20" t="n">
        <v>0</v>
      </c>
      <c r="P321" s="12" t="n">
        <f aca="false">IF($E321="squad",INDEX(Assumptions!$D$16:$D$56,MATCH($C321&amp;"|"&amp;$D321,Assumptions!$H$16:$H$56,0)),0)</f>
        <v>0.15</v>
      </c>
      <c r="Q321" s="20" t="n">
        <f aca="false">$N321*$P321</f>
        <v>34753.3875</v>
      </c>
    </row>
    <row r="322" customFormat="false" ht="15" hidden="false" customHeight="false" outlineLevel="0" collapsed="false">
      <c r="A322" s="9" t="s">
        <v>789</v>
      </c>
      <c r="B322" s="9" t="s">
        <v>1296</v>
      </c>
      <c r="C322" s="9" t="s">
        <v>26</v>
      </c>
      <c r="D322" s="9" t="s">
        <v>769</v>
      </c>
      <c r="E322" s="9" t="s">
        <v>1281</v>
      </c>
      <c r="F322" s="9" t="s">
        <v>69</v>
      </c>
      <c r="G322" s="9" t="s">
        <v>71</v>
      </c>
      <c r="H322" s="9"/>
      <c r="I322" s="25" t="n">
        <v>1</v>
      </c>
      <c r="J322" s="9" t="s">
        <v>1282</v>
      </c>
      <c r="K322" s="9" t="s">
        <v>26</v>
      </c>
      <c r="L322" s="12" t="n">
        <v>1</v>
      </c>
      <c r="M322" s="20" t="n">
        <v>202853.25</v>
      </c>
      <c r="N322" s="20" t="n">
        <v>81141.3</v>
      </c>
      <c r="O322" s="20" t="n">
        <v>0</v>
      </c>
      <c r="P322" s="12" t="n">
        <f aca="false">IF($E322="squad",INDEX(Assumptions!$D$16:$D$56,MATCH($C322&amp;"|"&amp;$D322,Assumptions!$H$16:$H$56,0)),0)</f>
        <v>0.15</v>
      </c>
      <c r="Q322" s="20" t="n">
        <f aca="false">$N322*$P322</f>
        <v>12171.195</v>
      </c>
    </row>
    <row r="323" customFormat="false" ht="15" hidden="false" customHeight="false" outlineLevel="0" collapsed="false">
      <c r="A323" s="9" t="s">
        <v>790</v>
      </c>
      <c r="B323" s="9" t="s">
        <v>1296</v>
      </c>
      <c r="C323" s="9" t="s">
        <v>26</v>
      </c>
      <c r="D323" s="9" t="s">
        <v>769</v>
      </c>
      <c r="E323" s="9" t="s">
        <v>1281</v>
      </c>
      <c r="F323" s="9" t="s">
        <v>69</v>
      </c>
      <c r="G323" s="9" t="s">
        <v>82</v>
      </c>
      <c r="H323" s="9"/>
      <c r="I323" s="25" t="n">
        <v>1</v>
      </c>
      <c r="J323" s="9" t="s">
        <v>1282</v>
      </c>
      <c r="K323" s="9" t="s">
        <v>26</v>
      </c>
      <c r="L323" s="12" t="n">
        <v>1</v>
      </c>
      <c r="M323" s="20" t="n">
        <v>201585</v>
      </c>
      <c r="N323" s="20" t="n">
        <v>201585</v>
      </c>
      <c r="O323" s="20" t="n">
        <v>0</v>
      </c>
      <c r="P323" s="12" t="n">
        <f aca="false">IF($E323="squad",INDEX(Assumptions!$D$16:$D$56,MATCH($C323&amp;"|"&amp;$D323,Assumptions!$H$16:$H$56,0)),0)</f>
        <v>0.15</v>
      </c>
      <c r="Q323" s="20" t="n">
        <f aca="false">$N323*$P323</f>
        <v>30237.75</v>
      </c>
    </row>
    <row r="324" customFormat="false" ht="15" hidden="false" customHeight="false" outlineLevel="0" collapsed="false">
      <c r="A324" s="9" t="s">
        <v>792</v>
      </c>
      <c r="B324" s="9" t="s">
        <v>1296</v>
      </c>
      <c r="C324" s="9" t="s">
        <v>26</v>
      </c>
      <c r="D324" s="9" t="s">
        <v>769</v>
      </c>
      <c r="E324" s="9" t="s">
        <v>1281</v>
      </c>
      <c r="F324" s="9" t="s">
        <v>69</v>
      </c>
      <c r="G324" s="9" t="s">
        <v>71</v>
      </c>
      <c r="H324" s="9"/>
      <c r="I324" s="25" t="n">
        <v>1</v>
      </c>
      <c r="J324" s="9" t="s">
        <v>1282</v>
      </c>
      <c r="K324" s="9" t="s">
        <v>26</v>
      </c>
      <c r="L324" s="12" t="n">
        <v>1</v>
      </c>
      <c r="M324" s="20" t="n">
        <v>170489.75</v>
      </c>
      <c r="N324" s="20" t="n">
        <v>68195.9</v>
      </c>
      <c r="O324" s="20" t="n">
        <v>0</v>
      </c>
      <c r="P324" s="12" t="n">
        <f aca="false">IF($E324="squad",INDEX(Assumptions!$D$16:$D$56,MATCH($C324&amp;"|"&amp;$D324,Assumptions!$H$16:$H$56,0)),0)</f>
        <v>0.15</v>
      </c>
      <c r="Q324" s="20" t="n">
        <f aca="false">$N324*$P324</f>
        <v>10229.385</v>
      </c>
    </row>
    <row r="325" customFormat="false" ht="15" hidden="false" customHeight="false" outlineLevel="0" collapsed="false">
      <c r="A325" s="9" t="s">
        <v>793</v>
      </c>
      <c r="B325" s="9" t="s">
        <v>1296</v>
      </c>
      <c r="C325" s="9" t="s">
        <v>26</v>
      </c>
      <c r="D325" s="9" t="s">
        <v>769</v>
      </c>
      <c r="E325" s="9" t="s">
        <v>1281</v>
      </c>
      <c r="F325" s="9" t="s">
        <v>69</v>
      </c>
      <c r="G325" s="9" t="s">
        <v>82</v>
      </c>
      <c r="H325" s="9"/>
      <c r="I325" s="25" t="n">
        <v>1</v>
      </c>
      <c r="J325" s="9" t="s">
        <v>1282</v>
      </c>
      <c r="K325" s="9" t="s">
        <v>26</v>
      </c>
      <c r="L325" s="12" t="n">
        <v>1</v>
      </c>
      <c r="M325" s="20" t="n">
        <v>179970.9</v>
      </c>
      <c r="N325" s="20" t="n">
        <v>179970.9</v>
      </c>
      <c r="O325" s="20" t="n">
        <v>0</v>
      </c>
      <c r="P325" s="12" t="n">
        <f aca="false">IF($E325="squad",INDEX(Assumptions!$D$16:$D$56,MATCH($C325&amp;"|"&amp;$D325,Assumptions!$H$16:$H$56,0)),0)</f>
        <v>0.15</v>
      </c>
      <c r="Q325" s="20" t="n">
        <f aca="false">$N325*$P325</f>
        <v>26995.635</v>
      </c>
    </row>
    <row r="326" customFormat="false" ht="15" hidden="false" customHeight="false" outlineLevel="0" collapsed="false">
      <c r="A326" s="9" t="s">
        <v>796</v>
      </c>
      <c r="B326" s="9" t="s">
        <v>1296</v>
      </c>
      <c r="C326" s="9" t="s">
        <v>26</v>
      </c>
      <c r="D326" s="9" t="s">
        <v>795</v>
      </c>
      <c r="E326" s="9" t="s">
        <v>1283</v>
      </c>
      <c r="F326" s="9" t="s">
        <v>53</v>
      </c>
      <c r="G326" s="9" t="s">
        <v>78</v>
      </c>
      <c r="H326" s="9"/>
      <c r="I326" s="25" t="n">
        <v>1</v>
      </c>
      <c r="J326" s="9" t="s">
        <v>1282</v>
      </c>
      <c r="K326" s="9" t="s">
        <v>36</v>
      </c>
      <c r="L326" s="12" t="n">
        <v>1</v>
      </c>
      <c r="M326" s="20" t="n">
        <v>238965</v>
      </c>
      <c r="N326" s="20" t="n">
        <v>0</v>
      </c>
      <c r="O326" s="20" t="n">
        <v>0</v>
      </c>
      <c r="P326" s="12" t="n">
        <f aca="false">IF($E326="squad",INDEX(Assumptions!$D$16:$D$56,MATCH($C326&amp;"|"&amp;$D326,Assumptions!$H$16:$H$56,0)),0)</f>
        <v>0</v>
      </c>
      <c r="Q326" s="20" t="n">
        <f aca="false">$N326*$P326</f>
        <v>0</v>
      </c>
    </row>
    <row r="327" customFormat="false" ht="15" hidden="false" customHeight="false" outlineLevel="0" collapsed="false">
      <c r="A327" s="9" t="s">
        <v>799</v>
      </c>
      <c r="B327" s="9" t="s">
        <v>1296</v>
      </c>
      <c r="C327" s="9" t="s">
        <v>26</v>
      </c>
      <c r="D327" s="9" t="s">
        <v>199</v>
      </c>
      <c r="E327" s="9" t="s">
        <v>1286</v>
      </c>
      <c r="F327" s="9" t="s">
        <v>53</v>
      </c>
      <c r="G327" s="9" t="s">
        <v>53</v>
      </c>
      <c r="H327" s="9"/>
      <c r="I327" s="25" t="n">
        <v>1</v>
      </c>
      <c r="J327" s="9" t="s">
        <v>1282</v>
      </c>
      <c r="K327" s="9" t="s">
        <v>1297</v>
      </c>
      <c r="L327" s="12" t="n">
        <v>1</v>
      </c>
      <c r="M327" s="20" t="n">
        <v>364249.3</v>
      </c>
      <c r="N327" s="20" t="n">
        <v>364249.3</v>
      </c>
      <c r="O327" s="20" t="n">
        <v>0</v>
      </c>
      <c r="P327" s="12" t="n">
        <f aca="false">IF($E327="squad",INDEX(Assumptions!$D$16:$D$56,MATCH($C327&amp;"|"&amp;$D327,Assumptions!$H$16:$H$56,0)),0)</f>
        <v>0</v>
      </c>
      <c r="Q327" s="20" t="n">
        <f aca="false">$N327*$P327</f>
        <v>0</v>
      </c>
    </row>
    <row r="328" customFormat="false" ht="15" hidden="false" customHeight="false" outlineLevel="0" collapsed="false">
      <c r="A328" s="9" t="s">
        <v>802</v>
      </c>
      <c r="B328" s="9" t="s">
        <v>1296</v>
      </c>
      <c r="C328" s="9" t="s">
        <v>26</v>
      </c>
      <c r="D328" s="9" t="s">
        <v>203</v>
      </c>
      <c r="E328" s="9" t="s">
        <v>1286</v>
      </c>
      <c r="F328" s="9" t="s">
        <v>69</v>
      </c>
      <c r="G328" s="9" t="s">
        <v>82</v>
      </c>
      <c r="H328" s="9"/>
      <c r="I328" s="25" t="n">
        <v>1</v>
      </c>
      <c r="J328" s="9" t="s">
        <v>1282</v>
      </c>
      <c r="K328" s="9" t="s">
        <v>1297</v>
      </c>
      <c r="L328" s="12" t="n">
        <v>1</v>
      </c>
      <c r="M328" s="20" t="n">
        <v>275810.25</v>
      </c>
      <c r="N328" s="20" t="n">
        <v>275810.25</v>
      </c>
      <c r="O328" s="20" t="n">
        <v>0</v>
      </c>
      <c r="P328" s="12" t="n">
        <f aca="false">IF($E328="squad",INDEX(Assumptions!$D$16:$D$56,MATCH($C328&amp;"|"&amp;$D328,Assumptions!$H$16:$H$56,0)),0)</f>
        <v>0</v>
      </c>
      <c r="Q328" s="20" t="n">
        <f aca="false">$N328*$P328</f>
        <v>0</v>
      </c>
    </row>
    <row r="329" customFormat="false" ht="15" hidden="false" customHeight="false" outlineLevel="0" collapsed="false">
      <c r="A329" s="9" t="s">
        <v>803</v>
      </c>
      <c r="B329" s="9" t="s">
        <v>1296</v>
      </c>
      <c r="C329" s="9" t="s">
        <v>26</v>
      </c>
      <c r="D329" s="9" t="s">
        <v>206</v>
      </c>
      <c r="E329" s="9" t="s">
        <v>1286</v>
      </c>
      <c r="F329" s="9" t="s">
        <v>53</v>
      </c>
      <c r="G329" s="9" t="s">
        <v>53</v>
      </c>
      <c r="H329" s="9"/>
      <c r="I329" s="25" t="n">
        <v>1</v>
      </c>
      <c r="J329" s="9" t="s">
        <v>1282</v>
      </c>
      <c r="K329" s="9" t="s">
        <v>26</v>
      </c>
      <c r="L329" s="12" t="n">
        <v>1</v>
      </c>
      <c r="M329" s="20" t="n">
        <v>296365.6</v>
      </c>
      <c r="N329" s="20" t="n">
        <v>296365.6</v>
      </c>
      <c r="O329" s="20" t="n">
        <v>0</v>
      </c>
      <c r="P329" s="12" t="n">
        <f aca="false">IF($E329="squad",INDEX(Assumptions!$D$16:$D$56,MATCH($C329&amp;"|"&amp;$D329,Assumptions!$H$16:$H$56,0)),0)</f>
        <v>0</v>
      </c>
      <c r="Q329" s="20" t="n">
        <f aca="false">$N329*$P329</f>
        <v>0</v>
      </c>
    </row>
    <row r="330" customFormat="false" ht="15" hidden="false" customHeight="false" outlineLevel="0" collapsed="false">
      <c r="A330" s="9" t="s">
        <v>807</v>
      </c>
      <c r="B330" s="9" t="s">
        <v>1298</v>
      </c>
      <c r="C330" s="9" t="s">
        <v>28</v>
      </c>
      <c r="D330" s="9" t="s">
        <v>806</v>
      </c>
      <c r="E330" s="9" t="s">
        <v>1281</v>
      </c>
      <c r="F330" s="9" t="s">
        <v>53</v>
      </c>
      <c r="G330" s="9" t="s">
        <v>53</v>
      </c>
      <c r="H330" s="9"/>
      <c r="I330" s="25" t="n">
        <v>1</v>
      </c>
      <c r="J330" s="9" t="s">
        <v>1284</v>
      </c>
      <c r="K330" s="9" t="s">
        <v>806</v>
      </c>
      <c r="L330" s="12" t="n">
        <v>1</v>
      </c>
      <c r="M330" s="20" t="n">
        <v>184497.852</v>
      </c>
      <c r="N330" s="20" t="n">
        <v>184497.852</v>
      </c>
      <c r="O330" s="20" t="n">
        <v>0</v>
      </c>
      <c r="P330" s="12" t="n">
        <f aca="false">IF($E330="squad",INDEX(Assumptions!$D$16:$D$56,MATCH($C330&amp;"|"&amp;$D330,Assumptions!$H$16:$H$56,0)),0)</f>
        <v>0.8</v>
      </c>
      <c r="Q330" s="20" t="n">
        <f aca="false">$N330*$P330</f>
        <v>147598.2816</v>
      </c>
    </row>
    <row r="331" customFormat="false" ht="15" hidden="false" customHeight="false" outlineLevel="0" collapsed="false">
      <c r="A331" s="9" t="s">
        <v>811</v>
      </c>
      <c r="B331" s="9" t="s">
        <v>1298</v>
      </c>
      <c r="C331" s="9" t="s">
        <v>28</v>
      </c>
      <c r="D331" s="9" t="s">
        <v>806</v>
      </c>
      <c r="E331" s="9" t="s">
        <v>1281</v>
      </c>
      <c r="F331" s="9" t="s">
        <v>53</v>
      </c>
      <c r="G331" s="9" t="s">
        <v>53</v>
      </c>
      <c r="H331" s="9"/>
      <c r="I331" s="25" t="n">
        <v>1</v>
      </c>
      <c r="J331" s="9" t="s">
        <v>1284</v>
      </c>
      <c r="K331" s="9" t="s">
        <v>806</v>
      </c>
      <c r="L331" s="12" t="n">
        <v>1</v>
      </c>
      <c r="M331" s="20" t="n">
        <v>178930.38</v>
      </c>
      <c r="N331" s="20" t="n">
        <v>178930.38</v>
      </c>
      <c r="O331" s="20" t="n">
        <v>0</v>
      </c>
      <c r="P331" s="12" t="n">
        <f aca="false">IF($E331="squad",INDEX(Assumptions!$D$16:$D$56,MATCH($C331&amp;"|"&amp;$D331,Assumptions!$H$16:$H$56,0)),0)</f>
        <v>0.8</v>
      </c>
      <c r="Q331" s="20" t="n">
        <f aca="false">$N331*$P331</f>
        <v>143144.304</v>
      </c>
    </row>
    <row r="332" customFormat="false" ht="15" hidden="false" customHeight="false" outlineLevel="0" collapsed="false">
      <c r="A332" s="9" t="s">
        <v>813</v>
      </c>
      <c r="B332" s="9" t="s">
        <v>1298</v>
      </c>
      <c r="C332" s="9" t="s">
        <v>28</v>
      </c>
      <c r="D332" s="9" t="s">
        <v>806</v>
      </c>
      <c r="E332" s="9" t="s">
        <v>1281</v>
      </c>
      <c r="F332" s="9" t="s">
        <v>53</v>
      </c>
      <c r="G332" s="9" t="s">
        <v>53</v>
      </c>
      <c r="H332" s="9"/>
      <c r="I332" s="25" t="n">
        <v>1</v>
      </c>
      <c r="J332" s="9" t="s">
        <v>1284</v>
      </c>
      <c r="K332" s="9" t="s">
        <v>806</v>
      </c>
      <c r="L332" s="12" t="n">
        <v>1</v>
      </c>
      <c r="M332" s="20" t="n">
        <v>198099.684</v>
      </c>
      <c r="N332" s="20" t="n">
        <v>198099.684</v>
      </c>
      <c r="O332" s="20" t="n">
        <v>0</v>
      </c>
      <c r="P332" s="12" t="n">
        <f aca="false">IF($E332="squad",INDEX(Assumptions!$D$16:$D$56,MATCH($C332&amp;"|"&amp;$D332,Assumptions!$H$16:$H$56,0)),0)</f>
        <v>0.8</v>
      </c>
      <c r="Q332" s="20" t="n">
        <f aca="false">$N332*$P332</f>
        <v>158479.7472</v>
      </c>
    </row>
    <row r="333" customFormat="false" ht="15" hidden="false" customHeight="false" outlineLevel="0" collapsed="false">
      <c r="A333" s="9" t="s">
        <v>816</v>
      </c>
      <c r="B333" s="9" t="s">
        <v>1298</v>
      </c>
      <c r="C333" s="9" t="s">
        <v>28</v>
      </c>
      <c r="D333" s="9" t="s">
        <v>806</v>
      </c>
      <c r="E333" s="9" t="s">
        <v>1281</v>
      </c>
      <c r="F333" s="9" t="s">
        <v>69</v>
      </c>
      <c r="G333" s="9" t="s">
        <v>82</v>
      </c>
      <c r="H333" s="9"/>
      <c r="I333" s="25" t="n">
        <v>1</v>
      </c>
      <c r="J333" s="9" t="s">
        <v>1282</v>
      </c>
      <c r="K333" s="9" t="s">
        <v>806</v>
      </c>
      <c r="L333" s="12" t="n">
        <v>1</v>
      </c>
      <c r="M333" s="20" t="n">
        <v>231689.25</v>
      </c>
      <c r="N333" s="20" t="n">
        <v>231689.25</v>
      </c>
      <c r="O333" s="20" t="n">
        <v>0</v>
      </c>
      <c r="P333" s="12" t="n">
        <f aca="false">IF($E333="squad",INDEX(Assumptions!$D$16:$D$56,MATCH($C333&amp;"|"&amp;$D333,Assumptions!$H$16:$H$56,0)),0)</f>
        <v>0.8</v>
      </c>
      <c r="Q333" s="20" t="n">
        <f aca="false">$N333*$P333</f>
        <v>185351.4</v>
      </c>
    </row>
    <row r="334" customFormat="false" ht="15" hidden="false" customHeight="false" outlineLevel="0" collapsed="false">
      <c r="A334" s="9" t="s">
        <v>818</v>
      </c>
      <c r="B334" s="9" t="s">
        <v>1298</v>
      </c>
      <c r="C334" s="9" t="s">
        <v>28</v>
      </c>
      <c r="D334" s="9" t="s">
        <v>806</v>
      </c>
      <c r="E334" s="9" t="s">
        <v>1281</v>
      </c>
      <c r="F334" s="9" t="s">
        <v>53</v>
      </c>
      <c r="G334" s="9" t="s">
        <v>53</v>
      </c>
      <c r="H334" s="9"/>
      <c r="I334" s="25" t="n">
        <v>1</v>
      </c>
      <c r="J334" s="9" t="s">
        <v>1284</v>
      </c>
      <c r="K334" s="9" t="s">
        <v>806</v>
      </c>
      <c r="L334" s="12" t="n">
        <v>1</v>
      </c>
      <c r="M334" s="20" t="n">
        <v>107420.712</v>
      </c>
      <c r="N334" s="20" t="n">
        <v>107420.712</v>
      </c>
      <c r="O334" s="20" t="n">
        <v>0</v>
      </c>
      <c r="P334" s="12" t="n">
        <f aca="false">IF($E334="squad",INDEX(Assumptions!$D$16:$D$56,MATCH($C334&amp;"|"&amp;$D334,Assumptions!$H$16:$H$56,0)),0)</f>
        <v>0.8</v>
      </c>
      <c r="Q334" s="20" t="n">
        <f aca="false">$N334*$P334</f>
        <v>85936.5696</v>
      </c>
    </row>
    <row r="335" customFormat="false" ht="15" hidden="false" customHeight="false" outlineLevel="0" collapsed="false">
      <c r="A335" s="9" t="s">
        <v>821</v>
      </c>
      <c r="B335" s="9" t="s">
        <v>1298</v>
      </c>
      <c r="C335" s="9" t="s">
        <v>28</v>
      </c>
      <c r="D335" s="9" t="s">
        <v>806</v>
      </c>
      <c r="E335" s="9" t="s">
        <v>1281</v>
      </c>
      <c r="F335" s="9" t="s">
        <v>69</v>
      </c>
      <c r="G335" s="9" t="s">
        <v>78</v>
      </c>
      <c r="H335" s="9"/>
      <c r="I335" s="25" t="n">
        <v>0.5</v>
      </c>
      <c r="J335" s="9" t="s">
        <v>1282</v>
      </c>
      <c r="K335" s="9" t="s">
        <v>806</v>
      </c>
      <c r="L335" s="12" t="n">
        <v>1</v>
      </c>
      <c r="M335" s="20" t="n">
        <v>57922.3125</v>
      </c>
      <c r="N335" s="20" t="n">
        <v>0</v>
      </c>
      <c r="O335" s="20" t="n">
        <v>0</v>
      </c>
      <c r="P335" s="12" t="n">
        <f aca="false">IF($E335="squad",INDEX(Assumptions!$D$16:$D$56,MATCH($C335&amp;"|"&amp;$D335,Assumptions!$H$16:$H$56,0)),0)</f>
        <v>0.8</v>
      </c>
      <c r="Q335" s="20" t="n">
        <f aca="false">$N335*$P335</f>
        <v>0</v>
      </c>
    </row>
    <row r="336" customFormat="false" ht="15" hidden="false" customHeight="false" outlineLevel="0" collapsed="false">
      <c r="A336" s="9" t="s">
        <v>823</v>
      </c>
      <c r="B336" s="9" t="s">
        <v>1298</v>
      </c>
      <c r="C336" s="9" t="s">
        <v>28</v>
      </c>
      <c r="D336" s="9" t="s">
        <v>810</v>
      </c>
      <c r="E336" s="9" t="s">
        <v>1281</v>
      </c>
      <c r="F336" s="9" t="s">
        <v>69</v>
      </c>
      <c r="G336" s="9" t="s">
        <v>82</v>
      </c>
      <c r="H336" s="9"/>
      <c r="I336" s="25" t="n">
        <v>1</v>
      </c>
      <c r="J336" s="9" t="s">
        <v>1282</v>
      </c>
      <c r="K336" s="9" t="s">
        <v>1154</v>
      </c>
      <c r="L336" s="12" t="n">
        <v>1</v>
      </c>
      <c r="M336" s="20" t="n">
        <v>231689.25</v>
      </c>
      <c r="N336" s="20" t="n">
        <v>231689.25</v>
      </c>
      <c r="O336" s="20" t="n">
        <v>0</v>
      </c>
      <c r="P336" s="12" t="n">
        <f aca="false">IF($E336="squad",INDEX(Assumptions!$D$16:$D$56,MATCH($C336&amp;"|"&amp;$D336,Assumptions!$H$16:$H$56,0)),0)</f>
        <v>0.2</v>
      </c>
      <c r="Q336" s="20" t="n">
        <f aca="false">$N336*$P336</f>
        <v>46337.85</v>
      </c>
    </row>
    <row r="337" customFormat="false" ht="15" hidden="false" customHeight="false" outlineLevel="0" collapsed="false">
      <c r="A337" s="9" t="s">
        <v>825</v>
      </c>
      <c r="B337" s="9" t="s">
        <v>1298</v>
      </c>
      <c r="C337" s="9" t="s">
        <v>28</v>
      </c>
      <c r="D337" s="9" t="s">
        <v>810</v>
      </c>
      <c r="E337" s="9" t="s">
        <v>1281</v>
      </c>
      <c r="F337" s="9" t="s">
        <v>69</v>
      </c>
      <c r="G337" s="9" t="s">
        <v>82</v>
      </c>
      <c r="H337" s="9"/>
      <c r="I337" s="25" t="n">
        <v>1</v>
      </c>
      <c r="J337" s="9" t="s">
        <v>1282</v>
      </c>
      <c r="K337" s="9" t="s">
        <v>1154</v>
      </c>
      <c r="L337" s="12" t="n">
        <v>1</v>
      </c>
      <c r="M337" s="20" t="n">
        <v>231689.25</v>
      </c>
      <c r="N337" s="20" t="n">
        <v>231689.25</v>
      </c>
      <c r="O337" s="20" t="n">
        <v>0</v>
      </c>
      <c r="P337" s="12" t="n">
        <f aca="false">IF($E337="squad",INDEX(Assumptions!$D$16:$D$56,MATCH($C337&amp;"|"&amp;$D337,Assumptions!$H$16:$H$56,0)),0)</f>
        <v>0.2</v>
      </c>
      <c r="Q337" s="20" t="n">
        <f aca="false">$N337*$P337</f>
        <v>46337.85</v>
      </c>
    </row>
    <row r="338" customFormat="false" ht="15" hidden="false" customHeight="false" outlineLevel="0" collapsed="false">
      <c r="A338" s="9" t="s">
        <v>826</v>
      </c>
      <c r="B338" s="9" t="s">
        <v>1298</v>
      </c>
      <c r="C338" s="9" t="s">
        <v>28</v>
      </c>
      <c r="D338" s="9" t="s">
        <v>810</v>
      </c>
      <c r="E338" s="9" t="s">
        <v>1281</v>
      </c>
      <c r="F338" s="9" t="s">
        <v>69</v>
      </c>
      <c r="G338" s="9" t="s">
        <v>78</v>
      </c>
      <c r="H338" s="9"/>
      <c r="I338" s="25" t="n">
        <v>1</v>
      </c>
      <c r="J338" s="9" t="s">
        <v>1282</v>
      </c>
      <c r="K338" s="9" t="s">
        <v>1154</v>
      </c>
      <c r="L338" s="12" t="n">
        <v>1</v>
      </c>
      <c r="M338" s="20" t="n">
        <v>231689.25</v>
      </c>
      <c r="N338" s="20" t="n">
        <v>0</v>
      </c>
      <c r="O338" s="20" t="n">
        <v>0</v>
      </c>
      <c r="P338" s="12" t="n">
        <f aca="false">IF($E338="squad",INDEX(Assumptions!$D$16:$D$56,MATCH($C338&amp;"|"&amp;$D338,Assumptions!$H$16:$H$56,0)),0)</f>
        <v>0.2</v>
      </c>
      <c r="Q338" s="20" t="n">
        <f aca="false">$N338*$P338</f>
        <v>0</v>
      </c>
    </row>
    <row r="339" customFormat="false" ht="15" hidden="false" customHeight="false" outlineLevel="0" collapsed="false">
      <c r="A339" s="9" t="s">
        <v>827</v>
      </c>
      <c r="B339" s="9" t="s">
        <v>1298</v>
      </c>
      <c r="C339" s="9" t="s">
        <v>28</v>
      </c>
      <c r="D339" s="9" t="s">
        <v>810</v>
      </c>
      <c r="E339" s="9" t="s">
        <v>1281</v>
      </c>
      <c r="F339" s="9" t="s">
        <v>53</v>
      </c>
      <c r="G339" s="9" t="s">
        <v>53</v>
      </c>
      <c r="H339" s="9"/>
      <c r="I339" s="25" t="n">
        <v>1</v>
      </c>
      <c r="J339" s="9" t="s">
        <v>1282</v>
      </c>
      <c r="K339" s="9" t="s">
        <v>1154</v>
      </c>
      <c r="L339" s="12" t="n">
        <v>1</v>
      </c>
      <c r="M339" s="20" t="n">
        <v>239899.5</v>
      </c>
      <c r="N339" s="20" t="n">
        <v>239899.5</v>
      </c>
      <c r="O339" s="20" t="n">
        <v>0</v>
      </c>
      <c r="P339" s="12" t="n">
        <f aca="false">IF($E339="squad",INDEX(Assumptions!$D$16:$D$56,MATCH($C339&amp;"|"&amp;$D339,Assumptions!$H$16:$H$56,0)),0)</f>
        <v>0.2</v>
      </c>
      <c r="Q339" s="20" t="n">
        <f aca="false">$N339*$P339</f>
        <v>47979.9</v>
      </c>
    </row>
    <row r="340" customFormat="false" ht="15" hidden="false" customHeight="false" outlineLevel="0" collapsed="false">
      <c r="A340" s="9" t="s">
        <v>830</v>
      </c>
      <c r="B340" s="9" t="s">
        <v>1298</v>
      </c>
      <c r="C340" s="9" t="s">
        <v>28</v>
      </c>
      <c r="D340" s="9" t="s">
        <v>810</v>
      </c>
      <c r="E340" s="9" t="s">
        <v>1281</v>
      </c>
      <c r="F340" s="9" t="s">
        <v>53</v>
      </c>
      <c r="G340" s="9" t="s">
        <v>53</v>
      </c>
      <c r="H340" s="9"/>
      <c r="I340" s="25" t="n">
        <v>1</v>
      </c>
      <c r="J340" s="9" t="s">
        <v>1282</v>
      </c>
      <c r="K340" s="9" t="s">
        <v>1154</v>
      </c>
      <c r="L340" s="12" t="n">
        <v>1</v>
      </c>
      <c r="M340" s="20" t="n">
        <v>214093.95</v>
      </c>
      <c r="N340" s="20" t="n">
        <v>214093.95</v>
      </c>
      <c r="O340" s="20" t="n">
        <v>0</v>
      </c>
      <c r="P340" s="12" t="n">
        <f aca="false">IF($E340="squad",INDEX(Assumptions!$D$16:$D$56,MATCH($C340&amp;"|"&amp;$D340,Assumptions!$H$16:$H$56,0)),0)</f>
        <v>0.2</v>
      </c>
      <c r="Q340" s="20" t="n">
        <f aca="false">$N340*$P340</f>
        <v>42818.79</v>
      </c>
    </row>
    <row r="341" customFormat="false" ht="15" hidden="false" customHeight="false" outlineLevel="0" collapsed="false">
      <c r="A341" s="9" t="s">
        <v>832</v>
      </c>
      <c r="B341" s="9" t="s">
        <v>1298</v>
      </c>
      <c r="C341" s="9" t="s">
        <v>28</v>
      </c>
      <c r="D341" s="9" t="s">
        <v>810</v>
      </c>
      <c r="E341" s="9" t="s">
        <v>1281</v>
      </c>
      <c r="F341" s="9" t="s">
        <v>69</v>
      </c>
      <c r="G341" s="9" t="s">
        <v>78</v>
      </c>
      <c r="H341" s="9"/>
      <c r="I341" s="25" t="n">
        <v>1</v>
      </c>
      <c r="J341" s="9" t="s">
        <v>1282</v>
      </c>
      <c r="K341" s="9" t="s">
        <v>1154</v>
      </c>
      <c r="L341" s="12" t="n">
        <v>1</v>
      </c>
      <c r="M341" s="20" t="n">
        <v>231689.25</v>
      </c>
      <c r="N341" s="20" t="n">
        <v>0</v>
      </c>
      <c r="O341" s="20" t="n">
        <v>0</v>
      </c>
      <c r="P341" s="12" t="n">
        <f aca="false">IF($E341="squad",INDEX(Assumptions!$D$16:$D$56,MATCH($C341&amp;"|"&amp;$D341,Assumptions!$H$16:$H$56,0)),0)</f>
        <v>0.2</v>
      </c>
      <c r="Q341" s="20" t="n">
        <f aca="false">$N341*$P341</f>
        <v>0</v>
      </c>
    </row>
    <row r="342" customFormat="false" ht="15" hidden="false" customHeight="false" outlineLevel="0" collapsed="false">
      <c r="A342" s="9" t="s">
        <v>833</v>
      </c>
      <c r="B342" s="9" t="s">
        <v>1298</v>
      </c>
      <c r="C342" s="9" t="s">
        <v>28</v>
      </c>
      <c r="D342" s="9" t="s">
        <v>810</v>
      </c>
      <c r="E342" s="9" t="s">
        <v>1281</v>
      </c>
      <c r="F342" s="9" t="s">
        <v>69</v>
      </c>
      <c r="G342" s="9" t="s">
        <v>82</v>
      </c>
      <c r="H342" s="9" t="s">
        <v>835</v>
      </c>
      <c r="I342" s="25" t="n">
        <v>1</v>
      </c>
      <c r="J342" s="9" t="s">
        <v>1282</v>
      </c>
      <c r="K342" s="9" t="s">
        <v>1154</v>
      </c>
      <c r="L342" s="12" t="n">
        <v>1</v>
      </c>
      <c r="M342" s="20" t="n">
        <v>231689.25</v>
      </c>
      <c r="N342" s="20" t="n">
        <v>231689.25</v>
      </c>
      <c r="O342" s="20" t="n">
        <v>0</v>
      </c>
      <c r="P342" s="12" t="n">
        <f aca="false">IF($E342="squad",INDEX(Assumptions!$D$16:$D$56,MATCH($C342&amp;"|"&amp;$D342,Assumptions!$H$16:$H$56,0)),0)</f>
        <v>0.2</v>
      </c>
      <c r="Q342" s="20" t="n">
        <f aca="false">$N342*$P342</f>
        <v>46337.85</v>
      </c>
    </row>
    <row r="343" customFormat="false" ht="15" hidden="false" customHeight="false" outlineLevel="0" collapsed="false">
      <c r="A343" s="9" t="s">
        <v>836</v>
      </c>
      <c r="B343" s="9" t="s">
        <v>1298</v>
      </c>
      <c r="C343" s="9" t="s">
        <v>28</v>
      </c>
      <c r="D343" s="9" t="s">
        <v>810</v>
      </c>
      <c r="E343" s="9" t="s">
        <v>1281</v>
      </c>
      <c r="F343" s="9" t="s">
        <v>69</v>
      </c>
      <c r="G343" s="9" t="s">
        <v>82</v>
      </c>
      <c r="H343" s="9"/>
      <c r="I343" s="25" t="n">
        <v>1</v>
      </c>
      <c r="J343" s="9" t="s">
        <v>1282</v>
      </c>
      <c r="K343" s="9" t="s">
        <v>1154</v>
      </c>
      <c r="L343" s="12" t="n">
        <v>1</v>
      </c>
      <c r="M343" s="20" t="n">
        <v>231689.25</v>
      </c>
      <c r="N343" s="20" t="n">
        <v>231689.25</v>
      </c>
      <c r="O343" s="20" t="n">
        <v>0</v>
      </c>
      <c r="P343" s="12" t="n">
        <f aca="false">IF($E343="squad",INDEX(Assumptions!$D$16:$D$56,MATCH($C343&amp;"|"&amp;$D343,Assumptions!$H$16:$H$56,0)),0)</f>
        <v>0.2</v>
      </c>
      <c r="Q343" s="20" t="n">
        <f aca="false">$N343*$P343</f>
        <v>46337.85</v>
      </c>
    </row>
    <row r="344" customFormat="false" ht="15" hidden="false" customHeight="false" outlineLevel="0" collapsed="false">
      <c r="A344" s="9" t="s">
        <v>838</v>
      </c>
      <c r="B344" s="9" t="s">
        <v>1298</v>
      </c>
      <c r="C344" s="9" t="s">
        <v>28</v>
      </c>
      <c r="D344" s="9" t="s">
        <v>810</v>
      </c>
      <c r="E344" s="9" t="s">
        <v>1281</v>
      </c>
      <c r="F344" s="9" t="s">
        <v>69</v>
      </c>
      <c r="G344" s="9" t="s">
        <v>82</v>
      </c>
      <c r="H344" s="9"/>
      <c r="I344" s="25" t="n">
        <v>1</v>
      </c>
      <c r="J344" s="9" t="s">
        <v>1284</v>
      </c>
      <c r="K344" s="9" t="s">
        <v>1154</v>
      </c>
      <c r="L344" s="12" t="n">
        <v>1</v>
      </c>
      <c r="M344" s="20" t="n">
        <v>174856.62</v>
      </c>
      <c r="N344" s="20" t="n">
        <v>174856.62</v>
      </c>
      <c r="O344" s="20" t="n">
        <v>0</v>
      </c>
      <c r="P344" s="12" t="n">
        <f aca="false">IF($E344="squad",INDEX(Assumptions!$D$16:$D$56,MATCH($C344&amp;"|"&amp;$D344,Assumptions!$H$16:$H$56,0)),0)</f>
        <v>0.2</v>
      </c>
      <c r="Q344" s="20" t="n">
        <f aca="false">$N344*$P344</f>
        <v>34971.324</v>
      </c>
    </row>
    <row r="345" customFormat="false" ht="15" hidden="false" customHeight="false" outlineLevel="0" collapsed="false">
      <c r="A345" s="9" t="s">
        <v>841</v>
      </c>
      <c r="B345" s="9" t="s">
        <v>1298</v>
      </c>
      <c r="C345" s="9" t="s">
        <v>28</v>
      </c>
      <c r="D345" s="9" t="s">
        <v>840</v>
      </c>
      <c r="E345" s="9" t="s">
        <v>1283</v>
      </c>
      <c r="F345" s="9" t="s">
        <v>53</v>
      </c>
      <c r="G345" s="9" t="s">
        <v>53</v>
      </c>
      <c r="H345" s="9"/>
      <c r="I345" s="25" t="n">
        <v>1</v>
      </c>
      <c r="J345" s="9" t="s">
        <v>1282</v>
      </c>
      <c r="K345" s="9" t="s">
        <v>36</v>
      </c>
      <c r="L345" s="12" t="n">
        <v>1</v>
      </c>
      <c r="M345" s="20" t="n">
        <v>241728.45</v>
      </c>
      <c r="N345" s="20" t="n">
        <v>241728.45</v>
      </c>
      <c r="O345" s="20" t="n">
        <v>0</v>
      </c>
      <c r="P345" s="12" t="n">
        <f aca="false">IF($E345="squad",INDEX(Assumptions!$D$16:$D$56,MATCH($C345&amp;"|"&amp;$D345,Assumptions!$H$16:$H$56,0)),0)</f>
        <v>0</v>
      </c>
      <c r="Q345" s="20" t="n">
        <f aca="false">$N345*$P345</f>
        <v>0</v>
      </c>
    </row>
    <row r="346" customFormat="false" ht="15" hidden="false" customHeight="false" outlineLevel="0" collapsed="false">
      <c r="A346" s="9" t="s">
        <v>843</v>
      </c>
      <c r="B346" s="9" t="s">
        <v>1298</v>
      </c>
      <c r="C346" s="9" t="s">
        <v>28</v>
      </c>
      <c r="D346" s="9" t="s">
        <v>206</v>
      </c>
      <c r="E346" s="9" t="s">
        <v>1286</v>
      </c>
      <c r="F346" s="9" t="s">
        <v>53</v>
      </c>
      <c r="G346" s="9" t="s">
        <v>53</v>
      </c>
      <c r="H346" s="9"/>
      <c r="I346" s="25" t="n">
        <v>1</v>
      </c>
      <c r="J346" s="9" t="s">
        <v>1282</v>
      </c>
      <c r="K346" s="9" t="s">
        <v>28</v>
      </c>
      <c r="L346" s="12" t="n">
        <v>1</v>
      </c>
      <c r="M346" s="20" t="n">
        <v>323560.45</v>
      </c>
      <c r="N346" s="20" t="n">
        <v>323560.45</v>
      </c>
      <c r="O346" s="20" t="n">
        <v>0</v>
      </c>
      <c r="P346" s="12" t="n">
        <f aca="false">IF($E346="squad",INDEX(Assumptions!$D$16:$D$56,MATCH($C346&amp;"|"&amp;$D346,Assumptions!$H$16:$H$56,0)),0)</f>
        <v>0</v>
      </c>
      <c r="Q346" s="20" t="n">
        <f aca="false">$N346*$P346</f>
        <v>0</v>
      </c>
    </row>
    <row r="347" customFormat="false" ht="15" hidden="false" customHeight="false" outlineLevel="0" collapsed="false">
      <c r="A347" s="9" t="s">
        <v>848</v>
      </c>
      <c r="B347" s="9" t="s">
        <v>1299</v>
      </c>
      <c r="C347" s="9" t="s">
        <v>30</v>
      </c>
      <c r="D347" s="9" t="s">
        <v>846</v>
      </c>
      <c r="E347" s="9" t="s">
        <v>1281</v>
      </c>
      <c r="F347" s="9" t="s">
        <v>53</v>
      </c>
      <c r="G347" s="9" t="s">
        <v>53</v>
      </c>
      <c r="H347" s="9"/>
      <c r="I347" s="25" t="n">
        <v>1</v>
      </c>
      <c r="J347" s="9" t="s">
        <v>1284</v>
      </c>
      <c r="K347" s="9" t="s">
        <v>1149</v>
      </c>
      <c r="L347" s="12" t="n">
        <v>1</v>
      </c>
      <c r="M347" s="20" t="n">
        <v>194999.1</v>
      </c>
      <c r="N347" s="20" t="n">
        <v>194999.1</v>
      </c>
      <c r="O347" s="20" t="n">
        <v>0</v>
      </c>
      <c r="P347" s="12" t="n">
        <f aca="false">IF($E347="squad",INDEX(Assumptions!$D$16:$D$56,MATCH($C347&amp;"|"&amp;$D347,Assumptions!$H$16:$H$56,0)),0)</f>
        <v>0.5</v>
      </c>
      <c r="Q347" s="20" t="n">
        <f aca="false">$N347*$P347</f>
        <v>97499.55</v>
      </c>
    </row>
    <row r="348" customFormat="false" ht="15" hidden="false" customHeight="false" outlineLevel="0" collapsed="false">
      <c r="A348" s="9" t="s">
        <v>852</v>
      </c>
      <c r="B348" s="9" t="s">
        <v>1299</v>
      </c>
      <c r="C348" s="9" t="s">
        <v>30</v>
      </c>
      <c r="D348" s="9" t="s">
        <v>846</v>
      </c>
      <c r="E348" s="9" t="s">
        <v>1281</v>
      </c>
      <c r="F348" s="9" t="s">
        <v>53</v>
      </c>
      <c r="G348" s="9" t="s">
        <v>53</v>
      </c>
      <c r="H348" s="9"/>
      <c r="I348" s="25" t="n">
        <v>1</v>
      </c>
      <c r="J348" s="9" t="s">
        <v>1282</v>
      </c>
      <c r="K348" s="9" t="s">
        <v>1149</v>
      </c>
      <c r="L348" s="12" t="n">
        <v>1</v>
      </c>
      <c r="M348" s="20" t="n">
        <v>255332.1</v>
      </c>
      <c r="N348" s="20" t="n">
        <v>255332.1</v>
      </c>
      <c r="O348" s="20" t="n">
        <v>0</v>
      </c>
      <c r="P348" s="12" t="n">
        <f aca="false">IF($E348="squad",INDEX(Assumptions!$D$16:$D$56,MATCH($C348&amp;"|"&amp;$D348,Assumptions!$H$16:$H$56,0)),0)</f>
        <v>0.5</v>
      </c>
      <c r="Q348" s="20" t="n">
        <f aca="false">$N348*$P348</f>
        <v>127666.05</v>
      </c>
    </row>
    <row r="349" customFormat="false" ht="15" hidden="false" customHeight="false" outlineLevel="0" collapsed="false">
      <c r="A349" s="9" t="s">
        <v>855</v>
      </c>
      <c r="B349" s="9" t="s">
        <v>1299</v>
      </c>
      <c r="C349" s="9" t="s">
        <v>30</v>
      </c>
      <c r="D349" s="9" t="s">
        <v>846</v>
      </c>
      <c r="E349" s="9" t="s">
        <v>1281</v>
      </c>
      <c r="F349" s="9" t="s">
        <v>53</v>
      </c>
      <c r="G349" s="9" t="s">
        <v>53</v>
      </c>
      <c r="H349" s="9"/>
      <c r="I349" s="25" t="n">
        <v>1</v>
      </c>
      <c r="J349" s="9" t="s">
        <v>1282</v>
      </c>
      <c r="K349" s="9" t="s">
        <v>1149</v>
      </c>
      <c r="L349" s="12" t="n">
        <v>1</v>
      </c>
      <c r="M349" s="20" t="n">
        <v>254531.1</v>
      </c>
      <c r="N349" s="20" t="n">
        <v>254531.1</v>
      </c>
      <c r="O349" s="20" t="n">
        <v>0</v>
      </c>
      <c r="P349" s="12" t="n">
        <f aca="false">IF($E349="squad",INDEX(Assumptions!$D$16:$D$56,MATCH($C349&amp;"|"&amp;$D349,Assumptions!$H$16:$H$56,0)),0)</f>
        <v>0.5</v>
      </c>
      <c r="Q349" s="20" t="n">
        <f aca="false">$N349*$P349</f>
        <v>127265.55</v>
      </c>
    </row>
    <row r="350" customFormat="false" ht="15" hidden="false" customHeight="false" outlineLevel="0" collapsed="false">
      <c r="A350" s="9" t="s">
        <v>857</v>
      </c>
      <c r="B350" s="9" t="s">
        <v>1299</v>
      </c>
      <c r="C350" s="9" t="s">
        <v>30</v>
      </c>
      <c r="D350" s="9" t="s">
        <v>846</v>
      </c>
      <c r="E350" s="9" t="s">
        <v>1281</v>
      </c>
      <c r="F350" s="9" t="s">
        <v>53</v>
      </c>
      <c r="G350" s="9" t="s">
        <v>53</v>
      </c>
      <c r="H350" s="9"/>
      <c r="I350" s="25" t="n">
        <v>1</v>
      </c>
      <c r="J350" s="9" t="s">
        <v>1282</v>
      </c>
      <c r="K350" s="9" t="s">
        <v>1149</v>
      </c>
      <c r="L350" s="12" t="n">
        <v>1</v>
      </c>
      <c r="M350" s="20" t="n">
        <v>249164.4</v>
      </c>
      <c r="N350" s="20" t="n">
        <v>249164.4</v>
      </c>
      <c r="O350" s="20" t="n">
        <v>0</v>
      </c>
      <c r="P350" s="12" t="n">
        <f aca="false">IF($E350="squad",INDEX(Assumptions!$D$16:$D$56,MATCH($C350&amp;"|"&amp;$D350,Assumptions!$H$16:$H$56,0)),0)</f>
        <v>0.5</v>
      </c>
      <c r="Q350" s="20" t="n">
        <f aca="false">$N350*$P350</f>
        <v>124582.2</v>
      </c>
    </row>
    <row r="351" customFormat="false" ht="15" hidden="false" customHeight="false" outlineLevel="0" collapsed="false">
      <c r="A351" s="9" t="s">
        <v>860</v>
      </c>
      <c r="B351" s="9" t="s">
        <v>1299</v>
      </c>
      <c r="C351" s="9" t="s">
        <v>30</v>
      </c>
      <c r="D351" s="9" t="s">
        <v>846</v>
      </c>
      <c r="E351" s="9" t="s">
        <v>1281</v>
      </c>
      <c r="F351" s="9" t="s">
        <v>53</v>
      </c>
      <c r="G351" s="9" t="s">
        <v>53</v>
      </c>
      <c r="H351" s="9"/>
      <c r="I351" s="25" t="n">
        <v>1</v>
      </c>
      <c r="J351" s="9" t="s">
        <v>1282</v>
      </c>
      <c r="K351" s="9" t="s">
        <v>1149</v>
      </c>
      <c r="L351" s="12" t="n">
        <v>1</v>
      </c>
      <c r="M351" s="20" t="n">
        <v>246494.4</v>
      </c>
      <c r="N351" s="20" t="n">
        <v>246494.4</v>
      </c>
      <c r="O351" s="20" t="n">
        <v>0</v>
      </c>
      <c r="P351" s="12" t="n">
        <f aca="false">IF($E351="squad",INDEX(Assumptions!$D$16:$D$56,MATCH($C351&amp;"|"&amp;$D351,Assumptions!$H$16:$H$56,0)),0)</f>
        <v>0.5</v>
      </c>
      <c r="Q351" s="20" t="n">
        <f aca="false">$N351*$P351</f>
        <v>123247.2</v>
      </c>
    </row>
    <row r="352" customFormat="false" ht="15" hidden="false" customHeight="false" outlineLevel="0" collapsed="false">
      <c r="A352" s="9" t="s">
        <v>863</v>
      </c>
      <c r="B352" s="9" t="s">
        <v>1299</v>
      </c>
      <c r="C352" s="9" t="s">
        <v>30</v>
      </c>
      <c r="D352" s="9" t="s">
        <v>846</v>
      </c>
      <c r="E352" s="9" t="s">
        <v>1281</v>
      </c>
      <c r="F352" s="9" t="s">
        <v>53</v>
      </c>
      <c r="G352" s="9" t="s">
        <v>53</v>
      </c>
      <c r="H352" s="9"/>
      <c r="I352" s="25" t="n">
        <v>1</v>
      </c>
      <c r="J352" s="9" t="s">
        <v>1282</v>
      </c>
      <c r="K352" s="9" t="s">
        <v>1149</v>
      </c>
      <c r="L352" s="12" t="n">
        <v>1</v>
      </c>
      <c r="M352" s="20" t="n">
        <v>259123.5</v>
      </c>
      <c r="N352" s="20" t="n">
        <v>259123.5</v>
      </c>
      <c r="O352" s="20" t="n">
        <v>0</v>
      </c>
      <c r="P352" s="12" t="n">
        <f aca="false">IF($E352="squad",INDEX(Assumptions!$D$16:$D$56,MATCH($C352&amp;"|"&amp;$D352,Assumptions!$H$16:$H$56,0)),0)</f>
        <v>0.5</v>
      </c>
      <c r="Q352" s="20" t="n">
        <f aca="false">$N352*$P352</f>
        <v>129561.75</v>
      </c>
    </row>
    <row r="353" customFormat="false" ht="15" hidden="false" customHeight="false" outlineLevel="0" collapsed="false">
      <c r="A353" s="9" t="s">
        <v>866</v>
      </c>
      <c r="B353" s="9" t="s">
        <v>1299</v>
      </c>
      <c r="C353" s="9" t="s">
        <v>30</v>
      </c>
      <c r="D353" s="9" t="s">
        <v>846</v>
      </c>
      <c r="E353" s="9" t="s">
        <v>1281</v>
      </c>
      <c r="F353" s="9" t="s">
        <v>53</v>
      </c>
      <c r="G353" s="9" t="s">
        <v>53</v>
      </c>
      <c r="H353" s="9"/>
      <c r="I353" s="25" t="n">
        <v>1</v>
      </c>
      <c r="J353" s="9" t="s">
        <v>1282</v>
      </c>
      <c r="K353" s="9" t="s">
        <v>1149</v>
      </c>
      <c r="L353" s="12" t="n">
        <v>1</v>
      </c>
      <c r="M353" s="20" t="n">
        <v>243423.9</v>
      </c>
      <c r="N353" s="20" t="n">
        <v>243423.9</v>
      </c>
      <c r="O353" s="20" t="n">
        <v>0</v>
      </c>
      <c r="P353" s="12" t="n">
        <f aca="false">IF($E353="squad",INDEX(Assumptions!$D$16:$D$56,MATCH($C353&amp;"|"&amp;$D353,Assumptions!$H$16:$H$56,0)),0)</f>
        <v>0.5</v>
      </c>
      <c r="Q353" s="20" t="n">
        <f aca="false">$N353*$P353</f>
        <v>121711.95</v>
      </c>
    </row>
    <row r="354" customFormat="false" ht="15" hidden="false" customHeight="false" outlineLevel="0" collapsed="false">
      <c r="A354" s="9" t="s">
        <v>868</v>
      </c>
      <c r="B354" s="9" t="s">
        <v>1299</v>
      </c>
      <c r="C354" s="9" t="s">
        <v>30</v>
      </c>
      <c r="D354" s="9" t="s">
        <v>846</v>
      </c>
      <c r="E354" s="9" t="s">
        <v>1281</v>
      </c>
      <c r="F354" s="9" t="s">
        <v>53</v>
      </c>
      <c r="G354" s="9" t="s">
        <v>71</v>
      </c>
      <c r="H354" s="9"/>
      <c r="I354" s="25" t="n">
        <v>1</v>
      </c>
      <c r="J354" s="9" t="s">
        <v>1282</v>
      </c>
      <c r="K354" s="9" t="s">
        <v>1149</v>
      </c>
      <c r="L354" s="12" t="n">
        <v>1</v>
      </c>
      <c r="M354" s="20" t="n">
        <v>206190.75</v>
      </c>
      <c r="N354" s="20" t="n">
        <v>82476.3</v>
      </c>
      <c r="O354" s="20" t="n">
        <v>0</v>
      </c>
      <c r="P354" s="12" t="n">
        <f aca="false">IF($E354="squad",INDEX(Assumptions!$D$16:$D$56,MATCH($C354&amp;"|"&amp;$D354,Assumptions!$H$16:$H$56,0)),0)</f>
        <v>0.5</v>
      </c>
      <c r="Q354" s="20" t="n">
        <f aca="false">$N354*$P354</f>
        <v>41238.15</v>
      </c>
    </row>
    <row r="355" customFormat="false" ht="15" hidden="false" customHeight="false" outlineLevel="0" collapsed="false">
      <c r="A355" s="9" t="s">
        <v>871</v>
      </c>
      <c r="B355" s="9" t="s">
        <v>1299</v>
      </c>
      <c r="C355" s="9" t="s">
        <v>30</v>
      </c>
      <c r="D355" s="9" t="s">
        <v>846</v>
      </c>
      <c r="E355" s="9" t="s">
        <v>1281</v>
      </c>
      <c r="F355" s="9" t="s">
        <v>53</v>
      </c>
      <c r="G355" s="9" t="s">
        <v>71</v>
      </c>
      <c r="H355" s="9"/>
      <c r="I355" s="25" t="n">
        <v>1</v>
      </c>
      <c r="J355" s="9" t="s">
        <v>1282</v>
      </c>
      <c r="K355" s="9" t="s">
        <v>1149</v>
      </c>
      <c r="L355" s="12" t="n">
        <v>1</v>
      </c>
      <c r="M355" s="20" t="n">
        <v>217658.4</v>
      </c>
      <c r="N355" s="20" t="n">
        <v>87063.36</v>
      </c>
      <c r="O355" s="20" t="n">
        <v>0</v>
      </c>
      <c r="P355" s="12" t="n">
        <f aca="false">IF($E355="squad",INDEX(Assumptions!$D$16:$D$56,MATCH($C355&amp;"|"&amp;$D355,Assumptions!$H$16:$H$56,0)),0)</f>
        <v>0.5</v>
      </c>
      <c r="Q355" s="20" t="n">
        <f aca="false">$N355*$P355</f>
        <v>43531.68</v>
      </c>
    </row>
    <row r="356" customFormat="false" ht="15" hidden="false" customHeight="false" outlineLevel="0" collapsed="false">
      <c r="A356" s="9" t="s">
        <v>874</v>
      </c>
      <c r="B356" s="9" t="s">
        <v>1299</v>
      </c>
      <c r="C356" s="9" t="s">
        <v>30</v>
      </c>
      <c r="D356" s="9" t="s">
        <v>846</v>
      </c>
      <c r="E356" s="9" t="s">
        <v>1281</v>
      </c>
      <c r="F356" s="9" t="s">
        <v>69</v>
      </c>
      <c r="G356" s="9" t="s">
        <v>82</v>
      </c>
      <c r="H356" s="9"/>
      <c r="I356" s="25" t="n">
        <v>1</v>
      </c>
      <c r="J356" s="9" t="s">
        <v>1282</v>
      </c>
      <c r="K356" s="9" t="s">
        <v>1149</v>
      </c>
      <c r="L356" s="12" t="n">
        <v>1</v>
      </c>
      <c r="M356" s="20" t="n">
        <v>202853.25</v>
      </c>
      <c r="N356" s="20" t="n">
        <v>202853.25</v>
      </c>
      <c r="O356" s="20" t="n">
        <v>0</v>
      </c>
      <c r="P356" s="12" t="n">
        <f aca="false">IF($E356="squad",INDEX(Assumptions!$D$16:$D$56,MATCH($C356&amp;"|"&amp;$D356,Assumptions!$H$16:$H$56,0)),0)</f>
        <v>0.5</v>
      </c>
      <c r="Q356" s="20" t="n">
        <f aca="false">$N356*$P356</f>
        <v>101426.625</v>
      </c>
    </row>
    <row r="357" customFormat="false" ht="15" hidden="false" customHeight="false" outlineLevel="0" collapsed="false">
      <c r="A357" s="9" t="s">
        <v>876</v>
      </c>
      <c r="B357" s="9" t="s">
        <v>1299</v>
      </c>
      <c r="C357" s="9" t="s">
        <v>30</v>
      </c>
      <c r="D357" s="9" t="s">
        <v>846</v>
      </c>
      <c r="E357" s="9" t="s">
        <v>1281</v>
      </c>
      <c r="F357" s="9" t="s">
        <v>69</v>
      </c>
      <c r="G357" s="9" t="s">
        <v>78</v>
      </c>
      <c r="H357" s="9"/>
      <c r="I357" s="25" t="n">
        <v>1</v>
      </c>
      <c r="J357" s="9" t="s">
        <v>1282</v>
      </c>
      <c r="K357" s="9" t="s">
        <v>1149</v>
      </c>
      <c r="L357" s="12" t="n">
        <v>1</v>
      </c>
      <c r="M357" s="20" t="n">
        <v>202853.25</v>
      </c>
      <c r="N357" s="20" t="n">
        <v>0</v>
      </c>
      <c r="O357" s="20" t="n">
        <v>0</v>
      </c>
      <c r="P357" s="12" t="n">
        <f aca="false">IF($E357="squad",INDEX(Assumptions!$D$16:$D$56,MATCH($C357&amp;"|"&amp;$D357,Assumptions!$H$16:$H$56,0)),0)</f>
        <v>0.5</v>
      </c>
      <c r="Q357" s="20" t="n">
        <f aca="false">$N357*$P357</f>
        <v>0</v>
      </c>
    </row>
    <row r="358" customFormat="false" ht="15" hidden="false" customHeight="false" outlineLevel="0" collapsed="false">
      <c r="A358" s="9" t="s">
        <v>878</v>
      </c>
      <c r="B358" s="9" t="s">
        <v>1299</v>
      </c>
      <c r="C358" s="9" t="s">
        <v>30</v>
      </c>
      <c r="D358" s="9" t="s">
        <v>846</v>
      </c>
      <c r="E358" s="9" t="s">
        <v>1281</v>
      </c>
      <c r="F358" s="9" t="s">
        <v>53</v>
      </c>
      <c r="G358" s="9" t="s">
        <v>53</v>
      </c>
      <c r="H358" s="9"/>
      <c r="I358" s="25" t="n">
        <v>1</v>
      </c>
      <c r="J358" s="9" t="s">
        <v>1282</v>
      </c>
      <c r="K358" s="9" t="s">
        <v>1149</v>
      </c>
      <c r="L358" s="12" t="n">
        <v>1</v>
      </c>
      <c r="M358" s="20" t="n">
        <v>203293.8</v>
      </c>
      <c r="N358" s="20" t="n">
        <v>203293.8</v>
      </c>
      <c r="O358" s="20" t="n">
        <v>0</v>
      </c>
      <c r="P358" s="12" t="n">
        <f aca="false">IF($E358="squad",INDEX(Assumptions!$D$16:$D$56,MATCH($C358&amp;"|"&amp;$D358,Assumptions!$H$16:$H$56,0)),0)</f>
        <v>0.5</v>
      </c>
      <c r="Q358" s="20" t="n">
        <f aca="false">$N358*$P358</f>
        <v>101646.9</v>
      </c>
    </row>
    <row r="359" customFormat="false" ht="15" hidden="false" customHeight="false" outlineLevel="0" collapsed="false">
      <c r="A359" s="9" t="s">
        <v>880</v>
      </c>
      <c r="B359" s="9" t="s">
        <v>1299</v>
      </c>
      <c r="C359" s="9" t="s">
        <v>30</v>
      </c>
      <c r="D359" s="9" t="s">
        <v>846</v>
      </c>
      <c r="E359" s="9" t="s">
        <v>1281</v>
      </c>
      <c r="F359" s="9" t="s">
        <v>53</v>
      </c>
      <c r="G359" s="9" t="s">
        <v>53</v>
      </c>
      <c r="H359" s="9"/>
      <c r="I359" s="25" t="n">
        <v>1</v>
      </c>
      <c r="J359" s="9" t="s">
        <v>1284</v>
      </c>
      <c r="K359" s="9" t="s">
        <v>1149</v>
      </c>
      <c r="L359" s="12" t="n">
        <v>1</v>
      </c>
      <c r="M359" s="20" t="n">
        <v>133812.3564</v>
      </c>
      <c r="N359" s="20" t="n">
        <v>133812.3564</v>
      </c>
      <c r="O359" s="20" t="n">
        <v>0</v>
      </c>
      <c r="P359" s="12" t="n">
        <f aca="false">IF($E359="squad",INDEX(Assumptions!$D$16:$D$56,MATCH($C359&amp;"|"&amp;$D359,Assumptions!$H$16:$H$56,0)),0)</f>
        <v>0.5</v>
      </c>
      <c r="Q359" s="20" t="n">
        <f aca="false">$N359*$P359</f>
        <v>66906.1782</v>
      </c>
    </row>
    <row r="360" customFormat="false" ht="15" hidden="false" customHeight="false" outlineLevel="0" collapsed="false">
      <c r="A360" s="9" t="s">
        <v>883</v>
      </c>
      <c r="B360" s="9" t="s">
        <v>1299</v>
      </c>
      <c r="C360" s="9" t="s">
        <v>30</v>
      </c>
      <c r="D360" s="9" t="s">
        <v>847</v>
      </c>
      <c r="E360" s="9" t="s">
        <v>1281</v>
      </c>
      <c r="F360" s="9" t="s">
        <v>53</v>
      </c>
      <c r="G360" s="9" t="s">
        <v>71</v>
      </c>
      <c r="H360" s="9"/>
      <c r="I360" s="25" t="n">
        <v>1</v>
      </c>
      <c r="J360" s="9" t="s">
        <v>1284</v>
      </c>
      <c r="K360" s="9" t="s">
        <v>1149</v>
      </c>
      <c r="L360" s="12" t="n">
        <v>1</v>
      </c>
      <c r="M360" s="20" t="n">
        <v>183060.72</v>
      </c>
      <c r="N360" s="20" t="n">
        <v>73224.288</v>
      </c>
      <c r="O360" s="20" t="n">
        <v>0</v>
      </c>
      <c r="P360" s="12" t="n">
        <f aca="false">IF($E360="squad",INDEX(Assumptions!$D$16:$D$56,MATCH($C360&amp;"|"&amp;$D360,Assumptions!$H$16:$H$56,0)),0)</f>
        <v>1</v>
      </c>
      <c r="Q360" s="20" t="n">
        <f aca="false">$N360*$P360</f>
        <v>73224.288</v>
      </c>
    </row>
    <row r="361" customFormat="false" ht="15" hidden="false" customHeight="false" outlineLevel="0" collapsed="false">
      <c r="A361" s="9" t="s">
        <v>886</v>
      </c>
      <c r="B361" s="9" t="s">
        <v>1299</v>
      </c>
      <c r="C361" s="9" t="s">
        <v>30</v>
      </c>
      <c r="D361" s="9" t="s">
        <v>847</v>
      </c>
      <c r="E361" s="9" t="s">
        <v>1281</v>
      </c>
      <c r="F361" s="9" t="s">
        <v>53</v>
      </c>
      <c r="G361" s="9" t="s">
        <v>71</v>
      </c>
      <c r="H361" s="9"/>
      <c r="I361" s="25" t="n">
        <v>1</v>
      </c>
      <c r="J361" s="9" t="s">
        <v>1284</v>
      </c>
      <c r="K361" s="9" t="s">
        <v>1149</v>
      </c>
      <c r="L361" s="12" t="n">
        <v>1</v>
      </c>
      <c r="M361" s="20" t="n">
        <v>200940</v>
      </c>
      <c r="N361" s="20" t="n">
        <v>80376</v>
      </c>
      <c r="O361" s="20" t="n">
        <v>0</v>
      </c>
      <c r="P361" s="12" t="n">
        <f aca="false">IF($E361="squad",INDEX(Assumptions!$D$16:$D$56,MATCH($C361&amp;"|"&amp;$D361,Assumptions!$H$16:$H$56,0)),0)</f>
        <v>1</v>
      </c>
      <c r="Q361" s="20" t="n">
        <f aca="false">$N361*$P361</f>
        <v>80376</v>
      </c>
    </row>
    <row r="362" customFormat="false" ht="15" hidden="false" customHeight="false" outlineLevel="0" collapsed="false">
      <c r="A362" s="9" t="s">
        <v>889</v>
      </c>
      <c r="B362" s="9" t="s">
        <v>1299</v>
      </c>
      <c r="C362" s="9" t="s">
        <v>30</v>
      </c>
      <c r="D362" s="9" t="s">
        <v>847</v>
      </c>
      <c r="E362" s="9" t="s">
        <v>1281</v>
      </c>
      <c r="F362" s="9" t="s">
        <v>69</v>
      </c>
      <c r="G362" s="9" t="s">
        <v>71</v>
      </c>
      <c r="H362" s="9"/>
      <c r="I362" s="25" t="n">
        <v>1</v>
      </c>
      <c r="J362" s="9" t="s">
        <v>1282</v>
      </c>
      <c r="K362" s="9" t="s">
        <v>1149</v>
      </c>
      <c r="L362" s="12" t="n">
        <v>1</v>
      </c>
      <c r="M362" s="20" t="n">
        <v>231689.25</v>
      </c>
      <c r="N362" s="20" t="n">
        <v>92675.7</v>
      </c>
      <c r="O362" s="20" t="n">
        <v>0</v>
      </c>
      <c r="P362" s="12" t="n">
        <f aca="false">IF($E362="squad",INDEX(Assumptions!$D$16:$D$56,MATCH($C362&amp;"|"&amp;$D362,Assumptions!$H$16:$H$56,0)),0)</f>
        <v>1</v>
      </c>
      <c r="Q362" s="20" t="n">
        <f aca="false">$N362*$P362</f>
        <v>92675.7</v>
      </c>
    </row>
    <row r="363" customFormat="false" ht="15" hidden="false" customHeight="false" outlineLevel="0" collapsed="false">
      <c r="A363" s="9" t="s">
        <v>891</v>
      </c>
      <c r="B363" s="9" t="s">
        <v>1299</v>
      </c>
      <c r="C363" s="9" t="s">
        <v>30</v>
      </c>
      <c r="D363" s="9" t="s">
        <v>847</v>
      </c>
      <c r="E363" s="9" t="s">
        <v>1281</v>
      </c>
      <c r="F363" s="9" t="s">
        <v>69</v>
      </c>
      <c r="G363" s="9" t="s">
        <v>71</v>
      </c>
      <c r="H363" s="9"/>
      <c r="I363" s="25" t="n">
        <v>1</v>
      </c>
      <c r="J363" s="9" t="s">
        <v>1282</v>
      </c>
      <c r="K363" s="9" t="s">
        <v>1149</v>
      </c>
      <c r="L363" s="12" t="n">
        <v>1</v>
      </c>
      <c r="M363" s="20" t="n">
        <v>202853.25</v>
      </c>
      <c r="N363" s="20" t="n">
        <v>81141.3</v>
      </c>
      <c r="O363" s="20" t="n">
        <v>0</v>
      </c>
      <c r="P363" s="12" t="n">
        <f aca="false">IF($E363="squad",INDEX(Assumptions!$D$16:$D$56,MATCH($C363&amp;"|"&amp;$D363,Assumptions!$H$16:$H$56,0)),0)</f>
        <v>1</v>
      </c>
      <c r="Q363" s="20" t="n">
        <f aca="false">$N363*$P363</f>
        <v>81141.3</v>
      </c>
    </row>
    <row r="364" customFormat="false" ht="15" hidden="false" customHeight="false" outlineLevel="0" collapsed="false">
      <c r="A364" s="9" t="s">
        <v>893</v>
      </c>
      <c r="B364" s="9" t="s">
        <v>1299</v>
      </c>
      <c r="C364" s="9" t="s">
        <v>30</v>
      </c>
      <c r="D364" s="9" t="s">
        <v>847</v>
      </c>
      <c r="E364" s="9" t="s">
        <v>1281</v>
      </c>
      <c r="F364" s="9" t="s">
        <v>53</v>
      </c>
      <c r="G364" s="9" t="s">
        <v>71</v>
      </c>
      <c r="H364" s="9"/>
      <c r="I364" s="25" t="n">
        <v>1</v>
      </c>
      <c r="J364" s="9" t="s">
        <v>1282</v>
      </c>
      <c r="K364" s="9" t="s">
        <v>1149</v>
      </c>
      <c r="L364" s="12" t="n">
        <v>1</v>
      </c>
      <c r="M364" s="20" t="n">
        <v>194522.85</v>
      </c>
      <c r="N364" s="20" t="n">
        <v>77809.14</v>
      </c>
      <c r="O364" s="20" t="n">
        <v>0</v>
      </c>
      <c r="P364" s="12" t="n">
        <f aca="false">IF($E364="squad",INDEX(Assumptions!$D$16:$D$56,MATCH($C364&amp;"|"&amp;$D364,Assumptions!$H$16:$H$56,0)),0)</f>
        <v>1</v>
      </c>
      <c r="Q364" s="20" t="n">
        <f aca="false">$N364*$P364</f>
        <v>77809.14</v>
      </c>
    </row>
    <row r="365" customFormat="false" ht="15" hidden="false" customHeight="false" outlineLevel="0" collapsed="false">
      <c r="A365" s="9" t="s">
        <v>896</v>
      </c>
      <c r="B365" s="9" t="s">
        <v>1299</v>
      </c>
      <c r="C365" s="9" t="s">
        <v>30</v>
      </c>
      <c r="D365" s="9" t="s">
        <v>847</v>
      </c>
      <c r="E365" s="9" t="s">
        <v>1281</v>
      </c>
      <c r="F365" s="9" t="s">
        <v>69</v>
      </c>
      <c r="G365" s="9" t="s">
        <v>71</v>
      </c>
      <c r="H365" s="9"/>
      <c r="I365" s="25" t="n">
        <v>1</v>
      </c>
      <c r="J365" s="9" t="s">
        <v>1282</v>
      </c>
      <c r="K365" s="9" t="s">
        <v>1149</v>
      </c>
      <c r="L365" s="12" t="n">
        <v>1</v>
      </c>
      <c r="M365" s="20" t="n">
        <v>202853.25</v>
      </c>
      <c r="N365" s="20" t="n">
        <v>81141.3</v>
      </c>
      <c r="O365" s="20" t="n">
        <v>0</v>
      </c>
      <c r="P365" s="12" t="n">
        <f aca="false">IF($E365="squad",INDEX(Assumptions!$D$16:$D$56,MATCH($C365&amp;"|"&amp;$D365,Assumptions!$H$16:$H$56,0)),0)</f>
        <v>1</v>
      </c>
      <c r="Q365" s="20" t="n">
        <f aca="false">$N365*$P365</f>
        <v>81141.3</v>
      </c>
    </row>
    <row r="366" customFormat="false" ht="15" hidden="false" customHeight="false" outlineLevel="0" collapsed="false">
      <c r="A366" s="9" t="s">
        <v>897</v>
      </c>
      <c r="B366" s="9" t="s">
        <v>1299</v>
      </c>
      <c r="C366" s="9" t="s">
        <v>30</v>
      </c>
      <c r="D366" s="9" t="s">
        <v>847</v>
      </c>
      <c r="E366" s="9" t="s">
        <v>1281</v>
      </c>
      <c r="F366" s="9" t="s">
        <v>53</v>
      </c>
      <c r="G366" s="9" t="s">
        <v>71</v>
      </c>
      <c r="H366" s="9"/>
      <c r="I366" s="25" t="n">
        <v>1</v>
      </c>
      <c r="J366" s="9" t="s">
        <v>1284</v>
      </c>
      <c r="K366" s="9" t="s">
        <v>1149</v>
      </c>
      <c r="L366" s="12" t="n">
        <v>1</v>
      </c>
      <c r="M366" s="20" t="n">
        <v>133983.228</v>
      </c>
      <c r="N366" s="20" t="n">
        <v>53593.2912</v>
      </c>
      <c r="O366" s="20" t="n">
        <v>0</v>
      </c>
      <c r="P366" s="12" t="n">
        <f aca="false">IF($E366="squad",INDEX(Assumptions!$D$16:$D$56,MATCH($C366&amp;"|"&amp;$D366,Assumptions!$H$16:$H$56,0)),0)</f>
        <v>1</v>
      </c>
      <c r="Q366" s="20" t="n">
        <f aca="false">$N366*$P366</f>
        <v>53593.2912</v>
      </c>
    </row>
    <row r="367" customFormat="false" ht="15" hidden="false" customHeight="false" outlineLevel="0" collapsed="false">
      <c r="A367" s="9" t="s">
        <v>899</v>
      </c>
      <c r="B367" s="9" t="s">
        <v>1299</v>
      </c>
      <c r="C367" s="9" t="s">
        <v>30</v>
      </c>
      <c r="D367" s="9" t="s">
        <v>854</v>
      </c>
      <c r="E367" s="9" t="s">
        <v>1281</v>
      </c>
      <c r="F367" s="9" t="s">
        <v>53</v>
      </c>
      <c r="G367" s="9" t="s">
        <v>53</v>
      </c>
      <c r="H367" s="9"/>
      <c r="I367" s="25" t="n">
        <v>1</v>
      </c>
      <c r="J367" s="9" t="s">
        <v>1282</v>
      </c>
      <c r="K367" s="9" t="s">
        <v>1149</v>
      </c>
      <c r="L367" s="12" t="n">
        <v>1</v>
      </c>
      <c r="M367" s="20" t="n">
        <v>271902.12</v>
      </c>
      <c r="N367" s="20" t="n">
        <v>271902.12</v>
      </c>
      <c r="O367" s="20" t="n">
        <v>0</v>
      </c>
      <c r="P367" s="12" t="n">
        <f aca="false">IF($E367="squad",INDEX(Assumptions!$D$16:$D$56,MATCH($C367&amp;"|"&amp;$D367,Assumptions!$H$16:$H$56,0)),0)</f>
        <v>0.5</v>
      </c>
      <c r="Q367" s="20" t="n">
        <f aca="false">$N367*$P367</f>
        <v>135951.06</v>
      </c>
    </row>
    <row r="368" customFormat="false" ht="15" hidden="false" customHeight="false" outlineLevel="0" collapsed="false">
      <c r="A368" s="9" t="s">
        <v>902</v>
      </c>
      <c r="B368" s="9" t="s">
        <v>1299</v>
      </c>
      <c r="C368" s="9" t="s">
        <v>30</v>
      </c>
      <c r="D368" s="9" t="s">
        <v>854</v>
      </c>
      <c r="E368" s="9" t="s">
        <v>1281</v>
      </c>
      <c r="F368" s="9" t="s">
        <v>53</v>
      </c>
      <c r="G368" s="9" t="s">
        <v>53</v>
      </c>
      <c r="H368" s="9"/>
      <c r="I368" s="25" t="n">
        <v>1</v>
      </c>
      <c r="J368" s="9" t="s">
        <v>1284</v>
      </c>
      <c r="K368" s="9" t="s">
        <v>1149</v>
      </c>
      <c r="L368" s="12" t="n">
        <v>1</v>
      </c>
      <c r="M368" s="20" t="n">
        <v>178115.628</v>
      </c>
      <c r="N368" s="20" t="n">
        <v>178115.628</v>
      </c>
      <c r="O368" s="20" t="n">
        <v>0</v>
      </c>
      <c r="P368" s="12" t="n">
        <f aca="false">IF($E368="squad",INDEX(Assumptions!$D$16:$D$56,MATCH($C368&amp;"|"&amp;$D368,Assumptions!$H$16:$H$56,0)),0)</f>
        <v>0.5</v>
      </c>
      <c r="Q368" s="20" t="n">
        <f aca="false">$N368*$P368</f>
        <v>89057.814</v>
      </c>
    </row>
    <row r="369" customFormat="false" ht="15" hidden="false" customHeight="false" outlineLevel="0" collapsed="false">
      <c r="A369" s="9" t="s">
        <v>904</v>
      </c>
      <c r="B369" s="9" t="s">
        <v>1299</v>
      </c>
      <c r="C369" s="9" t="s">
        <v>30</v>
      </c>
      <c r="D369" s="9" t="s">
        <v>854</v>
      </c>
      <c r="E369" s="9" t="s">
        <v>1281</v>
      </c>
      <c r="F369" s="9" t="s">
        <v>53</v>
      </c>
      <c r="G369" s="9" t="s">
        <v>53</v>
      </c>
      <c r="H369" s="9"/>
      <c r="I369" s="25" t="n">
        <v>1</v>
      </c>
      <c r="J369" s="9" t="s">
        <v>1284</v>
      </c>
      <c r="K369" s="9" t="s">
        <v>1149</v>
      </c>
      <c r="L369" s="12" t="n">
        <v>1</v>
      </c>
      <c r="M369" s="20" t="n">
        <v>216227.916</v>
      </c>
      <c r="N369" s="20" t="n">
        <v>216227.916</v>
      </c>
      <c r="O369" s="20" t="n">
        <v>0</v>
      </c>
      <c r="P369" s="12" t="n">
        <f aca="false">IF($E369="squad",INDEX(Assumptions!$D$16:$D$56,MATCH($C369&amp;"|"&amp;$D369,Assumptions!$H$16:$H$56,0)),0)</f>
        <v>0.5</v>
      </c>
      <c r="Q369" s="20" t="n">
        <f aca="false">$N369*$P369</f>
        <v>108113.958</v>
      </c>
    </row>
    <row r="370" customFormat="false" ht="15" hidden="false" customHeight="false" outlineLevel="0" collapsed="false">
      <c r="A370" s="9" t="s">
        <v>906</v>
      </c>
      <c r="B370" s="9" t="s">
        <v>1299</v>
      </c>
      <c r="C370" s="9" t="s">
        <v>30</v>
      </c>
      <c r="D370" s="9" t="s">
        <v>854</v>
      </c>
      <c r="E370" s="9" t="s">
        <v>1281</v>
      </c>
      <c r="F370" s="9" t="s">
        <v>69</v>
      </c>
      <c r="G370" s="9" t="s">
        <v>82</v>
      </c>
      <c r="H370" s="9"/>
      <c r="I370" s="25" t="n">
        <v>1</v>
      </c>
      <c r="J370" s="9" t="s">
        <v>1282</v>
      </c>
      <c r="K370" s="9" t="s">
        <v>1149</v>
      </c>
      <c r="L370" s="12" t="n">
        <v>1</v>
      </c>
      <c r="M370" s="20" t="n">
        <v>231689.25</v>
      </c>
      <c r="N370" s="20" t="n">
        <v>231689.25</v>
      </c>
      <c r="O370" s="20" t="n">
        <v>0</v>
      </c>
      <c r="P370" s="12" t="n">
        <f aca="false">IF($E370="squad",INDEX(Assumptions!$D$16:$D$56,MATCH($C370&amp;"|"&amp;$D370,Assumptions!$H$16:$H$56,0)),0)</f>
        <v>0.5</v>
      </c>
      <c r="Q370" s="20" t="n">
        <f aca="false">$N370*$P370</f>
        <v>115844.625</v>
      </c>
    </row>
    <row r="371" customFormat="false" ht="15" hidden="false" customHeight="false" outlineLevel="0" collapsed="false">
      <c r="A371" s="9" t="s">
        <v>908</v>
      </c>
      <c r="B371" s="9" t="s">
        <v>1299</v>
      </c>
      <c r="C371" s="9" t="s">
        <v>30</v>
      </c>
      <c r="D371" s="9" t="s">
        <v>854</v>
      </c>
      <c r="E371" s="9" t="s">
        <v>1281</v>
      </c>
      <c r="F371" s="9" t="s">
        <v>53</v>
      </c>
      <c r="G371" s="9" t="s">
        <v>53</v>
      </c>
      <c r="H371" s="9"/>
      <c r="I371" s="25" t="n">
        <v>1</v>
      </c>
      <c r="J371" s="9" t="s">
        <v>1284</v>
      </c>
      <c r="K371" s="9" t="s">
        <v>1149</v>
      </c>
      <c r="L371" s="12" t="n">
        <v>1</v>
      </c>
      <c r="M371" s="20" t="n">
        <v>202320.552</v>
      </c>
      <c r="N371" s="20" t="n">
        <v>202320.552</v>
      </c>
      <c r="O371" s="20" t="n">
        <v>0</v>
      </c>
      <c r="P371" s="12" t="n">
        <f aca="false">IF($E371="squad",INDEX(Assumptions!$D$16:$D$56,MATCH($C371&amp;"|"&amp;$D371,Assumptions!$H$16:$H$56,0)),0)</f>
        <v>0.5</v>
      </c>
      <c r="Q371" s="20" t="n">
        <f aca="false">$N371*$P371</f>
        <v>101160.276</v>
      </c>
    </row>
    <row r="372" customFormat="false" ht="15" hidden="false" customHeight="false" outlineLevel="0" collapsed="false">
      <c r="A372" s="9" t="s">
        <v>911</v>
      </c>
      <c r="B372" s="9" t="s">
        <v>1299</v>
      </c>
      <c r="C372" s="9" t="s">
        <v>30</v>
      </c>
      <c r="D372" s="9" t="s">
        <v>854</v>
      </c>
      <c r="E372" s="9" t="s">
        <v>1281</v>
      </c>
      <c r="F372" s="9" t="s">
        <v>53</v>
      </c>
      <c r="G372" s="9" t="s">
        <v>53</v>
      </c>
      <c r="H372" s="9"/>
      <c r="I372" s="25" t="n">
        <v>1</v>
      </c>
      <c r="J372" s="9" t="s">
        <v>1282</v>
      </c>
      <c r="K372" s="9" t="s">
        <v>1149</v>
      </c>
      <c r="L372" s="12" t="n">
        <v>1</v>
      </c>
      <c r="M372" s="20" t="n">
        <v>186900</v>
      </c>
      <c r="N372" s="20" t="n">
        <v>186900</v>
      </c>
      <c r="O372" s="20" t="n">
        <v>0</v>
      </c>
      <c r="P372" s="12" t="n">
        <f aca="false">IF($E372="squad",INDEX(Assumptions!$D$16:$D$56,MATCH($C372&amp;"|"&amp;$D372,Assumptions!$H$16:$H$56,0)),0)</f>
        <v>0.5</v>
      </c>
      <c r="Q372" s="20" t="n">
        <f aca="false">$N372*$P372</f>
        <v>93450</v>
      </c>
    </row>
    <row r="373" customFormat="false" ht="15" hidden="false" customHeight="false" outlineLevel="0" collapsed="false">
      <c r="A373" s="9" t="s">
        <v>914</v>
      </c>
      <c r="B373" s="9" t="s">
        <v>1299</v>
      </c>
      <c r="C373" s="9" t="s">
        <v>30</v>
      </c>
      <c r="D373" s="9" t="s">
        <v>854</v>
      </c>
      <c r="E373" s="9" t="s">
        <v>1281</v>
      </c>
      <c r="F373" s="9" t="s">
        <v>69</v>
      </c>
      <c r="G373" s="9" t="s">
        <v>78</v>
      </c>
      <c r="H373" s="9"/>
      <c r="I373" s="25" t="n">
        <v>1</v>
      </c>
      <c r="J373" s="9" t="s">
        <v>1282</v>
      </c>
      <c r="K373" s="9" t="s">
        <v>1149</v>
      </c>
      <c r="L373" s="12" t="n">
        <v>1</v>
      </c>
      <c r="M373" s="20" t="n">
        <v>201585</v>
      </c>
      <c r="N373" s="20" t="n">
        <v>0</v>
      </c>
      <c r="O373" s="20" t="n">
        <v>0</v>
      </c>
      <c r="P373" s="12" t="n">
        <f aca="false">IF($E373="squad",INDEX(Assumptions!$D$16:$D$56,MATCH($C373&amp;"|"&amp;$D373,Assumptions!$H$16:$H$56,0)),0)</f>
        <v>0.5</v>
      </c>
      <c r="Q373" s="20" t="n">
        <f aca="false">$N373*$P373</f>
        <v>0</v>
      </c>
    </row>
    <row r="374" customFormat="false" ht="15" hidden="false" customHeight="false" outlineLevel="0" collapsed="false">
      <c r="A374" s="9" t="s">
        <v>916</v>
      </c>
      <c r="B374" s="9" t="s">
        <v>1299</v>
      </c>
      <c r="C374" s="9" t="s">
        <v>30</v>
      </c>
      <c r="D374" s="9" t="s">
        <v>854</v>
      </c>
      <c r="E374" s="9" t="s">
        <v>1281</v>
      </c>
      <c r="F374" s="9" t="s">
        <v>53</v>
      </c>
      <c r="G374" s="9" t="s">
        <v>71</v>
      </c>
      <c r="H374" s="9"/>
      <c r="I374" s="25" t="n">
        <v>1</v>
      </c>
      <c r="J374" s="9" t="s">
        <v>1282</v>
      </c>
      <c r="K374" s="9" t="s">
        <v>1149</v>
      </c>
      <c r="L374" s="12" t="n">
        <v>1</v>
      </c>
      <c r="M374" s="20" t="n">
        <v>186900</v>
      </c>
      <c r="N374" s="20" t="n">
        <v>74760</v>
      </c>
      <c r="O374" s="20" t="n">
        <v>0</v>
      </c>
      <c r="P374" s="12" t="n">
        <f aca="false">IF($E374="squad",INDEX(Assumptions!$D$16:$D$56,MATCH($C374&amp;"|"&amp;$D374,Assumptions!$H$16:$H$56,0)),0)</f>
        <v>0.5</v>
      </c>
      <c r="Q374" s="20" t="n">
        <f aca="false">$N374*$P374</f>
        <v>37380</v>
      </c>
    </row>
    <row r="375" customFormat="false" ht="15" hidden="false" customHeight="false" outlineLevel="0" collapsed="false">
      <c r="A375" s="9" t="s">
        <v>919</v>
      </c>
      <c r="B375" s="9" t="s">
        <v>1299</v>
      </c>
      <c r="C375" s="9" t="s">
        <v>30</v>
      </c>
      <c r="D375" s="9" t="s">
        <v>854</v>
      </c>
      <c r="E375" s="9" t="s">
        <v>1281</v>
      </c>
      <c r="F375" s="9" t="s">
        <v>53</v>
      </c>
      <c r="G375" s="9" t="s">
        <v>71</v>
      </c>
      <c r="H375" s="9"/>
      <c r="I375" s="25" t="n">
        <v>1</v>
      </c>
      <c r="J375" s="9" t="s">
        <v>1284</v>
      </c>
      <c r="K375" s="9" t="s">
        <v>1149</v>
      </c>
      <c r="L375" s="12" t="n">
        <v>1</v>
      </c>
      <c r="M375" s="20" t="n">
        <v>139607.28</v>
      </c>
      <c r="N375" s="20" t="n">
        <v>55842.912</v>
      </c>
      <c r="O375" s="20" t="n">
        <v>0</v>
      </c>
      <c r="P375" s="12" t="n">
        <f aca="false">IF($E375="squad",INDEX(Assumptions!$D$16:$D$56,MATCH($C375&amp;"|"&amp;$D375,Assumptions!$H$16:$H$56,0)),0)</f>
        <v>0.5</v>
      </c>
      <c r="Q375" s="20" t="n">
        <f aca="false">$N375*$P375</f>
        <v>27921.456</v>
      </c>
    </row>
    <row r="376" customFormat="false" ht="15" hidden="false" customHeight="false" outlineLevel="0" collapsed="false">
      <c r="A376" s="9" t="s">
        <v>921</v>
      </c>
      <c r="B376" s="9" t="s">
        <v>1299</v>
      </c>
      <c r="C376" s="9" t="s">
        <v>30</v>
      </c>
      <c r="D376" s="9" t="s">
        <v>854</v>
      </c>
      <c r="E376" s="9" t="s">
        <v>1281</v>
      </c>
      <c r="F376" s="9" t="s">
        <v>53</v>
      </c>
      <c r="G376" s="9" t="s">
        <v>53</v>
      </c>
      <c r="H376" s="9"/>
      <c r="I376" s="25" t="n">
        <v>1</v>
      </c>
      <c r="J376" s="9" t="s">
        <v>1284</v>
      </c>
      <c r="K376" s="9" t="s">
        <v>1149</v>
      </c>
      <c r="L376" s="12" t="n">
        <v>1</v>
      </c>
      <c r="M376" s="20" t="n">
        <v>165990.163043478</v>
      </c>
      <c r="N376" s="20" t="n">
        <v>165990.163043478</v>
      </c>
      <c r="O376" s="20" t="n">
        <v>0</v>
      </c>
      <c r="P376" s="12" t="n">
        <f aca="false">IF($E376="squad",INDEX(Assumptions!$D$16:$D$56,MATCH($C376&amp;"|"&amp;$D376,Assumptions!$H$16:$H$56,0)),0)</f>
        <v>0.5</v>
      </c>
      <c r="Q376" s="20" t="n">
        <f aca="false">$N376*$P376</f>
        <v>82995.081521739</v>
      </c>
    </row>
    <row r="377" customFormat="false" ht="15" hidden="false" customHeight="false" outlineLevel="0" collapsed="false">
      <c r="A377" s="9" t="s">
        <v>923</v>
      </c>
      <c r="B377" s="9" t="s">
        <v>1299</v>
      </c>
      <c r="C377" s="9" t="s">
        <v>30</v>
      </c>
      <c r="D377" s="9" t="s">
        <v>851</v>
      </c>
      <c r="E377" s="9" t="s">
        <v>1281</v>
      </c>
      <c r="F377" s="9" t="s">
        <v>53</v>
      </c>
      <c r="G377" s="9" t="s">
        <v>53</v>
      </c>
      <c r="H377" s="9"/>
      <c r="I377" s="25" t="n">
        <v>1</v>
      </c>
      <c r="J377" s="9" t="s">
        <v>1282</v>
      </c>
      <c r="K377" s="9" t="s">
        <v>1149</v>
      </c>
      <c r="L377" s="12" t="n">
        <v>1</v>
      </c>
      <c r="M377" s="20" t="n">
        <v>220875.75</v>
      </c>
      <c r="N377" s="20" t="n">
        <v>220875.75</v>
      </c>
      <c r="O377" s="20" t="n">
        <v>0</v>
      </c>
      <c r="P377" s="12" t="n">
        <f aca="false">IF($E377="squad",INDEX(Assumptions!$D$16:$D$56,MATCH($C377&amp;"|"&amp;$D377,Assumptions!$H$16:$H$56,0)),0)</f>
        <v>1</v>
      </c>
      <c r="Q377" s="20" t="n">
        <f aca="false">$N377*$P377</f>
        <v>220875.75</v>
      </c>
    </row>
    <row r="378" customFormat="false" ht="15" hidden="false" customHeight="false" outlineLevel="0" collapsed="false">
      <c r="A378" s="9" t="s">
        <v>926</v>
      </c>
      <c r="B378" s="9" t="s">
        <v>1299</v>
      </c>
      <c r="C378" s="9" t="s">
        <v>30</v>
      </c>
      <c r="D378" s="9" t="s">
        <v>851</v>
      </c>
      <c r="E378" s="9" t="s">
        <v>1281</v>
      </c>
      <c r="F378" s="9" t="s">
        <v>53</v>
      </c>
      <c r="G378" s="9" t="s">
        <v>53</v>
      </c>
      <c r="H378" s="9"/>
      <c r="I378" s="25" t="n">
        <v>1</v>
      </c>
      <c r="J378" s="9" t="s">
        <v>1282</v>
      </c>
      <c r="K378" s="9" t="s">
        <v>1149</v>
      </c>
      <c r="L378" s="12" t="n">
        <v>1</v>
      </c>
      <c r="M378" s="20" t="n">
        <v>212438.55</v>
      </c>
      <c r="N378" s="20" t="n">
        <v>212438.55</v>
      </c>
      <c r="O378" s="20" t="n">
        <v>0</v>
      </c>
      <c r="P378" s="12" t="n">
        <f aca="false">IF($E378="squad",INDEX(Assumptions!$D$16:$D$56,MATCH($C378&amp;"|"&amp;$D378,Assumptions!$H$16:$H$56,0)),0)</f>
        <v>1</v>
      </c>
      <c r="Q378" s="20" t="n">
        <f aca="false">$N378*$P378</f>
        <v>212438.55</v>
      </c>
    </row>
    <row r="379" customFormat="false" ht="15" hidden="false" customHeight="false" outlineLevel="0" collapsed="false">
      <c r="A379" s="9" t="s">
        <v>929</v>
      </c>
      <c r="B379" s="9" t="s">
        <v>1299</v>
      </c>
      <c r="C379" s="9" t="s">
        <v>30</v>
      </c>
      <c r="D379" s="9" t="s">
        <v>851</v>
      </c>
      <c r="E379" s="9" t="s">
        <v>1281</v>
      </c>
      <c r="F379" s="9" t="s">
        <v>69</v>
      </c>
      <c r="G379" s="9" t="s">
        <v>78</v>
      </c>
      <c r="H379" s="9"/>
      <c r="I379" s="25" t="n">
        <v>1</v>
      </c>
      <c r="J379" s="9" t="s">
        <v>1282</v>
      </c>
      <c r="K379" s="9" t="s">
        <v>1149</v>
      </c>
      <c r="L379" s="12" t="n">
        <v>1</v>
      </c>
      <c r="M379" s="20" t="n">
        <v>202853.25</v>
      </c>
      <c r="N379" s="20" t="n">
        <v>0</v>
      </c>
      <c r="O379" s="20" t="n">
        <v>0</v>
      </c>
      <c r="P379" s="12" t="n">
        <f aca="false">IF($E379="squad",INDEX(Assumptions!$D$16:$D$56,MATCH($C379&amp;"|"&amp;$D379,Assumptions!$H$16:$H$56,0)),0)</f>
        <v>1</v>
      </c>
      <c r="Q379" s="20" t="n">
        <f aca="false">$N379*$P379</f>
        <v>0</v>
      </c>
    </row>
    <row r="380" customFormat="false" ht="15" hidden="false" customHeight="false" outlineLevel="0" collapsed="false">
      <c r="A380" s="9" t="s">
        <v>931</v>
      </c>
      <c r="B380" s="9" t="s">
        <v>1299</v>
      </c>
      <c r="C380" s="9" t="s">
        <v>30</v>
      </c>
      <c r="D380" s="9" t="s">
        <v>851</v>
      </c>
      <c r="E380" s="9" t="s">
        <v>1281</v>
      </c>
      <c r="F380" s="9" t="s">
        <v>69</v>
      </c>
      <c r="G380" s="9" t="s">
        <v>53</v>
      </c>
      <c r="H380" s="9"/>
      <c r="I380" s="25" t="n">
        <v>1</v>
      </c>
      <c r="J380" s="9" t="s">
        <v>1282</v>
      </c>
      <c r="K380" s="9" t="s">
        <v>1149</v>
      </c>
      <c r="L380" s="12" t="n">
        <v>1</v>
      </c>
      <c r="M380" s="20" t="n">
        <v>201585</v>
      </c>
      <c r="N380" s="20" t="n">
        <v>201585</v>
      </c>
      <c r="O380" s="20" t="n">
        <v>0</v>
      </c>
      <c r="P380" s="12" t="n">
        <f aca="false">IF($E380="squad",INDEX(Assumptions!$D$16:$D$56,MATCH($C380&amp;"|"&amp;$D380,Assumptions!$H$16:$H$56,0)),0)</f>
        <v>1</v>
      </c>
      <c r="Q380" s="20" t="n">
        <f aca="false">$N380*$P380</f>
        <v>201585</v>
      </c>
    </row>
    <row r="381" customFormat="false" ht="15" hidden="false" customHeight="false" outlineLevel="0" collapsed="false">
      <c r="A381" s="9" t="s">
        <v>933</v>
      </c>
      <c r="B381" s="9" t="s">
        <v>1299</v>
      </c>
      <c r="C381" s="9" t="s">
        <v>30</v>
      </c>
      <c r="D381" s="9" t="s">
        <v>851</v>
      </c>
      <c r="E381" s="9" t="s">
        <v>1281</v>
      </c>
      <c r="F381" s="9" t="s">
        <v>53</v>
      </c>
      <c r="G381" s="9" t="s">
        <v>53</v>
      </c>
      <c r="H381" s="9"/>
      <c r="I381" s="25" t="n">
        <v>1</v>
      </c>
      <c r="J381" s="9" t="s">
        <v>1284</v>
      </c>
      <c r="K381" s="9" t="s">
        <v>1149</v>
      </c>
      <c r="L381" s="12" t="n">
        <v>1</v>
      </c>
      <c r="M381" s="20" t="n">
        <v>135906.948</v>
      </c>
      <c r="N381" s="20" t="n">
        <v>135906.948</v>
      </c>
      <c r="O381" s="20" t="n">
        <v>0</v>
      </c>
      <c r="P381" s="12" t="n">
        <f aca="false">IF($E381="squad",INDEX(Assumptions!$D$16:$D$56,MATCH($C381&amp;"|"&amp;$D381,Assumptions!$H$16:$H$56,0)),0)</f>
        <v>1</v>
      </c>
      <c r="Q381" s="20" t="n">
        <f aca="false">$N381*$P381</f>
        <v>135906.948</v>
      </c>
    </row>
    <row r="382" customFormat="false" ht="15" hidden="false" customHeight="false" outlineLevel="0" collapsed="false">
      <c r="A382" s="9" t="s">
        <v>936</v>
      </c>
      <c r="B382" s="9" t="s">
        <v>1299</v>
      </c>
      <c r="C382" s="9" t="s">
        <v>30</v>
      </c>
      <c r="D382" s="9" t="s">
        <v>851</v>
      </c>
      <c r="E382" s="9" t="s">
        <v>1281</v>
      </c>
      <c r="F382" s="9" t="s">
        <v>53</v>
      </c>
      <c r="G382" s="9" t="s">
        <v>53</v>
      </c>
      <c r="H382" s="9"/>
      <c r="I382" s="25" t="n">
        <v>1</v>
      </c>
      <c r="J382" s="9" t="s">
        <v>1284</v>
      </c>
      <c r="K382" s="9" t="s">
        <v>1149</v>
      </c>
      <c r="L382" s="12" t="n">
        <v>1</v>
      </c>
      <c r="M382" s="20" t="n">
        <v>143669.724</v>
      </c>
      <c r="N382" s="20" t="n">
        <v>143669.724</v>
      </c>
      <c r="O382" s="20" t="n">
        <v>0</v>
      </c>
      <c r="P382" s="12" t="n">
        <f aca="false">IF($E382="squad",INDEX(Assumptions!$D$16:$D$56,MATCH($C382&amp;"|"&amp;$D382,Assumptions!$H$16:$H$56,0)),0)</f>
        <v>1</v>
      </c>
      <c r="Q382" s="20" t="n">
        <f aca="false">$N382*$P382</f>
        <v>143669.724</v>
      </c>
    </row>
    <row r="383" customFormat="false" ht="15" hidden="false" customHeight="false" outlineLevel="0" collapsed="false">
      <c r="A383" s="9" t="s">
        <v>939</v>
      </c>
      <c r="B383" s="9" t="s">
        <v>1299</v>
      </c>
      <c r="C383" s="9" t="s">
        <v>30</v>
      </c>
      <c r="D383" s="9" t="s">
        <v>938</v>
      </c>
      <c r="E383" s="9" t="s">
        <v>1283</v>
      </c>
      <c r="F383" s="9" t="s">
        <v>53</v>
      </c>
      <c r="G383" s="9" t="s">
        <v>53</v>
      </c>
      <c r="H383" s="9"/>
      <c r="I383" s="25" t="n">
        <v>1</v>
      </c>
      <c r="J383" s="9" t="s">
        <v>1282</v>
      </c>
      <c r="K383" s="9" t="s">
        <v>36</v>
      </c>
      <c r="L383" s="12" t="n">
        <v>1</v>
      </c>
      <c r="M383" s="20" t="n">
        <v>299700</v>
      </c>
      <c r="N383" s="20" t="n">
        <v>299700</v>
      </c>
      <c r="O383" s="20" t="n">
        <v>0</v>
      </c>
      <c r="P383" s="12" t="n">
        <f aca="false">IF($E383="squad",INDEX(Assumptions!$D$16:$D$56,MATCH($C383&amp;"|"&amp;$D383,Assumptions!$H$16:$H$56,0)),0)</f>
        <v>0</v>
      </c>
      <c r="Q383" s="20" t="n">
        <f aca="false">$N383*$P383</f>
        <v>0</v>
      </c>
    </row>
    <row r="384" customFormat="false" ht="15" hidden="false" customHeight="false" outlineLevel="0" collapsed="false">
      <c r="A384" s="9" t="s">
        <v>942</v>
      </c>
      <c r="B384" s="9" t="s">
        <v>1299</v>
      </c>
      <c r="C384" s="9" t="s">
        <v>30</v>
      </c>
      <c r="D384" s="9" t="s">
        <v>938</v>
      </c>
      <c r="E384" s="9" t="s">
        <v>1283</v>
      </c>
      <c r="F384" s="9" t="s">
        <v>53</v>
      </c>
      <c r="G384" s="9" t="s">
        <v>53</v>
      </c>
      <c r="H384" s="9"/>
      <c r="I384" s="25" t="n">
        <v>1</v>
      </c>
      <c r="J384" s="9" t="s">
        <v>1282</v>
      </c>
      <c r="K384" s="9" t="s">
        <v>36</v>
      </c>
      <c r="L384" s="12" t="n">
        <v>1</v>
      </c>
      <c r="M384" s="20" t="n">
        <v>348096</v>
      </c>
      <c r="N384" s="20" t="n">
        <v>348096</v>
      </c>
      <c r="O384" s="20" t="n">
        <v>0</v>
      </c>
      <c r="P384" s="12" t="n">
        <f aca="false">IF($E384="squad",INDEX(Assumptions!$D$16:$D$56,MATCH($C384&amp;"|"&amp;$D384,Assumptions!$H$16:$H$56,0)),0)</f>
        <v>0</v>
      </c>
      <c r="Q384" s="20" t="n">
        <f aca="false">$N384*$P384</f>
        <v>0</v>
      </c>
    </row>
    <row r="385" customFormat="false" ht="15" hidden="false" customHeight="false" outlineLevel="0" collapsed="false">
      <c r="A385" s="9" t="s">
        <v>945</v>
      </c>
      <c r="B385" s="9" t="s">
        <v>1299</v>
      </c>
      <c r="C385" s="9" t="s">
        <v>30</v>
      </c>
      <c r="D385" s="9" t="s">
        <v>938</v>
      </c>
      <c r="E385" s="9" t="s">
        <v>1283</v>
      </c>
      <c r="F385" s="9" t="s">
        <v>53</v>
      </c>
      <c r="G385" s="9" t="s">
        <v>53</v>
      </c>
      <c r="H385" s="9"/>
      <c r="I385" s="25" t="n">
        <v>1</v>
      </c>
      <c r="J385" s="9" t="s">
        <v>1284</v>
      </c>
      <c r="K385" s="9" t="s">
        <v>1300</v>
      </c>
      <c r="L385" s="12" t="n">
        <v>1</v>
      </c>
      <c r="M385" s="20" t="n">
        <v>266400</v>
      </c>
      <c r="N385" s="20" t="n">
        <v>266400</v>
      </c>
      <c r="O385" s="20" t="n">
        <v>0</v>
      </c>
      <c r="P385" s="12" t="n">
        <f aca="false">IF($E385="squad",INDEX(Assumptions!$D$16:$D$56,MATCH($C385&amp;"|"&amp;$D385,Assumptions!$H$16:$H$56,0)),0)</f>
        <v>0</v>
      </c>
      <c r="Q385" s="20" t="n">
        <f aca="false">$N385*$P385</f>
        <v>0</v>
      </c>
    </row>
    <row r="386" customFormat="false" ht="15" hidden="false" customHeight="false" outlineLevel="0" collapsed="false">
      <c r="A386" s="9" t="s">
        <v>948</v>
      </c>
      <c r="B386" s="9" t="s">
        <v>1299</v>
      </c>
      <c r="C386" s="9" t="s">
        <v>30</v>
      </c>
      <c r="D386" s="9" t="s">
        <v>938</v>
      </c>
      <c r="E386" s="9" t="s">
        <v>1283</v>
      </c>
      <c r="F386" s="9" t="s">
        <v>53</v>
      </c>
      <c r="G386" s="9" t="s">
        <v>53</v>
      </c>
      <c r="H386" s="9"/>
      <c r="I386" s="25" t="n">
        <v>1</v>
      </c>
      <c r="J386" s="9" t="s">
        <v>1284</v>
      </c>
      <c r="K386" s="9" t="s">
        <v>36</v>
      </c>
      <c r="L386" s="12" t="n">
        <v>1</v>
      </c>
      <c r="M386" s="20" t="n">
        <v>199355.76</v>
      </c>
      <c r="N386" s="20" t="n">
        <v>199355.76</v>
      </c>
      <c r="O386" s="20" t="n">
        <v>0</v>
      </c>
      <c r="P386" s="12" t="n">
        <f aca="false">IF($E386="squad",INDEX(Assumptions!$D$16:$D$56,MATCH($C386&amp;"|"&amp;$D386,Assumptions!$H$16:$H$56,0)),0)</f>
        <v>0</v>
      </c>
      <c r="Q386" s="20" t="n">
        <f aca="false">$N386*$P386</f>
        <v>0</v>
      </c>
    </row>
    <row r="387" customFormat="false" ht="15" hidden="false" customHeight="false" outlineLevel="0" collapsed="false">
      <c r="A387" s="9" t="s">
        <v>951</v>
      </c>
      <c r="B387" s="9" t="s">
        <v>1299</v>
      </c>
      <c r="C387" s="9" t="s">
        <v>30</v>
      </c>
      <c r="D387" s="9" t="s">
        <v>938</v>
      </c>
      <c r="E387" s="9" t="s">
        <v>1283</v>
      </c>
      <c r="F387" s="9" t="s">
        <v>53</v>
      </c>
      <c r="G387" s="9" t="s">
        <v>53</v>
      </c>
      <c r="H387" s="9"/>
      <c r="I387" s="25" t="n">
        <v>1</v>
      </c>
      <c r="J387" s="9" t="s">
        <v>1282</v>
      </c>
      <c r="K387" s="9" t="s">
        <v>36</v>
      </c>
      <c r="L387" s="12" t="n">
        <v>1</v>
      </c>
      <c r="M387" s="20" t="n">
        <v>210996.75</v>
      </c>
      <c r="N387" s="20" t="n">
        <v>210996.75</v>
      </c>
      <c r="O387" s="20" t="n">
        <v>0</v>
      </c>
      <c r="P387" s="12" t="n">
        <f aca="false">IF($E387="squad",INDEX(Assumptions!$D$16:$D$56,MATCH($C387&amp;"|"&amp;$D387,Assumptions!$H$16:$H$56,0)),0)</f>
        <v>0</v>
      </c>
      <c r="Q387" s="20" t="n">
        <f aca="false">$N387*$P387</f>
        <v>0</v>
      </c>
    </row>
    <row r="388" customFormat="false" ht="15" hidden="false" customHeight="false" outlineLevel="0" collapsed="false">
      <c r="A388" s="9" t="s">
        <v>954</v>
      </c>
      <c r="B388" s="9" t="s">
        <v>1299</v>
      </c>
      <c r="C388" s="9" t="s">
        <v>30</v>
      </c>
      <c r="D388" s="9" t="s">
        <v>810</v>
      </c>
      <c r="E388" s="9" t="s">
        <v>1283</v>
      </c>
      <c r="F388" s="9" t="s">
        <v>53</v>
      </c>
      <c r="G388" s="9" t="s">
        <v>78</v>
      </c>
      <c r="H388" s="9"/>
      <c r="I388" s="25" t="n">
        <v>1</v>
      </c>
      <c r="J388" s="9" t="s">
        <v>1282</v>
      </c>
      <c r="K388" s="9"/>
      <c r="L388" s="12" t="n">
        <v>1</v>
      </c>
      <c r="M388" s="20" t="n">
        <v>355200</v>
      </c>
      <c r="N388" s="20" t="n">
        <v>0</v>
      </c>
      <c r="O388" s="20" t="n">
        <v>0</v>
      </c>
      <c r="P388" s="12" t="n">
        <f aca="false">IF($E388="squad",INDEX(Assumptions!$D$16:$D$56,MATCH($C388&amp;"|"&amp;$D388,Assumptions!$H$16:$H$56,0)),0)</f>
        <v>0</v>
      </c>
      <c r="Q388" s="20" t="n">
        <f aca="false">$N388*$P388</f>
        <v>0</v>
      </c>
    </row>
    <row r="389" customFormat="false" ht="15" hidden="false" customHeight="false" outlineLevel="0" collapsed="false">
      <c r="A389" s="9" t="s">
        <v>957</v>
      </c>
      <c r="B389" s="9" t="s">
        <v>1299</v>
      </c>
      <c r="C389" s="9" t="s">
        <v>30</v>
      </c>
      <c r="D389" s="9" t="s">
        <v>199</v>
      </c>
      <c r="E389" s="9" t="s">
        <v>1286</v>
      </c>
      <c r="F389" s="9" t="s">
        <v>69</v>
      </c>
      <c r="G389" s="9" t="s">
        <v>82</v>
      </c>
      <c r="H389" s="9"/>
      <c r="I389" s="25" t="n">
        <v>1</v>
      </c>
      <c r="J389" s="9" t="s">
        <v>1282</v>
      </c>
      <c r="K389" s="9" t="s">
        <v>1149</v>
      </c>
      <c r="L389" s="12" t="n">
        <v>1</v>
      </c>
      <c r="M389" s="20" t="n">
        <v>333020.25</v>
      </c>
      <c r="N389" s="20" t="n">
        <v>333020.25</v>
      </c>
      <c r="O389" s="20" t="n">
        <v>0</v>
      </c>
      <c r="P389" s="12" t="n">
        <f aca="false">IF($E389="squad",INDEX(Assumptions!$D$16:$D$56,MATCH($C389&amp;"|"&amp;$D389,Assumptions!$H$16:$H$56,0)),0)</f>
        <v>0</v>
      </c>
      <c r="Q389" s="20" t="n">
        <f aca="false">$N389*$P389</f>
        <v>0</v>
      </c>
    </row>
    <row r="390" customFormat="false" ht="15" hidden="false" customHeight="false" outlineLevel="0" collapsed="false">
      <c r="A390" s="9" t="s">
        <v>959</v>
      </c>
      <c r="B390" s="9" t="s">
        <v>1299</v>
      </c>
      <c r="C390" s="9" t="s">
        <v>30</v>
      </c>
      <c r="D390" s="9" t="s">
        <v>203</v>
      </c>
      <c r="E390" s="9" t="s">
        <v>1286</v>
      </c>
      <c r="F390" s="9" t="s">
        <v>69</v>
      </c>
      <c r="G390" s="9" t="s">
        <v>82</v>
      </c>
      <c r="H390" s="9"/>
      <c r="I390" s="25" t="n">
        <v>1</v>
      </c>
      <c r="J390" s="9" t="s">
        <v>1282</v>
      </c>
      <c r="K390" s="9" t="s">
        <v>1149</v>
      </c>
      <c r="L390" s="12" t="n">
        <v>1</v>
      </c>
      <c r="M390" s="20" t="n">
        <v>275810.25</v>
      </c>
      <c r="N390" s="20" t="n">
        <v>275810.25</v>
      </c>
      <c r="O390" s="20" t="n">
        <v>0</v>
      </c>
      <c r="P390" s="12" t="n">
        <f aca="false">IF($E390="squad",INDEX(Assumptions!$D$16:$D$56,MATCH($C390&amp;"|"&amp;$D390,Assumptions!$H$16:$H$56,0)),0)</f>
        <v>0</v>
      </c>
      <c r="Q390" s="20" t="n">
        <f aca="false">$N390*$P390</f>
        <v>0</v>
      </c>
    </row>
    <row r="391" customFormat="false" ht="15" hidden="false" customHeight="false" outlineLevel="0" collapsed="false">
      <c r="A391" s="9" t="s">
        <v>960</v>
      </c>
      <c r="B391" s="9" t="s">
        <v>1299</v>
      </c>
      <c r="C391" s="9" t="s">
        <v>30</v>
      </c>
      <c r="D391" s="9" t="s">
        <v>206</v>
      </c>
      <c r="E391" s="9" t="s">
        <v>1286</v>
      </c>
      <c r="F391" s="9" t="s">
        <v>53</v>
      </c>
      <c r="G391" s="9" t="s">
        <v>53</v>
      </c>
      <c r="H391" s="9"/>
      <c r="I391" s="25" t="n">
        <v>1</v>
      </c>
      <c r="J391" s="9" t="s">
        <v>1282</v>
      </c>
      <c r="K391" s="9" t="s">
        <v>1149</v>
      </c>
      <c r="L391" s="12" t="n">
        <v>1</v>
      </c>
      <c r="M391" s="20" t="n">
        <v>275810.25</v>
      </c>
      <c r="N391" s="20" t="n">
        <v>275810.25</v>
      </c>
      <c r="O391" s="20" t="n">
        <v>0</v>
      </c>
      <c r="P391" s="12" t="n">
        <f aca="false">IF($E391="squad",INDEX(Assumptions!$D$16:$D$56,MATCH($C391&amp;"|"&amp;$D391,Assumptions!$H$16:$H$56,0)),0)</f>
        <v>0</v>
      </c>
      <c r="Q391" s="20" t="n">
        <f aca="false">$N391*$P391</f>
        <v>0</v>
      </c>
    </row>
    <row r="392" customFormat="false" ht="15" hidden="false" customHeight="false" outlineLevel="0" collapsed="false">
      <c r="A392" s="9" t="s">
        <v>962</v>
      </c>
      <c r="B392" s="9" t="s">
        <v>1299</v>
      </c>
      <c r="C392" s="9" t="s">
        <v>30</v>
      </c>
      <c r="D392" s="9" t="s">
        <v>206</v>
      </c>
      <c r="E392" s="9" t="s">
        <v>1286</v>
      </c>
      <c r="F392" s="9" t="s">
        <v>53</v>
      </c>
      <c r="G392" s="9" t="s">
        <v>53</v>
      </c>
      <c r="H392" s="9"/>
      <c r="I392" s="25" t="n">
        <v>1</v>
      </c>
      <c r="J392" s="9" t="s">
        <v>1284</v>
      </c>
      <c r="K392" s="9" t="s">
        <v>1149</v>
      </c>
      <c r="L392" s="12" t="n">
        <v>1</v>
      </c>
      <c r="M392" s="20" t="n">
        <v>221478.54</v>
      </c>
      <c r="N392" s="20" t="n">
        <v>221478.54</v>
      </c>
      <c r="O392" s="20" t="n">
        <v>0</v>
      </c>
      <c r="P392" s="12" t="n">
        <f aca="false">IF($E392="squad",INDEX(Assumptions!$D$16:$D$56,MATCH($C392&amp;"|"&amp;$D392,Assumptions!$H$16:$H$56,0)),0)</f>
        <v>0</v>
      </c>
      <c r="Q392" s="20" t="n">
        <f aca="false">$N392*$P392</f>
        <v>0</v>
      </c>
    </row>
    <row r="393" customFormat="false" ht="15" hidden="false" customHeight="false" outlineLevel="0" collapsed="false">
      <c r="A393" s="9" t="s">
        <v>965</v>
      </c>
      <c r="B393" s="9" t="s">
        <v>1299</v>
      </c>
      <c r="C393" s="9" t="s">
        <v>30</v>
      </c>
      <c r="D393" s="9" t="s">
        <v>206</v>
      </c>
      <c r="E393" s="9" t="s">
        <v>1286</v>
      </c>
      <c r="F393" s="9" t="s">
        <v>53</v>
      </c>
      <c r="G393" s="9" t="s">
        <v>53</v>
      </c>
      <c r="H393" s="9"/>
      <c r="I393" s="25" t="n">
        <v>1</v>
      </c>
      <c r="J393" s="9" t="s">
        <v>1284</v>
      </c>
      <c r="K393" s="9" t="s">
        <v>1149</v>
      </c>
      <c r="L393" s="12" t="n">
        <v>1</v>
      </c>
      <c r="M393" s="20" t="n">
        <v>229230</v>
      </c>
      <c r="N393" s="20" t="n">
        <v>229230</v>
      </c>
      <c r="O393" s="20" t="n">
        <v>0</v>
      </c>
      <c r="P393" s="12" t="n">
        <f aca="false">IF($E393="squad",INDEX(Assumptions!$D$16:$D$56,MATCH($C393&amp;"|"&amp;$D393,Assumptions!$H$16:$H$56,0)),0)</f>
        <v>0</v>
      </c>
      <c r="Q393" s="20" t="n">
        <f aca="false">$N393*$P393</f>
        <v>0</v>
      </c>
    </row>
    <row r="394" customFormat="false" ht="15" hidden="false" customHeight="false" outlineLevel="0" collapsed="false">
      <c r="A394" s="9" t="s">
        <v>968</v>
      </c>
      <c r="B394" s="9" t="s">
        <v>1299</v>
      </c>
      <c r="C394" s="9" t="s">
        <v>30</v>
      </c>
      <c r="D394" s="9" t="s">
        <v>206</v>
      </c>
      <c r="E394" s="9" t="s">
        <v>1286</v>
      </c>
      <c r="F394" s="9" t="s">
        <v>69</v>
      </c>
      <c r="G394" s="9" t="s">
        <v>78</v>
      </c>
      <c r="H394" s="9"/>
      <c r="I394" s="25" t="n">
        <v>1</v>
      </c>
      <c r="J394" s="9" t="s">
        <v>1282</v>
      </c>
      <c r="K394" s="9" t="s">
        <v>1149</v>
      </c>
      <c r="L394" s="12" t="n">
        <v>1</v>
      </c>
      <c r="M394" s="20" t="n">
        <v>275810.25</v>
      </c>
      <c r="N394" s="20" t="n">
        <v>0</v>
      </c>
      <c r="O394" s="20" t="n">
        <v>0</v>
      </c>
      <c r="P394" s="12" t="n">
        <f aca="false">IF($E394="squad",INDEX(Assumptions!$D$16:$D$56,MATCH($C394&amp;"|"&amp;$D394,Assumptions!$H$16:$H$56,0)),0)</f>
        <v>0</v>
      </c>
      <c r="Q394" s="20" t="n">
        <f aca="false">$N394*$P394</f>
        <v>0</v>
      </c>
    </row>
    <row r="395" customFormat="false" ht="15" hidden="false" customHeight="false" outlineLevel="0" collapsed="false">
      <c r="A395" s="9" t="s">
        <v>972</v>
      </c>
      <c r="B395" s="9" t="s">
        <v>1301</v>
      </c>
      <c r="C395" s="9" t="s">
        <v>31</v>
      </c>
      <c r="D395" s="9" t="s">
        <v>970</v>
      </c>
      <c r="E395" s="9" t="s">
        <v>1281</v>
      </c>
      <c r="F395" s="9" t="s">
        <v>53</v>
      </c>
      <c r="G395" s="9" t="s">
        <v>53</v>
      </c>
      <c r="H395" s="9"/>
      <c r="I395" s="25" t="n">
        <v>1</v>
      </c>
      <c r="J395" s="9" t="s">
        <v>1284</v>
      </c>
      <c r="K395" s="9" t="s">
        <v>1151</v>
      </c>
      <c r="L395" s="12" t="n">
        <v>1</v>
      </c>
      <c r="M395" s="20" t="n">
        <v>185776.56</v>
      </c>
      <c r="N395" s="20" t="n">
        <v>185776.56</v>
      </c>
      <c r="O395" s="20" t="n">
        <v>0</v>
      </c>
      <c r="P395" s="12" t="n">
        <f aca="false">IF($E395="squad",INDEX(Assumptions!$D$16:$D$56,MATCH($C395&amp;"|"&amp;$D395,Assumptions!$H$16:$H$56,0)),0)</f>
        <v>0.8</v>
      </c>
      <c r="Q395" s="20" t="n">
        <f aca="false">$N395*$P395</f>
        <v>148621.248</v>
      </c>
    </row>
    <row r="396" customFormat="false" ht="15" hidden="false" customHeight="false" outlineLevel="0" collapsed="false">
      <c r="A396" s="9" t="s">
        <v>975</v>
      </c>
      <c r="B396" s="9" t="s">
        <v>1301</v>
      </c>
      <c r="C396" s="9" t="s">
        <v>31</v>
      </c>
      <c r="D396" s="9" t="s">
        <v>970</v>
      </c>
      <c r="E396" s="9" t="s">
        <v>1281</v>
      </c>
      <c r="F396" s="9" t="s">
        <v>53</v>
      </c>
      <c r="G396" s="9" t="s">
        <v>53</v>
      </c>
      <c r="H396" s="9"/>
      <c r="I396" s="25" t="n">
        <v>1</v>
      </c>
      <c r="J396" s="9" t="s">
        <v>1284</v>
      </c>
      <c r="K396" s="9" t="s">
        <v>1151</v>
      </c>
      <c r="L396" s="12" t="n">
        <v>1</v>
      </c>
      <c r="M396" s="20" t="n">
        <v>204006.636</v>
      </c>
      <c r="N396" s="20" t="n">
        <v>204006.636</v>
      </c>
      <c r="O396" s="20" t="n">
        <v>0</v>
      </c>
      <c r="P396" s="12" t="n">
        <f aca="false">IF($E396="squad",INDEX(Assumptions!$D$16:$D$56,MATCH($C396&amp;"|"&amp;$D396,Assumptions!$H$16:$H$56,0)),0)</f>
        <v>0.8</v>
      </c>
      <c r="Q396" s="20" t="n">
        <f aca="false">$N396*$P396</f>
        <v>163205.3088</v>
      </c>
    </row>
    <row r="397" customFormat="false" ht="15" hidden="false" customHeight="false" outlineLevel="0" collapsed="false">
      <c r="A397" s="9" t="s">
        <v>978</v>
      </c>
      <c r="B397" s="9" t="s">
        <v>1301</v>
      </c>
      <c r="C397" s="9" t="s">
        <v>31</v>
      </c>
      <c r="D397" s="9" t="s">
        <v>970</v>
      </c>
      <c r="E397" s="9" t="s">
        <v>1281</v>
      </c>
      <c r="F397" s="9" t="s">
        <v>53</v>
      </c>
      <c r="G397" s="9" t="s">
        <v>53</v>
      </c>
      <c r="H397" s="9"/>
      <c r="I397" s="25" t="n">
        <v>1</v>
      </c>
      <c r="J397" s="9" t="s">
        <v>1282</v>
      </c>
      <c r="K397" s="9" t="s">
        <v>1151</v>
      </c>
      <c r="L397" s="12" t="n">
        <v>1</v>
      </c>
      <c r="M397" s="20" t="n">
        <v>243984.6</v>
      </c>
      <c r="N397" s="20" t="n">
        <v>243984.6</v>
      </c>
      <c r="O397" s="20" t="n">
        <v>0</v>
      </c>
      <c r="P397" s="12" t="n">
        <f aca="false">IF($E397="squad",INDEX(Assumptions!$D$16:$D$56,MATCH($C397&amp;"|"&amp;$D397,Assumptions!$H$16:$H$56,0)),0)</f>
        <v>0.8</v>
      </c>
      <c r="Q397" s="20" t="n">
        <f aca="false">$N397*$P397</f>
        <v>195187.68</v>
      </c>
    </row>
    <row r="398" customFormat="false" ht="15" hidden="false" customHeight="false" outlineLevel="0" collapsed="false">
      <c r="A398" s="9" t="s">
        <v>982</v>
      </c>
      <c r="B398" s="9" t="s">
        <v>1301</v>
      </c>
      <c r="C398" s="9" t="s">
        <v>31</v>
      </c>
      <c r="D398" s="9" t="s">
        <v>970</v>
      </c>
      <c r="E398" s="9" t="s">
        <v>1281</v>
      </c>
      <c r="F398" s="9" t="s">
        <v>53</v>
      </c>
      <c r="G398" s="9" t="s">
        <v>53</v>
      </c>
      <c r="H398" s="9"/>
      <c r="I398" s="25" t="n">
        <v>1</v>
      </c>
      <c r="J398" s="9" t="s">
        <v>1282</v>
      </c>
      <c r="K398" s="9" t="s">
        <v>1151</v>
      </c>
      <c r="L398" s="12" t="n">
        <v>1</v>
      </c>
      <c r="M398" s="20" t="n">
        <v>213359.7</v>
      </c>
      <c r="N398" s="20" t="n">
        <v>213359.7</v>
      </c>
      <c r="O398" s="20" t="n">
        <v>0</v>
      </c>
      <c r="P398" s="12" t="n">
        <f aca="false">IF($E398="squad",INDEX(Assumptions!$D$16:$D$56,MATCH($C398&amp;"|"&amp;$D398,Assumptions!$H$16:$H$56,0)),0)</f>
        <v>0.8</v>
      </c>
      <c r="Q398" s="20" t="n">
        <f aca="false">$N398*$P398</f>
        <v>170687.76</v>
      </c>
    </row>
    <row r="399" customFormat="false" ht="15" hidden="false" customHeight="false" outlineLevel="0" collapsed="false">
      <c r="A399" s="9" t="s">
        <v>985</v>
      </c>
      <c r="B399" s="9" t="s">
        <v>1301</v>
      </c>
      <c r="C399" s="9" t="s">
        <v>31</v>
      </c>
      <c r="D399" s="9" t="s">
        <v>970</v>
      </c>
      <c r="E399" s="9" t="s">
        <v>1281</v>
      </c>
      <c r="F399" s="9" t="s">
        <v>69</v>
      </c>
      <c r="G399" s="9" t="s">
        <v>78</v>
      </c>
      <c r="H399" s="9"/>
      <c r="I399" s="25" t="n">
        <v>1</v>
      </c>
      <c r="J399" s="9" t="s">
        <v>1282</v>
      </c>
      <c r="K399" s="9" t="s">
        <v>1151</v>
      </c>
      <c r="L399" s="12" t="n">
        <v>1</v>
      </c>
      <c r="M399" s="20" t="n">
        <v>202853.25</v>
      </c>
      <c r="N399" s="20" t="n">
        <v>0</v>
      </c>
      <c r="O399" s="20" t="n">
        <v>0</v>
      </c>
      <c r="P399" s="12" t="n">
        <f aca="false">IF($E399="squad",INDEX(Assumptions!$D$16:$D$56,MATCH($C399&amp;"|"&amp;$D399,Assumptions!$H$16:$H$56,0)),0)</f>
        <v>0.8</v>
      </c>
      <c r="Q399" s="20" t="n">
        <f aca="false">$N399*$P399</f>
        <v>0</v>
      </c>
    </row>
    <row r="400" customFormat="false" ht="15" hidden="false" customHeight="false" outlineLevel="0" collapsed="false">
      <c r="A400" s="9" t="s">
        <v>986</v>
      </c>
      <c r="B400" s="9" t="s">
        <v>1301</v>
      </c>
      <c r="C400" s="9" t="s">
        <v>31</v>
      </c>
      <c r="D400" s="9" t="s">
        <v>970</v>
      </c>
      <c r="E400" s="9" t="s">
        <v>1281</v>
      </c>
      <c r="F400" s="9" t="s">
        <v>69</v>
      </c>
      <c r="G400" s="9" t="s">
        <v>78</v>
      </c>
      <c r="H400" s="9"/>
      <c r="I400" s="25" t="n">
        <v>1</v>
      </c>
      <c r="J400" s="9" t="s">
        <v>1282</v>
      </c>
      <c r="K400" s="9" t="s">
        <v>1151</v>
      </c>
      <c r="L400" s="12" t="n">
        <v>1</v>
      </c>
      <c r="M400" s="20" t="n">
        <v>202853.25</v>
      </c>
      <c r="N400" s="20" t="n">
        <v>0</v>
      </c>
      <c r="O400" s="20" t="n">
        <v>0</v>
      </c>
      <c r="P400" s="12" t="n">
        <f aca="false">IF($E400="squad",INDEX(Assumptions!$D$16:$D$56,MATCH($C400&amp;"|"&amp;$D400,Assumptions!$H$16:$H$56,0)),0)</f>
        <v>0.8</v>
      </c>
      <c r="Q400" s="20" t="n">
        <f aca="false">$N400*$P400</f>
        <v>0</v>
      </c>
    </row>
    <row r="401" customFormat="false" ht="15" hidden="false" customHeight="false" outlineLevel="0" collapsed="false">
      <c r="A401" s="9" t="s">
        <v>987</v>
      </c>
      <c r="B401" s="9" t="s">
        <v>1301</v>
      </c>
      <c r="C401" s="9" t="s">
        <v>31</v>
      </c>
      <c r="D401" s="9" t="s">
        <v>970</v>
      </c>
      <c r="E401" s="9" t="s">
        <v>1281</v>
      </c>
      <c r="F401" s="9" t="s">
        <v>69</v>
      </c>
      <c r="G401" s="9" t="s">
        <v>78</v>
      </c>
      <c r="H401" s="9"/>
      <c r="I401" s="25" t="n">
        <v>1</v>
      </c>
      <c r="J401" s="9" t="s">
        <v>1282</v>
      </c>
      <c r="K401" s="9" t="s">
        <v>1151</v>
      </c>
      <c r="L401" s="12" t="n">
        <v>1</v>
      </c>
      <c r="M401" s="20" t="n">
        <v>202853.25</v>
      </c>
      <c r="N401" s="20" t="n">
        <v>0</v>
      </c>
      <c r="O401" s="20" t="n">
        <v>0</v>
      </c>
      <c r="P401" s="12" t="n">
        <f aca="false">IF($E401="squad",INDEX(Assumptions!$D$16:$D$56,MATCH($C401&amp;"|"&amp;$D401,Assumptions!$H$16:$H$56,0)),0)</f>
        <v>0.8</v>
      </c>
      <c r="Q401" s="20" t="n">
        <f aca="false">$N401*$P401</f>
        <v>0</v>
      </c>
    </row>
    <row r="402" customFormat="false" ht="15" hidden="false" customHeight="false" outlineLevel="0" collapsed="false">
      <c r="A402" s="9" t="s">
        <v>988</v>
      </c>
      <c r="B402" s="9" t="s">
        <v>1301</v>
      </c>
      <c r="C402" s="9" t="s">
        <v>31</v>
      </c>
      <c r="D402" s="9" t="s">
        <v>970</v>
      </c>
      <c r="E402" s="9" t="s">
        <v>1281</v>
      </c>
      <c r="F402" s="9" t="s">
        <v>69</v>
      </c>
      <c r="G402" s="9" t="s">
        <v>71</v>
      </c>
      <c r="H402" s="9"/>
      <c r="I402" s="25" t="n">
        <v>1</v>
      </c>
      <c r="J402" s="9" t="s">
        <v>1282</v>
      </c>
      <c r="K402" s="9" t="s">
        <v>1151</v>
      </c>
      <c r="L402" s="12" t="n">
        <v>1</v>
      </c>
      <c r="M402" s="20" t="n">
        <v>170489.75</v>
      </c>
      <c r="N402" s="20" t="n">
        <v>68195.9</v>
      </c>
      <c r="O402" s="20" t="n">
        <v>0</v>
      </c>
      <c r="P402" s="12" t="n">
        <f aca="false">IF($E402="squad",INDEX(Assumptions!$D$16:$D$56,MATCH($C402&amp;"|"&amp;$D402,Assumptions!$H$16:$H$56,0)),0)</f>
        <v>0.8</v>
      </c>
      <c r="Q402" s="20" t="n">
        <f aca="false">$N402*$P402</f>
        <v>54556.72</v>
      </c>
    </row>
    <row r="403" customFormat="false" ht="15" hidden="false" customHeight="false" outlineLevel="0" collapsed="false">
      <c r="A403" s="9" t="s">
        <v>989</v>
      </c>
      <c r="B403" s="9" t="s">
        <v>1301</v>
      </c>
      <c r="C403" s="9" t="s">
        <v>31</v>
      </c>
      <c r="D403" s="9" t="s">
        <v>974</v>
      </c>
      <c r="E403" s="9" t="s">
        <v>1281</v>
      </c>
      <c r="F403" s="9" t="s">
        <v>53</v>
      </c>
      <c r="G403" s="9" t="s">
        <v>53</v>
      </c>
      <c r="H403" s="9"/>
      <c r="I403" s="25" t="n">
        <v>1</v>
      </c>
      <c r="J403" s="9" t="s">
        <v>1284</v>
      </c>
      <c r="K403" s="9" t="s">
        <v>1151</v>
      </c>
      <c r="L403" s="12" t="n">
        <v>1</v>
      </c>
      <c r="M403" s="20" t="n">
        <v>184871.28</v>
      </c>
      <c r="N403" s="20" t="n">
        <v>184871.28</v>
      </c>
      <c r="O403" s="20" t="n">
        <v>0</v>
      </c>
      <c r="P403" s="12" t="n">
        <f aca="false">IF($E403="squad",INDEX(Assumptions!$D$16:$D$56,MATCH($C403&amp;"|"&amp;$D403,Assumptions!$H$16:$H$56,0)),0)</f>
        <v>0.15</v>
      </c>
      <c r="Q403" s="20" t="n">
        <f aca="false">$N403*$P403</f>
        <v>27730.692</v>
      </c>
    </row>
    <row r="404" customFormat="false" ht="15" hidden="false" customHeight="false" outlineLevel="0" collapsed="false">
      <c r="A404" s="9" t="s">
        <v>992</v>
      </c>
      <c r="B404" s="9" t="s">
        <v>1301</v>
      </c>
      <c r="C404" s="9" t="s">
        <v>31</v>
      </c>
      <c r="D404" s="9" t="s">
        <v>974</v>
      </c>
      <c r="E404" s="9" t="s">
        <v>1281</v>
      </c>
      <c r="F404" s="9" t="s">
        <v>53</v>
      </c>
      <c r="G404" s="9" t="s">
        <v>53</v>
      </c>
      <c r="H404" s="9"/>
      <c r="I404" s="25" t="n">
        <v>1</v>
      </c>
      <c r="J404" s="9" t="s">
        <v>1282</v>
      </c>
      <c r="K404" s="9" t="s">
        <v>1151</v>
      </c>
      <c r="L404" s="12" t="n">
        <v>1</v>
      </c>
      <c r="M404" s="20" t="n">
        <v>231582.45</v>
      </c>
      <c r="N404" s="20" t="n">
        <v>231582.45</v>
      </c>
      <c r="O404" s="20" t="n">
        <v>0</v>
      </c>
      <c r="P404" s="12" t="n">
        <f aca="false">IF($E404="squad",INDEX(Assumptions!$D$16:$D$56,MATCH($C404&amp;"|"&amp;$D404,Assumptions!$H$16:$H$56,0)),0)</f>
        <v>0.15</v>
      </c>
      <c r="Q404" s="20" t="n">
        <f aca="false">$N404*$P404</f>
        <v>34737.3675</v>
      </c>
    </row>
    <row r="405" customFormat="false" ht="15" hidden="false" customHeight="false" outlineLevel="0" collapsed="false">
      <c r="A405" s="9" t="s">
        <v>994</v>
      </c>
      <c r="B405" s="9" t="s">
        <v>1301</v>
      </c>
      <c r="C405" s="9" t="s">
        <v>31</v>
      </c>
      <c r="D405" s="9" t="s">
        <v>974</v>
      </c>
      <c r="E405" s="9" t="s">
        <v>1281</v>
      </c>
      <c r="F405" s="9" t="s">
        <v>53</v>
      </c>
      <c r="G405" s="9" t="s">
        <v>53</v>
      </c>
      <c r="H405" s="9"/>
      <c r="I405" s="25" t="n">
        <v>1</v>
      </c>
      <c r="J405" s="9" t="s">
        <v>1282</v>
      </c>
      <c r="K405" s="9" t="s">
        <v>1151</v>
      </c>
      <c r="L405" s="12" t="n">
        <v>1</v>
      </c>
      <c r="M405" s="20" t="n">
        <v>208473.6</v>
      </c>
      <c r="N405" s="20" t="n">
        <v>208473.6</v>
      </c>
      <c r="O405" s="20" t="n">
        <v>0</v>
      </c>
      <c r="P405" s="12" t="n">
        <f aca="false">IF($E405="squad",INDEX(Assumptions!$D$16:$D$56,MATCH($C405&amp;"|"&amp;$D405,Assumptions!$H$16:$H$56,0)),0)</f>
        <v>0.15</v>
      </c>
      <c r="Q405" s="20" t="n">
        <f aca="false">$N405*$P405</f>
        <v>31271.04</v>
      </c>
    </row>
    <row r="406" customFormat="false" ht="15" hidden="false" customHeight="false" outlineLevel="0" collapsed="false">
      <c r="A406" s="9" t="s">
        <v>997</v>
      </c>
      <c r="B406" s="9" t="s">
        <v>1301</v>
      </c>
      <c r="C406" s="9" t="s">
        <v>31</v>
      </c>
      <c r="D406" s="9" t="s">
        <v>974</v>
      </c>
      <c r="E406" s="9" t="s">
        <v>1281</v>
      </c>
      <c r="F406" s="9" t="s">
        <v>53</v>
      </c>
      <c r="G406" s="9" t="s">
        <v>53</v>
      </c>
      <c r="H406" s="9"/>
      <c r="I406" s="25" t="n">
        <v>1</v>
      </c>
      <c r="J406" s="9" t="s">
        <v>1282</v>
      </c>
      <c r="K406" s="9" t="s">
        <v>1151</v>
      </c>
      <c r="L406" s="12" t="n">
        <v>1</v>
      </c>
      <c r="M406" s="20" t="n">
        <v>181470</v>
      </c>
      <c r="N406" s="20" t="n">
        <v>181470</v>
      </c>
      <c r="O406" s="20" t="n">
        <v>0</v>
      </c>
      <c r="P406" s="12" t="n">
        <f aca="false">IF($E406="squad",INDEX(Assumptions!$D$16:$D$56,MATCH($C406&amp;"|"&amp;$D406,Assumptions!$H$16:$H$56,0)),0)</f>
        <v>0.15</v>
      </c>
      <c r="Q406" s="20" t="n">
        <f aca="false">$N406*$P406</f>
        <v>27220.5</v>
      </c>
    </row>
    <row r="407" customFormat="false" ht="15" hidden="false" customHeight="false" outlineLevel="0" collapsed="false">
      <c r="A407" s="9" t="s">
        <v>999</v>
      </c>
      <c r="B407" s="9" t="s">
        <v>1301</v>
      </c>
      <c r="C407" s="9" t="s">
        <v>31</v>
      </c>
      <c r="D407" s="9" t="s">
        <v>981</v>
      </c>
      <c r="E407" s="9" t="s">
        <v>1281</v>
      </c>
      <c r="F407" s="9" t="s">
        <v>53</v>
      </c>
      <c r="G407" s="9" t="s">
        <v>53</v>
      </c>
      <c r="H407" s="9"/>
      <c r="I407" s="25" t="n">
        <v>1</v>
      </c>
      <c r="J407" s="9" t="s">
        <v>1282</v>
      </c>
      <c r="K407" s="9" t="s">
        <v>1151</v>
      </c>
      <c r="L407" s="12" t="n">
        <v>1</v>
      </c>
      <c r="M407" s="20" t="n">
        <v>255372.15</v>
      </c>
      <c r="N407" s="20" t="n">
        <v>255372.15</v>
      </c>
      <c r="O407" s="20" t="n">
        <v>0</v>
      </c>
      <c r="P407" s="12" t="n">
        <f aca="false">IF($E407="squad",INDEX(Assumptions!$D$16:$D$56,MATCH($C407&amp;"|"&amp;$D407,Assumptions!$H$16:$H$56,0)),0)</f>
        <v>0.7</v>
      </c>
      <c r="Q407" s="20" t="n">
        <f aca="false">$N407*$P407</f>
        <v>178760.505</v>
      </c>
    </row>
    <row r="408" customFormat="false" ht="15" hidden="false" customHeight="false" outlineLevel="0" collapsed="false">
      <c r="A408" s="9" t="s">
        <v>1002</v>
      </c>
      <c r="B408" s="9" t="s">
        <v>1301</v>
      </c>
      <c r="C408" s="9" t="s">
        <v>31</v>
      </c>
      <c r="D408" s="9" t="s">
        <v>981</v>
      </c>
      <c r="E408" s="9" t="s">
        <v>1281</v>
      </c>
      <c r="F408" s="9" t="s">
        <v>53</v>
      </c>
      <c r="G408" s="9" t="s">
        <v>53</v>
      </c>
      <c r="H408" s="9"/>
      <c r="I408" s="25" t="n">
        <v>0.6</v>
      </c>
      <c r="J408" s="9" t="s">
        <v>1282</v>
      </c>
      <c r="K408" s="9" t="s">
        <v>1151</v>
      </c>
      <c r="L408" s="12" t="n">
        <v>1</v>
      </c>
      <c r="M408" s="20" t="n">
        <v>157941.18</v>
      </c>
      <c r="N408" s="20" t="n">
        <v>157941.18</v>
      </c>
      <c r="O408" s="20" t="n">
        <v>0</v>
      </c>
      <c r="P408" s="12" t="n">
        <f aca="false">IF($E408="squad",INDEX(Assumptions!$D$16:$D$56,MATCH($C408&amp;"|"&amp;$D408,Assumptions!$H$16:$H$56,0)),0)</f>
        <v>0.7</v>
      </c>
      <c r="Q408" s="20" t="n">
        <f aca="false">$N408*$P408</f>
        <v>110558.826</v>
      </c>
    </row>
    <row r="409" customFormat="false" ht="15" hidden="false" customHeight="false" outlineLevel="0" collapsed="false">
      <c r="A409" s="9" t="s">
        <v>1004</v>
      </c>
      <c r="B409" s="9" t="s">
        <v>1301</v>
      </c>
      <c r="C409" s="9" t="s">
        <v>31</v>
      </c>
      <c r="D409" s="9" t="s">
        <v>981</v>
      </c>
      <c r="E409" s="9" t="s">
        <v>1281</v>
      </c>
      <c r="F409" s="9" t="s">
        <v>53</v>
      </c>
      <c r="G409" s="9" t="s">
        <v>53</v>
      </c>
      <c r="H409" s="9"/>
      <c r="I409" s="25" t="n">
        <v>1</v>
      </c>
      <c r="J409" s="9" t="s">
        <v>1282</v>
      </c>
      <c r="K409" s="9" t="s">
        <v>1151</v>
      </c>
      <c r="L409" s="12" t="n">
        <v>1</v>
      </c>
      <c r="M409" s="20" t="n">
        <v>249124.35</v>
      </c>
      <c r="N409" s="20" t="n">
        <v>249124.35</v>
      </c>
      <c r="O409" s="20" t="n">
        <v>0</v>
      </c>
      <c r="P409" s="12" t="n">
        <f aca="false">IF($E409="squad",INDEX(Assumptions!$D$16:$D$56,MATCH($C409&amp;"|"&amp;$D409,Assumptions!$H$16:$H$56,0)),0)</f>
        <v>0.7</v>
      </c>
      <c r="Q409" s="20" t="n">
        <f aca="false">$N409*$P409</f>
        <v>174387.045</v>
      </c>
    </row>
    <row r="410" customFormat="false" ht="15" hidden="false" customHeight="false" outlineLevel="0" collapsed="false">
      <c r="A410" s="9" t="s">
        <v>1006</v>
      </c>
      <c r="B410" s="9" t="s">
        <v>1301</v>
      </c>
      <c r="C410" s="9" t="s">
        <v>31</v>
      </c>
      <c r="D410" s="9" t="s">
        <v>981</v>
      </c>
      <c r="E410" s="9" t="s">
        <v>1281</v>
      </c>
      <c r="F410" s="9" t="s">
        <v>53</v>
      </c>
      <c r="G410" s="9" t="s">
        <v>53</v>
      </c>
      <c r="H410" s="9"/>
      <c r="I410" s="25" t="n">
        <v>1</v>
      </c>
      <c r="J410" s="9" t="s">
        <v>1282</v>
      </c>
      <c r="K410" s="9" t="s">
        <v>1151</v>
      </c>
      <c r="L410" s="12" t="n">
        <v>1</v>
      </c>
      <c r="M410" s="20" t="n">
        <v>222357.6</v>
      </c>
      <c r="N410" s="20" t="n">
        <v>222357.6</v>
      </c>
      <c r="O410" s="20" t="n">
        <v>0</v>
      </c>
      <c r="P410" s="12" t="n">
        <f aca="false">IF($E410="squad",INDEX(Assumptions!$D$16:$D$56,MATCH($C410&amp;"|"&amp;$D410,Assumptions!$H$16:$H$56,0)),0)</f>
        <v>0.7</v>
      </c>
      <c r="Q410" s="20" t="n">
        <f aca="false">$N410*$P410</f>
        <v>155650.32</v>
      </c>
    </row>
    <row r="411" customFormat="false" ht="15" hidden="false" customHeight="false" outlineLevel="0" collapsed="false">
      <c r="A411" s="9" t="s">
        <v>1008</v>
      </c>
      <c r="B411" s="9" t="s">
        <v>1301</v>
      </c>
      <c r="C411" s="9" t="s">
        <v>31</v>
      </c>
      <c r="D411" s="9" t="s">
        <v>981</v>
      </c>
      <c r="E411" s="9" t="s">
        <v>1281</v>
      </c>
      <c r="F411" s="9" t="s">
        <v>69</v>
      </c>
      <c r="G411" s="9" t="s">
        <v>78</v>
      </c>
      <c r="H411" s="9"/>
      <c r="I411" s="25" t="n">
        <v>1</v>
      </c>
      <c r="J411" s="9" t="s">
        <v>1282</v>
      </c>
      <c r="K411" s="9" t="s">
        <v>1151</v>
      </c>
      <c r="L411" s="12" t="n">
        <v>1</v>
      </c>
      <c r="M411" s="20" t="n">
        <v>202853.25</v>
      </c>
      <c r="N411" s="20" t="n">
        <v>0</v>
      </c>
      <c r="O411" s="20" t="n">
        <v>0</v>
      </c>
      <c r="P411" s="12" t="n">
        <f aca="false">IF($E411="squad",INDEX(Assumptions!$D$16:$D$56,MATCH($C411&amp;"|"&amp;$D411,Assumptions!$H$16:$H$56,0)),0)</f>
        <v>0.7</v>
      </c>
      <c r="Q411" s="20" t="n">
        <f aca="false">$N411*$P411</f>
        <v>0</v>
      </c>
    </row>
    <row r="412" customFormat="false" ht="15" hidden="false" customHeight="false" outlineLevel="0" collapsed="false">
      <c r="A412" s="9" t="s">
        <v>1011</v>
      </c>
      <c r="B412" s="9" t="s">
        <v>1301</v>
      </c>
      <c r="C412" s="9" t="s">
        <v>31</v>
      </c>
      <c r="D412" s="9" t="s">
        <v>981</v>
      </c>
      <c r="E412" s="9" t="s">
        <v>1281</v>
      </c>
      <c r="F412" s="9" t="s">
        <v>53</v>
      </c>
      <c r="G412" s="9" t="s">
        <v>53</v>
      </c>
      <c r="H412" s="9"/>
      <c r="I412" s="25" t="n">
        <v>1</v>
      </c>
      <c r="J412" s="9" t="s">
        <v>1282</v>
      </c>
      <c r="K412" s="9" t="s">
        <v>1151</v>
      </c>
      <c r="L412" s="12" t="n">
        <v>1</v>
      </c>
      <c r="M412" s="20" t="n">
        <v>179624.25</v>
      </c>
      <c r="N412" s="20" t="n">
        <v>179624.25</v>
      </c>
      <c r="O412" s="20" t="n">
        <v>0</v>
      </c>
      <c r="P412" s="12" t="n">
        <f aca="false">IF($E412="squad",INDEX(Assumptions!$D$16:$D$56,MATCH($C412&amp;"|"&amp;$D412,Assumptions!$H$16:$H$56,0)),0)</f>
        <v>0.7</v>
      </c>
      <c r="Q412" s="20" t="n">
        <f aca="false">$N412*$P412</f>
        <v>125736.975</v>
      </c>
    </row>
    <row r="413" customFormat="false" ht="15" hidden="false" customHeight="false" outlineLevel="0" collapsed="false">
      <c r="A413" s="9" t="s">
        <v>1013</v>
      </c>
      <c r="B413" s="9" t="s">
        <v>1301</v>
      </c>
      <c r="C413" s="9" t="s">
        <v>31</v>
      </c>
      <c r="D413" s="9" t="s">
        <v>971</v>
      </c>
      <c r="E413" s="9" t="s">
        <v>1281</v>
      </c>
      <c r="F413" s="9" t="s">
        <v>53</v>
      </c>
      <c r="G413" s="9" t="s">
        <v>71</v>
      </c>
      <c r="H413" s="9"/>
      <c r="I413" s="25" t="n">
        <v>1</v>
      </c>
      <c r="J413" s="9" t="s">
        <v>1282</v>
      </c>
      <c r="K413" s="9" t="s">
        <v>1151</v>
      </c>
      <c r="L413" s="12" t="n">
        <v>1</v>
      </c>
      <c r="M413" s="20" t="n">
        <v>64444.4444444444</v>
      </c>
      <c r="N413" s="20" t="n">
        <v>64444.4444444444</v>
      </c>
      <c r="O413" s="20" t="n">
        <v>0</v>
      </c>
      <c r="P413" s="12" t="n">
        <f aca="false">IF($E413="squad",INDEX(Assumptions!$D$16:$D$56,MATCH($C413&amp;"|"&amp;$D413,Assumptions!$H$16:$H$56,0)),0)</f>
        <v>0.15</v>
      </c>
      <c r="Q413" s="20" t="n">
        <f aca="false">$N413*$P413</f>
        <v>9666.66666666667</v>
      </c>
    </row>
    <row r="414" customFormat="false" ht="15" hidden="false" customHeight="false" outlineLevel="0" collapsed="false">
      <c r="A414" s="9" t="s">
        <v>1016</v>
      </c>
      <c r="B414" s="9" t="s">
        <v>1301</v>
      </c>
      <c r="C414" s="9" t="s">
        <v>31</v>
      </c>
      <c r="D414" s="9" t="s">
        <v>971</v>
      </c>
      <c r="E414" s="9" t="s">
        <v>1281</v>
      </c>
      <c r="F414" s="9" t="s">
        <v>53</v>
      </c>
      <c r="G414" s="9" t="s">
        <v>71</v>
      </c>
      <c r="H414" s="9"/>
      <c r="I414" s="25" t="n">
        <v>1</v>
      </c>
      <c r="J414" s="9" t="s">
        <v>1282</v>
      </c>
      <c r="K414" s="9" t="s">
        <v>1151</v>
      </c>
      <c r="L414" s="12" t="n">
        <v>1</v>
      </c>
      <c r="M414" s="20" t="n">
        <v>64444.4444444444</v>
      </c>
      <c r="N414" s="20" t="n">
        <v>64444.4444444444</v>
      </c>
      <c r="O414" s="20" t="n">
        <v>0</v>
      </c>
      <c r="P414" s="12" t="n">
        <f aca="false">IF($E414="squad",INDEX(Assumptions!$D$16:$D$56,MATCH($C414&amp;"|"&amp;$D414,Assumptions!$H$16:$H$56,0)),0)</f>
        <v>0.15</v>
      </c>
      <c r="Q414" s="20" t="n">
        <f aca="false">$N414*$P414</f>
        <v>9666.66666666667</v>
      </c>
    </row>
    <row r="415" customFormat="false" ht="15" hidden="false" customHeight="false" outlineLevel="0" collapsed="false">
      <c r="A415" s="9" t="s">
        <v>1018</v>
      </c>
      <c r="B415" s="9" t="s">
        <v>1301</v>
      </c>
      <c r="C415" s="9" t="s">
        <v>31</v>
      </c>
      <c r="D415" s="9" t="s">
        <v>971</v>
      </c>
      <c r="E415" s="9" t="s">
        <v>1281</v>
      </c>
      <c r="F415" s="9" t="s">
        <v>53</v>
      </c>
      <c r="G415" s="9" t="s">
        <v>71</v>
      </c>
      <c r="H415" s="9"/>
      <c r="I415" s="25" t="n">
        <v>1</v>
      </c>
      <c r="J415" s="9" t="s">
        <v>1282</v>
      </c>
      <c r="K415" s="9" t="s">
        <v>1151</v>
      </c>
      <c r="L415" s="12" t="n">
        <v>1</v>
      </c>
      <c r="M415" s="20" t="n">
        <v>64444.4444444444</v>
      </c>
      <c r="N415" s="20" t="n">
        <v>64444.4444444444</v>
      </c>
      <c r="O415" s="20" t="n">
        <v>0</v>
      </c>
      <c r="P415" s="12" t="n">
        <f aca="false">IF($E415="squad",INDEX(Assumptions!$D$16:$D$56,MATCH($C415&amp;"|"&amp;$D415,Assumptions!$H$16:$H$56,0)),0)</f>
        <v>0.15</v>
      </c>
      <c r="Q415" s="20" t="n">
        <f aca="false">$N415*$P415</f>
        <v>9666.66666666667</v>
      </c>
    </row>
    <row r="416" customFormat="false" ht="15" hidden="false" customHeight="false" outlineLevel="0" collapsed="false">
      <c r="A416" s="9" t="s">
        <v>1020</v>
      </c>
      <c r="B416" s="9" t="s">
        <v>1301</v>
      </c>
      <c r="C416" s="9" t="s">
        <v>31</v>
      </c>
      <c r="D416" s="9" t="s">
        <v>971</v>
      </c>
      <c r="E416" s="9" t="s">
        <v>1281</v>
      </c>
      <c r="F416" s="9" t="s">
        <v>53</v>
      </c>
      <c r="G416" s="9" t="s">
        <v>71</v>
      </c>
      <c r="H416" s="9"/>
      <c r="I416" s="25" t="n">
        <v>1</v>
      </c>
      <c r="J416" s="9" t="s">
        <v>1282</v>
      </c>
      <c r="K416" s="9" t="s">
        <v>1151</v>
      </c>
      <c r="L416" s="12" t="n">
        <v>1</v>
      </c>
      <c r="M416" s="20" t="n">
        <v>64444.4444444444</v>
      </c>
      <c r="N416" s="20" t="n">
        <v>64444.4444444444</v>
      </c>
      <c r="O416" s="20" t="n">
        <v>0</v>
      </c>
      <c r="P416" s="12" t="n">
        <f aca="false">IF($E416="squad",INDEX(Assumptions!$D$16:$D$56,MATCH($C416&amp;"|"&amp;$D416,Assumptions!$H$16:$H$56,0)),0)</f>
        <v>0.15</v>
      </c>
      <c r="Q416" s="20" t="n">
        <f aca="false">$N416*$P416</f>
        <v>9666.66666666667</v>
      </c>
    </row>
    <row r="417" customFormat="false" ht="15" hidden="false" customHeight="false" outlineLevel="0" collapsed="false">
      <c r="A417" s="9" t="s">
        <v>1022</v>
      </c>
      <c r="B417" s="9" t="s">
        <v>1301</v>
      </c>
      <c r="C417" s="9" t="s">
        <v>31</v>
      </c>
      <c r="D417" s="9" t="s">
        <v>971</v>
      </c>
      <c r="E417" s="9" t="s">
        <v>1281</v>
      </c>
      <c r="F417" s="9" t="s">
        <v>53</v>
      </c>
      <c r="G417" s="9" t="s">
        <v>71</v>
      </c>
      <c r="H417" s="9"/>
      <c r="I417" s="25" t="n">
        <v>1</v>
      </c>
      <c r="J417" s="9" t="s">
        <v>1282</v>
      </c>
      <c r="K417" s="9" t="s">
        <v>1151</v>
      </c>
      <c r="L417" s="12" t="n">
        <v>1</v>
      </c>
      <c r="M417" s="20" t="n">
        <v>64444.4444444444</v>
      </c>
      <c r="N417" s="20" t="n">
        <v>64444.4444444444</v>
      </c>
      <c r="O417" s="20" t="n">
        <v>0</v>
      </c>
      <c r="P417" s="12" t="n">
        <f aca="false">IF($E417="squad",INDEX(Assumptions!$D$16:$D$56,MATCH($C417&amp;"|"&amp;$D417,Assumptions!$H$16:$H$56,0)),0)</f>
        <v>0.15</v>
      </c>
      <c r="Q417" s="20" t="n">
        <f aca="false">$N417*$P417</f>
        <v>9666.66666666667</v>
      </c>
    </row>
    <row r="418" customFormat="false" ht="15" hidden="false" customHeight="false" outlineLevel="0" collapsed="false">
      <c r="A418" s="9" t="s">
        <v>1024</v>
      </c>
      <c r="B418" s="9" t="s">
        <v>1301</v>
      </c>
      <c r="C418" s="9" t="s">
        <v>31</v>
      </c>
      <c r="D418" s="9" t="s">
        <v>971</v>
      </c>
      <c r="E418" s="9" t="s">
        <v>1281</v>
      </c>
      <c r="F418" s="9" t="s">
        <v>53</v>
      </c>
      <c r="G418" s="9" t="s">
        <v>71</v>
      </c>
      <c r="H418" s="9"/>
      <c r="I418" s="25" t="n">
        <v>1</v>
      </c>
      <c r="J418" s="9" t="s">
        <v>1282</v>
      </c>
      <c r="K418" s="9" t="s">
        <v>1151</v>
      </c>
      <c r="L418" s="12" t="n">
        <v>1</v>
      </c>
      <c r="M418" s="20" t="n">
        <v>64444.4444444444</v>
      </c>
      <c r="N418" s="20" t="n">
        <v>64444.4444444444</v>
      </c>
      <c r="O418" s="20" t="n">
        <v>0</v>
      </c>
      <c r="P418" s="12" t="n">
        <f aca="false">IF($E418="squad",INDEX(Assumptions!$D$16:$D$56,MATCH($C418&amp;"|"&amp;$D418,Assumptions!$H$16:$H$56,0)),0)</f>
        <v>0.15</v>
      </c>
      <c r="Q418" s="20" t="n">
        <f aca="false">$N418*$P418</f>
        <v>9666.66666666667</v>
      </c>
    </row>
    <row r="419" customFormat="false" ht="15" hidden="false" customHeight="false" outlineLevel="0" collapsed="false">
      <c r="A419" s="9" t="s">
        <v>1026</v>
      </c>
      <c r="B419" s="9" t="s">
        <v>1301</v>
      </c>
      <c r="C419" s="9" t="s">
        <v>31</v>
      </c>
      <c r="D419" s="9" t="s">
        <v>971</v>
      </c>
      <c r="E419" s="9" t="s">
        <v>1281</v>
      </c>
      <c r="F419" s="9" t="s">
        <v>53</v>
      </c>
      <c r="G419" s="9" t="s">
        <v>71</v>
      </c>
      <c r="H419" s="9"/>
      <c r="I419" s="25" t="n">
        <v>1</v>
      </c>
      <c r="J419" s="9" t="s">
        <v>1282</v>
      </c>
      <c r="K419" s="9" t="s">
        <v>1151</v>
      </c>
      <c r="L419" s="12" t="n">
        <v>1</v>
      </c>
      <c r="M419" s="20" t="n">
        <v>64444.4444444444</v>
      </c>
      <c r="N419" s="20" t="n">
        <v>64444.4444444444</v>
      </c>
      <c r="O419" s="20" t="n">
        <v>0</v>
      </c>
      <c r="P419" s="12" t="n">
        <f aca="false">IF($E419="squad",INDEX(Assumptions!$D$16:$D$56,MATCH($C419&amp;"|"&amp;$D419,Assumptions!$H$16:$H$56,0)),0)</f>
        <v>0.15</v>
      </c>
      <c r="Q419" s="20" t="n">
        <f aca="false">$N419*$P419</f>
        <v>9666.66666666667</v>
      </c>
    </row>
    <row r="420" customFormat="false" ht="15" hidden="false" customHeight="false" outlineLevel="0" collapsed="false">
      <c r="A420" s="9" t="s">
        <v>1028</v>
      </c>
      <c r="B420" s="9" t="s">
        <v>1301</v>
      </c>
      <c r="C420" s="9" t="s">
        <v>31</v>
      </c>
      <c r="D420" s="9" t="s">
        <v>971</v>
      </c>
      <c r="E420" s="9" t="s">
        <v>1281</v>
      </c>
      <c r="F420" s="9" t="s">
        <v>53</v>
      </c>
      <c r="G420" s="9" t="s">
        <v>71</v>
      </c>
      <c r="H420" s="9"/>
      <c r="I420" s="25" t="n">
        <v>1</v>
      </c>
      <c r="J420" s="9" t="s">
        <v>1282</v>
      </c>
      <c r="K420" s="9" t="s">
        <v>1151</v>
      </c>
      <c r="L420" s="12" t="n">
        <v>1</v>
      </c>
      <c r="M420" s="20" t="n">
        <v>64444.4444444444</v>
      </c>
      <c r="N420" s="20" t="n">
        <v>64444.4444444444</v>
      </c>
      <c r="O420" s="20" t="n">
        <v>0</v>
      </c>
      <c r="P420" s="12" t="n">
        <f aca="false">IF($E420="squad",INDEX(Assumptions!$D$16:$D$56,MATCH($C420&amp;"|"&amp;$D420,Assumptions!$H$16:$H$56,0)),0)</f>
        <v>0.15</v>
      </c>
      <c r="Q420" s="20" t="n">
        <f aca="false">$N420*$P420</f>
        <v>9666.66666666667</v>
      </c>
    </row>
    <row r="421" customFormat="false" ht="15" hidden="false" customHeight="false" outlineLevel="0" collapsed="false">
      <c r="A421" s="9" t="s">
        <v>1030</v>
      </c>
      <c r="B421" s="9" t="s">
        <v>1301</v>
      </c>
      <c r="C421" s="9" t="s">
        <v>31</v>
      </c>
      <c r="D421" s="9" t="s">
        <v>971</v>
      </c>
      <c r="E421" s="9" t="s">
        <v>1281</v>
      </c>
      <c r="F421" s="9" t="s">
        <v>53</v>
      </c>
      <c r="G421" s="9" t="s">
        <v>71</v>
      </c>
      <c r="H421" s="9"/>
      <c r="I421" s="25" t="n">
        <v>1</v>
      </c>
      <c r="J421" s="9" t="s">
        <v>1282</v>
      </c>
      <c r="K421" s="9" t="s">
        <v>1151</v>
      </c>
      <c r="L421" s="12" t="n">
        <v>1</v>
      </c>
      <c r="M421" s="20" t="n">
        <v>64444.4444444444</v>
      </c>
      <c r="N421" s="20" t="n">
        <v>64444.4444444444</v>
      </c>
      <c r="O421" s="20" t="n">
        <v>0</v>
      </c>
      <c r="P421" s="12" t="n">
        <f aca="false">IF($E421="squad",INDEX(Assumptions!$D$16:$D$56,MATCH($C421&amp;"|"&amp;$D421,Assumptions!$H$16:$H$56,0)),0)</f>
        <v>0.15</v>
      </c>
      <c r="Q421" s="20" t="n">
        <f aca="false">$N421*$P421</f>
        <v>9666.66666666667</v>
      </c>
    </row>
    <row r="422" customFormat="false" ht="15" hidden="false" customHeight="false" outlineLevel="0" collapsed="false">
      <c r="A422" s="9" t="s">
        <v>1033</v>
      </c>
      <c r="B422" s="9" t="s">
        <v>1301</v>
      </c>
      <c r="C422" s="9" t="s">
        <v>31</v>
      </c>
      <c r="D422" s="9" t="s">
        <v>1032</v>
      </c>
      <c r="E422" s="9" t="s">
        <v>1283</v>
      </c>
      <c r="F422" s="9" t="s">
        <v>53</v>
      </c>
      <c r="G422" s="9" t="s">
        <v>53</v>
      </c>
      <c r="H422" s="9"/>
      <c r="I422" s="25" t="n">
        <v>1</v>
      </c>
      <c r="J422" s="9" t="s">
        <v>1282</v>
      </c>
      <c r="K422" s="9" t="s">
        <v>36</v>
      </c>
      <c r="L422" s="12" t="n">
        <v>1</v>
      </c>
      <c r="M422" s="20" t="n">
        <v>263635.8</v>
      </c>
      <c r="N422" s="20" t="n">
        <v>263635.8</v>
      </c>
      <c r="O422" s="20" t="n">
        <v>0</v>
      </c>
      <c r="P422" s="12" t="n">
        <f aca="false">IF($E422="squad",INDEX(Assumptions!$D$16:$D$56,MATCH($C422&amp;"|"&amp;$D422,Assumptions!$H$16:$H$56,0)),0)</f>
        <v>0</v>
      </c>
      <c r="Q422" s="20" t="n">
        <f aca="false">$N422*$P422</f>
        <v>0</v>
      </c>
    </row>
    <row r="423" customFormat="false" ht="15" hidden="false" customHeight="false" outlineLevel="0" collapsed="false">
      <c r="A423" s="9" t="s">
        <v>1036</v>
      </c>
      <c r="B423" s="9" t="s">
        <v>1301</v>
      </c>
      <c r="C423" s="9" t="s">
        <v>31</v>
      </c>
      <c r="D423" s="9" t="s">
        <v>1032</v>
      </c>
      <c r="E423" s="9" t="s">
        <v>1283</v>
      </c>
      <c r="F423" s="9" t="s">
        <v>53</v>
      </c>
      <c r="G423" s="9" t="s">
        <v>53</v>
      </c>
      <c r="H423" s="9"/>
      <c r="I423" s="25" t="n">
        <v>1</v>
      </c>
      <c r="J423" s="9" t="s">
        <v>1282</v>
      </c>
      <c r="K423" s="9" t="s">
        <v>36</v>
      </c>
      <c r="L423" s="12" t="n">
        <v>1</v>
      </c>
      <c r="M423" s="20" t="n">
        <v>250993.35</v>
      </c>
      <c r="N423" s="20" t="n">
        <v>250993.35</v>
      </c>
      <c r="O423" s="20" t="n">
        <v>0</v>
      </c>
      <c r="P423" s="12" t="n">
        <f aca="false">IF($E423="squad",INDEX(Assumptions!$D$16:$D$56,MATCH($C423&amp;"|"&amp;$D423,Assumptions!$H$16:$H$56,0)),0)</f>
        <v>0</v>
      </c>
      <c r="Q423" s="20" t="n">
        <f aca="false">$N423*$P423</f>
        <v>0</v>
      </c>
    </row>
    <row r="424" customFormat="false" ht="15" hidden="false" customHeight="false" outlineLevel="0" collapsed="false">
      <c r="A424" s="9" t="s">
        <v>1039</v>
      </c>
      <c r="B424" s="9" t="s">
        <v>1301</v>
      </c>
      <c r="C424" s="9" t="s">
        <v>31</v>
      </c>
      <c r="D424" s="9" t="s">
        <v>1032</v>
      </c>
      <c r="E424" s="9" t="s">
        <v>1283</v>
      </c>
      <c r="F424" s="9" t="s">
        <v>69</v>
      </c>
      <c r="G424" s="9" t="s">
        <v>82</v>
      </c>
      <c r="H424" s="9"/>
      <c r="I424" s="25" t="n">
        <v>1</v>
      </c>
      <c r="J424" s="9" t="s">
        <v>1282</v>
      </c>
      <c r="K424" s="9" t="s">
        <v>36</v>
      </c>
      <c r="L424" s="12" t="n">
        <v>1</v>
      </c>
      <c r="M424" s="20" t="n">
        <v>202853.25</v>
      </c>
      <c r="N424" s="20" t="n">
        <v>202853.25</v>
      </c>
      <c r="O424" s="20" t="n">
        <v>0</v>
      </c>
      <c r="P424" s="12" t="n">
        <f aca="false">IF($E424="squad",INDEX(Assumptions!$D$16:$D$56,MATCH($C424&amp;"|"&amp;$D424,Assumptions!$H$16:$H$56,0)),0)</f>
        <v>0</v>
      </c>
      <c r="Q424" s="20" t="n">
        <f aca="false">$N424*$P424</f>
        <v>0</v>
      </c>
    </row>
    <row r="425" customFormat="false" ht="15" hidden="false" customHeight="false" outlineLevel="0" collapsed="false">
      <c r="A425" s="9" t="s">
        <v>1040</v>
      </c>
      <c r="B425" s="9" t="s">
        <v>1301</v>
      </c>
      <c r="C425" s="9" t="s">
        <v>31</v>
      </c>
      <c r="D425" s="9" t="s">
        <v>1032</v>
      </c>
      <c r="E425" s="9" t="s">
        <v>1283</v>
      </c>
      <c r="F425" s="9" t="s">
        <v>53</v>
      </c>
      <c r="G425" s="9" t="s">
        <v>53</v>
      </c>
      <c r="H425" s="9"/>
      <c r="I425" s="25" t="n">
        <v>1</v>
      </c>
      <c r="J425" s="9" t="s">
        <v>1282</v>
      </c>
      <c r="K425" s="9" t="s">
        <v>36</v>
      </c>
      <c r="L425" s="12" t="n">
        <v>1</v>
      </c>
      <c r="M425" s="20" t="n">
        <v>240300</v>
      </c>
      <c r="N425" s="20" t="n">
        <v>240300</v>
      </c>
      <c r="O425" s="20" t="n">
        <v>0</v>
      </c>
      <c r="P425" s="12" t="n">
        <f aca="false">IF($E425="squad",INDEX(Assumptions!$D$16:$D$56,MATCH($C425&amp;"|"&amp;$D425,Assumptions!$H$16:$H$56,0)),0)</f>
        <v>0</v>
      </c>
      <c r="Q425" s="20" t="n">
        <f aca="false">$N425*$P425</f>
        <v>0</v>
      </c>
    </row>
    <row r="426" customFormat="false" ht="15" hidden="false" customHeight="false" outlineLevel="0" collapsed="false">
      <c r="A426" s="9" t="s">
        <v>1043</v>
      </c>
      <c r="B426" s="9" t="s">
        <v>1301</v>
      </c>
      <c r="C426" s="9" t="s">
        <v>31</v>
      </c>
      <c r="D426" s="9" t="s">
        <v>1032</v>
      </c>
      <c r="E426" s="9" t="s">
        <v>1283</v>
      </c>
      <c r="F426" s="9" t="s">
        <v>53</v>
      </c>
      <c r="G426" s="9" t="s">
        <v>53</v>
      </c>
      <c r="H426" s="9"/>
      <c r="I426" s="25" t="n">
        <v>1</v>
      </c>
      <c r="J426" s="9" t="s">
        <v>1282</v>
      </c>
      <c r="K426" s="9" t="s">
        <v>36</v>
      </c>
      <c r="L426" s="12" t="n">
        <v>1</v>
      </c>
      <c r="M426" s="20" t="n">
        <v>237763.5</v>
      </c>
      <c r="N426" s="20" t="n">
        <v>237763.5</v>
      </c>
      <c r="O426" s="20" t="n">
        <v>0</v>
      </c>
      <c r="P426" s="12" t="n">
        <f aca="false">IF($E426="squad",INDEX(Assumptions!$D$16:$D$56,MATCH($C426&amp;"|"&amp;$D426,Assumptions!$H$16:$H$56,0)),0)</f>
        <v>0</v>
      </c>
      <c r="Q426" s="20" t="n">
        <f aca="false">$N426*$P426</f>
        <v>0</v>
      </c>
    </row>
    <row r="427" customFormat="false" ht="15" hidden="false" customHeight="false" outlineLevel="0" collapsed="false">
      <c r="A427" s="9" t="s">
        <v>1046</v>
      </c>
      <c r="B427" s="9" t="s">
        <v>1301</v>
      </c>
      <c r="C427" s="9" t="s">
        <v>31</v>
      </c>
      <c r="D427" s="9" t="s">
        <v>1032</v>
      </c>
      <c r="E427" s="9" t="s">
        <v>1283</v>
      </c>
      <c r="F427" s="9" t="s">
        <v>53</v>
      </c>
      <c r="G427" s="9" t="s">
        <v>53</v>
      </c>
      <c r="H427" s="9"/>
      <c r="I427" s="25" t="n">
        <v>1</v>
      </c>
      <c r="J427" s="9" t="s">
        <v>1282</v>
      </c>
      <c r="K427" s="9" t="s">
        <v>36</v>
      </c>
      <c r="L427" s="12" t="n">
        <v>1</v>
      </c>
      <c r="M427" s="20" t="n">
        <v>242970</v>
      </c>
      <c r="N427" s="20" t="n">
        <v>242970</v>
      </c>
      <c r="O427" s="20" t="n">
        <v>0</v>
      </c>
      <c r="P427" s="12" t="n">
        <f aca="false">IF($E427="squad",INDEX(Assumptions!$D$16:$D$56,MATCH($C427&amp;"|"&amp;$D427,Assumptions!$H$16:$H$56,0)),0)</f>
        <v>0</v>
      </c>
      <c r="Q427" s="20" t="n">
        <f aca="false">$N427*$P427</f>
        <v>0</v>
      </c>
    </row>
    <row r="428" customFormat="false" ht="15" hidden="false" customHeight="false" outlineLevel="0" collapsed="false">
      <c r="A428" s="9" t="s">
        <v>1048</v>
      </c>
      <c r="B428" s="9" t="s">
        <v>1301</v>
      </c>
      <c r="C428" s="9" t="s">
        <v>31</v>
      </c>
      <c r="D428" s="9" t="s">
        <v>1032</v>
      </c>
      <c r="E428" s="9" t="s">
        <v>1283</v>
      </c>
      <c r="F428" s="9" t="s">
        <v>53</v>
      </c>
      <c r="G428" s="9" t="s">
        <v>53</v>
      </c>
      <c r="H428" s="9"/>
      <c r="I428" s="25" t="n">
        <v>1</v>
      </c>
      <c r="J428" s="9" t="s">
        <v>1282</v>
      </c>
      <c r="K428" s="9" t="s">
        <v>36</v>
      </c>
      <c r="L428" s="12" t="n">
        <v>1</v>
      </c>
      <c r="M428" s="20" t="n">
        <v>226950</v>
      </c>
      <c r="N428" s="20" t="n">
        <v>226950</v>
      </c>
      <c r="O428" s="20" t="n">
        <v>0</v>
      </c>
      <c r="P428" s="12" t="n">
        <f aca="false">IF($E428="squad",INDEX(Assumptions!$D$16:$D$56,MATCH($C428&amp;"|"&amp;$D428,Assumptions!$H$16:$H$56,0)),0)</f>
        <v>0</v>
      </c>
      <c r="Q428" s="20" t="n">
        <f aca="false">$N428*$P428</f>
        <v>0</v>
      </c>
    </row>
    <row r="429" customFormat="false" ht="15" hidden="false" customHeight="false" outlineLevel="0" collapsed="false">
      <c r="A429" s="9" t="s">
        <v>1051</v>
      </c>
      <c r="B429" s="9" t="s">
        <v>1301</v>
      </c>
      <c r="C429" s="9" t="s">
        <v>31</v>
      </c>
      <c r="D429" s="9" t="s">
        <v>1032</v>
      </c>
      <c r="E429" s="9" t="s">
        <v>1283</v>
      </c>
      <c r="F429" s="9" t="s">
        <v>69</v>
      </c>
      <c r="G429" s="9" t="s">
        <v>82</v>
      </c>
      <c r="H429" s="9"/>
      <c r="I429" s="25" t="n">
        <v>1</v>
      </c>
      <c r="J429" s="9" t="s">
        <v>1282</v>
      </c>
      <c r="K429" s="9" t="s">
        <v>36</v>
      </c>
      <c r="L429" s="12" t="n">
        <v>1</v>
      </c>
      <c r="M429" s="20" t="n">
        <v>170489.75</v>
      </c>
      <c r="N429" s="20" t="n">
        <v>170489.75</v>
      </c>
      <c r="O429" s="20" t="n">
        <v>0</v>
      </c>
      <c r="P429" s="12" t="n">
        <f aca="false">IF($E429="squad",INDEX(Assumptions!$D$16:$D$56,MATCH($C429&amp;"|"&amp;$D429,Assumptions!$H$16:$H$56,0)),0)</f>
        <v>0</v>
      </c>
      <c r="Q429" s="20" t="n">
        <f aca="false">$N429*$P429</f>
        <v>0</v>
      </c>
    </row>
    <row r="430" customFormat="false" ht="15" hidden="false" customHeight="false" outlineLevel="0" collapsed="false">
      <c r="A430" s="9" t="s">
        <v>1052</v>
      </c>
      <c r="B430" s="9" t="s">
        <v>1301</v>
      </c>
      <c r="C430" s="9" t="s">
        <v>31</v>
      </c>
      <c r="D430" s="9" t="s">
        <v>756</v>
      </c>
      <c r="E430" s="9" t="s">
        <v>1283</v>
      </c>
      <c r="F430" s="9" t="s">
        <v>53</v>
      </c>
      <c r="G430" s="9" t="s">
        <v>53</v>
      </c>
      <c r="H430" s="9"/>
      <c r="I430" s="25" t="n">
        <v>1</v>
      </c>
      <c r="J430" s="9" t="s">
        <v>1282</v>
      </c>
      <c r="K430" s="9" t="s">
        <v>756</v>
      </c>
      <c r="L430" s="12" t="n">
        <v>1</v>
      </c>
      <c r="M430" s="20" t="n">
        <v>295918.45</v>
      </c>
      <c r="N430" s="20" t="n">
        <v>295918.45</v>
      </c>
      <c r="O430" s="20" t="n">
        <v>0</v>
      </c>
      <c r="P430" s="12" t="n">
        <f aca="false">IF($E430="squad",INDEX(Assumptions!$D$16:$D$56,MATCH($C430&amp;"|"&amp;$D430,Assumptions!$H$16:$H$56,0)),0)</f>
        <v>0</v>
      </c>
      <c r="Q430" s="20" t="n">
        <f aca="false">$N430*$P430</f>
        <v>0</v>
      </c>
    </row>
    <row r="431" customFormat="false" ht="15" hidden="false" customHeight="false" outlineLevel="0" collapsed="false">
      <c r="A431" s="9" t="s">
        <v>1055</v>
      </c>
      <c r="B431" s="9" t="s">
        <v>1301</v>
      </c>
      <c r="C431" s="9" t="s">
        <v>31</v>
      </c>
      <c r="D431" s="9" t="s">
        <v>756</v>
      </c>
      <c r="E431" s="9" t="s">
        <v>1283</v>
      </c>
      <c r="F431" s="9" t="s">
        <v>69</v>
      </c>
      <c r="G431" s="9" t="s">
        <v>82</v>
      </c>
      <c r="H431" s="9"/>
      <c r="I431" s="25" t="n">
        <v>1</v>
      </c>
      <c r="J431" s="9" t="s">
        <v>1282</v>
      </c>
      <c r="K431" s="9" t="s">
        <v>756</v>
      </c>
      <c r="L431" s="12" t="n">
        <v>1</v>
      </c>
      <c r="M431" s="20" t="n">
        <v>202853.25</v>
      </c>
      <c r="N431" s="20" t="n">
        <v>202853.25</v>
      </c>
      <c r="O431" s="20" t="n">
        <v>0</v>
      </c>
      <c r="P431" s="12" t="n">
        <f aca="false">IF($E431="squad",INDEX(Assumptions!$D$16:$D$56,MATCH($C431&amp;"|"&amp;$D431,Assumptions!$H$16:$H$56,0)),0)</f>
        <v>0</v>
      </c>
      <c r="Q431" s="20" t="n">
        <f aca="false">$N431*$P431</f>
        <v>0</v>
      </c>
    </row>
    <row r="432" customFormat="false" ht="15" hidden="false" customHeight="false" outlineLevel="0" collapsed="false">
      <c r="A432" s="9" t="s">
        <v>1057</v>
      </c>
      <c r="B432" s="9" t="s">
        <v>1301</v>
      </c>
      <c r="C432" s="9" t="s">
        <v>31</v>
      </c>
      <c r="D432" s="9" t="s">
        <v>199</v>
      </c>
      <c r="E432" s="9" t="s">
        <v>1286</v>
      </c>
      <c r="F432" s="9" t="s">
        <v>53</v>
      </c>
      <c r="G432" s="9" t="s">
        <v>53</v>
      </c>
      <c r="H432" s="9"/>
      <c r="I432" s="25" t="n">
        <v>1</v>
      </c>
      <c r="J432" s="9" t="s">
        <v>1282</v>
      </c>
      <c r="K432" s="9" t="s">
        <v>756</v>
      </c>
      <c r="L432" s="12" t="n">
        <v>1</v>
      </c>
      <c r="M432" s="20" t="n">
        <v>409755.7</v>
      </c>
      <c r="N432" s="20" t="n">
        <v>409755.7</v>
      </c>
      <c r="O432" s="20" t="n">
        <v>0</v>
      </c>
      <c r="P432" s="12" t="n">
        <f aca="false">IF($E432="squad",INDEX(Assumptions!$D$16:$D$56,MATCH($C432&amp;"|"&amp;$D432,Assumptions!$H$16:$H$56,0)),0)</f>
        <v>0</v>
      </c>
      <c r="Q432" s="20" t="n">
        <f aca="false">$N432*$P432</f>
        <v>0</v>
      </c>
    </row>
    <row r="433" customFormat="false" ht="15" hidden="false" customHeight="false" outlineLevel="0" collapsed="false">
      <c r="A433" s="9" t="s">
        <v>1060</v>
      </c>
      <c r="B433" s="9" t="s">
        <v>1301</v>
      </c>
      <c r="C433" s="9" t="s">
        <v>31</v>
      </c>
      <c r="D433" s="9" t="s">
        <v>206</v>
      </c>
      <c r="E433" s="9" t="s">
        <v>1286</v>
      </c>
      <c r="F433" s="9" t="s">
        <v>53</v>
      </c>
      <c r="G433" s="9" t="s">
        <v>53</v>
      </c>
      <c r="H433" s="9"/>
      <c r="I433" s="25" t="n">
        <v>1</v>
      </c>
      <c r="J433" s="9" t="s">
        <v>1284</v>
      </c>
      <c r="K433" s="9" t="s">
        <v>756</v>
      </c>
      <c r="L433" s="12" t="n">
        <v>1</v>
      </c>
      <c r="M433" s="20" t="n">
        <v>320862</v>
      </c>
      <c r="N433" s="20" t="n">
        <v>320862</v>
      </c>
      <c r="O433" s="20" t="n">
        <v>0</v>
      </c>
      <c r="P433" s="12" t="n">
        <f aca="false">IF($E433="squad",INDEX(Assumptions!$D$16:$D$56,MATCH($C433&amp;"|"&amp;$D433,Assumptions!$H$16:$H$56,0)),0)</f>
        <v>0</v>
      </c>
      <c r="Q433" s="20" t="n">
        <f aca="false">$N433*$P433</f>
        <v>0</v>
      </c>
    </row>
    <row r="434" customFormat="false" ht="15" hidden="false" customHeight="false" outlineLevel="0" collapsed="false">
      <c r="A434" s="9" t="s">
        <v>1063</v>
      </c>
      <c r="B434" s="9" t="s">
        <v>1301</v>
      </c>
      <c r="C434" s="9" t="s">
        <v>31</v>
      </c>
      <c r="D434" s="9" t="s">
        <v>206</v>
      </c>
      <c r="E434" s="9" t="s">
        <v>1286</v>
      </c>
      <c r="F434" s="9" t="s">
        <v>53</v>
      </c>
      <c r="G434" s="9" t="s">
        <v>53</v>
      </c>
      <c r="H434" s="9"/>
      <c r="I434" s="25" t="n">
        <v>1</v>
      </c>
      <c r="J434" s="9" t="s">
        <v>1282</v>
      </c>
      <c r="K434" s="9" t="s">
        <v>756</v>
      </c>
      <c r="L434" s="12" t="n">
        <v>1</v>
      </c>
      <c r="M434" s="20" t="n">
        <v>330416.75</v>
      </c>
      <c r="N434" s="20" t="n">
        <v>330416.75</v>
      </c>
      <c r="O434" s="20" t="n">
        <v>0</v>
      </c>
      <c r="P434" s="12" t="n">
        <f aca="false">IF($E434="squad",INDEX(Assumptions!$D$16:$D$56,MATCH($C434&amp;"|"&amp;$D434,Assumptions!$H$16:$H$56,0)),0)</f>
        <v>0</v>
      </c>
      <c r="Q434" s="20" t="n">
        <f aca="false">$N434*$P434</f>
        <v>0</v>
      </c>
    </row>
    <row r="435" customFormat="false" ht="15" hidden="false" customHeight="false" outlineLevel="0" collapsed="false">
      <c r="A435" s="9" t="s">
        <v>1067</v>
      </c>
      <c r="B435" s="9" t="s">
        <v>1302</v>
      </c>
      <c r="C435" s="9" t="s">
        <v>25</v>
      </c>
      <c r="D435" s="9" t="s">
        <v>1066</v>
      </c>
      <c r="E435" s="9" t="s">
        <v>1281</v>
      </c>
      <c r="F435" s="9" t="s">
        <v>53</v>
      </c>
      <c r="G435" s="9" t="s">
        <v>53</v>
      </c>
      <c r="H435" s="9"/>
      <c r="I435" s="25" t="n">
        <v>1</v>
      </c>
      <c r="J435" s="9" t="s">
        <v>1282</v>
      </c>
      <c r="K435" s="9" t="s">
        <v>1159</v>
      </c>
      <c r="L435" s="12" t="n">
        <v>1</v>
      </c>
      <c r="M435" s="20" t="n">
        <v>258709.65</v>
      </c>
      <c r="N435" s="20" t="n">
        <v>258709.65</v>
      </c>
      <c r="O435" s="20" t="n">
        <v>0</v>
      </c>
      <c r="P435" s="12" t="n">
        <f aca="false">IF($E435="squad",INDEX(Assumptions!$D$16:$D$56,MATCH($C435&amp;"|"&amp;$D435,Assumptions!$H$16:$H$56,0)),0)</f>
        <v>0.8</v>
      </c>
      <c r="Q435" s="20" t="n">
        <f aca="false">$N435*$P435</f>
        <v>206967.72</v>
      </c>
    </row>
    <row r="436" customFormat="false" ht="15" hidden="false" customHeight="false" outlineLevel="0" collapsed="false">
      <c r="A436" s="9" t="s">
        <v>1070</v>
      </c>
      <c r="B436" s="9" t="s">
        <v>1302</v>
      </c>
      <c r="C436" s="9" t="s">
        <v>25</v>
      </c>
      <c r="D436" s="9" t="s">
        <v>1066</v>
      </c>
      <c r="E436" s="9" t="s">
        <v>1281</v>
      </c>
      <c r="F436" s="9" t="s">
        <v>53</v>
      </c>
      <c r="G436" s="9" t="s">
        <v>53</v>
      </c>
      <c r="H436" s="9"/>
      <c r="I436" s="25" t="n">
        <v>1</v>
      </c>
      <c r="J436" s="9" t="s">
        <v>1282</v>
      </c>
      <c r="K436" s="9" t="s">
        <v>1159</v>
      </c>
      <c r="L436" s="12" t="n">
        <v>1</v>
      </c>
      <c r="M436" s="20" t="n">
        <v>215682.6</v>
      </c>
      <c r="N436" s="20" t="n">
        <v>215682.6</v>
      </c>
      <c r="O436" s="20" t="n">
        <v>0</v>
      </c>
      <c r="P436" s="12" t="n">
        <f aca="false">IF($E436="squad",INDEX(Assumptions!$D$16:$D$56,MATCH($C436&amp;"|"&amp;$D436,Assumptions!$H$16:$H$56,0)),0)</f>
        <v>0.8</v>
      </c>
      <c r="Q436" s="20" t="n">
        <f aca="false">$N436*$P436</f>
        <v>172546.08</v>
      </c>
    </row>
    <row r="437" customFormat="false" ht="15" hidden="false" customHeight="false" outlineLevel="0" collapsed="false">
      <c r="A437" s="9" t="s">
        <v>1073</v>
      </c>
      <c r="B437" s="9" t="s">
        <v>1302</v>
      </c>
      <c r="C437" s="9" t="s">
        <v>25</v>
      </c>
      <c r="D437" s="9" t="s">
        <v>1066</v>
      </c>
      <c r="E437" s="9" t="s">
        <v>1281</v>
      </c>
      <c r="F437" s="9" t="s">
        <v>53</v>
      </c>
      <c r="G437" s="9" t="s">
        <v>53</v>
      </c>
      <c r="H437" s="9"/>
      <c r="I437" s="25" t="n">
        <v>1</v>
      </c>
      <c r="J437" s="9" t="s">
        <v>1282</v>
      </c>
      <c r="K437" s="9" t="s">
        <v>1159</v>
      </c>
      <c r="L437" s="12" t="n">
        <v>1</v>
      </c>
      <c r="M437" s="20" t="n">
        <v>190675</v>
      </c>
      <c r="N437" s="20" t="n">
        <v>190675</v>
      </c>
      <c r="O437" s="20" t="n">
        <v>0</v>
      </c>
      <c r="P437" s="12" t="n">
        <f aca="false">IF($E437="squad",INDEX(Assumptions!$D$16:$D$56,MATCH($C437&amp;"|"&amp;$D437,Assumptions!$H$16:$H$56,0)),0)</f>
        <v>0.8</v>
      </c>
      <c r="Q437" s="20" t="n">
        <f aca="false">$N437*$P437</f>
        <v>152540</v>
      </c>
    </row>
    <row r="438" customFormat="false" ht="15" hidden="false" customHeight="false" outlineLevel="0" collapsed="false">
      <c r="A438" s="9" t="s">
        <v>1075</v>
      </c>
      <c r="B438" s="9" t="s">
        <v>1302</v>
      </c>
      <c r="C438" s="9" t="s">
        <v>25</v>
      </c>
      <c r="D438" s="9" t="s">
        <v>1066</v>
      </c>
      <c r="E438" s="9" t="s">
        <v>1281</v>
      </c>
      <c r="F438" s="9" t="s">
        <v>53</v>
      </c>
      <c r="G438" s="9" t="s">
        <v>53</v>
      </c>
      <c r="H438" s="9"/>
      <c r="I438" s="25" t="n">
        <v>1</v>
      </c>
      <c r="J438" s="9" t="s">
        <v>1282</v>
      </c>
      <c r="K438" s="9" t="s">
        <v>1159</v>
      </c>
      <c r="L438" s="12" t="n">
        <v>1</v>
      </c>
      <c r="M438" s="20" t="n">
        <v>173132.9</v>
      </c>
      <c r="N438" s="20" t="n">
        <v>173132.9</v>
      </c>
      <c r="O438" s="20" t="n">
        <v>0</v>
      </c>
      <c r="P438" s="12" t="n">
        <f aca="false">IF($E438="squad",INDEX(Assumptions!$D$16:$D$56,MATCH($C438&amp;"|"&amp;$D438,Assumptions!$H$16:$H$56,0)),0)</f>
        <v>0.8</v>
      </c>
      <c r="Q438" s="20" t="n">
        <f aca="false">$N438*$P438</f>
        <v>138506.32</v>
      </c>
    </row>
    <row r="439" customFormat="false" ht="15" hidden="false" customHeight="false" outlineLevel="0" collapsed="false">
      <c r="A439" s="9" t="s">
        <v>1078</v>
      </c>
      <c r="B439" s="9" t="s">
        <v>1302</v>
      </c>
      <c r="C439" s="9" t="s">
        <v>25</v>
      </c>
      <c r="D439" s="9" t="s">
        <v>1077</v>
      </c>
      <c r="E439" s="9" t="s">
        <v>1283</v>
      </c>
      <c r="F439" s="9" t="s">
        <v>53</v>
      </c>
      <c r="G439" s="9" t="s">
        <v>53</v>
      </c>
      <c r="H439" s="9"/>
      <c r="I439" s="25" t="n">
        <v>1</v>
      </c>
      <c r="J439" s="9" t="s">
        <v>1282</v>
      </c>
      <c r="K439" s="9" t="s">
        <v>1159</v>
      </c>
      <c r="L439" s="12" t="n">
        <v>1</v>
      </c>
      <c r="M439" s="20" t="n">
        <v>315674.35</v>
      </c>
      <c r="N439" s="20" t="n">
        <v>315674.35</v>
      </c>
      <c r="O439" s="20" t="n">
        <v>0</v>
      </c>
      <c r="P439" s="12" t="n">
        <f aca="false">IF($E439="squad",INDEX(Assumptions!$D$16:$D$56,MATCH($C439&amp;"|"&amp;$D439,Assumptions!$H$16:$H$56,0)),0)</f>
        <v>0</v>
      </c>
      <c r="Q439" s="20" t="n">
        <f aca="false">$N439*$P439</f>
        <v>0</v>
      </c>
    </row>
    <row r="440" customFormat="false" ht="15" hidden="false" customHeight="false" outlineLevel="0" collapsed="false">
      <c r="A440" s="9" t="s">
        <v>1081</v>
      </c>
      <c r="B440" s="9" t="s">
        <v>1302</v>
      </c>
      <c r="C440" s="9" t="s">
        <v>25</v>
      </c>
      <c r="D440" s="9" t="s">
        <v>1077</v>
      </c>
      <c r="E440" s="9" t="s">
        <v>1283</v>
      </c>
      <c r="F440" s="9" t="s">
        <v>53</v>
      </c>
      <c r="G440" s="9" t="s">
        <v>53</v>
      </c>
      <c r="H440" s="9"/>
      <c r="I440" s="25" t="n">
        <v>1</v>
      </c>
      <c r="J440" s="9" t="s">
        <v>1282</v>
      </c>
      <c r="K440" s="9" t="s">
        <v>1159</v>
      </c>
      <c r="L440" s="12" t="n">
        <v>1</v>
      </c>
      <c r="M440" s="20" t="n">
        <v>284982.45</v>
      </c>
      <c r="N440" s="20" t="n">
        <v>284982.45</v>
      </c>
      <c r="O440" s="20" t="n">
        <v>0</v>
      </c>
      <c r="P440" s="12" t="n">
        <f aca="false">IF($E440="squad",INDEX(Assumptions!$D$16:$D$56,MATCH($C440&amp;"|"&amp;$D440,Assumptions!$H$16:$H$56,0)),0)</f>
        <v>0</v>
      </c>
      <c r="Q440" s="20" t="n">
        <f aca="false">$N440*$P440</f>
        <v>0</v>
      </c>
    </row>
    <row r="441" customFormat="false" ht="15" hidden="false" customHeight="false" outlineLevel="0" collapsed="false">
      <c r="A441" s="9" t="s">
        <v>1084</v>
      </c>
      <c r="B441" s="9" t="s">
        <v>1302</v>
      </c>
      <c r="C441" s="9" t="s">
        <v>25</v>
      </c>
      <c r="D441" s="9" t="s">
        <v>1077</v>
      </c>
      <c r="E441" s="9" t="s">
        <v>1283</v>
      </c>
      <c r="F441" s="9" t="s">
        <v>53</v>
      </c>
      <c r="G441" s="9" t="s">
        <v>53</v>
      </c>
      <c r="H441" s="9"/>
      <c r="I441" s="25" t="n">
        <v>1</v>
      </c>
      <c r="J441" s="9" t="s">
        <v>1282</v>
      </c>
      <c r="K441" s="9" t="s">
        <v>1159</v>
      </c>
      <c r="L441" s="12" t="n">
        <v>1</v>
      </c>
      <c r="M441" s="20" t="n">
        <v>258576.15</v>
      </c>
      <c r="N441" s="20" t="n">
        <v>258576.15</v>
      </c>
      <c r="O441" s="20" t="n">
        <v>0</v>
      </c>
      <c r="P441" s="12" t="n">
        <f aca="false">IF($E441="squad",INDEX(Assumptions!$D$16:$D$56,MATCH($C441&amp;"|"&amp;$D441,Assumptions!$H$16:$H$56,0)),0)</f>
        <v>0</v>
      </c>
      <c r="Q441" s="20" t="n">
        <f aca="false">$N441*$P441</f>
        <v>0</v>
      </c>
    </row>
    <row r="442" customFormat="false" ht="15" hidden="false" customHeight="false" outlineLevel="0" collapsed="false">
      <c r="A442" s="9" t="s">
        <v>1087</v>
      </c>
      <c r="B442" s="9" t="s">
        <v>1302</v>
      </c>
      <c r="C442" s="9" t="s">
        <v>25</v>
      </c>
      <c r="D442" s="9" t="s">
        <v>1077</v>
      </c>
      <c r="E442" s="9" t="s">
        <v>1283</v>
      </c>
      <c r="F442" s="9" t="s">
        <v>53</v>
      </c>
      <c r="G442" s="9" t="s">
        <v>53</v>
      </c>
      <c r="H442" s="9"/>
      <c r="I442" s="25" t="n">
        <v>1</v>
      </c>
      <c r="J442" s="9" t="s">
        <v>1282</v>
      </c>
      <c r="K442" s="9" t="s">
        <v>1159</v>
      </c>
      <c r="L442" s="12" t="n">
        <v>1</v>
      </c>
      <c r="M442" s="20" t="n">
        <v>227163.6</v>
      </c>
      <c r="N442" s="20" t="n">
        <v>227163.6</v>
      </c>
      <c r="O442" s="20" t="n">
        <v>0</v>
      </c>
      <c r="P442" s="12" t="n">
        <f aca="false">IF($E442="squad",INDEX(Assumptions!$D$16:$D$56,MATCH($C442&amp;"|"&amp;$D442,Assumptions!$H$16:$H$56,0)),0)</f>
        <v>0</v>
      </c>
      <c r="Q442" s="20" t="n">
        <f aca="false">$N442*$P442</f>
        <v>0</v>
      </c>
    </row>
    <row r="443" customFormat="false" ht="15" hidden="false" customHeight="false" outlineLevel="0" collapsed="false">
      <c r="A443" s="9" t="s">
        <v>1090</v>
      </c>
      <c r="B443" s="9" t="s">
        <v>1302</v>
      </c>
      <c r="C443" s="9" t="s">
        <v>25</v>
      </c>
      <c r="D443" s="9" t="s">
        <v>1077</v>
      </c>
      <c r="E443" s="9" t="s">
        <v>1283</v>
      </c>
      <c r="F443" s="9" t="s">
        <v>53</v>
      </c>
      <c r="G443" s="9" t="s">
        <v>53</v>
      </c>
      <c r="H443" s="9"/>
      <c r="I443" s="25" t="n">
        <v>1</v>
      </c>
      <c r="J443" s="9" t="s">
        <v>1282</v>
      </c>
      <c r="K443" s="9" t="s">
        <v>1159</v>
      </c>
      <c r="L443" s="12" t="n">
        <v>1</v>
      </c>
      <c r="M443" s="20" t="n">
        <v>213600</v>
      </c>
      <c r="N443" s="20" t="n">
        <v>213600</v>
      </c>
      <c r="O443" s="20" t="n">
        <v>0</v>
      </c>
      <c r="P443" s="12" t="n">
        <f aca="false">IF($E443="squad",INDEX(Assumptions!$D$16:$D$56,MATCH($C443&amp;"|"&amp;$D443,Assumptions!$H$16:$H$56,0)),0)</f>
        <v>0</v>
      </c>
      <c r="Q443" s="20" t="n">
        <f aca="false">$N443*$P443</f>
        <v>0</v>
      </c>
    </row>
    <row r="444" customFormat="false" ht="15" hidden="false" customHeight="false" outlineLevel="0" collapsed="false">
      <c r="A444" s="9" t="s">
        <v>1303</v>
      </c>
      <c r="B444" s="9" t="s">
        <v>1304</v>
      </c>
      <c r="C444" s="9" t="s">
        <v>35</v>
      </c>
      <c r="D444" s="9" t="s">
        <v>1246</v>
      </c>
      <c r="E444" s="9" t="s">
        <v>1283</v>
      </c>
      <c r="F444" s="9" t="s">
        <v>53</v>
      </c>
      <c r="G444" s="9" t="s">
        <v>53</v>
      </c>
      <c r="H444" s="9"/>
      <c r="I444" s="25" t="n">
        <v>1</v>
      </c>
      <c r="J444" s="9" t="s">
        <v>1284</v>
      </c>
      <c r="K444" s="9"/>
      <c r="L444" s="12" t="n">
        <v>1</v>
      </c>
      <c r="M444" s="20" t="n">
        <v>242741.304</v>
      </c>
      <c r="N444" s="20" t="n">
        <v>242741.304</v>
      </c>
      <c r="O444" s="20" t="n">
        <v>0</v>
      </c>
      <c r="P444" s="12" t="n">
        <f aca="false">IF($E444="squad",INDEX(Assumptions!$D$16:$D$56,MATCH($C444&amp;"|"&amp;$D444,Assumptions!$H$16:$H$56,0)),0)</f>
        <v>0</v>
      </c>
      <c r="Q444" s="20" t="n">
        <f aca="false">$N444*$P444</f>
        <v>0</v>
      </c>
    </row>
    <row r="445" customFormat="false" ht="15" hidden="false" customHeight="false" outlineLevel="0" collapsed="false">
      <c r="A445" s="9" t="s">
        <v>1305</v>
      </c>
      <c r="B445" s="9" t="s">
        <v>1304</v>
      </c>
      <c r="C445" s="9" t="s">
        <v>35</v>
      </c>
      <c r="D445" s="9" t="s">
        <v>1246</v>
      </c>
      <c r="E445" s="9" t="s">
        <v>1283</v>
      </c>
      <c r="F445" s="9" t="s">
        <v>53</v>
      </c>
      <c r="G445" s="9" t="s">
        <v>53</v>
      </c>
      <c r="H445" s="9"/>
      <c r="I445" s="25" t="n">
        <v>1</v>
      </c>
      <c r="J445" s="9" t="s">
        <v>1284</v>
      </c>
      <c r="K445" s="9"/>
      <c r="L445" s="12" t="n">
        <v>1</v>
      </c>
      <c r="M445" s="20" t="n">
        <v>214270.248</v>
      </c>
      <c r="N445" s="20" t="n">
        <v>214270.248</v>
      </c>
      <c r="O445" s="20" t="n">
        <v>0</v>
      </c>
      <c r="P445" s="12" t="n">
        <f aca="false">IF($E445="squad",INDEX(Assumptions!$D$16:$D$56,MATCH($C445&amp;"|"&amp;$D445,Assumptions!$H$16:$H$56,0)),0)</f>
        <v>0</v>
      </c>
      <c r="Q445" s="20" t="n">
        <f aca="false">$N445*$P445</f>
        <v>0</v>
      </c>
    </row>
    <row r="446" customFormat="false" ht="15" hidden="false" customHeight="false" outlineLevel="0" collapsed="false">
      <c r="A446" s="9" t="s">
        <v>1306</v>
      </c>
      <c r="B446" s="9" t="s">
        <v>1304</v>
      </c>
      <c r="C446" s="9" t="s">
        <v>35</v>
      </c>
      <c r="D446" s="9" t="s">
        <v>1246</v>
      </c>
      <c r="E446" s="9" t="s">
        <v>1283</v>
      </c>
      <c r="F446" s="9" t="s">
        <v>53</v>
      </c>
      <c r="G446" s="9" t="s">
        <v>53</v>
      </c>
      <c r="H446" s="9"/>
      <c r="I446" s="25" t="n">
        <v>1</v>
      </c>
      <c r="J446" s="9" t="s">
        <v>1284</v>
      </c>
      <c r="K446" s="9"/>
      <c r="L446" s="12" t="n">
        <v>1</v>
      </c>
      <c r="M446" s="20" t="n">
        <v>236856.984</v>
      </c>
      <c r="N446" s="20" t="n">
        <v>236856.984</v>
      </c>
      <c r="O446" s="20" t="n">
        <v>0</v>
      </c>
      <c r="P446" s="12" t="n">
        <f aca="false">IF($E446="squad",INDEX(Assumptions!$D$16:$D$56,MATCH($C446&amp;"|"&amp;$D446,Assumptions!$H$16:$H$56,0)),0)</f>
        <v>0</v>
      </c>
      <c r="Q446" s="20" t="n">
        <f aca="false">$N446*$P446</f>
        <v>0</v>
      </c>
    </row>
    <row r="447" customFormat="false" ht="15" hidden="false" customHeight="false" outlineLevel="0" collapsed="false">
      <c r="A447" s="9" t="s">
        <v>1307</v>
      </c>
      <c r="B447" s="9" t="s">
        <v>1304</v>
      </c>
      <c r="C447" s="9" t="s">
        <v>35</v>
      </c>
      <c r="D447" s="9" t="s">
        <v>1246</v>
      </c>
      <c r="E447" s="9" t="s">
        <v>1283</v>
      </c>
      <c r="F447" s="9" t="s">
        <v>69</v>
      </c>
      <c r="G447" s="9" t="s">
        <v>78</v>
      </c>
      <c r="H447" s="9"/>
      <c r="I447" s="25" t="n">
        <v>1</v>
      </c>
      <c r="J447" s="9" t="s">
        <v>1282</v>
      </c>
      <c r="K447" s="9"/>
      <c r="L447" s="12" t="n">
        <v>1</v>
      </c>
      <c r="M447" s="20" t="n">
        <v>275810.25</v>
      </c>
      <c r="N447" s="20" t="n">
        <v>0</v>
      </c>
      <c r="O447" s="20" t="n">
        <v>0</v>
      </c>
      <c r="P447" s="12" t="n">
        <f aca="false">IF($E447="squad",INDEX(Assumptions!$D$16:$D$56,MATCH($C447&amp;"|"&amp;$D447,Assumptions!$H$16:$H$56,0)),0)</f>
        <v>0</v>
      </c>
      <c r="Q447" s="20" t="n">
        <f aca="false">$N447*$P447</f>
        <v>0</v>
      </c>
    </row>
    <row r="448" customFormat="false" ht="15" hidden="false" customHeight="false" outlineLevel="0" collapsed="false">
      <c r="A448" s="9" t="s">
        <v>1308</v>
      </c>
      <c r="B448" s="9" t="s">
        <v>1304</v>
      </c>
      <c r="C448" s="9" t="s">
        <v>35</v>
      </c>
      <c r="D448" s="9" t="s">
        <v>1246</v>
      </c>
      <c r="E448" s="9" t="s">
        <v>1283</v>
      </c>
      <c r="F448" s="9" t="s">
        <v>69</v>
      </c>
      <c r="G448" s="9" t="s">
        <v>82</v>
      </c>
      <c r="H448" s="9"/>
      <c r="I448" s="25" t="n">
        <v>1</v>
      </c>
      <c r="J448" s="9" t="s">
        <v>1282</v>
      </c>
      <c r="K448" s="9"/>
      <c r="L448" s="12" t="n">
        <v>1</v>
      </c>
      <c r="M448" s="20" t="n">
        <v>231689.25</v>
      </c>
      <c r="N448" s="20" t="n">
        <v>231689.25</v>
      </c>
      <c r="O448" s="20" t="n">
        <v>0</v>
      </c>
      <c r="P448" s="12" t="n">
        <f aca="false">IF($E448="squad",INDEX(Assumptions!$D$16:$D$56,MATCH($C448&amp;"|"&amp;$D448,Assumptions!$H$16:$H$56,0)),0)</f>
        <v>0</v>
      </c>
      <c r="Q448" s="20" t="n">
        <f aca="false">$N448*$P448</f>
        <v>0</v>
      </c>
    </row>
    <row r="449" customFormat="false" ht="15" hidden="false" customHeight="false" outlineLevel="0" collapsed="false">
      <c r="A449" s="9" t="s">
        <v>1309</v>
      </c>
      <c r="B449" s="9" t="s">
        <v>1304</v>
      </c>
      <c r="C449" s="9" t="s">
        <v>35</v>
      </c>
      <c r="D449" s="9" t="s">
        <v>1246</v>
      </c>
      <c r="E449" s="9" t="s">
        <v>1283</v>
      </c>
      <c r="F449" s="9" t="s">
        <v>69</v>
      </c>
      <c r="G449" s="9" t="s">
        <v>82</v>
      </c>
      <c r="H449" s="9"/>
      <c r="I449" s="25" t="n">
        <v>1</v>
      </c>
      <c r="J449" s="9" t="s">
        <v>1282</v>
      </c>
      <c r="K449" s="9"/>
      <c r="L449" s="12" t="n">
        <v>1</v>
      </c>
      <c r="M449" s="20" t="n">
        <v>231689.25</v>
      </c>
      <c r="N449" s="20" t="n">
        <v>231689.25</v>
      </c>
      <c r="O449" s="20" t="n">
        <v>0</v>
      </c>
      <c r="P449" s="12" t="n">
        <f aca="false">IF($E449="squad",INDEX(Assumptions!$D$16:$D$56,MATCH($C449&amp;"|"&amp;$D449,Assumptions!$H$16:$H$56,0)),0)</f>
        <v>0</v>
      </c>
      <c r="Q449" s="20" t="n">
        <f aca="false">$N449*$P449</f>
        <v>0</v>
      </c>
    </row>
    <row r="450" customFormat="false" ht="15" hidden="false" customHeight="false" outlineLevel="0" collapsed="false">
      <c r="A450" s="9" t="s">
        <v>1310</v>
      </c>
      <c r="B450" s="9" t="s">
        <v>1304</v>
      </c>
      <c r="C450" s="9" t="s">
        <v>35</v>
      </c>
      <c r="D450" s="9" t="s">
        <v>1246</v>
      </c>
      <c r="E450" s="9" t="s">
        <v>1283</v>
      </c>
      <c r="F450" s="9" t="s">
        <v>69</v>
      </c>
      <c r="G450" s="9" t="s">
        <v>82</v>
      </c>
      <c r="H450" s="9"/>
      <c r="I450" s="25" t="n">
        <v>1</v>
      </c>
      <c r="J450" s="9" t="s">
        <v>1282</v>
      </c>
      <c r="K450" s="9"/>
      <c r="L450" s="12" t="n">
        <v>1</v>
      </c>
      <c r="M450" s="20" t="n">
        <v>231689.25</v>
      </c>
      <c r="N450" s="20" t="n">
        <v>231689.25</v>
      </c>
      <c r="O450" s="20" t="n">
        <v>0</v>
      </c>
      <c r="P450" s="12" t="n">
        <f aca="false">IF($E450="squad",INDEX(Assumptions!$D$16:$D$56,MATCH($C450&amp;"|"&amp;$D450,Assumptions!$H$16:$H$56,0)),0)</f>
        <v>0</v>
      </c>
      <c r="Q450" s="20" t="n">
        <f aca="false">$N450*$P450</f>
        <v>0</v>
      </c>
    </row>
    <row r="451" customFormat="false" ht="15" hidden="false" customHeight="false" outlineLevel="0" collapsed="false">
      <c r="A451" s="9" t="s">
        <v>1311</v>
      </c>
      <c r="B451" s="9" t="s">
        <v>1304</v>
      </c>
      <c r="C451" s="9" t="s">
        <v>35</v>
      </c>
      <c r="D451" s="9" t="s">
        <v>756</v>
      </c>
      <c r="E451" s="9" t="s">
        <v>1283</v>
      </c>
      <c r="F451" s="9" t="s">
        <v>53</v>
      </c>
      <c r="G451" s="9" t="s">
        <v>53</v>
      </c>
      <c r="H451" s="9"/>
      <c r="I451" s="25" t="n">
        <v>1</v>
      </c>
      <c r="J451" s="9" t="s">
        <v>1282</v>
      </c>
      <c r="K451" s="9" t="s">
        <v>756</v>
      </c>
      <c r="L451" s="12" t="n">
        <v>1</v>
      </c>
      <c r="M451" s="20" t="n">
        <v>369088.6</v>
      </c>
      <c r="N451" s="20" t="n">
        <v>369088.6</v>
      </c>
      <c r="O451" s="20" t="n">
        <v>0</v>
      </c>
      <c r="P451" s="12" t="n">
        <f aca="false">IF($E451="squad",INDEX(Assumptions!$D$16:$D$56,MATCH($C451&amp;"|"&amp;$D451,Assumptions!$H$16:$H$56,0)),0)</f>
        <v>0</v>
      </c>
      <c r="Q451" s="20" t="n">
        <f aca="false">$N451*$P451</f>
        <v>0</v>
      </c>
    </row>
    <row r="452" customFormat="false" ht="15" hidden="false" customHeight="false" outlineLevel="0" collapsed="false">
      <c r="A452" s="9" t="s">
        <v>1312</v>
      </c>
      <c r="B452" s="9" t="s">
        <v>1304</v>
      </c>
      <c r="C452" s="9" t="s">
        <v>35</v>
      </c>
      <c r="D452" s="9" t="s">
        <v>756</v>
      </c>
      <c r="E452" s="9" t="s">
        <v>1283</v>
      </c>
      <c r="F452" s="9" t="s">
        <v>69</v>
      </c>
      <c r="G452" s="9" t="s">
        <v>82</v>
      </c>
      <c r="H452" s="9"/>
      <c r="I452" s="25" t="n">
        <v>1</v>
      </c>
      <c r="J452" s="9" t="s">
        <v>1282</v>
      </c>
      <c r="K452" s="9" t="s">
        <v>756</v>
      </c>
      <c r="L452" s="12" t="n">
        <v>1</v>
      </c>
      <c r="M452" s="20" t="n">
        <v>334972.95</v>
      </c>
      <c r="N452" s="20" t="n">
        <v>334972.95</v>
      </c>
      <c r="O452" s="20" t="n">
        <v>0</v>
      </c>
      <c r="P452" s="12" t="n">
        <f aca="false">IF($E452="squad",INDEX(Assumptions!$D$16:$D$56,MATCH($C452&amp;"|"&amp;$D452,Assumptions!$H$16:$H$56,0)),0)</f>
        <v>0</v>
      </c>
      <c r="Q452" s="20" t="n">
        <f aca="false">$N452*$P452</f>
        <v>0</v>
      </c>
    </row>
    <row r="453" customFormat="false" ht="15" hidden="false" customHeight="false" outlineLevel="0" collapsed="false">
      <c r="A453" s="9" t="s">
        <v>1313</v>
      </c>
      <c r="B453" s="9" t="s">
        <v>1304</v>
      </c>
      <c r="C453" s="9" t="s">
        <v>35</v>
      </c>
      <c r="D453" s="9" t="s">
        <v>756</v>
      </c>
      <c r="E453" s="9" t="s">
        <v>1283</v>
      </c>
      <c r="F453" s="9" t="s">
        <v>69</v>
      </c>
      <c r="G453" s="9" t="s">
        <v>53</v>
      </c>
      <c r="H453" s="9"/>
      <c r="I453" s="25" t="n">
        <v>1</v>
      </c>
      <c r="J453" s="9" t="s">
        <v>1282</v>
      </c>
      <c r="K453" s="9" t="s">
        <v>756</v>
      </c>
      <c r="L453" s="12" t="n">
        <v>1</v>
      </c>
      <c r="M453" s="20" t="n">
        <v>333020.25</v>
      </c>
      <c r="N453" s="20" t="n">
        <v>333020.25</v>
      </c>
      <c r="O453" s="20" t="n">
        <v>0</v>
      </c>
      <c r="P453" s="12" t="n">
        <f aca="false">IF($E453="squad",INDEX(Assumptions!$D$16:$D$56,MATCH($C453&amp;"|"&amp;$D453,Assumptions!$H$16:$H$56,0)),0)</f>
        <v>0</v>
      </c>
      <c r="Q453" s="20" t="n">
        <f aca="false">$N453*$P453</f>
        <v>0</v>
      </c>
    </row>
    <row r="454" customFormat="false" ht="15" hidden="false" customHeight="false" outlineLevel="0" collapsed="false">
      <c r="A454" s="9" t="s">
        <v>1314</v>
      </c>
      <c r="B454" s="9" t="s">
        <v>1304</v>
      </c>
      <c r="C454" s="9" t="s">
        <v>35</v>
      </c>
      <c r="D454" s="9" t="s">
        <v>756</v>
      </c>
      <c r="E454" s="9" t="s">
        <v>1283</v>
      </c>
      <c r="F454" s="9" t="s">
        <v>69</v>
      </c>
      <c r="G454" s="9" t="s">
        <v>53</v>
      </c>
      <c r="H454" s="9"/>
      <c r="I454" s="25" t="n">
        <v>1</v>
      </c>
      <c r="J454" s="9" t="s">
        <v>1282</v>
      </c>
      <c r="K454" s="9" t="s">
        <v>756</v>
      </c>
      <c r="L454" s="12" t="n">
        <v>1</v>
      </c>
      <c r="M454" s="20" t="n">
        <v>186900</v>
      </c>
      <c r="N454" s="20" t="n">
        <v>186900</v>
      </c>
      <c r="O454" s="20" t="n">
        <v>0</v>
      </c>
      <c r="P454" s="12" t="n">
        <f aca="false">IF($E454="squad",INDEX(Assumptions!$D$16:$D$56,MATCH($C454&amp;"|"&amp;$D454,Assumptions!$H$16:$H$56,0)),0)</f>
        <v>0</v>
      </c>
      <c r="Q454" s="20" t="n">
        <f aca="false">$N454*$P454</f>
        <v>0</v>
      </c>
    </row>
    <row r="455" customFormat="false" ht="15" hidden="false" customHeight="false" outlineLevel="0" collapsed="false">
      <c r="A455" s="9" t="s">
        <v>1315</v>
      </c>
      <c r="B455" s="9" t="s">
        <v>1304</v>
      </c>
      <c r="C455" s="9" t="s">
        <v>35</v>
      </c>
      <c r="D455" s="9" t="s">
        <v>1248</v>
      </c>
      <c r="E455" s="9" t="s">
        <v>1283</v>
      </c>
      <c r="F455" s="9" t="s">
        <v>69</v>
      </c>
      <c r="G455" s="9" t="s">
        <v>82</v>
      </c>
      <c r="H455" s="9"/>
      <c r="I455" s="25" t="n">
        <v>1</v>
      </c>
      <c r="J455" s="9" t="s">
        <v>1282</v>
      </c>
      <c r="K455" s="9"/>
      <c r="L455" s="12" t="n">
        <v>1</v>
      </c>
      <c r="M455" s="20" t="n">
        <v>275810.25</v>
      </c>
      <c r="N455" s="20" t="n">
        <v>275810.25</v>
      </c>
      <c r="O455" s="20" t="n">
        <v>0</v>
      </c>
      <c r="P455" s="12" t="n">
        <f aca="false">IF($E455="squad",INDEX(Assumptions!$D$16:$D$56,MATCH($C455&amp;"|"&amp;$D455,Assumptions!$H$16:$H$56,0)),0)</f>
        <v>0</v>
      </c>
      <c r="Q455" s="20" t="n">
        <f aca="false">$N455*$P455</f>
        <v>0</v>
      </c>
    </row>
    <row r="456" customFormat="false" ht="15" hidden="false" customHeight="false" outlineLevel="0" collapsed="false">
      <c r="A456" s="9" t="s">
        <v>1316</v>
      </c>
      <c r="B456" s="9" t="s">
        <v>1304</v>
      </c>
      <c r="C456" s="9" t="s">
        <v>35</v>
      </c>
      <c r="D456" s="9" t="s">
        <v>1248</v>
      </c>
      <c r="E456" s="9" t="s">
        <v>1283</v>
      </c>
      <c r="F456" s="9" t="s">
        <v>53</v>
      </c>
      <c r="G456" s="9" t="s">
        <v>53</v>
      </c>
      <c r="H456" s="9"/>
      <c r="I456" s="25" t="n">
        <v>1</v>
      </c>
      <c r="J456" s="9" t="s">
        <v>1282</v>
      </c>
      <c r="K456" s="9"/>
      <c r="L456" s="12" t="n">
        <v>1</v>
      </c>
      <c r="M456" s="20" t="n">
        <v>250245.75</v>
      </c>
      <c r="N456" s="20" t="n">
        <v>250245.75</v>
      </c>
      <c r="O456" s="20" t="n">
        <v>0</v>
      </c>
      <c r="P456" s="12" t="n">
        <f aca="false">IF($E456="squad",INDEX(Assumptions!$D$16:$D$56,MATCH($C456&amp;"|"&amp;$D456,Assumptions!$H$16:$H$56,0)),0)</f>
        <v>0</v>
      </c>
      <c r="Q456" s="20" t="n">
        <f aca="false">$N456*$P456</f>
        <v>0</v>
      </c>
    </row>
    <row r="457" customFormat="false" ht="15" hidden="false" customHeight="false" outlineLevel="0" collapsed="false">
      <c r="A457" s="9" t="s">
        <v>1317</v>
      </c>
      <c r="B457" s="9" t="s">
        <v>1304</v>
      </c>
      <c r="C457" s="9" t="s">
        <v>35</v>
      </c>
      <c r="D457" s="9" t="s">
        <v>1248</v>
      </c>
      <c r="E457" s="9" t="s">
        <v>1283</v>
      </c>
      <c r="F457" s="9" t="s">
        <v>69</v>
      </c>
      <c r="G457" s="9" t="s">
        <v>82</v>
      </c>
      <c r="H457" s="9"/>
      <c r="I457" s="25" t="n">
        <v>1</v>
      </c>
      <c r="J457" s="9" t="s">
        <v>1282</v>
      </c>
      <c r="K457" s="9"/>
      <c r="L457" s="12" t="n">
        <v>1</v>
      </c>
      <c r="M457" s="20" t="n">
        <v>202853.25</v>
      </c>
      <c r="N457" s="20" t="n">
        <v>202853.25</v>
      </c>
      <c r="O457" s="20" t="n">
        <v>0</v>
      </c>
      <c r="P457" s="12" t="n">
        <f aca="false">IF($E457="squad",INDEX(Assumptions!$D$16:$D$56,MATCH($C457&amp;"|"&amp;$D457,Assumptions!$H$16:$H$56,0)),0)</f>
        <v>0</v>
      </c>
      <c r="Q457" s="20" t="n">
        <f aca="false">$N457*$P457</f>
        <v>0</v>
      </c>
    </row>
    <row r="458" customFormat="false" ht="15" hidden="false" customHeight="false" outlineLevel="0" collapsed="false">
      <c r="A458" s="9" t="s">
        <v>1318</v>
      </c>
      <c r="B458" s="9" t="s">
        <v>1304</v>
      </c>
      <c r="C458" s="9" t="s">
        <v>35</v>
      </c>
      <c r="D458" s="9" t="s">
        <v>1248</v>
      </c>
      <c r="E458" s="9" t="s">
        <v>1283</v>
      </c>
      <c r="F458" s="9" t="s">
        <v>69</v>
      </c>
      <c r="G458" s="9" t="s">
        <v>78</v>
      </c>
      <c r="H458" s="9"/>
      <c r="I458" s="25" t="n">
        <v>1</v>
      </c>
      <c r="J458" s="9" t="s">
        <v>1282</v>
      </c>
      <c r="K458" s="9"/>
      <c r="L458" s="12" t="n">
        <v>1</v>
      </c>
      <c r="M458" s="20" t="n">
        <v>170489.75</v>
      </c>
      <c r="N458" s="20" t="n">
        <v>0</v>
      </c>
      <c r="O458" s="20" t="n">
        <v>0</v>
      </c>
      <c r="P458" s="12" t="n">
        <f aca="false">IF($E458="squad",INDEX(Assumptions!$D$16:$D$56,MATCH($C458&amp;"|"&amp;$D458,Assumptions!$H$16:$H$56,0)),0)</f>
        <v>0</v>
      </c>
      <c r="Q458" s="20" t="n">
        <f aca="false">$N458*$P458</f>
        <v>0</v>
      </c>
    </row>
    <row r="459" customFormat="false" ht="15" hidden="false" customHeight="false" outlineLevel="0" collapsed="false">
      <c r="A459" s="9" t="s">
        <v>1319</v>
      </c>
      <c r="B459" s="9" t="s">
        <v>1304</v>
      </c>
      <c r="C459" s="9" t="s">
        <v>35</v>
      </c>
      <c r="D459" s="9" t="s">
        <v>1248</v>
      </c>
      <c r="E459" s="9" t="s">
        <v>1283</v>
      </c>
      <c r="F459" s="9" t="s">
        <v>69</v>
      </c>
      <c r="G459" s="9" t="s">
        <v>78</v>
      </c>
      <c r="H459" s="9"/>
      <c r="I459" s="25" t="n">
        <v>1</v>
      </c>
      <c r="J459" s="9" t="s">
        <v>1282</v>
      </c>
      <c r="K459" s="9"/>
      <c r="L459" s="12" t="n">
        <v>1</v>
      </c>
      <c r="M459" s="20" t="n">
        <v>170489.75</v>
      </c>
      <c r="N459" s="20" t="n">
        <v>0</v>
      </c>
      <c r="O459" s="20" t="n">
        <v>0</v>
      </c>
      <c r="P459" s="12" t="n">
        <f aca="false">IF($E459="squad",INDEX(Assumptions!$D$16:$D$56,MATCH($C459&amp;"|"&amp;$D459,Assumptions!$H$16:$H$56,0)),0)</f>
        <v>0</v>
      </c>
      <c r="Q459" s="20" t="n">
        <f aca="false">$N459*$P459</f>
        <v>0</v>
      </c>
    </row>
    <row r="460" customFormat="false" ht="15" hidden="false" customHeight="false" outlineLevel="0" collapsed="false">
      <c r="A460" s="9" t="s">
        <v>1320</v>
      </c>
      <c r="B460" s="9" t="s">
        <v>1321</v>
      </c>
      <c r="C460" s="9" t="s">
        <v>32</v>
      </c>
      <c r="D460" s="9" t="s">
        <v>1322</v>
      </c>
      <c r="E460" s="9" t="s">
        <v>1283</v>
      </c>
      <c r="F460" s="9" t="s">
        <v>53</v>
      </c>
      <c r="G460" s="9" t="s">
        <v>53</v>
      </c>
      <c r="H460" s="9"/>
      <c r="I460" s="25" t="n">
        <v>1</v>
      </c>
      <c r="J460" s="9" t="s">
        <v>1282</v>
      </c>
      <c r="K460" s="9" t="s">
        <v>1159</v>
      </c>
      <c r="L460" s="12" t="n">
        <v>1</v>
      </c>
      <c r="M460" s="20" t="n">
        <v>287043.2</v>
      </c>
      <c r="N460" s="20" t="n">
        <v>287043.2</v>
      </c>
      <c r="O460" s="20" t="n">
        <v>0</v>
      </c>
      <c r="P460" s="12" t="n">
        <f aca="false">IF($E460="squad",INDEX(Assumptions!$D$16:$D$56,MATCH($C460&amp;"|"&amp;$D460,Assumptions!$H$16:$H$56,0)),0)</f>
        <v>0</v>
      </c>
      <c r="Q460" s="20" t="n">
        <f aca="false">$N460*$P460</f>
        <v>0</v>
      </c>
    </row>
    <row r="461" customFormat="false" ht="15" hidden="false" customHeight="false" outlineLevel="0" collapsed="false">
      <c r="A461" s="9" t="s">
        <v>1323</v>
      </c>
      <c r="B461" s="9" t="s">
        <v>1321</v>
      </c>
      <c r="C461" s="9" t="s">
        <v>32</v>
      </c>
      <c r="D461" s="9" t="s">
        <v>1322</v>
      </c>
      <c r="E461" s="9" t="s">
        <v>1283</v>
      </c>
      <c r="F461" s="9" t="s">
        <v>53</v>
      </c>
      <c r="G461" s="9" t="s">
        <v>71</v>
      </c>
      <c r="H461" s="9"/>
      <c r="I461" s="25" t="n">
        <v>1</v>
      </c>
      <c r="J461" s="9" t="s">
        <v>1282</v>
      </c>
      <c r="K461" s="9" t="s">
        <v>1159</v>
      </c>
      <c r="L461" s="12" t="n">
        <v>1</v>
      </c>
      <c r="M461" s="20" t="n">
        <v>220275</v>
      </c>
      <c r="N461" s="20" t="n">
        <v>88110</v>
      </c>
      <c r="O461" s="20" t="n">
        <v>0</v>
      </c>
      <c r="P461" s="12" t="n">
        <f aca="false">IF($E461="squad",INDEX(Assumptions!$D$16:$D$56,MATCH($C461&amp;"|"&amp;$D461,Assumptions!$H$16:$H$56,0)),0)</f>
        <v>0</v>
      </c>
      <c r="Q461" s="20" t="n">
        <f aca="false">$N461*$P461</f>
        <v>0</v>
      </c>
    </row>
    <row r="462" customFormat="false" ht="15" hidden="false" customHeight="false" outlineLevel="0" collapsed="false">
      <c r="A462" s="9" t="s">
        <v>1324</v>
      </c>
      <c r="B462" s="9" t="s">
        <v>1321</v>
      </c>
      <c r="C462" s="9" t="s">
        <v>32</v>
      </c>
      <c r="D462" s="9" t="s">
        <v>1322</v>
      </c>
      <c r="E462" s="9" t="s">
        <v>1283</v>
      </c>
      <c r="F462" s="9" t="s">
        <v>53</v>
      </c>
      <c r="G462" s="9" t="s">
        <v>71</v>
      </c>
      <c r="H462" s="9"/>
      <c r="I462" s="25" t="n">
        <v>1</v>
      </c>
      <c r="J462" s="9" t="s">
        <v>1282</v>
      </c>
      <c r="K462" s="9" t="s">
        <v>1159</v>
      </c>
      <c r="L462" s="12" t="n">
        <v>1</v>
      </c>
      <c r="M462" s="20" t="n">
        <v>203440.65</v>
      </c>
      <c r="N462" s="20" t="n">
        <v>81376.26</v>
      </c>
      <c r="O462" s="20" t="n">
        <v>0</v>
      </c>
      <c r="P462" s="12" t="n">
        <f aca="false">IF($E462="squad",INDEX(Assumptions!$D$16:$D$56,MATCH($C462&amp;"|"&amp;$D462,Assumptions!$H$16:$H$56,0)),0)</f>
        <v>0</v>
      </c>
      <c r="Q462" s="20" t="n">
        <f aca="false">$N462*$P462</f>
        <v>0</v>
      </c>
    </row>
    <row r="463" customFormat="false" ht="15" hidden="false" customHeight="false" outlineLevel="0" collapsed="false">
      <c r="A463" s="9" t="s">
        <v>1325</v>
      </c>
      <c r="B463" s="9" t="s">
        <v>1321</v>
      </c>
      <c r="C463" s="9" t="s">
        <v>32</v>
      </c>
      <c r="D463" s="9" t="s">
        <v>1322</v>
      </c>
      <c r="E463" s="9" t="s">
        <v>1283</v>
      </c>
      <c r="F463" s="9" t="s">
        <v>53</v>
      </c>
      <c r="G463" s="9" t="s">
        <v>71</v>
      </c>
      <c r="H463" s="9"/>
      <c r="I463" s="25" t="n">
        <v>1</v>
      </c>
      <c r="J463" s="9" t="s">
        <v>1282</v>
      </c>
      <c r="K463" s="9" t="s">
        <v>1159</v>
      </c>
      <c r="L463" s="12" t="n">
        <v>1</v>
      </c>
      <c r="M463" s="20" t="n">
        <v>228885.75</v>
      </c>
      <c r="N463" s="20" t="n">
        <v>91554.3</v>
      </c>
      <c r="O463" s="20" t="n">
        <v>0</v>
      </c>
      <c r="P463" s="12" t="n">
        <f aca="false">IF($E463="squad",INDEX(Assumptions!$D$16:$D$56,MATCH($C463&amp;"|"&amp;$D463,Assumptions!$H$16:$H$56,0)),0)</f>
        <v>0</v>
      </c>
      <c r="Q463" s="20" t="n">
        <f aca="false">$N463*$P463</f>
        <v>0</v>
      </c>
    </row>
    <row r="464" customFormat="false" ht="15" hidden="false" customHeight="false" outlineLevel="0" collapsed="false">
      <c r="A464" s="9" t="s">
        <v>1326</v>
      </c>
      <c r="B464" s="9" t="s">
        <v>1321</v>
      </c>
      <c r="C464" s="9" t="s">
        <v>32</v>
      </c>
      <c r="D464" s="9" t="s">
        <v>1322</v>
      </c>
      <c r="E464" s="9" t="s">
        <v>1283</v>
      </c>
      <c r="F464" s="9" t="s">
        <v>53</v>
      </c>
      <c r="G464" s="9" t="s">
        <v>71</v>
      </c>
      <c r="H464" s="9"/>
      <c r="I464" s="25" t="n">
        <v>1</v>
      </c>
      <c r="J464" s="9" t="s">
        <v>1284</v>
      </c>
      <c r="K464" s="9" t="s">
        <v>1159</v>
      </c>
      <c r="L464" s="12" t="n">
        <v>1</v>
      </c>
      <c r="M464" s="20" t="n">
        <v>131833.188</v>
      </c>
      <c r="N464" s="20" t="n">
        <v>52733.2752</v>
      </c>
      <c r="O464" s="20" t="n">
        <v>0</v>
      </c>
      <c r="P464" s="12" t="n">
        <f aca="false">IF($E464="squad",INDEX(Assumptions!$D$16:$D$56,MATCH($C464&amp;"|"&amp;$D464,Assumptions!$H$16:$H$56,0)),0)</f>
        <v>0</v>
      </c>
      <c r="Q464" s="20" t="n">
        <f aca="false">$N464*$P464</f>
        <v>0</v>
      </c>
    </row>
    <row r="465" customFormat="false" ht="15" hidden="false" customHeight="false" outlineLevel="0" collapsed="false">
      <c r="A465" s="9" t="s">
        <v>1327</v>
      </c>
      <c r="B465" s="9" t="s">
        <v>1321</v>
      </c>
      <c r="C465" s="9" t="s">
        <v>32</v>
      </c>
      <c r="D465" s="9" t="s">
        <v>1328</v>
      </c>
      <c r="E465" s="9" t="s">
        <v>1283</v>
      </c>
      <c r="F465" s="9" t="s">
        <v>53</v>
      </c>
      <c r="G465" s="9" t="s">
        <v>53</v>
      </c>
      <c r="H465" s="9"/>
      <c r="I465" s="25" t="n">
        <v>1</v>
      </c>
      <c r="J465" s="9" t="s">
        <v>1282</v>
      </c>
      <c r="K465" s="9" t="s">
        <v>1159</v>
      </c>
      <c r="L465" s="12" t="n">
        <v>1</v>
      </c>
      <c r="M465" s="20" t="n">
        <v>287043.2</v>
      </c>
      <c r="N465" s="20" t="n">
        <v>287043.2</v>
      </c>
      <c r="O465" s="20" t="n">
        <v>0</v>
      </c>
      <c r="P465" s="12" t="n">
        <f aca="false">IF($E465="squad",INDEX(Assumptions!$D$16:$D$56,MATCH($C465&amp;"|"&amp;$D465,Assumptions!$H$16:$H$56,0)),0)</f>
        <v>0</v>
      </c>
      <c r="Q465" s="20" t="n">
        <f aca="false">$N465*$P465</f>
        <v>0</v>
      </c>
    </row>
    <row r="466" customFormat="false" ht="15" hidden="false" customHeight="false" outlineLevel="0" collapsed="false">
      <c r="A466" s="9" t="s">
        <v>1329</v>
      </c>
      <c r="B466" s="9" t="s">
        <v>1321</v>
      </c>
      <c r="C466" s="9" t="s">
        <v>32</v>
      </c>
      <c r="D466" s="9" t="s">
        <v>1328</v>
      </c>
      <c r="E466" s="9" t="s">
        <v>1283</v>
      </c>
      <c r="F466" s="9" t="s">
        <v>69</v>
      </c>
      <c r="G466" s="9" t="s">
        <v>71</v>
      </c>
      <c r="H466" s="9" t="s">
        <v>121</v>
      </c>
      <c r="I466" s="25" t="n">
        <v>1</v>
      </c>
      <c r="J466" s="9" t="s">
        <v>1282</v>
      </c>
      <c r="K466" s="9" t="s">
        <v>1159</v>
      </c>
      <c r="L466" s="12" t="n">
        <v>1</v>
      </c>
      <c r="M466" s="20" t="n">
        <v>170489.75</v>
      </c>
      <c r="N466" s="20" t="n">
        <v>51146.925</v>
      </c>
      <c r="O466" s="20" t="n">
        <v>0</v>
      </c>
      <c r="P466" s="12" t="n">
        <f aca="false">IF($E466="squad",INDEX(Assumptions!$D$16:$D$56,MATCH($C466&amp;"|"&amp;$D466,Assumptions!$H$16:$H$56,0)),0)</f>
        <v>0</v>
      </c>
      <c r="Q466" s="20" t="n">
        <f aca="false">$N466*$P466</f>
        <v>0</v>
      </c>
    </row>
    <row r="467" customFormat="false" ht="15" hidden="false" customHeight="false" outlineLevel="0" collapsed="false">
      <c r="A467" s="9" t="s">
        <v>1330</v>
      </c>
      <c r="B467" s="9" t="s">
        <v>1321</v>
      </c>
      <c r="C467" s="9" t="s">
        <v>32</v>
      </c>
      <c r="D467" s="9" t="s">
        <v>1328</v>
      </c>
      <c r="E467" s="9" t="s">
        <v>1283</v>
      </c>
      <c r="F467" s="9" t="s">
        <v>53</v>
      </c>
      <c r="G467" s="9" t="s">
        <v>71</v>
      </c>
      <c r="H467" s="9"/>
      <c r="I467" s="25" t="n">
        <v>1</v>
      </c>
      <c r="J467" s="9" t="s">
        <v>1284</v>
      </c>
      <c r="K467" s="9" t="s">
        <v>1159</v>
      </c>
      <c r="L467" s="12" t="n">
        <v>1</v>
      </c>
      <c r="M467" s="20" t="n">
        <v>188515.032</v>
      </c>
      <c r="N467" s="20" t="n">
        <v>75406.0128</v>
      </c>
      <c r="O467" s="20" t="n">
        <v>0</v>
      </c>
      <c r="P467" s="12" t="n">
        <f aca="false">IF($E467="squad",INDEX(Assumptions!$D$16:$D$56,MATCH($C467&amp;"|"&amp;$D467,Assumptions!$H$16:$H$56,0)),0)</f>
        <v>0</v>
      </c>
      <c r="Q467" s="20" t="n">
        <f aca="false">$N467*$P467</f>
        <v>0</v>
      </c>
    </row>
    <row r="468" customFormat="false" ht="15" hidden="false" customHeight="false" outlineLevel="0" collapsed="false">
      <c r="A468" s="9" t="s">
        <v>1331</v>
      </c>
      <c r="B468" s="9" t="s">
        <v>1321</v>
      </c>
      <c r="C468" s="9" t="s">
        <v>32</v>
      </c>
      <c r="D468" s="9" t="s">
        <v>1332</v>
      </c>
      <c r="E468" s="9" t="s">
        <v>1283</v>
      </c>
      <c r="F468" s="9" t="s">
        <v>53</v>
      </c>
      <c r="G468" s="9" t="s">
        <v>53</v>
      </c>
      <c r="H468" s="9"/>
      <c r="I468" s="25" t="n">
        <v>1</v>
      </c>
      <c r="J468" s="9" t="s">
        <v>1282</v>
      </c>
      <c r="K468" s="9" t="s">
        <v>1159</v>
      </c>
      <c r="L468" s="12" t="n">
        <v>1</v>
      </c>
      <c r="M468" s="20" t="n">
        <v>316568.65</v>
      </c>
      <c r="N468" s="20" t="n">
        <v>316568.65</v>
      </c>
      <c r="O468" s="20" t="n">
        <v>0</v>
      </c>
      <c r="P468" s="12" t="n">
        <f aca="false">IF($E468="squad",INDEX(Assumptions!$D$16:$D$56,MATCH($C468&amp;"|"&amp;$D468,Assumptions!$H$16:$H$56,0)),0)</f>
        <v>0</v>
      </c>
      <c r="Q468" s="20" t="n">
        <f aca="false">$N468*$P468</f>
        <v>0</v>
      </c>
    </row>
    <row r="469" customFormat="false" ht="15" hidden="false" customHeight="false" outlineLevel="0" collapsed="false">
      <c r="A469" s="9" t="s">
        <v>1333</v>
      </c>
      <c r="B469" s="9" t="s">
        <v>1321</v>
      </c>
      <c r="C469" s="9" t="s">
        <v>32</v>
      </c>
      <c r="D469" s="9" t="s">
        <v>1332</v>
      </c>
      <c r="E469" s="9" t="s">
        <v>1283</v>
      </c>
      <c r="F469" s="9" t="s">
        <v>53</v>
      </c>
      <c r="G469" s="9" t="s">
        <v>53</v>
      </c>
      <c r="H469" s="9"/>
      <c r="I469" s="25" t="n">
        <v>1</v>
      </c>
      <c r="J469" s="9" t="s">
        <v>1284</v>
      </c>
      <c r="K469" s="9" t="s">
        <v>1159</v>
      </c>
      <c r="L469" s="12" t="n">
        <v>1</v>
      </c>
      <c r="M469" s="20" t="n">
        <v>212878.38</v>
      </c>
      <c r="N469" s="20" t="n">
        <v>212878.38</v>
      </c>
      <c r="O469" s="20" t="n">
        <v>0</v>
      </c>
      <c r="P469" s="12" t="n">
        <f aca="false">IF($E469="squad",INDEX(Assumptions!$D$16:$D$56,MATCH($C469&amp;"|"&amp;$D469,Assumptions!$H$16:$H$56,0)),0)</f>
        <v>0</v>
      </c>
      <c r="Q469" s="20" t="n">
        <f aca="false">$N469*$P469</f>
        <v>0</v>
      </c>
    </row>
    <row r="470" customFormat="false" ht="15" hidden="false" customHeight="false" outlineLevel="0" collapsed="false">
      <c r="A470" s="9" t="s">
        <v>1334</v>
      </c>
      <c r="B470" s="9" t="s">
        <v>1321</v>
      </c>
      <c r="C470" s="9" t="s">
        <v>32</v>
      </c>
      <c r="D470" s="9" t="s">
        <v>1332</v>
      </c>
      <c r="E470" s="9" t="s">
        <v>1283</v>
      </c>
      <c r="F470" s="9" t="s">
        <v>53</v>
      </c>
      <c r="G470" s="9" t="s">
        <v>71</v>
      </c>
      <c r="H470" s="9"/>
      <c r="I470" s="25" t="n">
        <v>1</v>
      </c>
      <c r="J470" s="9" t="s">
        <v>1282</v>
      </c>
      <c r="K470" s="9" t="s">
        <v>1159</v>
      </c>
      <c r="L470" s="12" t="n">
        <v>1</v>
      </c>
      <c r="M470" s="20" t="n">
        <v>215629.2</v>
      </c>
      <c r="N470" s="20" t="n">
        <v>86251.68</v>
      </c>
      <c r="O470" s="20" t="n">
        <v>0</v>
      </c>
      <c r="P470" s="12" t="n">
        <f aca="false">IF($E470="squad",INDEX(Assumptions!$D$16:$D$56,MATCH($C470&amp;"|"&amp;$D470,Assumptions!$H$16:$H$56,0)),0)</f>
        <v>0</v>
      </c>
      <c r="Q470" s="20" t="n">
        <f aca="false">$N470*$P470</f>
        <v>0</v>
      </c>
    </row>
    <row r="471" customFormat="false" ht="15" hidden="false" customHeight="false" outlineLevel="0" collapsed="false">
      <c r="A471" s="9" t="s">
        <v>1335</v>
      </c>
      <c r="B471" s="9" t="s">
        <v>1321</v>
      </c>
      <c r="C471" s="9" t="s">
        <v>32</v>
      </c>
      <c r="D471" s="9" t="s">
        <v>1332</v>
      </c>
      <c r="E471" s="9" t="s">
        <v>1283</v>
      </c>
      <c r="F471" s="9" t="s">
        <v>53</v>
      </c>
      <c r="G471" s="9" t="s">
        <v>71</v>
      </c>
      <c r="H471" s="9"/>
      <c r="I471" s="25" t="n">
        <v>1</v>
      </c>
      <c r="J471" s="9" t="s">
        <v>1282</v>
      </c>
      <c r="K471" s="9" t="s">
        <v>1159</v>
      </c>
      <c r="L471" s="12" t="n">
        <v>1</v>
      </c>
      <c r="M471" s="20" t="n">
        <v>218713.05</v>
      </c>
      <c r="N471" s="20" t="n">
        <v>87485.22</v>
      </c>
      <c r="O471" s="20" t="n">
        <v>0</v>
      </c>
      <c r="P471" s="12" t="n">
        <f aca="false">IF($E471="squad",INDEX(Assumptions!$D$16:$D$56,MATCH($C471&amp;"|"&amp;$D471,Assumptions!$H$16:$H$56,0)),0)</f>
        <v>0</v>
      </c>
      <c r="Q471" s="20" t="n">
        <f aca="false">$N471*$P471</f>
        <v>0</v>
      </c>
    </row>
    <row r="472" customFormat="false" ht="15" hidden="false" customHeight="false" outlineLevel="0" collapsed="false">
      <c r="A472" s="9" t="s">
        <v>1336</v>
      </c>
      <c r="B472" s="9" t="s">
        <v>1321</v>
      </c>
      <c r="C472" s="9" t="s">
        <v>32</v>
      </c>
      <c r="D472" s="9" t="s">
        <v>1332</v>
      </c>
      <c r="E472" s="9" t="s">
        <v>1283</v>
      </c>
      <c r="F472" s="9" t="s">
        <v>53</v>
      </c>
      <c r="G472" s="9" t="s">
        <v>71</v>
      </c>
      <c r="H472" s="9"/>
      <c r="I472" s="25" t="n">
        <v>0.8</v>
      </c>
      <c r="J472" s="9" t="s">
        <v>1284</v>
      </c>
      <c r="K472" s="9" t="s">
        <v>1159</v>
      </c>
      <c r="L472" s="12" t="n">
        <v>1</v>
      </c>
      <c r="M472" s="20" t="n">
        <v>118240.0512</v>
      </c>
      <c r="N472" s="20" t="n">
        <v>47296.02048</v>
      </c>
      <c r="O472" s="20" t="n">
        <v>0</v>
      </c>
      <c r="P472" s="12" t="n">
        <f aca="false">IF($E472="squad",INDEX(Assumptions!$D$16:$D$56,MATCH($C472&amp;"|"&amp;$D472,Assumptions!$H$16:$H$56,0)),0)</f>
        <v>0</v>
      </c>
      <c r="Q472" s="20" t="n">
        <f aca="false">$N472*$P472</f>
        <v>0</v>
      </c>
    </row>
    <row r="473" customFormat="false" ht="15" hidden="false" customHeight="false" outlineLevel="0" collapsed="false">
      <c r="A473" s="9" t="s">
        <v>1337</v>
      </c>
      <c r="B473" s="9" t="s">
        <v>1321</v>
      </c>
      <c r="C473" s="9" t="s">
        <v>32</v>
      </c>
      <c r="D473" s="9" t="s">
        <v>1338</v>
      </c>
      <c r="E473" s="9" t="s">
        <v>1283</v>
      </c>
      <c r="F473" s="9" t="s">
        <v>53</v>
      </c>
      <c r="G473" s="9" t="s">
        <v>53</v>
      </c>
      <c r="H473" s="9"/>
      <c r="I473" s="25" t="n">
        <v>1</v>
      </c>
      <c r="J473" s="9" t="s">
        <v>1282</v>
      </c>
      <c r="K473" s="9" t="s">
        <v>1159</v>
      </c>
      <c r="L473" s="12" t="n">
        <v>1</v>
      </c>
      <c r="M473" s="20" t="n">
        <v>382587.7</v>
      </c>
      <c r="N473" s="20" t="n">
        <v>191293.85</v>
      </c>
      <c r="O473" s="20" t="n">
        <v>191293.85</v>
      </c>
      <c r="P473" s="12" t="n">
        <f aca="false">IF($E473="squad",INDEX(Assumptions!$D$16:$D$56,MATCH($C473&amp;"|"&amp;$D473,Assumptions!$H$16:$H$56,0)),0)</f>
        <v>0</v>
      </c>
      <c r="Q473" s="20" t="n">
        <f aca="false">$N473*$P473</f>
        <v>0</v>
      </c>
    </row>
    <row r="474" customFormat="false" ht="15" hidden="false" customHeight="false" outlineLevel="0" collapsed="false">
      <c r="A474" s="9" t="s">
        <v>1339</v>
      </c>
      <c r="B474" s="9" t="s">
        <v>1321</v>
      </c>
      <c r="C474" s="9" t="s">
        <v>32</v>
      </c>
      <c r="D474" s="9" t="s">
        <v>1338</v>
      </c>
      <c r="E474" s="9" t="s">
        <v>1283</v>
      </c>
      <c r="F474" s="9" t="s">
        <v>69</v>
      </c>
      <c r="G474" s="9" t="s">
        <v>82</v>
      </c>
      <c r="H474" s="9"/>
      <c r="I474" s="25" t="n">
        <v>1</v>
      </c>
      <c r="J474" s="9" t="s">
        <v>1282</v>
      </c>
      <c r="K474" s="9" t="s">
        <v>1159</v>
      </c>
      <c r="L474" s="12" t="n">
        <v>1</v>
      </c>
      <c r="M474" s="20" t="n">
        <v>213600</v>
      </c>
      <c r="N474" s="20" t="n">
        <v>213600</v>
      </c>
      <c r="O474" s="20" t="n">
        <v>0</v>
      </c>
      <c r="P474" s="12" t="n">
        <f aca="false">IF($E474="squad",INDEX(Assumptions!$D$16:$D$56,MATCH($C474&amp;"|"&amp;$D474,Assumptions!$H$16:$H$56,0)),0)</f>
        <v>0</v>
      </c>
      <c r="Q474" s="20" t="n">
        <f aca="false">$N474*$P474</f>
        <v>0</v>
      </c>
    </row>
    <row r="475" customFormat="false" ht="15" hidden="false" customHeight="false" outlineLevel="0" collapsed="false">
      <c r="A475" s="9" t="s">
        <v>1340</v>
      </c>
      <c r="B475" s="9" t="s">
        <v>1321</v>
      </c>
      <c r="C475" s="9" t="s">
        <v>32</v>
      </c>
      <c r="D475" s="9" t="s">
        <v>1338</v>
      </c>
      <c r="E475" s="9" t="s">
        <v>1283</v>
      </c>
      <c r="F475" s="9" t="s">
        <v>53</v>
      </c>
      <c r="G475" s="9" t="s">
        <v>53</v>
      </c>
      <c r="H475" s="9"/>
      <c r="I475" s="25" t="n">
        <v>1</v>
      </c>
      <c r="J475" s="9" t="s">
        <v>1282</v>
      </c>
      <c r="K475" s="9" t="s">
        <v>1159</v>
      </c>
      <c r="L475" s="12" t="n">
        <v>1</v>
      </c>
      <c r="M475" s="20" t="n">
        <v>285342.9</v>
      </c>
      <c r="N475" s="20" t="n">
        <v>214007.175</v>
      </c>
      <c r="O475" s="20" t="n">
        <v>71335.725</v>
      </c>
      <c r="P475" s="12" t="n">
        <f aca="false">IF($E475="squad",INDEX(Assumptions!$D$16:$D$56,MATCH($C475&amp;"|"&amp;$D475,Assumptions!$H$16:$H$56,0)),0)</f>
        <v>0</v>
      </c>
      <c r="Q475" s="20" t="n">
        <f aca="false">$N475*$P475</f>
        <v>0</v>
      </c>
    </row>
    <row r="476" customFormat="false" ht="15" hidden="false" customHeight="false" outlineLevel="0" collapsed="false">
      <c r="A476" s="9" t="s">
        <v>1341</v>
      </c>
      <c r="B476" s="9" t="s">
        <v>1321</v>
      </c>
      <c r="C476" s="9" t="s">
        <v>32</v>
      </c>
      <c r="D476" s="9" t="s">
        <v>1338</v>
      </c>
      <c r="E476" s="9" t="s">
        <v>1283</v>
      </c>
      <c r="F476" s="9" t="s">
        <v>53</v>
      </c>
      <c r="G476" s="9" t="s">
        <v>53</v>
      </c>
      <c r="H476" s="9"/>
      <c r="I476" s="25" t="n">
        <v>1</v>
      </c>
      <c r="J476" s="9" t="s">
        <v>1282</v>
      </c>
      <c r="K476" s="9" t="s">
        <v>1159</v>
      </c>
      <c r="L476" s="12" t="n">
        <v>1</v>
      </c>
      <c r="M476" s="20" t="n">
        <v>283353.75</v>
      </c>
      <c r="N476" s="20" t="n">
        <v>141676.875</v>
      </c>
      <c r="O476" s="20" t="n">
        <v>141676.875</v>
      </c>
      <c r="P476" s="12" t="n">
        <f aca="false">IF($E476="squad",INDEX(Assumptions!$D$16:$D$56,MATCH($C476&amp;"|"&amp;$D476,Assumptions!$H$16:$H$56,0)),0)</f>
        <v>0</v>
      </c>
      <c r="Q476" s="20" t="n">
        <f aca="false">$N476*$P476</f>
        <v>0</v>
      </c>
    </row>
    <row r="477" customFormat="false" ht="15" hidden="false" customHeight="false" outlineLevel="0" collapsed="false">
      <c r="A477" s="9" t="s">
        <v>1342</v>
      </c>
      <c r="B477" s="9" t="s">
        <v>1321</v>
      </c>
      <c r="C477" s="9" t="s">
        <v>32</v>
      </c>
      <c r="D477" s="9" t="s">
        <v>1338</v>
      </c>
      <c r="E477" s="9" t="s">
        <v>1283</v>
      </c>
      <c r="F477" s="9" t="s">
        <v>53</v>
      </c>
      <c r="G477" s="9" t="s">
        <v>53</v>
      </c>
      <c r="H477" s="9"/>
      <c r="I477" s="25" t="n">
        <v>1</v>
      </c>
      <c r="J477" s="9" t="s">
        <v>1282</v>
      </c>
      <c r="K477" s="9" t="s">
        <v>1159</v>
      </c>
      <c r="L477" s="12" t="n">
        <v>1</v>
      </c>
      <c r="M477" s="20" t="n">
        <v>226282.5</v>
      </c>
      <c r="N477" s="20" t="n">
        <v>135769.5</v>
      </c>
      <c r="O477" s="20" t="n">
        <v>90513</v>
      </c>
      <c r="P477" s="12" t="n">
        <f aca="false">IF($E477="squad",INDEX(Assumptions!$D$16:$D$56,MATCH($C477&amp;"|"&amp;$D477,Assumptions!$H$16:$H$56,0)),0)</f>
        <v>0</v>
      </c>
      <c r="Q477" s="20" t="n">
        <f aca="false">$N477*$P477</f>
        <v>0</v>
      </c>
    </row>
    <row r="478" customFormat="false" ht="15" hidden="false" customHeight="false" outlineLevel="0" collapsed="false">
      <c r="A478" s="9" t="s">
        <v>1343</v>
      </c>
      <c r="B478" s="9" t="s">
        <v>1344</v>
      </c>
      <c r="C478" s="9" t="s">
        <v>27</v>
      </c>
      <c r="D478" s="9" t="s">
        <v>1251</v>
      </c>
      <c r="E478" s="9" t="s">
        <v>1283</v>
      </c>
      <c r="F478" s="9" t="s">
        <v>53</v>
      </c>
      <c r="G478" s="9" t="s">
        <v>53</v>
      </c>
      <c r="H478" s="9"/>
      <c r="I478" s="25" t="n">
        <v>1</v>
      </c>
      <c r="J478" s="9" t="s">
        <v>1282</v>
      </c>
      <c r="K478" s="9" t="s">
        <v>1159</v>
      </c>
      <c r="L478" s="12" t="n">
        <v>1</v>
      </c>
      <c r="M478" s="20" t="n">
        <v>400671.4</v>
      </c>
      <c r="N478" s="20" t="n">
        <v>400671.4</v>
      </c>
      <c r="O478" s="20" t="n">
        <v>0</v>
      </c>
      <c r="P478" s="12" t="n">
        <f aca="false">IF($E478="squad",INDEX(Assumptions!$D$16:$D$56,MATCH($C478&amp;"|"&amp;$D478,Assumptions!$H$16:$H$56,0)),0)</f>
        <v>0</v>
      </c>
      <c r="Q478" s="20" t="n">
        <f aca="false">$N478*$P478</f>
        <v>0</v>
      </c>
    </row>
    <row r="479" customFormat="false" ht="15" hidden="false" customHeight="false" outlineLevel="0" collapsed="false">
      <c r="A479" s="9" t="s">
        <v>1345</v>
      </c>
      <c r="B479" s="9" t="s">
        <v>1344</v>
      </c>
      <c r="C479" s="9" t="s">
        <v>27</v>
      </c>
      <c r="D479" s="9" t="s">
        <v>1251</v>
      </c>
      <c r="E479" s="9" t="s">
        <v>1283</v>
      </c>
      <c r="F479" s="9" t="s">
        <v>53</v>
      </c>
      <c r="G479" s="9" t="s">
        <v>53</v>
      </c>
      <c r="H479" s="9"/>
      <c r="I479" s="25" t="n">
        <v>1</v>
      </c>
      <c r="J479" s="9" t="s">
        <v>1282</v>
      </c>
      <c r="K479" s="9" t="s">
        <v>1159</v>
      </c>
      <c r="L479" s="12" t="n">
        <v>1</v>
      </c>
      <c r="M479" s="20" t="n">
        <v>272070.45</v>
      </c>
      <c r="N479" s="20" t="n">
        <v>272070.45</v>
      </c>
      <c r="O479" s="20" t="n">
        <v>0</v>
      </c>
      <c r="P479" s="12" t="n">
        <f aca="false">IF($E479="squad",INDEX(Assumptions!$D$16:$D$56,MATCH($C479&amp;"|"&amp;$D479,Assumptions!$H$16:$H$56,0)),0)</f>
        <v>0</v>
      </c>
      <c r="Q479" s="20" t="n">
        <f aca="false">$N479*$P479</f>
        <v>0</v>
      </c>
    </row>
    <row r="480" customFormat="false" ht="15" hidden="false" customHeight="false" outlineLevel="0" collapsed="false">
      <c r="A480" s="9" t="s">
        <v>1346</v>
      </c>
      <c r="B480" s="9" t="s">
        <v>1344</v>
      </c>
      <c r="C480" s="9" t="s">
        <v>27</v>
      </c>
      <c r="D480" s="9" t="s">
        <v>1251</v>
      </c>
      <c r="E480" s="9" t="s">
        <v>1283</v>
      </c>
      <c r="F480" s="9" t="s">
        <v>53</v>
      </c>
      <c r="G480" s="9" t="s">
        <v>71</v>
      </c>
      <c r="H480" s="9" t="s">
        <v>835</v>
      </c>
      <c r="I480" s="25" t="n">
        <v>1</v>
      </c>
      <c r="J480" s="9" t="s">
        <v>1284</v>
      </c>
      <c r="K480" s="9" t="s">
        <v>1159</v>
      </c>
      <c r="L480" s="12" t="n">
        <v>1</v>
      </c>
      <c r="M480" s="20" t="n">
        <v>189974.796</v>
      </c>
      <c r="N480" s="20" t="n">
        <v>75989.9184</v>
      </c>
      <c r="O480" s="20" t="n">
        <v>0</v>
      </c>
      <c r="P480" s="12" t="n">
        <f aca="false">IF($E480="squad",INDEX(Assumptions!$D$16:$D$56,MATCH($C480&amp;"|"&amp;$D480,Assumptions!$H$16:$H$56,0)),0)</f>
        <v>0</v>
      </c>
      <c r="Q480" s="20" t="n">
        <f aca="false">$N480*$P480</f>
        <v>0</v>
      </c>
    </row>
    <row r="481" customFormat="false" ht="15" hidden="false" customHeight="false" outlineLevel="0" collapsed="false">
      <c r="A481" s="9" t="s">
        <v>1347</v>
      </c>
      <c r="B481" s="9" t="s">
        <v>1344</v>
      </c>
      <c r="C481" s="9" t="s">
        <v>27</v>
      </c>
      <c r="D481" s="9" t="s">
        <v>1251</v>
      </c>
      <c r="E481" s="9" t="s">
        <v>1283</v>
      </c>
      <c r="F481" s="9" t="s">
        <v>53</v>
      </c>
      <c r="G481" s="9" t="s">
        <v>53</v>
      </c>
      <c r="H481" s="9"/>
      <c r="I481" s="25" t="n">
        <v>1</v>
      </c>
      <c r="J481" s="9" t="s">
        <v>1282</v>
      </c>
      <c r="K481" s="9" t="s">
        <v>1159</v>
      </c>
      <c r="L481" s="12" t="n">
        <v>1</v>
      </c>
      <c r="M481" s="20" t="n">
        <v>274943.25</v>
      </c>
      <c r="N481" s="20" t="n">
        <v>274943.25</v>
      </c>
      <c r="O481" s="20" t="n">
        <v>0</v>
      </c>
      <c r="P481" s="12" t="n">
        <f aca="false">IF($E481="squad",INDEX(Assumptions!$D$16:$D$56,MATCH($C481&amp;"|"&amp;$D481,Assumptions!$H$16:$H$56,0)),0)</f>
        <v>0</v>
      </c>
      <c r="Q481" s="20" t="n">
        <f aca="false">$N481*$P481</f>
        <v>0</v>
      </c>
    </row>
    <row r="482" customFormat="false" ht="15" hidden="false" customHeight="false" outlineLevel="0" collapsed="false">
      <c r="A482" s="9" t="s">
        <v>1348</v>
      </c>
      <c r="B482" s="9" t="s">
        <v>1344</v>
      </c>
      <c r="C482" s="9" t="s">
        <v>27</v>
      </c>
      <c r="D482" s="9" t="s">
        <v>1251</v>
      </c>
      <c r="E482" s="9" t="s">
        <v>1283</v>
      </c>
      <c r="F482" s="9" t="s">
        <v>53</v>
      </c>
      <c r="G482" s="9" t="s">
        <v>53</v>
      </c>
      <c r="H482" s="9"/>
      <c r="I482" s="25" t="n">
        <v>1</v>
      </c>
      <c r="J482" s="9" t="s">
        <v>1282</v>
      </c>
      <c r="K482" s="9" t="s">
        <v>1159</v>
      </c>
      <c r="L482" s="12" t="n">
        <v>1</v>
      </c>
      <c r="M482" s="20" t="n">
        <v>243303.75</v>
      </c>
      <c r="N482" s="20" t="n">
        <v>243303.75</v>
      </c>
      <c r="O482" s="20" t="n">
        <v>0</v>
      </c>
      <c r="P482" s="12" t="n">
        <f aca="false">IF($E482="squad",INDEX(Assumptions!$D$16:$D$56,MATCH($C482&amp;"|"&amp;$D482,Assumptions!$H$16:$H$56,0)),0)</f>
        <v>0</v>
      </c>
      <c r="Q482" s="20" t="n">
        <f aca="false">$N482*$P482</f>
        <v>0</v>
      </c>
    </row>
    <row r="483" customFormat="false" ht="15" hidden="false" customHeight="false" outlineLevel="0" collapsed="false">
      <c r="A483" s="9" t="s">
        <v>1349</v>
      </c>
      <c r="B483" s="9" t="s">
        <v>1344</v>
      </c>
      <c r="C483" s="9" t="s">
        <v>27</v>
      </c>
      <c r="D483" s="9" t="s">
        <v>1251</v>
      </c>
      <c r="E483" s="9" t="s">
        <v>1283</v>
      </c>
      <c r="F483" s="9" t="s">
        <v>53</v>
      </c>
      <c r="G483" s="9" t="s">
        <v>71</v>
      </c>
      <c r="H483" s="9"/>
      <c r="I483" s="25" t="n">
        <v>1</v>
      </c>
      <c r="J483" s="9" t="s">
        <v>1282</v>
      </c>
      <c r="K483" s="9" t="s">
        <v>1159</v>
      </c>
      <c r="L483" s="12" t="n">
        <v>1</v>
      </c>
      <c r="M483" s="20" t="n">
        <v>203988</v>
      </c>
      <c r="N483" s="20" t="n">
        <v>81595.2</v>
      </c>
      <c r="O483" s="20" t="n">
        <v>0</v>
      </c>
      <c r="P483" s="12" t="n">
        <f aca="false">IF($E483="squad",INDEX(Assumptions!$D$16:$D$56,MATCH($C483&amp;"|"&amp;$D483,Assumptions!$H$16:$H$56,0)),0)</f>
        <v>0</v>
      </c>
      <c r="Q483" s="20" t="n">
        <f aca="false">$N483*$P483</f>
        <v>0</v>
      </c>
    </row>
    <row r="484" customFormat="false" ht="15" hidden="false" customHeight="false" outlineLevel="0" collapsed="false">
      <c r="A484" s="9" t="s">
        <v>1350</v>
      </c>
      <c r="B484" s="9" t="s">
        <v>1344</v>
      </c>
      <c r="C484" s="9" t="s">
        <v>27</v>
      </c>
      <c r="D484" s="9" t="s">
        <v>1251</v>
      </c>
      <c r="E484" s="9" t="s">
        <v>1283</v>
      </c>
      <c r="F484" s="9" t="s">
        <v>53</v>
      </c>
      <c r="G484" s="9" t="s">
        <v>53</v>
      </c>
      <c r="H484" s="9"/>
      <c r="I484" s="25" t="n">
        <v>1</v>
      </c>
      <c r="J484" s="9" t="s">
        <v>1282</v>
      </c>
      <c r="K484" s="9" t="s">
        <v>1159</v>
      </c>
      <c r="L484" s="12" t="n">
        <v>1</v>
      </c>
      <c r="M484" s="20" t="n">
        <v>203841.15</v>
      </c>
      <c r="N484" s="20" t="n">
        <v>203841.15</v>
      </c>
      <c r="O484" s="20" t="n">
        <v>0</v>
      </c>
      <c r="P484" s="12" t="n">
        <f aca="false">IF($E484="squad",INDEX(Assumptions!$D$16:$D$56,MATCH($C484&amp;"|"&amp;$D484,Assumptions!$H$16:$H$56,0)),0)</f>
        <v>0</v>
      </c>
      <c r="Q484" s="20" t="n">
        <f aca="false">$N484*$P484</f>
        <v>0</v>
      </c>
    </row>
    <row r="485" customFormat="false" ht="15" hidden="false" customHeight="false" outlineLevel="0" collapsed="false">
      <c r="A485" s="9" t="s">
        <v>1351</v>
      </c>
      <c r="B485" s="9" t="s">
        <v>1344</v>
      </c>
      <c r="C485" s="9" t="s">
        <v>27</v>
      </c>
      <c r="D485" s="9" t="s">
        <v>1251</v>
      </c>
      <c r="E485" s="9" t="s">
        <v>1283</v>
      </c>
      <c r="F485" s="9" t="s">
        <v>53</v>
      </c>
      <c r="G485" s="9" t="s">
        <v>53</v>
      </c>
      <c r="H485" s="9"/>
      <c r="I485" s="25" t="n">
        <v>1</v>
      </c>
      <c r="J485" s="9" t="s">
        <v>1282</v>
      </c>
      <c r="K485" s="9" t="s">
        <v>1159</v>
      </c>
      <c r="L485" s="12" t="n">
        <v>1</v>
      </c>
      <c r="M485" s="20" t="n">
        <v>220875.75</v>
      </c>
      <c r="N485" s="20" t="n">
        <v>220875.75</v>
      </c>
      <c r="O485" s="20" t="n">
        <v>0</v>
      </c>
      <c r="P485" s="12" t="n">
        <f aca="false">IF($E485="squad",INDEX(Assumptions!$D$16:$D$56,MATCH($C485&amp;"|"&amp;$D485,Assumptions!$H$16:$H$56,0)),0)</f>
        <v>0</v>
      </c>
      <c r="Q485" s="20" t="n">
        <f aca="false">$N485*$P485</f>
        <v>0</v>
      </c>
    </row>
    <row r="486" customFormat="false" ht="15" hidden="false" customHeight="false" outlineLevel="0" collapsed="false">
      <c r="A486" s="9" t="s">
        <v>1352</v>
      </c>
      <c r="B486" s="9" t="s">
        <v>1344</v>
      </c>
      <c r="C486" s="9" t="s">
        <v>27</v>
      </c>
      <c r="D486" s="9" t="s">
        <v>1251</v>
      </c>
      <c r="E486" s="9" t="s">
        <v>1283</v>
      </c>
      <c r="F486" s="9" t="s">
        <v>69</v>
      </c>
      <c r="G486" s="9" t="s">
        <v>78</v>
      </c>
      <c r="H486" s="9"/>
      <c r="I486" s="25" t="n">
        <v>1</v>
      </c>
      <c r="J486" s="9" t="s">
        <v>1282</v>
      </c>
      <c r="K486" s="9" t="s">
        <v>1159</v>
      </c>
      <c r="L486" s="12" t="n">
        <v>1</v>
      </c>
      <c r="M486" s="20" t="n">
        <v>202853.25</v>
      </c>
      <c r="N486" s="20" t="n">
        <v>0</v>
      </c>
      <c r="O486" s="20" t="n">
        <v>0</v>
      </c>
      <c r="P486" s="12" t="n">
        <f aca="false">IF($E486="squad",INDEX(Assumptions!$D$16:$D$56,MATCH($C486&amp;"|"&amp;$D486,Assumptions!$H$16:$H$56,0)),0)</f>
        <v>0</v>
      </c>
      <c r="Q486" s="20" t="n">
        <f aca="false">$N486*$P486</f>
        <v>0</v>
      </c>
    </row>
    <row r="487" customFormat="false" ht="15" hidden="false" customHeight="false" outlineLevel="0" collapsed="false">
      <c r="A487" s="9" t="s">
        <v>1353</v>
      </c>
      <c r="B487" s="9" t="s">
        <v>1344</v>
      </c>
      <c r="C487" s="9" t="s">
        <v>27</v>
      </c>
      <c r="D487" s="9" t="s">
        <v>1251</v>
      </c>
      <c r="E487" s="9" t="s">
        <v>1283</v>
      </c>
      <c r="F487" s="9" t="s">
        <v>69</v>
      </c>
      <c r="G487" s="9" t="s">
        <v>78</v>
      </c>
      <c r="H487" s="9"/>
      <c r="I487" s="25" t="n">
        <v>1</v>
      </c>
      <c r="J487" s="9" t="s">
        <v>1282</v>
      </c>
      <c r="K487" s="9" t="s">
        <v>1159</v>
      </c>
      <c r="L487" s="12" t="n">
        <v>1</v>
      </c>
      <c r="M487" s="20" t="n">
        <v>202853.25</v>
      </c>
      <c r="N487" s="20" t="n">
        <v>0</v>
      </c>
      <c r="O487" s="20" t="n">
        <v>0</v>
      </c>
      <c r="P487" s="12" t="n">
        <f aca="false">IF($E487="squad",INDEX(Assumptions!$D$16:$D$56,MATCH($C487&amp;"|"&amp;$D487,Assumptions!$H$16:$H$56,0)),0)</f>
        <v>0</v>
      </c>
      <c r="Q487" s="20" t="n">
        <f aca="false">$N487*$P487</f>
        <v>0</v>
      </c>
    </row>
    <row r="488" customFormat="false" ht="15" hidden="false" customHeight="false" outlineLevel="0" collapsed="false">
      <c r="A488" s="9" t="s">
        <v>1354</v>
      </c>
      <c r="B488" s="9" t="s">
        <v>1344</v>
      </c>
      <c r="C488" s="9" t="s">
        <v>27</v>
      </c>
      <c r="D488" s="9" t="s">
        <v>1251</v>
      </c>
      <c r="E488" s="9" t="s">
        <v>1283</v>
      </c>
      <c r="F488" s="9" t="s">
        <v>69</v>
      </c>
      <c r="G488" s="9" t="s">
        <v>82</v>
      </c>
      <c r="H488" s="9"/>
      <c r="I488" s="25" t="n">
        <v>1</v>
      </c>
      <c r="J488" s="9" t="s">
        <v>1282</v>
      </c>
      <c r="K488" s="9" t="s">
        <v>1159</v>
      </c>
      <c r="L488" s="12" t="n">
        <v>1</v>
      </c>
      <c r="M488" s="20" t="n">
        <v>170489.75</v>
      </c>
      <c r="N488" s="20" t="n">
        <v>170489.75</v>
      </c>
      <c r="O488" s="20" t="n">
        <v>0</v>
      </c>
      <c r="P488" s="12" t="n">
        <f aca="false">IF($E488="squad",INDEX(Assumptions!$D$16:$D$56,MATCH($C488&amp;"|"&amp;$D488,Assumptions!$H$16:$H$56,0)),0)</f>
        <v>0</v>
      </c>
      <c r="Q488" s="20" t="n">
        <f aca="false">$N488*$P488</f>
        <v>0</v>
      </c>
    </row>
    <row r="489" customFormat="false" ht="15" hidden="false" customHeight="false" outlineLevel="0" collapsed="false">
      <c r="A489" s="9" t="s">
        <v>1355</v>
      </c>
      <c r="B489" s="9" t="s">
        <v>1344</v>
      </c>
      <c r="C489" s="9" t="s">
        <v>27</v>
      </c>
      <c r="D489" s="9" t="s">
        <v>1251</v>
      </c>
      <c r="E489" s="9" t="s">
        <v>1283</v>
      </c>
      <c r="F489" s="9" t="s">
        <v>53</v>
      </c>
      <c r="G489" s="9" t="s">
        <v>71</v>
      </c>
      <c r="H489" s="9"/>
      <c r="I489" s="25" t="n">
        <v>1</v>
      </c>
      <c r="J489" s="9" t="s">
        <v>1282</v>
      </c>
      <c r="K489" s="9" t="s">
        <v>1159</v>
      </c>
      <c r="L489" s="12" t="n">
        <v>1</v>
      </c>
      <c r="M489" s="20" t="n">
        <v>173106.6</v>
      </c>
      <c r="N489" s="20" t="n">
        <v>69242.64</v>
      </c>
      <c r="O489" s="20" t="n">
        <v>0</v>
      </c>
      <c r="P489" s="12" t="n">
        <f aca="false">IF($E489="squad",INDEX(Assumptions!$D$16:$D$56,MATCH($C489&amp;"|"&amp;$D489,Assumptions!$H$16:$H$56,0)),0)</f>
        <v>0</v>
      </c>
      <c r="Q489" s="20" t="n">
        <f aca="false">$N489*$P489</f>
        <v>0</v>
      </c>
    </row>
    <row r="490" customFormat="false" ht="15" hidden="false" customHeight="false" outlineLevel="0" collapsed="false">
      <c r="A490" s="9" t="s">
        <v>1356</v>
      </c>
      <c r="B490" s="9" t="s">
        <v>1344</v>
      </c>
      <c r="C490" s="9" t="s">
        <v>27</v>
      </c>
      <c r="D490" s="9" t="s">
        <v>1251</v>
      </c>
      <c r="E490" s="9" t="s">
        <v>1283</v>
      </c>
      <c r="F490" s="9" t="s">
        <v>53</v>
      </c>
      <c r="G490" s="9" t="s">
        <v>53</v>
      </c>
      <c r="H490" s="9"/>
      <c r="I490" s="25" t="n">
        <v>1</v>
      </c>
      <c r="J490" s="9" t="s">
        <v>1282</v>
      </c>
      <c r="K490" s="9" t="s">
        <v>1159</v>
      </c>
      <c r="L490" s="12" t="n">
        <v>1</v>
      </c>
      <c r="M490" s="20" t="n">
        <v>162139.5</v>
      </c>
      <c r="N490" s="20" t="n">
        <v>162139.5</v>
      </c>
      <c r="O490" s="20" t="n">
        <v>0</v>
      </c>
      <c r="P490" s="12" t="n">
        <f aca="false">IF($E490="squad",INDEX(Assumptions!$D$16:$D$56,MATCH($C490&amp;"|"&amp;$D490,Assumptions!$H$16:$H$56,0)),0)</f>
        <v>0</v>
      </c>
      <c r="Q490" s="20" t="n">
        <f aca="false">$N490*$P490</f>
        <v>0</v>
      </c>
    </row>
    <row r="491" customFormat="false" ht="15" hidden="false" customHeight="false" outlineLevel="0" collapsed="false">
      <c r="A491" s="9" t="s">
        <v>1357</v>
      </c>
      <c r="B491" s="9" t="s">
        <v>1344</v>
      </c>
      <c r="C491" s="9" t="s">
        <v>27</v>
      </c>
      <c r="D491" s="9" t="s">
        <v>1251</v>
      </c>
      <c r="E491" s="9" t="s">
        <v>1283</v>
      </c>
      <c r="F491" s="9" t="s">
        <v>53</v>
      </c>
      <c r="G491" s="9" t="s">
        <v>71</v>
      </c>
      <c r="H491" s="9"/>
      <c r="I491" s="25" t="n">
        <v>1</v>
      </c>
      <c r="J491" s="9" t="s">
        <v>1282</v>
      </c>
      <c r="K491" s="9" t="s">
        <v>1159</v>
      </c>
      <c r="L491" s="12" t="n">
        <v>1</v>
      </c>
      <c r="M491" s="20" t="n">
        <v>146885.5</v>
      </c>
      <c r="N491" s="20" t="n">
        <v>58754.2</v>
      </c>
      <c r="O491" s="20" t="n">
        <v>0</v>
      </c>
      <c r="P491" s="12" t="n">
        <f aca="false">IF($E491="squad",INDEX(Assumptions!$D$16:$D$56,MATCH($C491&amp;"|"&amp;$D491,Assumptions!$H$16:$H$56,0)),0)</f>
        <v>0</v>
      </c>
      <c r="Q491" s="20" t="n">
        <f aca="false">$N491*$P491</f>
        <v>0</v>
      </c>
    </row>
    <row r="492" customFormat="false" ht="15" hidden="false" customHeight="false" outlineLevel="0" collapsed="false">
      <c r="A492" s="9" t="s">
        <v>1358</v>
      </c>
      <c r="B492" s="9" t="s">
        <v>1344</v>
      </c>
      <c r="C492" s="9" t="s">
        <v>27</v>
      </c>
      <c r="D492" s="9" t="s">
        <v>1251</v>
      </c>
      <c r="E492" s="9" t="s">
        <v>1283</v>
      </c>
      <c r="F492" s="9" t="s">
        <v>53</v>
      </c>
      <c r="G492" s="9" t="s">
        <v>53</v>
      </c>
      <c r="H492" s="9"/>
      <c r="I492" s="25" t="n">
        <v>1</v>
      </c>
      <c r="J492" s="9" t="s">
        <v>1282</v>
      </c>
      <c r="K492" s="9" t="s">
        <v>1159</v>
      </c>
      <c r="L492" s="12" t="n">
        <v>1</v>
      </c>
      <c r="M492" s="20" t="n">
        <v>180970.3</v>
      </c>
      <c r="N492" s="20" t="n">
        <v>180970.3</v>
      </c>
      <c r="O492" s="20" t="n">
        <v>0</v>
      </c>
      <c r="P492" s="12" t="n">
        <f aca="false">IF($E492="squad",INDEX(Assumptions!$D$16:$D$56,MATCH($C492&amp;"|"&amp;$D492,Assumptions!$H$16:$H$56,0)),0)</f>
        <v>0</v>
      </c>
      <c r="Q492" s="20" t="n">
        <f aca="false">$N492*$P492</f>
        <v>0</v>
      </c>
    </row>
    <row r="493" customFormat="false" ht="15" hidden="false" customHeight="false" outlineLevel="0" collapsed="false">
      <c r="A493" s="9" t="s">
        <v>1359</v>
      </c>
      <c r="B493" s="9" t="s">
        <v>1344</v>
      </c>
      <c r="C493" s="9" t="s">
        <v>27</v>
      </c>
      <c r="D493" s="9" t="s">
        <v>1251</v>
      </c>
      <c r="E493" s="9" t="s">
        <v>1283</v>
      </c>
      <c r="F493" s="9" t="s">
        <v>53</v>
      </c>
      <c r="G493" s="9" t="s">
        <v>71</v>
      </c>
      <c r="H493" s="9"/>
      <c r="I493" s="25" t="n">
        <v>1</v>
      </c>
      <c r="J493" s="9" t="s">
        <v>1282</v>
      </c>
      <c r="K493" s="9" t="s">
        <v>1159</v>
      </c>
      <c r="L493" s="12" t="n">
        <v>1</v>
      </c>
      <c r="M493" s="20" t="n">
        <v>139008.65</v>
      </c>
      <c r="N493" s="20" t="n">
        <v>55603.46</v>
      </c>
      <c r="O493" s="20" t="n">
        <v>0</v>
      </c>
      <c r="P493" s="12" t="n">
        <f aca="false">IF($E493="squad",INDEX(Assumptions!$D$16:$D$56,MATCH($C493&amp;"|"&amp;$D493,Assumptions!$H$16:$H$56,0)),0)</f>
        <v>0</v>
      </c>
      <c r="Q493" s="20" t="n">
        <f aca="false">$N493*$P493</f>
        <v>0</v>
      </c>
    </row>
    <row r="494" customFormat="false" ht="15" hidden="false" customHeight="false" outlineLevel="0" collapsed="false">
      <c r="A494" s="9" t="s">
        <v>1360</v>
      </c>
      <c r="B494" s="9" t="s">
        <v>1344</v>
      </c>
      <c r="C494" s="9" t="s">
        <v>27</v>
      </c>
      <c r="D494" s="9" t="s">
        <v>1251</v>
      </c>
      <c r="E494" s="9" t="s">
        <v>1283</v>
      </c>
      <c r="F494" s="9" t="s">
        <v>53</v>
      </c>
      <c r="G494" s="9" t="s">
        <v>53</v>
      </c>
      <c r="H494" s="9"/>
      <c r="I494" s="25" t="n">
        <v>1</v>
      </c>
      <c r="J494" s="9" t="s">
        <v>1282</v>
      </c>
      <c r="K494" s="9" t="s">
        <v>1159</v>
      </c>
      <c r="L494" s="12" t="n">
        <v>1</v>
      </c>
      <c r="M494" s="20" t="n">
        <v>115851.5</v>
      </c>
      <c r="N494" s="20" t="n">
        <v>115851.5</v>
      </c>
      <c r="O494" s="20" t="n">
        <v>0</v>
      </c>
      <c r="P494" s="12" t="n">
        <f aca="false">IF($E494="squad",INDEX(Assumptions!$D$16:$D$56,MATCH($C494&amp;"|"&amp;$D494,Assumptions!$H$16:$H$56,0)),0)</f>
        <v>0</v>
      </c>
      <c r="Q494" s="20" t="n">
        <f aca="false">$N494*$P494</f>
        <v>0</v>
      </c>
    </row>
    <row r="495" customFormat="false" ht="15" hidden="false" customHeight="false" outlineLevel="0" collapsed="false">
      <c r="A495" s="9" t="s">
        <v>1361</v>
      </c>
      <c r="B495" s="9" t="s">
        <v>1344</v>
      </c>
      <c r="C495" s="9" t="s">
        <v>27</v>
      </c>
      <c r="D495" s="9" t="s">
        <v>1251</v>
      </c>
      <c r="E495" s="9" t="s">
        <v>1283</v>
      </c>
      <c r="F495" s="9" t="s">
        <v>53</v>
      </c>
      <c r="G495" s="9" t="s">
        <v>78</v>
      </c>
      <c r="H495" s="9"/>
      <c r="I495" s="25" t="n">
        <v>1</v>
      </c>
      <c r="J495" s="9" t="s">
        <v>1282</v>
      </c>
      <c r="K495" s="9" t="s">
        <v>1159</v>
      </c>
      <c r="L495" s="12" t="n">
        <v>1</v>
      </c>
      <c r="M495" s="20" t="n">
        <v>110075</v>
      </c>
      <c r="N495" s="20" t="n">
        <v>0</v>
      </c>
      <c r="O495" s="20" t="n">
        <v>0</v>
      </c>
      <c r="P495" s="12" t="n">
        <f aca="false">IF($E495="squad",INDEX(Assumptions!$D$16:$D$56,MATCH($C495&amp;"|"&amp;$D495,Assumptions!$H$16:$H$56,0)),0)</f>
        <v>0</v>
      </c>
      <c r="Q495" s="20" t="n">
        <f aca="false">$N495*$P495</f>
        <v>0</v>
      </c>
    </row>
    <row r="496" customFormat="false" ht="15" hidden="false" customHeight="false" outlineLevel="0" collapsed="false">
      <c r="A496" s="9" t="s">
        <v>1362</v>
      </c>
      <c r="B496" s="9" t="s">
        <v>1344</v>
      </c>
      <c r="C496" s="9" t="s">
        <v>27</v>
      </c>
      <c r="D496" s="9" t="s">
        <v>1251</v>
      </c>
      <c r="E496" s="9" t="s">
        <v>1283</v>
      </c>
      <c r="F496" s="9" t="s">
        <v>53</v>
      </c>
      <c r="G496" s="9" t="s">
        <v>53</v>
      </c>
      <c r="H496" s="9"/>
      <c r="I496" s="25" t="n">
        <v>1</v>
      </c>
      <c r="J496" s="9" t="s">
        <v>1284</v>
      </c>
      <c r="K496" s="9" t="s">
        <v>1159</v>
      </c>
      <c r="L496" s="12" t="n">
        <v>1</v>
      </c>
      <c r="M496" s="20" t="n">
        <v>89758</v>
      </c>
      <c r="N496" s="20" t="n">
        <v>89758</v>
      </c>
      <c r="O496" s="20" t="n">
        <v>0</v>
      </c>
      <c r="P496" s="12" t="n">
        <f aca="false">IF($E496="squad",INDEX(Assumptions!$D$16:$D$56,MATCH($C496&amp;"|"&amp;$D496,Assumptions!$H$16:$H$56,0)),0)</f>
        <v>0</v>
      </c>
      <c r="Q496" s="20" t="n">
        <f aca="false">$N496*$P496</f>
        <v>0</v>
      </c>
    </row>
    <row r="497" customFormat="false" ht="15" hidden="false" customHeight="false" outlineLevel="0" collapsed="false">
      <c r="A497" s="9" t="s">
        <v>1363</v>
      </c>
      <c r="B497" s="9" t="s">
        <v>1344</v>
      </c>
      <c r="C497" s="9" t="s">
        <v>27</v>
      </c>
      <c r="D497" s="9" t="s">
        <v>1251</v>
      </c>
      <c r="E497" s="9" t="s">
        <v>1283</v>
      </c>
      <c r="F497" s="9" t="s">
        <v>69</v>
      </c>
      <c r="G497" s="9" t="s">
        <v>71</v>
      </c>
      <c r="H497" s="9" t="s">
        <v>1364</v>
      </c>
      <c r="I497" s="25" t="n">
        <v>1</v>
      </c>
      <c r="J497" s="9" t="s">
        <v>1282</v>
      </c>
      <c r="K497" s="9" t="s">
        <v>1159</v>
      </c>
      <c r="L497" s="12" t="n">
        <v>1</v>
      </c>
      <c r="M497" s="20" t="n">
        <v>170489.75</v>
      </c>
      <c r="N497" s="20" t="n">
        <v>17048.975</v>
      </c>
      <c r="O497" s="20" t="n">
        <v>0</v>
      </c>
      <c r="P497" s="12" t="n">
        <f aca="false">IF($E497="squad",INDEX(Assumptions!$D$16:$D$56,MATCH($C497&amp;"|"&amp;$D497,Assumptions!$H$16:$H$56,0)),0)</f>
        <v>0</v>
      </c>
      <c r="Q497" s="20" t="n">
        <f aca="false">$N497*$P497</f>
        <v>0</v>
      </c>
    </row>
    <row r="498" customFormat="false" ht="15" hidden="false" customHeight="false" outlineLevel="0" collapsed="false">
      <c r="A498" s="9" t="s">
        <v>1365</v>
      </c>
      <c r="B498" s="9" t="s">
        <v>1344</v>
      </c>
      <c r="C498" s="9" t="s">
        <v>27</v>
      </c>
      <c r="D498" s="9" t="s">
        <v>1251</v>
      </c>
      <c r="E498" s="9" t="s">
        <v>1283</v>
      </c>
      <c r="F498" s="9" t="s">
        <v>69</v>
      </c>
      <c r="G498" s="9" t="s">
        <v>71</v>
      </c>
      <c r="H498" s="9" t="s">
        <v>1364</v>
      </c>
      <c r="I498" s="25" t="n">
        <v>1</v>
      </c>
      <c r="J498" s="9" t="s">
        <v>1282</v>
      </c>
      <c r="K498" s="9" t="s">
        <v>1159</v>
      </c>
      <c r="L498" s="12" t="n">
        <v>1</v>
      </c>
      <c r="M498" s="20" t="n">
        <v>170489.75</v>
      </c>
      <c r="N498" s="20" t="n">
        <v>17048.975</v>
      </c>
      <c r="O498" s="20" t="n">
        <v>0</v>
      </c>
      <c r="P498" s="12" t="n">
        <f aca="false">IF($E498="squad",INDEX(Assumptions!$D$16:$D$56,MATCH($C498&amp;"|"&amp;$D498,Assumptions!$H$16:$H$56,0)),0)</f>
        <v>0</v>
      </c>
      <c r="Q498" s="20" t="n">
        <f aca="false">$N498*$P498</f>
        <v>0</v>
      </c>
    </row>
    <row r="499" customFormat="false" ht="15" hidden="false" customHeight="false" outlineLevel="0" collapsed="false">
      <c r="A499" s="9" t="s">
        <v>1366</v>
      </c>
      <c r="B499" s="9" t="s">
        <v>1344</v>
      </c>
      <c r="C499" s="9" t="s">
        <v>27</v>
      </c>
      <c r="D499" s="9" t="s">
        <v>1251</v>
      </c>
      <c r="E499" s="9" t="s">
        <v>1283</v>
      </c>
      <c r="F499" s="9" t="s">
        <v>69</v>
      </c>
      <c r="G499" s="9" t="s">
        <v>71</v>
      </c>
      <c r="H499" s="9" t="s">
        <v>1367</v>
      </c>
      <c r="I499" s="25" t="n">
        <v>1</v>
      </c>
      <c r="J499" s="9" t="s">
        <v>1282</v>
      </c>
      <c r="K499" s="9" t="s">
        <v>1159</v>
      </c>
      <c r="L499" s="12" t="n">
        <v>1</v>
      </c>
      <c r="M499" s="20" t="n">
        <v>122571.75</v>
      </c>
      <c r="N499" s="20" t="n">
        <v>24514.35</v>
      </c>
      <c r="O499" s="20" t="n">
        <v>0</v>
      </c>
      <c r="P499" s="12" t="n">
        <f aca="false">IF($E499="squad",INDEX(Assumptions!$D$16:$D$56,MATCH($C499&amp;"|"&amp;$D499,Assumptions!$H$16:$H$56,0)),0)</f>
        <v>0</v>
      </c>
      <c r="Q499" s="20" t="n">
        <f aca="false">$N499*$P499</f>
        <v>0</v>
      </c>
    </row>
    <row r="500" customFormat="false" ht="15" hidden="false" customHeight="false" outlineLevel="0" collapsed="false">
      <c r="A500" s="9" t="s">
        <v>1368</v>
      </c>
      <c r="B500" s="9" t="s">
        <v>1344</v>
      </c>
      <c r="C500" s="9" t="s">
        <v>27</v>
      </c>
      <c r="D500" s="9" t="s">
        <v>1251</v>
      </c>
      <c r="E500" s="9" t="s">
        <v>1283</v>
      </c>
      <c r="F500" s="9" t="s">
        <v>53</v>
      </c>
      <c r="G500" s="9" t="s">
        <v>53</v>
      </c>
      <c r="H500" s="9"/>
      <c r="I500" s="25" t="n">
        <v>1</v>
      </c>
      <c r="J500" s="9" t="s">
        <v>1284</v>
      </c>
      <c r="K500" s="9" t="s">
        <v>1159</v>
      </c>
      <c r="L500" s="12" t="n">
        <v>1</v>
      </c>
      <c r="M500" s="20" t="n">
        <v>97237.784</v>
      </c>
      <c r="N500" s="20" t="n">
        <v>97237.784</v>
      </c>
      <c r="O500" s="20" t="n">
        <v>0</v>
      </c>
      <c r="P500" s="12" t="n">
        <f aca="false">IF($E500="squad",INDEX(Assumptions!$D$16:$D$56,MATCH($C500&amp;"|"&amp;$D500,Assumptions!$H$16:$H$56,0)),0)</f>
        <v>0</v>
      </c>
      <c r="Q500" s="20" t="n">
        <f aca="false">$N500*$P500</f>
        <v>0</v>
      </c>
    </row>
    <row r="501" customFormat="false" ht="15" hidden="false" customHeight="false" outlineLevel="0" collapsed="false">
      <c r="A501" s="9" t="s">
        <v>1369</v>
      </c>
      <c r="B501" s="9" t="s">
        <v>1344</v>
      </c>
      <c r="C501" s="9" t="s">
        <v>27</v>
      </c>
      <c r="D501" s="9" t="s">
        <v>1251</v>
      </c>
      <c r="E501" s="9" t="s">
        <v>1283</v>
      </c>
      <c r="F501" s="9" t="s">
        <v>69</v>
      </c>
      <c r="G501" s="9" t="s">
        <v>78</v>
      </c>
      <c r="H501" s="9"/>
      <c r="I501" s="25" t="n">
        <v>1</v>
      </c>
      <c r="J501" s="9" t="s">
        <v>1282</v>
      </c>
      <c r="K501" s="9" t="s">
        <v>1159</v>
      </c>
      <c r="L501" s="12" t="n">
        <v>1</v>
      </c>
      <c r="M501" s="20" t="n">
        <v>122571.75</v>
      </c>
      <c r="N501" s="20" t="n">
        <v>0</v>
      </c>
      <c r="O501" s="20" t="n">
        <v>0</v>
      </c>
      <c r="P501" s="12" t="n">
        <f aca="false">IF($E501="squad",INDEX(Assumptions!$D$16:$D$56,MATCH($C501&amp;"|"&amp;$D501,Assumptions!$H$16:$H$56,0)),0)</f>
        <v>0</v>
      </c>
      <c r="Q501" s="20" t="n">
        <f aca="false">$N501*$P501</f>
        <v>0</v>
      </c>
    </row>
    <row r="502" customFormat="false" ht="15" hidden="false" customHeight="false" outlineLevel="0" collapsed="false">
      <c r="A502" s="9" t="s">
        <v>1370</v>
      </c>
      <c r="B502" s="9" t="s">
        <v>1371</v>
      </c>
      <c r="C502" s="9" t="s">
        <v>29</v>
      </c>
      <c r="D502" s="9" t="s">
        <v>1253</v>
      </c>
      <c r="E502" s="9" t="s">
        <v>1283</v>
      </c>
      <c r="F502" s="9" t="s">
        <v>53</v>
      </c>
      <c r="G502" s="9" t="s">
        <v>53</v>
      </c>
      <c r="H502" s="9"/>
      <c r="I502" s="25" t="n">
        <v>1</v>
      </c>
      <c r="J502" s="9" t="s">
        <v>1282</v>
      </c>
      <c r="K502" s="9" t="s">
        <v>1159</v>
      </c>
      <c r="L502" s="12" t="n">
        <v>1</v>
      </c>
      <c r="M502" s="20" t="n">
        <v>367900</v>
      </c>
      <c r="N502" s="20" t="n">
        <v>367900</v>
      </c>
      <c r="O502" s="20" t="n">
        <v>0</v>
      </c>
      <c r="P502" s="12" t="n">
        <f aca="false">IF($E502="squad",INDEX(Assumptions!$D$16:$D$56,MATCH($C502&amp;"|"&amp;$D502,Assumptions!$H$16:$H$56,0)),0)</f>
        <v>0</v>
      </c>
      <c r="Q502" s="20" t="n">
        <f aca="false">$N502*$P502</f>
        <v>0</v>
      </c>
    </row>
    <row r="503" customFormat="false" ht="15" hidden="false" customHeight="false" outlineLevel="0" collapsed="false">
      <c r="A503" s="9" t="s">
        <v>1372</v>
      </c>
      <c r="B503" s="9" t="s">
        <v>1371</v>
      </c>
      <c r="C503" s="9" t="s">
        <v>29</v>
      </c>
      <c r="D503" s="9" t="s">
        <v>1253</v>
      </c>
      <c r="E503" s="9" t="s">
        <v>1283</v>
      </c>
      <c r="F503" s="9" t="s">
        <v>69</v>
      </c>
      <c r="G503" s="9" t="s">
        <v>82</v>
      </c>
      <c r="H503" s="9"/>
      <c r="I503" s="25" t="n">
        <v>1</v>
      </c>
      <c r="J503" s="9" t="s">
        <v>1282</v>
      </c>
      <c r="K503" s="9" t="s">
        <v>1159</v>
      </c>
      <c r="L503" s="12" t="n">
        <v>1</v>
      </c>
      <c r="M503" s="20" t="n">
        <v>275810.25</v>
      </c>
      <c r="N503" s="20" t="n">
        <v>275810.25</v>
      </c>
      <c r="O503" s="20" t="n">
        <v>0</v>
      </c>
      <c r="P503" s="12" t="n">
        <f aca="false">IF($E503="squad",INDEX(Assumptions!$D$16:$D$56,MATCH($C503&amp;"|"&amp;$D503,Assumptions!$H$16:$H$56,0)),0)</f>
        <v>0</v>
      </c>
      <c r="Q503" s="20" t="n">
        <f aca="false">$N503*$P503</f>
        <v>0</v>
      </c>
    </row>
    <row r="504" customFormat="false" ht="15" hidden="false" customHeight="false" outlineLevel="0" collapsed="false">
      <c r="A504" s="9" t="s">
        <v>1373</v>
      </c>
      <c r="B504" s="9" t="s">
        <v>1371</v>
      </c>
      <c r="C504" s="9" t="s">
        <v>29</v>
      </c>
      <c r="D504" s="9" t="s">
        <v>1253</v>
      </c>
      <c r="E504" s="9" t="s">
        <v>1283</v>
      </c>
      <c r="F504" s="9" t="s">
        <v>69</v>
      </c>
      <c r="G504" s="9" t="s">
        <v>82</v>
      </c>
      <c r="H504" s="9"/>
      <c r="I504" s="25" t="n">
        <v>1</v>
      </c>
      <c r="J504" s="9" t="s">
        <v>1282</v>
      </c>
      <c r="K504" s="9" t="s">
        <v>1159</v>
      </c>
      <c r="L504" s="12" t="n">
        <v>1</v>
      </c>
      <c r="M504" s="20" t="n">
        <v>275810.25</v>
      </c>
      <c r="N504" s="20" t="n">
        <v>275810.25</v>
      </c>
      <c r="O504" s="20" t="n">
        <v>0</v>
      </c>
      <c r="P504" s="12" t="n">
        <f aca="false">IF($E504="squad",INDEX(Assumptions!$D$16:$D$56,MATCH($C504&amp;"|"&amp;$D504,Assumptions!$H$16:$H$56,0)),0)</f>
        <v>0</v>
      </c>
      <c r="Q504" s="20" t="n">
        <f aca="false">$N504*$P504</f>
        <v>0</v>
      </c>
    </row>
    <row r="505" customFormat="false" ht="15" hidden="false" customHeight="false" outlineLevel="0" collapsed="false">
      <c r="A505" s="9" t="s">
        <v>1374</v>
      </c>
      <c r="B505" s="9" t="s">
        <v>1371</v>
      </c>
      <c r="C505" s="9" t="s">
        <v>29</v>
      </c>
      <c r="D505" s="9" t="s">
        <v>1253</v>
      </c>
      <c r="E505" s="9" t="s">
        <v>1283</v>
      </c>
      <c r="F505" s="9" t="s">
        <v>53</v>
      </c>
      <c r="G505" s="9" t="s">
        <v>53</v>
      </c>
      <c r="H505" s="9"/>
      <c r="I505" s="25" t="n">
        <v>1</v>
      </c>
      <c r="J505" s="9" t="s">
        <v>1282</v>
      </c>
      <c r="K505" s="9" t="s">
        <v>1159</v>
      </c>
      <c r="L505" s="12" t="n">
        <v>1</v>
      </c>
      <c r="M505" s="20" t="n">
        <v>293316.85</v>
      </c>
      <c r="N505" s="20" t="n">
        <v>293316.85</v>
      </c>
      <c r="O505" s="20" t="n">
        <v>0</v>
      </c>
      <c r="P505" s="12" t="n">
        <f aca="false">IF($E505="squad",INDEX(Assumptions!$D$16:$D$56,MATCH($C505&amp;"|"&amp;$D505,Assumptions!$H$16:$H$56,0)),0)</f>
        <v>0</v>
      </c>
      <c r="Q505" s="20" t="n">
        <f aca="false">$N505*$P505</f>
        <v>0</v>
      </c>
    </row>
    <row r="506" customFormat="false" ht="15" hidden="false" customHeight="false" outlineLevel="0" collapsed="false">
      <c r="A506" s="9" t="s">
        <v>1375</v>
      </c>
      <c r="B506" s="9" t="s">
        <v>1371</v>
      </c>
      <c r="C506" s="9" t="s">
        <v>29</v>
      </c>
      <c r="D506" s="9" t="s">
        <v>1253</v>
      </c>
      <c r="E506" s="9" t="s">
        <v>1283</v>
      </c>
      <c r="F506" s="9" t="s">
        <v>69</v>
      </c>
      <c r="G506" s="9" t="s">
        <v>82</v>
      </c>
      <c r="H506" s="9"/>
      <c r="I506" s="25" t="n">
        <v>1</v>
      </c>
      <c r="J506" s="9" t="s">
        <v>1282</v>
      </c>
      <c r="K506" s="9" t="s">
        <v>1159</v>
      </c>
      <c r="L506" s="12" t="n">
        <v>1</v>
      </c>
      <c r="M506" s="20" t="n">
        <v>231689.25</v>
      </c>
      <c r="N506" s="20" t="n">
        <v>231689.25</v>
      </c>
      <c r="O506" s="20" t="n">
        <v>0</v>
      </c>
      <c r="P506" s="12" t="n">
        <f aca="false">IF($E506="squad",INDEX(Assumptions!$D$16:$D$56,MATCH($C506&amp;"|"&amp;$D506,Assumptions!$H$16:$H$56,0)),0)</f>
        <v>0</v>
      </c>
      <c r="Q506" s="20" t="n">
        <f aca="false">$N506*$P506</f>
        <v>0</v>
      </c>
    </row>
    <row r="507" customFormat="false" ht="15" hidden="false" customHeight="false" outlineLevel="0" collapsed="false">
      <c r="A507" s="9" t="s">
        <v>1376</v>
      </c>
      <c r="B507" s="9" t="s">
        <v>1371</v>
      </c>
      <c r="C507" s="9" t="s">
        <v>29</v>
      </c>
      <c r="D507" s="9" t="s">
        <v>1253</v>
      </c>
      <c r="E507" s="9" t="s">
        <v>1283</v>
      </c>
      <c r="F507" s="9" t="s">
        <v>53</v>
      </c>
      <c r="G507" s="9" t="s">
        <v>53</v>
      </c>
      <c r="H507" s="9"/>
      <c r="I507" s="25" t="n">
        <v>1</v>
      </c>
      <c r="J507" s="9" t="s">
        <v>1282</v>
      </c>
      <c r="K507" s="9" t="s">
        <v>1159</v>
      </c>
      <c r="L507" s="12" t="n">
        <v>1</v>
      </c>
      <c r="M507" s="20" t="n">
        <v>225788.55</v>
      </c>
      <c r="N507" s="20" t="n">
        <v>225788.55</v>
      </c>
      <c r="O507" s="20" t="n">
        <v>0</v>
      </c>
      <c r="P507" s="12" t="n">
        <f aca="false">IF($E507="squad",INDEX(Assumptions!$D$16:$D$56,MATCH($C507&amp;"|"&amp;$D507,Assumptions!$H$16:$H$56,0)),0)</f>
        <v>0</v>
      </c>
      <c r="Q507" s="20" t="n">
        <f aca="false">$N507*$P507</f>
        <v>0</v>
      </c>
    </row>
    <row r="508" customFormat="false" ht="15" hidden="false" customHeight="false" outlineLevel="0" collapsed="false">
      <c r="A508" s="9" t="s">
        <v>1377</v>
      </c>
      <c r="B508" s="9" t="s">
        <v>1371</v>
      </c>
      <c r="C508" s="9" t="s">
        <v>29</v>
      </c>
      <c r="D508" s="9" t="s">
        <v>1253</v>
      </c>
      <c r="E508" s="9" t="s">
        <v>1283</v>
      </c>
      <c r="F508" s="9" t="s">
        <v>69</v>
      </c>
      <c r="G508" s="9" t="s">
        <v>82</v>
      </c>
      <c r="H508" s="9"/>
      <c r="I508" s="25" t="n">
        <v>1</v>
      </c>
      <c r="J508" s="9" t="s">
        <v>1282</v>
      </c>
      <c r="K508" s="9" t="s">
        <v>1159</v>
      </c>
      <c r="L508" s="12" t="n">
        <v>1</v>
      </c>
      <c r="M508" s="20" t="n">
        <v>231689.25</v>
      </c>
      <c r="N508" s="20" t="n">
        <v>231689.25</v>
      </c>
      <c r="O508" s="20" t="n">
        <v>0</v>
      </c>
      <c r="P508" s="12" t="n">
        <f aca="false">IF($E508="squad",INDEX(Assumptions!$D$16:$D$56,MATCH($C508&amp;"|"&amp;$D508,Assumptions!$H$16:$H$56,0)),0)</f>
        <v>0</v>
      </c>
      <c r="Q508" s="20" t="n">
        <f aca="false">$N508*$P508</f>
        <v>0</v>
      </c>
    </row>
    <row r="509" customFormat="false" ht="15" hidden="false" customHeight="false" outlineLevel="0" collapsed="false">
      <c r="A509" s="9" t="s">
        <v>1378</v>
      </c>
      <c r="B509" s="9" t="s">
        <v>1371</v>
      </c>
      <c r="C509" s="9" t="s">
        <v>29</v>
      </c>
      <c r="D509" s="9" t="s">
        <v>1253</v>
      </c>
      <c r="E509" s="9" t="s">
        <v>1283</v>
      </c>
      <c r="F509" s="9" t="s">
        <v>69</v>
      </c>
      <c r="G509" s="9" t="s">
        <v>71</v>
      </c>
      <c r="H509" s="9"/>
      <c r="I509" s="25" t="n">
        <v>1</v>
      </c>
      <c r="J509" s="9" t="s">
        <v>1282</v>
      </c>
      <c r="K509" s="9" t="s">
        <v>1159</v>
      </c>
      <c r="L509" s="12" t="n">
        <v>1</v>
      </c>
      <c r="M509" s="20" t="n">
        <v>202853.25</v>
      </c>
      <c r="N509" s="20" t="n">
        <v>81141.3</v>
      </c>
      <c r="O509" s="20" t="n">
        <v>0</v>
      </c>
      <c r="P509" s="12" t="n">
        <f aca="false">IF($E509="squad",INDEX(Assumptions!$D$16:$D$56,MATCH($C509&amp;"|"&amp;$D509,Assumptions!$H$16:$H$56,0)),0)</f>
        <v>0</v>
      </c>
      <c r="Q509" s="20" t="n">
        <f aca="false">$N509*$P509</f>
        <v>0</v>
      </c>
    </row>
    <row r="510" customFormat="false" ht="15" hidden="false" customHeight="false" outlineLevel="0" collapsed="false">
      <c r="A510" s="9" t="s">
        <v>1379</v>
      </c>
      <c r="B510" s="9" t="s">
        <v>1371</v>
      </c>
      <c r="C510" s="9" t="s">
        <v>29</v>
      </c>
      <c r="D510" s="9" t="s">
        <v>1253</v>
      </c>
      <c r="E510" s="9" t="s">
        <v>1283</v>
      </c>
      <c r="F510" s="9" t="s">
        <v>53</v>
      </c>
      <c r="G510" s="9" t="s">
        <v>53</v>
      </c>
      <c r="H510" s="9"/>
      <c r="I510" s="25" t="n">
        <v>1</v>
      </c>
      <c r="J510" s="9" t="s">
        <v>1282</v>
      </c>
      <c r="K510" s="9" t="s">
        <v>1159</v>
      </c>
      <c r="L510" s="12" t="n">
        <v>1</v>
      </c>
      <c r="M510" s="20" t="n">
        <v>206124</v>
      </c>
      <c r="N510" s="20" t="n">
        <v>206124</v>
      </c>
      <c r="O510" s="20" t="n">
        <v>0</v>
      </c>
      <c r="P510" s="12" t="n">
        <f aca="false">IF($E510="squad",INDEX(Assumptions!$D$16:$D$56,MATCH($C510&amp;"|"&amp;$D510,Assumptions!$H$16:$H$56,0)),0)</f>
        <v>0</v>
      </c>
      <c r="Q510" s="20" t="n">
        <f aca="false">$N510*$P510</f>
        <v>0</v>
      </c>
    </row>
    <row r="511" customFormat="false" ht="15" hidden="false" customHeight="false" outlineLevel="0" collapsed="false">
      <c r="A511" s="9" t="s">
        <v>1380</v>
      </c>
      <c r="B511" s="9" t="s">
        <v>1371</v>
      </c>
      <c r="C511" s="9" t="s">
        <v>29</v>
      </c>
      <c r="D511" s="9" t="s">
        <v>1253</v>
      </c>
      <c r="E511" s="9" t="s">
        <v>1283</v>
      </c>
      <c r="F511" s="9" t="s">
        <v>69</v>
      </c>
      <c r="G511" s="9" t="s">
        <v>71</v>
      </c>
      <c r="H511" s="9"/>
      <c r="I511" s="25" t="n">
        <v>1</v>
      </c>
      <c r="J511" s="9" t="s">
        <v>1282</v>
      </c>
      <c r="K511" s="9" t="s">
        <v>1159</v>
      </c>
      <c r="L511" s="12" t="n">
        <v>1</v>
      </c>
      <c r="M511" s="20" t="n">
        <v>170489.75</v>
      </c>
      <c r="N511" s="20" t="n">
        <v>68195.9</v>
      </c>
      <c r="O511" s="20" t="n">
        <v>0</v>
      </c>
      <c r="P511" s="12" t="n">
        <f aca="false">IF($E511="squad",INDEX(Assumptions!$D$16:$D$56,MATCH($C511&amp;"|"&amp;$D511,Assumptions!$H$16:$H$56,0)),0)</f>
        <v>0</v>
      </c>
      <c r="Q511" s="20" t="n">
        <f aca="false">$N511*$P511</f>
        <v>0</v>
      </c>
    </row>
    <row r="512" customFormat="false" ht="15" hidden="false" customHeight="false" outlineLevel="0" collapsed="false">
      <c r="A512" s="9" t="s">
        <v>1381</v>
      </c>
      <c r="B512" s="9" t="s">
        <v>1371</v>
      </c>
      <c r="C512" s="9" t="s">
        <v>29</v>
      </c>
      <c r="D512" s="9" t="s">
        <v>1253</v>
      </c>
      <c r="E512" s="9" t="s">
        <v>1283</v>
      </c>
      <c r="F512" s="9" t="s">
        <v>53</v>
      </c>
      <c r="G512" s="9" t="s">
        <v>53</v>
      </c>
      <c r="H512" s="9"/>
      <c r="I512" s="25" t="n">
        <v>1</v>
      </c>
      <c r="J512" s="9" t="s">
        <v>1282</v>
      </c>
      <c r="K512" s="9" t="s">
        <v>1159</v>
      </c>
      <c r="L512" s="12" t="n">
        <v>1</v>
      </c>
      <c r="M512" s="20" t="n">
        <v>179313.4</v>
      </c>
      <c r="N512" s="20" t="n">
        <v>179313.4</v>
      </c>
      <c r="O512" s="20" t="n">
        <v>0</v>
      </c>
      <c r="P512" s="12" t="n">
        <f aca="false">IF($E512="squad",INDEX(Assumptions!$D$16:$D$56,MATCH($C512&amp;"|"&amp;$D512,Assumptions!$H$16:$H$56,0)),0)</f>
        <v>0</v>
      </c>
      <c r="Q512" s="20" t="n">
        <f aca="false">$N512*$P512</f>
        <v>0</v>
      </c>
    </row>
    <row r="513" customFormat="false" ht="15" hidden="false" customHeight="false" outlineLevel="0" collapsed="false">
      <c r="A513" s="9" t="s">
        <v>1382</v>
      </c>
      <c r="B513" s="9" t="s">
        <v>1371</v>
      </c>
      <c r="C513" s="9" t="s">
        <v>29</v>
      </c>
      <c r="D513" s="9" t="s">
        <v>1253</v>
      </c>
      <c r="E513" s="9" t="s">
        <v>1283</v>
      </c>
      <c r="F513" s="9" t="s">
        <v>53</v>
      </c>
      <c r="G513" s="9" t="s">
        <v>53</v>
      </c>
      <c r="H513" s="9"/>
      <c r="I513" s="25" t="n">
        <v>1</v>
      </c>
      <c r="J513" s="9" t="s">
        <v>1284</v>
      </c>
      <c r="K513" s="9" t="s">
        <v>1159</v>
      </c>
      <c r="L513" s="12" t="n">
        <v>1</v>
      </c>
      <c r="M513" s="20" t="n">
        <v>147754.8</v>
      </c>
      <c r="N513" s="20" t="n">
        <v>147754.8</v>
      </c>
      <c r="O513" s="20" t="n">
        <v>0</v>
      </c>
      <c r="P513" s="12" t="n">
        <f aca="false">IF($E513="squad",INDEX(Assumptions!$D$16:$D$56,MATCH($C513&amp;"|"&amp;$D513,Assumptions!$H$16:$H$56,0)),0)</f>
        <v>0</v>
      </c>
      <c r="Q513" s="20" t="n">
        <f aca="false">$N513*$P513</f>
        <v>0</v>
      </c>
    </row>
    <row r="514" customFormat="false" ht="15" hidden="false" customHeight="false" outlineLevel="0" collapsed="false">
      <c r="A514" s="9" t="s">
        <v>1383</v>
      </c>
      <c r="B514" s="9" t="s">
        <v>1371</v>
      </c>
      <c r="C514" s="9" t="s">
        <v>29</v>
      </c>
      <c r="D514" s="9" t="s">
        <v>1253</v>
      </c>
      <c r="E514" s="9" t="s">
        <v>1283</v>
      </c>
      <c r="F514" s="9" t="s">
        <v>69</v>
      </c>
      <c r="G514" s="9" t="s">
        <v>82</v>
      </c>
      <c r="H514" s="9"/>
      <c r="I514" s="25" t="n">
        <v>1</v>
      </c>
      <c r="J514" s="9" t="s">
        <v>1284</v>
      </c>
      <c r="K514" s="9" t="s">
        <v>1159</v>
      </c>
      <c r="L514" s="12" t="n">
        <v>1</v>
      </c>
      <c r="M514" s="20" t="n">
        <v>151771.98</v>
      </c>
      <c r="N514" s="20" t="n">
        <v>151771.98</v>
      </c>
      <c r="O514" s="20" t="n">
        <v>0</v>
      </c>
      <c r="P514" s="12" t="n">
        <f aca="false">IF($E514="squad",INDEX(Assumptions!$D$16:$D$56,MATCH($C514&amp;"|"&amp;$D514,Assumptions!$H$16:$H$56,0)),0)</f>
        <v>0</v>
      </c>
      <c r="Q514" s="20" t="n">
        <f aca="false">$N514*$P514</f>
        <v>0</v>
      </c>
    </row>
    <row r="515" customFormat="false" ht="15" hidden="false" customHeight="false" outlineLevel="0" collapsed="false">
      <c r="A515" s="9" t="s">
        <v>1384</v>
      </c>
      <c r="B515" s="9" t="s">
        <v>1371</v>
      </c>
      <c r="C515" s="9" t="s">
        <v>29</v>
      </c>
      <c r="D515" s="9" t="s">
        <v>1253</v>
      </c>
      <c r="E515" s="9" t="s">
        <v>1283</v>
      </c>
      <c r="F515" s="9" t="s">
        <v>53</v>
      </c>
      <c r="G515" s="9" t="s">
        <v>53</v>
      </c>
      <c r="H515" s="9"/>
      <c r="I515" s="25" t="n">
        <v>1</v>
      </c>
      <c r="J515" s="9" t="s">
        <v>1282</v>
      </c>
      <c r="K515" s="9" t="s">
        <v>1159</v>
      </c>
      <c r="L515" s="12" t="n">
        <v>1</v>
      </c>
      <c r="M515" s="20" t="n">
        <v>147687.65</v>
      </c>
      <c r="N515" s="20" t="n">
        <v>147687.65</v>
      </c>
      <c r="O515" s="20" t="n">
        <v>0</v>
      </c>
      <c r="P515" s="12" t="n">
        <f aca="false">IF($E515="squad",INDEX(Assumptions!$D$16:$D$56,MATCH($C515&amp;"|"&amp;$D515,Assumptions!$H$16:$H$56,0)),0)</f>
        <v>0</v>
      </c>
      <c r="Q515" s="20" t="n">
        <f aca="false">$N515*$P515</f>
        <v>0</v>
      </c>
    </row>
    <row r="516" customFormat="false" ht="15" hidden="false" customHeight="false" outlineLevel="0" collapsed="false">
      <c r="A516" s="9" t="s">
        <v>1385</v>
      </c>
      <c r="B516" s="9" t="s">
        <v>1371</v>
      </c>
      <c r="C516" s="9" t="s">
        <v>33</v>
      </c>
      <c r="D516" s="9" t="s">
        <v>1255</v>
      </c>
      <c r="E516" s="9" t="s">
        <v>1283</v>
      </c>
      <c r="F516" s="9" t="s">
        <v>69</v>
      </c>
      <c r="G516" s="9" t="s">
        <v>82</v>
      </c>
      <c r="H516" s="9"/>
      <c r="I516" s="25" t="n">
        <v>1</v>
      </c>
      <c r="J516" s="9" t="s">
        <v>1282</v>
      </c>
      <c r="K516" s="9" t="s">
        <v>1159</v>
      </c>
      <c r="L516" s="12" t="n">
        <v>1</v>
      </c>
      <c r="M516" s="20" t="n">
        <v>439500</v>
      </c>
      <c r="N516" s="20" t="n">
        <v>439500</v>
      </c>
      <c r="O516" s="20" t="n">
        <v>0</v>
      </c>
      <c r="P516" s="12" t="n">
        <f aca="false">IF($E516="squad",INDEX(Assumptions!$D$16:$D$56,MATCH($C516&amp;"|"&amp;$D516,Assumptions!$H$16:$H$56,0)),0)</f>
        <v>0</v>
      </c>
      <c r="Q516" s="20" t="n">
        <f aca="false">$N516*$P516</f>
        <v>0</v>
      </c>
    </row>
    <row r="517" customFormat="false" ht="15" hidden="false" customHeight="false" outlineLevel="0" collapsed="false">
      <c r="A517" s="9" t="s">
        <v>1386</v>
      </c>
      <c r="B517" s="9" t="s">
        <v>1371</v>
      </c>
      <c r="C517" s="9" t="s">
        <v>33</v>
      </c>
      <c r="D517" s="9" t="s">
        <v>1255</v>
      </c>
      <c r="E517" s="9" t="s">
        <v>1283</v>
      </c>
      <c r="F517" s="9" t="s">
        <v>53</v>
      </c>
      <c r="G517" s="9" t="s">
        <v>53</v>
      </c>
      <c r="H517" s="9"/>
      <c r="I517" s="25" t="n">
        <v>1</v>
      </c>
      <c r="J517" s="9" t="s">
        <v>1282</v>
      </c>
      <c r="K517" s="9" t="s">
        <v>1159</v>
      </c>
      <c r="L517" s="12" t="n">
        <v>1</v>
      </c>
      <c r="M517" s="20" t="n">
        <v>205056</v>
      </c>
      <c r="N517" s="20" t="n">
        <v>205056</v>
      </c>
      <c r="O517" s="20" t="n">
        <v>0</v>
      </c>
      <c r="P517" s="12" t="n">
        <f aca="false">IF($E517="squad",INDEX(Assumptions!$D$16:$D$56,MATCH($C517&amp;"|"&amp;$D517,Assumptions!$H$16:$H$56,0)),0)</f>
        <v>0</v>
      </c>
      <c r="Q517" s="20" t="n">
        <f aca="false">$N517*$P517</f>
        <v>0</v>
      </c>
    </row>
    <row r="518" customFormat="false" ht="15" hidden="false" customHeight="false" outlineLevel="0" collapsed="false">
      <c r="A518" s="9" t="s">
        <v>1387</v>
      </c>
      <c r="B518" s="9" t="s">
        <v>1371</v>
      </c>
      <c r="C518" s="9" t="s">
        <v>33</v>
      </c>
      <c r="D518" s="9" t="s">
        <v>1255</v>
      </c>
      <c r="E518" s="9" t="s">
        <v>1283</v>
      </c>
      <c r="F518" s="9" t="s">
        <v>53</v>
      </c>
      <c r="G518" s="9" t="s">
        <v>53</v>
      </c>
      <c r="H518" s="9"/>
      <c r="I518" s="25" t="n">
        <v>1</v>
      </c>
      <c r="J518" s="9" t="s">
        <v>1282</v>
      </c>
      <c r="K518" s="9" t="s">
        <v>1159</v>
      </c>
      <c r="L518" s="12" t="n">
        <v>1</v>
      </c>
      <c r="M518" s="20" t="n">
        <v>183455.7</v>
      </c>
      <c r="N518" s="20" t="n">
        <v>183455.7</v>
      </c>
      <c r="O518" s="20" t="n">
        <v>0</v>
      </c>
      <c r="P518" s="12" t="n">
        <f aca="false">IF($E518="squad",INDEX(Assumptions!$D$16:$D$56,MATCH($C518&amp;"|"&amp;$D518,Assumptions!$H$16:$H$56,0)),0)</f>
        <v>0</v>
      </c>
      <c r="Q518" s="20" t="n">
        <f aca="false">$N518*$P518</f>
        <v>0</v>
      </c>
    </row>
    <row r="519" customFormat="false" ht="15" hidden="false" customHeight="false" outlineLevel="0" collapsed="false">
      <c r="A519" s="9" t="s">
        <v>1388</v>
      </c>
      <c r="B519" s="9" t="s">
        <v>1371</v>
      </c>
      <c r="C519" s="9" t="s">
        <v>33</v>
      </c>
      <c r="D519" s="9" t="s">
        <v>1255</v>
      </c>
      <c r="E519" s="9" t="s">
        <v>1283</v>
      </c>
      <c r="F519" s="9" t="s">
        <v>53</v>
      </c>
      <c r="G519" s="9" t="s">
        <v>53</v>
      </c>
      <c r="H519" s="9"/>
      <c r="I519" s="25" t="n">
        <v>1</v>
      </c>
      <c r="J519" s="9" t="s">
        <v>1284</v>
      </c>
      <c r="K519" s="9" t="s">
        <v>1159</v>
      </c>
      <c r="L519" s="12" t="n">
        <v>1</v>
      </c>
      <c r="M519" s="20" t="n">
        <v>151002.492</v>
      </c>
      <c r="N519" s="20" t="n">
        <v>151002.492</v>
      </c>
      <c r="O519" s="20" t="n">
        <v>0</v>
      </c>
      <c r="P519" s="12" t="n">
        <f aca="false">IF($E519="squad",INDEX(Assumptions!$D$16:$D$56,MATCH($C519&amp;"|"&amp;$D519,Assumptions!$H$16:$H$56,0)),0)</f>
        <v>0</v>
      </c>
      <c r="Q519" s="20" t="n">
        <f aca="false">$N519*$P519</f>
        <v>0</v>
      </c>
    </row>
    <row r="520" customFormat="false" ht="15" hidden="false" customHeight="false" outlineLevel="0" collapsed="false">
      <c r="A520" s="9" t="s">
        <v>1389</v>
      </c>
      <c r="B520" s="9" t="s">
        <v>1371</v>
      </c>
      <c r="C520" s="9" t="s">
        <v>33</v>
      </c>
      <c r="D520" s="9" t="s">
        <v>1256</v>
      </c>
      <c r="E520" s="9" t="s">
        <v>1283</v>
      </c>
      <c r="F520" s="9" t="s">
        <v>53</v>
      </c>
      <c r="G520" s="9" t="s">
        <v>53</v>
      </c>
      <c r="H520" s="9"/>
      <c r="I520" s="25" t="n">
        <v>1</v>
      </c>
      <c r="J520" s="9" t="s">
        <v>1282</v>
      </c>
      <c r="K520" s="9" t="s">
        <v>1159</v>
      </c>
      <c r="L520" s="12" t="n">
        <v>1</v>
      </c>
      <c r="M520" s="20" t="n">
        <v>297150</v>
      </c>
      <c r="N520" s="20" t="n">
        <v>297150</v>
      </c>
      <c r="O520" s="20" t="n">
        <v>0</v>
      </c>
      <c r="P520" s="12" t="n">
        <f aca="false">IF($E520="squad",INDEX(Assumptions!$D$16:$D$56,MATCH($C520&amp;"|"&amp;$D520,Assumptions!$H$16:$H$56,0)),0)</f>
        <v>0</v>
      </c>
      <c r="Q520" s="20" t="n">
        <f aca="false">$N520*$P520</f>
        <v>0</v>
      </c>
    </row>
    <row r="521" customFormat="false" ht="15" hidden="false" customHeight="false" outlineLevel="0" collapsed="false">
      <c r="A521" s="9" t="s">
        <v>1390</v>
      </c>
      <c r="B521" s="9" t="s">
        <v>1371</v>
      </c>
      <c r="C521" s="9" t="s">
        <v>33</v>
      </c>
      <c r="D521" s="9" t="s">
        <v>1256</v>
      </c>
      <c r="E521" s="9" t="s">
        <v>1283</v>
      </c>
      <c r="F521" s="9" t="s">
        <v>53</v>
      </c>
      <c r="G521" s="9" t="s">
        <v>53</v>
      </c>
      <c r="H521" s="9"/>
      <c r="I521" s="25" t="n">
        <v>1</v>
      </c>
      <c r="J521" s="9" t="s">
        <v>1282</v>
      </c>
      <c r="K521" s="9" t="s">
        <v>1159</v>
      </c>
      <c r="L521" s="12" t="n">
        <v>1</v>
      </c>
      <c r="M521" s="20" t="n">
        <v>666087.5</v>
      </c>
      <c r="N521" s="20" t="n">
        <v>666087.5</v>
      </c>
      <c r="O521" s="20" t="n">
        <v>0</v>
      </c>
      <c r="P521" s="12" t="n">
        <f aca="false">IF($E521="squad",INDEX(Assumptions!$D$16:$D$56,MATCH($C521&amp;"|"&amp;$D521,Assumptions!$H$16:$H$56,0)),0)</f>
        <v>0</v>
      </c>
      <c r="Q521" s="20" t="n">
        <f aca="false">$N521*$P521</f>
        <v>0</v>
      </c>
    </row>
    <row r="522" customFormat="false" ht="15" hidden="false" customHeight="false" outlineLevel="0" collapsed="false">
      <c r="A522" s="9" t="s">
        <v>1391</v>
      </c>
      <c r="B522" s="9" t="s">
        <v>1371</v>
      </c>
      <c r="C522" s="9" t="s">
        <v>33</v>
      </c>
      <c r="D522" s="9" t="s">
        <v>1256</v>
      </c>
      <c r="E522" s="9" t="s">
        <v>1283</v>
      </c>
      <c r="F522" s="9" t="s">
        <v>53</v>
      </c>
      <c r="G522" s="9" t="s">
        <v>53</v>
      </c>
      <c r="H522" s="9"/>
      <c r="I522" s="25" t="n">
        <v>1</v>
      </c>
      <c r="J522" s="9" t="s">
        <v>1284</v>
      </c>
      <c r="K522" s="9" t="s">
        <v>1159</v>
      </c>
      <c r="L522" s="12" t="n">
        <v>1</v>
      </c>
      <c r="M522" s="20" t="n">
        <v>291422</v>
      </c>
      <c r="N522" s="20" t="n">
        <v>291422</v>
      </c>
      <c r="O522" s="20" t="n">
        <v>0</v>
      </c>
      <c r="P522" s="12" t="n">
        <f aca="false">IF($E522="squad",INDEX(Assumptions!$D$16:$D$56,MATCH($C522&amp;"|"&amp;$D522,Assumptions!$H$16:$H$56,0)),0)</f>
        <v>0</v>
      </c>
      <c r="Q522" s="20" t="n">
        <f aca="false">$N522*$P522</f>
        <v>0</v>
      </c>
    </row>
    <row r="523" customFormat="false" ht="15" hidden="false" customHeight="false" outlineLevel="0" collapsed="false">
      <c r="A523" s="9" t="s">
        <v>1392</v>
      </c>
      <c r="B523" s="9" t="s">
        <v>1371</v>
      </c>
      <c r="C523" s="9" t="s">
        <v>33</v>
      </c>
      <c r="D523" s="9" t="s">
        <v>1256</v>
      </c>
      <c r="E523" s="9" t="s">
        <v>1283</v>
      </c>
      <c r="F523" s="9" t="s">
        <v>53</v>
      </c>
      <c r="G523" s="9" t="s">
        <v>53</v>
      </c>
      <c r="H523" s="9"/>
      <c r="I523" s="25" t="n">
        <v>1</v>
      </c>
      <c r="J523" s="9" t="s">
        <v>1282</v>
      </c>
      <c r="K523" s="9" t="s">
        <v>1159</v>
      </c>
      <c r="L523" s="12" t="n">
        <v>1</v>
      </c>
      <c r="M523" s="20" t="n">
        <v>417425</v>
      </c>
      <c r="N523" s="20" t="n">
        <v>417425</v>
      </c>
      <c r="O523" s="20" t="n">
        <v>0</v>
      </c>
      <c r="P523" s="12" t="n">
        <f aca="false">IF($E523="squad",INDEX(Assumptions!$D$16:$D$56,MATCH($C523&amp;"|"&amp;$D523,Assumptions!$H$16:$H$56,0)),0)</f>
        <v>0</v>
      </c>
      <c r="Q523" s="20" t="n">
        <f aca="false">$N523*$P523</f>
        <v>0</v>
      </c>
    </row>
    <row r="524" customFormat="false" ht="15" hidden="false" customHeight="false" outlineLevel="0" collapsed="false">
      <c r="A524" s="9" t="s">
        <v>1393</v>
      </c>
      <c r="B524" s="9" t="s">
        <v>1371</v>
      </c>
      <c r="C524" s="9" t="s">
        <v>33</v>
      </c>
      <c r="D524" s="9" t="s">
        <v>1256</v>
      </c>
      <c r="E524" s="9" t="s">
        <v>1283</v>
      </c>
      <c r="F524" s="9" t="s">
        <v>53</v>
      </c>
      <c r="G524" s="9" t="s">
        <v>53</v>
      </c>
      <c r="H524" s="9"/>
      <c r="I524" s="25" t="n">
        <v>1</v>
      </c>
      <c r="J524" s="9" t="s">
        <v>1282</v>
      </c>
      <c r="K524" s="9" t="s">
        <v>1159</v>
      </c>
      <c r="L524" s="12" t="n">
        <v>1</v>
      </c>
      <c r="M524" s="20" t="n">
        <v>343363.9</v>
      </c>
      <c r="N524" s="20" t="n">
        <v>343363.9</v>
      </c>
      <c r="O524" s="20" t="n">
        <v>0</v>
      </c>
      <c r="P524" s="12" t="n">
        <f aca="false">IF($E524="squad",INDEX(Assumptions!$D$16:$D$56,MATCH($C524&amp;"|"&amp;$D524,Assumptions!$H$16:$H$56,0)),0)</f>
        <v>0</v>
      </c>
      <c r="Q524" s="20" t="n">
        <f aca="false">$N524*$P524</f>
        <v>0</v>
      </c>
    </row>
    <row r="525" customFormat="false" ht="15" hidden="false" customHeight="false" outlineLevel="0" collapsed="false">
      <c r="A525" s="9" t="s">
        <v>1394</v>
      </c>
      <c r="B525" s="9" t="s">
        <v>1371</v>
      </c>
      <c r="C525" s="9" t="s">
        <v>33</v>
      </c>
      <c r="D525" s="9" t="s">
        <v>1256</v>
      </c>
      <c r="E525" s="9" t="s">
        <v>1283</v>
      </c>
      <c r="F525" s="9" t="s">
        <v>53</v>
      </c>
      <c r="G525" s="9" t="s">
        <v>53</v>
      </c>
      <c r="H525" s="9"/>
      <c r="I525" s="25" t="n">
        <v>1</v>
      </c>
      <c r="J525" s="9" t="s">
        <v>1282</v>
      </c>
      <c r="K525" s="9" t="s">
        <v>1159</v>
      </c>
      <c r="L525" s="12" t="n">
        <v>1</v>
      </c>
      <c r="M525" s="20" t="n">
        <v>298100</v>
      </c>
      <c r="N525" s="20" t="n">
        <v>298100</v>
      </c>
      <c r="O525" s="20" t="n">
        <v>0</v>
      </c>
      <c r="P525" s="12" t="n">
        <f aca="false">IF($E525="squad",INDEX(Assumptions!$D$16:$D$56,MATCH($C525&amp;"|"&amp;$D525,Assumptions!$H$16:$H$56,0)),0)</f>
        <v>0</v>
      </c>
      <c r="Q525" s="20" t="n">
        <f aca="false">$N525*$P525</f>
        <v>0</v>
      </c>
    </row>
    <row r="526" customFormat="false" ht="15" hidden="false" customHeight="false" outlineLevel="0" collapsed="false">
      <c r="A526" s="9" t="s">
        <v>1395</v>
      </c>
      <c r="B526" s="9" t="s">
        <v>1304</v>
      </c>
      <c r="C526" s="9" t="s">
        <v>23</v>
      </c>
      <c r="D526" s="9" t="s">
        <v>970</v>
      </c>
      <c r="E526" s="9" t="s">
        <v>1283</v>
      </c>
      <c r="F526" s="9" t="s">
        <v>53</v>
      </c>
      <c r="G526" s="9" t="s">
        <v>53</v>
      </c>
      <c r="H526" s="9"/>
      <c r="I526" s="25" t="n">
        <v>1</v>
      </c>
      <c r="J526" s="9" t="s">
        <v>1282</v>
      </c>
      <c r="K526" s="9"/>
      <c r="L526" s="12" t="n">
        <v>1</v>
      </c>
      <c r="M526" s="20" t="n">
        <v>265584.9</v>
      </c>
      <c r="N526" s="20" t="n">
        <v>265584.9</v>
      </c>
      <c r="O526" s="20" t="n">
        <v>0</v>
      </c>
      <c r="P526" s="12" t="n">
        <f aca="false">IF($E526="squad",INDEX(Assumptions!$D$16:$D$56,MATCH($C526&amp;"|"&amp;$D526,Assumptions!$H$16:$H$56,0)),0)</f>
        <v>0</v>
      </c>
      <c r="Q526" s="20" t="n">
        <f aca="false">$N526*$P526</f>
        <v>0</v>
      </c>
    </row>
    <row r="527" customFormat="false" ht="15" hidden="false" customHeight="false" outlineLevel="0" collapsed="false">
      <c r="A527" s="9" t="s">
        <v>1396</v>
      </c>
      <c r="B527" s="9" t="s">
        <v>1304</v>
      </c>
      <c r="C527" s="9" t="s">
        <v>23</v>
      </c>
      <c r="D527" s="9" t="s">
        <v>1151</v>
      </c>
      <c r="E527" s="9" t="s">
        <v>1283</v>
      </c>
      <c r="F527" s="9" t="s">
        <v>53</v>
      </c>
      <c r="G527" s="9" t="s">
        <v>53</v>
      </c>
      <c r="H527" s="9"/>
      <c r="I527" s="25" t="n">
        <v>1</v>
      </c>
      <c r="J527" s="9" t="s">
        <v>1282</v>
      </c>
      <c r="K527" s="9"/>
      <c r="L527" s="12" t="n">
        <v>1</v>
      </c>
      <c r="M527" s="20" t="n">
        <v>389125</v>
      </c>
      <c r="N527" s="20" t="n">
        <v>389125</v>
      </c>
      <c r="O527" s="20" t="n">
        <v>0</v>
      </c>
      <c r="P527" s="12" t="n">
        <f aca="false">IF($E527="squad",INDEX(Assumptions!$D$16:$D$56,MATCH($C527&amp;"|"&amp;$D527,Assumptions!$H$16:$H$56,0)),0)</f>
        <v>0</v>
      </c>
      <c r="Q527" s="20" t="n">
        <f aca="false">$N527*$P527</f>
        <v>0</v>
      </c>
    </row>
    <row r="528" customFormat="false" ht="15" hidden="false" customHeight="false" outlineLevel="0" collapsed="false">
      <c r="A528" s="9" t="s">
        <v>1397</v>
      </c>
      <c r="B528" s="9" t="s">
        <v>1304</v>
      </c>
      <c r="C528" s="9" t="s">
        <v>23</v>
      </c>
      <c r="D528" s="9" t="s">
        <v>1151</v>
      </c>
      <c r="E528" s="9" t="s">
        <v>1283</v>
      </c>
      <c r="F528" s="9" t="s">
        <v>69</v>
      </c>
      <c r="G528" s="9" t="s">
        <v>82</v>
      </c>
      <c r="H528" s="9" t="s">
        <v>1367</v>
      </c>
      <c r="I528" s="25" t="n">
        <v>1</v>
      </c>
      <c r="J528" s="9" t="s">
        <v>1282</v>
      </c>
      <c r="K528" s="9"/>
      <c r="L528" s="12" t="n">
        <v>1</v>
      </c>
      <c r="M528" s="20" t="n">
        <v>389606.1</v>
      </c>
      <c r="N528" s="20" t="n">
        <v>194803.05</v>
      </c>
      <c r="O528" s="20" t="n">
        <v>0</v>
      </c>
      <c r="P528" s="12" t="n">
        <f aca="false">IF($E528="squad",INDEX(Assumptions!$D$16:$D$56,MATCH($C528&amp;"|"&amp;$D528,Assumptions!$H$16:$H$56,0)),0)</f>
        <v>0</v>
      </c>
      <c r="Q528" s="20" t="n">
        <f aca="false">$N528*$P528</f>
        <v>0</v>
      </c>
    </row>
    <row r="529" customFormat="false" ht="15" hidden="false" customHeight="false" outlineLevel="0" collapsed="false">
      <c r="A529" s="9" t="s">
        <v>1398</v>
      </c>
      <c r="B529" s="9" t="s">
        <v>1304</v>
      </c>
      <c r="C529" s="9" t="s">
        <v>23</v>
      </c>
      <c r="D529" s="9" t="s">
        <v>1151</v>
      </c>
      <c r="E529" s="9" t="s">
        <v>1283</v>
      </c>
      <c r="F529" s="9" t="s">
        <v>53</v>
      </c>
      <c r="G529" s="9" t="s">
        <v>53</v>
      </c>
      <c r="H529" s="9"/>
      <c r="I529" s="25" t="n">
        <v>1</v>
      </c>
      <c r="J529" s="9" t="s">
        <v>1282</v>
      </c>
      <c r="K529" s="9"/>
      <c r="L529" s="12" t="n">
        <v>1</v>
      </c>
      <c r="M529" s="20" t="n">
        <v>225988.8</v>
      </c>
      <c r="N529" s="20" t="n">
        <v>225988.8</v>
      </c>
      <c r="O529" s="20" t="n">
        <v>0</v>
      </c>
      <c r="P529" s="12" t="n">
        <f aca="false">IF($E529="squad",INDEX(Assumptions!$D$16:$D$56,MATCH($C529&amp;"|"&amp;$D529,Assumptions!$H$16:$H$56,0)),0)</f>
        <v>0</v>
      </c>
      <c r="Q529" s="20" t="n">
        <f aca="false">$N529*$P529</f>
        <v>0</v>
      </c>
    </row>
    <row r="530" customFormat="false" ht="15" hidden="false" customHeight="false" outlineLevel="0" collapsed="false">
      <c r="A530" s="9" t="s">
        <v>1399</v>
      </c>
      <c r="B530" s="9" t="s">
        <v>1304</v>
      </c>
      <c r="C530" s="9" t="s">
        <v>23</v>
      </c>
      <c r="D530" s="9" t="s">
        <v>1151</v>
      </c>
      <c r="E530" s="9" t="s">
        <v>1283</v>
      </c>
      <c r="F530" s="9" t="s">
        <v>53</v>
      </c>
      <c r="G530" s="9" t="s">
        <v>53</v>
      </c>
      <c r="H530" s="9"/>
      <c r="I530" s="25" t="n">
        <v>1</v>
      </c>
      <c r="J530" s="9" t="s">
        <v>1284</v>
      </c>
      <c r="K530" s="9"/>
      <c r="L530" s="12" t="n">
        <v>1</v>
      </c>
      <c r="M530" s="20" t="n">
        <v>149746.416</v>
      </c>
      <c r="N530" s="20" t="n">
        <v>149746.416</v>
      </c>
      <c r="O530" s="20" t="n">
        <v>0</v>
      </c>
      <c r="P530" s="12" t="n">
        <f aca="false">IF($E530="squad",INDEX(Assumptions!$D$16:$D$56,MATCH($C530&amp;"|"&amp;$D530,Assumptions!$H$16:$H$56,0)),0)</f>
        <v>0</v>
      </c>
      <c r="Q530" s="20" t="n">
        <f aca="false">$N530*$P530</f>
        <v>0</v>
      </c>
    </row>
    <row r="531" customFormat="false" ht="15" hidden="false" customHeight="false" outlineLevel="0" collapsed="false">
      <c r="A531" s="9" t="s">
        <v>1400</v>
      </c>
      <c r="B531" s="9" t="s">
        <v>1304</v>
      </c>
      <c r="C531" s="9" t="s">
        <v>23</v>
      </c>
      <c r="D531" s="9" t="s">
        <v>1151</v>
      </c>
      <c r="E531" s="9" t="s">
        <v>1283</v>
      </c>
      <c r="F531" s="9" t="s">
        <v>53</v>
      </c>
      <c r="G531" s="9" t="s">
        <v>53</v>
      </c>
      <c r="H531" s="9"/>
      <c r="I531" s="25" t="n">
        <v>1</v>
      </c>
      <c r="J531" s="9" t="s">
        <v>1282</v>
      </c>
      <c r="K531" s="9"/>
      <c r="L531" s="12" t="n">
        <v>1</v>
      </c>
      <c r="M531" s="20" t="n">
        <v>227056.8</v>
      </c>
      <c r="N531" s="20" t="n">
        <v>227056.8</v>
      </c>
      <c r="O531" s="20" t="n">
        <v>0</v>
      </c>
      <c r="P531" s="12" t="n">
        <f aca="false">IF($E531="squad",INDEX(Assumptions!$D$16:$D$56,MATCH($C531&amp;"|"&amp;$D531,Assumptions!$H$16:$H$56,0)),0)</f>
        <v>0</v>
      </c>
      <c r="Q531" s="20" t="n">
        <f aca="false">$N531*$P531</f>
        <v>0</v>
      </c>
    </row>
    <row r="532" customFormat="false" ht="15" hidden="false" customHeight="false" outlineLevel="0" collapsed="false">
      <c r="A532" s="9" t="s">
        <v>1401</v>
      </c>
      <c r="B532" s="9" t="s">
        <v>1304</v>
      </c>
      <c r="C532" s="9" t="s">
        <v>23</v>
      </c>
      <c r="D532" s="9" t="s">
        <v>1151</v>
      </c>
      <c r="E532" s="9" t="s">
        <v>1283</v>
      </c>
      <c r="F532" s="9" t="s">
        <v>53</v>
      </c>
      <c r="G532" s="9" t="s">
        <v>53</v>
      </c>
      <c r="H532" s="9"/>
      <c r="I532" s="25" t="n">
        <v>1</v>
      </c>
      <c r="J532" s="9" t="s">
        <v>1282</v>
      </c>
      <c r="K532" s="9"/>
      <c r="L532" s="12" t="n">
        <v>1</v>
      </c>
      <c r="M532" s="20" t="n">
        <v>175872.9</v>
      </c>
      <c r="N532" s="20" t="n">
        <v>175872.9</v>
      </c>
      <c r="O532" s="20" t="n">
        <v>0</v>
      </c>
      <c r="P532" s="12" t="n">
        <f aca="false">IF($E532="squad",INDEX(Assumptions!$D$16:$D$56,MATCH($C532&amp;"|"&amp;$D532,Assumptions!$H$16:$H$56,0)),0)</f>
        <v>0</v>
      </c>
      <c r="Q532" s="20" t="n">
        <f aca="false">$N532*$P532</f>
        <v>0</v>
      </c>
    </row>
    <row r="533" customFormat="false" ht="15" hidden="false" customHeight="false" outlineLevel="0" collapsed="false">
      <c r="A533" s="9" t="s">
        <v>1128</v>
      </c>
      <c r="B533" s="9" t="s">
        <v>1402</v>
      </c>
      <c r="C533" s="9" t="s">
        <v>36</v>
      </c>
      <c r="D533" s="9" t="s">
        <v>36</v>
      </c>
      <c r="E533" s="9" t="s">
        <v>1283</v>
      </c>
      <c r="F533" s="9" t="s">
        <v>53</v>
      </c>
      <c r="G533" s="9" t="s">
        <v>53</v>
      </c>
      <c r="H533" s="9"/>
      <c r="I533" s="25" t="n">
        <v>1</v>
      </c>
      <c r="J533" s="9" t="s">
        <v>1282</v>
      </c>
      <c r="K533" s="9" t="s">
        <v>36</v>
      </c>
      <c r="L533" s="12" t="n">
        <v>1</v>
      </c>
      <c r="M533" s="20" t="n">
        <v>244200</v>
      </c>
      <c r="N533" s="20" t="n">
        <v>244200</v>
      </c>
      <c r="O533" s="20" t="n">
        <v>0</v>
      </c>
      <c r="P533" s="12" t="n">
        <f aca="false">IF($E533="squad",INDEX(Assumptions!$D$16:$D$56,MATCH($C533&amp;"|"&amp;$D533,Assumptions!$H$16:$H$56,0)),0)</f>
        <v>0</v>
      </c>
      <c r="Q533" s="20" t="n">
        <f aca="false">$N533*$P533</f>
        <v>0</v>
      </c>
    </row>
    <row r="534" customFormat="false" ht="15" hidden="false" customHeight="false" outlineLevel="0" collapsed="false">
      <c r="A534" s="9" t="s">
        <v>1131</v>
      </c>
      <c r="B534" s="9" t="s">
        <v>1402</v>
      </c>
      <c r="C534" s="9" t="s">
        <v>36</v>
      </c>
      <c r="D534" s="9" t="s">
        <v>36</v>
      </c>
      <c r="E534" s="9" t="s">
        <v>1283</v>
      </c>
      <c r="F534" s="9" t="s">
        <v>53</v>
      </c>
      <c r="G534" s="9" t="s">
        <v>53</v>
      </c>
      <c r="H534" s="9"/>
      <c r="I534" s="25" t="n">
        <v>1</v>
      </c>
      <c r="J534" s="9" t="s">
        <v>1282</v>
      </c>
      <c r="K534" s="9" t="s">
        <v>36</v>
      </c>
      <c r="L534" s="12" t="n">
        <v>1</v>
      </c>
      <c r="M534" s="20" t="n">
        <v>244200</v>
      </c>
      <c r="N534" s="20" t="n">
        <v>244200</v>
      </c>
      <c r="O534" s="20" t="n">
        <v>0</v>
      </c>
      <c r="P534" s="12" t="n">
        <f aca="false">IF($E534="squad",INDEX(Assumptions!$D$16:$D$56,MATCH($C534&amp;"|"&amp;$D534,Assumptions!$H$16:$H$56,0)),0)</f>
        <v>0</v>
      </c>
      <c r="Q534" s="20" t="n">
        <f aca="false">$N534*$P534</f>
        <v>0</v>
      </c>
    </row>
    <row r="535" customFormat="false" ht="15" hidden="false" customHeight="false" outlineLevel="0" collapsed="false">
      <c r="A535" s="9" t="s">
        <v>1105</v>
      </c>
      <c r="B535" s="9" t="s">
        <v>1402</v>
      </c>
      <c r="C535" s="9" t="s">
        <v>36</v>
      </c>
      <c r="D535" s="9" t="s">
        <v>36</v>
      </c>
      <c r="E535" s="9" t="s">
        <v>1283</v>
      </c>
      <c r="F535" s="9" t="s">
        <v>53</v>
      </c>
      <c r="G535" s="9" t="s">
        <v>53</v>
      </c>
      <c r="H535" s="9"/>
      <c r="I535" s="25" t="n">
        <v>1</v>
      </c>
      <c r="J535" s="9" t="s">
        <v>1282</v>
      </c>
      <c r="K535" s="9" t="s">
        <v>36</v>
      </c>
      <c r="L535" s="12" t="n">
        <v>1</v>
      </c>
      <c r="M535" s="20" t="n">
        <v>310800</v>
      </c>
      <c r="N535" s="20" t="n">
        <v>310800</v>
      </c>
      <c r="O535" s="20" t="n">
        <v>0</v>
      </c>
      <c r="P535" s="12" t="n">
        <f aca="false">IF($E535="squad",INDEX(Assumptions!$D$16:$D$56,MATCH($C535&amp;"|"&amp;$D535,Assumptions!$H$16:$H$56,0)),0)</f>
        <v>0</v>
      </c>
      <c r="Q535" s="20" t="n">
        <f aca="false">$N535*$P535</f>
        <v>0</v>
      </c>
    </row>
    <row r="536" customFormat="false" ht="15" hidden="false" customHeight="false" outlineLevel="0" collapsed="false">
      <c r="A536" s="9" t="s">
        <v>1113</v>
      </c>
      <c r="B536" s="9" t="s">
        <v>1402</v>
      </c>
      <c r="C536" s="9" t="s">
        <v>36</v>
      </c>
      <c r="D536" s="9" t="s">
        <v>36</v>
      </c>
      <c r="E536" s="9" t="s">
        <v>1283</v>
      </c>
      <c r="F536" s="9" t="s">
        <v>53</v>
      </c>
      <c r="G536" s="9" t="s">
        <v>53</v>
      </c>
      <c r="H536" s="9"/>
      <c r="I536" s="25" t="n">
        <v>1</v>
      </c>
      <c r="J536" s="9" t="s">
        <v>1282</v>
      </c>
      <c r="K536" s="9" t="s">
        <v>36</v>
      </c>
      <c r="L536" s="12" t="n">
        <v>1</v>
      </c>
      <c r="M536" s="20" t="n">
        <v>277500</v>
      </c>
      <c r="N536" s="20" t="n">
        <v>277500</v>
      </c>
      <c r="O536" s="20" t="n">
        <v>0</v>
      </c>
      <c r="P536" s="12" t="n">
        <f aca="false">IF($E536="squad",INDEX(Assumptions!$D$16:$D$56,MATCH($C536&amp;"|"&amp;$D536,Assumptions!$H$16:$H$56,0)),0)</f>
        <v>0</v>
      </c>
      <c r="Q536" s="20" t="n">
        <f aca="false">$N536*$P536</f>
        <v>0</v>
      </c>
    </row>
    <row r="537" customFormat="false" ht="15" hidden="false" customHeight="false" outlineLevel="0" collapsed="false">
      <c r="A537" s="9" t="s">
        <v>1108</v>
      </c>
      <c r="B537" s="9" t="s">
        <v>1402</v>
      </c>
      <c r="C537" s="9" t="s">
        <v>36</v>
      </c>
      <c r="D537" s="9" t="s">
        <v>36</v>
      </c>
      <c r="E537" s="9" t="s">
        <v>1283</v>
      </c>
      <c r="F537" s="9" t="s">
        <v>53</v>
      </c>
      <c r="G537" s="9" t="s">
        <v>53</v>
      </c>
      <c r="H537" s="9"/>
      <c r="I537" s="25" t="n">
        <v>1</v>
      </c>
      <c r="J537" s="9" t="s">
        <v>1282</v>
      </c>
      <c r="K537" s="9" t="s">
        <v>36</v>
      </c>
      <c r="L537" s="12" t="n">
        <v>1</v>
      </c>
      <c r="M537" s="20" t="n">
        <v>301254</v>
      </c>
      <c r="N537" s="20" t="n">
        <v>301254</v>
      </c>
      <c r="O537" s="20" t="n">
        <v>0</v>
      </c>
      <c r="P537" s="12" t="n">
        <f aca="false">IF($E537="squad",INDEX(Assumptions!$D$16:$D$56,MATCH($C537&amp;"|"&amp;$D537,Assumptions!$H$16:$H$56,0)),0)</f>
        <v>0</v>
      </c>
      <c r="Q537" s="20" t="n">
        <f aca="false">$N537*$P537</f>
        <v>0</v>
      </c>
    </row>
    <row r="538" customFormat="false" ht="15" hidden="false" customHeight="false" outlineLevel="0" collapsed="false">
      <c r="A538" s="9" t="s">
        <v>1096</v>
      </c>
      <c r="B538" s="9" t="s">
        <v>1402</v>
      </c>
      <c r="C538" s="9" t="s">
        <v>36</v>
      </c>
      <c r="D538" s="9" t="s">
        <v>36</v>
      </c>
      <c r="E538" s="9" t="s">
        <v>1283</v>
      </c>
      <c r="F538" s="9" t="s">
        <v>53</v>
      </c>
      <c r="G538" s="9" t="s">
        <v>53</v>
      </c>
      <c r="H538" s="9"/>
      <c r="I538" s="25" t="n">
        <v>1</v>
      </c>
      <c r="J538" s="9" t="s">
        <v>1282</v>
      </c>
      <c r="K538" s="9" t="s">
        <v>36</v>
      </c>
      <c r="L538" s="12" t="n">
        <v>1</v>
      </c>
      <c r="M538" s="20" t="n">
        <v>343158.72</v>
      </c>
      <c r="N538" s="20" t="n">
        <v>343158.72</v>
      </c>
      <c r="O538" s="20" t="n">
        <v>0</v>
      </c>
      <c r="P538" s="12" t="n">
        <f aca="false">IF($E538="squad",INDEX(Assumptions!$D$16:$D$56,MATCH($C538&amp;"|"&amp;$D538,Assumptions!$H$16:$H$56,0)),0)</f>
        <v>0</v>
      </c>
      <c r="Q538" s="20" t="n">
        <f aca="false">$N538*$P538</f>
        <v>0</v>
      </c>
    </row>
    <row r="539" customFormat="false" ht="15" hidden="false" customHeight="false" outlineLevel="0" collapsed="false">
      <c r="A539" s="9" t="s">
        <v>1122</v>
      </c>
      <c r="B539" s="9" t="s">
        <v>1402</v>
      </c>
      <c r="C539" s="9" t="s">
        <v>36</v>
      </c>
      <c r="D539" s="9" t="s">
        <v>36</v>
      </c>
      <c r="E539" s="9" t="s">
        <v>1283</v>
      </c>
      <c r="F539" s="9" t="s">
        <v>53</v>
      </c>
      <c r="G539" s="9" t="s">
        <v>53</v>
      </c>
      <c r="H539" s="9"/>
      <c r="I539" s="25" t="n">
        <v>1</v>
      </c>
      <c r="J539" s="9" t="s">
        <v>1282</v>
      </c>
      <c r="K539" s="9" t="s">
        <v>36</v>
      </c>
      <c r="L539" s="12" t="n">
        <v>1</v>
      </c>
      <c r="M539" s="20" t="n">
        <v>266400</v>
      </c>
      <c r="N539" s="20" t="n">
        <v>266400</v>
      </c>
      <c r="O539" s="20" t="n">
        <v>0</v>
      </c>
      <c r="P539" s="12" t="n">
        <f aca="false">IF($E539="squad",INDEX(Assumptions!$D$16:$D$56,MATCH($C539&amp;"|"&amp;$D539,Assumptions!$H$16:$H$56,0)),0)</f>
        <v>0</v>
      </c>
      <c r="Q539" s="20" t="n">
        <f aca="false">$N539*$P539</f>
        <v>0</v>
      </c>
    </row>
    <row r="540" customFormat="false" ht="15" hidden="false" customHeight="false" outlineLevel="0" collapsed="false">
      <c r="A540" s="9" t="s">
        <v>1093</v>
      </c>
      <c r="B540" s="9" t="s">
        <v>1402</v>
      </c>
      <c r="C540" s="9" t="s">
        <v>36</v>
      </c>
      <c r="D540" s="9" t="s">
        <v>36</v>
      </c>
      <c r="E540" s="9" t="s">
        <v>1283</v>
      </c>
      <c r="F540" s="9" t="s">
        <v>53</v>
      </c>
      <c r="G540" s="9" t="s">
        <v>53</v>
      </c>
      <c r="H540" s="9"/>
      <c r="I540" s="25" t="n">
        <v>1</v>
      </c>
      <c r="J540" s="9" t="s">
        <v>1282</v>
      </c>
      <c r="K540" s="9" t="s">
        <v>36</v>
      </c>
      <c r="L540" s="12" t="n">
        <v>1</v>
      </c>
      <c r="M540" s="20" t="n">
        <v>488400</v>
      </c>
      <c r="N540" s="20" t="n">
        <v>488400</v>
      </c>
      <c r="O540" s="20" t="n">
        <v>0</v>
      </c>
      <c r="P540" s="12" t="n">
        <f aca="false">IF($E540="squad",INDEX(Assumptions!$D$16:$D$56,MATCH($C540&amp;"|"&amp;$D540,Assumptions!$H$16:$H$56,0)),0)</f>
        <v>0</v>
      </c>
      <c r="Q540" s="20" t="n">
        <f aca="false">$N540*$P540</f>
        <v>0</v>
      </c>
    </row>
    <row r="541" customFormat="false" ht="15" hidden="false" customHeight="false" outlineLevel="0" collapsed="false">
      <c r="A541" s="9" t="s">
        <v>1111</v>
      </c>
      <c r="B541" s="9" t="s">
        <v>1402</v>
      </c>
      <c r="C541" s="9" t="s">
        <v>36</v>
      </c>
      <c r="D541" s="9" t="s">
        <v>36</v>
      </c>
      <c r="E541" s="9" t="s">
        <v>1283</v>
      </c>
      <c r="F541" s="9" t="s">
        <v>53</v>
      </c>
      <c r="G541" s="9" t="s">
        <v>53</v>
      </c>
      <c r="H541" s="9"/>
      <c r="I541" s="25" t="n">
        <v>1</v>
      </c>
      <c r="J541" s="9" t="s">
        <v>1282</v>
      </c>
      <c r="K541" s="9" t="s">
        <v>36</v>
      </c>
      <c r="L541" s="12" t="n">
        <v>1</v>
      </c>
      <c r="M541" s="20" t="n">
        <v>299700</v>
      </c>
      <c r="N541" s="20" t="n">
        <v>299700</v>
      </c>
      <c r="O541" s="20" t="n">
        <v>0</v>
      </c>
      <c r="P541" s="12" t="n">
        <f aca="false">IF($E541="squad",INDEX(Assumptions!$D$16:$D$56,MATCH($C541&amp;"|"&amp;$D541,Assumptions!$H$16:$H$56,0)),0)</f>
        <v>0</v>
      </c>
      <c r="Q541" s="20" t="n">
        <f aca="false">$N541*$P541</f>
        <v>0</v>
      </c>
    </row>
    <row r="542" customFormat="false" ht="15" hidden="false" customHeight="false" outlineLevel="0" collapsed="false">
      <c r="A542" s="9" t="s">
        <v>1137</v>
      </c>
      <c r="B542" s="9" t="s">
        <v>1402</v>
      </c>
      <c r="C542" s="9" t="s">
        <v>36</v>
      </c>
      <c r="D542" s="9" t="s">
        <v>36</v>
      </c>
      <c r="E542" s="9" t="s">
        <v>1283</v>
      </c>
      <c r="F542" s="9" t="s">
        <v>53</v>
      </c>
      <c r="G542" s="9" t="s">
        <v>53</v>
      </c>
      <c r="H542" s="9"/>
      <c r="I542" s="25" t="n">
        <v>1</v>
      </c>
      <c r="J542" s="9" t="s">
        <v>1282</v>
      </c>
      <c r="K542" s="9" t="s">
        <v>36</v>
      </c>
      <c r="L542" s="12" t="n">
        <v>1</v>
      </c>
      <c r="M542" s="20" t="n">
        <v>230436</v>
      </c>
      <c r="N542" s="20" t="n">
        <v>230436</v>
      </c>
      <c r="O542" s="20" t="n">
        <v>0</v>
      </c>
      <c r="P542" s="12" t="n">
        <f aca="false">IF($E542="squad",INDEX(Assumptions!$D$16:$D$56,MATCH($C542&amp;"|"&amp;$D542,Assumptions!$H$16:$H$56,0)),0)</f>
        <v>0</v>
      </c>
      <c r="Q542" s="20" t="n">
        <f aca="false">$N542*$P542</f>
        <v>0</v>
      </c>
    </row>
    <row r="543" customFormat="false" ht="15" hidden="false" customHeight="false" outlineLevel="0" collapsed="false">
      <c r="A543" s="9" t="s">
        <v>1125</v>
      </c>
      <c r="B543" s="9" t="s">
        <v>1402</v>
      </c>
      <c r="C543" s="9" t="s">
        <v>36</v>
      </c>
      <c r="D543" s="9" t="s">
        <v>36</v>
      </c>
      <c r="E543" s="9" t="s">
        <v>1283</v>
      </c>
      <c r="F543" s="9" t="s">
        <v>53</v>
      </c>
      <c r="G543" s="9" t="s">
        <v>53</v>
      </c>
      <c r="H543" s="9"/>
      <c r="I543" s="25" t="n">
        <v>1</v>
      </c>
      <c r="J543" s="9" t="s">
        <v>1282</v>
      </c>
      <c r="K543" s="9" t="s">
        <v>36</v>
      </c>
      <c r="L543" s="12" t="n">
        <v>1</v>
      </c>
      <c r="M543" s="20" t="n">
        <v>266400</v>
      </c>
      <c r="N543" s="20" t="n">
        <v>266400</v>
      </c>
      <c r="O543" s="20" t="n">
        <v>0</v>
      </c>
      <c r="P543" s="12" t="n">
        <f aca="false">IF($E543="squad",INDEX(Assumptions!$D$16:$D$56,MATCH($C543&amp;"|"&amp;$D543,Assumptions!$H$16:$H$56,0)),0)</f>
        <v>0</v>
      </c>
      <c r="Q543" s="20" t="n">
        <f aca="false">$N543*$P543</f>
        <v>0</v>
      </c>
    </row>
    <row r="544" customFormat="false" ht="15" hidden="false" customHeight="false" outlineLevel="0" collapsed="false">
      <c r="A544" s="9" t="s">
        <v>1134</v>
      </c>
      <c r="B544" s="9" t="s">
        <v>1402</v>
      </c>
      <c r="C544" s="9" t="s">
        <v>36</v>
      </c>
      <c r="D544" s="9" t="s">
        <v>36</v>
      </c>
      <c r="E544" s="9" t="s">
        <v>1283</v>
      </c>
      <c r="F544" s="9" t="s">
        <v>53</v>
      </c>
      <c r="G544" s="9" t="s">
        <v>53</v>
      </c>
      <c r="H544" s="9"/>
      <c r="I544" s="25" t="n">
        <v>1</v>
      </c>
      <c r="J544" s="9" t="s">
        <v>1282</v>
      </c>
      <c r="K544" s="9" t="s">
        <v>36</v>
      </c>
      <c r="L544" s="12" t="n">
        <v>1</v>
      </c>
      <c r="M544" s="20" t="n">
        <v>239502.48</v>
      </c>
      <c r="N544" s="20" t="n">
        <v>239502.48</v>
      </c>
      <c r="O544" s="20" t="n">
        <v>0</v>
      </c>
      <c r="P544" s="12" t="n">
        <f aca="false">IF($E544="squad",INDEX(Assumptions!$D$16:$D$56,MATCH($C544&amp;"|"&amp;$D544,Assumptions!$H$16:$H$56,0)),0)</f>
        <v>0</v>
      </c>
      <c r="Q544" s="20" t="n">
        <f aca="false">$N544*$P544</f>
        <v>0</v>
      </c>
    </row>
    <row r="545" customFormat="false" ht="15" hidden="false" customHeight="false" outlineLevel="0" collapsed="false">
      <c r="A545" s="9" t="s">
        <v>1119</v>
      </c>
      <c r="B545" s="9" t="s">
        <v>1402</v>
      </c>
      <c r="C545" s="9" t="s">
        <v>36</v>
      </c>
      <c r="D545" s="9" t="s">
        <v>36</v>
      </c>
      <c r="E545" s="9" t="s">
        <v>1283</v>
      </c>
      <c r="F545" s="9" t="s">
        <v>53</v>
      </c>
      <c r="G545" s="9" t="s">
        <v>53</v>
      </c>
      <c r="H545" s="9"/>
      <c r="I545" s="25" t="n">
        <v>1</v>
      </c>
      <c r="J545" s="9" t="s">
        <v>1282</v>
      </c>
      <c r="K545" s="9" t="s">
        <v>36</v>
      </c>
      <c r="L545" s="12" t="n">
        <v>1</v>
      </c>
      <c r="M545" s="20" t="n">
        <v>273504</v>
      </c>
      <c r="N545" s="20" t="n">
        <v>273504</v>
      </c>
      <c r="O545" s="20" t="n">
        <v>0</v>
      </c>
      <c r="P545" s="12" t="n">
        <f aca="false">IF($E545="squad",INDEX(Assumptions!$D$16:$D$56,MATCH($C545&amp;"|"&amp;$D545,Assumptions!$H$16:$H$56,0)),0)</f>
        <v>0</v>
      </c>
      <c r="Q545" s="20" t="n">
        <f aca="false">$N545*$P545</f>
        <v>0</v>
      </c>
    </row>
    <row r="546" customFormat="false" ht="15" hidden="false" customHeight="false" outlineLevel="0" collapsed="false">
      <c r="A546" s="9" t="s">
        <v>1139</v>
      </c>
      <c r="B546" s="9" t="s">
        <v>1402</v>
      </c>
      <c r="C546" s="9" t="s">
        <v>36</v>
      </c>
      <c r="D546" s="9" t="s">
        <v>36</v>
      </c>
      <c r="E546" s="9" t="s">
        <v>1283</v>
      </c>
      <c r="F546" s="9" t="s">
        <v>53</v>
      </c>
      <c r="G546" s="9" t="s">
        <v>53</v>
      </c>
      <c r="H546" s="9"/>
      <c r="I546" s="25" t="n">
        <v>1</v>
      </c>
      <c r="J546" s="9" t="s">
        <v>1282</v>
      </c>
      <c r="K546" s="9" t="s">
        <v>36</v>
      </c>
      <c r="L546" s="12" t="n">
        <v>1</v>
      </c>
      <c r="M546" s="20" t="n">
        <v>222000</v>
      </c>
      <c r="N546" s="20" t="n">
        <v>222000</v>
      </c>
      <c r="O546" s="20" t="n">
        <v>0</v>
      </c>
      <c r="P546" s="12" t="n">
        <f aca="false">IF($E546="squad",INDEX(Assumptions!$D$16:$D$56,MATCH($C546&amp;"|"&amp;$D546,Assumptions!$H$16:$H$56,0)),0)</f>
        <v>0</v>
      </c>
      <c r="Q546" s="20" t="n">
        <f aca="false">$N546*$P546</f>
        <v>0</v>
      </c>
    </row>
    <row r="547" customFormat="false" ht="15" hidden="false" customHeight="false" outlineLevel="0" collapsed="false">
      <c r="A547" s="9" t="s">
        <v>1099</v>
      </c>
      <c r="B547" s="9" t="s">
        <v>1402</v>
      </c>
      <c r="C547" s="9" t="s">
        <v>36</v>
      </c>
      <c r="D547" s="9" t="s">
        <v>36</v>
      </c>
      <c r="E547" s="9" t="s">
        <v>1283</v>
      </c>
      <c r="F547" s="9" t="s">
        <v>53</v>
      </c>
      <c r="G547" s="9" t="s">
        <v>53</v>
      </c>
      <c r="H547" s="9"/>
      <c r="I547" s="25" t="n">
        <v>1</v>
      </c>
      <c r="J547" s="9" t="s">
        <v>1282</v>
      </c>
      <c r="K547" s="9" t="s">
        <v>36</v>
      </c>
      <c r="L547" s="12" t="n">
        <v>1</v>
      </c>
      <c r="M547" s="20" t="n">
        <v>333000</v>
      </c>
      <c r="N547" s="20" t="n">
        <v>333000</v>
      </c>
      <c r="O547" s="20" t="n">
        <v>0</v>
      </c>
      <c r="P547" s="12" t="n">
        <f aca="false">IF($E547="squad",INDEX(Assumptions!$D$16:$D$56,MATCH($C547&amp;"|"&amp;$D547,Assumptions!$H$16:$H$56,0)),0)</f>
        <v>0</v>
      </c>
      <c r="Q547" s="20" t="n">
        <f aca="false">$N547*$P547</f>
        <v>0</v>
      </c>
    </row>
    <row r="548" customFormat="false" ht="15" hidden="false" customHeight="false" outlineLevel="0" collapsed="false">
      <c r="A548" s="9" t="s">
        <v>1116</v>
      </c>
      <c r="B548" s="9" t="s">
        <v>1402</v>
      </c>
      <c r="C548" s="9" t="s">
        <v>36</v>
      </c>
      <c r="D548" s="9" t="s">
        <v>36</v>
      </c>
      <c r="E548" s="9" t="s">
        <v>1283</v>
      </c>
      <c r="F548" s="9" t="s">
        <v>53</v>
      </c>
      <c r="G548" s="9" t="s">
        <v>53</v>
      </c>
      <c r="H548" s="9"/>
      <c r="I548" s="25" t="n">
        <v>1</v>
      </c>
      <c r="J548" s="9" t="s">
        <v>1282</v>
      </c>
      <c r="K548" s="9" t="s">
        <v>36</v>
      </c>
      <c r="L548" s="12" t="n">
        <v>1</v>
      </c>
      <c r="M548" s="20" t="n">
        <v>277500</v>
      </c>
      <c r="N548" s="20" t="n">
        <v>277500</v>
      </c>
      <c r="O548" s="20" t="n">
        <v>0</v>
      </c>
      <c r="P548" s="12" t="n">
        <f aca="false">IF($E548="squad",INDEX(Assumptions!$D$16:$D$56,MATCH($C548&amp;"|"&amp;$D548,Assumptions!$H$16:$H$56,0)),0)</f>
        <v>0</v>
      </c>
      <c r="Q548" s="20" t="n">
        <f aca="false">$N548*$P548</f>
        <v>0</v>
      </c>
    </row>
    <row r="549" customFormat="false" ht="15" hidden="false" customHeight="false" outlineLevel="0" collapsed="false">
      <c r="A549" s="9" t="s">
        <v>1102</v>
      </c>
      <c r="B549" s="9" t="s">
        <v>1402</v>
      </c>
      <c r="C549" s="9" t="s">
        <v>36</v>
      </c>
      <c r="D549" s="9" t="s">
        <v>36</v>
      </c>
      <c r="E549" s="9" t="s">
        <v>1283</v>
      </c>
      <c r="F549" s="9" t="s">
        <v>53</v>
      </c>
      <c r="G549" s="9" t="s">
        <v>53</v>
      </c>
      <c r="H549" s="9"/>
      <c r="I549" s="25" t="n">
        <v>1</v>
      </c>
      <c r="J549" s="9" t="s">
        <v>1282</v>
      </c>
      <c r="K549" s="9" t="s">
        <v>36</v>
      </c>
      <c r="L549" s="12" t="n">
        <v>1</v>
      </c>
      <c r="M549" s="20" t="n">
        <v>325464.15</v>
      </c>
      <c r="N549" s="20" t="n">
        <v>325464.15</v>
      </c>
      <c r="O549" s="20" t="n">
        <v>0</v>
      </c>
      <c r="P549" s="12" t="n">
        <f aca="false">IF($E549="squad",INDEX(Assumptions!$D$16:$D$56,MATCH($C549&amp;"|"&amp;$D549,Assumptions!$H$16:$H$56,0)),0)</f>
        <v>0</v>
      </c>
      <c r="Q549" s="20" t="n">
        <f aca="false">$N549*$P549</f>
        <v>0</v>
      </c>
    </row>
    <row r="550" customFormat="false" ht="15" hidden="false" customHeight="false" outlineLevel="0" collapsed="false">
      <c r="A550" s="9" t="s">
        <v>1142</v>
      </c>
      <c r="B550" s="9" t="s">
        <v>1402</v>
      </c>
      <c r="C550" s="9" t="s">
        <v>36</v>
      </c>
      <c r="D550" s="9" t="s">
        <v>36</v>
      </c>
      <c r="E550" s="9" t="s">
        <v>1283</v>
      </c>
      <c r="F550" s="9" t="s">
        <v>53</v>
      </c>
      <c r="G550" s="9" t="s">
        <v>53</v>
      </c>
      <c r="H550" s="9"/>
      <c r="I550" s="25" t="n">
        <v>1</v>
      </c>
      <c r="J550" s="9" t="s">
        <v>1282</v>
      </c>
      <c r="K550" s="9" t="s">
        <v>36</v>
      </c>
      <c r="L550" s="12" t="n">
        <v>1</v>
      </c>
      <c r="M550" s="20" t="n">
        <v>207400</v>
      </c>
      <c r="N550" s="20" t="n">
        <v>207400</v>
      </c>
      <c r="O550" s="20" t="n">
        <v>0</v>
      </c>
      <c r="P550" s="12" t="n">
        <f aca="false">IF($E550="squad",INDEX(Assumptions!$D$16:$D$56,MATCH($C550&amp;"|"&amp;$D550,Assumptions!$H$16:$H$56,0)),0)</f>
        <v>0</v>
      </c>
      <c r="Q550" s="20" t="n">
        <f aca="false">$N550*$P550</f>
        <v>0</v>
      </c>
    </row>
  </sheetData>
  <sheetProtection sheet="true" password="c5c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5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.45"/>
    <col collapsed="false" customWidth="true" hidden="false" outlineLevel="0" max="2" min="2" style="0" width="20.54"/>
    <col collapsed="false" customWidth="true" hidden="false" outlineLevel="0" max="3" min="3" style="0" width="26.82"/>
    <col collapsed="false" customWidth="true" hidden="false" outlineLevel="0" max="4" min="4" style="0" width="22.54"/>
    <col collapsed="false" customWidth="true" hidden="false" outlineLevel="0" max="5" min="5" style="0" width="37.45"/>
    <col collapsed="false" customWidth="true" hidden="false" outlineLevel="0" max="6" min="6" style="0" width="58"/>
    <col collapsed="false" customWidth="true" hidden="false" outlineLevel="0" max="7" min="7" style="0" width="26.18"/>
    <col collapsed="false" customWidth="true" hidden="false" outlineLevel="0" max="8" min="8" style="0" width="33"/>
    <col collapsed="false" customWidth="true" hidden="false" outlineLevel="0" max="9" min="9" style="0" width="23.45"/>
    <col collapsed="false" customWidth="true" hidden="false" outlineLevel="0" max="11" min="11" style="0" width="34.45"/>
    <col collapsed="false" customWidth="true" hidden="false" outlineLevel="0" max="12" min="12" style="0" width="29.45"/>
    <col collapsed="false" customWidth="true" hidden="false" outlineLevel="0" max="13" min="13" style="0" width="9.45"/>
    <col collapsed="false" customWidth="true" hidden="false" outlineLevel="0" max="14" min="14" style="0" width="8.45"/>
    <col collapsed="false" customWidth="true" hidden="false" outlineLevel="0" max="17" min="17" style="0" width="20.18"/>
    <col collapsed="false" customWidth="true" hidden="false" outlineLevel="0" max="18" min="18" style="0" width="18.54"/>
    <col collapsed="false" customWidth="true" hidden="false" outlineLevel="0" max="19" min="19" style="0" width="14.45"/>
    <col collapsed="false" customWidth="true" hidden="false" outlineLevel="0" max="20" min="20" style="0" width="14.18"/>
    <col collapsed="false" customWidth="true" hidden="false" outlineLevel="0" max="22" min="22" style="0" width="14.27"/>
    <col collapsed="false" customWidth="true" hidden="false" outlineLevel="0" max="23" min="23" style="0" width="12.54"/>
    <col collapsed="false" customWidth="true" hidden="false" outlineLevel="0" max="24" min="24" style="0" width="14.45"/>
    <col collapsed="false" customWidth="true" hidden="false" outlineLevel="0" max="25" min="25" style="0" width="14.18"/>
    <col collapsed="false" customWidth="true" hidden="false" outlineLevel="0" max="26" min="26" style="0" width="9.45"/>
    <col collapsed="false" customWidth="true" hidden="false" outlineLevel="0" max="27" min="27" style="0" width="14.45"/>
    <col collapsed="false" customWidth="true" hidden="false" outlineLevel="0" max="28" min="28" style="0" width="13.54"/>
    <col collapsed="false" customWidth="true" hidden="false" outlineLevel="0" max="29" min="29" style="0" width="56.18"/>
    <col collapsed="false" customWidth="true" hidden="false" outlineLevel="0" max="34" min="34" style="0" width="4.81"/>
    <col collapsed="false" customWidth="true" hidden="false" outlineLevel="0" max="36" min="36" style="0" width="20.81"/>
    <col collapsed="false" customWidth="true" hidden="false" outlineLevel="0" max="37" min="37" style="0" width="7.82"/>
    <col collapsed="false" customWidth="true" hidden="false" outlineLevel="0" max="38" min="38" style="0" width="7.45"/>
    <col collapsed="false" customWidth="true" hidden="false" outlineLevel="0" max="39" min="39" style="0" width="6.54"/>
    <col collapsed="false" customWidth="true" hidden="false" outlineLevel="0" max="40" min="40" style="0" width="23.82"/>
    <col collapsed="false" customWidth="true" hidden="false" outlineLevel="0" max="42" min="42" style="0" width="28.54"/>
    <col collapsed="false" customWidth="true" hidden="false" outlineLevel="0" max="43" min="43" style="0" width="6.54"/>
    <col collapsed="false" customWidth="true" hidden="true" outlineLevel="0" max="44" min="44" style="0" width="13"/>
  </cols>
  <sheetData>
    <row r="1" customFormat="false" ht="41.25" hidden="false" customHeight="true" outlineLevel="0" collapsed="false">
      <c r="A1" s="31" t="s">
        <v>1403</v>
      </c>
      <c r="B1" s="32" t="s">
        <v>40</v>
      </c>
      <c r="C1" s="31" t="s">
        <v>1403</v>
      </c>
      <c r="D1" s="32" t="s">
        <v>1404</v>
      </c>
      <c r="E1" s="32" t="s">
        <v>1405</v>
      </c>
      <c r="F1" s="32" t="s">
        <v>1406</v>
      </c>
      <c r="G1" s="33" t="s">
        <v>1407</v>
      </c>
      <c r="H1" s="32" t="s">
        <v>1408</v>
      </c>
      <c r="I1" s="32" t="s">
        <v>1409</v>
      </c>
      <c r="J1" s="34" t="s">
        <v>1165</v>
      </c>
      <c r="K1" s="34" t="s">
        <v>1146</v>
      </c>
      <c r="L1" s="34" t="s">
        <v>47</v>
      </c>
      <c r="M1" s="34" t="s">
        <v>1410</v>
      </c>
      <c r="N1" s="35" t="s">
        <v>1277</v>
      </c>
      <c r="O1" s="36" t="s">
        <v>1411</v>
      </c>
      <c r="P1" s="36" t="s">
        <v>1148</v>
      </c>
      <c r="Q1" s="36" t="s">
        <v>1412</v>
      </c>
      <c r="R1" s="36" t="s">
        <v>1413</v>
      </c>
      <c r="S1" s="37" t="s">
        <v>1414</v>
      </c>
      <c r="T1" s="37" t="s">
        <v>1415</v>
      </c>
      <c r="U1" s="38" t="s">
        <v>1416</v>
      </c>
      <c r="V1" s="39" t="s">
        <v>1417</v>
      </c>
      <c r="W1" s="40" t="s">
        <v>1418</v>
      </c>
      <c r="X1" s="41" t="s">
        <v>1419</v>
      </c>
      <c r="Y1" s="41" t="s">
        <v>1420</v>
      </c>
      <c r="Z1" s="41" t="s">
        <v>1421</v>
      </c>
      <c r="AA1" s="41" t="s">
        <v>1422</v>
      </c>
      <c r="AB1" s="42" t="s">
        <v>1423</v>
      </c>
      <c r="AC1" s="43" t="s">
        <v>1424</v>
      </c>
      <c r="AD1" s="44"/>
      <c r="AE1" s="45" t="s">
        <v>1425</v>
      </c>
      <c r="AF1" s="45" t="s">
        <v>1426</v>
      </c>
      <c r="AG1" s="45" t="s">
        <v>1427</v>
      </c>
      <c r="AH1" s="45" t="s">
        <v>1428</v>
      </c>
      <c r="AI1" s="45" t="s">
        <v>756</v>
      </c>
      <c r="AJ1" s="45" t="s">
        <v>1429</v>
      </c>
      <c r="AK1" s="45" t="s">
        <v>1430</v>
      </c>
      <c r="AL1" s="45" t="s">
        <v>1431</v>
      </c>
      <c r="AM1" s="45" t="s">
        <v>1432</v>
      </c>
      <c r="AN1" s="45" t="s">
        <v>1433</v>
      </c>
      <c r="AO1" s="45" t="s">
        <v>1434</v>
      </c>
      <c r="AP1" s="45" t="s">
        <v>1435</v>
      </c>
      <c r="AQ1" s="45" t="s">
        <v>1271</v>
      </c>
      <c r="AR1" s="43" t="s">
        <v>1436</v>
      </c>
      <c r="AS1" s="44"/>
      <c r="AT1" s="44"/>
      <c r="AU1" s="44"/>
      <c r="AV1" s="44"/>
      <c r="AW1" s="44"/>
      <c r="AX1" s="44"/>
      <c r="AY1" s="44"/>
      <c r="AZ1" s="46"/>
    </row>
    <row r="2" customFormat="false" ht="18" hidden="false" customHeight="true" outlineLevel="0" collapsed="false">
      <c r="A2" s="47" t="s">
        <v>1437</v>
      </c>
      <c r="B2" s="48" t="s">
        <v>407</v>
      </c>
      <c r="C2" s="47" t="s">
        <v>1437</v>
      </c>
      <c r="D2" s="48" t="s">
        <v>84</v>
      </c>
      <c r="E2" s="48" t="s">
        <v>443</v>
      </c>
      <c r="F2" s="48" t="s">
        <v>1438</v>
      </c>
      <c r="G2" s="49" t="s">
        <v>1439</v>
      </c>
      <c r="H2" s="48" t="s">
        <v>1440</v>
      </c>
      <c r="I2" s="48" t="s">
        <v>1441</v>
      </c>
      <c r="J2" s="48" t="s">
        <v>1442</v>
      </c>
      <c r="K2" s="48" t="s">
        <v>36</v>
      </c>
      <c r="L2" s="48" t="s">
        <v>405</v>
      </c>
      <c r="M2" s="48"/>
      <c r="N2" s="50" t="s">
        <v>1443</v>
      </c>
      <c r="O2" s="51" t="s">
        <v>1159</v>
      </c>
      <c r="P2" s="52" t="n">
        <v>1</v>
      </c>
      <c r="Q2" s="52"/>
      <c r="R2" s="52" t="s">
        <v>1444</v>
      </c>
      <c r="S2" s="52" t="s">
        <v>1445</v>
      </c>
      <c r="T2" s="52" t="n">
        <v>1190</v>
      </c>
      <c r="U2" s="53"/>
      <c r="V2" s="54"/>
      <c r="W2" s="55"/>
      <c r="X2" s="52"/>
      <c r="Y2" s="55"/>
      <c r="Z2" s="56"/>
      <c r="AA2" s="55"/>
      <c r="AB2" s="57" t="n">
        <v>264180</v>
      </c>
      <c r="AC2" s="44" t="s">
        <v>1446</v>
      </c>
      <c r="AD2" s="44"/>
      <c r="AE2" s="44" t="n">
        <v>264180</v>
      </c>
      <c r="AF2" s="44" t="s">
        <v>53</v>
      </c>
      <c r="AG2" s="44" t="n">
        <v>0</v>
      </c>
      <c r="AH2" s="58" t="s">
        <v>1439</v>
      </c>
      <c r="AI2" s="44" t="n">
        <v>0</v>
      </c>
      <c r="AJ2" s="44" t="s">
        <v>405</v>
      </c>
      <c r="AK2" s="44" t="s">
        <v>47</v>
      </c>
      <c r="AL2" s="44" t="s">
        <v>405</v>
      </c>
      <c r="AM2" s="44" t="n">
        <v>1</v>
      </c>
      <c r="AN2" s="44" t="s">
        <v>53</v>
      </c>
      <c r="AO2" s="44" t="s">
        <v>1446</v>
      </c>
      <c r="AP2" s="59" t="n">
        <v>46262</v>
      </c>
      <c r="AQ2" s="45" t="s">
        <v>406</v>
      </c>
      <c r="AR2" s="44" t="s">
        <v>1282</v>
      </c>
      <c r="AS2" s="44"/>
      <c r="AT2" s="44"/>
      <c r="AU2" s="44"/>
      <c r="AV2" s="44"/>
      <c r="AW2" s="44"/>
      <c r="AX2" s="44"/>
      <c r="AY2" s="44"/>
      <c r="AZ2" s="46"/>
    </row>
    <row r="3" customFormat="false" ht="18" hidden="false" customHeight="true" outlineLevel="0" collapsed="false">
      <c r="A3" s="47" t="s">
        <v>1437</v>
      </c>
      <c r="B3" s="48" t="s">
        <v>368</v>
      </c>
      <c r="C3" s="47" t="s">
        <v>1437</v>
      </c>
      <c r="D3" s="48" t="s">
        <v>174</v>
      </c>
      <c r="E3" s="48" t="s">
        <v>443</v>
      </c>
      <c r="F3" s="48" t="s">
        <v>1438</v>
      </c>
      <c r="G3" s="49" t="s">
        <v>1439</v>
      </c>
      <c r="H3" s="48" t="s">
        <v>1440</v>
      </c>
      <c r="I3" s="48" t="s">
        <v>1441</v>
      </c>
      <c r="J3" s="48" t="s">
        <v>18</v>
      </c>
      <c r="K3" s="48" t="s">
        <v>1150</v>
      </c>
      <c r="L3" s="48" t="s">
        <v>318</v>
      </c>
      <c r="M3" s="48"/>
      <c r="N3" s="50" t="s">
        <v>1443</v>
      </c>
      <c r="O3" s="51" t="s">
        <v>1159</v>
      </c>
      <c r="P3" s="52" t="n">
        <v>1</v>
      </c>
      <c r="Q3" s="51"/>
      <c r="R3" s="52" t="s">
        <v>1447</v>
      </c>
      <c r="S3" s="52" t="s">
        <v>1445</v>
      </c>
      <c r="T3" s="52" t="n">
        <v>1229.2</v>
      </c>
      <c r="U3" s="53"/>
      <c r="V3" s="54"/>
      <c r="W3" s="55"/>
      <c r="X3" s="52"/>
      <c r="Y3" s="55"/>
      <c r="Z3" s="56"/>
      <c r="AA3" s="55"/>
      <c r="AB3" s="57" t="n">
        <v>272882.4</v>
      </c>
      <c r="AC3" s="44" t="s">
        <v>1448</v>
      </c>
      <c r="AD3" s="44"/>
      <c r="AE3" s="44" t="n">
        <v>272882.4</v>
      </c>
      <c r="AF3" s="44" t="s">
        <v>53</v>
      </c>
      <c r="AG3" s="44" t="n">
        <v>0</v>
      </c>
      <c r="AH3" s="58" t="s">
        <v>1439</v>
      </c>
      <c r="AI3" s="44" t="n">
        <v>0</v>
      </c>
      <c r="AJ3" s="44" t="s">
        <v>318</v>
      </c>
      <c r="AK3" s="44" t="s">
        <v>47</v>
      </c>
      <c r="AL3" s="44" t="s">
        <v>318</v>
      </c>
      <c r="AM3" s="44" t="n">
        <v>0</v>
      </c>
      <c r="AN3" s="44" t="s">
        <v>53</v>
      </c>
      <c r="AO3" s="44" t="s">
        <v>1448</v>
      </c>
      <c r="AP3" s="59" t="n">
        <v>46242</v>
      </c>
      <c r="AQ3" s="45" t="s">
        <v>367</v>
      </c>
      <c r="AR3" s="44" t="s">
        <v>1282</v>
      </c>
      <c r="AS3" s="44"/>
      <c r="AT3" s="44"/>
      <c r="AU3" s="44"/>
      <c r="AV3" s="44"/>
      <c r="AW3" s="44"/>
      <c r="AX3" s="44"/>
      <c r="AY3" s="44"/>
      <c r="AZ3" s="46"/>
    </row>
    <row r="4" customFormat="false" ht="18" hidden="false" customHeight="true" outlineLevel="0" collapsed="false">
      <c r="A4" s="47" t="s">
        <v>1437</v>
      </c>
      <c r="B4" s="48" t="s">
        <v>310</v>
      </c>
      <c r="C4" s="47" t="s">
        <v>1437</v>
      </c>
      <c r="D4" s="48" t="s">
        <v>174</v>
      </c>
      <c r="E4" s="48" t="s">
        <v>443</v>
      </c>
      <c r="F4" s="48" t="s">
        <v>1438</v>
      </c>
      <c r="G4" s="49" t="s">
        <v>1439</v>
      </c>
      <c r="H4" s="48" t="s">
        <v>1440</v>
      </c>
      <c r="I4" s="48" t="s">
        <v>1441</v>
      </c>
      <c r="J4" s="48" t="s">
        <v>18</v>
      </c>
      <c r="K4" s="48" t="s">
        <v>1150</v>
      </c>
      <c r="L4" s="48" t="s">
        <v>307</v>
      </c>
      <c r="M4" s="48"/>
      <c r="N4" s="50" t="s">
        <v>1443</v>
      </c>
      <c r="O4" s="51" t="s">
        <v>1159</v>
      </c>
      <c r="P4" s="52" t="n">
        <v>1</v>
      </c>
      <c r="Q4" s="52"/>
      <c r="R4" s="52" t="s">
        <v>1444</v>
      </c>
      <c r="S4" s="52" t="s">
        <v>1445</v>
      </c>
      <c r="T4" s="52" t="n">
        <v>1167</v>
      </c>
      <c r="U4" s="53"/>
      <c r="V4" s="54"/>
      <c r="W4" s="55"/>
      <c r="X4" s="52"/>
      <c r="Y4" s="55"/>
      <c r="Z4" s="56"/>
      <c r="AA4" s="55"/>
      <c r="AB4" s="57" t="n">
        <v>259074</v>
      </c>
      <c r="AC4" s="44" t="s">
        <v>1449</v>
      </c>
      <c r="AD4" s="44"/>
      <c r="AE4" s="44" t="n">
        <v>259074</v>
      </c>
      <c r="AF4" s="44" t="s">
        <v>53</v>
      </c>
      <c r="AG4" s="44" t="n">
        <v>0</v>
      </c>
      <c r="AH4" s="58" t="s">
        <v>1439</v>
      </c>
      <c r="AI4" s="44" t="n">
        <v>0</v>
      </c>
      <c r="AJ4" s="44" t="s">
        <v>307</v>
      </c>
      <c r="AK4" s="44" t="s">
        <v>47</v>
      </c>
      <c r="AL4" s="44" t="s">
        <v>307</v>
      </c>
      <c r="AM4" s="44" t="n">
        <v>0</v>
      </c>
      <c r="AN4" s="44" t="s">
        <v>53</v>
      </c>
      <c r="AO4" s="44" t="s">
        <v>1449</v>
      </c>
      <c r="AP4" s="59" t="n">
        <v>46389</v>
      </c>
      <c r="AQ4" s="45" t="s">
        <v>309</v>
      </c>
      <c r="AR4" s="44" t="s">
        <v>1282</v>
      </c>
      <c r="AS4" s="44"/>
      <c r="AT4" s="44"/>
      <c r="AU4" s="44"/>
      <c r="AV4" s="44"/>
      <c r="AW4" s="44"/>
      <c r="AX4" s="44"/>
      <c r="AY4" s="44"/>
      <c r="AZ4" s="46"/>
    </row>
    <row r="5" customFormat="false" ht="18" hidden="false" customHeight="true" outlineLevel="0" collapsed="false">
      <c r="A5" s="47" t="s">
        <v>1437</v>
      </c>
      <c r="B5" s="48" t="s">
        <v>1129</v>
      </c>
      <c r="C5" s="47" t="s">
        <v>1437</v>
      </c>
      <c r="D5" s="48" t="s">
        <v>1130</v>
      </c>
      <c r="E5" s="48" t="s">
        <v>1450</v>
      </c>
      <c r="F5" s="48" t="s">
        <v>1451</v>
      </c>
      <c r="G5" s="49" t="s">
        <v>36</v>
      </c>
      <c r="H5" s="48" t="s">
        <v>36</v>
      </c>
      <c r="I5" s="48" t="s">
        <v>36</v>
      </c>
      <c r="J5" s="48" t="s">
        <v>36</v>
      </c>
      <c r="K5" s="48" t="s">
        <v>36</v>
      </c>
      <c r="L5" s="48" t="s">
        <v>36</v>
      </c>
      <c r="M5" s="48"/>
      <c r="N5" s="50" t="s">
        <v>1443</v>
      </c>
      <c r="O5" s="51" t="s">
        <v>1452</v>
      </c>
      <c r="P5" s="52" t="n">
        <v>1</v>
      </c>
      <c r="Q5" s="52"/>
      <c r="R5" s="52" t="s">
        <v>1453</v>
      </c>
      <c r="S5" s="52" t="s">
        <v>1454</v>
      </c>
      <c r="T5" s="52" t="n">
        <v>1100</v>
      </c>
      <c r="U5" s="53" t="n">
        <v>0</v>
      </c>
      <c r="V5" s="54"/>
      <c r="W5" s="55"/>
      <c r="X5" s="52"/>
      <c r="Y5" s="55"/>
      <c r="Z5" s="56"/>
      <c r="AA5" s="55"/>
      <c r="AB5" s="57" t="n">
        <v>244200</v>
      </c>
      <c r="AC5" s="44"/>
      <c r="AD5" s="44"/>
      <c r="AE5" s="44" t="n">
        <v>244200</v>
      </c>
      <c r="AF5" s="44" t="s">
        <v>53</v>
      </c>
      <c r="AG5" s="44" t="n">
        <v>0</v>
      </c>
      <c r="AH5" s="58" t="s">
        <v>36</v>
      </c>
      <c r="AI5" s="44" t="n">
        <v>0</v>
      </c>
      <c r="AJ5" s="44" t="s">
        <v>36</v>
      </c>
      <c r="AK5" s="44" t="s">
        <v>47</v>
      </c>
      <c r="AL5" s="44" t="s">
        <v>36</v>
      </c>
      <c r="AM5" s="44" t="n">
        <v>1</v>
      </c>
      <c r="AN5" s="44"/>
      <c r="AO5" s="44"/>
      <c r="AP5" s="44"/>
      <c r="AQ5" s="45" t="s">
        <v>1128</v>
      </c>
      <c r="AR5" s="44" t="s">
        <v>1282</v>
      </c>
      <c r="AS5" s="44"/>
      <c r="AT5" s="44"/>
      <c r="AU5" s="44"/>
      <c r="AV5" s="44"/>
      <c r="AW5" s="44"/>
      <c r="AX5" s="44"/>
      <c r="AY5" s="44"/>
      <c r="AZ5" s="46"/>
    </row>
    <row r="6" customFormat="false" ht="18" hidden="false" customHeight="true" outlineLevel="0" collapsed="false">
      <c r="A6" s="47" t="s">
        <v>1437</v>
      </c>
      <c r="B6" s="48" t="s">
        <v>1132</v>
      </c>
      <c r="C6" s="47" t="s">
        <v>1437</v>
      </c>
      <c r="D6" s="48" t="s">
        <v>1133</v>
      </c>
      <c r="E6" s="48" t="s">
        <v>1450</v>
      </c>
      <c r="F6" s="48" t="s">
        <v>1451</v>
      </c>
      <c r="G6" s="49" t="s">
        <v>36</v>
      </c>
      <c r="H6" s="48" t="s">
        <v>36</v>
      </c>
      <c r="I6" s="48" t="s">
        <v>36</v>
      </c>
      <c r="J6" s="48" t="s">
        <v>36</v>
      </c>
      <c r="K6" s="48" t="s">
        <v>36</v>
      </c>
      <c r="L6" s="48" t="s">
        <v>36</v>
      </c>
      <c r="M6" s="48"/>
      <c r="N6" s="50" t="s">
        <v>1443</v>
      </c>
      <c r="O6" s="51" t="s">
        <v>1159</v>
      </c>
      <c r="P6" s="52" t="n">
        <v>1</v>
      </c>
      <c r="Q6" s="52"/>
      <c r="R6" s="52" t="s">
        <v>1453</v>
      </c>
      <c r="S6" s="52" t="s">
        <v>1455</v>
      </c>
      <c r="T6" s="52" t="n">
        <v>1100</v>
      </c>
      <c r="U6" s="53" t="n">
        <v>0</v>
      </c>
      <c r="V6" s="54"/>
      <c r="W6" s="55"/>
      <c r="X6" s="52"/>
      <c r="Y6" s="55"/>
      <c r="Z6" s="56"/>
      <c r="AA6" s="55"/>
      <c r="AB6" s="57" t="n">
        <v>244200</v>
      </c>
      <c r="AC6" s="44"/>
      <c r="AD6" s="44"/>
      <c r="AE6" s="44" t="n">
        <v>244200</v>
      </c>
      <c r="AF6" s="44" t="s">
        <v>53</v>
      </c>
      <c r="AG6" s="44" t="n">
        <v>0</v>
      </c>
      <c r="AH6" s="58" t="s">
        <v>36</v>
      </c>
      <c r="AI6" s="44" t="n">
        <v>0</v>
      </c>
      <c r="AJ6" s="44" t="s">
        <v>36</v>
      </c>
      <c r="AK6" s="44" t="s">
        <v>47</v>
      </c>
      <c r="AL6" s="44" t="s">
        <v>36</v>
      </c>
      <c r="AM6" s="44" t="n">
        <v>1</v>
      </c>
      <c r="AN6" s="44"/>
      <c r="AO6" s="44"/>
      <c r="AP6" s="44"/>
      <c r="AQ6" s="45" t="s">
        <v>1131</v>
      </c>
      <c r="AR6" s="44" t="s">
        <v>1282</v>
      </c>
      <c r="AS6" s="44"/>
      <c r="AT6" s="44"/>
      <c r="AU6" s="44"/>
      <c r="AV6" s="44"/>
      <c r="AW6" s="44"/>
      <c r="AX6" s="44"/>
      <c r="AY6" s="44"/>
      <c r="AZ6" s="46"/>
    </row>
    <row r="7" customFormat="false" ht="18" hidden="false" customHeight="true" outlineLevel="0" collapsed="false">
      <c r="A7" s="47" t="s">
        <v>1456</v>
      </c>
      <c r="B7" s="48" t="s">
        <v>1106</v>
      </c>
      <c r="C7" s="47" t="s">
        <v>1456</v>
      </c>
      <c r="D7" s="48" t="s">
        <v>1107</v>
      </c>
      <c r="E7" s="48" t="s">
        <v>391</v>
      </c>
      <c r="F7" s="48"/>
      <c r="G7" s="49" t="s">
        <v>36</v>
      </c>
      <c r="H7" s="48" t="s">
        <v>36</v>
      </c>
      <c r="I7" s="48" t="s">
        <v>36</v>
      </c>
      <c r="J7" s="48" t="s">
        <v>36</v>
      </c>
      <c r="K7" s="48" t="s">
        <v>36</v>
      </c>
      <c r="L7" s="48" t="s">
        <v>36</v>
      </c>
      <c r="M7" s="48"/>
      <c r="N7" s="50" t="s">
        <v>1443</v>
      </c>
      <c r="O7" s="51" t="s">
        <v>1452</v>
      </c>
      <c r="P7" s="52" t="n">
        <v>1</v>
      </c>
      <c r="Q7" s="52"/>
      <c r="R7" s="52" t="s">
        <v>1453</v>
      </c>
      <c r="S7" s="52" t="s">
        <v>1455</v>
      </c>
      <c r="T7" s="52" t="n">
        <v>1400</v>
      </c>
      <c r="U7" s="53" t="n">
        <v>0</v>
      </c>
      <c r="V7" s="54"/>
      <c r="W7" s="55"/>
      <c r="X7" s="52"/>
      <c r="Y7" s="55"/>
      <c r="Z7" s="56"/>
      <c r="AA7" s="55"/>
      <c r="AB7" s="57" t="n">
        <v>310800</v>
      </c>
      <c r="AC7" s="44"/>
      <c r="AD7" s="44"/>
      <c r="AE7" s="44" t="n">
        <v>310800</v>
      </c>
      <c r="AF7" s="44" t="s">
        <v>53</v>
      </c>
      <c r="AG7" s="44" t="n">
        <v>0</v>
      </c>
      <c r="AH7" s="58" t="s">
        <v>36</v>
      </c>
      <c r="AI7" s="44" t="n">
        <v>0</v>
      </c>
      <c r="AJ7" s="44" t="s">
        <v>36</v>
      </c>
      <c r="AK7" s="44" t="s">
        <v>47</v>
      </c>
      <c r="AL7" s="44" t="s">
        <v>36</v>
      </c>
      <c r="AM7" s="44" t="n">
        <v>1</v>
      </c>
      <c r="AN7" s="44"/>
      <c r="AO7" s="44"/>
      <c r="AP7" s="44"/>
      <c r="AQ7" s="45" t="s">
        <v>1105</v>
      </c>
      <c r="AR7" s="44" t="s">
        <v>1282</v>
      </c>
      <c r="AS7" s="44"/>
      <c r="AT7" s="44"/>
      <c r="AU7" s="44"/>
      <c r="AV7" s="44"/>
      <c r="AW7" s="44"/>
      <c r="AX7" s="44"/>
      <c r="AY7" s="44"/>
      <c r="AZ7" s="46"/>
    </row>
    <row r="8" customFormat="false" ht="18" hidden="false" customHeight="true" outlineLevel="0" collapsed="false">
      <c r="A8" s="47" t="s">
        <v>1437</v>
      </c>
      <c r="B8" s="48" t="s">
        <v>1114</v>
      </c>
      <c r="C8" s="47" t="s">
        <v>1437</v>
      </c>
      <c r="D8" s="48" t="s">
        <v>1115</v>
      </c>
      <c r="E8" s="48" t="s">
        <v>1457</v>
      </c>
      <c r="F8" s="48" t="s">
        <v>1451</v>
      </c>
      <c r="G8" s="49" t="s">
        <v>36</v>
      </c>
      <c r="H8" s="48" t="s">
        <v>36</v>
      </c>
      <c r="I8" s="48" t="s">
        <v>36</v>
      </c>
      <c r="J8" s="48" t="s">
        <v>36</v>
      </c>
      <c r="K8" s="48" t="s">
        <v>36</v>
      </c>
      <c r="L8" s="48" t="s">
        <v>36</v>
      </c>
      <c r="M8" s="48"/>
      <c r="N8" s="50" t="s">
        <v>1443</v>
      </c>
      <c r="O8" s="51" t="s">
        <v>1452</v>
      </c>
      <c r="P8" s="52" t="n">
        <v>1</v>
      </c>
      <c r="Q8" s="51"/>
      <c r="R8" s="52" t="s">
        <v>1453</v>
      </c>
      <c r="S8" s="52" t="s">
        <v>1455</v>
      </c>
      <c r="T8" s="52" t="n">
        <v>1250</v>
      </c>
      <c r="U8" s="53" t="n">
        <v>0</v>
      </c>
      <c r="V8" s="54"/>
      <c r="W8" s="55"/>
      <c r="X8" s="52"/>
      <c r="Y8" s="55"/>
      <c r="Z8" s="56"/>
      <c r="AA8" s="55"/>
      <c r="AB8" s="57" t="n">
        <v>277500</v>
      </c>
      <c r="AC8" s="44"/>
      <c r="AD8" s="44"/>
      <c r="AE8" s="44" t="n">
        <v>277500</v>
      </c>
      <c r="AF8" s="44" t="s">
        <v>53</v>
      </c>
      <c r="AG8" s="44" t="n">
        <v>0</v>
      </c>
      <c r="AH8" s="58" t="s">
        <v>36</v>
      </c>
      <c r="AI8" s="44" t="n">
        <v>0</v>
      </c>
      <c r="AJ8" s="44" t="s">
        <v>36</v>
      </c>
      <c r="AK8" s="44" t="s">
        <v>47</v>
      </c>
      <c r="AL8" s="44" t="s">
        <v>36</v>
      </c>
      <c r="AM8" s="44" t="n">
        <v>1</v>
      </c>
      <c r="AN8" s="44"/>
      <c r="AO8" s="44"/>
      <c r="AP8" s="44"/>
      <c r="AQ8" s="45" t="s">
        <v>1113</v>
      </c>
      <c r="AR8" s="44" t="s">
        <v>1282</v>
      </c>
      <c r="AS8" s="44"/>
      <c r="AT8" s="44"/>
      <c r="AU8" s="44"/>
      <c r="AV8" s="44"/>
      <c r="AW8" s="44"/>
      <c r="AX8" s="44"/>
      <c r="AY8" s="44"/>
      <c r="AZ8" s="46"/>
    </row>
    <row r="9" customFormat="false" ht="18" hidden="false" customHeight="true" outlineLevel="0" collapsed="false">
      <c r="A9" s="47" t="s">
        <v>1437</v>
      </c>
      <c r="B9" s="48" t="s">
        <v>1109</v>
      </c>
      <c r="C9" s="47" t="s">
        <v>1437</v>
      </c>
      <c r="D9" s="48" t="s">
        <v>1110</v>
      </c>
      <c r="E9" s="48" t="s">
        <v>1457</v>
      </c>
      <c r="F9" s="48" t="s">
        <v>1451</v>
      </c>
      <c r="G9" s="49" t="s">
        <v>36</v>
      </c>
      <c r="H9" s="48" t="s">
        <v>36</v>
      </c>
      <c r="I9" s="48" t="s">
        <v>36</v>
      </c>
      <c r="J9" s="48" t="s">
        <v>36</v>
      </c>
      <c r="K9" s="48" t="s">
        <v>36</v>
      </c>
      <c r="L9" s="48" t="s">
        <v>36</v>
      </c>
      <c r="M9" s="48"/>
      <c r="N9" s="50" t="s">
        <v>1458</v>
      </c>
      <c r="O9" s="51" t="s">
        <v>1159</v>
      </c>
      <c r="P9" s="52" t="n">
        <v>1</v>
      </c>
      <c r="Q9" s="52"/>
      <c r="R9" s="52" t="s">
        <v>1453</v>
      </c>
      <c r="S9" s="52" t="s">
        <v>1454</v>
      </c>
      <c r="T9" s="52" t="n">
        <v>1357</v>
      </c>
      <c r="U9" s="53" t="n">
        <v>0</v>
      </c>
      <c r="V9" s="54"/>
      <c r="W9" s="55"/>
      <c r="X9" s="52"/>
      <c r="Y9" s="55"/>
      <c r="Z9" s="56"/>
      <c r="AA9" s="55"/>
      <c r="AB9" s="57" t="n">
        <v>301254</v>
      </c>
      <c r="AC9" s="44"/>
      <c r="AD9" s="44"/>
      <c r="AE9" s="44" t="n">
        <v>301254</v>
      </c>
      <c r="AF9" s="44" t="s">
        <v>53</v>
      </c>
      <c r="AG9" s="44" t="n">
        <v>0</v>
      </c>
      <c r="AH9" s="58" t="s">
        <v>36</v>
      </c>
      <c r="AI9" s="44" t="n">
        <v>0</v>
      </c>
      <c r="AJ9" s="44" t="s">
        <v>36</v>
      </c>
      <c r="AK9" s="44" t="s">
        <v>47</v>
      </c>
      <c r="AL9" s="44" t="s">
        <v>36</v>
      </c>
      <c r="AM9" s="44" t="n">
        <v>1</v>
      </c>
      <c r="AN9" s="44"/>
      <c r="AO9" s="44"/>
      <c r="AP9" s="44"/>
      <c r="AQ9" s="45" t="s">
        <v>1108</v>
      </c>
      <c r="AR9" s="44" t="s">
        <v>1282</v>
      </c>
      <c r="AS9" s="44"/>
      <c r="AT9" s="44"/>
      <c r="AU9" s="44"/>
      <c r="AV9" s="44"/>
      <c r="AW9" s="44"/>
      <c r="AX9" s="44"/>
      <c r="AY9" s="44"/>
      <c r="AZ9" s="46"/>
    </row>
    <row r="10" customFormat="false" ht="18" hidden="false" customHeight="true" outlineLevel="0" collapsed="false">
      <c r="A10" s="47" t="s">
        <v>1437</v>
      </c>
      <c r="B10" s="48" t="s">
        <v>1097</v>
      </c>
      <c r="C10" s="47" t="s">
        <v>1437</v>
      </c>
      <c r="D10" s="48" t="s">
        <v>1098</v>
      </c>
      <c r="E10" s="48" t="s">
        <v>1457</v>
      </c>
      <c r="F10" s="48" t="s">
        <v>1451</v>
      </c>
      <c r="G10" s="49" t="s">
        <v>36</v>
      </c>
      <c r="H10" s="48" t="s">
        <v>36</v>
      </c>
      <c r="I10" s="48" t="s">
        <v>36</v>
      </c>
      <c r="J10" s="48" t="s">
        <v>36</v>
      </c>
      <c r="K10" s="48" t="s">
        <v>36</v>
      </c>
      <c r="L10" s="48" t="s">
        <v>36</v>
      </c>
      <c r="M10" s="48"/>
      <c r="N10" s="50" t="s">
        <v>1443</v>
      </c>
      <c r="O10" s="51" t="s">
        <v>1159</v>
      </c>
      <c r="P10" s="52" t="n">
        <v>1</v>
      </c>
      <c r="Q10" s="52"/>
      <c r="R10" s="52" t="s">
        <v>1453</v>
      </c>
      <c r="S10" s="52" t="s">
        <v>1455</v>
      </c>
      <c r="T10" s="52" t="n">
        <v>1545.76</v>
      </c>
      <c r="U10" s="53" t="n">
        <v>0</v>
      </c>
      <c r="V10" s="54"/>
      <c r="W10" s="55"/>
      <c r="X10" s="52"/>
      <c r="Y10" s="55"/>
      <c r="Z10" s="56"/>
      <c r="AA10" s="55"/>
      <c r="AB10" s="57" t="n">
        <v>343158.72</v>
      </c>
      <c r="AC10" s="44"/>
      <c r="AD10" s="44"/>
      <c r="AE10" s="44" t="n">
        <v>343158.72</v>
      </c>
      <c r="AF10" s="44" t="s">
        <v>53</v>
      </c>
      <c r="AG10" s="44" t="n">
        <v>0</v>
      </c>
      <c r="AH10" s="58" t="s">
        <v>36</v>
      </c>
      <c r="AI10" s="44" t="n">
        <v>0</v>
      </c>
      <c r="AJ10" s="44" t="s">
        <v>36</v>
      </c>
      <c r="AK10" s="44" t="s">
        <v>47</v>
      </c>
      <c r="AL10" s="44" t="s">
        <v>36</v>
      </c>
      <c r="AM10" s="44" t="n">
        <v>1</v>
      </c>
      <c r="AN10" s="44"/>
      <c r="AO10" s="44"/>
      <c r="AP10" s="44"/>
      <c r="AQ10" s="45" t="s">
        <v>1096</v>
      </c>
      <c r="AR10" s="44" t="s">
        <v>1282</v>
      </c>
      <c r="AS10" s="44"/>
      <c r="AT10" s="44"/>
      <c r="AU10" s="44"/>
      <c r="AV10" s="44"/>
      <c r="AW10" s="44"/>
      <c r="AX10" s="44"/>
      <c r="AY10" s="44"/>
      <c r="AZ10" s="46"/>
    </row>
    <row r="11" customFormat="false" ht="18" hidden="false" customHeight="true" outlineLevel="0" collapsed="false">
      <c r="A11" s="47" t="s">
        <v>1437</v>
      </c>
      <c r="B11" s="48" t="s">
        <v>1123</v>
      </c>
      <c r="C11" s="47" t="s">
        <v>1437</v>
      </c>
      <c r="D11" s="48" t="s">
        <v>1124</v>
      </c>
      <c r="E11" s="48" t="s">
        <v>1457</v>
      </c>
      <c r="F11" s="48" t="s">
        <v>1451</v>
      </c>
      <c r="G11" s="49" t="s">
        <v>36</v>
      </c>
      <c r="H11" s="48" t="s">
        <v>36</v>
      </c>
      <c r="I11" s="48" t="s">
        <v>36</v>
      </c>
      <c r="J11" s="48" t="s">
        <v>36</v>
      </c>
      <c r="K11" s="48" t="s">
        <v>36</v>
      </c>
      <c r="L11" s="48" t="s">
        <v>36</v>
      </c>
      <c r="M11" s="48"/>
      <c r="N11" s="50" t="s">
        <v>1443</v>
      </c>
      <c r="O11" s="51" t="s">
        <v>1452</v>
      </c>
      <c r="P11" s="52" t="n">
        <v>1</v>
      </c>
      <c r="Q11" s="51"/>
      <c r="R11" s="52" t="s">
        <v>1453</v>
      </c>
      <c r="S11" s="52" t="s">
        <v>1454</v>
      </c>
      <c r="T11" s="52" t="n">
        <v>1200</v>
      </c>
      <c r="U11" s="53" t="n">
        <v>0</v>
      </c>
      <c r="V11" s="54"/>
      <c r="W11" s="55"/>
      <c r="X11" s="52"/>
      <c r="Y11" s="55"/>
      <c r="Z11" s="56"/>
      <c r="AA11" s="55"/>
      <c r="AB11" s="57" t="n">
        <v>266400</v>
      </c>
      <c r="AC11" s="44"/>
      <c r="AD11" s="44"/>
      <c r="AE11" s="44" t="n">
        <v>266400</v>
      </c>
      <c r="AF11" s="44" t="s">
        <v>53</v>
      </c>
      <c r="AG11" s="44" t="n">
        <v>0</v>
      </c>
      <c r="AH11" s="58" t="s">
        <v>36</v>
      </c>
      <c r="AI11" s="44" t="n">
        <v>0</v>
      </c>
      <c r="AJ11" s="44" t="s">
        <v>36</v>
      </c>
      <c r="AK11" s="44" t="s">
        <v>47</v>
      </c>
      <c r="AL11" s="44" t="s">
        <v>36</v>
      </c>
      <c r="AM11" s="44" t="n">
        <v>1</v>
      </c>
      <c r="AN11" s="44"/>
      <c r="AO11" s="44"/>
      <c r="AP11" s="44"/>
      <c r="AQ11" s="45" t="s">
        <v>1122</v>
      </c>
      <c r="AR11" s="44" t="s">
        <v>1282</v>
      </c>
      <c r="AS11" s="44"/>
      <c r="AT11" s="44"/>
      <c r="AU11" s="44"/>
      <c r="AV11" s="44"/>
      <c r="AW11" s="44"/>
      <c r="AX11" s="44"/>
      <c r="AY11" s="44"/>
      <c r="AZ11" s="46"/>
    </row>
    <row r="12" customFormat="false" ht="18" hidden="false" customHeight="true" outlineLevel="0" collapsed="false">
      <c r="A12" s="47" t="s">
        <v>1456</v>
      </c>
      <c r="B12" s="48" t="s">
        <v>1094</v>
      </c>
      <c r="C12" s="47" t="s">
        <v>1456</v>
      </c>
      <c r="D12" s="48" t="s">
        <v>1095</v>
      </c>
      <c r="E12" s="48" t="s">
        <v>1457</v>
      </c>
      <c r="F12" s="48" t="s">
        <v>1451</v>
      </c>
      <c r="G12" s="49" t="s">
        <v>36</v>
      </c>
      <c r="H12" s="48" t="s">
        <v>36</v>
      </c>
      <c r="I12" s="48" t="s">
        <v>36</v>
      </c>
      <c r="J12" s="48" t="s">
        <v>36</v>
      </c>
      <c r="K12" s="48" t="s">
        <v>36</v>
      </c>
      <c r="L12" s="48" t="s">
        <v>36</v>
      </c>
      <c r="M12" s="48"/>
      <c r="N12" s="50" t="s">
        <v>1443</v>
      </c>
      <c r="O12" s="51" t="s">
        <v>1452</v>
      </c>
      <c r="P12" s="52" t="n">
        <v>1</v>
      </c>
      <c r="Q12" s="52"/>
      <c r="R12" s="52" t="s">
        <v>1453</v>
      </c>
      <c r="S12" s="52" t="s">
        <v>1454</v>
      </c>
      <c r="T12" s="52" t="n">
        <v>2200</v>
      </c>
      <c r="U12" s="53" t="n">
        <v>0</v>
      </c>
      <c r="V12" s="54"/>
      <c r="W12" s="55"/>
      <c r="X12" s="52"/>
      <c r="Y12" s="55"/>
      <c r="Z12" s="56"/>
      <c r="AA12" s="55"/>
      <c r="AB12" s="57" t="n">
        <v>488400</v>
      </c>
      <c r="AC12" s="44"/>
      <c r="AD12" s="44"/>
      <c r="AE12" s="44" t="n">
        <v>488400</v>
      </c>
      <c r="AF12" s="44" t="s">
        <v>53</v>
      </c>
      <c r="AG12" s="44" t="n">
        <v>0</v>
      </c>
      <c r="AH12" s="58" t="s">
        <v>36</v>
      </c>
      <c r="AI12" s="44" t="n">
        <v>0</v>
      </c>
      <c r="AJ12" s="44" t="s">
        <v>36</v>
      </c>
      <c r="AK12" s="44" t="s">
        <v>47</v>
      </c>
      <c r="AL12" s="44" t="s">
        <v>36</v>
      </c>
      <c r="AM12" s="44" t="n">
        <v>1</v>
      </c>
      <c r="AN12" s="44"/>
      <c r="AO12" s="44"/>
      <c r="AP12" s="44"/>
      <c r="AQ12" s="45" t="s">
        <v>1093</v>
      </c>
      <c r="AR12" s="44" t="s">
        <v>1282</v>
      </c>
      <c r="AS12" s="44"/>
      <c r="AT12" s="44"/>
      <c r="AU12" s="44"/>
      <c r="AV12" s="44"/>
      <c r="AW12" s="44"/>
      <c r="AX12" s="44"/>
      <c r="AY12" s="44"/>
      <c r="AZ12" s="46"/>
    </row>
    <row r="13" customFormat="false" ht="18" hidden="false" customHeight="true" outlineLevel="0" collapsed="false">
      <c r="A13" s="47" t="s">
        <v>1456</v>
      </c>
      <c r="B13" s="48" t="s">
        <v>1112</v>
      </c>
      <c r="C13" s="47" t="s">
        <v>1456</v>
      </c>
      <c r="D13" s="48" t="s">
        <v>1110</v>
      </c>
      <c r="E13" s="48" t="s">
        <v>1457</v>
      </c>
      <c r="F13" s="48" t="s">
        <v>1451</v>
      </c>
      <c r="G13" s="49" t="s">
        <v>36</v>
      </c>
      <c r="H13" s="48" t="s">
        <v>36</v>
      </c>
      <c r="I13" s="48" t="s">
        <v>36</v>
      </c>
      <c r="J13" s="48" t="s">
        <v>36</v>
      </c>
      <c r="K13" s="48" t="s">
        <v>36</v>
      </c>
      <c r="L13" s="48" t="s">
        <v>36</v>
      </c>
      <c r="M13" s="48"/>
      <c r="N13" s="50" t="s">
        <v>1458</v>
      </c>
      <c r="O13" s="51" t="s">
        <v>1452</v>
      </c>
      <c r="P13" s="52" t="n">
        <v>1</v>
      </c>
      <c r="Q13" s="51"/>
      <c r="R13" s="52" t="s">
        <v>1453</v>
      </c>
      <c r="S13" s="52" t="s">
        <v>1454</v>
      </c>
      <c r="T13" s="52" t="n">
        <v>1350</v>
      </c>
      <c r="U13" s="53" t="n">
        <v>0</v>
      </c>
      <c r="V13" s="54"/>
      <c r="W13" s="55"/>
      <c r="X13" s="52"/>
      <c r="Y13" s="55"/>
      <c r="Z13" s="56"/>
      <c r="AA13" s="55"/>
      <c r="AB13" s="57" t="n">
        <v>299700</v>
      </c>
      <c r="AC13" s="44"/>
      <c r="AD13" s="44"/>
      <c r="AE13" s="44" t="n">
        <v>299700</v>
      </c>
      <c r="AF13" s="44" t="s">
        <v>53</v>
      </c>
      <c r="AG13" s="44" t="n">
        <v>0</v>
      </c>
      <c r="AH13" s="58" t="s">
        <v>36</v>
      </c>
      <c r="AI13" s="44" t="n">
        <v>0</v>
      </c>
      <c r="AJ13" s="44" t="s">
        <v>36</v>
      </c>
      <c r="AK13" s="44" t="s">
        <v>47</v>
      </c>
      <c r="AL13" s="44" t="s">
        <v>36</v>
      </c>
      <c r="AM13" s="44" t="n">
        <v>1</v>
      </c>
      <c r="AN13" s="44"/>
      <c r="AO13" s="44"/>
      <c r="AP13" s="44"/>
      <c r="AQ13" s="45" t="s">
        <v>1111</v>
      </c>
      <c r="AR13" s="44" t="s">
        <v>1282</v>
      </c>
      <c r="AS13" s="44"/>
      <c r="AT13" s="44"/>
      <c r="AU13" s="44"/>
      <c r="AV13" s="44"/>
      <c r="AW13" s="44"/>
      <c r="AX13" s="44"/>
      <c r="AY13" s="44"/>
      <c r="AZ13" s="46"/>
    </row>
    <row r="14" customFormat="false" ht="18" hidden="false" customHeight="true" outlineLevel="0" collapsed="false">
      <c r="A14" s="47" t="s">
        <v>1456</v>
      </c>
      <c r="B14" s="48" t="s">
        <v>1138</v>
      </c>
      <c r="C14" s="47" t="s">
        <v>1456</v>
      </c>
      <c r="D14" s="48" t="s">
        <v>1110</v>
      </c>
      <c r="E14" s="48" t="s">
        <v>1457</v>
      </c>
      <c r="F14" s="48" t="s">
        <v>1451</v>
      </c>
      <c r="G14" s="49" t="s">
        <v>36</v>
      </c>
      <c r="H14" s="48" t="s">
        <v>36</v>
      </c>
      <c r="I14" s="48" t="s">
        <v>36</v>
      </c>
      <c r="J14" s="48" t="s">
        <v>36</v>
      </c>
      <c r="K14" s="48" t="s">
        <v>36</v>
      </c>
      <c r="L14" s="48" t="s">
        <v>36</v>
      </c>
      <c r="M14" s="48"/>
      <c r="N14" s="50" t="s">
        <v>1443</v>
      </c>
      <c r="O14" s="51" t="s">
        <v>1452</v>
      </c>
      <c r="P14" s="52" t="n">
        <v>1</v>
      </c>
      <c r="Q14" s="51"/>
      <c r="R14" s="52" t="s">
        <v>1453</v>
      </c>
      <c r="S14" s="52" t="s">
        <v>1455</v>
      </c>
      <c r="T14" s="52" t="n">
        <v>1038</v>
      </c>
      <c r="U14" s="53" t="n">
        <v>0</v>
      </c>
      <c r="V14" s="54"/>
      <c r="W14" s="55"/>
      <c r="X14" s="52"/>
      <c r="Y14" s="55"/>
      <c r="Z14" s="56"/>
      <c r="AA14" s="55"/>
      <c r="AB14" s="57" t="n">
        <v>230436</v>
      </c>
      <c r="AC14" s="44"/>
      <c r="AD14" s="44"/>
      <c r="AE14" s="44" t="n">
        <v>230436</v>
      </c>
      <c r="AF14" s="44" t="s">
        <v>53</v>
      </c>
      <c r="AG14" s="44" t="n">
        <v>0</v>
      </c>
      <c r="AH14" s="58" t="s">
        <v>36</v>
      </c>
      <c r="AI14" s="44" t="n">
        <v>0</v>
      </c>
      <c r="AJ14" s="44" t="s">
        <v>36</v>
      </c>
      <c r="AK14" s="44" t="s">
        <v>47</v>
      </c>
      <c r="AL14" s="44" t="s">
        <v>36</v>
      </c>
      <c r="AM14" s="44" t="n">
        <v>1</v>
      </c>
      <c r="AN14" s="44"/>
      <c r="AO14" s="44"/>
      <c r="AP14" s="44"/>
      <c r="AQ14" s="45" t="s">
        <v>1137</v>
      </c>
      <c r="AR14" s="44" t="s">
        <v>1282</v>
      </c>
      <c r="AS14" s="44"/>
      <c r="AT14" s="44"/>
      <c r="AU14" s="44"/>
      <c r="AV14" s="44"/>
      <c r="AW14" s="44"/>
      <c r="AX14" s="44"/>
      <c r="AY14" s="44"/>
      <c r="AZ14" s="46"/>
    </row>
    <row r="15" customFormat="false" ht="18" hidden="false" customHeight="true" outlineLevel="0" collapsed="false">
      <c r="A15" s="47" t="s">
        <v>1456</v>
      </c>
      <c r="B15" s="48" t="s">
        <v>1126</v>
      </c>
      <c r="C15" s="47" t="s">
        <v>1456</v>
      </c>
      <c r="D15" s="48" t="s">
        <v>1127</v>
      </c>
      <c r="E15" s="48" t="s">
        <v>1459</v>
      </c>
      <c r="F15" s="48"/>
      <c r="G15" s="49" t="s">
        <v>36</v>
      </c>
      <c r="H15" s="48"/>
      <c r="I15" s="48"/>
      <c r="J15" s="48"/>
      <c r="K15" s="48" t="s">
        <v>36</v>
      </c>
      <c r="L15" s="48" t="s">
        <v>36</v>
      </c>
      <c r="M15" s="48"/>
      <c r="N15" s="50" t="s">
        <v>1443</v>
      </c>
      <c r="O15" s="51" t="s">
        <v>1452</v>
      </c>
      <c r="P15" s="52" t="n">
        <v>1</v>
      </c>
      <c r="Q15" s="52"/>
      <c r="R15" s="52" t="s">
        <v>1453</v>
      </c>
      <c r="S15" s="52" t="s">
        <v>1455</v>
      </c>
      <c r="T15" s="52" t="n">
        <v>1200</v>
      </c>
      <c r="U15" s="53" t="n">
        <v>0</v>
      </c>
      <c r="V15" s="54"/>
      <c r="W15" s="55"/>
      <c r="X15" s="52"/>
      <c r="Y15" s="55"/>
      <c r="Z15" s="56"/>
      <c r="AA15" s="55"/>
      <c r="AB15" s="57" t="n">
        <v>266400</v>
      </c>
      <c r="AC15" s="44"/>
      <c r="AD15" s="44"/>
      <c r="AE15" s="44" t="n">
        <v>266400</v>
      </c>
      <c r="AF15" s="44" t="s">
        <v>53</v>
      </c>
      <c r="AG15" s="44" t="n">
        <v>0</v>
      </c>
      <c r="AH15" s="58" t="s">
        <v>36</v>
      </c>
      <c r="AI15" s="44" t="n">
        <v>0</v>
      </c>
      <c r="AJ15" s="44" t="s">
        <v>36</v>
      </c>
      <c r="AK15" s="44" t="s">
        <v>47</v>
      </c>
      <c r="AL15" s="44" t="s">
        <v>36</v>
      </c>
      <c r="AM15" s="44" t="n">
        <v>1</v>
      </c>
      <c r="AN15" s="44"/>
      <c r="AO15" s="44"/>
      <c r="AP15" s="44"/>
      <c r="AQ15" s="45" t="s">
        <v>1125</v>
      </c>
      <c r="AR15" s="44" t="s">
        <v>1282</v>
      </c>
      <c r="AS15" s="44"/>
      <c r="AT15" s="44"/>
      <c r="AU15" s="44"/>
      <c r="AV15" s="44"/>
      <c r="AW15" s="44"/>
      <c r="AX15" s="44"/>
      <c r="AY15" s="44"/>
      <c r="AZ15" s="46"/>
    </row>
    <row r="16" customFormat="false" ht="18" hidden="false" customHeight="true" outlineLevel="0" collapsed="false">
      <c r="A16" s="47" t="s">
        <v>1437</v>
      </c>
      <c r="B16" s="48" t="s">
        <v>692</v>
      </c>
      <c r="C16" s="47" t="s">
        <v>1437</v>
      </c>
      <c r="D16" s="48" t="s">
        <v>693</v>
      </c>
      <c r="E16" s="48" t="s">
        <v>730</v>
      </c>
      <c r="F16" s="48" t="s">
        <v>1460</v>
      </c>
      <c r="G16" s="49" t="s">
        <v>1461</v>
      </c>
      <c r="H16" s="48" t="s">
        <v>1161</v>
      </c>
      <c r="I16" s="48" t="s">
        <v>1462</v>
      </c>
      <c r="J16" s="48" t="s">
        <v>24</v>
      </c>
      <c r="K16" s="48" t="s">
        <v>1158</v>
      </c>
      <c r="L16" s="48" t="s">
        <v>1158</v>
      </c>
      <c r="M16" s="48"/>
      <c r="N16" s="50" t="s">
        <v>1443</v>
      </c>
      <c r="O16" s="51" t="s">
        <v>1159</v>
      </c>
      <c r="P16" s="52" t="n">
        <v>1</v>
      </c>
      <c r="Q16" s="52"/>
      <c r="R16" s="52" t="s">
        <v>1453</v>
      </c>
      <c r="S16" s="52" t="s">
        <v>1455</v>
      </c>
      <c r="T16" s="52" t="n">
        <v>890</v>
      </c>
      <c r="U16" s="53" t="n">
        <v>0</v>
      </c>
      <c r="V16" s="54"/>
      <c r="W16" s="55"/>
      <c r="X16" s="52"/>
      <c r="Y16" s="55"/>
      <c r="Z16" s="56"/>
      <c r="AA16" s="55"/>
      <c r="AB16" s="57" t="n">
        <v>197580</v>
      </c>
      <c r="AC16" s="44"/>
      <c r="AD16" s="44"/>
      <c r="AE16" s="44" t="n">
        <v>197580</v>
      </c>
      <c r="AF16" s="44" t="s">
        <v>53</v>
      </c>
      <c r="AG16" s="44" t="n">
        <v>0</v>
      </c>
      <c r="AH16" s="58" t="s">
        <v>24</v>
      </c>
      <c r="AI16" s="44" t="n">
        <v>0</v>
      </c>
      <c r="AJ16" s="44" t="s">
        <v>689</v>
      </c>
      <c r="AK16" s="44" t="s">
        <v>47</v>
      </c>
      <c r="AL16" s="44" t="s">
        <v>689</v>
      </c>
      <c r="AM16" s="44" t="n">
        <v>0</v>
      </c>
      <c r="AN16" s="44"/>
      <c r="AO16" s="44"/>
      <c r="AP16" s="44"/>
      <c r="AQ16" s="45" t="s">
        <v>691</v>
      </c>
      <c r="AR16" s="44" t="s">
        <v>1282</v>
      </c>
      <c r="AS16" s="44"/>
      <c r="AT16" s="44"/>
      <c r="AU16" s="44"/>
      <c r="AV16" s="44"/>
      <c r="AW16" s="44"/>
      <c r="AX16" s="44"/>
      <c r="AY16" s="44"/>
      <c r="AZ16" s="46"/>
    </row>
    <row r="17" customFormat="false" ht="18" hidden="false" customHeight="true" outlineLevel="0" collapsed="false">
      <c r="A17" s="47" t="s">
        <v>1463</v>
      </c>
      <c r="B17" s="48" t="s">
        <v>69</v>
      </c>
      <c r="C17" s="47" t="s">
        <v>1463</v>
      </c>
      <c r="D17" s="48" t="s">
        <v>351</v>
      </c>
      <c r="E17" s="48" t="s">
        <v>441</v>
      </c>
      <c r="F17" s="48" t="s">
        <v>1464</v>
      </c>
      <c r="G17" s="49" t="s">
        <v>1439</v>
      </c>
      <c r="H17" s="48" t="s">
        <v>1465</v>
      </c>
      <c r="I17" s="48" t="s">
        <v>1466</v>
      </c>
      <c r="J17" s="48" t="s">
        <v>18</v>
      </c>
      <c r="K17" s="48" t="s">
        <v>315</v>
      </c>
      <c r="L17" s="48" t="s">
        <v>315</v>
      </c>
      <c r="M17" s="48"/>
      <c r="N17" s="50" t="s">
        <v>1467</v>
      </c>
      <c r="O17" s="51" t="s">
        <v>1159</v>
      </c>
      <c r="P17" s="52" t="n">
        <v>1</v>
      </c>
      <c r="Q17" s="52"/>
      <c r="R17" s="52" t="s">
        <v>1468</v>
      </c>
      <c r="S17" s="52" t="n">
        <v>222</v>
      </c>
      <c r="T17" s="52" t="n">
        <v>330</v>
      </c>
      <c r="U17" s="53"/>
      <c r="V17" s="54"/>
      <c r="W17" s="55"/>
      <c r="X17" s="52"/>
      <c r="Y17" s="55"/>
      <c r="Z17" s="56"/>
      <c r="AA17" s="55"/>
      <c r="AB17" s="57" t="n">
        <v>73260</v>
      </c>
      <c r="AC17" s="44"/>
      <c r="AD17" s="44"/>
      <c r="AE17" s="44" t="n">
        <v>73260</v>
      </c>
      <c r="AF17" s="44" t="s">
        <v>69</v>
      </c>
      <c r="AG17" s="44" t="n">
        <v>0</v>
      </c>
      <c r="AH17" s="58" t="s">
        <v>1439</v>
      </c>
      <c r="AI17" s="44" t="n">
        <v>0</v>
      </c>
      <c r="AJ17" s="44" t="s">
        <v>315</v>
      </c>
      <c r="AK17" s="44" t="s">
        <v>47</v>
      </c>
      <c r="AL17" s="44" t="s">
        <v>315</v>
      </c>
      <c r="AM17" s="44" t="n">
        <v>0</v>
      </c>
      <c r="AN17" s="44" t="s">
        <v>1469</v>
      </c>
      <c r="AO17" s="44"/>
      <c r="AP17" s="44"/>
      <c r="AQ17" s="45" t="s">
        <v>350</v>
      </c>
      <c r="AR17" s="44" t="s">
        <v>1282</v>
      </c>
      <c r="AS17" s="44"/>
      <c r="AT17" s="44"/>
      <c r="AU17" s="44"/>
      <c r="AV17" s="44"/>
      <c r="AW17" s="44"/>
      <c r="AX17" s="44"/>
      <c r="AY17" s="44"/>
      <c r="AZ17" s="46"/>
    </row>
    <row r="18" customFormat="false" ht="18" hidden="false" customHeight="true" outlineLevel="0" collapsed="false">
      <c r="A18" s="47" t="s">
        <v>1463</v>
      </c>
      <c r="B18" s="48" t="s">
        <v>69</v>
      </c>
      <c r="C18" s="47" t="s">
        <v>1463</v>
      </c>
      <c r="D18" s="48" t="s">
        <v>353</v>
      </c>
      <c r="E18" s="48" t="s">
        <v>441</v>
      </c>
      <c r="F18" s="48" t="s">
        <v>1464</v>
      </c>
      <c r="G18" s="49" t="s">
        <v>1439</v>
      </c>
      <c r="H18" s="48" t="s">
        <v>1465</v>
      </c>
      <c r="I18" s="48" t="s">
        <v>1466</v>
      </c>
      <c r="J18" s="48" t="s">
        <v>18</v>
      </c>
      <c r="K18" s="48" t="s">
        <v>315</v>
      </c>
      <c r="L18" s="48" t="s">
        <v>315</v>
      </c>
      <c r="M18" s="48"/>
      <c r="N18" s="50" t="s">
        <v>1467</v>
      </c>
      <c r="O18" s="51" t="s">
        <v>1159</v>
      </c>
      <c r="P18" s="52" t="n">
        <v>1</v>
      </c>
      <c r="Q18" s="52"/>
      <c r="R18" s="52" t="s">
        <v>1468</v>
      </c>
      <c r="S18" s="52" t="n">
        <v>222</v>
      </c>
      <c r="T18" s="52" t="n">
        <v>330</v>
      </c>
      <c r="U18" s="53"/>
      <c r="V18" s="54"/>
      <c r="W18" s="55"/>
      <c r="X18" s="52"/>
      <c r="Y18" s="55"/>
      <c r="Z18" s="56"/>
      <c r="AA18" s="55"/>
      <c r="AB18" s="57" t="n">
        <v>73260</v>
      </c>
      <c r="AC18" s="44"/>
      <c r="AD18" s="44"/>
      <c r="AE18" s="44" t="n">
        <v>73260</v>
      </c>
      <c r="AF18" s="44" t="s">
        <v>69</v>
      </c>
      <c r="AG18" s="44" t="n">
        <v>0</v>
      </c>
      <c r="AH18" s="58" t="s">
        <v>1439</v>
      </c>
      <c r="AI18" s="44" t="n">
        <v>0</v>
      </c>
      <c r="AJ18" s="44" t="s">
        <v>315</v>
      </c>
      <c r="AK18" s="44" t="s">
        <v>47</v>
      </c>
      <c r="AL18" s="44" t="s">
        <v>315</v>
      </c>
      <c r="AM18" s="44" t="n">
        <v>0</v>
      </c>
      <c r="AN18" s="44" t="s">
        <v>1469</v>
      </c>
      <c r="AO18" s="44"/>
      <c r="AP18" s="44"/>
      <c r="AQ18" s="45" t="s">
        <v>352</v>
      </c>
      <c r="AR18" s="44" t="s">
        <v>1282</v>
      </c>
      <c r="AS18" s="44"/>
      <c r="AT18" s="44"/>
      <c r="AU18" s="44"/>
      <c r="AV18" s="44"/>
      <c r="AW18" s="44"/>
      <c r="AX18" s="44"/>
      <c r="AY18" s="44"/>
      <c r="AZ18" s="46"/>
    </row>
    <row r="19" customFormat="false" ht="18" hidden="false" customHeight="true" outlineLevel="0" collapsed="false">
      <c r="A19" s="47" t="s">
        <v>1437</v>
      </c>
      <c r="B19" s="48" t="s">
        <v>940</v>
      </c>
      <c r="C19" s="47" t="s">
        <v>1437</v>
      </c>
      <c r="D19" s="48" t="s">
        <v>941</v>
      </c>
      <c r="E19" s="48" t="s">
        <v>1470</v>
      </c>
      <c r="F19" s="48" t="s">
        <v>303</v>
      </c>
      <c r="G19" s="49" t="s">
        <v>1471</v>
      </c>
      <c r="H19" s="48" t="s">
        <v>1472</v>
      </c>
      <c r="I19" s="48" t="s">
        <v>1473</v>
      </c>
      <c r="J19" s="48" t="s">
        <v>1442</v>
      </c>
      <c r="K19" s="48" t="s">
        <v>36</v>
      </c>
      <c r="L19" s="48" t="s">
        <v>938</v>
      </c>
      <c r="M19" s="48"/>
      <c r="N19" s="50" t="s">
        <v>1443</v>
      </c>
      <c r="O19" s="51" t="s">
        <v>1159</v>
      </c>
      <c r="P19" s="52" t="n">
        <v>1</v>
      </c>
      <c r="Q19" s="52"/>
      <c r="R19" s="52" t="s">
        <v>1453</v>
      </c>
      <c r="S19" s="52" t="s">
        <v>1455</v>
      </c>
      <c r="T19" s="52" t="n">
        <v>1350</v>
      </c>
      <c r="U19" s="53" t="n">
        <v>0</v>
      </c>
      <c r="V19" s="54"/>
      <c r="W19" s="55"/>
      <c r="X19" s="52"/>
      <c r="Y19" s="55"/>
      <c r="Z19" s="56"/>
      <c r="AA19" s="55"/>
      <c r="AB19" s="57" t="n">
        <v>299700</v>
      </c>
      <c r="AC19" s="44"/>
      <c r="AD19" s="44"/>
      <c r="AE19" s="44" t="n">
        <v>299700</v>
      </c>
      <c r="AF19" s="44" t="s">
        <v>53</v>
      </c>
      <c r="AG19" s="44" t="n">
        <v>0</v>
      </c>
      <c r="AH19" s="58" t="s">
        <v>30</v>
      </c>
      <c r="AI19" s="44" t="n">
        <v>0</v>
      </c>
      <c r="AJ19" s="44" t="s">
        <v>938</v>
      </c>
      <c r="AK19" s="44" t="s">
        <v>47</v>
      </c>
      <c r="AL19" s="44" t="s">
        <v>938</v>
      </c>
      <c r="AM19" s="44" t="n">
        <v>1</v>
      </c>
      <c r="AN19" s="44"/>
      <c r="AO19" s="44"/>
      <c r="AP19" s="44"/>
      <c r="AQ19" s="45" t="s">
        <v>939</v>
      </c>
      <c r="AR19" s="44" t="s">
        <v>1282</v>
      </c>
      <c r="AS19" s="44"/>
      <c r="AT19" s="44"/>
      <c r="AU19" s="44"/>
      <c r="AV19" s="44"/>
      <c r="AW19" s="44"/>
      <c r="AX19" s="44"/>
      <c r="AY19" s="44"/>
      <c r="AZ19" s="46"/>
    </row>
    <row r="20" customFormat="false" ht="18" hidden="false" customHeight="true" outlineLevel="0" collapsed="false">
      <c r="A20" s="47" t="s">
        <v>1474</v>
      </c>
      <c r="B20" s="48" t="s">
        <v>394</v>
      </c>
      <c r="C20" s="47" t="s">
        <v>1474</v>
      </c>
      <c r="D20" s="48" t="s">
        <v>395</v>
      </c>
      <c r="E20" s="48" t="s">
        <v>400</v>
      </c>
      <c r="F20" s="48" t="s">
        <v>1475</v>
      </c>
      <c r="G20" s="49" t="s">
        <v>1439</v>
      </c>
      <c r="H20" s="48" t="s">
        <v>1440</v>
      </c>
      <c r="I20" s="48" t="s">
        <v>1476</v>
      </c>
      <c r="J20" s="48" t="s">
        <v>18</v>
      </c>
      <c r="K20" s="48" t="s">
        <v>1150</v>
      </c>
      <c r="L20" s="48" t="s">
        <v>308</v>
      </c>
      <c r="M20" s="48"/>
      <c r="N20" s="50" t="s">
        <v>1467</v>
      </c>
      <c r="O20" s="51" t="s">
        <v>1159</v>
      </c>
      <c r="P20" s="52" t="n">
        <v>1</v>
      </c>
      <c r="Q20" s="52"/>
      <c r="R20" s="52" t="s">
        <v>1477</v>
      </c>
      <c r="S20" s="52" t="n">
        <v>222</v>
      </c>
      <c r="T20" s="52" t="n">
        <v>330</v>
      </c>
      <c r="U20" s="53"/>
      <c r="V20" s="54"/>
      <c r="W20" s="55"/>
      <c r="X20" s="52"/>
      <c r="Y20" s="55"/>
      <c r="Z20" s="56"/>
      <c r="AA20" s="55"/>
      <c r="AB20" s="57" t="n">
        <v>73260</v>
      </c>
      <c r="AC20" s="44"/>
      <c r="AD20" s="44"/>
      <c r="AE20" s="44" t="n">
        <v>73260</v>
      </c>
      <c r="AF20" s="44" t="s">
        <v>53</v>
      </c>
      <c r="AG20" s="44" t="n">
        <v>0</v>
      </c>
      <c r="AH20" s="58" t="s">
        <v>1439</v>
      </c>
      <c r="AI20" s="44" t="n">
        <v>0</v>
      </c>
      <c r="AJ20" s="44" t="s">
        <v>308</v>
      </c>
      <c r="AK20" s="44" t="s">
        <v>47</v>
      </c>
      <c r="AL20" s="44" t="s">
        <v>308</v>
      </c>
      <c r="AM20" s="44" t="n">
        <v>0</v>
      </c>
      <c r="AN20" s="44" t="s">
        <v>53</v>
      </c>
      <c r="AO20" s="44"/>
      <c r="AP20" s="44"/>
      <c r="AQ20" s="45" t="s">
        <v>393</v>
      </c>
      <c r="AR20" s="44" t="s">
        <v>1282</v>
      </c>
      <c r="AS20" s="44"/>
      <c r="AT20" s="44"/>
      <c r="AU20" s="44"/>
      <c r="AV20" s="44"/>
      <c r="AW20" s="44"/>
      <c r="AX20" s="44"/>
      <c r="AY20" s="44"/>
      <c r="AZ20" s="46"/>
    </row>
    <row r="21" customFormat="false" ht="18" hidden="false" customHeight="true" outlineLevel="0" collapsed="false">
      <c r="A21" s="47" t="s">
        <v>1463</v>
      </c>
      <c r="B21" s="48" t="s">
        <v>69</v>
      </c>
      <c r="C21" s="47" t="s">
        <v>1463</v>
      </c>
      <c r="D21" s="48" t="s">
        <v>395</v>
      </c>
      <c r="E21" s="48" t="s">
        <v>400</v>
      </c>
      <c r="F21" s="48" t="s">
        <v>1475</v>
      </c>
      <c r="G21" s="49" t="s">
        <v>1439</v>
      </c>
      <c r="H21" s="48" t="s">
        <v>1440</v>
      </c>
      <c r="I21" s="48" t="s">
        <v>1476</v>
      </c>
      <c r="J21" s="48" t="s">
        <v>18</v>
      </c>
      <c r="K21" s="48" t="s">
        <v>1150</v>
      </c>
      <c r="L21" s="48" t="s">
        <v>308</v>
      </c>
      <c r="M21" s="48"/>
      <c r="N21" s="50" t="s">
        <v>1467</v>
      </c>
      <c r="O21" s="51" t="s">
        <v>1159</v>
      </c>
      <c r="P21" s="52" t="n">
        <v>1</v>
      </c>
      <c r="Q21" s="52"/>
      <c r="R21" s="52" t="s">
        <v>1468</v>
      </c>
      <c r="S21" s="52" t="n">
        <v>222</v>
      </c>
      <c r="T21" s="52" t="n">
        <v>330</v>
      </c>
      <c r="U21" s="53"/>
      <c r="V21" s="54"/>
      <c r="W21" s="55"/>
      <c r="X21" s="52"/>
      <c r="Y21" s="55"/>
      <c r="Z21" s="56"/>
      <c r="AA21" s="55"/>
      <c r="AB21" s="57" t="n">
        <v>73260</v>
      </c>
      <c r="AC21" s="44"/>
      <c r="AD21" s="44"/>
      <c r="AE21" s="44" t="n">
        <v>73260</v>
      </c>
      <c r="AF21" s="44" t="s">
        <v>69</v>
      </c>
      <c r="AG21" s="44" t="n">
        <v>0</v>
      </c>
      <c r="AH21" s="58" t="s">
        <v>1439</v>
      </c>
      <c r="AI21" s="44" t="n">
        <v>0</v>
      </c>
      <c r="AJ21" s="44" t="s">
        <v>308</v>
      </c>
      <c r="AK21" s="44" t="s">
        <v>47</v>
      </c>
      <c r="AL21" s="44" t="s">
        <v>308</v>
      </c>
      <c r="AM21" s="44" t="n">
        <v>0</v>
      </c>
      <c r="AN21" s="44" t="s">
        <v>1469</v>
      </c>
      <c r="AO21" s="44"/>
      <c r="AP21" s="44"/>
      <c r="AQ21" s="45" t="s">
        <v>396</v>
      </c>
      <c r="AR21" s="44" t="s">
        <v>1282</v>
      </c>
      <c r="AS21" s="44"/>
      <c r="AT21" s="44"/>
      <c r="AU21" s="44"/>
      <c r="AV21" s="44"/>
      <c r="AW21" s="44"/>
      <c r="AX21" s="44"/>
      <c r="AY21" s="44"/>
      <c r="AZ21" s="46"/>
    </row>
    <row r="22" customFormat="false" ht="18" hidden="false" customHeight="true" outlineLevel="0" collapsed="false">
      <c r="A22" s="47" t="s">
        <v>1463</v>
      </c>
      <c r="B22" s="48" t="s">
        <v>69</v>
      </c>
      <c r="C22" s="47" t="s">
        <v>1463</v>
      </c>
      <c r="D22" s="48" t="s">
        <v>395</v>
      </c>
      <c r="E22" s="48" t="s">
        <v>400</v>
      </c>
      <c r="F22" s="48" t="s">
        <v>1475</v>
      </c>
      <c r="G22" s="49" t="s">
        <v>1439</v>
      </c>
      <c r="H22" s="48" t="s">
        <v>1440</v>
      </c>
      <c r="I22" s="48" t="s">
        <v>1476</v>
      </c>
      <c r="J22" s="48" t="s">
        <v>18</v>
      </c>
      <c r="K22" s="48" t="s">
        <v>1150</v>
      </c>
      <c r="L22" s="48" t="s">
        <v>308</v>
      </c>
      <c r="M22" s="48"/>
      <c r="N22" s="50" t="s">
        <v>1467</v>
      </c>
      <c r="O22" s="51" t="s">
        <v>1159</v>
      </c>
      <c r="P22" s="52" t="n">
        <v>1</v>
      </c>
      <c r="Q22" s="51"/>
      <c r="R22" s="52" t="s">
        <v>1468</v>
      </c>
      <c r="S22" s="52" t="n">
        <v>222</v>
      </c>
      <c r="T22" s="52" t="n">
        <v>330</v>
      </c>
      <c r="U22" s="53"/>
      <c r="V22" s="54"/>
      <c r="W22" s="55"/>
      <c r="X22" s="52"/>
      <c r="Y22" s="55"/>
      <c r="Z22" s="56"/>
      <c r="AA22" s="55"/>
      <c r="AB22" s="57" t="n">
        <v>73260</v>
      </c>
      <c r="AC22" s="44"/>
      <c r="AD22" s="44"/>
      <c r="AE22" s="44" t="n">
        <v>73260</v>
      </c>
      <c r="AF22" s="44" t="s">
        <v>69</v>
      </c>
      <c r="AG22" s="44" t="n">
        <v>0</v>
      </c>
      <c r="AH22" s="58" t="s">
        <v>1439</v>
      </c>
      <c r="AI22" s="44" t="n">
        <v>0</v>
      </c>
      <c r="AJ22" s="44" t="s">
        <v>308</v>
      </c>
      <c r="AK22" s="44" t="s">
        <v>47</v>
      </c>
      <c r="AL22" s="44" t="s">
        <v>308</v>
      </c>
      <c r="AM22" s="44" t="n">
        <v>0</v>
      </c>
      <c r="AN22" s="44" t="s">
        <v>1469</v>
      </c>
      <c r="AO22" s="44"/>
      <c r="AP22" s="44"/>
      <c r="AQ22" s="45" t="s">
        <v>397</v>
      </c>
      <c r="AR22" s="44" t="s">
        <v>1282</v>
      </c>
      <c r="AS22" s="44"/>
      <c r="AT22" s="44"/>
      <c r="AU22" s="44"/>
      <c r="AV22" s="44"/>
      <c r="AW22" s="44"/>
      <c r="AX22" s="44"/>
      <c r="AY22" s="44"/>
      <c r="AZ22" s="46"/>
    </row>
    <row r="23" customFormat="false" ht="18" hidden="false" customHeight="true" outlineLevel="0" collapsed="false">
      <c r="A23" s="47" t="s">
        <v>1463</v>
      </c>
      <c r="B23" s="48" t="s">
        <v>69</v>
      </c>
      <c r="C23" s="47" t="s">
        <v>1463</v>
      </c>
      <c r="D23" s="48" t="s">
        <v>351</v>
      </c>
      <c r="E23" s="48" t="s">
        <v>400</v>
      </c>
      <c r="F23" s="48" t="s">
        <v>1475</v>
      </c>
      <c r="G23" s="49" t="s">
        <v>1439</v>
      </c>
      <c r="H23" s="48" t="s">
        <v>1440</v>
      </c>
      <c r="I23" s="48" t="s">
        <v>1476</v>
      </c>
      <c r="J23" s="48" t="s">
        <v>18</v>
      </c>
      <c r="K23" s="48" t="s">
        <v>1150</v>
      </c>
      <c r="L23" s="48" t="s">
        <v>308</v>
      </c>
      <c r="M23" s="48"/>
      <c r="N23" s="50" t="s">
        <v>1467</v>
      </c>
      <c r="O23" s="51" t="s">
        <v>1159</v>
      </c>
      <c r="P23" s="52" t="n">
        <v>1</v>
      </c>
      <c r="Q23" s="52"/>
      <c r="R23" s="52" t="s">
        <v>1468</v>
      </c>
      <c r="S23" s="52" t="n">
        <v>222</v>
      </c>
      <c r="T23" s="52" t="n">
        <v>330</v>
      </c>
      <c r="U23" s="53"/>
      <c r="V23" s="54"/>
      <c r="W23" s="55"/>
      <c r="X23" s="52"/>
      <c r="Y23" s="55"/>
      <c r="Z23" s="56"/>
      <c r="AA23" s="55"/>
      <c r="AB23" s="57" t="n">
        <v>73260</v>
      </c>
      <c r="AC23" s="44"/>
      <c r="AD23" s="44"/>
      <c r="AE23" s="44" t="n">
        <v>73260</v>
      </c>
      <c r="AF23" s="44" t="s">
        <v>69</v>
      </c>
      <c r="AG23" s="44" t="n">
        <v>0</v>
      </c>
      <c r="AH23" s="58" t="s">
        <v>1439</v>
      </c>
      <c r="AI23" s="44" t="n">
        <v>0</v>
      </c>
      <c r="AJ23" s="44" t="s">
        <v>308</v>
      </c>
      <c r="AK23" s="44" t="s">
        <v>47</v>
      </c>
      <c r="AL23" s="44" t="s">
        <v>308</v>
      </c>
      <c r="AM23" s="44" t="n">
        <v>0</v>
      </c>
      <c r="AN23" s="44" t="s">
        <v>1469</v>
      </c>
      <c r="AO23" s="44"/>
      <c r="AP23" s="44"/>
      <c r="AQ23" s="45" t="s">
        <v>398</v>
      </c>
      <c r="AR23" s="44" t="s">
        <v>1282</v>
      </c>
      <c r="AS23" s="44"/>
      <c r="AT23" s="44"/>
      <c r="AU23" s="44"/>
      <c r="AV23" s="44"/>
      <c r="AW23" s="44"/>
      <c r="AX23" s="44"/>
      <c r="AY23" s="44"/>
      <c r="AZ23" s="46"/>
    </row>
    <row r="24" customFormat="false" ht="18" hidden="false" customHeight="true" outlineLevel="0" collapsed="false">
      <c r="A24" s="47" t="s">
        <v>1437</v>
      </c>
      <c r="B24" s="48" t="s">
        <v>943</v>
      </c>
      <c r="C24" s="47" t="s">
        <v>1437</v>
      </c>
      <c r="D24" s="48" t="s">
        <v>944</v>
      </c>
      <c r="E24" s="48" t="s">
        <v>966</v>
      </c>
      <c r="F24" s="48" t="s">
        <v>1478</v>
      </c>
      <c r="G24" s="49" t="s">
        <v>30</v>
      </c>
      <c r="H24" s="48" t="s">
        <v>1479</v>
      </c>
      <c r="I24" s="48" t="s">
        <v>1480</v>
      </c>
      <c r="J24" s="48" t="s">
        <v>36</v>
      </c>
      <c r="K24" s="48" t="s">
        <v>36</v>
      </c>
      <c r="L24" s="48" t="s">
        <v>938</v>
      </c>
      <c r="M24" s="48"/>
      <c r="N24" s="50" t="s">
        <v>1443</v>
      </c>
      <c r="O24" s="51" t="s">
        <v>1159</v>
      </c>
      <c r="P24" s="52" t="n">
        <v>1</v>
      </c>
      <c r="Q24" s="52"/>
      <c r="R24" s="52" t="s">
        <v>1453</v>
      </c>
      <c r="S24" s="52" t="s">
        <v>1455</v>
      </c>
      <c r="T24" s="52" t="n">
        <v>1568</v>
      </c>
      <c r="U24" s="53" t="n">
        <v>0</v>
      </c>
      <c r="V24" s="54"/>
      <c r="W24" s="55"/>
      <c r="X24" s="52"/>
      <c r="Y24" s="55"/>
      <c r="Z24" s="56"/>
      <c r="AA24" s="55"/>
      <c r="AB24" s="57" t="n">
        <v>348096</v>
      </c>
      <c r="AC24" s="44"/>
      <c r="AD24" s="44"/>
      <c r="AE24" s="44" t="n">
        <v>348096</v>
      </c>
      <c r="AF24" s="44" t="s">
        <v>53</v>
      </c>
      <c r="AG24" s="44" t="n">
        <v>0</v>
      </c>
      <c r="AH24" s="58" t="s">
        <v>30</v>
      </c>
      <c r="AI24" s="44" t="n">
        <v>0</v>
      </c>
      <c r="AJ24" s="44" t="s">
        <v>938</v>
      </c>
      <c r="AK24" s="44" t="s">
        <v>47</v>
      </c>
      <c r="AL24" s="44" t="s">
        <v>938</v>
      </c>
      <c r="AM24" s="44" t="n">
        <v>1</v>
      </c>
      <c r="AN24" s="44"/>
      <c r="AO24" s="44"/>
      <c r="AP24" s="44"/>
      <c r="AQ24" s="45" t="s">
        <v>942</v>
      </c>
      <c r="AR24" s="44" t="s">
        <v>1282</v>
      </c>
      <c r="AS24" s="44"/>
      <c r="AT24" s="44"/>
      <c r="AU24" s="44"/>
      <c r="AV24" s="44"/>
      <c r="AW24" s="44"/>
      <c r="AX24" s="44"/>
      <c r="AY24" s="44"/>
      <c r="AZ24" s="46"/>
    </row>
    <row r="25" customFormat="false" ht="18" hidden="false" customHeight="true" outlineLevel="0" collapsed="false">
      <c r="A25" s="47" t="s">
        <v>1437</v>
      </c>
      <c r="B25" s="48" t="s">
        <v>946</v>
      </c>
      <c r="C25" s="47" t="s">
        <v>1437</v>
      </c>
      <c r="D25" s="48" t="s">
        <v>947</v>
      </c>
      <c r="E25" s="48" t="s">
        <v>966</v>
      </c>
      <c r="F25" s="48" t="s">
        <v>1478</v>
      </c>
      <c r="G25" s="49" t="s">
        <v>30</v>
      </c>
      <c r="H25" s="48" t="s">
        <v>1479</v>
      </c>
      <c r="I25" s="48" t="s">
        <v>1480</v>
      </c>
      <c r="J25" s="48" t="s">
        <v>36</v>
      </c>
      <c r="K25" s="48" t="s">
        <v>1300</v>
      </c>
      <c r="L25" s="48" t="s">
        <v>938</v>
      </c>
      <c r="M25" s="48"/>
      <c r="N25" s="50" t="s">
        <v>1284</v>
      </c>
      <c r="O25" s="51" t="s">
        <v>1159</v>
      </c>
      <c r="P25" s="52" t="n">
        <v>1</v>
      </c>
      <c r="Q25" s="52"/>
      <c r="R25" s="52" t="s">
        <v>1444</v>
      </c>
      <c r="S25" s="52" t="s">
        <v>1481</v>
      </c>
      <c r="T25" s="52" t="n">
        <v>1200</v>
      </c>
      <c r="U25" s="53" t="n">
        <v>0</v>
      </c>
      <c r="V25" s="54"/>
      <c r="W25" s="55"/>
      <c r="X25" s="52"/>
      <c r="Y25" s="55"/>
      <c r="Z25" s="56"/>
      <c r="AA25" s="55"/>
      <c r="AB25" s="57" t="n">
        <v>266400</v>
      </c>
      <c r="AC25" s="44"/>
      <c r="AD25" s="44"/>
      <c r="AE25" s="44" t="n">
        <v>266400</v>
      </c>
      <c r="AF25" s="44" t="s">
        <v>53</v>
      </c>
      <c r="AG25" s="44" t="n">
        <v>0</v>
      </c>
      <c r="AH25" s="58" t="s">
        <v>30</v>
      </c>
      <c r="AI25" s="44" t="n">
        <v>0</v>
      </c>
      <c r="AJ25" s="44" t="s">
        <v>938</v>
      </c>
      <c r="AK25" s="44" t="s">
        <v>47</v>
      </c>
      <c r="AL25" s="44" t="s">
        <v>938</v>
      </c>
      <c r="AM25" s="44" t="n">
        <v>1</v>
      </c>
      <c r="AN25" s="44"/>
      <c r="AO25" s="44"/>
      <c r="AP25" s="44"/>
      <c r="AQ25" s="45" t="s">
        <v>945</v>
      </c>
      <c r="AR25" s="44" t="s">
        <v>1284</v>
      </c>
      <c r="AS25" s="44"/>
      <c r="AT25" s="44"/>
      <c r="AU25" s="44"/>
      <c r="AV25" s="44"/>
      <c r="AW25" s="44"/>
      <c r="AX25" s="44"/>
      <c r="AY25" s="44"/>
      <c r="AZ25" s="46"/>
    </row>
    <row r="26" customFormat="false" ht="18" hidden="false" customHeight="true" outlineLevel="0" collapsed="false">
      <c r="A26" s="47" t="s">
        <v>1437</v>
      </c>
      <c r="B26" s="48" t="s">
        <v>313</v>
      </c>
      <c r="C26" s="47" t="s">
        <v>1437</v>
      </c>
      <c r="D26" s="48" t="s">
        <v>314</v>
      </c>
      <c r="E26" s="48" t="s">
        <v>451</v>
      </c>
      <c r="F26" s="48" t="s">
        <v>1482</v>
      </c>
      <c r="G26" s="49" t="s">
        <v>1439</v>
      </c>
      <c r="H26" s="48" t="s">
        <v>1440</v>
      </c>
      <c r="I26" s="48" t="s">
        <v>1483</v>
      </c>
      <c r="J26" s="48" t="s">
        <v>18</v>
      </c>
      <c r="K26" s="48" t="s">
        <v>1150</v>
      </c>
      <c r="L26" s="48" t="s">
        <v>307</v>
      </c>
      <c r="M26" s="48"/>
      <c r="N26" s="50" t="s">
        <v>1443</v>
      </c>
      <c r="O26" s="51" t="s">
        <v>1159</v>
      </c>
      <c r="P26" s="52" t="n">
        <v>1</v>
      </c>
      <c r="Q26" s="52"/>
      <c r="R26" s="52" t="s">
        <v>1444</v>
      </c>
      <c r="S26" s="52" t="s">
        <v>1445</v>
      </c>
      <c r="T26" s="52" t="n">
        <v>860</v>
      </c>
      <c r="U26" s="53"/>
      <c r="V26" s="54"/>
      <c r="W26" s="55"/>
      <c r="X26" s="52"/>
      <c r="Y26" s="55"/>
      <c r="Z26" s="56"/>
      <c r="AA26" s="55"/>
      <c r="AB26" s="57" t="n">
        <v>190920</v>
      </c>
      <c r="AC26" s="44" t="s">
        <v>1484</v>
      </c>
      <c r="AD26" s="44"/>
      <c r="AE26" s="44" t="n">
        <v>190920</v>
      </c>
      <c r="AF26" s="44" t="s">
        <v>53</v>
      </c>
      <c r="AG26" s="44" t="n">
        <v>0</v>
      </c>
      <c r="AH26" s="58" t="s">
        <v>1439</v>
      </c>
      <c r="AI26" s="44" t="n">
        <v>0</v>
      </c>
      <c r="AJ26" s="44" t="s">
        <v>307</v>
      </c>
      <c r="AK26" s="44" t="s">
        <v>47</v>
      </c>
      <c r="AL26" s="44" t="s">
        <v>307</v>
      </c>
      <c r="AM26" s="44" t="n">
        <v>0</v>
      </c>
      <c r="AN26" s="44" t="s">
        <v>53</v>
      </c>
      <c r="AO26" s="44" t="s">
        <v>1484</v>
      </c>
      <c r="AP26" s="44"/>
      <c r="AQ26" s="45" t="s">
        <v>312</v>
      </c>
      <c r="AR26" s="44" t="s">
        <v>1282</v>
      </c>
      <c r="AS26" s="44"/>
      <c r="AT26" s="44"/>
      <c r="AU26" s="44"/>
      <c r="AV26" s="44"/>
      <c r="AW26" s="44"/>
      <c r="AX26" s="44"/>
      <c r="AY26" s="44"/>
      <c r="AZ26" s="46"/>
    </row>
    <row r="27" customFormat="false" ht="18" hidden="false" customHeight="true" outlineLevel="0" collapsed="false">
      <c r="A27" s="47" t="s">
        <v>1437</v>
      </c>
      <c r="B27" s="48" t="s">
        <v>370</v>
      </c>
      <c r="C27" s="47" t="s">
        <v>1437</v>
      </c>
      <c r="D27" s="48" t="s">
        <v>52</v>
      </c>
      <c r="E27" s="48" t="s">
        <v>451</v>
      </c>
      <c r="F27" s="48" t="s">
        <v>1482</v>
      </c>
      <c r="G27" s="49" t="s">
        <v>1439</v>
      </c>
      <c r="H27" s="48" t="s">
        <v>1440</v>
      </c>
      <c r="I27" s="48" t="s">
        <v>1483</v>
      </c>
      <c r="J27" s="48" t="s">
        <v>18</v>
      </c>
      <c r="K27" s="48" t="s">
        <v>1150</v>
      </c>
      <c r="L27" s="48" t="s">
        <v>318</v>
      </c>
      <c r="M27" s="48"/>
      <c r="N27" s="50" t="s">
        <v>1443</v>
      </c>
      <c r="O27" s="51" t="s">
        <v>1159</v>
      </c>
      <c r="P27" s="52" t="n">
        <v>1</v>
      </c>
      <c r="Q27" s="51"/>
      <c r="R27" s="52" t="s">
        <v>1485</v>
      </c>
      <c r="S27" s="52" t="s">
        <v>1445</v>
      </c>
      <c r="T27" s="52" t="n">
        <v>1450</v>
      </c>
      <c r="U27" s="53"/>
      <c r="V27" s="54"/>
      <c r="W27" s="55"/>
      <c r="X27" s="52"/>
      <c r="Y27" s="55"/>
      <c r="Z27" s="56"/>
      <c r="AA27" s="55"/>
      <c r="AB27" s="57" t="n">
        <v>321900</v>
      </c>
      <c r="AC27" s="44" t="s">
        <v>1486</v>
      </c>
      <c r="AD27" s="44"/>
      <c r="AE27" s="44" t="n">
        <v>321900</v>
      </c>
      <c r="AF27" s="44" t="s">
        <v>53</v>
      </c>
      <c r="AG27" s="44" t="n">
        <v>0</v>
      </c>
      <c r="AH27" s="58" t="s">
        <v>1439</v>
      </c>
      <c r="AI27" s="44" t="n">
        <v>0</v>
      </c>
      <c r="AJ27" s="44" t="s">
        <v>318</v>
      </c>
      <c r="AK27" s="44" t="s">
        <v>47</v>
      </c>
      <c r="AL27" s="44" t="s">
        <v>318</v>
      </c>
      <c r="AM27" s="44" t="n">
        <v>0</v>
      </c>
      <c r="AN27" s="44" t="s">
        <v>53</v>
      </c>
      <c r="AO27" s="44" t="s">
        <v>1486</v>
      </c>
      <c r="AP27" s="44"/>
      <c r="AQ27" s="45" t="s">
        <v>369</v>
      </c>
      <c r="AR27" s="44" t="s">
        <v>1282</v>
      </c>
      <c r="AS27" s="44"/>
      <c r="AT27" s="44"/>
      <c r="AU27" s="44"/>
      <c r="AV27" s="44"/>
      <c r="AW27" s="44"/>
      <c r="AX27" s="44"/>
      <c r="AY27" s="44"/>
      <c r="AZ27" s="46"/>
    </row>
    <row r="28" customFormat="false" ht="18" hidden="false" customHeight="true" outlineLevel="0" collapsed="false">
      <c r="A28" s="47" t="s">
        <v>1456</v>
      </c>
      <c r="B28" s="48" t="s">
        <v>1135</v>
      </c>
      <c r="C28" s="47" t="s">
        <v>1456</v>
      </c>
      <c r="D28" s="48" t="s">
        <v>1136</v>
      </c>
      <c r="E28" s="48" t="s">
        <v>451</v>
      </c>
      <c r="F28" s="48" t="s">
        <v>1482</v>
      </c>
      <c r="G28" s="49" t="s">
        <v>36</v>
      </c>
      <c r="H28" s="48" t="s">
        <v>36</v>
      </c>
      <c r="I28" s="48" t="s">
        <v>36</v>
      </c>
      <c r="J28" s="48" t="s">
        <v>36</v>
      </c>
      <c r="K28" s="48" t="s">
        <v>36</v>
      </c>
      <c r="L28" s="48" t="s">
        <v>36</v>
      </c>
      <c r="M28" s="48"/>
      <c r="N28" s="50" t="s">
        <v>1443</v>
      </c>
      <c r="O28" s="51" t="s">
        <v>1452</v>
      </c>
      <c r="P28" s="52" t="n">
        <v>1</v>
      </c>
      <c r="Q28" s="52"/>
      <c r="R28" s="52" t="s">
        <v>1453</v>
      </c>
      <c r="S28" s="52" t="s">
        <v>1454</v>
      </c>
      <c r="T28" s="52" t="n">
        <v>1078.84</v>
      </c>
      <c r="U28" s="53" t="n">
        <v>0</v>
      </c>
      <c r="V28" s="54"/>
      <c r="W28" s="55"/>
      <c r="X28" s="52"/>
      <c r="Y28" s="55"/>
      <c r="Z28" s="56"/>
      <c r="AA28" s="55"/>
      <c r="AB28" s="57" t="n">
        <v>239502.48</v>
      </c>
      <c r="AC28" s="44"/>
      <c r="AD28" s="44"/>
      <c r="AE28" s="44" t="n">
        <v>239502.48</v>
      </c>
      <c r="AF28" s="44" t="s">
        <v>53</v>
      </c>
      <c r="AG28" s="44" t="n">
        <v>0</v>
      </c>
      <c r="AH28" s="58" t="s">
        <v>36</v>
      </c>
      <c r="AI28" s="44" t="n">
        <v>0</v>
      </c>
      <c r="AJ28" s="44" t="s">
        <v>36</v>
      </c>
      <c r="AK28" s="44" t="s">
        <v>47</v>
      </c>
      <c r="AL28" s="44" t="s">
        <v>36</v>
      </c>
      <c r="AM28" s="44" t="n">
        <v>1</v>
      </c>
      <c r="AN28" s="44"/>
      <c r="AO28" s="44"/>
      <c r="AP28" s="44"/>
      <c r="AQ28" s="45" t="s">
        <v>1134</v>
      </c>
      <c r="AR28" s="44" t="s">
        <v>1282</v>
      </c>
      <c r="AS28" s="44"/>
      <c r="AT28" s="44"/>
      <c r="AU28" s="44"/>
      <c r="AV28" s="44"/>
      <c r="AW28" s="44"/>
      <c r="AX28" s="44"/>
      <c r="AY28" s="44"/>
      <c r="AZ28" s="46"/>
    </row>
    <row r="29" customFormat="false" ht="18" hidden="false" customHeight="true" outlineLevel="0" collapsed="false">
      <c r="A29" s="47" t="s">
        <v>1437</v>
      </c>
      <c r="B29" s="48" t="s">
        <v>317</v>
      </c>
      <c r="C29" s="47" t="s">
        <v>1437</v>
      </c>
      <c r="D29" s="48" t="s">
        <v>80</v>
      </c>
      <c r="E29" s="48" t="s">
        <v>451</v>
      </c>
      <c r="F29" s="48" t="s">
        <v>1482</v>
      </c>
      <c r="G29" s="49" t="s">
        <v>1439</v>
      </c>
      <c r="H29" s="48" t="s">
        <v>1440</v>
      </c>
      <c r="I29" s="48" t="s">
        <v>1483</v>
      </c>
      <c r="J29" s="48" t="s">
        <v>18</v>
      </c>
      <c r="K29" s="48" t="s">
        <v>1150</v>
      </c>
      <c r="L29" s="48" t="s">
        <v>307</v>
      </c>
      <c r="M29" s="48"/>
      <c r="N29" s="50" t="s">
        <v>1443</v>
      </c>
      <c r="O29" s="51" t="s">
        <v>1159</v>
      </c>
      <c r="P29" s="52" t="n">
        <v>1</v>
      </c>
      <c r="Q29" s="51"/>
      <c r="R29" s="52" t="s">
        <v>1444</v>
      </c>
      <c r="S29" s="52" t="s">
        <v>1445</v>
      </c>
      <c r="T29" s="52" t="n">
        <v>807.2</v>
      </c>
      <c r="U29" s="53"/>
      <c r="V29" s="54"/>
      <c r="W29" s="55"/>
      <c r="X29" s="52"/>
      <c r="Y29" s="55"/>
      <c r="Z29" s="56"/>
      <c r="AA29" s="55"/>
      <c r="AB29" s="57" t="n">
        <v>179198.4</v>
      </c>
      <c r="AC29" s="44" t="s">
        <v>1487</v>
      </c>
      <c r="AD29" s="44"/>
      <c r="AE29" s="44" t="n">
        <v>179198.4</v>
      </c>
      <c r="AF29" s="44" t="s">
        <v>53</v>
      </c>
      <c r="AG29" s="44" t="n">
        <v>0</v>
      </c>
      <c r="AH29" s="58" t="s">
        <v>1439</v>
      </c>
      <c r="AI29" s="44" t="n">
        <v>0</v>
      </c>
      <c r="AJ29" s="44" t="s">
        <v>307</v>
      </c>
      <c r="AK29" s="44" t="s">
        <v>47</v>
      </c>
      <c r="AL29" s="44" t="s">
        <v>307</v>
      </c>
      <c r="AM29" s="44" t="n">
        <v>0</v>
      </c>
      <c r="AN29" s="44" t="s">
        <v>53</v>
      </c>
      <c r="AO29" s="44" t="s">
        <v>1487</v>
      </c>
      <c r="AP29" s="59" t="n">
        <v>46326</v>
      </c>
      <c r="AQ29" s="45" t="s">
        <v>316</v>
      </c>
      <c r="AR29" s="44" t="s">
        <v>1282</v>
      </c>
      <c r="AS29" s="44"/>
      <c r="AT29" s="44"/>
      <c r="AU29" s="44"/>
      <c r="AV29" s="44"/>
      <c r="AW29" s="44"/>
      <c r="AX29" s="44"/>
      <c r="AY29" s="44"/>
      <c r="AZ29" s="46"/>
    </row>
    <row r="30" customFormat="false" ht="18" hidden="false" customHeight="true" outlineLevel="0" collapsed="false">
      <c r="A30" s="47" t="s">
        <v>1437</v>
      </c>
      <c r="B30" s="48" t="s">
        <v>320</v>
      </c>
      <c r="C30" s="47" t="s">
        <v>1437</v>
      </c>
      <c r="D30" s="48" t="s">
        <v>321</v>
      </c>
      <c r="E30" s="48" t="s">
        <v>451</v>
      </c>
      <c r="F30" s="48" t="s">
        <v>1482</v>
      </c>
      <c r="G30" s="49" t="s">
        <v>1439</v>
      </c>
      <c r="H30" s="48" t="s">
        <v>1440</v>
      </c>
      <c r="I30" s="48" t="s">
        <v>1483</v>
      </c>
      <c r="J30" s="48" t="s">
        <v>18</v>
      </c>
      <c r="K30" s="48" t="s">
        <v>1150</v>
      </c>
      <c r="L30" s="48" t="s">
        <v>307</v>
      </c>
      <c r="M30" s="48"/>
      <c r="N30" s="50" t="s">
        <v>1443</v>
      </c>
      <c r="O30" s="51" t="s">
        <v>1159</v>
      </c>
      <c r="P30" s="52" t="n">
        <v>1</v>
      </c>
      <c r="Q30" s="52"/>
      <c r="R30" s="52" t="s">
        <v>1444</v>
      </c>
      <c r="S30" s="52" t="s">
        <v>1445</v>
      </c>
      <c r="T30" s="52" t="n">
        <v>1253</v>
      </c>
      <c r="U30" s="53"/>
      <c r="V30" s="54"/>
      <c r="W30" s="55"/>
      <c r="X30" s="52"/>
      <c r="Y30" s="55"/>
      <c r="Z30" s="56"/>
      <c r="AA30" s="55"/>
      <c r="AB30" s="57" t="n">
        <v>278166</v>
      </c>
      <c r="AC30" s="44" t="s">
        <v>1488</v>
      </c>
      <c r="AD30" s="44"/>
      <c r="AE30" s="44" t="n">
        <v>278166</v>
      </c>
      <c r="AF30" s="44" t="s">
        <v>53</v>
      </c>
      <c r="AG30" s="44" t="n">
        <v>0</v>
      </c>
      <c r="AH30" s="58" t="s">
        <v>1439</v>
      </c>
      <c r="AI30" s="44" t="n">
        <v>0</v>
      </c>
      <c r="AJ30" s="44" t="s">
        <v>307</v>
      </c>
      <c r="AK30" s="44" t="s">
        <v>47</v>
      </c>
      <c r="AL30" s="44" t="s">
        <v>307</v>
      </c>
      <c r="AM30" s="44" t="n">
        <v>0</v>
      </c>
      <c r="AN30" s="44" t="s">
        <v>53</v>
      </c>
      <c r="AO30" s="44" t="s">
        <v>1488</v>
      </c>
      <c r="AP30" s="59" t="n">
        <v>46255</v>
      </c>
      <c r="AQ30" s="45" t="s">
        <v>319</v>
      </c>
      <c r="AR30" s="44" t="s">
        <v>1282</v>
      </c>
      <c r="AS30" s="44"/>
      <c r="AT30" s="44"/>
      <c r="AU30" s="44"/>
      <c r="AV30" s="44"/>
      <c r="AW30" s="44"/>
      <c r="AX30" s="44"/>
      <c r="AY30" s="44"/>
      <c r="AZ30" s="46"/>
    </row>
    <row r="31" customFormat="false" ht="18" hidden="false" customHeight="true" outlineLevel="0" collapsed="false">
      <c r="A31" s="47" t="e">
        <f aca="false">#N/A</f>
        <v>#N/A</v>
      </c>
      <c r="B31" s="48" t="s">
        <v>372</v>
      </c>
      <c r="C31" s="47" t="e">
        <f aca="false">#N/A</f>
        <v>#N/A</v>
      </c>
      <c r="D31" s="48" t="s">
        <v>52</v>
      </c>
      <c r="E31" s="48" t="s">
        <v>451</v>
      </c>
      <c r="F31" s="48" t="s">
        <v>1482</v>
      </c>
      <c r="G31" s="49" t="s">
        <v>1439</v>
      </c>
      <c r="H31" s="48" t="s">
        <v>1440</v>
      </c>
      <c r="I31" s="48" t="s">
        <v>1483</v>
      </c>
      <c r="J31" s="48" t="s">
        <v>18</v>
      </c>
      <c r="K31" s="48" t="s">
        <v>1150</v>
      </c>
      <c r="L31" s="48" t="s">
        <v>318</v>
      </c>
      <c r="M31" s="48"/>
      <c r="N31" s="50" t="s">
        <v>1443</v>
      </c>
      <c r="O31" s="51" t="s">
        <v>1159</v>
      </c>
      <c r="P31" s="52" t="n">
        <v>1</v>
      </c>
      <c r="Q31" s="51"/>
      <c r="R31" s="52" t="s">
        <v>1489</v>
      </c>
      <c r="S31" s="52"/>
      <c r="T31" s="52"/>
      <c r="U31" s="53" t="n">
        <v>190000</v>
      </c>
      <c r="V31" s="54" t="n">
        <v>190000</v>
      </c>
      <c r="W31" s="55" t="n">
        <v>0.12</v>
      </c>
      <c r="X31" s="52" t="n">
        <v>0.055</v>
      </c>
      <c r="Y31" s="55" t="n">
        <v>0.12</v>
      </c>
      <c r="Z31" s="56"/>
      <c r="AA31" s="55" t="n">
        <v>0.04</v>
      </c>
      <c r="AB31" s="57" t="n">
        <v>243090.15</v>
      </c>
      <c r="AC31" s="44" t="s">
        <v>1490</v>
      </c>
      <c r="AD31" s="44"/>
      <c r="AE31" s="44" t="n">
        <v>243090.15</v>
      </c>
      <c r="AF31" s="44" t="s">
        <v>53</v>
      </c>
      <c r="AG31" s="44" t="n">
        <v>0</v>
      </c>
      <c r="AH31" s="58" t="s">
        <v>1439</v>
      </c>
      <c r="AI31" s="44" t="n">
        <v>0</v>
      </c>
      <c r="AJ31" s="44" t="s">
        <v>318</v>
      </c>
      <c r="AK31" s="44" t="s">
        <v>47</v>
      </c>
      <c r="AL31" s="44" t="s">
        <v>318</v>
      </c>
      <c r="AM31" s="44" t="n">
        <v>0</v>
      </c>
      <c r="AN31" s="44" t="s">
        <v>53</v>
      </c>
      <c r="AO31" s="44" t="s">
        <v>1491</v>
      </c>
      <c r="AP31" s="44"/>
      <c r="AQ31" s="45" t="s">
        <v>371</v>
      </c>
      <c r="AR31" s="44" t="s">
        <v>1282</v>
      </c>
      <c r="AS31" s="44"/>
      <c r="AT31" s="44"/>
      <c r="AU31" s="44"/>
      <c r="AV31" s="44"/>
      <c r="AW31" s="44"/>
      <c r="AX31" s="44"/>
      <c r="AY31" s="44"/>
      <c r="AZ31" s="46"/>
    </row>
    <row r="32" customFormat="false" ht="18" hidden="false" customHeight="true" outlineLevel="0" collapsed="false">
      <c r="A32" s="47" t="s">
        <v>1437</v>
      </c>
      <c r="B32" s="48" t="s">
        <v>409</v>
      </c>
      <c r="C32" s="47" t="s">
        <v>1437</v>
      </c>
      <c r="D32" s="48" t="s">
        <v>80</v>
      </c>
      <c r="E32" s="48" t="s">
        <v>451</v>
      </c>
      <c r="F32" s="48" t="s">
        <v>1482</v>
      </c>
      <c r="G32" s="49" t="s">
        <v>1439</v>
      </c>
      <c r="H32" s="48" t="s">
        <v>1440</v>
      </c>
      <c r="I32" s="48" t="s">
        <v>1483</v>
      </c>
      <c r="J32" s="48" t="s">
        <v>1442</v>
      </c>
      <c r="K32" s="48" t="s">
        <v>36</v>
      </c>
      <c r="L32" s="48" t="s">
        <v>405</v>
      </c>
      <c r="M32" s="48"/>
      <c r="N32" s="50" t="s">
        <v>1443</v>
      </c>
      <c r="O32" s="51" t="s">
        <v>1159</v>
      </c>
      <c r="P32" s="52" t="n">
        <v>1</v>
      </c>
      <c r="Q32" s="52"/>
      <c r="R32" s="52" t="s">
        <v>1444</v>
      </c>
      <c r="S32" s="52" t="s">
        <v>1455</v>
      </c>
      <c r="T32" s="52" t="n">
        <v>1215</v>
      </c>
      <c r="U32" s="53"/>
      <c r="V32" s="54"/>
      <c r="W32" s="55"/>
      <c r="X32" s="52"/>
      <c r="Y32" s="55"/>
      <c r="Z32" s="56"/>
      <c r="AA32" s="55"/>
      <c r="AB32" s="57" t="n">
        <v>269730</v>
      </c>
      <c r="AC32" s="44" t="s">
        <v>1492</v>
      </c>
      <c r="AD32" s="44"/>
      <c r="AE32" s="44" t="n">
        <v>269730</v>
      </c>
      <c r="AF32" s="44" t="s">
        <v>53</v>
      </c>
      <c r="AG32" s="44" t="n">
        <v>0</v>
      </c>
      <c r="AH32" s="58" t="s">
        <v>1439</v>
      </c>
      <c r="AI32" s="44" t="n">
        <v>0</v>
      </c>
      <c r="AJ32" s="44" t="s">
        <v>405</v>
      </c>
      <c r="AK32" s="44" t="s">
        <v>47</v>
      </c>
      <c r="AL32" s="44" t="s">
        <v>405</v>
      </c>
      <c r="AM32" s="44" t="n">
        <v>1</v>
      </c>
      <c r="AN32" s="44" t="s">
        <v>53</v>
      </c>
      <c r="AO32" s="44" t="s">
        <v>1492</v>
      </c>
      <c r="AP32" s="59" t="n">
        <v>46286</v>
      </c>
      <c r="AQ32" s="45" t="s">
        <v>408</v>
      </c>
      <c r="AR32" s="44" t="s">
        <v>1282</v>
      </c>
      <c r="AS32" s="44"/>
      <c r="AT32" s="44"/>
      <c r="AU32" s="44"/>
      <c r="AV32" s="44"/>
      <c r="AW32" s="44"/>
      <c r="AX32" s="44"/>
      <c r="AY32" s="44"/>
      <c r="AZ32" s="46"/>
    </row>
    <row r="33" customFormat="false" ht="18" hidden="false" customHeight="true" outlineLevel="0" collapsed="false">
      <c r="A33" s="47" t="s">
        <v>1437</v>
      </c>
      <c r="B33" s="48" t="s">
        <v>1120</v>
      </c>
      <c r="C33" s="47" t="s">
        <v>1437</v>
      </c>
      <c r="D33" s="48" t="s">
        <v>1121</v>
      </c>
      <c r="E33" s="48" t="s">
        <v>1103</v>
      </c>
      <c r="F33" s="48" t="s">
        <v>1493</v>
      </c>
      <c r="G33" s="49" t="s">
        <v>36</v>
      </c>
      <c r="H33" s="48" t="s">
        <v>36</v>
      </c>
      <c r="I33" s="48" t="s">
        <v>36</v>
      </c>
      <c r="J33" s="48" t="s">
        <v>36</v>
      </c>
      <c r="K33" s="48" t="s">
        <v>36</v>
      </c>
      <c r="L33" s="48" t="s">
        <v>36</v>
      </c>
      <c r="M33" s="48"/>
      <c r="N33" s="50" t="s">
        <v>1443</v>
      </c>
      <c r="O33" s="51" t="s">
        <v>1159</v>
      </c>
      <c r="P33" s="52" t="n">
        <v>1</v>
      </c>
      <c r="Q33" s="52"/>
      <c r="R33" s="52" t="s">
        <v>1453</v>
      </c>
      <c r="S33" s="52" t="s">
        <v>1455</v>
      </c>
      <c r="T33" s="52" t="n">
        <v>1232</v>
      </c>
      <c r="U33" s="53" t="n">
        <v>0</v>
      </c>
      <c r="V33" s="54"/>
      <c r="W33" s="55"/>
      <c r="X33" s="52"/>
      <c r="Y33" s="55"/>
      <c r="Z33" s="56"/>
      <c r="AA33" s="55"/>
      <c r="AB33" s="57" t="n">
        <v>273504</v>
      </c>
      <c r="AC33" s="44"/>
      <c r="AD33" s="44"/>
      <c r="AE33" s="44" t="n">
        <v>273504</v>
      </c>
      <c r="AF33" s="44" t="s">
        <v>53</v>
      </c>
      <c r="AG33" s="44" t="n">
        <v>0</v>
      </c>
      <c r="AH33" s="58" t="s">
        <v>36</v>
      </c>
      <c r="AI33" s="44" t="n">
        <v>0</v>
      </c>
      <c r="AJ33" s="44" t="s">
        <v>36</v>
      </c>
      <c r="AK33" s="44" t="s">
        <v>47</v>
      </c>
      <c r="AL33" s="44" t="s">
        <v>36</v>
      </c>
      <c r="AM33" s="44" t="n">
        <v>1</v>
      </c>
      <c r="AN33" s="44"/>
      <c r="AO33" s="44"/>
      <c r="AP33" s="44"/>
      <c r="AQ33" s="45" t="s">
        <v>1119</v>
      </c>
      <c r="AR33" s="44" t="s">
        <v>1282</v>
      </c>
      <c r="AS33" s="44"/>
      <c r="AT33" s="44"/>
      <c r="AU33" s="44"/>
      <c r="AV33" s="44"/>
      <c r="AW33" s="44"/>
      <c r="AX33" s="44"/>
      <c r="AY33" s="44"/>
      <c r="AZ33" s="46"/>
    </row>
    <row r="34" customFormat="false" ht="18" hidden="false" customHeight="true" outlineLevel="0" collapsed="false">
      <c r="A34" s="47" t="s">
        <v>1456</v>
      </c>
      <c r="B34" s="48" t="s">
        <v>955</v>
      </c>
      <c r="C34" s="47" t="s">
        <v>1456</v>
      </c>
      <c r="D34" s="48" t="s">
        <v>956</v>
      </c>
      <c r="E34" s="48" t="s">
        <v>844</v>
      </c>
      <c r="F34" s="48" t="s">
        <v>1494</v>
      </c>
      <c r="G34" s="49" t="s">
        <v>30</v>
      </c>
      <c r="H34" s="48"/>
      <c r="I34" s="48"/>
      <c r="J34" s="48"/>
      <c r="K34" s="48"/>
      <c r="L34" s="48"/>
      <c r="M34" s="48"/>
      <c r="N34" s="50"/>
      <c r="O34" s="51" t="s">
        <v>1452</v>
      </c>
      <c r="P34" s="52" t="n">
        <v>1</v>
      </c>
      <c r="Q34" s="52"/>
      <c r="R34" s="52" t="s">
        <v>1453</v>
      </c>
      <c r="S34" s="52" t="s">
        <v>1454</v>
      </c>
      <c r="T34" s="52" t="n">
        <v>1600</v>
      </c>
      <c r="U34" s="53" t="n">
        <v>0</v>
      </c>
      <c r="V34" s="54"/>
      <c r="W34" s="55"/>
      <c r="X34" s="52"/>
      <c r="Y34" s="55"/>
      <c r="Z34" s="56"/>
      <c r="AA34" s="55"/>
      <c r="AB34" s="57" t="n">
        <v>355200</v>
      </c>
      <c r="AC34" s="44"/>
      <c r="AD34" s="44"/>
      <c r="AE34" s="44" t="n">
        <v>355200</v>
      </c>
      <c r="AF34" s="44" t="s">
        <v>53</v>
      </c>
      <c r="AG34" s="44" t="n">
        <v>0</v>
      </c>
      <c r="AH34" s="58" t="s">
        <v>30</v>
      </c>
      <c r="AI34" s="44" t="n">
        <v>0</v>
      </c>
      <c r="AJ34" s="44" t="s">
        <v>810</v>
      </c>
      <c r="AK34" s="44" t="s">
        <v>47</v>
      </c>
      <c r="AL34" s="44" t="s">
        <v>810</v>
      </c>
      <c r="AM34" s="44" t="n">
        <v>0</v>
      </c>
      <c r="AN34" s="44"/>
      <c r="AO34" s="44" t="s">
        <v>1495</v>
      </c>
      <c r="AP34" s="44"/>
      <c r="AQ34" s="45" t="s">
        <v>954</v>
      </c>
      <c r="AR34" s="44" t="s">
        <v>1282</v>
      </c>
      <c r="AS34" s="44"/>
      <c r="AT34" s="44"/>
      <c r="AU34" s="44"/>
      <c r="AV34" s="44"/>
      <c r="AW34" s="44"/>
      <c r="AX34" s="44"/>
      <c r="AY34" s="44"/>
      <c r="AZ34" s="46"/>
    </row>
    <row r="35" customFormat="false" ht="18" hidden="false" customHeight="true" outlineLevel="0" collapsed="false">
      <c r="A35" s="47" t="s">
        <v>1437</v>
      </c>
      <c r="B35" s="48" t="s">
        <v>1140</v>
      </c>
      <c r="C35" s="47" t="s">
        <v>1437</v>
      </c>
      <c r="D35" s="48" t="s">
        <v>1141</v>
      </c>
      <c r="E35" s="48" t="s">
        <v>1496</v>
      </c>
      <c r="F35" s="48" t="s">
        <v>1141</v>
      </c>
      <c r="G35" s="49" t="s">
        <v>36</v>
      </c>
      <c r="H35" s="48" t="s">
        <v>36</v>
      </c>
      <c r="I35" s="48" t="s">
        <v>36</v>
      </c>
      <c r="J35" s="48" t="s">
        <v>36</v>
      </c>
      <c r="K35" s="48" t="s">
        <v>36</v>
      </c>
      <c r="L35" s="48" t="s">
        <v>36</v>
      </c>
      <c r="M35" s="48"/>
      <c r="N35" s="50" t="s">
        <v>1443</v>
      </c>
      <c r="O35" s="51" t="s">
        <v>1452</v>
      </c>
      <c r="P35" s="52" t="n">
        <v>1</v>
      </c>
      <c r="Q35" s="52"/>
      <c r="R35" s="52" t="s">
        <v>1453</v>
      </c>
      <c r="S35" s="52" t="s">
        <v>1454</v>
      </c>
      <c r="T35" s="52" t="n">
        <v>1000</v>
      </c>
      <c r="U35" s="53" t="n">
        <v>0</v>
      </c>
      <c r="V35" s="54"/>
      <c r="W35" s="55"/>
      <c r="X35" s="52"/>
      <c r="Y35" s="55"/>
      <c r="Z35" s="56"/>
      <c r="AA35" s="55"/>
      <c r="AB35" s="57" t="n">
        <v>222000</v>
      </c>
      <c r="AC35" s="44"/>
      <c r="AD35" s="44"/>
      <c r="AE35" s="44" t="n">
        <v>222000</v>
      </c>
      <c r="AF35" s="44" t="s">
        <v>53</v>
      </c>
      <c r="AG35" s="44" t="n">
        <v>0</v>
      </c>
      <c r="AH35" s="58" t="s">
        <v>36</v>
      </c>
      <c r="AI35" s="44" t="n">
        <v>0</v>
      </c>
      <c r="AJ35" s="44" t="s">
        <v>36</v>
      </c>
      <c r="AK35" s="44" t="s">
        <v>47</v>
      </c>
      <c r="AL35" s="44" t="s">
        <v>36</v>
      </c>
      <c r="AM35" s="44" t="n">
        <v>1</v>
      </c>
      <c r="AN35" s="44"/>
      <c r="AO35" s="44"/>
      <c r="AP35" s="44"/>
      <c r="AQ35" s="45" t="s">
        <v>1139</v>
      </c>
      <c r="AR35" s="44" t="s">
        <v>1282</v>
      </c>
      <c r="AS35" s="44"/>
      <c r="AT35" s="44"/>
      <c r="AU35" s="44"/>
      <c r="AV35" s="44"/>
      <c r="AW35" s="44"/>
      <c r="AX35" s="44"/>
      <c r="AY35" s="44"/>
      <c r="AZ35" s="46"/>
    </row>
    <row r="36" customFormat="false" ht="18" hidden="false" customHeight="true" outlineLevel="0" collapsed="false">
      <c r="A36" s="47" t="s">
        <v>1456</v>
      </c>
      <c r="B36" s="48" t="s">
        <v>1100</v>
      </c>
      <c r="C36" s="47" t="s">
        <v>1456</v>
      </c>
      <c r="D36" s="48" t="s">
        <v>1101</v>
      </c>
      <c r="E36" s="48" t="s">
        <v>1496</v>
      </c>
      <c r="F36" s="48" t="s">
        <v>1141</v>
      </c>
      <c r="G36" s="49" t="s">
        <v>36</v>
      </c>
      <c r="H36" s="48" t="s">
        <v>36</v>
      </c>
      <c r="I36" s="48" t="s">
        <v>36</v>
      </c>
      <c r="J36" s="48" t="s">
        <v>36</v>
      </c>
      <c r="K36" s="48" t="s">
        <v>36</v>
      </c>
      <c r="L36" s="48" t="s">
        <v>36</v>
      </c>
      <c r="M36" s="48"/>
      <c r="N36" s="50" t="s">
        <v>1443</v>
      </c>
      <c r="O36" s="51" t="s">
        <v>1452</v>
      </c>
      <c r="P36" s="52" t="n">
        <v>1</v>
      </c>
      <c r="Q36" s="52"/>
      <c r="R36" s="52" t="s">
        <v>1453</v>
      </c>
      <c r="S36" s="52" t="s">
        <v>1454</v>
      </c>
      <c r="T36" s="52" t="n">
        <v>1500</v>
      </c>
      <c r="U36" s="53" t="n">
        <v>0</v>
      </c>
      <c r="V36" s="54"/>
      <c r="W36" s="55"/>
      <c r="X36" s="52"/>
      <c r="Y36" s="55"/>
      <c r="Z36" s="56"/>
      <c r="AA36" s="55"/>
      <c r="AB36" s="57" t="n">
        <v>333000</v>
      </c>
      <c r="AC36" s="44"/>
      <c r="AD36" s="44"/>
      <c r="AE36" s="44" t="n">
        <v>333000</v>
      </c>
      <c r="AF36" s="44" t="s">
        <v>53</v>
      </c>
      <c r="AG36" s="44" t="n">
        <v>0</v>
      </c>
      <c r="AH36" s="58" t="s">
        <v>36</v>
      </c>
      <c r="AI36" s="44" t="n">
        <v>0</v>
      </c>
      <c r="AJ36" s="44" t="s">
        <v>36</v>
      </c>
      <c r="AK36" s="44" t="s">
        <v>47</v>
      </c>
      <c r="AL36" s="44" t="s">
        <v>36</v>
      </c>
      <c r="AM36" s="44" t="n">
        <v>1</v>
      </c>
      <c r="AN36" s="44"/>
      <c r="AO36" s="44"/>
      <c r="AP36" s="44"/>
      <c r="AQ36" s="45" t="s">
        <v>1099</v>
      </c>
      <c r="AR36" s="44" t="s">
        <v>1282</v>
      </c>
      <c r="AS36" s="44"/>
      <c r="AT36" s="44"/>
      <c r="AU36" s="44"/>
      <c r="AV36" s="44"/>
      <c r="AW36" s="44"/>
      <c r="AX36" s="44"/>
      <c r="AY36" s="44"/>
      <c r="AZ36" s="46"/>
    </row>
    <row r="37" customFormat="false" ht="18" hidden="false" customHeight="true" outlineLevel="0" collapsed="false">
      <c r="A37" s="47" t="s">
        <v>1437</v>
      </c>
      <c r="B37" s="48" t="s">
        <v>374</v>
      </c>
      <c r="C37" s="47" t="s">
        <v>1437</v>
      </c>
      <c r="D37" s="48" t="s">
        <v>324</v>
      </c>
      <c r="E37" s="48" t="s">
        <v>69</v>
      </c>
      <c r="F37" s="48" t="s">
        <v>1497</v>
      </c>
      <c r="G37" s="49" t="s">
        <v>1439</v>
      </c>
      <c r="H37" s="48" t="s">
        <v>1440</v>
      </c>
      <c r="I37" s="48" t="s">
        <v>1498</v>
      </c>
      <c r="J37" s="48" t="s">
        <v>18</v>
      </c>
      <c r="K37" s="48" t="s">
        <v>1150</v>
      </c>
      <c r="L37" s="48" t="s">
        <v>318</v>
      </c>
      <c r="M37" s="48"/>
      <c r="N37" s="50" t="s">
        <v>1443</v>
      </c>
      <c r="O37" s="51" t="s">
        <v>1159</v>
      </c>
      <c r="P37" s="52" t="n">
        <v>1</v>
      </c>
      <c r="Q37" s="52"/>
      <c r="R37" s="52" t="s">
        <v>1444</v>
      </c>
      <c r="S37" s="52" t="s">
        <v>1445</v>
      </c>
      <c r="T37" s="52" t="n">
        <v>1250</v>
      </c>
      <c r="U37" s="53"/>
      <c r="V37" s="54"/>
      <c r="W37" s="55"/>
      <c r="X37" s="52"/>
      <c r="Y37" s="55"/>
      <c r="Z37" s="56"/>
      <c r="AA37" s="55"/>
      <c r="AB37" s="57" t="n">
        <v>277500</v>
      </c>
      <c r="AC37" s="44" t="s">
        <v>1499</v>
      </c>
      <c r="AD37" s="44"/>
      <c r="AE37" s="44" t="n">
        <v>277500</v>
      </c>
      <c r="AF37" s="44" t="s">
        <v>53</v>
      </c>
      <c r="AG37" s="44" t="n">
        <v>0</v>
      </c>
      <c r="AH37" s="58" t="s">
        <v>1439</v>
      </c>
      <c r="AI37" s="44" t="n">
        <v>0</v>
      </c>
      <c r="AJ37" s="44" t="s">
        <v>318</v>
      </c>
      <c r="AK37" s="44" t="s">
        <v>47</v>
      </c>
      <c r="AL37" s="44" t="s">
        <v>318</v>
      </c>
      <c r="AM37" s="44" t="n">
        <v>0</v>
      </c>
      <c r="AN37" s="44" t="s">
        <v>53</v>
      </c>
      <c r="AO37" s="44" t="s">
        <v>1499</v>
      </c>
      <c r="AP37" s="59" t="n">
        <v>46213</v>
      </c>
      <c r="AQ37" s="45" t="s">
        <v>373</v>
      </c>
      <c r="AR37" s="44" t="s">
        <v>1282</v>
      </c>
      <c r="AS37" s="44"/>
      <c r="AT37" s="44"/>
      <c r="AU37" s="44"/>
      <c r="AV37" s="44"/>
      <c r="AW37" s="44"/>
      <c r="AX37" s="44"/>
      <c r="AY37" s="44"/>
      <c r="AZ37" s="46"/>
    </row>
    <row r="38" customFormat="false" ht="18" hidden="false" customHeight="true" outlineLevel="0" collapsed="false">
      <c r="A38" s="47" t="s">
        <v>1437</v>
      </c>
      <c r="B38" s="48" t="s">
        <v>323</v>
      </c>
      <c r="C38" s="47" t="s">
        <v>1437</v>
      </c>
      <c r="D38" s="48" t="s">
        <v>324</v>
      </c>
      <c r="E38" s="48" t="s">
        <v>69</v>
      </c>
      <c r="F38" s="48" t="s">
        <v>1497</v>
      </c>
      <c r="G38" s="49" t="s">
        <v>1439</v>
      </c>
      <c r="H38" s="48" t="s">
        <v>1440</v>
      </c>
      <c r="I38" s="48" t="s">
        <v>1498</v>
      </c>
      <c r="J38" s="48" t="s">
        <v>18</v>
      </c>
      <c r="K38" s="48" t="s">
        <v>1150</v>
      </c>
      <c r="L38" s="48" t="s">
        <v>307</v>
      </c>
      <c r="M38" s="48"/>
      <c r="N38" s="50" t="s">
        <v>1443</v>
      </c>
      <c r="O38" s="51" t="s">
        <v>1159</v>
      </c>
      <c r="P38" s="52" t="n">
        <v>1</v>
      </c>
      <c r="Q38" s="52"/>
      <c r="R38" s="52" t="s">
        <v>1444</v>
      </c>
      <c r="S38" s="52" t="s">
        <v>1445</v>
      </c>
      <c r="T38" s="52" t="n">
        <v>1218.5777</v>
      </c>
      <c r="U38" s="53"/>
      <c r="V38" s="54"/>
      <c r="W38" s="55"/>
      <c r="X38" s="52"/>
      <c r="Y38" s="55"/>
      <c r="Z38" s="56"/>
      <c r="AA38" s="55"/>
      <c r="AB38" s="57" t="n">
        <v>270524.2494</v>
      </c>
      <c r="AC38" s="44" t="s">
        <v>1500</v>
      </c>
      <c r="AD38" s="44"/>
      <c r="AE38" s="44" t="n">
        <v>270524.2494</v>
      </c>
      <c r="AF38" s="44" t="s">
        <v>53</v>
      </c>
      <c r="AG38" s="44" t="n">
        <v>0</v>
      </c>
      <c r="AH38" s="58" t="s">
        <v>1439</v>
      </c>
      <c r="AI38" s="44" t="n">
        <v>0</v>
      </c>
      <c r="AJ38" s="44" t="s">
        <v>307</v>
      </c>
      <c r="AK38" s="44" t="s">
        <v>47</v>
      </c>
      <c r="AL38" s="44" t="s">
        <v>307</v>
      </c>
      <c r="AM38" s="44" t="n">
        <v>0</v>
      </c>
      <c r="AN38" s="44" t="s">
        <v>53</v>
      </c>
      <c r="AO38" s="44" t="s">
        <v>1500</v>
      </c>
      <c r="AP38" s="59" t="n">
        <v>46418</v>
      </c>
      <c r="AQ38" s="45" t="s">
        <v>322</v>
      </c>
      <c r="AR38" s="44" t="s">
        <v>1282</v>
      </c>
      <c r="AS38" s="44"/>
      <c r="AT38" s="44"/>
      <c r="AU38" s="44"/>
      <c r="AV38" s="44"/>
      <c r="AW38" s="44"/>
      <c r="AX38" s="44"/>
      <c r="AY38" s="44"/>
      <c r="AZ38" s="46"/>
    </row>
    <row r="39" customFormat="false" ht="18" hidden="false" customHeight="true" outlineLevel="0" collapsed="false">
      <c r="A39" s="47"/>
      <c r="B39" s="48" t="s">
        <v>411</v>
      </c>
      <c r="C39" s="47"/>
      <c r="D39" s="48" t="s">
        <v>324</v>
      </c>
      <c r="E39" s="48" t="s">
        <v>69</v>
      </c>
      <c r="F39" s="48" t="s">
        <v>1497</v>
      </c>
      <c r="G39" s="49" t="s">
        <v>1439</v>
      </c>
      <c r="H39" s="48" t="s">
        <v>1440</v>
      </c>
      <c r="I39" s="48" t="s">
        <v>1498</v>
      </c>
      <c r="J39" s="48" t="s">
        <v>1442</v>
      </c>
      <c r="K39" s="48" t="s">
        <v>36</v>
      </c>
      <c r="L39" s="48" t="s">
        <v>405</v>
      </c>
      <c r="M39" s="48"/>
      <c r="N39" s="50" t="s">
        <v>1443</v>
      </c>
      <c r="O39" s="51" t="s">
        <v>1159</v>
      </c>
      <c r="P39" s="52" t="n">
        <v>1</v>
      </c>
      <c r="Q39" s="52"/>
      <c r="R39" s="52"/>
      <c r="S39" s="52"/>
      <c r="T39" s="52"/>
      <c r="U39" s="53"/>
      <c r="V39" s="54"/>
      <c r="W39" s="55"/>
      <c r="X39" s="52"/>
      <c r="Y39" s="55"/>
      <c r="Z39" s="56"/>
      <c r="AA39" s="55"/>
      <c r="AB39" s="57" t="n">
        <v>0</v>
      </c>
      <c r="AC39" s="44" t="s">
        <v>1501</v>
      </c>
      <c r="AD39" s="44"/>
      <c r="AE39" s="44" t="n">
        <v>0</v>
      </c>
      <c r="AF39" s="44" t="s">
        <v>53</v>
      </c>
      <c r="AG39" s="44" t="n">
        <v>0</v>
      </c>
      <c r="AH39" s="58" t="s">
        <v>1439</v>
      </c>
      <c r="AI39" s="44" t="n">
        <v>0</v>
      </c>
      <c r="AJ39" s="44" t="s">
        <v>405</v>
      </c>
      <c r="AK39" s="44" t="s">
        <v>47</v>
      </c>
      <c r="AL39" s="44" t="s">
        <v>405</v>
      </c>
      <c r="AM39" s="44" t="n">
        <v>1</v>
      </c>
      <c r="AN39" s="44" t="s">
        <v>53</v>
      </c>
      <c r="AO39" s="44" t="s">
        <v>1501</v>
      </c>
      <c r="AP39" s="44"/>
      <c r="AQ39" s="45" t="s">
        <v>410</v>
      </c>
      <c r="AR39" s="44" t="s">
        <v>1282</v>
      </c>
      <c r="AS39" s="44"/>
      <c r="AT39" s="44"/>
      <c r="AU39" s="44"/>
      <c r="AV39" s="44"/>
      <c r="AW39" s="44"/>
      <c r="AX39" s="44"/>
      <c r="AY39" s="44"/>
      <c r="AZ39" s="46"/>
    </row>
    <row r="40" customFormat="false" ht="18" hidden="false" customHeight="true" outlineLevel="0" collapsed="false">
      <c r="A40" s="47" t="s">
        <v>1437</v>
      </c>
      <c r="B40" s="48" t="s">
        <v>413</v>
      </c>
      <c r="C40" s="47" t="s">
        <v>1437</v>
      </c>
      <c r="D40" s="48" t="s">
        <v>324</v>
      </c>
      <c r="E40" s="48" t="s">
        <v>69</v>
      </c>
      <c r="F40" s="48" t="s">
        <v>1497</v>
      </c>
      <c r="G40" s="49" t="s">
        <v>1439</v>
      </c>
      <c r="H40" s="48" t="s">
        <v>1440</v>
      </c>
      <c r="I40" s="48" t="s">
        <v>1498</v>
      </c>
      <c r="J40" s="48" t="s">
        <v>1442</v>
      </c>
      <c r="K40" s="48" t="s">
        <v>36</v>
      </c>
      <c r="L40" s="48" t="s">
        <v>405</v>
      </c>
      <c r="M40" s="48"/>
      <c r="N40" s="50" t="s">
        <v>1443</v>
      </c>
      <c r="O40" s="51" t="s">
        <v>1159</v>
      </c>
      <c r="P40" s="52" t="n">
        <v>1</v>
      </c>
      <c r="Q40" s="52"/>
      <c r="R40" s="52" t="s">
        <v>1444</v>
      </c>
      <c r="S40" s="52" t="s">
        <v>1445</v>
      </c>
      <c r="T40" s="52" t="n">
        <v>1190</v>
      </c>
      <c r="U40" s="53"/>
      <c r="V40" s="54"/>
      <c r="W40" s="55"/>
      <c r="X40" s="52"/>
      <c r="Y40" s="55"/>
      <c r="Z40" s="56"/>
      <c r="AA40" s="55"/>
      <c r="AB40" s="57" t="n">
        <v>264180</v>
      </c>
      <c r="AC40" s="44" t="s">
        <v>1502</v>
      </c>
      <c r="AD40" s="44"/>
      <c r="AE40" s="44" t="n">
        <v>264180</v>
      </c>
      <c r="AF40" s="44" t="s">
        <v>53</v>
      </c>
      <c r="AG40" s="44" t="n">
        <v>0</v>
      </c>
      <c r="AH40" s="58" t="s">
        <v>1439</v>
      </c>
      <c r="AI40" s="44" t="n">
        <v>0</v>
      </c>
      <c r="AJ40" s="44" t="s">
        <v>405</v>
      </c>
      <c r="AK40" s="44" t="s">
        <v>47</v>
      </c>
      <c r="AL40" s="44" t="s">
        <v>405</v>
      </c>
      <c r="AM40" s="44" t="n">
        <v>1</v>
      </c>
      <c r="AN40" s="44" t="s">
        <v>53</v>
      </c>
      <c r="AO40" s="44" t="s">
        <v>1502</v>
      </c>
      <c r="AP40" s="59" t="n">
        <v>46254</v>
      </c>
      <c r="AQ40" s="45" t="s">
        <v>412</v>
      </c>
      <c r="AR40" s="44" t="s">
        <v>1282</v>
      </c>
      <c r="AS40" s="44"/>
      <c r="AT40" s="44"/>
      <c r="AU40" s="44"/>
      <c r="AV40" s="44"/>
      <c r="AW40" s="44"/>
      <c r="AX40" s="44"/>
      <c r="AY40" s="44"/>
      <c r="AZ40" s="46"/>
    </row>
    <row r="41" customFormat="false" ht="18" hidden="false" customHeight="true" outlineLevel="0" collapsed="false">
      <c r="A41" s="47" t="s">
        <v>1437</v>
      </c>
      <c r="B41" s="48" t="s">
        <v>186</v>
      </c>
      <c r="C41" s="47" t="s">
        <v>1437</v>
      </c>
      <c r="D41" s="48" t="s">
        <v>77</v>
      </c>
      <c r="E41" s="48" t="s">
        <v>205</v>
      </c>
      <c r="F41" s="48" t="s">
        <v>1503</v>
      </c>
      <c r="G41" s="49" t="s">
        <v>1471</v>
      </c>
      <c r="H41" s="48" t="s">
        <v>14</v>
      </c>
      <c r="I41" s="48" t="s">
        <v>1504</v>
      </c>
      <c r="J41" s="48" t="s">
        <v>1442</v>
      </c>
      <c r="K41" s="48" t="s">
        <v>36</v>
      </c>
      <c r="L41" s="48" t="s">
        <v>184</v>
      </c>
      <c r="M41" s="48"/>
      <c r="N41" s="50" t="s">
        <v>1443</v>
      </c>
      <c r="O41" s="51" t="s">
        <v>1159</v>
      </c>
      <c r="P41" s="52" t="n">
        <v>1</v>
      </c>
      <c r="Q41" s="51"/>
      <c r="R41" s="52" t="s">
        <v>1453</v>
      </c>
      <c r="S41" s="52" t="s">
        <v>1455</v>
      </c>
      <c r="T41" s="52" t="n">
        <v>1000</v>
      </c>
      <c r="U41" s="53" t="n">
        <v>0</v>
      </c>
      <c r="V41" s="54"/>
      <c r="W41" s="55"/>
      <c r="X41" s="52"/>
      <c r="Y41" s="55"/>
      <c r="Z41" s="56"/>
      <c r="AA41" s="55"/>
      <c r="AB41" s="57" t="n">
        <v>222000</v>
      </c>
      <c r="AC41" s="44"/>
      <c r="AD41" s="44"/>
      <c r="AE41" s="44" t="n">
        <v>222000</v>
      </c>
      <c r="AF41" s="44" t="s">
        <v>53</v>
      </c>
      <c r="AG41" s="44" t="n">
        <v>0</v>
      </c>
      <c r="AH41" s="58" t="s">
        <v>14</v>
      </c>
      <c r="AI41" s="44" t="n">
        <v>0</v>
      </c>
      <c r="AJ41" s="44" t="s">
        <v>184</v>
      </c>
      <c r="AK41" s="44" t="s">
        <v>47</v>
      </c>
      <c r="AL41" s="44" t="s">
        <v>184</v>
      </c>
      <c r="AM41" s="44" t="n">
        <v>1</v>
      </c>
      <c r="AN41" s="44"/>
      <c r="AO41" s="44"/>
      <c r="AP41" s="44"/>
      <c r="AQ41" s="45" t="s">
        <v>185</v>
      </c>
      <c r="AR41" s="44" t="s">
        <v>1282</v>
      </c>
      <c r="AS41" s="44"/>
      <c r="AT41" s="44"/>
      <c r="AU41" s="44"/>
      <c r="AV41" s="44"/>
      <c r="AW41" s="44"/>
      <c r="AX41" s="44"/>
      <c r="AY41" s="44"/>
      <c r="AZ41" s="46"/>
    </row>
    <row r="42" customFormat="false" ht="18" hidden="false" customHeight="true" outlineLevel="0" collapsed="false">
      <c r="A42" s="47" t="s">
        <v>1437</v>
      </c>
      <c r="B42" s="48" t="s">
        <v>1117</v>
      </c>
      <c r="C42" s="47" t="s">
        <v>1437</v>
      </c>
      <c r="D42" s="48" t="s">
        <v>1118</v>
      </c>
      <c r="E42" s="48" t="s">
        <v>1505</v>
      </c>
      <c r="F42" s="48" t="s">
        <v>1506</v>
      </c>
      <c r="G42" s="49" t="s">
        <v>30</v>
      </c>
      <c r="H42" s="48" t="s">
        <v>36</v>
      </c>
      <c r="I42" s="48" t="s">
        <v>36</v>
      </c>
      <c r="J42" s="48" t="s">
        <v>36</v>
      </c>
      <c r="K42" s="48" t="s">
        <v>36</v>
      </c>
      <c r="L42" s="48" t="s">
        <v>36</v>
      </c>
      <c r="M42" s="48"/>
      <c r="N42" s="50" t="s">
        <v>1458</v>
      </c>
      <c r="O42" s="51" t="s">
        <v>1452</v>
      </c>
      <c r="P42" s="52" t="n">
        <v>1</v>
      </c>
      <c r="Q42" s="52"/>
      <c r="R42" s="52" t="s">
        <v>1453</v>
      </c>
      <c r="S42" s="52" t="s">
        <v>1455</v>
      </c>
      <c r="T42" s="52" t="n">
        <v>1250</v>
      </c>
      <c r="U42" s="53" t="n">
        <v>0</v>
      </c>
      <c r="V42" s="54"/>
      <c r="W42" s="55"/>
      <c r="X42" s="52"/>
      <c r="Y42" s="55"/>
      <c r="Z42" s="56"/>
      <c r="AA42" s="55"/>
      <c r="AB42" s="57" t="n">
        <v>277500</v>
      </c>
      <c r="AC42" s="44"/>
      <c r="AD42" s="44"/>
      <c r="AE42" s="44" t="n">
        <v>277500</v>
      </c>
      <c r="AF42" s="44" t="s">
        <v>53</v>
      </c>
      <c r="AG42" s="44" t="n">
        <v>0</v>
      </c>
      <c r="AH42" s="58" t="s">
        <v>36</v>
      </c>
      <c r="AI42" s="44" t="n">
        <v>0</v>
      </c>
      <c r="AJ42" s="44" t="s">
        <v>36</v>
      </c>
      <c r="AK42" s="44" t="s">
        <v>47</v>
      </c>
      <c r="AL42" s="44" t="s">
        <v>36</v>
      </c>
      <c r="AM42" s="44" t="n">
        <v>1</v>
      </c>
      <c r="AN42" s="44"/>
      <c r="AO42" s="44"/>
      <c r="AP42" s="44"/>
      <c r="AQ42" s="45" t="s">
        <v>1116</v>
      </c>
      <c r="AR42" s="44" t="s">
        <v>1282</v>
      </c>
      <c r="AS42" s="44"/>
      <c r="AT42" s="44"/>
      <c r="AU42" s="44"/>
      <c r="AV42" s="44"/>
      <c r="AW42" s="44"/>
      <c r="AX42" s="44"/>
      <c r="AY42" s="44"/>
      <c r="AZ42" s="46"/>
    </row>
    <row r="43" customFormat="false" ht="18" hidden="false" customHeight="true" outlineLevel="0" collapsed="false">
      <c r="A43" s="47" t="s">
        <v>1507</v>
      </c>
      <c r="B43" s="48" t="s">
        <v>69</v>
      </c>
      <c r="C43" s="47" t="s">
        <v>1507</v>
      </c>
      <c r="D43" s="48" t="s">
        <v>1508</v>
      </c>
      <c r="E43" s="48" t="s">
        <v>1509</v>
      </c>
      <c r="F43" s="48" t="s">
        <v>1510</v>
      </c>
      <c r="G43" s="49" t="s">
        <v>1511</v>
      </c>
      <c r="H43" s="48" t="s">
        <v>1255</v>
      </c>
      <c r="I43" s="48" t="s">
        <v>1159</v>
      </c>
      <c r="J43" s="48" t="s">
        <v>1159</v>
      </c>
      <c r="K43" s="48" t="s">
        <v>1159</v>
      </c>
      <c r="L43" s="48" t="s">
        <v>1159</v>
      </c>
      <c r="M43" s="48"/>
      <c r="N43" s="50" t="s">
        <v>1443</v>
      </c>
      <c r="O43" s="51" t="s">
        <v>1512</v>
      </c>
      <c r="P43" s="52" t="n">
        <v>1</v>
      </c>
      <c r="Q43" s="52"/>
      <c r="R43" s="52" t="s">
        <v>1513</v>
      </c>
      <c r="S43" s="52"/>
      <c r="T43" s="52"/>
      <c r="U43" s="53" t="n">
        <v>300000</v>
      </c>
      <c r="V43" s="54" t="n">
        <v>300000</v>
      </c>
      <c r="W43" s="55" t="n">
        <v>0.25</v>
      </c>
      <c r="X43" s="52" t="n">
        <v>0.055</v>
      </c>
      <c r="Y43" s="55" t="n">
        <v>0.12</v>
      </c>
      <c r="Z43" s="56"/>
      <c r="AA43" s="55" t="n">
        <v>0.04</v>
      </c>
      <c r="AB43" s="57" t="n">
        <v>439500</v>
      </c>
      <c r="AC43" s="44"/>
      <c r="AD43" s="44"/>
      <c r="AE43" s="44" t="n">
        <v>439500</v>
      </c>
      <c r="AF43" s="44" t="s">
        <v>69</v>
      </c>
      <c r="AG43" s="44" t="n">
        <v>0</v>
      </c>
      <c r="AH43" s="58" t="s">
        <v>1514</v>
      </c>
      <c r="AI43" s="44" t="n">
        <v>0</v>
      </c>
      <c r="AJ43" s="44" t="s">
        <v>1255</v>
      </c>
      <c r="AK43" s="44" t="s">
        <v>47</v>
      </c>
      <c r="AL43" s="44" t="s">
        <v>1255</v>
      </c>
      <c r="AM43" s="44" t="n">
        <v>0</v>
      </c>
      <c r="AN43" s="44"/>
      <c r="AO43" s="44"/>
      <c r="AP43" s="44"/>
      <c r="AQ43" s="45" t="s">
        <v>1385</v>
      </c>
      <c r="AR43" s="44" t="s">
        <v>1282</v>
      </c>
      <c r="AS43" s="44"/>
      <c r="AT43" s="44"/>
      <c r="AU43" s="44"/>
      <c r="AV43" s="44"/>
      <c r="AW43" s="44"/>
      <c r="AX43" s="44"/>
      <c r="AY43" s="44"/>
      <c r="AZ43" s="46"/>
    </row>
    <row r="44" customFormat="false" ht="18" hidden="false" customHeight="true" outlineLevel="0" collapsed="false">
      <c r="A44" s="47" t="n">
        <v>115527</v>
      </c>
      <c r="B44" s="48" t="s">
        <v>456</v>
      </c>
      <c r="C44" s="47" t="n">
        <v>115527</v>
      </c>
      <c r="D44" s="48" t="s">
        <v>457</v>
      </c>
      <c r="E44" s="48" t="s">
        <v>1515</v>
      </c>
      <c r="F44" s="48" t="s">
        <v>1516</v>
      </c>
      <c r="G44" s="49" t="s">
        <v>1439</v>
      </c>
      <c r="H44" s="48" t="s">
        <v>1465</v>
      </c>
      <c r="I44" s="48"/>
      <c r="J44" s="48" t="s">
        <v>1517</v>
      </c>
      <c r="K44" s="48" t="s">
        <v>1291</v>
      </c>
      <c r="L44" s="48" t="s">
        <v>454</v>
      </c>
      <c r="M44" s="48"/>
      <c r="N44" s="50" t="s">
        <v>1284</v>
      </c>
      <c r="O44" s="51" t="s">
        <v>1518</v>
      </c>
      <c r="P44" s="52" t="n">
        <v>1</v>
      </c>
      <c r="Q44" s="52"/>
      <c r="R44" s="52" t="s">
        <v>1519</v>
      </c>
      <c r="S44" s="52"/>
      <c r="T44" s="52"/>
      <c r="U44" s="53" t="n">
        <v>253260</v>
      </c>
      <c r="V44" s="54" t="n">
        <v>232999.2</v>
      </c>
      <c r="W44" s="55" t="n">
        <v>0.2</v>
      </c>
      <c r="X44" s="52"/>
      <c r="Y44" s="55" t="n">
        <v>0.05</v>
      </c>
      <c r="Z44" s="56" t="n">
        <v>2910</v>
      </c>
      <c r="AA44" s="55" t="n">
        <v>0.03</v>
      </c>
      <c r="AB44" s="57" t="n">
        <v>301148.976</v>
      </c>
      <c r="AC44" s="44"/>
      <c r="AD44" s="44"/>
      <c r="AE44" s="44" t="n">
        <v>301148.976</v>
      </c>
      <c r="AF44" s="44" t="s">
        <v>53</v>
      </c>
      <c r="AG44" s="44" t="n">
        <v>0</v>
      </c>
      <c r="AH44" s="58" t="s">
        <v>1439</v>
      </c>
      <c r="AI44" s="44" t="n">
        <v>0</v>
      </c>
      <c r="AJ44" s="44" t="s">
        <v>199</v>
      </c>
      <c r="AK44" s="44" t="s">
        <v>199</v>
      </c>
      <c r="AL44" s="44" t="s">
        <v>199</v>
      </c>
      <c r="AM44" s="44" t="n">
        <v>0</v>
      </c>
      <c r="AN44" s="44" t="s">
        <v>53</v>
      </c>
      <c r="AO44" s="44"/>
      <c r="AP44" s="44"/>
      <c r="AQ44" s="45" t="s">
        <v>455</v>
      </c>
      <c r="AR44" s="44" t="s">
        <v>1284</v>
      </c>
      <c r="AS44" s="44"/>
      <c r="AT44" s="44"/>
      <c r="AU44" s="44"/>
      <c r="AV44" s="44"/>
      <c r="AW44" s="44"/>
      <c r="AX44" s="44"/>
      <c r="AY44" s="44"/>
      <c r="AZ44" s="46"/>
    </row>
    <row r="45" customFormat="false" ht="18" hidden="false" customHeight="true" outlineLevel="0" collapsed="false">
      <c r="A45" s="47" t="n">
        <v>115519</v>
      </c>
      <c r="B45" s="48" t="s">
        <v>459</v>
      </c>
      <c r="C45" s="47" t="n">
        <v>115519</v>
      </c>
      <c r="D45" s="48" t="s">
        <v>460</v>
      </c>
      <c r="E45" s="48" t="s">
        <v>1515</v>
      </c>
      <c r="F45" s="48" t="s">
        <v>1516</v>
      </c>
      <c r="G45" s="49" t="s">
        <v>1439</v>
      </c>
      <c r="H45" s="48" t="s">
        <v>1440</v>
      </c>
      <c r="I45" s="48"/>
      <c r="J45" s="48" t="s">
        <v>18</v>
      </c>
      <c r="K45" s="48" t="s">
        <v>1291</v>
      </c>
      <c r="L45" s="48" t="s">
        <v>454</v>
      </c>
      <c r="M45" s="48"/>
      <c r="N45" s="50" t="s">
        <v>1284</v>
      </c>
      <c r="O45" s="51" t="s">
        <v>1518</v>
      </c>
      <c r="P45" s="52" t="n">
        <v>1</v>
      </c>
      <c r="Q45" s="51"/>
      <c r="R45" s="52" t="s">
        <v>1519</v>
      </c>
      <c r="S45" s="52"/>
      <c r="T45" s="52"/>
      <c r="U45" s="53" t="n">
        <v>230470</v>
      </c>
      <c r="V45" s="54" t="n">
        <v>212032.4</v>
      </c>
      <c r="W45" s="55" t="n">
        <v>0.2</v>
      </c>
      <c r="X45" s="52"/>
      <c r="Y45" s="55" t="n">
        <v>0.05</v>
      </c>
      <c r="Z45" s="56" t="n">
        <v>2910</v>
      </c>
      <c r="AA45" s="55" t="n">
        <v>0.03</v>
      </c>
      <c r="AB45" s="57" t="n">
        <v>274311.472</v>
      </c>
      <c r="AC45" s="44"/>
      <c r="AD45" s="44"/>
      <c r="AE45" s="44" t="n">
        <v>274311.472</v>
      </c>
      <c r="AF45" s="44" t="s">
        <v>53</v>
      </c>
      <c r="AG45" s="44" t="n">
        <v>0</v>
      </c>
      <c r="AH45" s="58" t="s">
        <v>1439</v>
      </c>
      <c r="AI45" s="44" t="n">
        <v>0</v>
      </c>
      <c r="AJ45" s="44" t="s">
        <v>199</v>
      </c>
      <c r="AK45" s="44" t="s">
        <v>199</v>
      </c>
      <c r="AL45" s="44" t="s">
        <v>199</v>
      </c>
      <c r="AM45" s="44" t="n">
        <v>0</v>
      </c>
      <c r="AN45" s="44" t="s">
        <v>53</v>
      </c>
      <c r="AO45" s="44"/>
      <c r="AP45" s="44"/>
      <c r="AQ45" s="45" t="s">
        <v>458</v>
      </c>
      <c r="AR45" s="44" t="s">
        <v>1284</v>
      </c>
      <c r="AS45" s="44"/>
      <c r="AT45" s="44"/>
      <c r="AU45" s="44"/>
      <c r="AV45" s="44"/>
      <c r="AW45" s="44"/>
      <c r="AX45" s="44"/>
      <c r="AY45" s="44"/>
      <c r="AZ45" s="46"/>
    </row>
    <row r="46" customFormat="false" ht="18" hidden="false" customHeight="true" outlineLevel="0" collapsed="false">
      <c r="A46" s="47" t="s">
        <v>1507</v>
      </c>
      <c r="B46" s="48" t="s">
        <v>69</v>
      </c>
      <c r="C46" s="47" t="s">
        <v>1507</v>
      </c>
      <c r="D46" s="48" t="s">
        <v>958</v>
      </c>
      <c r="E46" s="48" t="s">
        <v>1520</v>
      </c>
      <c r="F46" s="48" t="s">
        <v>1521</v>
      </c>
      <c r="G46" s="49" t="s">
        <v>30</v>
      </c>
      <c r="H46" s="48" t="s">
        <v>1479</v>
      </c>
      <c r="I46" s="48" t="s">
        <v>1452</v>
      </c>
      <c r="J46" s="48" t="s">
        <v>1149</v>
      </c>
      <c r="K46" s="48" t="s">
        <v>1149</v>
      </c>
      <c r="L46" s="48" t="s">
        <v>756</v>
      </c>
      <c r="M46" s="48"/>
      <c r="N46" s="50" t="s">
        <v>1443</v>
      </c>
      <c r="O46" s="51" t="s">
        <v>1522</v>
      </c>
      <c r="P46" s="52" t="n">
        <v>1</v>
      </c>
      <c r="Q46" s="51"/>
      <c r="R46" s="52" t="s">
        <v>1513</v>
      </c>
      <c r="S46" s="52"/>
      <c r="T46" s="52"/>
      <c r="U46" s="53" t="n">
        <v>235350</v>
      </c>
      <c r="V46" s="54" t="n">
        <v>235350</v>
      </c>
      <c r="W46" s="55" t="n">
        <v>0.2</v>
      </c>
      <c r="X46" s="52" t="n">
        <v>0.055</v>
      </c>
      <c r="Y46" s="55" t="n">
        <v>0.12</v>
      </c>
      <c r="Z46" s="56"/>
      <c r="AA46" s="55" t="n">
        <v>0.04</v>
      </c>
      <c r="AB46" s="57" t="n">
        <v>333020.25</v>
      </c>
      <c r="AC46" s="44"/>
      <c r="AD46" s="44"/>
      <c r="AE46" s="44" t="n">
        <v>333020.25</v>
      </c>
      <c r="AF46" s="44" t="s">
        <v>69</v>
      </c>
      <c r="AG46" s="44" t="n">
        <v>0</v>
      </c>
      <c r="AH46" s="58" t="s">
        <v>30</v>
      </c>
      <c r="AI46" s="44" t="n">
        <v>1</v>
      </c>
      <c r="AJ46" s="44" t="s">
        <v>756</v>
      </c>
      <c r="AK46" s="44" t="s">
        <v>199</v>
      </c>
      <c r="AL46" s="44" t="s">
        <v>199</v>
      </c>
      <c r="AM46" s="44" t="n">
        <v>0</v>
      </c>
      <c r="AN46" s="44"/>
      <c r="AO46" s="44"/>
      <c r="AP46" s="44"/>
      <c r="AQ46" s="45" t="s">
        <v>957</v>
      </c>
      <c r="AR46" s="44" t="s">
        <v>1282</v>
      </c>
      <c r="AS46" s="44"/>
      <c r="AT46" s="44"/>
      <c r="AU46" s="44"/>
      <c r="AV46" s="44"/>
      <c r="AW46" s="44"/>
      <c r="AX46" s="44"/>
      <c r="AY46" s="44"/>
      <c r="AZ46" s="46"/>
    </row>
    <row r="47" customFormat="false" ht="18" hidden="false" customHeight="true" outlineLevel="0" collapsed="false">
      <c r="A47" s="47" t="n">
        <v>4818</v>
      </c>
      <c r="B47" s="48" t="s">
        <v>800</v>
      </c>
      <c r="C47" s="47" t="n">
        <v>4818</v>
      </c>
      <c r="D47" s="48" t="s">
        <v>801</v>
      </c>
      <c r="E47" s="48" t="s">
        <v>1520</v>
      </c>
      <c r="F47" s="48" t="s">
        <v>1521</v>
      </c>
      <c r="G47" s="49" t="s">
        <v>30</v>
      </c>
      <c r="H47" s="48" t="s">
        <v>1297</v>
      </c>
      <c r="I47" s="48" t="s">
        <v>1452</v>
      </c>
      <c r="J47" s="48" t="s">
        <v>1297</v>
      </c>
      <c r="K47" s="48" t="s">
        <v>1297</v>
      </c>
      <c r="L47" s="48" t="s">
        <v>756</v>
      </c>
      <c r="M47" s="48"/>
      <c r="N47" s="50" t="s">
        <v>1443</v>
      </c>
      <c r="O47" s="51" t="s">
        <v>1522</v>
      </c>
      <c r="P47" s="52" t="n">
        <v>1</v>
      </c>
      <c r="Q47" s="51"/>
      <c r="R47" s="52" t="s">
        <v>1519</v>
      </c>
      <c r="S47" s="52"/>
      <c r="T47" s="52"/>
      <c r="U47" s="53" t="n">
        <v>257420</v>
      </c>
      <c r="V47" s="54" t="n">
        <v>257420</v>
      </c>
      <c r="W47" s="55" t="n">
        <v>0.2</v>
      </c>
      <c r="X47" s="52" t="n">
        <v>0.055</v>
      </c>
      <c r="Y47" s="55" t="n">
        <v>0.12</v>
      </c>
      <c r="Z47" s="56"/>
      <c r="AA47" s="55" t="n">
        <v>0.04</v>
      </c>
      <c r="AB47" s="57" t="n">
        <v>364249.3</v>
      </c>
      <c r="AC47" s="44"/>
      <c r="AD47" s="44"/>
      <c r="AE47" s="44" t="n">
        <v>364249.3</v>
      </c>
      <c r="AF47" s="44" t="s">
        <v>53</v>
      </c>
      <c r="AG47" s="44" t="n">
        <v>0</v>
      </c>
      <c r="AH47" s="58" t="s">
        <v>26</v>
      </c>
      <c r="AI47" s="44" t="n">
        <v>1</v>
      </c>
      <c r="AJ47" s="44" t="s">
        <v>756</v>
      </c>
      <c r="AK47" s="44" t="s">
        <v>199</v>
      </c>
      <c r="AL47" s="44" t="s">
        <v>199</v>
      </c>
      <c r="AM47" s="44" t="n">
        <v>0</v>
      </c>
      <c r="AN47" s="44"/>
      <c r="AO47" s="44"/>
      <c r="AP47" s="44"/>
      <c r="AQ47" s="45" t="s">
        <v>799</v>
      </c>
      <c r="AR47" s="44" t="s">
        <v>1282</v>
      </c>
      <c r="AS47" s="44"/>
      <c r="AT47" s="44"/>
      <c r="AU47" s="44"/>
      <c r="AV47" s="44"/>
      <c r="AW47" s="44"/>
      <c r="AX47" s="44"/>
      <c r="AY47" s="44"/>
      <c r="AZ47" s="46"/>
    </row>
    <row r="48" customFormat="false" ht="18" hidden="false" customHeight="true" outlineLevel="0" collapsed="false">
      <c r="A48" s="47" t="n">
        <v>100825</v>
      </c>
      <c r="B48" s="48" t="s">
        <v>1523</v>
      </c>
      <c r="C48" s="47" t="n">
        <v>100825</v>
      </c>
      <c r="D48" s="48" t="s">
        <v>1524</v>
      </c>
      <c r="E48" s="48" t="s">
        <v>1525</v>
      </c>
      <c r="F48" s="48" t="s">
        <v>1526</v>
      </c>
      <c r="G48" s="49" t="s">
        <v>1527</v>
      </c>
      <c r="H48" s="48" t="s">
        <v>1338</v>
      </c>
      <c r="I48" s="48" t="s">
        <v>1159</v>
      </c>
      <c r="J48" s="48" t="s">
        <v>1159</v>
      </c>
      <c r="K48" s="48" t="s">
        <v>1159</v>
      </c>
      <c r="L48" s="48" t="s">
        <v>1159</v>
      </c>
      <c r="M48" s="48"/>
      <c r="N48" s="50" t="s">
        <v>1443</v>
      </c>
      <c r="O48" s="51" t="s">
        <v>1522</v>
      </c>
      <c r="P48" s="52" t="n">
        <v>1</v>
      </c>
      <c r="Q48" s="52"/>
      <c r="R48" s="52" t="s">
        <v>1519</v>
      </c>
      <c r="S48" s="52"/>
      <c r="T48" s="52"/>
      <c r="U48" s="53" t="n">
        <v>270380</v>
      </c>
      <c r="V48" s="54" t="n">
        <v>270380</v>
      </c>
      <c r="W48" s="55" t="n">
        <v>0.2</v>
      </c>
      <c r="X48" s="52" t="n">
        <v>0.055</v>
      </c>
      <c r="Y48" s="55" t="n">
        <v>0.12</v>
      </c>
      <c r="Z48" s="56"/>
      <c r="AA48" s="55" t="n">
        <v>0.04</v>
      </c>
      <c r="AB48" s="57" t="n">
        <v>382587.7</v>
      </c>
      <c r="AC48" s="44"/>
      <c r="AD48" s="44"/>
      <c r="AE48" s="44" t="n">
        <v>382587.7</v>
      </c>
      <c r="AF48" s="44" t="s">
        <v>53</v>
      </c>
      <c r="AG48" s="44" t="n">
        <v>0</v>
      </c>
      <c r="AH48" s="58" t="s">
        <v>32</v>
      </c>
      <c r="AI48" s="44" t="n">
        <v>0</v>
      </c>
      <c r="AJ48" s="44" t="s">
        <v>1338</v>
      </c>
      <c r="AK48" s="44" t="s">
        <v>199</v>
      </c>
      <c r="AL48" s="44" t="s">
        <v>1338</v>
      </c>
      <c r="AM48" s="44" t="n">
        <v>0</v>
      </c>
      <c r="AN48" s="44"/>
      <c r="AO48" s="44"/>
      <c r="AP48" s="44"/>
      <c r="AQ48" s="45" t="s">
        <v>1337</v>
      </c>
      <c r="AR48" s="44" t="s">
        <v>1282</v>
      </c>
      <c r="AS48" s="44"/>
      <c r="AT48" s="44"/>
      <c r="AU48" s="44"/>
      <c r="AV48" s="44"/>
      <c r="AW48" s="44"/>
      <c r="AX48" s="44"/>
      <c r="AY48" s="44"/>
      <c r="AZ48" s="46"/>
    </row>
    <row r="49" customFormat="false" ht="18" hidden="false" customHeight="true" outlineLevel="0" collapsed="false">
      <c r="A49" s="47" t="n">
        <v>105647</v>
      </c>
      <c r="B49" s="48" t="s">
        <v>1528</v>
      </c>
      <c r="C49" s="47" t="n">
        <v>105647</v>
      </c>
      <c r="D49" s="48" t="s">
        <v>1529</v>
      </c>
      <c r="E49" s="48" t="s">
        <v>1525</v>
      </c>
      <c r="F49" s="48" t="s">
        <v>1530</v>
      </c>
      <c r="G49" s="49" t="s">
        <v>1527</v>
      </c>
      <c r="H49" s="48" t="s">
        <v>1251</v>
      </c>
      <c r="I49" s="48" t="s">
        <v>1159</v>
      </c>
      <c r="J49" s="48" t="s">
        <v>1159</v>
      </c>
      <c r="K49" s="48" t="s">
        <v>1159</v>
      </c>
      <c r="L49" s="48" t="s">
        <v>1159</v>
      </c>
      <c r="M49" s="48"/>
      <c r="N49" s="50" t="s">
        <v>1443</v>
      </c>
      <c r="O49" s="51" t="s">
        <v>1522</v>
      </c>
      <c r="P49" s="52" t="n">
        <v>1</v>
      </c>
      <c r="Q49" s="52"/>
      <c r="R49" s="52" t="s">
        <v>1519</v>
      </c>
      <c r="S49" s="52"/>
      <c r="T49" s="52"/>
      <c r="U49" s="53" t="n">
        <v>283160</v>
      </c>
      <c r="V49" s="54" t="n">
        <v>283160</v>
      </c>
      <c r="W49" s="55" t="n">
        <v>0.2</v>
      </c>
      <c r="X49" s="52" t="n">
        <v>0.055</v>
      </c>
      <c r="Y49" s="55" t="n">
        <v>0.12</v>
      </c>
      <c r="Z49" s="56"/>
      <c r="AA49" s="55" t="n">
        <v>0.04</v>
      </c>
      <c r="AB49" s="57" t="n">
        <v>400671.4</v>
      </c>
      <c r="AC49" s="44"/>
      <c r="AD49" s="44"/>
      <c r="AE49" s="44" t="n">
        <v>400671.4</v>
      </c>
      <c r="AF49" s="44" t="s">
        <v>53</v>
      </c>
      <c r="AG49" s="44" t="n">
        <v>0</v>
      </c>
      <c r="AH49" s="58" t="s">
        <v>27</v>
      </c>
      <c r="AI49" s="44" t="n">
        <v>0</v>
      </c>
      <c r="AJ49" s="44" t="s">
        <v>1251</v>
      </c>
      <c r="AK49" s="44" t="s">
        <v>199</v>
      </c>
      <c r="AL49" s="44" t="s">
        <v>1251</v>
      </c>
      <c r="AM49" s="44" t="n">
        <v>0</v>
      </c>
      <c r="AN49" s="44"/>
      <c r="AO49" s="44"/>
      <c r="AP49" s="44"/>
      <c r="AQ49" s="45" t="s">
        <v>1343</v>
      </c>
      <c r="AR49" s="44" t="s">
        <v>1282</v>
      </c>
      <c r="AS49" s="44"/>
      <c r="AT49" s="44"/>
      <c r="AU49" s="44"/>
      <c r="AV49" s="44"/>
      <c r="AW49" s="44"/>
      <c r="AX49" s="44"/>
      <c r="AY49" s="44"/>
      <c r="AZ49" s="46"/>
    </row>
    <row r="50" customFormat="false" ht="18" hidden="false" customHeight="true" outlineLevel="0" collapsed="false">
      <c r="A50" s="47" t="n">
        <v>106830</v>
      </c>
      <c r="B50" s="48" t="s">
        <v>1103</v>
      </c>
      <c r="C50" s="47" t="n">
        <v>106830</v>
      </c>
      <c r="D50" s="48" t="s">
        <v>1104</v>
      </c>
      <c r="E50" s="48" t="s">
        <v>1457</v>
      </c>
      <c r="F50" s="48" t="s">
        <v>1451</v>
      </c>
      <c r="G50" s="49" t="s">
        <v>36</v>
      </c>
      <c r="H50" s="48" t="s">
        <v>36</v>
      </c>
      <c r="I50" s="48" t="s">
        <v>36</v>
      </c>
      <c r="J50" s="48" t="s">
        <v>36</v>
      </c>
      <c r="K50" s="48" t="s">
        <v>36</v>
      </c>
      <c r="L50" s="48" t="s">
        <v>36</v>
      </c>
      <c r="M50" s="48"/>
      <c r="N50" s="50" t="s">
        <v>1443</v>
      </c>
      <c r="O50" s="51" t="s">
        <v>1522</v>
      </c>
      <c r="P50" s="52" t="n">
        <v>1</v>
      </c>
      <c r="Q50" s="52"/>
      <c r="R50" s="52" t="s">
        <v>1519</v>
      </c>
      <c r="S50" s="52"/>
      <c r="T50" s="52"/>
      <c r="U50" s="53" t="n">
        <v>230010</v>
      </c>
      <c r="V50" s="54" t="n">
        <v>230010</v>
      </c>
      <c r="W50" s="55" t="n">
        <v>0.2</v>
      </c>
      <c r="X50" s="52" t="n">
        <v>0.055</v>
      </c>
      <c r="Y50" s="55" t="n">
        <v>0.12</v>
      </c>
      <c r="Z50" s="56"/>
      <c r="AA50" s="55" t="n">
        <v>0.04</v>
      </c>
      <c r="AB50" s="57" t="n">
        <v>325464.15</v>
      </c>
      <c r="AC50" s="44"/>
      <c r="AD50" s="44"/>
      <c r="AE50" s="44" t="n">
        <v>325464.15</v>
      </c>
      <c r="AF50" s="44" t="s">
        <v>53</v>
      </c>
      <c r="AG50" s="44" t="n">
        <v>0</v>
      </c>
      <c r="AH50" s="58" t="s">
        <v>36</v>
      </c>
      <c r="AI50" s="44" t="n">
        <v>0</v>
      </c>
      <c r="AJ50" s="44" t="s">
        <v>36</v>
      </c>
      <c r="AK50" s="44" t="s">
        <v>47</v>
      </c>
      <c r="AL50" s="44" t="s">
        <v>36</v>
      </c>
      <c r="AM50" s="44" t="n">
        <v>1</v>
      </c>
      <c r="AN50" s="44"/>
      <c r="AO50" s="44"/>
      <c r="AP50" s="44"/>
      <c r="AQ50" s="45" t="s">
        <v>1102</v>
      </c>
      <c r="AR50" s="44" t="s">
        <v>1282</v>
      </c>
      <c r="AS50" s="44"/>
      <c r="AT50" s="44"/>
      <c r="AU50" s="44"/>
      <c r="AV50" s="44"/>
      <c r="AW50" s="44"/>
      <c r="AX50" s="44"/>
      <c r="AY50" s="44"/>
      <c r="AZ50" s="46"/>
    </row>
    <row r="51" customFormat="false" ht="18" hidden="false" customHeight="true" outlineLevel="0" collapsed="false">
      <c r="A51" s="47" t="n">
        <v>116999</v>
      </c>
      <c r="B51" s="48" t="s">
        <v>1061</v>
      </c>
      <c r="C51" s="47" t="n">
        <v>116999</v>
      </c>
      <c r="D51" s="48" t="s">
        <v>1062</v>
      </c>
      <c r="E51" s="48" t="s">
        <v>1058</v>
      </c>
      <c r="F51" s="48" t="s">
        <v>1059</v>
      </c>
      <c r="G51" s="49" t="s">
        <v>1531</v>
      </c>
      <c r="H51" s="48" t="s">
        <v>1151</v>
      </c>
      <c r="I51" s="48" t="s">
        <v>1532</v>
      </c>
      <c r="J51" s="48" t="s">
        <v>31</v>
      </c>
      <c r="K51" s="48" t="s">
        <v>756</v>
      </c>
      <c r="L51" s="48"/>
      <c r="M51" s="48"/>
      <c r="N51" s="50" t="s">
        <v>1284</v>
      </c>
      <c r="O51" s="51" t="s">
        <v>1522</v>
      </c>
      <c r="P51" s="52" t="n">
        <v>1</v>
      </c>
      <c r="Q51" s="51"/>
      <c r="R51" s="52" t="s">
        <v>1519</v>
      </c>
      <c r="S51" s="52"/>
      <c r="T51" s="52"/>
      <c r="U51" s="53" t="n">
        <v>270000</v>
      </c>
      <c r="V51" s="54" t="n">
        <v>248400</v>
      </c>
      <c r="W51" s="55" t="n">
        <v>0.2</v>
      </c>
      <c r="X51" s="52"/>
      <c r="Y51" s="55" t="n">
        <v>0.05</v>
      </c>
      <c r="Z51" s="56" t="n">
        <v>2910</v>
      </c>
      <c r="AA51" s="55" t="n">
        <v>0.03</v>
      </c>
      <c r="AB51" s="57" t="n">
        <v>320862</v>
      </c>
      <c r="AC51" s="44" t="n">
        <v>116999</v>
      </c>
      <c r="AD51" s="44"/>
      <c r="AE51" s="44" t="n">
        <v>320862</v>
      </c>
      <c r="AF51" s="44" t="s">
        <v>53</v>
      </c>
      <c r="AG51" s="44" t="n">
        <v>0</v>
      </c>
      <c r="AH51" s="58" t="s">
        <v>31</v>
      </c>
      <c r="AI51" s="44" t="n">
        <v>1</v>
      </c>
      <c r="AJ51" s="44" t="s">
        <v>756</v>
      </c>
      <c r="AK51" s="44" t="s">
        <v>206</v>
      </c>
      <c r="AL51" s="44" t="s">
        <v>206</v>
      </c>
      <c r="AM51" s="44" t="n">
        <v>0</v>
      </c>
      <c r="AN51" s="44"/>
      <c r="AO51" s="44"/>
      <c r="AP51" s="44"/>
      <c r="AQ51" s="45" t="s">
        <v>1060</v>
      </c>
      <c r="AR51" s="44" t="s">
        <v>1284</v>
      </c>
      <c r="AS51" s="44"/>
      <c r="AT51" s="44"/>
      <c r="AU51" s="44"/>
      <c r="AV51" s="44"/>
      <c r="AW51" s="44"/>
      <c r="AX51" s="44"/>
      <c r="AY51" s="44"/>
      <c r="AZ51" s="46"/>
    </row>
    <row r="52" customFormat="false" ht="18" hidden="false" customHeight="true" outlineLevel="0" collapsed="false">
      <c r="A52" s="47" t="n">
        <v>110144</v>
      </c>
      <c r="B52" s="48" t="s">
        <v>1533</v>
      </c>
      <c r="C52" s="47" t="n">
        <v>110144</v>
      </c>
      <c r="D52" s="48" t="s">
        <v>1534</v>
      </c>
      <c r="E52" s="48" t="s">
        <v>1058</v>
      </c>
      <c r="F52" s="48" t="s">
        <v>1059</v>
      </c>
      <c r="G52" s="49" t="s">
        <v>1531</v>
      </c>
      <c r="H52" s="48" t="s">
        <v>1151</v>
      </c>
      <c r="I52" s="48" t="s">
        <v>1535</v>
      </c>
      <c r="J52" s="48"/>
      <c r="K52" s="48"/>
      <c r="L52" s="48"/>
      <c r="M52" s="48"/>
      <c r="N52" s="50" t="s">
        <v>1443</v>
      </c>
      <c r="O52" s="51" t="s">
        <v>1522</v>
      </c>
      <c r="P52" s="52" t="n">
        <v>1</v>
      </c>
      <c r="Q52" s="51"/>
      <c r="R52" s="52" t="s">
        <v>1519</v>
      </c>
      <c r="S52" s="52"/>
      <c r="T52" s="52"/>
      <c r="U52" s="53" t="n">
        <v>275000</v>
      </c>
      <c r="V52" s="54" t="n">
        <v>275000</v>
      </c>
      <c r="W52" s="55" t="n">
        <v>0.2</v>
      </c>
      <c r="X52" s="52" t="n">
        <v>0.055</v>
      </c>
      <c r="Y52" s="55" t="n">
        <v>0.12</v>
      </c>
      <c r="Z52" s="56"/>
      <c r="AA52" s="55" t="n">
        <v>0.04</v>
      </c>
      <c r="AB52" s="57" t="n">
        <v>389125</v>
      </c>
      <c r="AC52" s="44"/>
      <c r="AD52" s="44"/>
      <c r="AE52" s="44" t="n">
        <v>389125</v>
      </c>
      <c r="AF52" s="44" t="s">
        <v>53</v>
      </c>
      <c r="AG52" s="44" t="n">
        <v>0</v>
      </c>
      <c r="AH52" s="58" t="s">
        <v>1536</v>
      </c>
      <c r="AI52" s="44" t="n">
        <v>0</v>
      </c>
      <c r="AJ52" s="44" t="s">
        <v>1151</v>
      </c>
      <c r="AK52" s="44" t="s">
        <v>47</v>
      </c>
      <c r="AL52" s="44" t="s">
        <v>1151</v>
      </c>
      <c r="AM52" s="44" t="n">
        <v>0</v>
      </c>
      <c r="AN52" s="44"/>
      <c r="AO52" s="44"/>
      <c r="AP52" s="44"/>
      <c r="AQ52" s="45" t="s">
        <v>1396</v>
      </c>
      <c r="AR52" s="44" t="s">
        <v>1282</v>
      </c>
      <c r="AS52" s="44"/>
      <c r="AT52" s="44"/>
      <c r="AU52" s="44"/>
      <c r="AV52" s="44"/>
      <c r="AW52" s="44"/>
      <c r="AX52" s="44"/>
      <c r="AY52" s="44"/>
      <c r="AZ52" s="46"/>
    </row>
    <row r="53" customFormat="false" ht="18" hidden="false" customHeight="true" outlineLevel="0" collapsed="false">
      <c r="A53" s="47" t="n">
        <v>80469</v>
      </c>
      <c r="B53" s="48" t="s">
        <v>1058</v>
      </c>
      <c r="C53" s="47" t="n">
        <v>80469</v>
      </c>
      <c r="D53" s="48" t="s">
        <v>1059</v>
      </c>
      <c r="E53" s="48" t="s">
        <v>1537</v>
      </c>
      <c r="F53" s="48" t="s">
        <v>1538</v>
      </c>
      <c r="G53" s="49" t="s">
        <v>1531</v>
      </c>
      <c r="H53" s="48" t="s">
        <v>1151</v>
      </c>
      <c r="I53" s="48" t="s">
        <v>756</v>
      </c>
      <c r="J53" s="48" t="s">
        <v>31</v>
      </c>
      <c r="K53" s="48" t="s">
        <v>756</v>
      </c>
      <c r="L53" s="48"/>
      <c r="M53" s="48"/>
      <c r="N53" s="50" t="s">
        <v>1443</v>
      </c>
      <c r="O53" s="51" t="s">
        <v>1522</v>
      </c>
      <c r="P53" s="52" t="n">
        <v>1</v>
      </c>
      <c r="Q53" s="51"/>
      <c r="R53" s="52" t="s">
        <v>1519</v>
      </c>
      <c r="S53" s="52"/>
      <c r="T53" s="52"/>
      <c r="U53" s="53" t="n">
        <v>289580</v>
      </c>
      <c r="V53" s="54" t="n">
        <v>289580</v>
      </c>
      <c r="W53" s="55" t="n">
        <v>0.2</v>
      </c>
      <c r="X53" s="52" t="n">
        <v>0.055</v>
      </c>
      <c r="Y53" s="55" t="n">
        <v>0.12</v>
      </c>
      <c r="Z53" s="56"/>
      <c r="AA53" s="55" t="n">
        <v>0.04</v>
      </c>
      <c r="AB53" s="57" t="n">
        <v>409755.7</v>
      </c>
      <c r="AC53" s="44"/>
      <c r="AD53" s="44"/>
      <c r="AE53" s="44" t="n">
        <v>409755.7</v>
      </c>
      <c r="AF53" s="44" t="s">
        <v>53</v>
      </c>
      <c r="AG53" s="44" t="n">
        <v>0</v>
      </c>
      <c r="AH53" s="58" t="s">
        <v>31</v>
      </c>
      <c r="AI53" s="44" t="n">
        <v>1</v>
      </c>
      <c r="AJ53" s="44" t="s">
        <v>756</v>
      </c>
      <c r="AK53" s="44" t="s">
        <v>199</v>
      </c>
      <c r="AL53" s="44" t="s">
        <v>199</v>
      </c>
      <c r="AM53" s="44" t="n">
        <v>0</v>
      </c>
      <c r="AN53" s="44"/>
      <c r="AO53" s="44"/>
      <c r="AP53" s="44"/>
      <c r="AQ53" s="45" t="s">
        <v>1057</v>
      </c>
      <c r="AR53" s="44" t="s">
        <v>1282</v>
      </c>
      <c r="AS53" s="44"/>
      <c r="AT53" s="44"/>
      <c r="AU53" s="44"/>
      <c r="AV53" s="44"/>
      <c r="AW53" s="44"/>
      <c r="AX53" s="44"/>
      <c r="AY53" s="44"/>
      <c r="AZ53" s="46"/>
    </row>
    <row r="54" customFormat="false" ht="18" hidden="false" customHeight="true" outlineLevel="0" collapsed="false">
      <c r="A54" s="47" t="n">
        <v>113381</v>
      </c>
      <c r="B54" s="48" t="s">
        <v>1539</v>
      </c>
      <c r="C54" s="47" t="n">
        <v>113381</v>
      </c>
      <c r="D54" s="48" t="s">
        <v>1540</v>
      </c>
      <c r="E54" s="48" t="s">
        <v>1537</v>
      </c>
      <c r="F54" s="48" t="s">
        <v>1538</v>
      </c>
      <c r="G54" s="49" t="s">
        <v>1531</v>
      </c>
      <c r="H54" s="48" t="s">
        <v>1541</v>
      </c>
      <c r="I54" s="48"/>
      <c r="J54" s="48"/>
      <c r="K54" s="48" t="s">
        <v>756</v>
      </c>
      <c r="L54" s="48"/>
      <c r="M54" s="48"/>
      <c r="N54" s="50" t="s">
        <v>1443</v>
      </c>
      <c r="O54" s="51" t="s">
        <v>1522</v>
      </c>
      <c r="P54" s="52" t="n">
        <v>1</v>
      </c>
      <c r="Q54" s="51"/>
      <c r="R54" s="52" t="s">
        <v>1519</v>
      </c>
      <c r="S54" s="52"/>
      <c r="T54" s="52"/>
      <c r="U54" s="53" t="n">
        <v>260840</v>
      </c>
      <c r="V54" s="54" t="n">
        <v>260840</v>
      </c>
      <c r="W54" s="55" t="n">
        <v>0.2</v>
      </c>
      <c r="X54" s="52" t="n">
        <v>0.055</v>
      </c>
      <c r="Y54" s="55" t="n">
        <v>0.12</v>
      </c>
      <c r="Z54" s="56"/>
      <c r="AA54" s="55" t="n">
        <v>0.04</v>
      </c>
      <c r="AB54" s="57" t="n">
        <v>369088.6</v>
      </c>
      <c r="AC54" s="44"/>
      <c r="AD54" s="44"/>
      <c r="AE54" s="44" t="n">
        <v>369088.6</v>
      </c>
      <c r="AF54" s="44" t="s">
        <v>53</v>
      </c>
      <c r="AG54" s="44" t="n">
        <v>0</v>
      </c>
      <c r="AH54" s="58" t="s">
        <v>1536</v>
      </c>
      <c r="AI54" s="44" t="n">
        <v>1</v>
      </c>
      <c r="AJ54" s="44" t="s">
        <v>756</v>
      </c>
      <c r="AK54" s="44" t="s">
        <v>203</v>
      </c>
      <c r="AL54" s="44" t="s">
        <v>756</v>
      </c>
      <c r="AM54" s="44" t="n">
        <v>0</v>
      </c>
      <c r="AN54" s="44"/>
      <c r="AO54" s="44"/>
      <c r="AP54" s="44"/>
      <c r="AQ54" s="45" t="s">
        <v>1311</v>
      </c>
      <c r="AR54" s="44" t="s">
        <v>1282</v>
      </c>
      <c r="AS54" s="44"/>
      <c r="AT54" s="44"/>
      <c r="AU54" s="44"/>
      <c r="AV54" s="44"/>
      <c r="AW54" s="44"/>
      <c r="AX54" s="44"/>
      <c r="AY54" s="44"/>
      <c r="AZ54" s="46"/>
    </row>
    <row r="55" customFormat="false" ht="18" hidden="false" customHeight="true" outlineLevel="0" collapsed="false">
      <c r="A55" s="47" t="s">
        <v>1507</v>
      </c>
      <c r="B55" s="48" t="s">
        <v>69</v>
      </c>
      <c r="C55" s="47" t="s">
        <v>1507</v>
      </c>
      <c r="D55" s="48" t="s">
        <v>1542</v>
      </c>
      <c r="E55" s="48" t="s">
        <v>1537</v>
      </c>
      <c r="F55" s="48" t="s">
        <v>1538</v>
      </c>
      <c r="G55" s="49" t="s">
        <v>1531</v>
      </c>
      <c r="H55" s="48" t="s">
        <v>1246</v>
      </c>
      <c r="I55" s="48" t="s">
        <v>1246</v>
      </c>
      <c r="J55" s="48"/>
      <c r="K55" s="48" t="s">
        <v>756</v>
      </c>
      <c r="L55" s="48"/>
      <c r="M55" s="48"/>
      <c r="N55" s="50" t="s">
        <v>1443</v>
      </c>
      <c r="O55" s="51" t="s">
        <v>1522</v>
      </c>
      <c r="P55" s="52" t="n">
        <v>1</v>
      </c>
      <c r="Q55" s="52"/>
      <c r="R55" s="52" t="s">
        <v>1513</v>
      </c>
      <c r="S55" s="52"/>
      <c r="T55" s="52"/>
      <c r="U55" s="53" t="n">
        <v>236730</v>
      </c>
      <c r="V55" s="54" t="n">
        <v>236730</v>
      </c>
      <c r="W55" s="55" t="n">
        <v>0.2</v>
      </c>
      <c r="X55" s="52" t="n">
        <v>0.055</v>
      </c>
      <c r="Y55" s="55" t="n">
        <v>0.12</v>
      </c>
      <c r="Z55" s="56"/>
      <c r="AA55" s="55" t="n">
        <v>0.04</v>
      </c>
      <c r="AB55" s="57" t="n">
        <v>334972.95</v>
      </c>
      <c r="AC55" s="44"/>
      <c r="AD55" s="44"/>
      <c r="AE55" s="44" t="n">
        <v>334972.95</v>
      </c>
      <c r="AF55" s="44" t="s">
        <v>69</v>
      </c>
      <c r="AG55" s="44" t="n">
        <v>0</v>
      </c>
      <c r="AH55" s="58" t="s">
        <v>1536</v>
      </c>
      <c r="AI55" s="44" t="n">
        <v>1</v>
      </c>
      <c r="AJ55" s="44" t="s">
        <v>756</v>
      </c>
      <c r="AK55" s="44" t="s">
        <v>199</v>
      </c>
      <c r="AL55" s="44" t="s">
        <v>756</v>
      </c>
      <c r="AM55" s="44" t="n">
        <v>0</v>
      </c>
      <c r="AN55" s="44"/>
      <c r="AO55" s="44"/>
      <c r="AP55" s="44"/>
      <c r="AQ55" s="45" t="s">
        <v>1312</v>
      </c>
      <c r="AR55" s="44" t="s">
        <v>1282</v>
      </c>
      <c r="AS55" s="44"/>
      <c r="AT55" s="44"/>
      <c r="AU55" s="44"/>
      <c r="AV55" s="44"/>
      <c r="AW55" s="44"/>
      <c r="AX55" s="44"/>
      <c r="AY55" s="44"/>
      <c r="AZ55" s="46"/>
    </row>
    <row r="56" customFormat="false" ht="18" hidden="false" customHeight="true" outlineLevel="0" collapsed="false">
      <c r="A56" s="47" t="s">
        <v>1507</v>
      </c>
      <c r="B56" s="48" t="s">
        <v>69</v>
      </c>
      <c r="C56" s="47" t="s">
        <v>1507</v>
      </c>
      <c r="D56" s="48" t="s">
        <v>1543</v>
      </c>
      <c r="E56" s="48" t="s">
        <v>1537</v>
      </c>
      <c r="F56" s="48" t="s">
        <v>1538</v>
      </c>
      <c r="G56" s="49" t="s">
        <v>1531</v>
      </c>
      <c r="H56" s="48" t="s">
        <v>1248</v>
      </c>
      <c r="I56" s="48" t="s">
        <v>1248</v>
      </c>
      <c r="J56" s="48"/>
      <c r="K56" s="48" t="s">
        <v>756</v>
      </c>
      <c r="L56" s="48"/>
      <c r="M56" s="48"/>
      <c r="N56" s="50" t="s">
        <v>1443</v>
      </c>
      <c r="O56" s="51" t="s">
        <v>1522</v>
      </c>
      <c r="P56" s="52" t="n">
        <v>1</v>
      </c>
      <c r="Q56" s="51"/>
      <c r="R56" s="52" t="s">
        <v>1513</v>
      </c>
      <c r="S56" s="52"/>
      <c r="T56" s="52"/>
      <c r="U56" s="53" t="n">
        <v>235350</v>
      </c>
      <c r="V56" s="54" t="n">
        <v>235350</v>
      </c>
      <c r="W56" s="55" t="n">
        <v>0.2</v>
      </c>
      <c r="X56" s="52" t="n">
        <v>0.055</v>
      </c>
      <c r="Y56" s="55" t="n">
        <v>0.12</v>
      </c>
      <c r="Z56" s="56"/>
      <c r="AA56" s="55" t="n">
        <v>0.04</v>
      </c>
      <c r="AB56" s="57" t="n">
        <v>333020.25</v>
      </c>
      <c r="AC56" s="44"/>
      <c r="AD56" s="44"/>
      <c r="AE56" s="44" t="n">
        <v>333020.25</v>
      </c>
      <c r="AF56" s="44" t="s">
        <v>69</v>
      </c>
      <c r="AG56" s="44" t="n">
        <v>0</v>
      </c>
      <c r="AH56" s="58" t="s">
        <v>1536</v>
      </c>
      <c r="AI56" s="44" t="n">
        <v>1</v>
      </c>
      <c r="AJ56" s="44" t="s">
        <v>756</v>
      </c>
      <c r="AK56" s="44" t="s">
        <v>199</v>
      </c>
      <c r="AL56" s="44" t="s">
        <v>756</v>
      </c>
      <c r="AM56" s="44" t="n">
        <v>0</v>
      </c>
      <c r="AN56" s="44"/>
      <c r="AO56" s="44"/>
      <c r="AP56" s="44"/>
      <c r="AQ56" s="45" t="s">
        <v>1313</v>
      </c>
      <c r="AR56" s="44" t="s">
        <v>1282</v>
      </c>
      <c r="AS56" s="44"/>
      <c r="AT56" s="44"/>
      <c r="AU56" s="44"/>
      <c r="AV56" s="44"/>
      <c r="AW56" s="44"/>
      <c r="AX56" s="44"/>
      <c r="AY56" s="44"/>
      <c r="AZ56" s="46"/>
    </row>
    <row r="57" customFormat="false" ht="18" hidden="false" customHeight="true" outlineLevel="0" collapsed="false">
      <c r="A57" s="47" t="n">
        <v>102411</v>
      </c>
      <c r="B57" s="48" t="s">
        <v>1544</v>
      </c>
      <c r="C57" s="47" t="n">
        <v>102411</v>
      </c>
      <c r="D57" s="48" t="s">
        <v>1545</v>
      </c>
      <c r="E57" s="48" t="s">
        <v>1509</v>
      </c>
      <c r="F57" s="48" t="s">
        <v>1510</v>
      </c>
      <c r="G57" s="49" t="s">
        <v>1511</v>
      </c>
      <c r="H57" s="48" t="s">
        <v>1256</v>
      </c>
      <c r="I57" s="48" t="s">
        <v>1159</v>
      </c>
      <c r="J57" s="48" t="s">
        <v>1159</v>
      </c>
      <c r="K57" s="48" t="s">
        <v>1159</v>
      </c>
      <c r="L57" s="48" t="s">
        <v>1159</v>
      </c>
      <c r="M57" s="48"/>
      <c r="N57" s="50" t="s">
        <v>1443</v>
      </c>
      <c r="O57" s="51" t="s">
        <v>1522</v>
      </c>
      <c r="P57" s="52" t="n">
        <v>1</v>
      </c>
      <c r="Q57" s="52"/>
      <c r="R57" s="52" t="s">
        <v>1519</v>
      </c>
      <c r="S57" s="52"/>
      <c r="T57" s="52"/>
      <c r="U57" s="53" t="n">
        <v>210000</v>
      </c>
      <c r="V57" s="54" t="n">
        <v>210000</v>
      </c>
      <c r="W57" s="55" t="n">
        <v>0.2</v>
      </c>
      <c r="X57" s="52" t="n">
        <v>0.055</v>
      </c>
      <c r="Y57" s="55" t="n">
        <v>0.12</v>
      </c>
      <c r="Z57" s="56"/>
      <c r="AA57" s="55" t="n">
        <v>0.04</v>
      </c>
      <c r="AB57" s="57" t="n">
        <v>297150</v>
      </c>
      <c r="AC57" s="44"/>
      <c r="AD57" s="44"/>
      <c r="AE57" s="44" t="n">
        <v>297150</v>
      </c>
      <c r="AF57" s="44" t="s">
        <v>53</v>
      </c>
      <c r="AG57" s="44" t="n">
        <v>0</v>
      </c>
      <c r="AH57" s="58" t="s">
        <v>1514</v>
      </c>
      <c r="AI57" s="44" t="n">
        <v>0</v>
      </c>
      <c r="AJ57" s="44" t="s">
        <v>1256</v>
      </c>
      <c r="AK57" s="44" t="s">
        <v>1546</v>
      </c>
      <c r="AL57" s="44" t="s">
        <v>1256</v>
      </c>
      <c r="AM57" s="44" t="n">
        <v>0</v>
      </c>
      <c r="AN57" s="44"/>
      <c r="AO57" s="44"/>
      <c r="AP57" s="44"/>
      <c r="AQ57" s="45" t="s">
        <v>1389</v>
      </c>
      <c r="AR57" s="44" t="s">
        <v>1282</v>
      </c>
      <c r="AS57" s="44"/>
      <c r="AT57" s="44"/>
      <c r="AU57" s="44"/>
      <c r="AV57" s="44"/>
      <c r="AW57" s="44"/>
      <c r="AX57" s="44"/>
      <c r="AY57" s="44"/>
      <c r="AZ57" s="46"/>
    </row>
    <row r="58" customFormat="false" ht="18" hidden="false" customHeight="true" outlineLevel="0" collapsed="false">
      <c r="A58" s="47" t="n">
        <v>116540</v>
      </c>
      <c r="B58" s="48" t="s">
        <v>1547</v>
      </c>
      <c r="C58" s="47" t="n">
        <v>116540</v>
      </c>
      <c r="D58" s="48" t="s">
        <v>1548</v>
      </c>
      <c r="E58" s="48" t="s">
        <v>1509</v>
      </c>
      <c r="F58" s="48" t="s">
        <v>1510</v>
      </c>
      <c r="G58" s="49" t="s">
        <v>1511</v>
      </c>
      <c r="H58" s="48" t="s">
        <v>1256</v>
      </c>
      <c r="I58" s="48" t="s">
        <v>1159</v>
      </c>
      <c r="J58" s="48" t="s">
        <v>1159</v>
      </c>
      <c r="K58" s="48" t="s">
        <v>1159</v>
      </c>
      <c r="L58" s="48" t="s">
        <v>1159</v>
      </c>
      <c r="M58" s="48"/>
      <c r="N58" s="50" t="s">
        <v>1549</v>
      </c>
      <c r="O58" s="51" t="s">
        <v>1522</v>
      </c>
      <c r="P58" s="52" t="n">
        <v>1</v>
      </c>
      <c r="Q58" s="51"/>
      <c r="R58" s="52" t="s">
        <v>1519</v>
      </c>
      <c r="S58" s="52"/>
      <c r="T58" s="52"/>
      <c r="U58" s="53" t="n">
        <v>350000</v>
      </c>
      <c r="V58" s="54" t="n">
        <v>423500</v>
      </c>
      <c r="W58" s="55" t="n">
        <v>0.35</v>
      </c>
      <c r="X58" s="52"/>
      <c r="Y58" s="55" t="n">
        <v>0.17</v>
      </c>
      <c r="Z58" s="56" t="n">
        <v>3310</v>
      </c>
      <c r="AA58" s="55" t="n">
        <v>0.045</v>
      </c>
      <c r="AB58" s="57" t="n">
        <v>666087.5</v>
      </c>
      <c r="AC58" s="44"/>
      <c r="AD58" s="44"/>
      <c r="AE58" s="44" t="n">
        <v>666087.5</v>
      </c>
      <c r="AF58" s="44" t="s">
        <v>53</v>
      </c>
      <c r="AG58" s="44" t="n">
        <v>0</v>
      </c>
      <c r="AH58" s="58" t="s">
        <v>1514</v>
      </c>
      <c r="AI58" s="44" t="n">
        <v>0</v>
      </c>
      <c r="AJ58" s="44" t="s">
        <v>1256</v>
      </c>
      <c r="AK58" s="44" t="s">
        <v>1546</v>
      </c>
      <c r="AL58" s="44" t="s">
        <v>1256</v>
      </c>
      <c r="AM58" s="44" t="n">
        <v>0</v>
      </c>
      <c r="AN58" s="44"/>
      <c r="AO58" s="44"/>
      <c r="AP58" s="44"/>
      <c r="AQ58" s="45" t="s">
        <v>1390</v>
      </c>
      <c r="AR58" s="44" t="s">
        <v>1282</v>
      </c>
      <c r="AS58" s="44"/>
      <c r="AT58" s="44"/>
      <c r="AU58" s="44"/>
      <c r="AV58" s="44"/>
      <c r="AW58" s="44"/>
      <c r="AX58" s="44"/>
      <c r="AY58" s="44"/>
      <c r="AZ58" s="46"/>
    </row>
    <row r="59" customFormat="false" ht="18" hidden="false" customHeight="true" outlineLevel="0" collapsed="false">
      <c r="A59" s="47" t="n">
        <v>116452</v>
      </c>
      <c r="B59" s="48" t="s">
        <v>1550</v>
      </c>
      <c r="C59" s="47" t="n">
        <v>116452</v>
      </c>
      <c r="D59" s="48" t="s">
        <v>1551</v>
      </c>
      <c r="E59" s="48" t="s">
        <v>1509</v>
      </c>
      <c r="F59" s="48" t="s">
        <v>1510</v>
      </c>
      <c r="G59" s="49" t="s">
        <v>1511</v>
      </c>
      <c r="H59" s="48" t="s">
        <v>1256</v>
      </c>
      <c r="I59" s="48" t="s">
        <v>1159</v>
      </c>
      <c r="J59" s="48" t="s">
        <v>1159</v>
      </c>
      <c r="K59" s="48" t="s">
        <v>1159</v>
      </c>
      <c r="L59" s="48" t="s">
        <v>1159</v>
      </c>
      <c r="M59" s="48"/>
      <c r="N59" s="50" t="s">
        <v>1284</v>
      </c>
      <c r="O59" s="51" t="s">
        <v>1522</v>
      </c>
      <c r="P59" s="52" t="n">
        <v>1</v>
      </c>
      <c r="Q59" s="51"/>
      <c r="R59" s="52" t="s">
        <v>1519</v>
      </c>
      <c r="S59" s="52"/>
      <c r="T59" s="52"/>
      <c r="U59" s="53" t="n">
        <v>245000</v>
      </c>
      <c r="V59" s="54" t="n">
        <v>225400</v>
      </c>
      <c r="W59" s="55" t="n">
        <v>0.2</v>
      </c>
      <c r="X59" s="52"/>
      <c r="Y59" s="55" t="n">
        <v>0.05</v>
      </c>
      <c r="Z59" s="56" t="n">
        <v>2910</v>
      </c>
      <c r="AA59" s="55" t="n">
        <v>0.03</v>
      </c>
      <c r="AB59" s="57" t="n">
        <v>291422</v>
      </c>
      <c r="AC59" s="44"/>
      <c r="AD59" s="44"/>
      <c r="AE59" s="44" t="n">
        <v>291422</v>
      </c>
      <c r="AF59" s="44" t="s">
        <v>53</v>
      </c>
      <c r="AG59" s="44" t="n">
        <v>0</v>
      </c>
      <c r="AH59" s="58" t="s">
        <v>1514</v>
      </c>
      <c r="AI59" s="44" t="n">
        <v>0</v>
      </c>
      <c r="AJ59" s="44" t="s">
        <v>1256</v>
      </c>
      <c r="AK59" s="44" t="s">
        <v>1546</v>
      </c>
      <c r="AL59" s="44" t="s">
        <v>1256</v>
      </c>
      <c r="AM59" s="44" t="n">
        <v>0</v>
      </c>
      <c r="AN59" s="44"/>
      <c r="AO59" s="44"/>
      <c r="AP59" s="44"/>
      <c r="AQ59" s="45" t="s">
        <v>1391</v>
      </c>
      <c r="AR59" s="44" t="s">
        <v>1284</v>
      </c>
      <c r="AS59" s="44"/>
      <c r="AT59" s="44"/>
      <c r="AU59" s="44"/>
      <c r="AV59" s="44"/>
      <c r="AW59" s="44"/>
      <c r="AX59" s="44"/>
      <c r="AY59" s="44"/>
      <c r="AZ59" s="46"/>
    </row>
    <row r="60" customFormat="false" ht="18" hidden="false" customHeight="true" outlineLevel="0" collapsed="false">
      <c r="A60" s="47" t="n">
        <v>113935</v>
      </c>
      <c r="B60" s="48" t="s">
        <v>1552</v>
      </c>
      <c r="C60" s="47" t="n">
        <v>113935</v>
      </c>
      <c r="D60" s="48" t="s">
        <v>1553</v>
      </c>
      <c r="E60" s="48" t="s">
        <v>1509</v>
      </c>
      <c r="F60" s="48" t="s">
        <v>1510</v>
      </c>
      <c r="G60" s="49" t="s">
        <v>1511</v>
      </c>
      <c r="H60" s="48" t="s">
        <v>1256</v>
      </c>
      <c r="I60" s="48" t="s">
        <v>1159</v>
      </c>
      <c r="J60" s="48" t="s">
        <v>1159</v>
      </c>
      <c r="K60" s="48" t="s">
        <v>1159</v>
      </c>
      <c r="L60" s="48" t="s">
        <v>1159</v>
      </c>
      <c r="M60" s="48"/>
      <c r="N60" s="50" t="s">
        <v>1443</v>
      </c>
      <c r="O60" s="51" t="s">
        <v>1522</v>
      </c>
      <c r="P60" s="52" t="n">
        <v>1</v>
      </c>
      <c r="Q60" s="51"/>
      <c r="R60" s="52" t="s">
        <v>1519</v>
      </c>
      <c r="S60" s="52"/>
      <c r="T60" s="52"/>
      <c r="U60" s="53" t="n">
        <v>295000</v>
      </c>
      <c r="V60" s="54" t="n">
        <v>295000</v>
      </c>
      <c r="W60" s="55" t="n">
        <v>0.2</v>
      </c>
      <c r="X60" s="52" t="n">
        <v>0.055</v>
      </c>
      <c r="Y60" s="55" t="n">
        <v>0.12</v>
      </c>
      <c r="Z60" s="56"/>
      <c r="AA60" s="55" t="n">
        <v>0.04</v>
      </c>
      <c r="AB60" s="57" t="n">
        <v>417425</v>
      </c>
      <c r="AC60" s="44"/>
      <c r="AD60" s="44"/>
      <c r="AE60" s="44" t="n">
        <v>417425</v>
      </c>
      <c r="AF60" s="44" t="s">
        <v>53</v>
      </c>
      <c r="AG60" s="44" t="n">
        <v>0</v>
      </c>
      <c r="AH60" s="58" t="s">
        <v>1514</v>
      </c>
      <c r="AI60" s="44" t="n">
        <v>0</v>
      </c>
      <c r="AJ60" s="44" t="s">
        <v>1256</v>
      </c>
      <c r="AK60" s="44" t="s">
        <v>1546</v>
      </c>
      <c r="AL60" s="44" t="s">
        <v>1256</v>
      </c>
      <c r="AM60" s="44" t="n">
        <v>0</v>
      </c>
      <c r="AN60" s="44"/>
      <c r="AO60" s="44"/>
      <c r="AP60" s="44"/>
      <c r="AQ60" s="45" t="s">
        <v>1392</v>
      </c>
      <c r="AR60" s="44" t="s">
        <v>1282</v>
      </c>
      <c r="AS60" s="44"/>
      <c r="AT60" s="44"/>
      <c r="AU60" s="44"/>
      <c r="AV60" s="44"/>
      <c r="AW60" s="44"/>
      <c r="AX60" s="44"/>
      <c r="AY60" s="44"/>
      <c r="AZ60" s="46"/>
    </row>
    <row r="61" customFormat="false" ht="18" hidden="false" customHeight="true" outlineLevel="0" collapsed="false">
      <c r="A61" s="47" t="n">
        <v>101862</v>
      </c>
      <c r="B61" s="48" t="s">
        <v>1554</v>
      </c>
      <c r="C61" s="47" t="n">
        <v>101862</v>
      </c>
      <c r="D61" s="48" t="s">
        <v>1555</v>
      </c>
      <c r="E61" s="48" t="s">
        <v>1509</v>
      </c>
      <c r="F61" s="48" t="s">
        <v>1510</v>
      </c>
      <c r="G61" s="49" t="s">
        <v>1511</v>
      </c>
      <c r="H61" s="48" t="s">
        <v>1256</v>
      </c>
      <c r="I61" s="48" t="s">
        <v>1159</v>
      </c>
      <c r="J61" s="48" t="s">
        <v>1159</v>
      </c>
      <c r="K61" s="48" t="s">
        <v>1159</v>
      </c>
      <c r="L61" s="48" t="s">
        <v>1159</v>
      </c>
      <c r="M61" s="48"/>
      <c r="N61" s="50" t="s">
        <v>1443</v>
      </c>
      <c r="O61" s="51" t="s">
        <v>1522</v>
      </c>
      <c r="P61" s="52" t="n">
        <v>1</v>
      </c>
      <c r="Q61" s="51"/>
      <c r="R61" s="52" t="s">
        <v>1519</v>
      </c>
      <c r="S61" s="52"/>
      <c r="T61" s="52"/>
      <c r="U61" s="53" t="n">
        <v>242660</v>
      </c>
      <c r="V61" s="54" t="n">
        <v>242660</v>
      </c>
      <c r="W61" s="55" t="n">
        <v>0.2</v>
      </c>
      <c r="X61" s="52" t="n">
        <v>0.055</v>
      </c>
      <c r="Y61" s="55" t="n">
        <v>0.12</v>
      </c>
      <c r="Z61" s="56"/>
      <c r="AA61" s="55" t="n">
        <v>0.04</v>
      </c>
      <c r="AB61" s="57" t="n">
        <v>343363.9</v>
      </c>
      <c r="AC61" s="44"/>
      <c r="AD61" s="44"/>
      <c r="AE61" s="44" t="n">
        <v>343363.9</v>
      </c>
      <c r="AF61" s="44" t="s">
        <v>53</v>
      </c>
      <c r="AG61" s="44" t="n">
        <v>0</v>
      </c>
      <c r="AH61" s="58" t="s">
        <v>1514</v>
      </c>
      <c r="AI61" s="44" t="n">
        <v>0</v>
      </c>
      <c r="AJ61" s="44" t="s">
        <v>1256</v>
      </c>
      <c r="AK61" s="44" t="s">
        <v>1546</v>
      </c>
      <c r="AL61" s="44" t="s">
        <v>1256</v>
      </c>
      <c r="AM61" s="44" t="n">
        <v>0</v>
      </c>
      <c r="AN61" s="44"/>
      <c r="AO61" s="44"/>
      <c r="AP61" s="44"/>
      <c r="AQ61" s="45" t="s">
        <v>1393</v>
      </c>
      <c r="AR61" s="44" t="s">
        <v>1282</v>
      </c>
      <c r="AS61" s="44"/>
      <c r="AT61" s="44"/>
      <c r="AU61" s="44"/>
      <c r="AV61" s="44"/>
      <c r="AW61" s="44"/>
      <c r="AX61" s="44"/>
      <c r="AY61" s="44"/>
      <c r="AZ61" s="46"/>
    </row>
    <row r="62" customFormat="false" ht="18" hidden="false" customHeight="true" outlineLevel="0" collapsed="false">
      <c r="A62" s="47" t="n">
        <v>117837</v>
      </c>
      <c r="B62" s="48" t="s">
        <v>1556</v>
      </c>
      <c r="C62" s="47" t="n">
        <v>117837</v>
      </c>
      <c r="D62" s="48" t="s">
        <v>1557</v>
      </c>
      <c r="E62" s="48" t="s">
        <v>1509</v>
      </c>
      <c r="F62" s="48" t="s">
        <v>1558</v>
      </c>
      <c r="G62" s="49" t="s">
        <v>1511</v>
      </c>
      <c r="H62" s="48" t="s">
        <v>1253</v>
      </c>
      <c r="I62" s="48" t="s">
        <v>1159</v>
      </c>
      <c r="J62" s="48" t="s">
        <v>1159</v>
      </c>
      <c r="K62" s="48" t="s">
        <v>1159</v>
      </c>
      <c r="L62" s="48" t="s">
        <v>1159</v>
      </c>
      <c r="M62" s="48"/>
      <c r="N62" s="50" t="s">
        <v>1443</v>
      </c>
      <c r="O62" s="51" t="s">
        <v>1522</v>
      </c>
      <c r="P62" s="52" t="n">
        <v>1</v>
      </c>
      <c r="Q62" s="52"/>
      <c r="R62" s="52" t="s">
        <v>1513</v>
      </c>
      <c r="S62" s="52"/>
      <c r="T62" s="52"/>
      <c r="U62" s="53" t="n">
        <v>260000</v>
      </c>
      <c r="V62" s="54" t="n">
        <v>260000</v>
      </c>
      <c r="W62" s="55" t="n">
        <v>0.2</v>
      </c>
      <c r="X62" s="52" t="n">
        <v>0.055</v>
      </c>
      <c r="Y62" s="55" t="n">
        <v>0.12</v>
      </c>
      <c r="Z62" s="56"/>
      <c r="AA62" s="55" t="n">
        <v>0.04</v>
      </c>
      <c r="AB62" s="57" t="n">
        <v>367900</v>
      </c>
      <c r="AC62" s="44"/>
      <c r="AD62" s="44"/>
      <c r="AE62" s="44" t="n">
        <v>367900</v>
      </c>
      <c r="AF62" s="44" t="s">
        <v>53</v>
      </c>
      <c r="AG62" s="44" t="n">
        <v>0</v>
      </c>
      <c r="AH62" s="58" t="s">
        <v>1514</v>
      </c>
      <c r="AI62" s="44" t="n">
        <v>0</v>
      </c>
      <c r="AJ62" s="44" t="s">
        <v>1253</v>
      </c>
      <c r="AK62" s="44" t="s">
        <v>199</v>
      </c>
      <c r="AL62" s="44" t="s">
        <v>1253</v>
      </c>
      <c r="AM62" s="44" t="n">
        <v>0</v>
      </c>
      <c r="AN62" s="44"/>
      <c r="AO62" s="44"/>
      <c r="AP62" s="44"/>
      <c r="AQ62" s="45" t="s">
        <v>1370</v>
      </c>
      <c r="AR62" s="44" t="s">
        <v>1282</v>
      </c>
      <c r="AS62" s="44"/>
      <c r="AT62" s="44"/>
      <c r="AU62" s="44"/>
      <c r="AV62" s="44"/>
      <c r="AW62" s="44"/>
      <c r="AX62" s="44"/>
      <c r="AY62" s="44"/>
      <c r="AZ62" s="46"/>
    </row>
    <row r="63" customFormat="false" ht="18" hidden="false" customHeight="true" outlineLevel="0" collapsed="false">
      <c r="A63" s="47" t="n">
        <v>97098</v>
      </c>
      <c r="B63" s="48" t="s">
        <v>760</v>
      </c>
      <c r="C63" s="47" t="n">
        <v>97098</v>
      </c>
      <c r="D63" s="48" t="s">
        <v>761</v>
      </c>
      <c r="E63" s="48" t="s">
        <v>1559</v>
      </c>
      <c r="F63" s="48" t="s">
        <v>1560</v>
      </c>
      <c r="G63" s="49" t="s">
        <v>1461</v>
      </c>
      <c r="H63" s="48" t="s">
        <v>1161</v>
      </c>
      <c r="I63" s="48" t="s">
        <v>756</v>
      </c>
      <c r="J63" s="48" t="s">
        <v>24</v>
      </c>
      <c r="K63" s="48" t="s">
        <v>1295</v>
      </c>
      <c r="L63" s="48" t="s">
        <v>756</v>
      </c>
      <c r="M63" s="48"/>
      <c r="N63" s="50" t="s">
        <v>1443</v>
      </c>
      <c r="O63" s="51" t="s">
        <v>1522</v>
      </c>
      <c r="P63" s="52" t="n">
        <v>1</v>
      </c>
      <c r="Q63" s="51"/>
      <c r="R63" s="52" t="s">
        <v>1519</v>
      </c>
      <c r="S63" s="52"/>
      <c r="T63" s="52"/>
      <c r="U63" s="53" t="n">
        <v>256980</v>
      </c>
      <c r="V63" s="54" t="n">
        <v>256980</v>
      </c>
      <c r="W63" s="55" t="n">
        <v>0.2</v>
      </c>
      <c r="X63" s="52" t="n">
        <v>0.055</v>
      </c>
      <c r="Y63" s="55" t="n">
        <v>0.12</v>
      </c>
      <c r="Z63" s="56"/>
      <c r="AA63" s="55" t="n">
        <v>0.04</v>
      </c>
      <c r="AB63" s="57" t="n">
        <v>363626.7</v>
      </c>
      <c r="AC63" s="44"/>
      <c r="AD63" s="44"/>
      <c r="AE63" s="44" t="n">
        <v>363626.7</v>
      </c>
      <c r="AF63" s="44" t="s">
        <v>53</v>
      </c>
      <c r="AG63" s="44" t="n">
        <v>0</v>
      </c>
      <c r="AH63" s="58" t="s">
        <v>24</v>
      </c>
      <c r="AI63" s="44" t="n">
        <v>1</v>
      </c>
      <c r="AJ63" s="44" t="s">
        <v>756</v>
      </c>
      <c r="AK63" s="44" t="s">
        <v>199</v>
      </c>
      <c r="AL63" s="44" t="s">
        <v>199</v>
      </c>
      <c r="AM63" s="44" t="n">
        <v>0</v>
      </c>
      <c r="AN63" s="44"/>
      <c r="AO63" s="44"/>
      <c r="AP63" s="44"/>
      <c r="AQ63" s="45" t="s">
        <v>759</v>
      </c>
      <c r="AR63" s="44" t="s">
        <v>1282</v>
      </c>
      <c r="AS63" s="44"/>
      <c r="AT63" s="44"/>
      <c r="AU63" s="44"/>
      <c r="AV63" s="44"/>
      <c r="AW63" s="44"/>
      <c r="AX63" s="44"/>
      <c r="AY63" s="44"/>
      <c r="AZ63" s="46"/>
    </row>
    <row r="64" customFormat="false" ht="18" hidden="false" customHeight="true" outlineLevel="0" collapsed="false">
      <c r="A64" s="47" t="n">
        <v>115488</v>
      </c>
      <c r="B64" s="48" t="s">
        <v>606</v>
      </c>
      <c r="C64" s="47" t="n">
        <v>115488</v>
      </c>
      <c r="D64" s="48" t="s">
        <v>607</v>
      </c>
      <c r="E64" s="48" t="s">
        <v>1561</v>
      </c>
      <c r="F64" s="48" t="s">
        <v>1560</v>
      </c>
      <c r="G64" s="49" t="s">
        <v>1461</v>
      </c>
      <c r="H64" s="48" t="s">
        <v>20</v>
      </c>
      <c r="I64" s="48" t="s">
        <v>756</v>
      </c>
      <c r="J64" s="48" t="s">
        <v>20</v>
      </c>
      <c r="K64" s="48" t="s">
        <v>756</v>
      </c>
      <c r="L64" s="48" t="s">
        <v>756</v>
      </c>
      <c r="M64" s="48"/>
      <c r="N64" s="50" t="s">
        <v>1284</v>
      </c>
      <c r="O64" s="51" t="s">
        <v>1522</v>
      </c>
      <c r="P64" s="52" t="n">
        <v>1</v>
      </c>
      <c r="Q64" s="52"/>
      <c r="R64" s="52" t="s">
        <v>1519</v>
      </c>
      <c r="S64" s="52"/>
      <c r="T64" s="52"/>
      <c r="U64" s="53" t="n">
        <v>245860</v>
      </c>
      <c r="V64" s="54" t="n">
        <v>226191.2</v>
      </c>
      <c r="W64" s="55" t="n">
        <v>0.2</v>
      </c>
      <c r="X64" s="52"/>
      <c r="Y64" s="55" t="n">
        <v>0.05</v>
      </c>
      <c r="Z64" s="56" t="n">
        <v>2910</v>
      </c>
      <c r="AA64" s="55" t="n">
        <v>0.03</v>
      </c>
      <c r="AB64" s="57" t="n">
        <v>292434.736</v>
      </c>
      <c r="AC64" s="44"/>
      <c r="AD64" s="44"/>
      <c r="AE64" s="44" t="n">
        <v>292434.736</v>
      </c>
      <c r="AF64" s="44" t="s">
        <v>53</v>
      </c>
      <c r="AG64" s="44" t="n">
        <v>0</v>
      </c>
      <c r="AH64" s="58" t="s">
        <v>20</v>
      </c>
      <c r="AI64" s="44" t="n">
        <v>1</v>
      </c>
      <c r="AJ64" s="44" t="s">
        <v>756</v>
      </c>
      <c r="AK64" s="44" t="s">
        <v>199</v>
      </c>
      <c r="AL64" s="44" t="s">
        <v>199</v>
      </c>
      <c r="AM64" s="44" t="n">
        <v>0</v>
      </c>
      <c r="AN64" s="44"/>
      <c r="AO64" s="44"/>
      <c r="AP64" s="44"/>
      <c r="AQ64" s="45" t="s">
        <v>605</v>
      </c>
      <c r="AR64" s="44" t="s">
        <v>1284</v>
      </c>
      <c r="AS64" s="44"/>
      <c r="AT64" s="44"/>
      <c r="AU64" s="44"/>
      <c r="AV64" s="44"/>
      <c r="AW64" s="44"/>
      <c r="AX64" s="44"/>
      <c r="AY64" s="44"/>
      <c r="AZ64" s="46"/>
    </row>
    <row r="65" customFormat="false" ht="18" hidden="false" customHeight="true" outlineLevel="0" collapsed="false">
      <c r="A65" s="47" t="n">
        <v>113574</v>
      </c>
      <c r="B65" s="48" t="s">
        <v>679</v>
      </c>
      <c r="C65" s="47" t="n">
        <v>113574</v>
      </c>
      <c r="D65" s="48" t="s">
        <v>680</v>
      </c>
      <c r="E65" s="48" t="s">
        <v>1561</v>
      </c>
      <c r="F65" s="48" t="s">
        <v>1560</v>
      </c>
      <c r="G65" s="49" t="s">
        <v>1461</v>
      </c>
      <c r="H65" s="48" t="s">
        <v>1562</v>
      </c>
      <c r="I65" s="48" t="s">
        <v>756</v>
      </c>
      <c r="J65" s="48" t="s">
        <v>1562</v>
      </c>
      <c r="K65" s="48" t="s">
        <v>756</v>
      </c>
      <c r="L65" s="48" t="s">
        <v>756</v>
      </c>
      <c r="M65" s="48"/>
      <c r="N65" s="50" t="s">
        <v>1284</v>
      </c>
      <c r="O65" s="51" t="s">
        <v>1522</v>
      </c>
      <c r="P65" s="52" t="n">
        <v>1</v>
      </c>
      <c r="Q65" s="52"/>
      <c r="R65" s="52" t="s">
        <v>1519</v>
      </c>
      <c r="S65" s="52"/>
      <c r="T65" s="52"/>
      <c r="U65" s="53" t="n">
        <v>230000</v>
      </c>
      <c r="V65" s="54" t="n">
        <v>211600</v>
      </c>
      <c r="W65" s="55" t="n">
        <v>0.2</v>
      </c>
      <c r="X65" s="52"/>
      <c r="Y65" s="55" t="n">
        <v>0.05</v>
      </c>
      <c r="Z65" s="56" t="n">
        <v>2910</v>
      </c>
      <c r="AA65" s="55" t="n">
        <v>0.03</v>
      </c>
      <c r="AB65" s="57" t="n">
        <v>273758</v>
      </c>
      <c r="AC65" s="44"/>
      <c r="AD65" s="44"/>
      <c r="AE65" s="44" t="n">
        <v>273758</v>
      </c>
      <c r="AF65" s="44" t="s">
        <v>53</v>
      </c>
      <c r="AG65" s="44" t="n">
        <v>0</v>
      </c>
      <c r="AH65" s="58" t="s">
        <v>22</v>
      </c>
      <c r="AI65" s="44" t="n">
        <v>1</v>
      </c>
      <c r="AJ65" s="44" t="s">
        <v>756</v>
      </c>
      <c r="AK65" s="44" t="s">
        <v>199</v>
      </c>
      <c r="AL65" s="44" t="s">
        <v>199</v>
      </c>
      <c r="AM65" s="44" t="n">
        <v>0</v>
      </c>
      <c r="AN65" s="44"/>
      <c r="AO65" s="44"/>
      <c r="AP65" s="44"/>
      <c r="AQ65" s="45" t="s">
        <v>678</v>
      </c>
      <c r="AR65" s="44" t="s">
        <v>1284</v>
      </c>
      <c r="AS65" s="44"/>
      <c r="AT65" s="44"/>
      <c r="AU65" s="44"/>
      <c r="AV65" s="44"/>
      <c r="AW65" s="44"/>
      <c r="AX65" s="44"/>
      <c r="AY65" s="44"/>
      <c r="AZ65" s="46"/>
    </row>
    <row r="66" customFormat="false" ht="18" hidden="false" customHeight="true" outlineLevel="0" collapsed="false">
      <c r="A66" s="47" t="s">
        <v>1507</v>
      </c>
      <c r="B66" s="48" t="s">
        <v>69</v>
      </c>
      <c r="C66" s="47" t="s">
        <v>1507</v>
      </c>
      <c r="D66" s="48" t="s">
        <v>1563</v>
      </c>
      <c r="E66" s="48" t="s">
        <v>1533</v>
      </c>
      <c r="F66" s="48" t="s">
        <v>1564</v>
      </c>
      <c r="G66" s="49" t="s">
        <v>1531</v>
      </c>
      <c r="H66" s="48" t="s">
        <v>1151</v>
      </c>
      <c r="I66" s="48" t="s">
        <v>1535</v>
      </c>
      <c r="J66" s="48"/>
      <c r="K66" s="48"/>
      <c r="L66" s="48"/>
      <c r="M66" s="48"/>
      <c r="N66" s="50" t="s">
        <v>1458</v>
      </c>
      <c r="O66" s="51" t="s">
        <v>1522</v>
      </c>
      <c r="P66" s="52" t="n">
        <v>1</v>
      </c>
      <c r="Q66" s="51"/>
      <c r="R66" s="52" t="s">
        <v>1507</v>
      </c>
      <c r="S66" s="52"/>
      <c r="T66" s="52"/>
      <c r="U66" s="53" t="n">
        <v>275340</v>
      </c>
      <c r="V66" s="54" t="n">
        <v>275340</v>
      </c>
      <c r="W66" s="55" t="n">
        <v>0.2</v>
      </c>
      <c r="X66" s="52" t="n">
        <v>0.055</v>
      </c>
      <c r="Y66" s="55" t="n">
        <v>0.12</v>
      </c>
      <c r="Z66" s="56"/>
      <c r="AA66" s="55" t="n">
        <v>0.04</v>
      </c>
      <c r="AB66" s="57" t="n">
        <v>389606.1</v>
      </c>
      <c r="AC66" s="44"/>
      <c r="AD66" s="44"/>
      <c r="AE66" s="44" t="n">
        <v>389606.1</v>
      </c>
      <c r="AF66" s="44" t="s">
        <v>69</v>
      </c>
      <c r="AG66" s="44" t="n">
        <v>0</v>
      </c>
      <c r="AH66" s="58" t="s">
        <v>1536</v>
      </c>
      <c r="AI66" s="44" t="n">
        <v>0</v>
      </c>
      <c r="AJ66" s="44" t="s">
        <v>1151</v>
      </c>
      <c r="AK66" s="44" t="s">
        <v>47</v>
      </c>
      <c r="AL66" s="44" t="s">
        <v>1151</v>
      </c>
      <c r="AM66" s="44" t="n">
        <v>0</v>
      </c>
      <c r="AN66" s="44"/>
      <c r="AO66" s="44"/>
      <c r="AP66" s="44"/>
      <c r="AQ66" s="45" t="s">
        <v>1397</v>
      </c>
      <c r="AR66" s="44" t="s">
        <v>1282</v>
      </c>
      <c r="AS66" s="44"/>
      <c r="AT66" s="44"/>
      <c r="AU66" s="44"/>
      <c r="AV66" s="44"/>
      <c r="AW66" s="44"/>
      <c r="AX66" s="44"/>
      <c r="AY66" s="44"/>
      <c r="AZ66" s="46"/>
    </row>
    <row r="67" customFormat="false" ht="18" hidden="false" customHeight="true" outlineLevel="0" collapsed="false">
      <c r="A67" s="47" t="n">
        <v>110852</v>
      </c>
      <c r="B67" s="48" t="s">
        <v>201</v>
      </c>
      <c r="C67" s="47" t="n">
        <v>110852</v>
      </c>
      <c r="D67" s="48" t="s">
        <v>202</v>
      </c>
      <c r="E67" s="48" t="s">
        <v>1565</v>
      </c>
      <c r="F67" s="48" t="s">
        <v>1566</v>
      </c>
      <c r="G67" s="49" t="s">
        <v>1471</v>
      </c>
      <c r="H67" s="48" t="s">
        <v>14</v>
      </c>
      <c r="I67" s="48" t="s">
        <v>1452</v>
      </c>
      <c r="J67" s="48" t="s">
        <v>1567</v>
      </c>
      <c r="K67" s="48" t="s">
        <v>1163</v>
      </c>
      <c r="L67" s="48" t="s">
        <v>756</v>
      </c>
      <c r="M67" s="48"/>
      <c r="N67" s="50" t="s">
        <v>1443</v>
      </c>
      <c r="O67" s="51" t="s">
        <v>1522</v>
      </c>
      <c r="P67" s="52" t="n">
        <v>1</v>
      </c>
      <c r="Q67" s="51"/>
      <c r="R67" s="52" t="s">
        <v>1519</v>
      </c>
      <c r="S67" s="52"/>
      <c r="T67" s="52"/>
      <c r="U67" s="53" t="n">
        <v>139350</v>
      </c>
      <c r="V67" s="54" t="n">
        <v>139350</v>
      </c>
      <c r="W67" s="55" t="n">
        <v>0.12</v>
      </c>
      <c r="X67" s="52" t="n">
        <v>0.055</v>
      </c>
      <c r="Y67" s="55" t="n">
        <v>0.12</v>
      </c>
      <c r="Z67" s="56"/>
      <c r="AA67" s="55" t="n">
        <v>0.04</v>
      </c>
      <c r="AB67" s="57" t="n">
        <v>186032.25</v>
      </c>
      <c r="AC67" s="44"/>
      <c r="AD67" s="44"/>
      <c r="AE67" s="44" t="n">
        <v>186032.25</v>
      </c>
      <c r="AF67" s="44" t="s">
        <v>53</v>
      </c>
      <c r="AG67" s="44" t="n">
        <v>0</v>
      </c>
      <c r="AH67" s="58" t="s">
        <v>14</v>
      </c>
      <c r="AI67" s="44" t="n">
        <v>1</v>
      </c>
      <c r="AJ67" s="44" t="s">
        <v>756</v>
      </c>
      <c r="AK67" s="44" t="s">
        <v>199</v>
      </c>
      <c r="AL67" s="44" t="s">
        <v>199</v>
      </c>
      <c r="AM67" s="44" t="n">
        <v>0</v>
      </c>
      <c r="AN67" s="44"/>
      <c r="AO67" s="44"/>
      <c r="AP67" s="44"/>
      <c r="AQ67" s="45" t="s">
        <v>200</v>
      </c>
      <c r="AR67" s="44" t="s">
        <v>1282</v>
      </c>
      <c r="AS67" s="44"/>
      <c r="AT67" s="44"/>
      <c r="AU67" s="44"/>
      <c r="AV67" s="44"/>
      <c r="AW67" s="44"/>
      <c r="AX67" s="44"/>
      <c r="AY67" s="44"/>
      <c r="AZ67" s="46"/>
    </row>
    <row r="68" customFormat="false" ht="18" hidden="false" customHeight="true" outlineLevel="0" collapsed="false">
      <c r="A68" s="47" t="s">
        <v>1507</v>
      </c>
      <c r="B68" s="48" t="s">
        <v>69</v>
      </c>
      <c r="C68" s="47" t="s">
        <v>1507</v>
      </c>
      <c r="D68" s="48" t="s">
        <v>296</v>
      </c>
      <c r="E68" s="48" t="s">
        <v>1565</v>
      </c>
      <c r="F68" s="48" t="s">
        <v>1566</v>
      </c>
      <c r="G68" s="49" t="s">
        <v>1471</v>
      </c>
      <c r="H68" s="48" t="s">
        <v>1472</v>
      </c>
      <c r="I68" s="48" t="s">
        <v>1452</v>
      </c>
      <c r="J68" s="48" t="s">
        <v>1568</v>
      </c>
      <c r="K68" s="48" t="s">
        <v>1160</v>
      </c>
      <c r="L68" s="48" t="s">
        <v>756</v>
      </c>
      <c r="M68" s="48"/>
      <c r="N68" s="50" t="s">
        <v>1284</v>
      </c>
      <c r="O68" s="51" t="s">
        <v>1522</v>
      </c>
      <c r="P68" s="52" t="n">
        <v>1</v>
      </c>
      <c r="Q68" s="51"/>
      <c r="R68" s="52" t="s">
        <v>1513</v>
      </c>
      <c r="S68" s="52"/>
      <c r="T68" s="52"/>
      <c r="U68" s="53" t="n">
        <v>245000</v>
      </c>
      <c r="V68" s="54" t="n">
        <v>225400</v>
      </c>
      <c r="W68" s="55" t="n">
        <v>0.2</v>
      </c>
      <c r="X68" s="52"/>
      <c r="Y68" s="55" t="n">
        <v>0.05</v>
      </c>
      <c r="Z68" s="56" t="n">
        <v>2910</v>
      </c>
      <c r="AA68" s="55" t="n">
        <v>0.03</v>
      </c>
      <c r="AB68" s="57" t="n">
        <v>291422</v>
      </c>
      <c r="AC68" s="44"/>
      <c r="AD68" s="44"/>
      <c r="AE68" s="44" t="n">
        <v>291422</v>
      </c>
      <c r="AF68" s="44" t="s">
        <v>69</v>
      </c>
      <c r="AG68" s="44" t="n">
        <v>0</v>
      </c>
      <c r="AH68" s="58" t="s">
        <v>16</v>
      </c>
      <c r="AI68" s="44" t="n">
        <v>1</v>
      </c>
      <c r="AJ68" s="44" t="s">
        <v>756</v>
      </c>
      <c r="AK68" s="44" t="s">
        <v>199</v>
      </c>
      <c r="AL68" s="44" t="s">
        <v>199</v>
      </c>
      <c r="AM68" s="44" t="n">
        <v>0</v>
      </c>
      <c r="AN68" s="44"/>
      <c r="AO68" s="44"/>
      <c r="AP68" s="44"/>
      <c r="AQ68" s="45" t="s">
        <v>295</v>
      </c>
      <c r="AR68" s="44" t="s">
        <v>1284</v>
      </c>
      <c r="AS68" s="44"/>
      <c r="AT68" s="44"/>
      <c r="AU68" s="44"/>
      <c r="AV68" s="44"/>
      <c r="AW68" s="44"/>
      <c r="AX68" s="44"/>
      <c r="AY68" s="44"/>
      <c r="AZ68" s="46"/>
    </row>
    <row r="69" customFormat="false" ht="18" hidden="false" customHeight="true" outlineLevel="0" collapsed="false">
      <c r="A69" s="47" t="n">
        <v>113555</v>
      </c>
      <c r="B69" s="48" t="s">
        <v>441</v>
      </c>
      <c r="C69" s="47" t="n">
        <v>113555</v>
      </c>
      <c r="D69" s="48" t="s">
        <v>203</v>
      </c>
      <c r="E69" s="48" t="s">
        <v>456</v>
      </c>
      <c r="F69" s="48" t="s">
        <v>457</v>
      </c>
      <c r="G69" s="49" t="s">
        <v>1439</v>
      </c>
      <c r="H69" s="48" t="s">
        <v>1465</v>
      </c>
      <c r="I69" s="48" t="s">
        <v>1466</v>
      </c>
      <c r="J69" s="48" t="s">
        <v>1517</v>
      </c>
      <c r="K69" s="48" t="s">
        <v>464</v>
      </c>
      <c r="L69" s="48" t="s">
        <v>203</v>
      </c>
      <c r="M69" s="48"/>
      <c r="N69" s="50" t="s">
        <v>1284</v>
      </c>
      <c r="O69" s="51" t="s">
        <v>1569</v>
      </c>
      <c r="P69" s="52" t="n">
        <v>1</v>
      </c>
      <c r="Q69" s="51"/>
      <c r="R69" s="52" t="s">
        <v>1519</v>
      </c>
      <c r="S69" s="52"/>
      <c r="T69" s="52"/>
      <c r="U69" s="53" t="n">
        <v>193630</v>
      </c>
      <c r="V69" s="54" t="n">
        <v>178139.6</v>
      </c>
      <c r="W69" s="55" t="n">
        <v>0.15</v>
      </c>
      <c r="X69" s="52"/>
      <c r="Y69" s="55" t="n">
        <v>0.05</v>
      </c>
      <c r="Z69" s="56" t="n">
        <v>2910</v>
      </c>
      <c r="AA69" s="55" t="n">
        <v>0.03</v>
      </c>
      <c r="AB69" s="57" t="n">
        <v>222021.708</v>
      </c>
      <c r="AC69" s="44"/>
      <c r="AD69" s="44"/>
      <c r="AE69" s="44" t="n">
        <v>222021.708</v>
      </c>
      <c r="AF69" s="44" t="s">
        <v>53</v>
      </c>
      <c r="AG69" s="44" t="n">
        <v>0</v>
      </c>
      <c r="AH69" s="58" t="s">
        <v>1439</v>
      </c>
      <c r="AI69" s="44" t="n">
        <v>0</v>
      </c>
      <c r="AJ69" s="44" t="s">
        <v>203</v>
      </c>
      <c r="AK69" s="44" t="s">
        <v>203</v>
      </c>
      <c r="AL69" s="44" t="s">
        <v>203</v>
      </c>
      <c r="AM69" s="44" t="n">
        <v>0</v>
      </c>
      <c r="AN69" s="44" t="s">
        <v>53</v>
      </c>
      <c r="AO69" s="44"/>
      <c r="AP69" s="44"/>
      <c r="AQ69" s="45" t="s">
        <v>440</v>
      </c>
      <c r="AR69" s="44" t="s">
        <v>1284</v>
      </c>
      <c r="AS69" s="44"/>
      <c r="AT69" s="44"/>
      <c r="AU69" s="44"/>
      <c r="AV69" s="44"/>
      <c r="AW69" s="44"/>
      <c r="AX69" s="44"/>
      <c r="AY69" s="44"/>
      <c r="AZ69" s="46"/>
    </row>
    <row r="70" customFormat="false" ht="18" hidden="false" customHeight="true" outlineLevel="0" collapsed="false">
      <c r="A70" s="47" t="n">
        <v>114753</v>
      </c>
      <c r="B70" s="48" t="s">
        <v>445</v>
      </c>
      <c r="C70" s="47" t="n">
        <v>114753</v>
      </c>
      <c r="D70" s="48" t="s">
        <v>446</v>
      </c>
      <c r="E70" s="48" t="s">
        <v>456</v>
      </c>
      <c r="F70" s="48" t="s">
        <v>457</v>
      </c>
      <c r="G70" s="49" t="s">
        <v>1439</v>
      </c>
      <c r="H70" s="48" t="s">
        <v>1465</v>
      </c>
      <c r="I70" s="48" t="s">
        <v>1570</v>
      </c>
      <c r="J70" s="48" t="s">
        <v>1517</v>
      </c>
      <c r="K70" s="48" t="s">
        <v>464</v>
      </c>
      <c r="L70" s="48" t="s">
        <v>206</v>
      </c>
      <c r="M70" s="48"/>
      <c r="N70" s="50" t="s">
        <v>1284</v>
      </c>
      <c r="O70" s="51" t="s">
        <v>1569</v>
      </c>
      <c r="P70" s="52" t="n">
        <v>1</v>
      </c>
      <c r="Q70" s="51"/>
      <c r="R70" s="52" t="s">
        <v>1519</v>
      </c>
      <c r="S70" s="52"/>
      <c r="T70" s="52"/>
      <c r="U70" s="53" t="n">
        <v>180980</v>
      </c>
      <c r="V70" s="54" t="n">
        <v>166501.6</v>
      </c>
      <c r="W70" s="55" t="n">
        <v>0.15</v>
      </c>
      <c r="X70" s="52"/>
      <c r="Y70" s="55" t="n">
        <v>0.05</v>
      </c>
      <c r="Z70" s="56" t="n">
        <v>2910</v>
      </c>
      <c r="AA70" s="55" t="n">
        <v>0.03</v>
      </c>
      <c r="AB70" s="57" t="n">
        <v>207706.968</v>
      </c>
      <c r="AC70" s="44"/>
      <c r="AD70" s="44"/>
      <c r="AE70" s="44" t="n">
        <v>207706.968</v>
      </c>
      <c r="AF70" s="44" t="s">
        <v>53</v>
      </c>
      <c r="AG70" s="44" t="n">
        <v>0</v>
      </c>
      <c r="AH70" s="58" t="s">
        <v>1439</v>
      </c>
      <c r="AI70" s="44" t="n">
        <v>0</v>
      </c>
      <c r="AJ70" s="44" t="s">
        <v>206</v>
      </c>
      <c r="AK70" s="44" t="s">
        <v>206</v>
      </c>
      <c r="AL70" s="44" t="s">
        <v>206</v>
      </c>
      <c r="AM70" s="44" t="n">
        <v>0</v>
      </c>
      <c r="AN70" s="44" t="s">
        <v>53</v>
      </c>
      <c r="AO70" s="44"/>
      <c r="AP70" s="44"/>
      <c r="AQ70" s="45" t="s">
        <v>444</v>
      </c>
      <c r="AR70" s="44" t="s">
        <v>1284</v>
      </c>
      <c r="AS70" s="44"/>
      <c r="AT70" s="44"/>
      <c r="AU70" s="44"/>
      <c r="AV70" s="44"/>
      <c r="AW70" s="44"/>
      <c r="AX70" s="44"/>
      <c r="AY70" s="44"/>
      <c r="AZ70" s="46"/>
    </row>
    <row r="71" customFormat="false" ht="18" hidden="false" customHeight="true" outlineLevel="0" collapsed="false">
      <c r="A71" s="47" t="n">
        <v>113568</v>
      </c>
      <c r="B71" s="48" t="s">
        <v>448</v>
      </c>
      <c r="C71" s="47" t="n">
        <v>113568</v>
      </c>
      <c r="D71" s="48" t="s">
        <v>449</v>
      </c>
      <c r="E71" s="48" t="s">
        <v>456</v>
      </c>
      <c r="F71" s="48" t="s">
        <v>457</v>
      </c>
      <c r="G71" s="49" t="s">
        <v>1439</v>
      </c>
      <c r="H71" s="48" t="s">
        <v>1465</v>
      </c>
      <c r="I71" s="48" t="s">
        <v>1571</v>
      </c>
      <c r="J71" s="48" t="s">
        <v>1517</v>
      </c>
      <c r="K71" s="48" t="s">
        <v>464</v>
      </c>
      <c r="L71" s="48" t="s">
        <v>206</v>
      </c>
      <c r="M71" s="48"/>
      <c r="N71" s="50" t="s">
        <v>1284</v>
      </c>
      <c r="O71" s="51" t="s">
        <v>1569</v>
      </c>
      <c r="P71" s="52" t="n">
        <v>1</v>
      </c>
      <c r="Q71" s="51"/>
      <c r="R71" s="52" t="s">
        <v>1519</v>
      </c>
      <c r="S71" s="52"/>
      <c r="T71" s="52"/>
      <c r="U71" s="53" t="n">
        <v>194670</v>
      </c>
      <c r="V71" s="54" t="n">
        <v>179096.4</v>
      </c>
      <c r="W71" s="55" t="n">
        <v>0.15</v>
      </c>
      <c r="X71" s="52"/>
      <c r="Y71" s="55" t="n">
        <v>0.05</v>
      </c>
      <c r="Z71" s="56" t="n">
        <v>2910</v>
      </c>
      <c r="AA71" s="55" t="n">
        <v>0.03</v>
      </c>
      <c r="AB71" s="57" t="n">
        <v>223198.572</v>
      </c>
      <c r="AC71" s="44"/>
      <c r="AD71" s="44"/>
      <c r="AE71" s="44" t="n">
        <v>223198.572</v>
      </c>
      <c r="AF71" s="44" t="s">
        <v>53</v>
      </c>
      <c r="AG71" s="44" t="n">
        <v>0</v>
      </c>
      <c r="AH71" s="58" t="s">
        <v>1439</v>
      </c>
      <c r="AI71" s="44" t="n">
        <v>0</v>
      </c>
      <c r="AJ71" s="44" t="s">
        <v>206</v>
      </c>
      <c r="AK71" s="44" t="s">
        <v>206</v>
      </c>
      <c r="AL71" s="44" t="s">
        <v>206</v>
      </c>
      <c r="AM71" s="44" t="n">
        <v>0</v>
      </c>
      <c r="AN71" s="44" t="s">
        <v>53</v>
      </c>
      <c r="AO71" s="44"/>
      <c r="AP71" s="44"/>
      <c r="AQ71" s="45" t="s">
        <v>447</v>
      </c>
      <c r="AR71" s="44" t="s">
        <v>1284</v>
      </c>
      <c r="AS71" s="44"/>
      <c r="AT71" s="44"/>
      <c r="AU71" s="44"/>
      <c r="AV71" s="44"/>
      <c r="AW71" s="44"/>
      <c r="AX71" s="44"/>
      <c r="AY71" s="44"/>
      <c r="AZ71" s="46"/>
    </row>
    <row r="72" customFormat="false" ht="18" hidden="false" customHeight="true" outlineLevel="0" collapsed="false">
      <c r="A72" s="47" t="n">
        <v>96283</v>
      </c>
      <c r="B72" s="48" t="s">
        <v>391</v>
      </c>
      <c r="C72" s="47" t="n">
        <v>96283</v>
      </c>
      <c r="D72" s="48" t="s">
        <v>392</v>
      </c>
      <c r="E72" s="48" t="s">
        <v>1515</v>
      </c>
      <c r="F72" s="48" t="s">
        <v>1516</v>
      </c>
      <c r="G72" s="49" t="s">
        <v>1439</v>
      </c>
      <c r="H72" s="48" t="s">
        <v>1572</v>
      </c>
      <c r="I72" s="48"/>
      <c r="J72" s="48" t="s">
        <v>18</v>
      </c>
      <c r="K72" s="48" t="s">
        <v>1162</v>
      </c>
      <c r="L72" s="48" t="s">
        <v>311</v>
      </c>
      <c r="M72" s="48"/>
      <c r="N72" s="50" t="s">
        <v>1443</v>
      </c>
      <c r="O72" s="51" t="s">
        <v>1522</v>
      </c>
      <c r="P72" s="52" t="n">
        <v>1</v>
      </c>
      <c r="Q72" s="51"/>
      <c r="R72" s="52" t="s">
        <v>1519</v>
      </c>
      <c r="S72" s="52"/>
      <c r="T72" s="52"/>
      <c r="U72" s="53" t="n">
        <v>236730</v>
      </c>
      <c r="V72" s="54" t="n">
        <v>236730</v>
      </c>
      <c r="W72" s="55" t="n">
        <v>0.14</v>
      </c>
      <c r="X72" s="52" t="n">
        <v>0.055</v>
      </c>
      <c r="Y72" s="55" t="n">
        <v>0.2</v>
      </c>
      <c r="Z72" s="56"/>
      <c r="AA72" s="55" t="n">
        <v>0.04</v>
      </c>
      <c r="AB72" s="57" t="n">
        <v>339707.55</v>
      </c>
      <c r="AC72" s="44"/>
      <c r="AD72" s="44"/>
      <c r="AE72" s="60" t="n">
        <v>339707.55</v>
      </c>
      <c r="AF72" s="60" t="s">
        <v>53</v>
      </c>
      <c r="AG72" s="60" t="n">
        <v>0</v>
      </c>
      <c r="AH72" s="58" t="s">
        <v>1439</v>
      </c>
      <c r="AI72" s="60" t="n">
        <v>0</v>
      </c>
      <c r="AJ72" s="60" t="s">
        <v>311</v>
      </c>
      <c r="AK72" s="60" t="s">
        <v>47</v>
      </c>
      <c r="AL72" s="60" t="s">
        <v>311</v>
      </c>
      <c r="AM72" s="60" t="n">
        <v>0</v>
      </c>
      <c r="AN72" s="44"/>
      <c r="AO72" s="44"/>
      <c r="AP72" s="44"/>
      <c r="AQ72" s="45" t="s">
        <v>390</v>
      </c>
      <c r="AR72" s="44" t="s">
        <v>1282</v>
      </c>
      <c r="AS72" s="44"/>
      <c r="AT72" s="44"/>
      <c r="AU72" s="44"/>
      <c r="AV72" s="44"/>
      <c r="AW72" s="44"/>
      <c r="AX72" s="44"/>
      <c r="AY72" s="44"/>
      <c r="AZ72" s="46"/>
    </row>
    <row r="73" customFormat="false" ht="18" hidden="false" customHeight="true" outlineLevel="0" collapsed="false">
      <c r="A73" s="47" t="s">
        <v>1507</v>
      </c>
      <c r="B73" s="48" t="s">
        <v>69</v>
      </c>
      <c r="C73" s="47" t="s">
        <v>1507</v>
      </c>
      <c r="D73" s="48" t="s">
        <v>428</v>
      </c>
      <c r="E73" s="48" t="s">
        <v>1515</v>
      </c>
      <c r="F73" s="48" t="s">
        <v>1516</v>
      </c>
      <c r="G73" s="49" t="s">
        <v>1439</v>
      </c>
      <c r="H73" s="48" t="s">
        <v>1573</v>
      </c>
      <c r="I73" s="48"/>
      <c r="J73" s="48" t="s">
        <v>18</v>
      </c>
      <c r="K73" s="48" t="s">
        <v>405</v>
      </c>
      <c r="L73" s="48" t="s">
        <v>1574</v>
      </c>
      <c r="M73" s="48"/>
      <c r="N73" s="50" t="s">
        <v>1443</v>
      </c>
      <c r="O73" s="51" t="s">
        <v>1569</v>
      </c>
      <c r="P73" s="52" t="n">
        <v>1</v>
      </c>
      <c r="Q73" s="51"/>
      <c r="R73" s="52" t="s">
        <v>69</v>
      </c>
      <c r="S73" s="52"/>
      <c r="T73" s="52"/>
      <c r="U73" s="53" t="n">
        <v>225020</v>
      </c>
      <c r="V73" s="54" t="n">
        <v>225020</v>
      </c>
      <c r="W73" s="55" t="n">
        <v>0.14</v>
      </c>
      <c r="X73" s="52" t="n">
        <v>0.055</v>
      </c>
      <c r="Y73" s="55" t="n">
        <v>0.12</v>
      </c>
      <c r="Z73" s="56"/>
      <c r="AA73" s="55" t="n">
        <v>0.04</v>
      </c>
      <c r="AB73" s="57" t="n">
        <v>304902.1</v>
      </c>
      <c r="AC73" s="44"/>
      <c r="AD73" s="44"/>
      <c r="AE73" s="44" t="n">
        <v>304902.1</v>
      </c>
      <c r="AF73" s="44" t="s">
        <v>69</v>
      </c>
      <c r="AG73" s="44" t="n">
        <v>0</v>
      </c>
      <c r="AH73" s="58" t="s">
        <v>1439</v>
      </c>
      <c r="AI73" s="44" t="n">
        <v>0</v>
      </c>
      <c r="AJ73" s="44" t="s">
        <v>1574</v>
      </c>
      <c r="AK73" s="44" t="s">
        <v>47</v>
      </c>
      <c r="AL73" s="44" t="s">
        <v>405</v>
      </c>
      <c r="AM73" s="44" t="n">
        <v>1</v>
      </c>
      <c r="AN73" s="44" t="s">
        <v>69</v>
      </c>
      <c r="AO73" s="44"/>
      <c r="AP73" s="44"/>
      <c r="AQ73" s="45" t="s">
        <v>427</v>
      </c>
      <c r="AR73" s="44" t="s">
        <v>1282</v>
      </c>
      <c r="AS73" s="44"/>
      <c r="AT73" s="44"/>
      <c r="AU73" s="44"/>
      <c r="AV73" s="44"/>
      <c r="AW73" s="44"/>
      <c r="AX73" s="44"/>
      <c r="AY73" s="44"/>
      <c r="AZ73" s="46"/>
    </row>
    <row r="74" customFormat="false" ht="18" hidden="false" customHeight="true" outlineLevel="0" collapsed="false">
      <c r="A74" s="47" t="n">
        <v>114123</v>
      </c>
      <c r="B74" s="48" t="s">
        <v>443</v>
      </c>
      <c r="C74" s="47" t="n">
        <v>114123</v>
      </c>
      <c r="D74" s="48" t="s">
        <v>203</v>
      </c>
      <c r="E74" s="48" t="s">
        <v>459</v>
      </c>
      <c r="F74" s="48" t="s">
        <v>1575</v>
      </c>
      <c r="G74" s="49" t="s">
        <v>1439</v>
      </c>
      <c r="H74" s="48" t="s">
        <v>1440</v>
      </c>
      <c r="I74" s="48" t="s">
        <v>1441</v>
      </c>
      <c r="J74" s="48" t="s">
        <v>18</v>
      </c>
      <c r="K74" s="48" t="s">
        <v>1150</v>
      </c>
      <c r="L74" s="48" t="s">
        <v>203</v>
      </c>
      <c r="M74" s="48"/>
      <c r="N74" s="50" t="s">
        <v>1443</v>
      </c>
      <c r="O74" s="51" t="s">
        <v>1569</v>
      </c>
      <c r="P74" s="52" t="n">
        <v>1</v>
      </c>
      <c r="Q74" s="51"/>
      <c r="R74" s="52" t="s">
        <v>1519</v>
      </c>
      <c r="S74" s="52"/>
      <c r="T74" s="52"/>
      <c r="U74" s="53" t="n">
        <v>225020</v>
      </c>
      <c r="V74" s="54" t="n">
        <v>225020</v>
      </c>
      <c r="W74" s="55" t="n">
        <v>0.14</v>
      </c>
      <c r="X74" s="52" t="n">
        <v>0.055</v>
      </c>
      <c r="Y74" s="55" t="n">
        <v>0.12</v>
      </c>
      <c r="Z74" s="56"/>
      <c r="AA74" s="55" t="n">
        <v>0.04</v>
      </c>
      <c r="AB74" s="57" t="n">
        <v>304902.1</v>
      </c>
      <c r="AC74" s="44"/>
      <c r="AD74" s="44"/>
      <c r="AE74" s="44" t="n">
        <v>304902.1</v>
      </c>
      <c r="AF74" s="44" t="s">
        <v>53</v>
      </c>
      <c r="AG74" s="44" t="n">
        <v>0</v>
      </c>
      <c r="AH74" s="58" t="s">
        <v>1439</v>
      </c>
      <c r="AI74" s="44" t="n">
        <v>0</v>
      </c>
      <c r="AJ74" s="44" t="s">
        <v>203</v>
      </c>
      <c r="AK74" s="44" t="s">
        <v>203</v>
      </c>
      <c r="AL74" s="44" t="s">
        <v>203</v>
      </c>
      <c r="AM74" s="44" t="n">
        <v>0</v>
      </c>
      <c r="AN74" s="44" t="s">
        <v>53</v>
      </c>
      <c r="AO74" s="44"/>
      <c r="AP74" s="44"/>
      <c r="AQ74" s="45" t="s">
        <v>442</v>
      </c>
      <c r="AR74" s="44" t="s">
        <v>1282</v>
      </c>
      <c r="AS74" s="44"/>
      <c r="AT74" s="44"/>
      <c r="AU74" s="44"/>
      <c r="AV74" s="44"/>
      <c r="AW74" s="44"/>
      <c r="AX74" s="44"/>
      <c r="AY74" s="44"/>
      <c r="AZ74" s="46"/>
    </row>
    <row r="75" customFormat="false" ht="18" hidden="false" customHeight="true" outlineLevel="0" collapsed="false">
      <c r="A75" s="47" t="n">
        <v>115528</v>
      </c>
      <c r="B75" s="48" t="s">
        <v>475</v>
      </c>
      <c r="C75" s="47" t="n">
        <v>115528</v>
      </c>
      <c r="D75" s="48" t="s">
        <v>476</v>
      </c>
      <c r="E75" s="48" t="s">
        <v>459</v>
      </c>
      <c r="F75" s="48" t="s">
        <v>1575</v>
      </c>
      <c r="G75" s="49" t="s">
        <v>1439</v>
      </c>
      <c r="H75" s="48" t="s">
        <v>1440</v>
      </c>
      <c r="I75" s="48" t="s">
        <v>1576</v>
      </c>
      <c r="J75" s="48" t="s">
        <v>1517</v>
      </c>
      <c r="K75" s="48" t="s">
        <v>1157</v>
      </c>
      <c r="L75" s="48" t="s">
        <v>461</v>
      </c>
      <c r="M75" s="48"/>
      <c r="N75" s="50" t="s">
        <v>1284</v>
      </c>
      <c r="O75" s="51" t="s">
        <v>1569</v>
      </c>
      <c r="P75" s="52" t="n">
        <v>1</v>
      </c>
      <c r="Q75" s="51"/>
      <c r="R75" s="52" t="s">
        <v>1519</v>
      </c>
      <c r="S75" s="52"/>
      <c r="T75" s="52"/>
      <c r="U75" s="53" t="n">
        <v>190000</v>
      </c>
      <c r="V75" s="54" t="n">
        <v>174800</v>
      </c>
      <c r="W75" s="55" t="n">
        <v>0.1</v>
      </c>
      <c r="X75" s="52"/>
      <c r="Y75" s="55" t="n">
        <v>0.05</v>
      </c>
      <c r="Z75" s="56" t="n">
        <v>2910</v>
      </c>
      <c r="AA75" s="55" t="n">
        <v>0.03</v>
      </c>
      <c r="AB75" s="57" t="n">
        <v>209174</v>
      </c>
      <c r="AC75" s="44"/>
      <c r="AD75" s="44"/>
      <c r="AE75" s="44" t="n">
        <v>209174</v>
      </c>
      <c r="AF75" s="44" t="s">
        <v>53</v>
      </c>
      <c r="AG75" s="44" t="n">
        <v>0</v>
      </c>
      <c r="AH75" s="58" t="s">
        <v>1439</v>
      </c>
      <c r="AI75" s="44" t="n">
        <v>0</v>
      </c>
      <c r="AJ75" s="44" t="s">
        <v>461</v>
      </c>
      <c r="AK75" s="44" t="s">
        <v>47</v>
      </c>
      <c r="AL75" s="44" t="s">
        <v>461</v>
      </c>
      <c r="AM75" s="44" t="n">
        <v>0</v>
      </c>
      <c r="AN75" s="44" t="s">
        <v>53</v>
      </c>
      <c r="AO75" s="44"/>
      <c r="AP75" s="44"/>
      <c r="AQ75" s="45" t="s">
        <v>474</v>
      </c>
      <c r="AR75" s="44" t="s">
        <v>1284</v>
      </c>
      <c r="AS75" s="44"/>
      <c r="AT75" s="44"/>
      <c r="AU75" s="44"/>
      <c r="AV75" s="44"/>
      <c r="AW75" s="44"/>
      <c r="AX75" s="44"/>
      <c r="AY75" s="44"/>
      <c r="AZ75" s="46"/>
    </row>
    <row r="76" customFormat="false" ht="18" hidden="false" customHeight="true" outlineLevel="0" collapsed="false">
      <c r="A76" s="47" t="n">
        <v>97200</v>
      </c>
      <c r="B76" s="48" t="s">
        <v>451</v>
      </c>
      <c r="C76" s="47" t="n">
        <v>97200</v>
      </c>
      <c r="D76" s="48" t="s">
        <v>452</v>
      </c>
      <c r="E76" s="48" t="s">
        <v>459</v>
      </c>
      <c r="F76" s="48" t="s">
        <v>1575</v>
      </c>
      <c r="G76" s="49" t="s">
        <v>1439</v>
      </c>
      <c r="H76" s="48" t="s">
        <v>1440</v>
      </c>
      <c r="I76" s="48" t="s">
        <v>1577</v>
      </c>
      <c r="J76" s="48" t="s">
        <v>18</v>
      </c>
      <c r="K76" s="48" t="s">
        <v>1150</v>
      </c>
      <c r="L76" s="48" t="s">
        <v>206</v>
      </c>
      <c r="M76" s="48"/>
      <c r="N76" s="50" t="s">
        <v>1443</v>
      </c>
      <c r="O76" s="51" t="s">
        <v>1569</v>
      </c>
      <c r="P76" s="52" t="n">
        <v>1</v>
      </c>
      <c r="Q76" s="51"/>
      <c r="R76" s="52" t="s">
        <v>1519</v>
      </c>
      <c r="S76" s="52"/>
      <c r="T76" s="52"/>
      <c r="U76" s="53" t="s">
        <v>1456</v>
      </c>
      <c r="V76" s="54" t="n">
        <v>222190</v>
      </c>
      <c r="W76" s="55" t="n">
        <v>0.14</v>
      </c>
      <c r="X76" s="52" t="n">
        <v>0.055</v>
      </c>
      <c r="Y76" s="55" t="n">
        <v>0.12</v>
      </c>
      <c r="Z76" s="56"/>
      <c r="AA76" s="55" t="n">
        <v>0.04</v>
      </c>
      <c r="AB76" s="57" t="n">
        <v>301067.45</v>
      </c>
      <c r="AC76" s="44"/>
      <c r="AD76" s="44"/>
      <c r="AE76" s="44" t="n">
        <v>301067.45</v>
      </c>
      <c r="AF76" s="44" t="s">
        <v>53</v>
      </c>
      <c r="AG76" s="44" t="n">
        <v>0</v>
      </c>
      <c r="AH76" s="58" t="s">
        <v>1439</v>
      </c>
      <c r="AI76" s="44" t="n">
        <v>0</v>
      </c>
      <c r="AJ76" s="44" t="s">
        <v>206</v>
      </c>
      <c r="AK76" s="44" t="s">
        <v>206</v>
      </c>
      <c r="AL76" s="44" t="s">
        <v>206</v>
      </c>
      <c r="AM76" s="44" t="n">
        <v>0</v>
      </c>
      <c r="AN76" s="44" t="s">
        <v>53</v>
      </c>
      <c r="AO76" s="44"/>
      <c r="AP76" s="44"/>
      <c r="AQ76" s="45" t="s">
        <v>450</v>
      </c>
      <c r="AR76" s="44" t="s">
        <v>1282</v>
      </c>
      <c r="AS76" s="44"/>
      <c r="AT76" s="44"/>
      <c r="AU76" s="44"/>
      <c r="AV76" s="44"/>
      <c r="AW76" s="44"/>
      <c r="AX76" s="44"/>
      <c r="AY76" s="44"/>
      <c r="AZ76" s="46"/>
    </row>
    <row r="77" customFormat="false" ht="18" hidden="false" customHeight="true" outlineLevel="0" collapsed="false">
      <c r="A77" s="47" t="n">
        <v>88332</v>
      </c>
      <c r="B77" s="48" t="s">
        <v>415</v>
      </c>
      <c r="C77" s="47" t="n">
        <v>88332</v>
      </c>
      <c r="D77" s="48" t="s">
        <v>416</v>
      </c>
      <c r="E77" s="48" t="s">
        <v>459</v>
      </c>
      <c r="F77" s="48" t="s">
        <v>1575</v>
      </c>
      <c r="G77" s="49" t="s">
        <v>1439</v>
      </c>
      <c r="H77" s="48" t="s">
        <v>1440</v>
      </c>
      <c r="I77" s="48" t="s">
        <v>36</v>
      </c>
      <c r="J77" s="48" t="s">
        <v>1442</v>
      </c>
      <c r="K77" s="48" t="s">
        <v>36</v>
      </c>
      <c r="L77" s="48" t="s">
        <v>405</v>
      </c>
      <c r="M77" s="48"/>
      <c r="N77" s="50" t="s">
        <v>1443</v>
      </c>
      <c r="O77" s="51" t="s">
        <v>1569</v>
      </c>
      <c r="P77" s="52" t="n">
        <v>1</v>
      </c>
      <c r="Q77" s="51"/>
      <c r="R77" s="52" t="s">
        <v>1578</v>
      </c>
      <c r="S77" s="52"/>
      <c r="T77" s="52"/>
      <c r="U77" s="53" t="n">
        <v>211070</v>
      </c>
      <c r="V77" s="54" t="n">
        <v>211070</v>
      </c>
      <c r="W77" s="55" t="n">
        <v>0.14</v>
      </c>
      <c r="X77" s="52" t="n">
        <v>0.055</v>
      </c>
      <c r="Y77" s="55" t="n">
        <v>0.12</v>
      </c>
      <c r="Z77" s="56"/>
      <c r="AA77" s="55" t="n">
        <v>0.04</v>
      </c>
      <c r="AB77" s="57" t="n">
        <v>304903.1</v>
      </c>
      <c r="AC77" s="44"/>
      <c r="AD77" s="44"/>
      <c r="AE77" s="44" t="n">
        <v>304903.1</v>
      </c>
      <c r="AF77" s="44" t="s">
        <v>53</v>
      </c>
      <c r="AG77" s="44" t="n">
        <v>0</v>
      </c>
      <c r="AH77" s="58" t="s">
        <v>1439</v>
      </c>
      <c r="AI77" s="44" t="n">
        <v>0</v>
      </c>
      <c r="AJ77" s="44" t="s">
        <v>405</v>
      </c>
      <c r="AK77" s="44" t="s">
        <v>47</v>
      </c>
      <c r="AL77" s="44" t="s">
        <v>405</v>
      </c>
      <c r="AM77" s="44" t="n">
        <v>1</v>
      </c>
      <c r="AN77" s="44" t="s">
        <v>53</v>
      </c>
      <c r="AO77" s="44"/>
      <c r="AP77" s="44"/>
      <c r="AQ77" s="45" t="s">
        <v>414</v>
      </c>
      <c r="AR77" s="44" t="s">
        <v>1282</v>
      </c>
      <c r="AS77" s="44"/>
      <c r="AT77" s="44"/>
      <c r="AU77" s="44"/>
      <c r="AV77" s="44"/>
      <c r="AW77" s="44"/>
      <c r="AX77" s="44"/>
      <c r="AY77" s="44"/>
      <c r="AZ77" s="46"/>
    </row>
    <row r="78" customFormat="false" ht="18" hidden="false" customHeight="true" outlineLevel="0" collapsed="false">
      <c r="A78" s="47" t="s">
        <v>1507</v>
      </c>
      <c r="B78" s="48" t="s">
        <v>69</v>
      </c>
      <c r="C78" s="47" t="s">
        <v>1507</v>
      </c>
      <c r="D78" s="48" t="s">
        <v>300</v>
      </c>
      <c r="E78" s="48" t="s">
        <v>459</v>
      </c>
      <c r="F78" s="48" t="s">
        <v>1575</v>
      </c>
      <c r="G78" s="49" t="s">
        <v>1439</v>
      </c>
      <c r="H78" s="48" t="s">
        <v>1440</v>
      </c>
      <c r="I78" s="48" t="s">
        <v>1498</v>
      </c>
      <c r="J78" s="48" t="s">
        <v>18</v>
      </c>
      <c r="K78" s="48" t="s">
        <v>1150</v>
      </c>
      <c r="L78" s="48" t="s">
        <v>206</v>
      </c>
      <c r="M78" s="48"/>
      <c r="N78" s="50" t="s">
        <v>1443</v>
      </c>
      <c r="O78" s="51" t="s">
        <v>1569</v>
      </c>
      <c r="P78" s="52" t="n">
        <v>1</v>
      </c>
      <c r="Q78" s="51"/>
      <c r="R78" s="52" t="s">
        <v>69</v>
      </c>
      <c r="S78" s="52"/>
      <c r="T78" s="52"/>
      <c r="U78" s="53" t="n">
        <v>225020</v>
      </c>
      <c r="V78" s="54" t="n">
        <v>225020</v>
      </c>
      <c r="W78" s="55" t="n">
        <v>0.14</v>
      </c>
      <c r="X78" s="52" t="n">
        <v>0.055</v>
      </c>
      <c r="Y78" s="55" t="n">
        <v>0.12</v>
      </c>
      <c r="Z78" s="56"/>
      <c r="AA78" s="55" t="n">
        <v>0.04</v>
      </c>
      <c r="AB78" s="57" t="n">
        <v>304902.1</v>
      </c>
      <c r="AC78" s="44"/>
      <c r="AD78" s="44"/>
      <c r="AE78" s="44" t="n">
        <v>304902.1</v>
      </c>
      <c r="AF78" s="44" t="s">
        <v>69</v>
      </c>
      <c r="AG78" s="44" t="n">
        <v>0</v>
      </c>
      <c r="AH78" s="58" t="s">
        <v>1439</v>
      </c>
      <c r="AI78" s="44" t="n">
        <v>0</v>
      </c>
      <c r="AJ78" s="44" t="s">
        <v>206</v>
      </c>
      <c r="AK78" s="44" t="s">
        <v>206</v>
      </c>
      <c r="AL78" s="44" t="s">
        <v>206</v>
      </c>
      <c r="AM78" s="44" t="n">
        <v>0</v>
      </c>
      <c r="AN78" s="44" t="s">
        <v>69</v>
      </c>
      <c r="AO78" s="44"/>
      <c r="AP78" s="44"/>
      <c r="AQ78" s="45" t="s">
        <v>453</v>
      </c>
      <c r="AR78" s="44" t="s">
        <v>1282</v>
      </c>
      <c r="AS78" s="44"/>
      <c r="AT78" s="44"/>
      <c r="AU78" s="44"/>
      <c r="AV78" s="44"/>
      <c r="AW78" s="44"/>
      <c r="AX78" s="44"/>
      <c r="AY78" s="44"/>
      <c r="AZ78" s="46"/>
    </row>
    <row r="79" customFormat="false" ht="18" hidden="false" customHeight="true" outlineLevel="0" collapsed="false">
      <c r="A79" s="47" t="n">
        <v>2967</v>
      </c>
      <c r="B79" s="48" t="s">
        <v>728</v>
      </c>
      <c r="C79" s="47" t="n">
        <v>2967</v>
      </c>
      <c r="D79" s="48" t="s">
        <v>617</v>
      </c>
      <c r="E79" s="48" t="s">
        <v>730</v>
      </c>
      <c r="F79" s="48" t="s">
        <v>1460</v>
      </c>
      <c r="G79" s="49" t="s">
        <v>1461</v>
      </c>
      <c r="H79" s="48" t="s">
        <v>1161</v>
      </c>
      <c r="I79" s="48" t="s">
        <v>1462</v>
      </c>
      <c r="J79" s="48" t="s">
        <v>24</v>
      </c>
      <c r="K79" s="48" t="s">
        <v>1155</v>
      </c>
      <c r="L79" s="48" t="s">
        <v>1579</v>
      </c>
      <c r="M79" s="48"/>
      <c r="N79" s="50" t="s">
        <v>1443</v>
      </c>
      <c r="O79" s="51" t="s">
        <v>1580</v>
      </c>
      <c r="P79" s="52" t="n">
        <v>1</v>
      </c>
      <c r="Q79" s="51"/>
      <c r="R79" s="52" t="s">
        <v>1519</v>
      </c>
      <c r="S79" s="52"/>
      <c r="T79" s="52"/>
      <c r="U79" s="53" t="n">
        <v>166090</v>
      </c>
      <c r="V79" s="54" t="n">
        <v>166090</v>
      </c>
      <c r="W79" s="55" t="n">
        <v>0.14</v>
      </c>
      <c r="X79" s="52" t="n">
        <v>0.055</v>
      </c>
      <c r="Y79" s="55" t="n">
        <v>0.12</v>
      </c>
      <c r="Z79" s="56"/>
      <c r="AA79" s="55" t="n">
        <v>0.04</v>
      </c>
      <c r="AB79" s="57" t="n">
        <v>225051.95</v>
      </c>
      <c r="AC79" s="44"/>
      <c r="AD79" s="44"/>
      <c r="AE79" s="44" t="n">
        <v>225051.95</v>
      </c>
      <c r="AF79" s="44" t="s">
        <v>53</v>
      </c>
      <c r="AG79" s="44" t="n">
        <v>0</v>
      </c>
      <c r="AH79" s="58" t="s">
        <v>24</v>
      </c>
      <c r="AI79" s="44" t="n">
        <v>0</v>
      </c>
      <c r="AJ79" s="44" t="s">
        <v>696</v>
      </c>
      <c r="AK79" s="44" t="s">
        <v>47</v>
      </c>
      <c r="AL79" s="44" t="s">
        <v>696</v>
      </c>
      <c r="AM79" s="44" t="n">
        <v>0</v>
      </c>
      <c r="AN79" s="44"/>
      <c r="AO79" s="44"/>
      <c r="AP79" s="44"/>
      <c r="AQ79" s="45" t="s">
        <v>727</v>
      </c>
      <c r="AR79" s="44" t="s">
        <v>1282</v>
      </c>
      <c r="AS79" s="44"/>
      <c r="AT79" s="44"/>
      <c r="AU79" s="44"/>
      <c r="AV79" s="44"/>
      <c r="AW79" s="44"/>
      <c r="AX79" s="44"/>
      <c r="AY79" s="44"/>
      <c r="AZ79" s="46"/>
    </row>
    <row r="80" customFormat="false" ht="18" hidden="false" customHeight="true" outlineLevel="0" collapsed="false">
      <c r="A80" s="47" t="n">
        <v>101861</v>
      </c>
      <c r="B80" s="48" t="s">
        <v>763</v>
      </c>
      <c r="C80" s="47" t="n">
        <v>101861</v>
      </c>
      <c r="D80" s="48" t="s">
        <v>682</v>
      </c>
      <c r="E80" s="48" t="s">
        <v>760</v>
      </c>
      <c r="F80" s="48" t="s">
        <v>761</v>
      </c>
      <c r="G80" s="49" t="s">
        <v>1461</v>
      </c>
      <c r="H80" s="48" t="s">
        <v>1161</v>
      </c>
      <c r="I80" s="48" t="s">
        <v>1581</v>
      </c>
      <c r="J80" s="48" t="s">
        <v>24</v>
      </c>
      <c r="K80" s="48" t="s">
        <v>1295</v>
      </c>
      <c r="L80" s="48" t="s">
        <v>756</v>
      </c>
      <c r="M80" s="48"/>
      <c r="N80" s="50" t="s">
        <v>1443</v>
      </c>
      <c r="O80" s="51" t="s">
        <v>1582</v>
      </c>
      <c r="P80" s="52" t="n">
        <v>1</v>
      </c>
      <c r="Q80" s="51"/>
      <c r="R80" s="52" t="s">
        <v>1519</v>
      </c>
      <c r="S80" s="52"/>
      <c r="T80" s="52"/>
      <c r="U80" s="53" t="n">
        <v>233760</v>
      </c>
      <c r="V80" s="54" t="n">
        <v>233760</v>
      </c>
      <c r="W80" s="55" t="n">
        <v>0.14</v>
      </c>
      <c r="X80" s="52" t="n">
        <v>0.055</v>
      </c>
      <c r="Y80" s="55" t="n">
        <v>0.12</v>
      </c>
      <c r="Z80" s="56"/>
      <c r="AA80" s="55" t="n">
        <v>0.04</v>
      </c>
      <c r="AB80" s="57" t="n">
        <v>316744.8</v>
      </c>
      <c r="AC80" s="44"/>
      <c r="AD80" s="44"/>
      <c r="AE80" s="44" t="n">
        <v>316744.8</v>
      </c>
      <c r="AF80" s="44" t="s">
        <v>53</v>
      </c>
      <c r="AG80" s="44" t="n">
        <v>0</v>
      </c>
      <c r="AH80" s="58" t="s">
        <v>24</v>
      </c>
      <c r="AI80" s="44" t="n">
        <v>1</v>
      </c>
      <c r="AJ80" s="44" t="s">
        <v>756</v>
      </c>
      <c r="AK80" s="44" t="s">
        <v>203</v>
      </c>
      <c r="AL80" s="44" t="s">
        <v>203</v>
      </c>
      <c r="AM80" s="44" t="n">
        <v>0</v>
      </c>
      <c r="AN80" s="44"/>
      <c r="AO80" s="44"/>
      <c r="AP80" s="44"/>
      <c r="AQ80" s="45" t="s">
        <v>762</v>
      </c>
      <c r="AR80" s="44" t="s">
        <v>1282</v>
      </c>
      <c r="AS80" s="44"/>
      <c r="AT80" s="44"/>
      <c r="AU80" s="44"/>
      <c r="AV80" s="44"/>
      <c r="AW80" s="44"/>
      <c r="AX80" s="44"/>
      <c r="AY80" s="44"/>
      <c r="AZ80" s="46"/>
    </row>
    <row r="81" customFormat="false" ht="18" hidden="false" customHeight="true" outlineLevel="0" collapsed="false">
      <c r="A81" s="47" t="n">
        <v>109475</v>
      </c>
      <c r="B81" s="48" t="s">
        <v>730</v>
      </c>
      <c r="C81" s="47" t="n">
        <v>109475</v>
      </c>
      <c r="D81" s="48" t="s">
        <v>731</v>
      </c>
      <c r="E81" s="48" t="s">
        <v>760</v>
      </c>
      <c r="F81" s="48" t="s">
        <v>761</v>
      </c>
      <c r="G81" s="49" t="s">
        <v>1461</v>
      </c>
      <c r="H81" s="48" t="s">
        <v>1161</v>
      </c>
      <c r="I81" s="48" t="s">
        <v>1462</v>
      </c>
      <c r="J81" s="48" t="s">
        <v>24</v>
      </c>
      <c r="K81" s="48" t="s">
        <v>1155</v>
      </c>
      <c r="L81" s="48" t="s">
        <v>696</v>
      </c>
      <c r="M81" s="48"/>
      <c r="N81" s="50" t="s">
        <v>1443</v>
      </c>
      <c r="O81" s="51" t="s">
        <v>1582</v>
      </c>
      <c r="P81" s="52" t="n">
        <v>1</v>
      </c>
      <c r="Q81" s="51"/>
      <c r="R81" s="52" t="s">
        <v>1519</v>
      </c>
      <c r="S81" s="52"/>
      <c r="T81" s="52"/>
      <c r="U81" s="53" t="n">
        <v>190180</v>
      </c>
      <c r="V81" s="54" t="n">
        <v>190180</v>
      </c>
      <c r="W81" s="55" t="n">
        <v>0.14</v>
      </c>
      <c r="X81" s="52" t="n">
        <v>0.055</v>
      </c>
      <c r="Y81" s="55" t="n">
        <v>0.12</v>
      </c>
      <c r="Z81" s="56"/>
      <c r="AA81" s="55" t="n">
        <v>0.04</v>
      </c>
      <c r="AB81" s="57" t="n">
        <v>257693.9</v>
      </c>
      <c r="AC81" s="44"/>
      <c r="AD81" s="44"/>
      <c r="AE81" s="44" t="n">
        <v>257693.9</v>
      </c>
      <c r="AF81" s="44" t="s">
        <v>53</v>
      </c>
      <c r="AG81" s="44" t="n">
        <v>0</v>
      </c>
      <c r="AH81" s="58" t="s">
        <v>24</v>
      </c>
      <c r="AI81" s="44" t="n">
        <v>0</v>
      </c>
      <c r="AJ81" s="44" t="s">
        <v>696</v>
      </c>
      <c r="AK81" s="44" t="s">
        <v>47</v>
      </c>
      <c r="AL81" s="44" t="s">
        <v>696</v>
      </c>
      <c r="AM81" s="44" t="n">
        <v>0</v>
      </c>
      <c r="AN81" s="44"/>
      <c r="AO81" s="44"/>
      <c r="AP81" s="44"/>
      <c r="AQ81" s="45" t="s">
        <v>729</v>
      </c>
      <c r="AR81" s="44" t="s">
        <v>1282</v>
      </c>
      <c r="AS81" s="44"/>
      <c r="AT81" s="44"/>
      <c r="AU81" s="44"/>
      <c r="AV81" s="44"/>
      <c r="AW81" s="44"/>
      <c r="AX81" s="44"/>
      <c r="AY81" s="44"/>
      <c r="AZ81" s="46"/>
    </row>
    <row r="82" customFormat="false" ht="18" hidden="false" customHeight="true" outlineLevel="0" collapsed="false">
      <c r="A82" s="47" t="n">
        <v>106555</v>
      </c>
      <c r="B82" s="48" t="s">
        <v>765</v>
      </c>
      <c r="C82" s="47" t="n">
        <v>106555</v>
      </c>
      <c r="D82" s="48" t="s">
        <v>766</v>
      </c>
      <c r="E82" s="48" t="s">
        <v>760</v>
      </c>
      <c r="F82" s="48" t="s">
        <v>761</v>
      </c>
      <c r="G82" s="49" t="s">
        <v>1461</v>
      </c>
      <c r="H82" s="48" t="s">
        <v>1161</v>
      </c>
      <c r="I82" s="48" t="s">
        <v>1583</v>
      </c>
      <c r="J82" s="48" t="s">
        <v>24</v>
      </c>
      <c r="K82" s="48" t="s">
        <v>1153</v>
      </c>
      <c r="L82" s="48" t="s">
        <v>756</v>
      </c>
      <c r="M82" s="48"/>
      <c r="N82" s="50" t="s">
        <v>1443</v>
      </c>
      <c r="O82" s="51" t="s">
        <v>1582</v>
      </c>
      <c r="P82" s="52" t="n">
        <v>1</v>
      </c>
      <c r="Q82" s="51"/>
      <c r="R82" s="52" t="s">
        <v>1519</v>
      </c>
      <c r="S82" s="52"/>
      <c r="T82" s="52"/>
      <c r="U82" s="53" t="n">
        <v>183820</v>
      </c>
      <c r="V82" s="54" t="n">
        <v>183820</v>
      </c>
      <c r="W82" s="55" t="n">
        <v>0.14</v>
      </c>
      <c r="X82" s="52" t="n">
        <v>0.055</v>
      </c>
      <c r="Y82" s="55" t="n">
        <v>0.12</v>
      </c>
      <c r="Z82" s="56"/>
      <c r="AA82" s="55" t="n">
        <v>0.04</v>
      </c>
      <c r="AB82" s="57" t="n">
        <v>249076.1</v>
      </c>
      <c r="AC82" s="44"/>
      <c r="AD82" s="44"/>
      <c r="AE82" s="44" t="n">
        <v>249076.1</v>
      </c>
      <c r="AF82" s="44" t="s">
        <v>53</v>
      </c>
      <c r="AG82" s="44" t="n">
        <v>0</v>
      </c>
      <c r="AH82" s="58" t="s">
        <v>24</v>
      </c>
      <c r="AI82" s="44" t="n">
        <v>1</v>
      </c>
      <c r="AJ82" s="44" t="s">
        <v>756</v>
      </c>
      <c r="AK82" s="44" t="s">
        <v>206</v>
      </c>
      <c r="AL82" s="44" t="s">
        <v>206</v>
      </c>
      <c r="AM82" s="44" t="n">
        <v>0</v>
      </c>
      <c r="AN82" s="44"/>
      <c r="AO82" s="44"/>
      <c r="AP82" s="44"/>
      <c r="AQ82" s="45" t="s">
        <v>764</v>
      </c>
      <c r="AR82" s="44" t="s">
        <v>1282</v>
      </c>
      <c r="AS82" s="44"/>
      <c r="AT82" s="44"/>
      <c r="AU82" s="44"/>
      <c r="AV82" s="44"/>
      <c r="AW82" s="44"/>
      <c r="AX82" s="44"/>
      <c r="AY82" s="44"/>
      <c r="AZ82" s="46"/>
    </row>
    <row r="83" customFormat="false" ht="18" hidden="false" customHeight="true" outlineLevel="0" collapsed="false">
      <c r="A83" s="47" t="s">
        <v>1507</v>
      </c>
      <c r="B83" s="48" t="s">
        <v>69</v>
      </c>
      <c r="C83" s="47" t="s">
        <v>1507</v>
      </c>
      <c r="D83" s="48" t="s">
        <v>768</v>
      </c>
      <c r="E83" s="48" t="s">
        <v>760</v>
      </c>
      <c r="F83" s="48" t="s">
        <v>761</v>
      </c>
      <c r="G83" s="49" t="s">
        <v>1461</v>
      </c>
      <c r="H83" s="48" t="s">
        <v>1161</v>
      </c>
      <c r="I83" s="48" t="s">
        <v>1584</v>
      </c>
      <c r="J83" s="48" t="s">
        <v>24</v>
      </c>
      <c r="K83" s="48" t="s">
        <v>756</v>
      </c>
      <c r="L83" s="48" t="s">
        <v>756</v>
      </c>
      <c r="M83" s="48"/>
      <c r="N83" s="50" t="s">
        <v>1443</v>
      </c>
      <c r="O83" s="51" t="s">
        <v>1582</v>
      </c>
      <c r="P83" s="52" t="n">
        <v>1</v>
      </c>
      <c r="Q83" s="51"/>
      <c r="R83" s="52" t="s">
        <v>1513</v>
      </c>
      <c r="S83" s="52"/>
      <c r="T83" s="52"/>
      <c r="U83" s="53" t="n">
        <v>203550</v>
      </c>
      <c r="V83" s="54" t="n">
        <v>203550</v>
      </c>
      <c r="W83" s="55" t="n">
        <v>0.14</v>
      </c>
      <c r="X83" s="52" t="n">
        <v>0.055</v>
      </c>
      <c r="Y83" s="55" t="n">
        <v>0.12</v>
      </c>
      <c r="Z83" s="56"/>
      <c r="AA83" s="55" t="n">
        <v>0.04</v>
      </c>
      <c r="AB83" s="57" t="n">
        <v>275810.25</v>
      </c>
      <c r="AC83" s="44"/>
      <c r="AD83" s="44"/>
      <c r="AE83" s="44" t="n">
        <v>275810.25</v>
      </c>
      <c r="AF83" s="44" t="s">
        <v>69</v>
      </c>
      <c r="AG83" s="44" t="n">
        <v>0</v>
      </c>
      <c r="AH83" s="58" t="s">
        <v>24</v>
      </c>
      <c r="AI83" s="44" t="n">
        <v>1</v>
      </c>
      <c r="AJ83" s="44" t="s">
        <v>756</v>
      </c>
      <c r="AK83" s="44" t="s">
        <v>206</v>
      </c>
      <c r="AL83" s="44" t="s">
        <v>206</v>
      </c>
      <c r="AM83" s="44" t="n">
        <v>0</v>
      </c>
      <c r="AN83" s="44"/>
      <c r="AO83" s="44"/>
      <c r="AP83" s="44"/>
      <c r="AQ83" s="45" t="s">
        <v>767</v>
      </c>
      <c r="AR83" s="44" t="s">
        <v>1282</v>
      </c>
      <c r="AS83" s="44"/>
      <c r="AT83" s="44"/>
      <c r="AU83" s="44"/>
      <c r="AV83" s="44"/>
      <c r="AW83" s="44"/>
      <c r="AX83" s="44"/>
      <c r="AY83" s="44"/>
      <c r="AZ83" s="46"/>
    </row>
    <row r="84" customFormat="false" ht="18" hidden="false" customHeight="true" outlineLevel="0" collapsed="false">
      <c r="A84" s="47" t="n">
        <v>98823</v>
      </c>
      <c r="B84" s="48" t="s">
        <v>1585</v>
      </c>
      <c r="C84" s="47" t="n">
        <v>98823</v>
      </c>
      <c r="D84" s="48" t="s">
        <v>1586</v>
      </c>
      <c r="E84" s="48" t="s">
        <v>1525</v>
      </c>
      <c r="F84" s="48" t="s">
        <v>1587</v>
      </c>
      <c r="G84" s="49" t="s">
        <v>1527</v>
      </c>
      <c r="H84" s="48" t="s">
        <v>1328</v>
      </c>
      <c r="I84" s="48" t="s">
        <v>1588</v>
      </c>
      <c r="J84" s="48" t="s">
        <v>1159</v>
      </c>
      <c r="K84" s="48" t="s">
        <v>1159</v>
      </c>
      <c r="L84" s="48" t="s">
        <v>1159</v>
      </c>
      <c r="M84" s="48"/>
      <c r="N84" s="50" t="s">
        <v>1443</v>
      </c>
      <c r="O84" s="51" t="s">
        <v>1582</v>
      </c>
      <c r="P84" s="52" t="n">
        <v>1</v>
      </c>
      <c r="Q84" s="51"/>
      <c r="R84" s="52" t="s">
        <v>1519</v>
      </c>
      <c r="S84" s="52"/>
      <c r="T84" s="52"/>
      <c r="U84" s="53" t="n">
        <v>211840</v>
      </c>
      <c r="V84" s="54" t="n">
        <v>211840</v>
      </c>
      <c r="W84" s="55" t="n">
        <v>0.14</v>
      </c>
      <c r="X84" s="52" t="n">
        <v>0.055</v>
      </c>
      <c r="Y84" s="55" t="n">
        <v>0.12</v>
      </c>
      <c r="Z84" s="56"/>
      <c r="AA84" s="55" t="n">
        <v>0.04</v>
      </c>
      <c r="AB84" s="57" t="n">
        <v>287043.2</v>
      </c>
      <c r="AC84" s="44"/>
      <c r="AD84" s="44"/>
      <c r="AE84" s="44" t="n">
        <v>287043.2</v>
      </c>
      <c r="AF84" s="44" t="s">
        <v>53</v>
      </c>
      <c r="AG84" s="44" t="n">
        <v>0</v>
      </c>
      <c r="AH84" s="58" t="s">
        <v>32</v>
      </c>
      <c r="AI84" s="44" t="n">
        <v>0</v>
      </c>
      <c r="AJ84" s="44" t="s">
        <v>1328</v>
      </c>
      <c r="AK84" s="44" t="s">
        <v>47</v>
      </c>
      <c r="AL84" s="44" t="s">
        <v>1328</v>
      </c>
      <c r="AM84" s="44" t="n">
        <v>0</v>
      </c>
      <c r="AN84" s="44"/>
      <c r="AO84" s="44"/>
      <c r="AP84" s="44"/>
      <c r="AQ84" s="45" t="s">
        <v>1327</v>
      </c>
      <c r="AR84" s="44" t="s">
        <v>1282</v>
      </c>
      <c r="AS84" s="44"/>
      <c r="AT84" s="44"/>
      <c r="AU84" s="44"/>
      <c r="AV84" s="44"/>
      <c r="AW84" s="44"/>
      <c r="AX84" s="44"/>
      <c r="AY84" s="44"/>
      <c r="AZ84" s="46"/>
    </row>
    <row r="85" customFormat="false" ht="18" hidden="false" customHeight="true" outlineLevel="0" collapsed="false">
      <c r="A85" s="47" t="n">
        <v>101700</v>
      </c>
      <c r="B85" s="48" t="s">
        <v>1589</v>
      </c>
      <c r="C85" s="47" t="n">
        <v>101700</v>
      </c>
      <c r="D85" s="48" t="s">
        <v>1590</v>
      </c>
      <c r="E85" s="48" t="s">
        <v>1525</v>
      </c>
      <c r="F85" s="48" t="s">
        <v>1591</v>
      </c>
      <c r="G85" s="49" t="s">
        <v>1527</v>
      </c>
      <c r="H85" s="48" t="s">
        <v>1322</v>
      </c>
      <c r="I85" s="48" t="s">
        <v>1159</v>
      </c>
      <c r="J85" s="48" t="s">
        <v>1159</v>
      </c>
      <c r="K85" s="48" t="s">
        <v>1159</v>
      </c>
      <c r="L85" s="48" t="s">
        <v>1159</v>
      </c>
      <c r="M85" s="48"/>
      <c r="N85" s="50" t="s">
        <v>1443</v>
      </c>
      <c r="O85" s="51" t="s">
        <v>1582</v>
      </c>
      <c r="P85" s="52" t="n">
        <v>1</v>
      </c>
      <c r="Q85" s="51"/>
      <c r="R85" s="52" t="s">
        <v>1519</v>
      </c>
      <c r="S85" s="52"/>
      <c r="T85" s="52"/>
      <c r="U85" s="53" t="n">
        <v>211840</v>
      </c>
      <c r="V85" s="54" t="n">
        <v>211840</v>
      </c>
      <c r="W85" s="55" t="n">
        <v>0.14</v>
      </c>
      <c r="X85" s="52" t="n">
        <v>0.055</v>
      </c>
      <c r="Y85" s="55" t="n">
        <v>0.12</v>
      </c>
      <c r="Z85" s="56"/>
      <c r="AA85" s="55" t="n">
        <v>0.04</v>
      </c>
      <c r="AB85" s="57" t="n">
        <v>287043.2</v>
      </c>
      <c r="AC85" s="44"/>
      <c r="AD85" s="44"/>
      <c r="AE85" s="44" t="n">
        <v>287043.2</v>
      </c>
      <c r="AF85" s="44" t="s">
        <v>53</v>
      </c>
      <c r="AG85" s="44" t="n">
        <v>0</v>
      </c>
      <c r="AH85" s="58" t="s">
        <v>32</v>
      </c>
      <c r="AI85" s="44" t="n">
        <v>0</v>
      </c>
      <c r="AJ85" s="44" t="s">
        <v>1322</v>
      </c>
      <c r="AK85" s="44" t="s">
        <v>47</v>
      </c>
      <c r="AL85" s="44" t="s">
        <v>1322</v>
      </c>
      <c r="AM85" s="44" t="n">
        <v>0</v>
      </c>
      <c r="AN85" s="44"/>
      <c r="AO85" s="44"/>
      <c r="AP85" s="44"/>
      <c r="AQ85" s="45" t="s">
        <v>1320</v>
      </c>
      <c r="AR85" s="44" t="s">
        <v>1282</v>
      </c>
      <c r="AS85" s="44"/>
      <c r="AT85" s="44"/>
      <c r="AU85" s="44"/>
      <c r="AV85" s="44"/>
      <c r="AW85" s="44"/>
      <c r="AX85" s="44"/>
      <c r="AY85" s="44"/>
      <c r="AZ85" s="46"/>
    </row>
    <row r="86" customFormat="false" ht="18" hidden="false" customHeight="true" outlineLevel="0" collapsed="false">
      <c r="A86" s="47" t="n">
        <v>101504</v>
      </c>
      <c r="B86" s="48" t="s">
        <v>1592</v>
      </c>
      <c r="C86" s="47" t="n">
        <v>101504</v>
      </c>
      <c r="D86" s="48" t="s">
        <v>1593</v>
      </c>
      <c r="E86" s="48" t="s">
        <v>1525</v>
      </c>
      <c r="F86" s="48" t="s">
        <v>1594</v>
      </c>
      <c r="G86" s="49" t="s">
        <v>1527</v>
      </c>
      <c r="H86" s="48" t="s">
        <v>1332</v>
      </c>
      <c r="I86" s="48" t="s">
        <v>1159</v>
      </c>
      <c r="J86" s="48" t="s">
        <v>1159</v>
      </c>
      <c r="K86" s="48" t="s">
        <v>1159</v>
      </c>
      <c r="L86" s="48" t="s">
        <v>1159</v>
      </c>
      <c r="M86" s="48"/>
      <c r="N86" s="50" t="s">
        <v>1443</v>
      </c>
      <c r="O86" s="51" t="s">
        <v>1582</v>
      </c>
      <c r="P86" s="52" t="n">
        <v>1</v>
      </c>
      <c r="Q86" s="51"/>
      <c r="R86" s="52" t="s">
        <v>1519</v>
      </c>
      <c r="S86" s="52"/>
      <c r="T86" s="52"/>
      <c r="U86" s="53" t="n">
        <v>233630</v>
      </c>
      <c r="V86" s="54" t="n">
        <v>233630</v>
      </c>
      <c r="W86" s="55" t="n">
        <v>0.14</v>
      </c>
      <c r="X86" s="52" t="n">
        <v>0.055</v>
      </c>
      <c r="Y86" s="55" t="n">
        <v>0.12</v>
      </c>
      <c r="Z86" s="56"/>
      <c r="AA86" s="55" t="n">
        <v>0.04</v>
      </c>
      <c r="AB86" s="57" t="n">
        <v>316568.65</v>
      </c>
      <c r="AC86" s="44"/>
      <c r="AD86" s="44"/>
      <c r="AE86" s="44" t="n">
        <v>316568.65</v>
      </c>
      <c r="AF86" s="44" t="s">
        <v>53</v>
      </c>
      <c r="AG86" s="44" t="n">
        <v>0</v>
      </c>
      <c r="AH86" s="58" t="s">
        <v>32</v>
      </c>
      <c r="AI86" s="44" t="n">
        <v>0</v>
      </c>
      <c r="AJ86" s="44" t="s">
        <v>1332</v>
      </c>
      <c r="AK86" s="44" t="s">
        <v>47</v>
      </c>
      <c r="AL86" s="44" t="s">
        <v>1332</v>
      </c>
      <c r="AM86" s="44" t="n">
        <v>0</v>
      </c>
      <c r="AN86" s="44"/>
      <c r="AO86" s="44"/>
      <c r="AP86" s="44"/>
      <c r="AQ86" s="45" t="s">
        <v>1331</v>
      </c>
      <c r="AR86" s="44" t="s">
        <v>1282</v>
      </c>
      <c r="AS86" s="44"/>
      <c r="AT86" s="44"/>
      <c r="AU86" s="44"/>
      <c r="AV86" s="44"/>
      <c r="AW86" s="44"/>
      <c r="AX86" s="44"/>
      <c r="AY86" s="44"/>
      <c r="AZ86" s="46"/>
    </row>
    <row r="87" customFormat="false" ht="18" hidden="false" customHeight="true" outlineLevel="0" collapsed="false">
      <c r="A87" s="47" t="n">
        <v>101830</v>
      </c>
      <c r="B87" s="48" t="s">
        <v>1079</v>
      </c>
      <c r="C87" s="47" t="n">
        <v>101830</v>
      </c>
      <c r="D87" s="48" t="s">
        <v>1080</v>
      </c>
      <c r="E87" s="48" t="s">
        <v>1523</v>
      </c>
      <c r="F87" s="48" t="s">
        <v>1595</v>
      </c>
      <c r="G87" s="49" t="s">
        <v>1527</v>
      </c>
      <c r="H87" s="48" t="s">
        <v>1338</v>
      </c>
      <c r="I87" s="48" t="s">
        <v>1159</v>
      </c>
      <c r="J87" s="48" t="s">
        <v>1159</v>
      </c>
      <c r="K87" s="48" t="s">
        <v>1159</v>
      </c>
      <c r="L87" s="48" t="s">
        <v>1159</v>
      </c>
      <c r="M87" s="48"/>
      <c r="N87" s="50" t="s">
        <v>1443</v>
      </c>
      <c r="O87" s="51" t="s">
        <v>1582</v>
      </c>
      <c r="P87" s="52" t="n">
        <v>1</v>
      </c>
      <c r="Q87" s="51"/>
      <c r="R87" s="52" t="s">
        <v>1519</v>
      </c>
      <c r="S87" s="52"/>
      <c r="T87" s="52"/>
      <c r="U87" s="53" t="n">
        <v>232970</v>
      </c>
      <c r="V87" s="54" t="n">
        <v>232970</v>
      </c>
      <c r="W87" s="55" t="n">
        <v>0.14</v>
      </c>
      <c r="X87" s="52" t="n">
        <v>0.055</v>
      </c>
      <c r="Y87" s="55" t="n">
        <v>0.12</v>
      </c>
      <c r="Z87" s="56"/>
      <c r="AA87" s="55" t="n">
        <v>0.04</v>
      </c>
      <c r="AB87" s="57" t="n">
        <v>315674.35</v>
      </c>
      <c r="AC87" s="44"/>
      <c r="AD87" s="44"/>
      <c r="AE87" s="44" t="n">
        <v>315674.35</v>
      </c>
      <c r="AF87" s="44" t="s">
        <v>53</v>
      </c>
      <c r="AG87" s="44" t="n">
        <v>0</v>
      </c>
      <c r="AH87" s="58" t="s">
        <v>25</v>
      </c>
      <c r="AI87" s="44" t="n">
        <v>0</v>
      </c>
      <c r="AJ87" s="44" t="s">
        <v>1077</v>
      </c>
      <c r="AK87" s="44" t="s">
        <v>47</v>
      </c>
      <c r="AL87" s="44" t="s">
        <v>1077</v>
      </c>
      <c r="AM87" s="44" t="n">
        <v>0</v>
      </c>
      <c r="AN87" s="44"/>
      <c r="AO87" s="44"/>
      <c r="AP87" s="44"/>
      <c r="AQ87" s="45" t="s">
        <v>1078</v>
      </c>
      <c r="AR87" s="44" t="s">
        <v>1282</v>
      </c>
      <c r="AS87" s="44"/>
      <c r="AT87" s="44"/>
      <c r="AU87" s="44"/>
      <c r="AV87" s="44"/>
      <c r="AW87" s="44"/>
      <c r="AX87" s="44"/>
      <c r="AY87" s="44"/>
      <c r="AZ87" s="46"/>
    </row>
    <row r="88" customFormat="false" ht="18" hidden="false" customHeight="true" outlineLevel="0" collapsed="false">
      <c r="A88" s="47" t="n">
        <v>113956</v>
      </c>
      <c r="B88" s="48" t="s">
        <v>1053</v>
      </c>
      <c r="C88" s="47" t="n">
        <v>113956</v>
      </c>
      <c r="D88" s="48" t="s">
        <v>1054</v>
      </c>
      <c r="E88" s="48" t="s">
        <v>1058</v>
      </c>
      <c r="F88" s="48" t="s">
        <v>1059</v>
      </c>
      <c r="G88" s="49" t="s">
        <v>1531</v>
      </c>
      <c r="H88" s="48" t="s">
        <v>1151</v>
      </c>
      <c r="I88" s="48" t="s">
        <v>1596</v>
      </c>
      <c r="J88" s="48" t="s">
        <v>31</v>
      </c>
      <c r="K88" s="48" t="s">
        <v>756</v>
      </c>
      <c r="L88" s="48"/>
      <c r="M88" s="48"/>
      <c r="N88" s="50" t="s">
        <v>1443</v>
      </c>
      <c r="O88" s="51" t="s">
        <v>1582</v>
      </c>
      <c r="P88" s="52" t="n">
        <v>1</v>
      </c>
      <c r="Q88" s="51"/>
      <c r="R88" s="52" t="s">
        <v>1519</v>
      </c>
      <c r="S88" s="52"/>
      <c r="T88" s="52"/>
      <c r="U88" s="53" t="n">
        <v>218390</v>
      </c>
      <c r="V88" s="54" t="n">
        <v>218390</v>
      </c>
      <c r="W88" s="55" t="n">
        <v>0.14</v>
      </c>
      <c r="X88" s="52" t="n">
        <v>0.055</v>
      </c>
      <c r="Y88" s="55" t="n">
        <v>0.12</v>
      </c>
      <c r="Z88" s="56"/>
      <c r="AA88" s="55" t="n">
        <v>0.04</v>
      </c>
      <c r="AB88" s="57" t="n">
        <v>295918.45</v>
      </c>
      <c r="AC88" s="44"/>
      <c r="AD88" s="44"/>
      <c r="AE88" s="44" t="n">
        <v>295918.45</v>
      </c>
      <c r="AF88" s="44" t="s">
        <v>53</v>
      </c>
      <c r="AG88" s="44" t="n">
        <v>0</v>
      </c>
      <c r="AH88" s="58" t="s">
        <v>31</v>
      </c>
      <c r="AI88" s="44" t="n">
        <v>1</v>
      </c>
      <c r="AJ88" s="44" t="s">
        <v>756</v>
      </c>
      <c r="AK88" s="44" t="s">
        <v>47</v>
      </c>
      <c r="AL88" s="44" t="s">
        <v>756</v>
      </c>
      <c r="AM88" s="44" t="n">
        <v>0</v>
      </c>
      <c r="AN88" s="44"/>
      <c r="AO88" s="44"/>
      <c r="AP88" s="44"/>
      <c r="AQ88" s="45" t="s">
        <v>1052</v>
      </c>
      <c r="AR88" s="44" t="s">
        <v>1282</v>
      </c>
      <c r="AS88" s="44"/>
      <c r="AT88" s="44"/>
      <c r="AU88" s="44"/>
      <c r="AV88" s="44"/>
      <c r="AW88" s="44"/>
      <c r="AX88" s="44"/>
      <c r="AY88" s="44"/>
      <c r="AZ88" s="46"/>
    </row>
    <row r="89" customFormat="false" ht="18" hidden="false" customHeight="true" outlineLevel="0" collapsed="false">
      <c r="A89" s="47" t="n">
        <v>114067</v>
      </c>
      <c r="B89" s="48" t="s">
        <v>1064</v>
      </c>
      <c r="C89" s="47" t="n">
        <v>114067</v>
      </c>
      <c r="D89" s="48" t="s">
        <v>1065</v>
      </c>
      <c r="E89" s="48" t="s">
        <v>1058</v>
      </c>
      <c r="F89" s="48" t="s">
        <v>1059</v>
      </c>
      <c r="G89" s="49" t="s">
        <v>1531</v>
      </c>
      <c r="H89" s="48" t="s">
        <v>1151</v>
      </c>
      <c r="I89" s="48" t="s">
        <v>974</v>
      </c>
      <c r="J89" s="48" t="s">
        <v>31</v>
      </c>
      <c r="K89" s="48" t="s">
        <v>756</v>
      </c>
      <c r="L89" s="48"/>
      <c r="M89" s="48"/>
      <c r="N89" s="50" t="s">
        <v>1443</v>
      </c>
      <c r="O89" s="51" t="s">
        <v>1582</v>
      </c>
      <c r="P89" s="52" t="n">
        <v>1</v>
      </c>
      <c r="Q89" s="51"/>
      <c r="R89" s="52" t="s">
        <v>1519</v>
      </c>
      <c r="S89" s="52"/>
      <c r="T89" s="52"/>
      <c r="U89" s="53" t="n">
        <v>243850</v>
      </c>
      <c r="V89" s="54" t="n">
        <v>243850</v>
      </c>
      <c r="W89" s="55" t="n">
        <v>0.14</v>
      </c>
      <c r="X89" s="52" t="n">
        <v>0.055</v>
      </c>
      <c r="Y89" s="55" t="n">
        <v>0.12</v>
      </c>
      <c r="Z89" s="56"/>
      <c r="AA89" s="55" t="n">
        <v>0.04</v>
      </c>
      <c r="AB89" s="57" t="n">
        <v>330416.75</v>
      </c>
      <c r="AC89" s="44"/>
      <c r="AD89" s="44"/>
      <c r="AE89" s="44" t="n">
        <v>330416.75</v>
      </c>
      <c r="AF89" s="44" t="s">
        <v>53</v>
      </c>
      <c r="AG89" s="44" t="n">
        <v>0</v>
      </c>
      <c r="AH89" s="58" t="s">
        <v>31</v>
      </c>
      <c r="AI89" s="44" t="n">
        <v>1</v>
      </c>
      <c r="AJ89" s="44" t="s">
        <v>756</v>
      </c>
      <c r="AK89" s="44" t="s">
        <v>206</v>
      </c>
      <c r="AL89" s="44" t="s">
        <v>206</v>
      </c>
      <c r="AM89" s="44" t="n">
        <v>0</v>
      </c>
      <c r="AN89" s="44"/>
      <c r="AO89" s="44"/>
      <c r="AP89" s="44"/>
      <c r="AQ89" s="45" t="s">
        <v>1063</v>
      </c>
      <c r="AR89" s="44" t="s">
        <v>1282</v>
      </c>
      <c r="AS89" s="44"/>
      <c r="AT89" s="44"/>
      <c r="AU89" s="44"/>
      <c r="AV89" s="44"/>
      <c r="AW89" s="44"/>
      <c r="AX89" s="44"/>
      <c r="AY89" s="44"/>
      <c r="AZ89" s="46"/>
    </row>
    <row r="90" customFormat="false" ht="18" hidden="false" customHeight="true" outlineLevel="0" collapsed="false">
      <c r="A90" s="47" t="n">
        <v>115524</v>
      </c>
      <c r="B90" s="48" t="s">
        <v>973</v>
      </c>
      <c r="C90" s="47" t="n">
        <v>115524</v>
      </c>
      <c r="D90" s="48" t="s">
        <v>84</v>
      </c>
      <c r="E90" s="48" t="s">
        <v>1539</v>
      </c>
      <c r="F90" s="48" t="s">
        <v>1540</v>
      </c>
      <c r="G90" s="49" t="s">
        <v>1531</v>
      </c>
      <c r="H90" s="48" t="s">
        <v>1541</v>
      </c>
      <c r="I90" s="48"/>
      <c r="J90" s="48" t="s">
        <v>31</v>
      </c>
      <c r="K90" s="48" t="s">
        <v>1151</v>
      </c>
      <c r="L90" s="48" t="s">
        <v>1597</v>
      </c>
      <c r="M90" s="48"/>
      <c r="N90" s="50" t="s">
        <v>1284</v>
      </c>
      <c r="O90" s="51" t="s">
        <v>1582</v>
      </c>
      <c r="P90" s="52" t="n">
        <v>1</v>
      </c>
      <c r="Q90" s="51"/>
      <c r="R90" s="52" t="s">
        <v>1519</v>
      </c>
      <c r="S90" s="52"/>
      <c r="T90" s="52"/>
      <c r="U90" s="53" t="n">
        <v>161600</v>
      </c>
      <c r="V90" s="54" t="n">
        <v>148672</v>
      </c>
      <c r="W90" s="55" t="n">
        <v>0.15</v>
      </c>
      <c r="X90" s="52"/>
      <c r="Y90" s="55" t="n">
        <v>0.05</v>
      </c>
      <c r="Z90" s="56" t="n">
        <v>2910</v>
      </c>
      <c r="AA90" s="55" t="n">
        <v>0.03</v>
      </c>
      <c r="AB90" s="57" t="n">
        <v>185776.56</v>
      </c>
      <c r="AC90" s="44" t="n">
        <v>15175</v>
      </c>
      <c r="AD90" s="44"/>
      <c r="AE90" s="44" t="n">
        <v>185776.56</v>
      </c>
      <c r="AF90" s="44" t="s">
        <v>53</v>
      </c>
      <c r="AG90" s="44" t="n">
        <v>0</v>
      </c>
      <c r="AH90" s="58" t="s">
        <v>31</v>
      </c>
      <c r="AI90" s="44" t="n">
        <v>0</v>
      </c>
      <c r="AJ90" s="44" t="s">
        <v>970</v>
      </c>
      <c r="AK90" s="44" t="s">
        <v>47</v>
      </c>
      <c r="AL90" s="44" t="s">
        <v>970</v>
      </c>
      <c r="AM90" s="44" t="n">
        <v>0</v>
      </c>
      <c r="AN90" s="44"/>
      <c r="AO90" s="44"/>
      <c r="AP90" s="44"/>
      <c r="AQ90" s="45" t="s">
        <v>972</v>
      </c>
      <c r="AR90" s="44" t="s">
        <v>1284</v>
      </c>
      <c r="AS90" s="44"/>
      <c r="AT90" s="44"/>
      <c r="AU90" s="44"/>
      <c r="AV90" s="44"/>
      <c r="AW90" s="44"/>
      <c r="AX90" s="44"/>
      <c r="AY90" s="44"/>
      <c r="AZ90" s="46"/>
    </row>
    <row r="91" customFormat="false" ht="18" hidden="false" customHeight="true" outlineLevel="0" collapsed="false">
      <c r="A91" s="47" t="n">
        <v>115518</v>
      </c>
      <c r="B91" s="48" t="s">
        <v>684</v>
      </c>
      <c r="C91" s="47" t="n">
        <v>115518</v>
      </c>
      <c r="D91" s="48" t="s">
        <v>685</v>
      </c>
      <c r="E91" s="48" t="s">
        <v>679</v>
      </c>
      <c r="F91" s="48" t="s">
        <v>680</v>
      </c>
      <c r="G91" s="49" t="s">
        <v>1461</v>
      </c>
      <c r="H91" s="48" t="s">
        <v>1562</v>
      </c>
      <c r="I91" s="48" t="s">
        <v>1598</v>
      </c>
      <c r="J91" s="48" t="s">
        <v>1562</v>
      </c>
      <c r="K91" s="48" t="s">
        <v>756</v>
      </c>
      <c r="L91" s="48" t="s">
        <v>756</v>
      </c>
      <c r="M91" s="48"/>
      <c r="N91" s="50" t="s">
        <v>1284</v>
      </c>
      <c r="O91" s="51" t="s">
        <v>1582</v>
      </c>
      <c r="P91" s="52" t="n">
        <v>1</v>
      </c>
      <c r="Q91" s="51"/>
      <c r="R91" s="52" t="s">
        <v>1519</v>
      </c>
      <c r="S91" s="52"/>
      <c r="T91" s="52"/>
      <c r="U91" s="53" t="n">
        <v>182640</v>
      </c>
      <c r="V91" s="54" t="n">
        <v>168028.8</v>
      </c>
      <c r="W91" s="55" t="n">
        <v>0.15</v>
      </c>
      <c r="X91" s="52"/>
      <c r="Y91" s="55" t="n">
        <v>0.05</v>
      </c>
      <c r="Z91" s="56" t="n">
        <v>2910</v>
      </c>
      <c r="AA91" s="55" t="n">
        <v>0.03</v>
      </c>
      <c r="AB91" s="57" t="n">
        <v>209585.424</v>
      </c>
      <c r="AC91" s="44"/>
      <c r="AD91" s="44"/>
      <c r="AE91" s="44" t="n">
        <v>209585.424</v>
      </c>
      <c r="AF91" s="44" t="s">
        <v>53</v>
      </c>
      <c r="AG91" s="44" t="n">
        <v>0</v>
      </c>
      <c r="AH91" s="58" t="s">
        <v>22</v>
      </c>
      <c r="AI91" s="44" t="n">
        <v>1</v>
      </c>
      <c r="AJ91" s="44" t="s">
        <v>756</v>
      </c>
      <c r="AK91" s="44" t="s">
        <v>206</v>
      </c>
      <c r="AL91" s="44" t="s">
        <v>206</v>
      </c>
      <c r="AM91" s="44" t="n">
        <v>0</v>
      </c>
      <c r="AN91" s="44"/>
      <c r="AO91" s="44"/>
      <c r="AP91" s="44"/>
      <c r="AQ91" s="45" t="s">
        <v>683</v>
      </c>
      <c r="AR91" s="44" t="s">
        <v>1284</v>
      </c>
      <c r="AS91" s="44"/>
      <c r="AT91" s="44"/>
      <c r="AU91" s="44"/>
      <c r="AV91" s="44"/>
      <c r="AW91" s="44"/>
      <c r="AX91" s="44"/>
      <c r="AY91" s="44"/>
      <c r="AZ91" s="46"/>
    </row>
    <row r="92" customFormat="false" ht="18" hidden="false" customHeight="true" outlineLevel="0" collapsed="false">
      <c r="A92" s="47" t="n">
        <v>6748</v>
      </c>
      <c r="B92" s="48" t="s">
        <v>687</v>
      </c>
      <c r="C92" s="47" t="n">
        <v>6748</v>
      </c>
      <c r="D92" s="48" t="s">
        <v>688</v>
      </c>
      <c r="E92" s="48" t="s">
        <v>679</v>
      </c>
      <c r="F92" s="48" t="s">
        <v>680</v>
      </c>
      <c r="G92" s="49" t="s">
        <v>1461</v>
      </c>
      <c r="H92" s="48" t="s">
        <v>1562</v>
      </c>
      <c r="I92" s="48" t="s">
        <v>1599</v>
      </c>
      <c r="J92" s="48" t="s">
        <v>1562</v>
      </c>
      <c r="K92" s="48" t="s">
        <v>756</v>
      </c>
      <c r="L92" s="48" t="s">
        <v>756</v>
      </c>
      <c r="M92" s="48"/>
      <c r="N92" s="50" t="s">
        <v>1443</v>
      </c>
      <c r="O92" s="51" t="s">
        <v>1582</v>
      </c>
      <c r="P92" s="52" t="n">
        <v>1</v>
      </c>
      <c r="Q92" s="51"/>
      <c r="R92" s="52" t="s">
        <v>1519</v>
      </c>
      <c r="S92" s="52"/>
      <c r="T92" s="52"/>
      <c r="U92" s="53" t="n">
        <v>217390</v>
      </c>
      <c r="V92" s="54" t="n">
        <v>217390</v>
      </c>
      <c r="W92" s="55" t="n">
        <v>0.14</v>
      </c>
      <c r="X92" s="52" t="n">
        <v>0.055</v>
      </c>
      <c r="Y92" s="55" t="n">
        <v>0.12</v>
      </c>
      <c r="Z92" s="56"/>
      <c r="AA92" s="55" t="n">
        <v>0.04</v>
      </c>
      <c r="AB92" s="57" t="n">
        <v>294563.45</v>
      </c>
      <c r="AC92" s="44"/>
      <c r="AD92" s="44"/>
      <c r="AE92" s="44" t="n">
        <v>294563.45</v>
      </c>
      <c r="AF92" s="44" t="s">
        <v>53</v>
      </c>
      <c r="AG92" s="44" t="n">
        <v>0</v>
      </c>
      <c r="AH92" s="58" t="s">
        <v>22</v>
      </c>
      <c r="AI92" s="44" t="n">
        <v>1</v>
      </c>
      <c r="AJ92" s="44" t="s">
        <v>756</v>
      </c>
      <c r="AK92" s="44" t="s">
        <v>206</v>
      </c>
      <c r="AL92" s="44" t="s">
        <v>206</v>
      </c>
      <c r="AM92" s="44" t="n">
        <v>0</v>
      </c>
      <c r="AN92" s="44"/>
      <c r="AO92" s="44"/>
      <c r="AP92" s="44"/>
      <c r="AQ92" s="45" t="s">
        <v>686</v>
      </c>
      <c r="AR92" s="44" t="s">
        <v>1282</v>
      </c>
      <c r="AS92" s="44"/>
      <c r="AT92" s="44"/>
      <c r="AU92" s="44"/>
      <c r="AV92" s="44"/>
      <c r="AW92" s="44"/>
      <c r="AX92" s="44"/>
      <c r="AY92" s="44"/>
      <c r="AZ92" s="46"/>
    </row>
    <row r="93" customFormat="false" ht="18" hidden="false" customHeight="true" outlineLevel="0" collapsed="false">
      <c r="A93" s="47" t="s">
        <v>1507</v>
      </c>
      <c r="B93" s="48" t="s">
        <v>69</v>
      </c>
      <c r="C93" s="47" t="s">
        <v>1507</v>
      </c>
      <c r="D93" s="48" t="s">
        <v>682</v>
      </c>
      <c r="E93" s="48" t="s">
        <v>679</v>
      </c>
      <c r="F93" s="48" t="s">
        <v>680</v>
      </c>
      <c r="G93" s="49" t="s">
        <v>1461</v>
      </c>
      <c r="H93" s="48" t="s">
        <v>1562</v>
      </c>
      <c r="I93" s="48" t="s">
        <v>756</v>
      </c>
      <c r="J93" s="48" t="s">
        <v>1562</v>
      </c>
      <c r="K93" s="48" t="s">
        <v>756</v>
      </c>
      <c r="L93" s="48" t="s">
        <v>756</v>
      </c>
      <c r="M93" s="48"/>
      <c r="N93" s="50" t="s">
        <v>1443</v>
      </c>
      <c r="O93" s="51" t="s">
        <v>1582</v>
      </c>
      <c r="P93" s="52" t="n">
        <v>1</v>
      </c>
      <c r="Q93" s="51"/>
      <c r="R93" s="52" t="s">
        <v>1507</v>
      </c>
      <c r="S93" s="52"/>
      <c r="T93" s="52"/>
      <c r="U93" s="53" t="n">
        <v>203550</v>
      </c>
      <c r="V93" s="54" t="n">
        <v>203550</v>
      </c>
      <c r="W93" s="55" t="n">
        <v>0.14</v>
      </c>
      <c r="X93" s="52" t="n">
        <v>0.055</v>
      </c>
      <c r="Y93" s="55" t="n">
        <v>0.12</v>
      </c>
      <c r="Z93" s="56"/>
      <c r="AA93" s="55" t="n">
        <v>0.04</v>
      </c>
      <c r="AB93" s="57" t="n">
        <v>275810.25</v>
      </c>
      <c r="AC93" s="44"/>
      <c r="AD93" s="44"/>
      <c r="AE93" s="44" t="n">
        <v>275810.25</v>
      </c>
      <c r="AF93" s="44" t="s">
        <v>69</v>
      </c>
      <c r="AG93" s="44" t="n">
        <v>0</v>
      </c>
      <c r="AH93" s="58" t="s">
        <v>22</v>
      </c>
      <c r="AI93" s="44" t="n">
        <v>1</v>
      </c>
      <c r="AJ93" s="44" t="s">
        <v>756</v>
      </c>
      <c r="AK93" s="44" t="s">
        <v>203</v>
      </c>
      <c r="AL93" s="44" t="s">
        <v>203</v>
      </c>
      <c r="AM93" s="44" t="n">
        <v>0</v>
      </c>
      <c r="AN93" s="44"/>
      <c r="AO93" s="44"/>
      <c r="AP93" s="44"/>
      <c r="AQ93" s="45" t="s">
        <v>681</v>
      </c>
      <c r="AR93" s="44" t="s">
        <v>1282</v>
      </c>
      <c r="AS93" s="44"/>
      <c r="AT93" s="44"/>
      <c r="AU93" s="44"/>
      <c r="AV93" s="44"/>
      <c r="AW93" s="44"/>
      <c r="AX93" s="44"/>
      <c r="AY93" s="44"/>
      <c r="AZ93" s="46"/>
    </row>
    <row r="94" customFormat="false" ht="18" hidden="false" customHeight="true" outlineLevel="0" collapsed="false">
      <c r="A94" s="47" t="n">
        <v>95285</v>
      </c>
      <c r="B94" s="48" t="s">
        <v>208</v>
      </c>
      <c r="C94" s="47" t="n">
        <v>95285</v>
      </c>
      <c r="D94" s="48" t="s">
        <v>209</v>
      </c>
      <c r="E94" s="48" t="s">
        <v>201</v>
      </c>
      <c r="F94" s="48" t="s">
        <v>1600</v>
      </c>
      <c r="G94" s="49" t="s">
        <v>1471</v>
      </c>
      <c r="H94" s="48" t="s">
        <v>14</v>
      </c>
      <c r="I94" s="48" t="s">
        <v>1601</v>
      </c>
      <c r="J94" s="48" t="s">
        <v>1567</v>
      </c>
      <c r="K94" s="48" t="s">
        <v>48</v>
      </c>
      <c r="L94" s="48" t="s">
        <v>756</v>
      </c>
      <c r="M94" s="48"/>
      <c r="N94" s="50" t="s">
        <v>1443</v>
      </c>
      <c r="O94" s="51" t="s">
        <v>1582</v>
      </c>
      <c r="P94" s="52" t="n">
        <v>1</v>
      </c>
      <c r="Q94" s="51"/>
      <c r="R94" s="52" t="s">
        <v>1519</v>
      </c>
      <c r="S94" s="52"/>
      <c r="T94" s="52"/>
      <c r="U94" s="53" t="n">
        <v>195680</v>
      </c>
      <c r="V94" s="54" t="n">
        <v>180025.6</v>
      </c>
      <c r="W94" s="55" t="n">
        <v>0.15</v>
      </c>
      <c r="X94" s="52"/>
      <c r="Y94" s="55" t="n">
        <v>0.05</v>
      </c>
      <c r="Z94" s="56" t="n">
        <v>2910</v>
      </c>
      <c r="AA94" s="55" t="n">
        <v>0.03</v>
      </c>
      <c r="AB94" s="57" t="n">
        <v>224341.488</v>
      </c>
      <c r="AC94" s="44"/>
      <c r="AD94" s="44"/>
      <c r="AE94" s="44" t="n">
        <v>224341.488</v>
      </c>
      <c r="AF94" s="44" t="s">
        <v>53</v>
      </c>
      <c r="AG94" s="44" t="n">
        <v>0</v>
      </c>
      <c r="AH94" s="58" t="s">
        <v>14</v>
      </c>
      <c r="AI94" s="44" t="n">
        <v>1</v>
      </c>
      <c r="AJ94" s="44" t="s">
        <v>756</v>
      </c>
      <c r="AK94" s="44" t="s">
        <v>206</v>
      </c>
      <c r="AL94" s="44" t="s">
        <v>206</v>
      </c>
      <c r="AM94" s="44" t="n">
        <v>0</v>
      </c>
      <c r="AN94" s="44"/>
      <c r="AO94" s="44"/>
      <c r="AP94" s="44"/>
      <c r="AQ94" s="45" t="s">
        <v>207</v>
      </c>
      <c r="AR94" s="44" t="s">
        <v>1282</v>
      </c>
      <c r="AS94" s="44"/>
      <c r="AT94" s="44"/>
      <c r="AU94" s="44"/>
      <c r="AV94" s="44"/>
      <c r="AW94" s="44"/>
      <c r="AX94" s="44"/>
      <c r="AY94" s="44"/>
      <c r="AZ94" s="46"/>
    </row>
    <row r="95" customFormat="false" ht="18" hidden="false" customHeight="true" outlineLevel="0" collapsed="false">
      <c r="A95" s="47" t="n">
        <v>86604</v>
      </c>
      <c r="B95" s="48" t="s">
        <v>205</v>
      </c>
      <c r="C95" s="47" t="n">
        <v>86604</v>
      </c>
      <c r="D95" s="48" t="s">
        <v>203</v>
      </c>
      <c r="E95" s="48" t="s">
        <v>201</v>
      </c>
      <c r="F95" s="48" t="s">
        <v>1600</v>
      </c>
      <c r="G95" s="49" t="s">
        <v>1471</v>
      </c>
      <c r="H95" s="48" t="s">
        <v>14</v>
      </c>
      <c r="I95" s="48" t="s">
        <v>1504</v>
      </c>
      <c r="J95" s="48" t="s">
        <v>1567</v>
      </c>
      <c r="K95" s="48" t="s">
        <v>1163</v>
      </c>
      <c r="L95" s="48" t="s">
        <v>756</v>
      </c>
      <c r="M95" s="48"/>
      <c r="N95" s="50" t="s">
        <v>1443</v>
      </c>
      <c r="O95" s="51" t="s">
        <v>1582</v>
      </c>
      <c r="P95" s="52" t="n">
        <v>0.7</v>
      </c>
      <c r="Q95" s="51"/>
      <c r="R95" s="52" t="s">
        <v>1489</v>
      </c>
      <c r="S95" s="52"/>
      <c r="T95" s="52"/>
      <c r="U95" s="53" t="n">
        <v>223570</v>
      </c>
      <c r="V95" s="54" t="n">
        <v>223570</v>
      </c>
      <c r="W95" s="55" t="n">
        <v>0.14</v>
      </c>
      <c r="X95" s="52" t="n">
        <v>0.055</v>
      </c>
      <c r="Y95" s="55" t="n">
        <v>0.12</v>
      </c>
      <c r="Z95" s="56"/>
      <c r="AA95" s="55" t="n">
        <v>0.04</v>
      </c>
      <c r="AB95" s="57" t="n">
        <v>302937.35</v>
      </c>
      <c r="AC95" s="44"/>
      <c r="AD95" s="44"/>
      <c r="AE95" s="44" t="n">
        <v>212056.145</v>
      </c>
      <c r="AF95" s="44" t="s">
        <v>53</v>
      </c>
      <c r="AG95" s="44" t="n">
        <v>0</v>
      </c>
      <c r="AH95" s="58" t="s">
        <v>14</v>
      </c>
      <c r="AI95" s="44" t="n">
        <v>1</v>
      </c>
      <c r="AJ95" s="44" t="s">
        <v>756</v>
      </c>
      <c r="AK95" s="44" t="s">
        <v>203</v>
      </c>
      <c r="AL95" s="44" t="s">
        <v>203</v>
      </c>
      <c r="AM95" s="44" t="n">
        <v>0</v>
      </c>
      <c r="AN95" s="44"/>
      <c r="AO95" s="44"/>
      <c r="AP95" s="44"/>
      <c r="AQ95" s="45" t="s">
        <v>204</v>
      </c>
      <c r="AR95" s="44" t="s">
        <v>1282</v>
      </c>
      <c r="AS95" s="44"/>
      <c r="AT95" s="44"/>
      <c r="AU95" s="44"/>
      <c r="AV95" s="44"/>
      <c r="AW95" s="44"/>
      <c r="AX95" s="44"/>
      <c r="AY95" s="44"/>
      <c r="AZ95" s="46"/>
    </row>
    <row r="96" customFormat="false" ht="18" hidden="false" customHeight="true" outlineLevel="0" collapsed="false">
      <c r="A96" s="47" t="n">
        <v>8904</v>
      </c>
      <c r="B96" s="48" t="s">
        <v>211</v>
      </c>
      <c r="C96" s="47" t="n">
        <v>8904</v>
      </c>
      <c r="D96" s="48" t="s">
        <v>212</v>
      </c>
      <c r="E96" s="48" t="s">
        <v>201</v>
      </c>
      <c r="F96" s="48" t="s">
        <v>1600</v>
      </c>
      <c r="G96" s="49" t="s">
        <v>1471</v>
      </c>
      <c r="H96" s="48" t="s">
        <v>14</v>
      </c>
      <c r="I96" s="48" t="s">
        <v>1602</v>
      </c>
      <c r="J96" s="48" t="s">
        <v>1567</v>
      </c>
      <c r="K96" s="48" t="s">
        <v>1287</v>
      </c>
      <c r="L96" s="48" t="s">
        <v>756</v>
      </c>
      <c r="M96" s="48"/>
      <c r="N96" s="50" t="s">
        <v>1443</v>
      </c>
      <c r="O96" s="51" t="s">
        <v>1582</v>
      </c>
      <c r="P96" s="52" t="n">
        <v>1</v>
      </c>
      <c r="Q96" s="51"/>
      <c r="R96" s="52" t="s">
        <v>1519</v>
      </c>
      <c r="S96" s="52"/>
      <c r="T96" s="52"/>
      <c r="U96" s="53" t="n">
        <v>210000</v>
      </c>
      <c r="V96" s="54" t="n">
        <v>210000</v>
      </c>
      <c r="W96" s="55" t="n">
        <v>0.14</v>
      </c>
      <c r="X96" s="52" t="n">
        <v>0.055</v>
      </c>
      <c r="Y96" s="55" t="n">
        <v>0.12</v>
      </c>
      <c r="Z96" s="56"/>
      <c r="AA96" s="55" t="n">
        <v>0.04</v>
      </c>
      <c r="AB96" s="57" t="n">
        <v>284550</v>
      </c>
      <c r="AC96" s="44"/>
      <c r="AD96" s="44"/>
      <c r="AE96" s="44" t="n">
        <v>284550</v>
      </c>
      <c r="AF96" s="44" t="s">
        <v>53</v>
      </c>
      <c r="AG96" s="44" t="n">
        <v>0</v>
      </c>
      <c r="AH96" s="58" t="s">
        <v>14</v>
      </c>
      <c r="AI96" s="44" t="n">
        <v>1</v>
      </c>
      <c r="AJ96" s="44" t="s">
        <v>756</v>
      </c>
      <c r="AK96" s="44" t="s">
        <v>206</v>
      </c>
      <c r="AL96" s="44" t="s">
        <v>206</v>
      </c>
      <c r="AM96" s="44" t="n">
        <v>0</v>
      </c>
      <c r="AN96" s="44"/>
      <c r="AO96" s="44"/>
      <c r="AP96" s="44"/>
      <c r="AQ96" s="45" t="s">
        <v>210</v>
      </c>
      <c r="AR96" s="44" t="s">
        <v>1282</v>
      </c>
      <c r="AS96" s="44"/>
      <c r="AT96" s="44"/>
      <c r="AU96" s="44"/>
      <c r="AV96" s="44"/>
      <c r="AW96" s="44"/>
      <c r="AX96" s="44"/>
      <c r="AY96" s="44"/>
      <c r="AZ96" s="46"/>
    </row>
    <row r="97" customFormat="false" ht="18" hidden="false" customHeight="true" outlineLevel="0" collapsed="false">
      <c r="A97" s="47" t="n">
        <v>117553</v>
      </c>
      <c r="B97" s="48" t="s">
        <v>1603</v>
      </c>
      <c r="C97" s="47" t="n">
        <v>117553</v>
      </c>
      <c r="D97" s="48" t="s">
        <v>1604</v>
      </c>
      <c r="E97" s="48" t="s">
        <v>1509</v>
      </c>
      <c r="F97" s="48" t="s">
        <v>1510</v>
      </c>
      <c r="G97" s="49" t="s">
        <v>1511</v>
      </c>
      <c r="H97" s="48" t="s">
        <v>1256</v>
      </c>
      <c r="I97" s="48" t="s">
        <v>1159</v>
      </c>
      <c r="J97" s="48" t="s">
        <v>1159</v>
      </c>
      <c r="K97" s="48" t="s">
        <v>1159</v>
      </c>
      <c r="L97" s="48" t="s">
        <v>1159</v>
      </c>
      <c r="M97" s="48"/>
      <c r="N97" s="50" t="s">
        <v>1443</v>
      </c>
      <c r="O97" s="51" t="s">
        <v>1582</v>
      </c>
      <c r="P97" s="52" t="n">
        <v>1</v>
      </c>
      <c r="Q97" s="52"/>
      <c r="R97" s="52" t="s">
        <v>1519</v>
      </c>
      <c r="S97" s="52"/>
      <c r="T97" s="52"/>
      <c r="U97" s="53" t="n">
        <v>220000</v>
      </c>
      <c r="V97" s="54" t="n">
        <v>220000</v>
      </c>
      <c r="W97" s="55" t="n">
        <v>0.14</v>
      </c>
      <c r="X97" s="52" t="n">
        <v>0.055</v>
      </c>
      <c r="Y97" s="55" t="n">
        <v>0.12</v>
      </c>
      <c r="Z97" s="56"/>
      <c r="AA97" s="55" t="n">
        <v>0.04</v>
      </c>
      <c r="AB97" s="57" t="n">
        <v>298100</v>
      </c>
      <c r="AC97" s="44"/>
      <c r="AD97" s="44"/>
      <c r="AE97" s="44" t="n">
        <v>298100</v>
      </c>
      <c r="AF97" s="44" t="s">
        <v>53</v>
      </c>
      <c r="AG97" s="44" t="n">
        <v>0</v>
      </c>
      <c r="AH97" s="58" t="s">
        <v>1514</v>
      </c>
      <c r="AI97" s="44" t="n">
        <v>0</v>
      </c>
      <c r="AJ97" s="44" t="s">
        <v>1256</v>
      </c>
      <c r="AK97" s="44" t="s">
        <v>1546</v>
      </c>
      <c r="AL97" s="44" t="s">
        <v>1256</v>
      </c>
      <c r="AM97" s="44" t="n">
        <v>0</v>
      </c>
      <c r="AN97" s="44"/>
      <c r="AO97" s="44"/>
      <c r="AP97" s="44"/>
      <c r="AQ97" s="45" t="s">
        <v>1394</v>
      </c>
      <c r="AR97" s="44" t="s">
        <v>1282</v>
      </c>
      <c r="AS97" s="44"/>
      <c r="AT97" s="44"/>
      <c r="AU97" s="44"/>
      <c r="AV97" s="44"/>
      <c r="AW97" s="44"/>
      <c r="AX97" s="44"/>
      <c r="AY97" s="44"/>
      <c r="AZ97" s="46"/>
    </row>
    <row r="98" customFormat="false" ht="18" hidden="false" customHeight="true" outlineLevel="0" collapsed="false">
      <c r="A98" s="47" t="n">
        <v>13925</v>
      </c>
      <c r="B98" s="48" t="s">
        <v>610</v>
      </c>
      <c r="C98" s="47" t="n">
        <v>13925</v>
      </c>
      <c r="D98" s="48" t="s">
        <v>611</v>
      </c>
      <c r="E98" s="48" t="s">
        <v>606</v>
      </c>
      <c r="F98" s="48" t="s">
        <v>607</v>
      </c>
      <c r="G98" s="49" t="s">
        <v>1461</v>
      </c>
      <c r="H98" s="48" t="s">
        <v>20</v>
      </c>
      <c r="I98" s="48" t="s">
        <v>1605</v>
      </c>
      <c r="J98" s="48" t="s">
        <v>20</v>
      </c>
      <c r="K98" s="48" t="s">
        <v>756</v>
      </c>
      <c r="L98" s="48" t="s">
        <v>756</v>
      </c>
      <c r="M98" s="48"/>
      <c r="N98" s="50" t="s">
        <v>1443</v>
      </c>
      <c r="O98" s="51" t="s">
        <v>1582</v>
      </c>
      <c r="P98" s="52" t="n">
        <v>1</v>
      </c>
      <c r="Q98" s="52"/>
      <c r="R98" s="52" t="s">
        <v>1519</v>
      </c>
      <c r="S98" s="52"/>
      <c r="T98" s="52"/>
      <c r="U98" s="53" t="n">
        <v>212020</v>
      </c>
      <c r="V98" s="54" t="n">
        <v>212020</v>
      </c>
      <c r="W98" s="55" t="n">
        <v>0.14</v>
      </c>
      <c r="X98" s="52" t="n">
        <v>0.055</v>
      </c>
      <c r="Y98" s="55" t="n">
        <v>0.12</v>
      </c>
      <c r="Z98" s="56"/>
      <c r="AA98" s="55" t="n">
        <v>0.04</v>
      </c>
      <c r="AB98" s="57" t="n">
        <v>287287.1</v>
      </c>
      <c r="AC98" s="44"/>
      <c r="AD98" s="44"/>
      <c r="AE98" s="44" t="n">
        <v>287287.1</v>
      </c>
      <c r="AF98" s="44" t="s">
        <v>53</v>
      </c>
      <c r="AG98" s="44" t="n">
        <v>0</v>
      </c>
      <c r="AH98" s="58" t="s">
        <v>20</v>
      </c>
      <c r="AI98" s="44" t="n">
        <v>1</v>
      </c>
      <c r="AJ98" s="44" t="s">
        <v>756</v>
      </c>
      <c r="AK98" s="44" t="s">
        <v>206</v>
      </c>
      <c r="AL98" s="44" t="s">
        <v>206</v>
      </c>
      <c r="AM98" s="44" t="n">
        <v>0</v>
      </c>
      <c r="AN98" s="44"/>
      <c r="AO98" s="44"/>
      <c r="AP98" s="44"/>
      <c r="AQ98" s="45" t="s">
        <v>609</v>
      </c>
      <c r="AR98" s="44" t="s">
        <v>1282</v>
      </c>
      <c r="AS98" s="44"/>
      <c r="AT98" s="44"/>
      <c r="AU98" s="44"/>
      <c r="AV98" s="44"/>
      <c r="AW98" s="44"/>
      <c r="AX98" s="44"/>
      <c r="AY98" s="44"/>
      <c r="AZ98" s="46"/>
    </row>
    <row r="99" customFormat="false" ht="18" hidden="false" customHeight="true" outlineLevel="0" collapsed="false">
      <c r="A99" s="47" t="s">
        <v>1507</v>
      </c>
      <c r="B99" s="48" t="s">
        <v>69</v>
      </c>
      <c r="C99" s="47" t="s">
        <v>1507</v>
      </c>
      <c r="D99" s="48" t="s">
        <v>203</v>
      </c>
      <c r="E99" s="48" t="s">
        <v>606</v>
      </c>
      <c r="F99" s="48" t="s">
        <v>607</v>
      </c>
      <c r="G99" s="49" t="s">
        <v>1461</v>
      </c>
      <c r="H99" s="48" t="s">
        <v>20</v>
      </c>
      <c r="I99" s="48" t="s">
        <v>1606</v>
      </c>
      <c r="J99" s="48" t="s">
        <v>20</v>
      </c>
      <c r="K99" s="48" t="s">
        <v>756</v>
      </c>
      <c r="L99" s="48" t="s">
        <v>756</v>
      </c>
      <c r="M99" s="48"/>
      <c r="N99" s="50" t="s">
        <v>1443</v>
      </c>
      <c r="O99" s="51" t="s">
        <v>1582</v>
      </c>
      <c r="P99" s="52" t="n">
        <v>1</v>
      </c>
      <c r="Q99" s="51"/>
      <c r="R99" s="52" t="s">
        <v>1507</v>
      </c>
      <c r="S99" s="52"/>
      <c r="T99" s="52"/>
      <c r="U99" s="53" t="n">
        <v>203550</v>
      </c>
      <c r="V99" s="54" t="n">
        <v>203550</v>
      </c>
      <c r="W99" s="55" t="n">
        <v>0.14</v>
      </c>
      <c r="X99" s="52" t="n">
        <v>0.055</v>
      </c>
      <c r="Y99" s="55" t="n">
        <v>0.12</v>
      </c>
      <c r="Z99" s="56"/>
      <c r="AA99" s="55" t="n">
        <v>0.04</v>
      </c>
      <c r="AB99" s="57" t="n">
        <v>275810.25</v>
      </c>
      <c r="AC99" s="44"/>
      <c r="AD99" s="44"/>
      <c r="AE99" s="44" t="n">
        <v>275810.25</v>
      </c>
      <c r="AF99" s="44" t="s">
        <v>69</v>
      </c>
      <c r="AG99" s="44" t="n">
        <v>0</v>
      </c>
      <c r="AH99" s="58" t="s">
        <v>20</v>
      </c>
      <c r="AI99" s="44" t="n">
        <v>1</v>
      </c>
      <c r="AJ99" s="44" t="s">
        <v>756</v>
      </c>
      <c r="AK99" s="44" t="s">
        <v>203</v>
      </c>
      <c r="AL99" s="44" t="s">
        <v>203</v>
      </c>
      <c r="AM99" s="44" t="n">
        <v>0</v>
      </c>
      <c r="AN99" s="44"/>
      <c r="AO99" s="44"/>
      <c r="AP99" s="44"/>
      <c r="AQ99" s="45" t="s">
        <v>608</v>
      </c>
      <c r="AR99" s="44" t="s">
        <v>1282</v>
      </c>
      <c r="AS99" s="44"/>
      <c r="AT99" s="44"/>
      <c r="AU99" s="44"/>
      <c r="AV99" s="44"/>
      <c r="AW99" s="44"/>
      <c r="AX99" s="44"/>
      <c r="AY99" s="44"/>
      <c r="AZ99" s="46"/>
    </row>
    <row r="100" customFormat="false" ht="18" hidden="false" customHeight="true" outlineLevel="0" collapsed="false">
      <c r="A100" s="47" t="s">
        <v>1507</v>
      </c>
      <c r="B100" s="48" t="s">
        <v>69</v>
      </c>
      <c r="C100" s="47" t="s">
        <v>1507</v>
      </c>
      <c r="D100" s="48" t="s">
        <v>303</v>
      </c>
      <c r="E100" s="48" t="s">
        <v>606</v>
      </c>
      <c r="F100" s="48" t="s">
        <v>607</v>
      </c>
      <c r="G100" s="49" t="s">
        <v>1461</v>
      </c>
      <c r="H100" s="48" t="s">
        <v>20</v>
      </c>
      <c r="I100" s="48" t="s">
        <v>1607</v>
      </c>
      <c r="J100" s="48" t="s">
        <v>20</v>
      </c>
      <c r="K100" s="48" t="s">
        <v>756</v>
      </c>
      <c r="L100" s="48" t="s">
        <v>756</v>
      </c>
      <c r="M100" s="48"/>
      <c r="N100" s="50" t="s">
        <v>1443</v>
      </c>
      <c r="O100" s="51" t="s">
        <v>1582</v>
      </c>
      <c r="P100" s="52" t="n">
        <v>1</v>
      </c>
      <c r="Q100" s="52"/>
      <c r="R100" s="52" t="s">
        <v>1513</v>
      </c>
      <c r="S100" s="52"/>
      <c r="T100" s="52"/>
      <c r="U100" s="53" t="n">
        <v>203550</v>
      </c>
      <c r="V100" s="54" t="n">
        <v>203550</v>
      </c>
      <c r="W100" s="55" t="n">
        <v>0.14</v>
      </c>
      <c r="X100" s="52" t="n">
        <v>0.055</v>
      </c>
      <c r="Y100" s="55" t="n">
        <v>0.12</v>
      </c>
      <c r="Z100" s="56"/>
      <c r="AA100" s="55" t="n">
        <v>0.04</v>
      </c>
      <c r="AB100" s="57" t="n">
        <v>275810.25</v>
      </c>
      <c r="AC100" s="44"/>
      <c r="AD100" s="44"/>
      <c r="AE100" s="44" t="n">
        <v>275810.25</v>
      </c>
      <c r="AF100" s="44" t="s">
        <v>69</v>
      </c>
      <c r="AG100" s="44" t="n">
        <v>0</v>
      </c>
      <c r="AH100" s="58" t="s">
        <v>20</v>
      </c>
      <c r="AI100" s="44" t="n">
        <v>1</v>
      </c>
      <c r="AJ100" s="44" t="s">
        <v>756</v>
      </c>
      <c r="AK100" s="44" t="s">
        <v>206</v>
      </c>
      <c r="AL100" s="44" t="s">
        <v>206</v>
      </c>
      <c r="AM100" s="44" t="n">
        <v>0</v>
      </c>
      <c r="AN100" s="44"/>
      <c r="AO100" s="44"/>
      <c r="AP100" s="44"/>
      <c r="AQ100" s="45" t="s">
        <v>612</v>
      </c>
      <c r="AR100" s="44" t="s">
        <v>1282</v>
      </c>
      <c r="AS100" s="44"/>
      <c r="AT100" s="44"/>
      <c r="AU100" s="44"/>
      <c r="AV100" s="44"/>
      <c r="AW100" s="44"/>
      <c r="AX100" s="44"/>
      <c r="AY100" s="44"/>
      <c r="AZ100" s="46"/>
    </row>
    <row r="101" customFormat="false" ht="18" hidden="false" customHeight="true" outlineLevel="0" collapsed="false">
      <c r="A101" s="47" t="n">
        <v>113900</v>
      </c>
      <c r="B101" s="48" t="s">
        <v>1608</v>
      </c>
      <c r="C101" s="47" t="n">
        <v>113900</v>
      </c>
      <c r="D101" s="48" t="s">
        <v>1609</v>
      </c>
      <c r="E101" s="48" t="s">
        <v>1528</v>
      </c>
      <c r="F101" s="48"/>
      <c r="G101" s="49" t="s">
        <v>1527</v>
      </c>
      <c r="H101" s="48" t="s">
        <v>1251</v>
      </c>
      <c r="I101" s="48" t="s">
        <v>1159</v>
      </c>
      <c r="J101" s="48" t="s">
        <v>1159</v>
      </c>
      <c r="K101" s="48" t="s">
        <v>1159</v>
      </c>
      <c r="L101" s="48" t="s">
        <v>1159</v>
      </c>
      <c r="M101" s="48"/>
      <c r="N101" s="50" t="s">
        <v>1443</v>
      </c>
      <c r="O101" s="51" t="s">
        <v>1582</v>
      </c>
      <c r="P101" s="52" t="n">
        <v>1</v>
      </c>
      <c r="Q101" s="51"/>
      <c r="R101" s="52" t="s">
        <v>1519</v>
      </c>
      <c r="S101" s="52"/>
      <c r="T101" s="52"/>
      <c r="U101" s="53" t="n">
        <v>200790</v>
      </c>
      <c r="V101" s="54" t="n">
        <v>200790</v>
      </c>
      <c r="W101" s="55" t="n">
        <v>0.14</v>
      </c>
      <c r="X101" s="52" t="n">
        <v>0.055</v>
      </c>
      <c r="Y101" s="55" t="n">
        <v>0.12</v>
      </c>
      <c r="Z101" s="56"/>
      <c r="AA101" s="55" t="n">
        <v>0.04</v>
      </c>
      <c r="AB101" s="57" t="n">
        <v>272070.45</v>
      </c>
      <c r="AC101" s="44"/>
      <c r="AD101" s="44"/>
      <c r="AE101" s="44" t="n">
        <v>272070.45</v>
      </c>
      <c r="AF101" s="44" t="s">
        <v>53</v>
      </c>
      <c r="AG101" s="44" t="n">
        <v>0</v>
      </c>
      <c r="AH101" s="58" t="s">
        <v>27</v>
      </c>
      <c r="AI101" s="44" t="n">
        <v>0</v>
      </c>
      <c r="AJ101" s="44" t="s">
        <v>1251</v>
      </c>
      <c r="AK101" s="44" t="s">
        <v>47</v>
      </c>
      <c r="AL101" s="44" t="s">
        <v>1251</v>
      </c>
      <c r="AM101" s="44" t="n">
        <v>0</v>
      </c>
      <c r="AN101" s="44"/>
      <c r="AO101" s="44"/>
      <c r="AP101" s="44"/>
      <c r="AQ101" s="45" t="s">
        <v>1345</v>
      </c>
      <c r="AR101" s="44" t="s">
        <v>1282</v>
      </c>
      <c r="AS101" s="44"/>
      <c r="AT101" s="44"/>
      <c r="AU101" s="44"/>
      <c r="AV101" s="44"/>
      <c r="AW101" s="44"/>
      <c r="AX101" s="44"/>
      <c r="AY101" s="44"/>
      <c r="AZ101" s="46"/>
    </row>
    <row r="102" customFormat="false" ht="18" hidden="false" customHeight="true" outlineLevel="0" collapsed="false">
      <c r="A102" s="47" t="n">
        <v>106404</v>
      </c>
      <c r="B102" s="48" t="s">
        <v>571</v>
      </c>
      <c r="C102" s="47" t="n">
        <v>106404</v>
      </c>
      <c r="D102" s="48" t="s">
        <v>572</v>
      </c>
      <c r="E102" s="48" t="s">
        <v>1559</v>
      </c>
      <c r="F102" s="48" t="s">
        <v>1560</v>
      </c>
      <c r="G102" s="49" t="s">
        <v>1461</v>
      </c>
      <c r="H102" s="48" t="s">
        <v>756</v>
      </c>
      <c r="I102" s="48" t="s">
        <v>756</v>
      </c>
      <c r="J102" s="48" t="s">
        <v>20</v>
      </c>
      <c r="K102" s="48" t="s">
        <v>569</v>
      </c>
      <c r="L102" s="48" t="s">
        <v>569</v>
      </c>
      <c r="M102" s="48"/>
      <c r="N102" s="50" t="s">
        <v>1443</v>
      </c>
      <c r="O102" s="51" t="s">
        <v>1582</v>
      </c>
      <c r="P102" s="52" t="n">
        <v>1</v>
      </c>
      <c r="Q102" s="51"/>
      <c r="R102" s="52" t="s">
        <v>1519</v>
      </c>
      <c r="S102" s="52"/>
      <c r="T102" s="52"/>
      <c r="U102" s="53" t="n">
        <v>238890</v>
      </c>
      <c r="V102" s="54" t="n">
        <v>238890</v>
      </c>
      <c r="W102" s="55" t="n">
        <v>0.14</v>
      </c>
      <c r="X102" s="52" t="n">
        <v>0.055</v>
      </c>
      <c r="Y102" s="55" t="n">
        <v>0.12</v>
      </c>
      <c r="Z102" s="56"/>
      <c r="AA102" s="55" t="n">
        <v>0.04</v>
      </c>
      <c r="AB102" s="57" t="n">
        <v>323695.95</v>
      </c>
      <c r="AC102" s="44"/>
      <c r="AD102" s="44"/>
      <c r="AE102" s="44" t="n">
        <v>323695.95</v>
      </c>
      <c r="AF102" s="44" t="s">
        <v>53</v>
      </c>
      <c r="AG102" s="44" t="n">
        <v>0</v>
      </c>
      <c r="AH102" s="58" t="s">
        <v>20</v>
      </c>
      <c r="AI102" s="44" t="n">
        <v>0</v>
      </c>
      <c r="AJ102" s="44" t="s">
        <v>569</v>
      </c>
      <c r="AK102" s="44" t="s">
        <v>47</v>
      </c>
      <c r="AL102" s="44" t="s">
        <v>569</v>
      </c>
      <c r="AM102" s="44" t="n">
        <v>0</v>
      </c>
      <c r="AN102" s="44"/>
      <c r="AO102" s="44"/>
      <c r="AP102" s="44"/>
      <c r="AQ102" s="45" t="s">
        <v>570</v>
      </c>
      <c r="AR102" s="44" t="s">
        <v>1282</v>
      </c>
      <c r="AS102" s="44"/>
      <c r="AT102" s="44"/>
      <c r="AU102" s="44"/>
      <c r="AV102" s="44"/>
      <c r="AW102" s="44"/>
      <c r="AX102" s="44"/>
      <c r="AY102" s="44"/>
      <c r="AZ102" s="46"/>
    </row>
    <row r="103" customFormat="false" ht="18" hidden="false" customHeight="true" outlineLevel="0" collapsed="false">
      <c r="A103" s="47" t="n">
        <v>115483</v>
      </c>
      <c r="B103" s="48" t="s">
        <v>1610</v>
      </c>
      <c r="C103" s="47" t="n">
        <v>115483</v>
      </c>
      <c r="D103" s="48" t="s">
        <v>1611</v>
      </c>
      <c r="E103" s="48" t="s">
        <v>69</v>
      </c>
      <c r="F103" s="48" t="s">
        <v>1542</v>
      </c>
      <c r="G103" s="49" t="s">
        <v>1531</v>
      </c>
      <c r="H103" s="48" t="s">
        <v>1246</v>
      </c>
      <c r="I103" s="48" t="s">
        <v>1246</v>
      </c>
      <c r="J103" s="48"/>
      <c r="K103" s="48"/>
      <c r="L103" s="48"/>
      <c r="M103" s="48"/>
      <c r="N103" s="50" t="s">
        <v>1284</v>
      </c>
      <c r="O103" s="51" t="s">
        <v>1582</v>
      </c>
      <c r="P103" s="52" t="n">
        <v>1</v>
      </c>
      <c r="Q103" s="51"/>
      <c r="R103" s="52" t="s">
        <v>1519</v>
      </c>
      <c r="S103" s="52"/>
      <c r="T103" s="52"/>
      <c r="U103" s="53" t="n">
        <v>211940</v>
      </c>
      <c r="V103" s="54" t="n">
        <v>194984.8</v>
      </c>
      <c r="W103" s="55" t="n">
        <v>0.15</v>
      </c>
      <c r="X103" s="52"/>
      <c r="Y103" s="55" t="n">
        <v>0.05</v>
      </c>
      <c r="Z103" s="56" t="n">
        <v>2910</v>
      </c>
      <c r="AA103" s="55" t="n">
        <v>0.03</v>
      </c>
      <c r="AB103" s="57" t="n">
        <v>242741.304</v>
      </c>
      <c r="AC103" s="44"/>
      <c r="AD103" s="44"/>
      <c r="AE103" s="44" t="n">
        <v>242741.304</v>
      </c>
      <c r="AF103" s="44" t="s">
        <v>53</v>
      </c>
      <c r="AG103" s="44" t="n">
        <v>0</v>
      </c>
      <c r="AH103" s="58" t="s">
        <v>1536</v>
      </c>
      <c r="AI103" s="44" t="n">
        <v>0</v>
      </c>
      <c r="AJ103" s="44" t="s">
        <v>1246</v>
      </c>
      <c r="AK103" s="44" t="s">
        <v>1612</v>
      </c>
      <c r="AL103" s="44" t="s">
        <v>1246</v>
      </c>
      <c r="AM103" s="44" t="n">
        <v>0</v>
      </c>
      <c r="AN103" s="44"/>
      <c r="AO103" s="44"/>
      <c r="AP103" s="44"/>
      <c r="AQ103" s="45" t="s">
        <v>1303</v>
      </c>
      <c r="AR103" s="44" t="s">
        <v>1284</v>
      </c>
      <c r="AS103" s="44"/>
      <c r="AT103" s="44"/>
      <c r="AU103" s="44"/>
      <c r="AV103" s="44"/>
      <c r="AW103" s="44"/>
      <c r="AX103" s="44"/>
      <c r="AY103" s="44"/>
      <c r="AZ103" s="46"/>
    </row>
    <row r="104" customFormat="false" ht="18" hidden="false" customHeight="true" outlineLevel="0" collapsed="false">
      <c r="A104" s="47" t="n">
        <v>113559</v>
      </c>
      <c r="B104" s="48" t="s">
        <v>1613</v>
      </c>
      <c r="C104" s="47" t="n">
        <v>113559</v>
      </c>
      <c r="D104" s="48" t="s">
        <v>1614</v>
      </c>
      <c r="E104" s="48" t="s">
        <v>69</v>
      </c>
      <c r="F104" s="48" t="s">
        <v>1542</v>
      </c>
      <c r="G104" s="49" t="s">
        <v>1531</v>
      </c>
      <c r="H104" s="48" t="s">
        <v>1246</v>
      </c>
      <c r="I104" s="48" t="s">
        <v>1246</v>
      </c>
      <c r="J104" s="48"/>
      <c r="K104" s="48"/>
      <c r="L104" s="48"/>
      <c r="M104" s="48"/>
      <c r="N104" s="50" t="s">
        <v>1284</v>
      </c>
      <c r="O104" s="51" t="s">
        <v>1582</v>
      </c>
      <c r="P104" s="52" t="n">
        <v>1</v>
      </c>
      <c r="Q104" s="52"/>
      <c r="R104" s="52" t="s">
        <v>1519</v>
      </c>
      <c r="S104" s="52"/>
      <c r="T104" s="52"/>
      <c r="U104" s="53" t="n">
        <v>186780</v>
      </c>
      <c r="V104" s="54" t="n">
        <v>171837.6</v>
      </c>
      <c r="W104" s="55" t="n">
        <v>0.15</v>
      </c>
      <c r="X104" s="52"/>
      <c r="Y104" s="55" t="n">
        <v>0.05</v>
      </c>
      <c r="Z104" s="56" t="n">
        <v>2910</v>
      </c>
      <c r="AA104" s="55" t="n">
        <v>0.03</v>
      </c>
      <c r="AB104" s="57" t="n">
        <v>214270.248</v>
      </c>
      <c r="AC104" s="44"/>
      <c r="AD104" s="44"/>
      <c r="AE104" s="44" t="n">
        <v>214270.248</v>
      </c>
      <c r="AF104" s="44" t="s">
        <v>53</v>
      </c>
      <c r="AG104" s="44" t="n">
        <v>0</v>
      </c>
      <c r="AH104" s="58" t="s">
        <v>1536</v>
      </c>
      <c r="AI104" s="44" t="n">
        <v>0</v>
      </c>
      <c r="AJ104" s="44" t="s">
        <v>1246</v>
      </c>
      <c r="AK104" s="44" t="s">
        <v>1612</v>
      </c>
      <c r="AL104" s="44" t="s">
        <v>1246</v>
      </c>
      <c r="AM104" s="44" t="n">
        <v>0</v>
      </c>
      <c r="AN104" s="44"/>
      <c r="AO104" s="44"/>
      <c r="AP104" s="44"/>
      <c r="AQ104" s="45" t="s">
        <v>1305</v>
      </c>
      <c r="AR104" s="44" t="s">
        <v>1284</v>
      </c>
      <c r="AS104" s="44"/>
      <c r="AT104" s="44"/>
      <c r="AU104" s="44"/>
      <c r="AV104" s="44"/>
      <c r="AW104" s="44"/>
      <c r="AX104" s="44"/>
      <c r="AY104" s="44"/>
      <c r="AZ104" s="46"/>
    </row>
    <row r="105" customFormat="false" ht="18" hidden="false" customHeight="true" outlineLevel="0" collapsed="false">
      <c r="A105" s="47" t="n">
        <v>113595</v>
      </c>
      <c r="B105" s="48" t="s">
        <v>1615</v>
      </c>
      <c r="C105" s="47" t="n">
        <v>113595</v>
      </c>
      <c r="D105" s="48" t="s">
        <v>1616</v>
      </c>
      <c r="E105" s="48" t="s">
        <v>69</v>
      </c>
      <c r="F105" s="48" t="s">
        <v>1542</v>
      </c>
      <c r="G105" s="49" t="s">
        <v>1531</v>
      </c>
      <c r="H105" s="48" t="s">
        <v>1246</v>
      </c>
      <c r="I105" s="48" t="s">
        <v>1246</v>
      </c>
      <c r="J105" s="48"/>
      <c r="K105" s="48"/>
      <c r="L105" s="48"/>
      <c r="M105" s="48"/>
      <c r="N105" s="50" t="s">
        <v>1284</v>
      </c>
      <c r="O105" s="51" t="s">
        <v>1582</v>
      </c>
      <c r="P105" s="52" t="n">
        <v>1</v>
      </c>
      <c r="Q105" s="52"/>
      <c r="R105" s="52" t="s">
        <v>1519</v>
      </c>
      <c r="S105" s="52"/>
      <c r="T105" s="52"/>
      <c r="U105" s="53" t="n">
        <v>206740</v>
      </c>
      <c r="V105" s="54" t="n">
        <v>190200.8</v>
      </c>
      <c r="W105" s="55" t="n">
        <v>0.15</v>
      </c>
      <c r="X105" s="52"/>
      <c r="Y105" s="55" t="n">
        <v>0.05</v>
      </c>
      <c r="Z105" s="56" t="n">
        <v>2910</v>
      </c>
      <c r="AA105" s="55" t="n">
        <v>0.03</v>
      </c>
      <c r="AB105" s="57" t="n">
        <v>236856.984</v>
      </c>
      <c r="AC105" s="44"/>
      <c r="AD105" s="44"/>
      <c r="AE105" s="44" t="n">
        <v>236856.984</v>
      </c>
      <c r="AF105" s="44" t="s">
        <v>53</v>
      </c>
      <c r="AG105" s="44" t="n">
        <v>0</v>
      </c>
      <c r="AH105" s="58" t="s">
        <v>1536</v>
      </c>
      <c r="AI105" s="44" t="n">
        <v>0</v>
      </c>
      <c r="AJ105" s="44" t="s">
        <v>1246</v>
      </c>
      <c r="AK105" s="44" t="s">
        <v>1612</v>
      </c>
      <c r="AL105" s="44" t="s">
        <v>1246</v>
      </c>
      <c r="AM105" s="44" t="n">
        <v>0</v>
      </c>
      <c r="AN105" s="44"/>
      <c r="AO105" s="44"/>
      <c r="AP105" s="44"/>
      <c r="AQ105" s="45" t="s">
        <v>1306</v>
      </c>
      <c r="AR105" s="44" t="s">
        <v>1284</v>
      </c>
      <c r="AS105" s="44"/>
      <c r="AT105" s="44"/>
      <c r="AU105" s="44"/>
      <c r="AV105" s="44"/>
      <c r="AW105" s="44"/>
      <c r="AX105" s="44"/>
      <c r="AY105" s="44"/>
      <c r="AZ105" s="46"/>
    </row>
    <row r="106" customFormat="false" ht="18" hidden="false" customHeight="true" outlineLevel="0" collapsed="false">
      <c r="A106" s="47" t="n">
        <v>113017</v>
      </c>
      <c r="B106" s="48" t="s">
        <v>961</v>
      </c>
      <c r="C106" s="47" t="n">
        <v>113017</v>
      </c>
      <c r="D106" s="48" t="s">
        <v>1617</v>
      </c>
      <c r="E106" s="48" t="s">
        <v>69</v>
      </c>
      <c r="F106" s="48" t="s">
        <v>958</v>
      </c>
      <c r="G106" s="49" t="s">
        <v>30</v>
      </c>
      <c r="H106" s="48" t="s">
        <v>1479</v>
      </c>
      <c r="I106" s="48"/>
      <c r="J106" s="48" t="s">
        <v>1149</v>
      </c>
      <c r="K106" s="48" t="s">
        <v>1149</v>
      </c>
      <c r="L106" s="48" t="s">
        <v>756</v>
      </c>
      <c r="M106" s="48"/>
      <c r="N106" s="50" t="s">
        <v>1443</v>
      </c>
      <c r="O106" s="51" t="s">
        <v>1582</v>
      </c>
      <c r="P106" s="52" t="n">
        <v>1</v>
      </c>
      <c r="Q106" s="51"/>
      <c r="R106" s="52" t="s">
        <v>1519</v>
      </c>
      <c r="S106" s="52"/>
      <c r="T106" s="52"/>
      <c r="U106" s="53" t="n">
        <v>203550</v>
      </c>
      <c r="V106" s="54" t="n">
        <v>203550</v>
      </c>
      <c r="W106" s="55" t="n">
        <v>0.14</v>
      </c>
      <c r="X106" s="52" t="n">
        <v>0.055</v>
      </c>
      <c r="Y106" s="55" t="n">
        <v>0.12</v>
      </c>
      <c r="Z106" s="56"/>
      <c r="AA106" s="55" t="n">
        <v>0.04</v>
      </c>
      <c r="AB106" s="57" t="n">
        <v>275810.25</v>
      </c>
      <c r="AC106" s="44"/>
      <c r="AD106" s="44"/>
      <c r="AE106" s="44" t="n">
        <v>275810.25</v>
      </c>
      <c r="AF106" s="44" t="s">
        <v>53</v>
      </c>
      <c r="AG106" s="44" t="n">
        <v>0</v>
      </c>
      <c r="AH106" s="58" t="s">
        <v>30</v>
      </c>
      <c r="AI106" s="44" t="n">
        <v>1</v>
      </c>
      <c r="AJ106" s="44" t="s">
        <v>756</v>
      </c>
      <c r="AK106" s="44" t="s">
        <v>206</v>
      </c>
      <c r="AL106" s="44" t="s">
        <v>206</v>
      </c>
      <c r="AM106" s="44" t="n">
        <v>0</v>
      </c>
      <c r="AN106" s="44"/>
      <c r="AO106" s="44"/>
      <c r="AP106" s="44"/>
      <c r="AQ106" s="45" t="s">
        <v>960</v>
      </c>
      <c r="AR106" s="44" t="s">
        <v>1282</v>
      </c>
      <c r="AS106" s="44"/>
      <c r="AT106" s="44"/>
      <c r="AU106" s="44"/>
      <c r="AV106" s="44"/>
      <c r="AW106" s="44"/>
      <c r="AX106" s="44"/>
      <c r="AY106" s="44"/>
      <c r="AZ106" s="46"/>
    </row>
    <row r="107" customFormat="false" ht="18" hidden="false" customHeight="true" outlineLevel="0" collapsed="false">
      <c r="A107" s="47" t="n">
        <v>115509</v>
      </c>
      <c r="B107" s="48" t="s">
        <v>963</v>
      </c>
      <c r="C107" s="47" t="n">
        <v>115509</v>
      </c>
      <c r="D107" s="48" t="s">
        <v>964</v>
      </c>
      <c r="E107" s="48" t="s">
        <v>69</v>
      </c>
      <c r="F107" s="48" t="s">
        <v>1618</v>
      </c>
      <c r="G107" s="49" t="s">
        <v>30</v>
      </c>
      <c r="H107" s="48" t="s">
        <v>1619</v>
      </c>
      <c r="I107" s="48"/>
      <c r="J107" s="48" t="s">
        <v>1149</v>
      </c>
      <c r="K107" s="48" t="s">
        <v>1149</v>
      </c>
      <c r="L107" s="48" t="s">
        <v>756</v>
      </c>
      <c r="M107" s="48"/>
      <c r="N107" s="50" t="s">
        <v>1284</v>
      </c>
      <c r="O107" s="51" t="s">
        <v>1582</v>
      </c>
      <c r="P107" s="52" t="n">
        <v>1</v>
      </c>
      <c r="Q107" s="51"/>
      <c r="R107" s="52" t="s">
        <v>1519</v>
      </c>
      <c r="S107" s="52"/>
      <c r="T107" s="52"/>
      <c r="U107" s="53" t="n">
        <v>193150</v>
      </c>
      <c r="V107" s="54" t="n">
        <v>177698</v>
      </c>
      <c r="W107" s="55" t="n">
        <v>0.15</v>
      </c>
      <c r="X107" s="52"/>
      <c r="Y107" s="55" t="n">
        <v>0.05</v>
      </c>
      <c r="Z107" s="56" t="n">
        <v>2910</v>
      </c>
      <c r="AA107" s="55" t="n">
        <v>0.03</v>
      </c>
      <c r="AB107" s="57" t="n">
        <v>221478.54</v>
      </c>
      <c r="AC107" s="44"/>
      <c r="AD107" s="44"/>
      <c r="AE107" s="44" t="n">
        <v>221478.54</v>
      </c>
      <c r="AF107" s="44" t="s">
        <v>53</v>
      </c>
      <c r="AG107" s="44" t="n">
        <v>0</v>
      </c>
      <c r="AH107" s="58" t="s">
        <v>30</v>
      </c>
      <c r="AI107" s="44" t="n">
        <v>1</v>
      </c>
      <c r="AJ107" s="44" t="s">
        <v>756</v>
      </c>
      <c r="AK107" s="44" t="s">
        <v>206</v>
      </c>
      <c r="AL107" s="44" t="s">
        <v>206</v>
      </c>
      <c r="AM107" s="44" t="n">
        <v>0</v>
      </c>
      <c r="AN107" s="44"/>
      <c r="AO107" s="44"/>
      <c r="AP107" s="44"/>
      <c r="AQ107" s="45" t="s">
        <v>962</v>
      </c>
      <c r="AR107" s="44" t="s">
        <v>1284</v>
      </c>
      <c r="AS107" s="44"/>
      <c r="AT107" s="44"/>
      <c r="AU107" s="44"/>
      <c r="AV107" s="44"/>
      <c r="AW107" s="44"/>
      <c r="AX107" s="44"/>
      <c r="AY107" s="44"/>
      <c r="AZ107" s="46"/>
    </row>
    <row r="108" customFormat="false" ht="18" hidden="false" customHeight="true" outlineLevel="0" collapsed="false">
      <c r="A108" s="47" t="n">
        <v>115515</v>
      </c>
      <c r="B108" s="48" t="s">
        <v>299</v>
      </c>
      <c r="C108" s="47" t="n">
        <v>115515</v>
      </c>
      <c r="D108" s="48" t="s">
        <v>300</v>
      </c>
      <c r="E108" s="48" t="s">
        <v>69</v>
      </c>
      <c r="F108" s="48" t="s">
        <v>296</v>
      </c>
      <c r="G108" s="49" t="s">
        <v>1471</v>
      </c>
      <c r="H108" s="48" t="s">
        <v>1472</v>
      </c>
      <c r="I108" s="48" t="s">
        <v>1620</v>
      </c>
      <c r="J108" s="48" t="s">
        <v>1568</v>
      </c>
      <c r="K108" s="48" t="s">
        <v>756</v>
      </c>
      <c r="L108" s="48" t="s">
        <v>756</v>
      </c>
      <c r="M108" s="48"/>
      <c r="N108" s="50" t="s">
        <v>1284</v>
      </c>
      <c r="O108" s="51" t="s">
        <v>1582</v>
      </c>
      <c r="P108" s="52" t="n">
        <v>1</v>
      </c>
      <c r="Q108" s="61"/>
      <c r="R108" s="52" t="s">
        <v>1519</v>
      </c>
      <c r="S108" s="52"/>
      <c r="T108" s="52"/>
      <c r="U108" s="53" t="n">
        <v>206410</v>
      </c>
      <c r="V108" s="54" t="n">
        <v>189897.2</v>
      </c>
      <c r="W108" s="55" t="n">
        <v>0.15</v>
      </c>
      <c r="X108" s="52"/>
      <c r="Y108" s="55" t="n">
        <v>0.05</v>
      </c>
      <c r="Z108" s="56" t="n">
        <v>2910</v>
      </c>
      <c r="AA108" s="55" t="n">
        <v>0.03</v>
      </c>
      <c r="AB108" s="57" t="n">
        <v>236483.556</v>
      </c>
      <c r="AC108" s="44"/>
      <c r="AD108" s="62"/>
      <c r="AE108" s="62" t="n">
        <v>236483.556</v>
      </c>
      <c r="AF108" s="62" t="s">
        <v>53</v>
      </c>
      <c r="AG108" s="62" t="n">
        <v>0</v>
      </c>
      <c r="AH108" s="58" t="s">
        <v>16</v>
      </c>
      <c r="AI108" s="44" t="n">
        <v>1</v>
      </c>
      <c r="AJ108" s="44" t="s">
        <v>756</v>
      </c>
      <c r="AK108" s="44" t="s">
        <v>206</v>
      </c>
      <c r="AL108" s="44" t="s">
        <v>206</v>
      </c>
      <c r="AM108" s="44" t="n">
        <v>0</v>
      </c>
      <c r="AN108" s="44"/>
      <c r="AO108" s="44"/>
      <c r="AP108" s="44"/>
      <c r="AQ108" s="45" t="s">
        <v>298</v>
      </c>
      <c r="AR108" s="44" t="s">
        <v>1284</v>
      </c>
      <c r="AS108" s="44"/>
      <c r="AT108" s="44"/>
      <c r="AU108" s="44"/>
      <c r="AV108" s="44"/>
      <c r="AW108" s="44"/>
      <c r="AX108" s="44"/>
      <c r="AY108" s="44"/>
      <c r="AZ108" s="46"/>
    </row>
    <row r="109" customFormat="false" ht="18" hidden="false" customHeight="true" outlineLevel="0" collapsed="false">
      <c r="A109" s="47" t="n">
        <v>113442</v>
      </c>
      <c r="B109" s="48" t="s">
        <v>302</v>
      </c>
      <c r="C109" s="47" t="n">
        <v>113442</v>
      </c>
      <c r="D109" s="48" t="s">
        <v>303</v>
      </c>
      <c r="E109" s="48" t="s">
        <v>69</v>
      </c>
      <c r="F109" s="48" t="s">
        <v>296</v>
      </c>
      <c r="G109" s="49" t="s">
        <v>1471</v>
      </c>
      <c r="H109" s="48" t="s">
        <v>1472</v>
      </c>
      <c r="I109" s="48" t="s">
        <v>1473</v>
      </c>
      <c r="J109" s="48" t="s">
        <v>1568</v>
      </c>
      <c r="K109" s="48" t="s">
        <v>1160</v>
      </c>
      <c r="L109" s="48" t="s">
        <v>756</v>
      </c>
      <c r="M109" s="48"/>
      <c r="N109" s="50" t="s">
        <v>1443</v>
      </c>
      <c r="O109" s="51" t="s">
        <v>1582</v>
      </c>
      <c r="P109" s="52" t="n">
        <v>1</v>
      </c>
      <c r="Q109" s="63"/>
      <c r="R109" s="52" t="s">
        <v>1519</v>
      </c>
      <c r="S109" s="52"/>
      <c r="T109" s="52"/>
      <c r="U109" s="53" t="n">
        <v>187600</v>
      </c>
      <c r="V109" s="54" t="n">
        <v>187600</v>
      </c>
      <c r="W109" s="55" t="n">
        <v>0.14</v>
      </c>
      <c r="X109" s="52" t="n">
        <v>0.055</v>
      </c>
      <c r="Y109" s="55" t="n">
        <v>0.12</v>
      </c>
      <c r="Z109" s="56"/>
      <c r="AA109" s="55" t="n">
        <v>0.04</v>
      </c>
      <c r="AB109" s="57" t="n">
        <v>254198</v>
      </c>
      <c r="AC109" s="44"/>
      <c r="AD109" s="62"/>
      <c r="AE109" s="62" t="n">
        <v>254198</v>
      </c>
      <c r="AF109" s="62" t="s">
        <v>53</v>
      </c>
      <c r="AG109" s="62" t="n">
        <v>0</v>
      </c>
      <c r="AH109" s="58" t="s">
        <v>16</v>
      </c>
      <c r="AI109" s="44" t="n">
        <v>1</v>
      </c>
      <c r="AJ109" s="44" t="s">
        <v>756</v>
      </c>
      <c r="AK109" s="44" t="s">
        <v>206</v>
      </c>
      <c r="AL109" s="44" t="s">
        <v>206</v>
      </c>
      <c r="AM109" s="44" t="n">
        <v>0</v>
      </c>
      <c r="AN109" s="44"/>
      <c r="AO109" s="44"/>
      <c r="AP109" s="44"/>
      <c r="AQ109" s="45" t="s">
        <v>301</v>
      </c>
      <c r="AR109" s="44" t="s">
        <v>1282</v>
      </c>
      <c r="AS109" s="44"/>
      <c r="AT109" s="44"/>
      <c r="AU109" s="44"/>
      <c r="AV109" s="44"/>
      <c r="AW109" s="44"/>
      <c r="AX109" s="44"/>
      <c r="AY109" s="44"/>
      <c r="AZ109" s="46"/>
    </row>
    <row r="110" customFormat="false" ht="18" hidden="false" customHeight="true" outlineLevel="0" collapsed="false">
      <c r="A110" s="47" t="s">
        <v>1507</v>
      </c>
      <c r="B110" s="48" t="s">
        <v>69</v>
      </c>
      <c r="C110" s="47" t="s">
        <v>1507</v>
      </c>
      <c r="D110" s="48" t="s">
        <v>1621</v>
      </c>
      <c r="E110" s="48" t="s">
        <v>69</v>
      </c>
      <c r="F110" s="48" t="s">
        <v>1587</v>
      </c>
      <c r="G110" s="49" t="s">
        <v>1511</v>
      </c>
      <c r="H110" s="48" t="s">
        <v>1253</v>
      </c>
      <c r="I110" s="48" t="s">
        <v>1159</v>
      </c>
      <c r="J110" s="48" t="s">
        <v>1159</v>
      </c>
      <c r="K110" s="48" t="s">
        <v>1159</v>
      </c>
      <c r="L110" s="48" t="s">
        <v>1159</v>
      </c>
      <c r="M110" s="48"/>
      <c r="N110" s="50" t="s">
        <v>1443</v>
      </c>
      <c r="O110" s="51" t="s">
        <v>1582</v>
      </c>
      <c r="P110" s="52" t="n">
        <v>1</v>
      </c>
      <c r="Q110" s="61"/>
      <c r="R110" s="52" t="s">
        <v>1507</v>
      </c>
      <c r="S110" s="52"/>
      <c r="T110" s="52"/>
      <c r="U110" s="53" t="n">
        <v>203550</v>
      </c>
      <c r="V110" s="54" t="n">
        <v>203550</v>
      </c>
      <c r="W110" s="55" t="n">
        <v>0.14</v>
      </c>
      <c r="X110" s="52" t="n">
        <v>0.055</v>
      </c>
      <c r="Y110" s="55" t="n">
        <v>0.12</v>
      </c>
      <c r="Z110" s="56"/>
      <c r="AA110" s="55" t="n">
        <v>0.04</v>
      </c>
      <c r="AB110" s="57" t="n">
        <v>275810.25</v>
      </c>
      <c r="AC110" s="44"/>
      <c r="AD110" s="62"/>
      <c r="AE110" s="62" t="n">
        <v>275810.25</v>
      </c>
      <c r="AF110" s="62" t="s">
        <v>69</v>
      </c>
      <c r="AG110" s="62" t="n">
        <v>0</v>
      </c>
      <c r="AH110" s="58" t="s">
        <v>1514</v>
      </c>
      <c r="AI110" s="44" t="n">
        <v>0</v>
      </c>
      <c r="AJ110" s="44" t="s">
        <v>1253</v>
      </c>
      <c r="AK110" s="44" t="s">
        <v>203</v>
      </c>
      <c r="AL110" s="44" t="s">
        <v>1253</v>
      </c>
      <c r="AM110" s="44" t="n">
        <v>0</v>
      </c>
      <c r="AN110" s="44"/>
      <c r="AO110" s="44"/>
      <c r="AP110" s="44"/>
      <c r="AQ110" s="45" t="s">
        <v>1372</v>
      </c>
      <c r="AR110" s="44" t="s">
        <v>1282</v>
      </c>
      <c r="AS110" s="44"/>
      <c r="AT110" s="44"/>
      <c r="AU110" s="44"/>
      <c r="AV110" s="44"/>
      <c r="AW110" s="44"/>
      <c r="AX110" s="44"/>
      <c r="AY110" s="44"/>
      <c r="AZ110" s="46"/>
    </row>
    <row r="111" customFormat="false" ht="18" hidden="false" customHeight="true" outlineLevel="0" collapsed="false">
      <c r="A111" s="47" t="s">
        <v>1507</v>
      </c>
      <c r="B111" s="48" t="s">
        <v>1622</v>
      </c>
      <c r="C111" s="47" t="s">
        <v>1507</v>
      </c>
      <c r="D111" s="48" t="s">
        <v>1614</v>
      </c>
      <c r="E111" s="48" t="s">
        <v>69</v>
      </c>
      <c r="F111" s="48" t="s">
        <v>1542</v>
      </c>
      <c r="G111" s="49" t="s">
        <v>1531</v>
      </c>
      <c r="H111" s="48" t="s">
        <v>1246</v>
      </c>
      <c r="I111" s="48" t="s">
        <v>1246</v>
      </c>
      <c r="J111" s="48"/>
      <c r="K111" s="48"/>
      <c r="L111" s="48"/>
      <c r="M111" s="48"/>
      <c r="N111" s="50" t="s">
        <v>1443</v>
      </c>
      <c r="O111" s="51" t="s">
        <v>1582</v>
      </c>
      <c r="P111" s="52" t="n">
        <v>1</v>
      </c>
      <c r="Q111" s="61"/>
      <c r="R111" s="52" t="s">
        <v>1623</v>
      </c>
      <c r="S111" s="52"/>
      <c r="T111" s="52"/>
      <c r="U111" s="53" t="n">
        <v>203550</v>
      </c>
      <c r="V111" s="54" t="n">
        <v>203550</v>
      </c>
      <c r="W111" s="55" t="n">
        <v>0.14</v>
      </c>
      <c r="X111" s="52" t="n">
        <v>0.055</v>
      </c>
      <c r="Y111" s="55" t="n">
        <v>0.12</v>
      </c>
      <c r="Z111" s="56"/>
      <c r="AA111" s="55" t="n">
        <v>0.04</v>
      </c>
      <c r="AB111" s="57" t="n">
        <v>275810.25</v>
      </c>
      <c r="AC111" s="44"/>
      <c r="AD111" s="62"/>
      <c r="AE111" s="62" t="n">
        <v>275810.25</v>
      </c>
      <c r="AF111" s="62" t="s">
        <v>69</v>
      </c>
      <c r="AG111" s="62" t="n">
        <v>1</v>
      </c>
      <c r="AH111" s="58" t="s">
        <v>1536</v>
      </c>
      <c r="AI111" s="44" t="n">
        <v>0</v>
      </c>
      <c r="AJ111" s="44" t="s">
        <v>1246</v>
      </c>
      <c r="AK111" s="44" t="s">
        <v>1612</v>
      </c>
      <c r="AL111" s="44" t="s">
        <v>1246</v>
      </c>
      <c r="AM111" s="44" t="n">
        <v>0</v>
      </c>
      <c r="AN111" s="44"/>
      <c r="AO111" s="44"/>
      <c r="AP111" s="44"/>
      <c r="AQ111" s="45" t="s">
        <v>1307</v>
      </c>
      <c r="AR111" s="44" t="s">
        <v>1282</v>
      </c>
      <c r="AS111" s="44"/>
      <c r="AT111" s="44"/>
      <c r="AU111" s="44"/>
      <c r="AV111" s="44"/>
      <c r="AW111" s="44"/>
      <c r="AX111" s="44"/>
      <c r="AY111" s="44"/>
      <c r="AZ111" s="46"/>
    </row>
    <row r="112" customFormat="false" ht="18" hidden="false" customHeight="true" outlineLevel="0" collapsed="false">
      <c r="A112" s="47" t="s">
        <v>1507</v>
      </c>
      <c r="B112" s="48" t="s">
        <v>69</v>
      </c>
      <c r="C112" s="47" t="s">
        <v>1507</v>
      </c>
      <c r="D112" s="48" t="s">
        <v>1624</v>
      </c>
      <c r="E112" s="48" t="s">
        <v>69</v>
      </c>
      <c r="F112" s="48" t="s">
        <v>1625</v>
      </c>
      <c r="G112" s="49" t="s">
        <v>1531</v>
      </c>
      <c r="H112" s="48" t="s">
        <v>1248</v>
      </c>
      <c r="I112" s="48" t="s">
        <v>1248</v>
      </c>
      <c r="J112" s="48"/>
      <c r="K112" s="48"/>
      <c r="L112" s="48"/>
      <c r="M112" s="48"/>
      <c r="N112" s="50" t="s">
        <v>1443</v>
      </c>
      <c r="O112" s="51" t="s">
        <v>1582</v>
      </c>
      <c r="P112" s="52" t="n">
        <v>1</v>
      </c>
      <c r="Q112" s="61"/>
      <c r="R112" s="52" t="s">
        <v>1507</v>
      </c>
      <c r="S112" s="52"/>
      <c r="T112" s="52"/>
      <c r="U112" s="53" t="n">
        <v>203550</v>
      </c>
      <c r="V112" s="54" t="n">
        <v>203550</v>
      </c>
      <c r="W112" s="55" t="n">
        <v>0.14</v>
      </c>
      <c r="X112" s="52" t="n">
        <v>0.055</v>
      </c>
      <c r="Y112" s="55" t="n">
        <v>0.12</v>
      </c>
      <c r="Z112" s="56"/>
      <c r="AA112" s="55" t="n">
        <v>0.04</v>
      </c>
      <c r="AB112" s="57" t="n">
        <v>275810.25</v>
      </c>
      <c r="AC112" s="44"/>
      <c r="AD112" s="62"/>
      <c r="AE112" s="62" t="n">
        <v>275810.25</v>
      </c>
      <c r="AF112" s="62" t="s">
        <v>69</v>
      </c>
      <c r="AG112" s="62" t="n">
        <v>0</v>
      </c>
      <c r="AH112" s="58" t="s">
        <v>1536</v>
      </c>
      <c r="AI112" s="44" t="n">
        <v>0</v>
      </c>
      <c r="AJ112" s="44" t="s">
        <v>1248</v>
      </c>
      <c r="AK112" s="44" t="s">
        <v>47</v>
      </c>
      <c r="AL112" s="44" t="s">
        <v>1248</v>
      </c>
      <c r="AM112" s="44" t="n">
        <v>0</v>
      </c>
      <c r="AN112" s="44"/>
      <c r="AO112" s="44"/>
      <c r="AP112" s="44"/>
      <c r="AQ112" s="45" t="s">
        <v>1315</v>
      </c>
      <c r="AR112" s="44" t="s">
        <v>1282</v>
      </c>
      <c r="AS112" s="44"/>
      <c r="AT112" s="44"/>
      <c r="AU112" s="44"/>
      <c r="AV112" s="44"/>
      <c r="AW112" s="44"/>
      <c r="AX112" s="44"/>
      <c r="AY112" s="44"/>
      <c r="AZ112" s="46"/>
    </row>
    <row r="113" customFormat="false" ht="18" hidden="false" customHeight="true" outlineLevel="0" collapsed="false">
      <c r="A113" s="47" t="n">
        <v>115521</v>
      </c>
      <c r="B113" s="48" t="s">
        <v>966</v>
      </c>
      <c r="C113" s="47" t="n">
        <v>115521</v>
      </c>
      <c r="D113" s="48" t="s">
        <v>967</v>
      </c>
      <c r="E113" s="48" t="s">
        <v>69</v>
      </c>
      <c r="F113" s="48" t="s">
        <v>958</v>
      </c>
      <c r="G113" s="49" t="s">
        <v>30</v>
      </c>
      <c r="H113" s="48" t="s">
        <v>1479</v>
      </c>
      <c r="I113" s="48" t="s">
        <v>1480</v>
      </c>
      <c r="J113" s="48" t="s">
        <v>1149</v>
      </c>
      <c r="K113" s="48" t="s">
        <v>1149</v>
      </c>
      <c r="L113" s="48" t="s">
        <v>756</v>
      </c>
      <c r="M113" s="48"/>
      <c r="N113" s="50" t="s">
        <v>1284</v>
      </c>
      <c r="O113" s="51" t="s">
        <v>1582</v>
      </c>
      <c r="P113" s="52" t="n">
        <v>1</v>
      </c>
      <c r="Q113" s="61"/>
      <c r="R113" s="52" t="s">
        <v>1519</v>
      </c>
      <c r="S113" s="52"/>
      <c r="T113" s="52"/>
      <c r="U113" s="53" t="n">
        <v>200000</v>
      </c>
      <c r="V113" s="54" t="n">
        <v>184000</v>
      </c>
      <c r="W113" s="55" t="n">
        <v>0.15</v>
      </c>
      <c r="X113" s="52"/>
      <c r="Y113" s="55" t="n">
        <v>0.05</v>
      </c>
      <c r="Z113" s="56" t="n">
        <v>2910</v>
      </c>
      <c r="AA113" s="55" t="n">
        <v>0.03</v>
      </c>
      <c r="AB113" s="57" t="n">
        <v>229230</v>
      </c>
      <c r="AC113" s="44"/>
      <c r="AD113" s="62"/>
      <c r="AE113" s="62" t="n">
        <v>229230</v>
      </c>
      <c r="AF113" s="62" t="s">
        <v>53</v>
      </c>
      <c r="AG113" s="62" t="n">
        <v>0</v>
      </c>
      <c r="AH113" s="58" t="s">
        <v>30</v>
      </c>
      <c r="AI113" s="44" t="n">
        <v>1</v>
      </c>
      <c r="AJ113" s="44" t="s">
        <v>756</v>
      </c>
      <c r="AK113" s="44" t="s">
        <v>206</v>
      </c>
      <c r="AL113" s="44" t="s">
        <v>206</v>
      </c>
      <c r="AM113" s="44" t="n">
        <v>0</v>
      </c>
      <c r="AN113" s="44"/>
      <c r="AO113" s="44"/>
      <c r="AP113" s="44"/>
      <c r="AQ113" s="45" t="s">
        <v>965</v>
      </c>
      <c r="AR113" s="44" t="s">
        <v>1284</v>
      </c>
      <c r="AS113" s="44"/>
      <c r="AT113" s="44"/>
      <c r="AU113" s="44"/>
      <c r="AV113" s="44"/>
      <c r="AW113" s="44"/>
      <c r="AX113" s="44"/>
      <c r="AY113" s="44"/>
      <c r="AZ113" s="46"/>
    </row>
    <row r="114" customFormat="false" ht="18" hidden="false" customHeight="true" outlineLevel="0" collapsed="false">
      <c r="A114" s="47" t="s">
        <v>1507</v>
      </c>
      <c r="B114" s="48" t="s">
        <v>69</v>
      </c>
      <c r="C114" s="47" t="s">
        <v>1507</v>
      </c>
      <c r="D114" s="48" t="s">
        <v>203</v>
      </c>
      <c r="E114" s="48" t="s">
        <v>69</v>
      </c>
      <c r="F114" s="48" t="s">
        <v>958</v>
      </c>
      <c r="G114" s="49" t="s">
        <v>30</v>
      </c>
      <c r="H114" s="48" t="s">
        <v>1479</v>
      </c>
      <c r="I114" s="48"/>
      <c r="J114" s="48" t="s">
        <v>1149</v>
      </c>
      <c r="K114" s="48" t="s">
        <v>1149</v>
      </c>
      <c r="L114" s="48" t="s">
        <v>756</v>
      </c>
      <c r="M114" s="48"/>
      <c r="N114" s="50" t="s">
        <v>1443</v>
      </c>
      <c r="O114" s="51" t="s">
        <v>1582</v>
      </c>
      <c r="P114" s="52" t="n">
        <v>1</v>
      </c>
      <c r="Q114" s="61"/>
      <c r="R114" s="52" t="s">
        <v>1507</v>
      </c>
      <c r="S114" s="52"/>
      <c r="T114" s="52"/>
      <c r="U114" s="53" t="n">
        <v>203550</v>
      </c>
      <c r="V114" s="54" t="n">
        <v>203550</v>
      </c>
      <c r="W114" s="55" t="n">
        <v>0.14</v>
      </c>
      <c r="X114" s="52" t="n">
        <v>0.055</v>
      </c>
      <c r="Y114" s="55" t="n">
        <v>0.12</v>
      </c>
      <c r="Z114" s="56"/>
      <c r="AA114" s="55" t="n">
        <v>0.04</v>
      </c>
      <c r="AB114" s="57" t="n">
        <v>275810.25</v>
      </c>
      <c r="AC114" s="44"/>
      <c r="AD114" s="62"/>
      <c r="AE114" s="62" t="n">
        <v>275810.25</v>
      </c>
      <c r="AF114" s="62" t="s">
        <v>69</v>
      </c>
      <c r="AG114" s="62" t="n">
        <v>0</v>
      </c>
      <c r="AH114" s="58" t="s">
        <v>30</v>
      </c>
      <c r="AI114" s="44" t="n">
        <v>1</v>
      </c>
      <c r="AJ114" s="44" t="s">
        <v>756</v>
      </c>
      <c r="AK114" s="44" t="s">
        <v>203</v>
      </c>
      <c r="AL114" s="44" t="s">
        <v>203</v>
      </c>
      <c r="AM114" s="44" t="n">
        <v>0</v>
      </c>
      <c r="AN114" s="44"/>
      <c r="AO114" s="44"/>
      <c r="AP114" s="44"/>
      <c r="AQ114" s="45" t="s">
        <v>959</v>
      </c>
      <c r="AR114" s="44" t="s">
        <v>1282</v>
      </c>
      <c r="AS114" s="44"/>
      <c r="AT114" s="44"/>
      <c r="AU114" s="44"/>
      <c r="AV114" s="44"/>
      <c r="AW114" s="44"/>
      <c r="AX114" s="44"/>
      <c r="AY114" s="44"/>
      <c r="AZ114" s="46"/>
    </row>
    <row r="115" customFormat="false" ht="18" hidden="false" customHeight="true" outlineLevel="0" collapsed="false">
      <c r="A115" s="47" t="s">
        <v>1507</v>
      </c>
      <c r="B115" s="48" t="s">
        <v>69</v>
      </c>
      <c r="C115" s="47" t="s">
        <v>1507</v>
      </c>
      <c r="D115" s="48" t="s">
        <v>969</v>
      </c>
      <c r="E115" s="48" t="s">
        <v>69</v>
      </c>
      <c r="F115" s="48" t="s">
        <v>958</v>
      </c>
      <c r="G115" s="49" t="s">
        <v>30</v>
      </c>
      <c r="H115" s="48" t="s">
        <v>1619</v>
      </c>
      <c r="I115" s="48" t="s">
        <v>1626</v>
      </c>
      <c r="J115" s="48" t="s">
        <v>1149</v>
      </c>
      <c r="K115" s="48" t="s">
        <v>1149</v>
      </c>
      <c r="L115" s="48" t="s">
        <v>756</v>
      </c>
      <c r="M115" s="48"/>
      <c r="N115" s="50" t="s">
        <v>1443</v>
      </c>
      <c r="O115" s="51" t="s">
        <v>1582</v>
      </c>
      <c r="P115" s="52" t="n">
        <v>1</v>
      </c>
      <c r="Q115" s="61"/>
      <c r="R115" s="52" t="s">
        <v>1513</v>
      </c>
      <c r="S115" s="52"/>
      <c r="T115" s="52"/>
      <c r="U115" s="53" t="n">
        <v>203550</v>
      </c>
      <c r="V115" s="54" t="n">
        <v>203550</v>
      </c>
      <c r="W115" s="55" t="n">
        <v>0.14</v>
      </c>
      <c r="X115" s="52" t="n">
        <v>0.055</v>
      </c>
      <c r="Y115" s="55" t="n">
        <v>0.12</v>
      </c>
      <c r="Z115" s="56"/>
      <c r="AA115" s="55" t="n">
        <v>0.04</v>
      </c>
      <c r="AB115" s="57" t="n">
        <v>275810.25</v>
      </c>
      <c r="AC115" s="44"/>
      <c r="AD115" s="62"/>
      <c r="AE115" s="62" t="n">
        <v>275810.25</v>
      </c>
      <c r="AF115" s="62" t="s">
        <v>69</v>
      </c>
      <c r="AG115" s="62" t="n">
        <v>0</v>
      </c>
      <c r="AH115" s="58" t="s">
        <v>30</v>
      </c>
      <c r="AI115" s="44" t="n">
        <v>1</v>
      </c>
      <c r="AJ115" s="44" t="s">
        <v>756</v>
      </c>
      <c r="AK115" s="44" t="s">
        <v>206</v>
      </c>
      <c r="AL115" s="44" t="s">
        <v>206</v>
      </c>
      <c r="AM115" s="44" t="n">
        <v>0</v>
      </c>
      <c r="AN115" s="44"/>
      <c r="AO115" s="44"/>
      <c r="AP115" s="44"/>
      <c r="AQ115" s="45" t="s">
        <v>968</v>
      </c>
      <c r="AR115" s="44" t="s">
        <v>1282</v>
      </c>
      <c r="AS115" s="44"/>
      <c r="AT115" s="44"/>
      <c r="AU115" s="44"/>
      <c r="AV115" s="44"/>
      <c r="AW115" s="44"/>
      <c r="AX115" s="44"/>
      <c r="AY115" s="44"/>
      <c r="AZ115" s="46"/>
    </row>
    <row r="116" customFormat="false" ht="18" hidden="false" customHeight="true" outlineLevel="0" collapsed="false">
      <c r="A116" s="47" t="n">
        <v>98379</v>
      </c>
      <c r="B116" s="48" t="s">
        <v>214</v>
      </c>
      <c r="C116" s="47" t="n">
        <v>98379</v>
      </c>
      <c r="D116" s="48" t="s">
        <v>215</v>
      </c>
      <c r="E116" s="48" t="s">
        <v>69</v>
      </c>
      <c r="F116" s="48" t="s">
        <v>1600</v>
      </c>
      <c r="G116" s="49" t="s">
        <v>1471</v>
      </c>
      <c r="H116" s="48" t="s">
        <v>14</v>
      </c>
      <c r="I116" s="48" t="s">
        <v>1627</v>
      </c>
      <c r="J116" s="48" t="s">
        <v>1567</v>
      </c>
      <c r="K116" s="48" t="s">
        <v>1288</v>
      </c>
      <c r="L116" s="48" t="s">
        <v>756</v>
      </c>
      <c r="M116" s="48"/>
      <c r="N116" s="50" t="s">
        <v>1443</v>
      </c>
      <c r="O116" s="51" t="s">
        <v>1582</v>
      </c>
      <c r="P116" s="52" t="n">
        <v>1</v>
      </c>
      <c r="Q116" s="61"/>
      <c r="R116" s="52" t="s">
        <v>1519</v>
      </c>
      <c r="S116" s="52"/>
      <c r="T116" s="52"/>
      <c r="U116" s="53" t="n">
        <v>190225</v>
      </c>
      <c r="V116" s="54" t="n">
        <v>190225</v>
      </c>
      <c r="W116" s="55" t="n">
        <v>0.14</v>
      </c>
      <c r="X116" s="52" t="n">
        <v>0.055</v>
      </c>
      <c r="Y116" s="55" t="n">
        <v>0.12</v>
      </c>
      <c r="Z116" s="56"/>
      <c r="AA116" s="55" t="n">
        <v>0.04</v>
      </c>
      <c r="AB116" s="57" t="n">
        <v>257754.875</v>
      </c>
      <c r="AC116" s="44"/>
      <c r="AD116" s="62"/>
      <c r="AE116" s="62" t="n">
        <v>257754.875</v>
      </c>
      <c r="AF116" s="62" t="s">
        <v>53</v>
      </c>
      <c r="AG116" s="62" t="n">
        <v>0</v>
      </c>
      <c r="AH116" s="58" t="s">
        <v>14</v>
      </c>
      <c r="AI116" s="44" t="n">
        <v>1</v>
      </c>
      <c r="AJ116" s="44" t="s">
        <v>756</v>
      </c>
      <c r="AK116" s="44" t="s">
        <v>206</v>
      </c>
      <c r="AL116" s="44" t="s">
        <v>206</v>
      </c>
      <c r="AM116" s="44" t="n">
        <v>0</v>
      </c>
      <c r="AN116" s="44"/>
      <c r="AO116" s="44"/>
      <c r="AP116" s="44"/>
      <c r="AQ116" s="45" t="s">
        <v>213</v>
      </c>
      <c r="AR116" s="44" t="s">
        <v>1282</v>
      </c>
      <c r="AS116" s="44"/>
      <c r="AT116" s="44"/>
      <c r="AU116" s="44"/>
      <c r="AV116" s="44"/>
      <c r="AW116" s="44"/>
      <c r="AX116" s="44"/>
      <c r="AY116" s="44"/>
      <c r="AZ116" s="46"/>
    </row>
    <row r="117" customFormat="false" ht="18" hidden="false" customHeight="true" outlineLevel="0" collapsed="false">
      <c r="A117" s="47" t="n">
        <v>113525</v>
      </c>
      <c r="B117" s="48" t="s">
        <v>305</v>
      </c>
      <c r="C117" s="47" t="n">
        <v>113525</v>
      </c>
      <c r="D117" s="48" t="s">
        <v>306</v>
      </c>
      <c r="E117" s="48" t="s">
        <v>822</v>
      </c>
      <c r="F117" s="48" t="s">
        <v>296</v>
      </c>
      <c r="G117" s="49" t="s">
        <v>1471</v>
      </c>
      <c r="H117" s="48" t="s">
        <v>1472</v>
      </c>
      <c r="I117" s="48" t="s">
        <v>1628</v>
      </c>
      <c r="J117" s="48" t="s">
        <v>1568</v>
      </c>
      <c r="K117" s="48" t="s">
        <v>1160</v>
      </c>
      <c r="L117" s="48" t="s">
        <v>756</v>
      </c>
      <c r="M117" s="48"/>
      <c r="N117" s="50" t="s">
        <v>1284</v>
      </c>
      <c r="O117" s="51" t="s">
        <v>1582</v>
      </c>
      <c r="P117" s="52" t="n">
        <v>1</v>
      </c>
      <c r="Q117" s="63"/>
      <c r="R117" s="52" t="s">
        <v>1519</v>
      </c>
      <c r="S117" s="52"/>
      <c r="T117" s="52"/>
      <c r="U117" s="53" t="n">
        <v>183480</v>
      </c>
      <c r="V117" s="54" t="n">
        <v>168801.6</v>
      </c>
      <c r="W117" s="55" t="n">
        <v>0.15</v>
      </c>
      <c r="X117" s="52"/>
      <c r="Y117" s="55" t="n">
        <v>0.05</v>
      </c>
      <c r="Z117" s="56" t="n">
        <v>2910</v>
      </c>
      <c r="AA117" s="55" t="n">
        <v>0.03</v>
      </c>
      <c r="AB117" s="57" t="n">
        <v>210535.968</v>
      </c>
      <c r="AC117" s="44"/>
      <c r="AD117" s="62"/>
      <c r="AE117" s="62" t="n">
        <v>210535.968</v>
      </c>
      <c r="AF117" s="62" t="s">
        <v>53</v>
      </c>
      <c r="AG117" s="62" t="n">
        <v>0</v>
      </c>
      <c r="AH117" s="58" t="s">
        <v>16</v>
      </c>
      <c r="AI117" s="44" t="n">
        <v>1</v>
      </c>
      <c r="AJ117" s="44" t="s">
        <v>756</v>
      </c>
      <c r="AK117" s="44" t="s">
        <v>206</v>
      </c>
      <c r="AL117" s="44" t="s">
        <v>206</v>
      </c>
      <c r="AM117" s="44" t="n">
        <v>0</v>
      </c>
      <c r="AN117" s="44"/>
      <c r="AO117" s="44"/>
      <c r="AP117" s="44"/>
      <c r="AQ117" s="45" t="s">
        <v>304</v>
      </c>
      <c r="AR117" s="44" t="s">
        <v>1284</v>
      </c>
      <c r="AS117" s="44"/>
      <c r="AT117" s="44"/>
      <c r="AU117" s="44"/>
      <c r="AV117" s="44"/>
      <c r="AW117" s="44"/>
      <c r="AX117" s="44"/>
      <c r="AY117" s="44"/>
      <c r="AZ117" s="46"/>
    </row>
    <row r="118" customFormat="false" ht="18" hidden="false" customHeight="true" outlineLevel="0" collapsed="false">
      <c r="A118" s="47" t="s">
        <v>1507</v>
      </c>
      <c r="B118" s="48" t="s">
        <v>69</v>
      </c>
      <c r="C118" s="47" t="s">
        <v>1507</v>
      </c>
      <c r="D118" s="48" t="s">
        <v>203</v>
      </c>
      <c r="E118" s="48" t="s">
        <v>69</v>
      </c>
      <c r="F118" s="48" t="s">
        <v>296</v>
      </c>
      <c r="G118" s="49" t="s">
        <v>1471</v>
      </c>
      <c r="H118" s="48" t="s">
        <v>1472</v>
      </c>
      <c r="I118" s="48" t="s">
        <v>1629</v>
      </c>
      <c r="J118" s="48" t="s">
        <v>1568</v>
      </c>
      <c r="K118" s="48" t="s">
        <v>1160</v>
      </c>
      <c r="L118" s="48" t="s">
        <v>756</v>
      </c>
      <c r="M118" s="48"/>
      <c r="N118" s="50" t="s">
        <v>1443</v>
      </c>
      <c r="O118" s="51" t="s">
        <v>1582</v>
      </c>
      <c r="P118" s="52" t="n">
        <v>1</v>
      </c>
      <c r="Q118" s="61"/>
      <c r="R118" s="52" t="s">
        <v>1507</v>
      </c>
      <c r="S118" s="52"/>
      <c r="T118" s="52"/>
      <c r="U118" s="53" t="n">
        <v>151950</v>
      </c>
      <c r="V118" s="54" t="n">
        <v>151950</v>
      </c>
      <c r="W118" s="55" t="n">
        <v>0.12</v>
      </c>
      <c r="X118" s="52" t="n">
        <v>0.055</v>
      </c>
      <c r="Y118" s="55" t="n">
        <v>0.12</v>
      </c>
      <c r="Z118" s="56"/>
      <c r="AA118" s="55" t="n">
        <v>0.04</v>
      </c>
      <c r="AB118" s="57" t="n">
        <v>202853.25</v>
      </c>
      <c r="AC118" s="44"/>
      <c r="AD118" s="62"/>
      <c r="AE118" s="62" t="n">
        <v>202853.25</v>
      </c>
      <c r="AF118" s="62" t="s">
        <v>69</v>
      </c>
      <c r="AG118" s="62" t="n">
        <v>0</v>
      </c>
      <c r="AH118" s="58" t="s">
        <v>16</v>
      </c>
      <c r="AI118" s="44" t="n">
        <v>1</v>
      </c>
      <c r="AJ118" s="44" t="s">
        <v>756</v>
      </c>
      <c r="AK118" s="44" t="s">
        <v>203</v>
      </c>
      <c r="AL118" s="44" t="s">
        <v>203</v>
      </c>
      <c r="AM118" s="44" t="n">
        <v>0</v>
      </c>
      <c r="AN118" s="44"/>
      <c r="AO118" s="44"/>
      <c r="AP118" s="44"/>
      <c r="AQ118" s="45" t="s">
        <v>297</v>
      </c>
      <c r="AR118" s="44" t="s">
        <v>1282</v>
      </c>
      <c r="AS118" s="44"/>
      <c r="AT118" s="44"/>
      <c r="AU118" s="44"/>
      <c r="AV118" s="44"/>
      <c r="AW118" s="44"/>
      <c r="AX118" s="44"/>
      <c r="AY118" s="44"/>
      <c r="AZ118" s="46"/>
    </row>
    <row r="119" customFormat="false" ht="18" hidden="false" customHeight="true" outlineLevel="0" collapsed="false">
      <c r="A119" s="47" t="s">
        <v>1507</v>
      </c>
      <c r="B119" s="48" t="s">
        <v>69</v>
      </c>
      <c r="C119" s="47" t="s">
        <v>1507</v>
      </c>
      <c r="D119" s="48" t="s">
        <v>1630</v>
      </c>
      <c r="E119" s="48" t="s">
        <v>69</v>
      </c>
      <c r="F119" s="48" t="s">
        <v>1631</v>
      </c>
      <c r="G119" s="49" t="s">
        <v>1511</v>
      </c>
      <c r="H119" s="48" t="s">
        <v>1253</v>
      </c>
      <c r="I119" s="48" t="s">
        <v>1159</v>
      </c>
      <c r="J119" s="48" t="s">
        <v>1159</v>
      </c>
      <c r="K119" s="48" t="s">
        <v>1159</v>
      </c>
      <c r="L119" s="48" t="s">
        <v>1159</v>
      </c>
      <c r="M119" s="48"/>
      <c r="N119" s="50" t="s">
        <v>1443</v>
      </c>
      <c r="O119" s="51" t="s">
        <v>1582</v>
      </c>
      <c r="P119" s="52" t="n">
        <v>1</v>
      </c>
      <c r="Q119" s="61"/>
      <c r="R119" s="52" t="s">
        <v>1507</v>
      </c>
      <c r="S119" s="52"/>
      <c r="T119" s="52"/>
      <c r="U119" s="53" t="n">
        <v>203550</v>
      </c>
      <c r="V119" s="54" t="n">
        <v>203550</v>
      </c>
      <c r="W119" s="55" t="n">
        <v>0.14</v>
      </c>
      <c r="X119" s="52" t="n">
        <v>0.055</v>
      </c>
      <c r="Y119" s="55" t="n">
        <v>0.12</v>
      </c>
      <c r="Z119" s="56"/>
      <c r="AA119" s="55" t="n">
        <v>0.04</v>
      </c>
      <c r="AB119" s="57" t="n">
        <v>275810.25</v>
      </c>
      <c r="AC119" s="44"/>
      <c r="AD119" s="62"/>
      <c r="AE119" s="62" t="n">
        <v>275810.25</v>
      </c>
      <c r="AF119" s="62" t="s">
        <v>69</v>
      </c>
      <c r="AG119" s="62" t="n">
        <v>0</v>
      </c>
      <c r="AH119" s="58" t="s">
        <v>1514</v>
      </c>
      <c r="AI119" s="44" t="n">
        <v>0</v>
      </c>
      <c r="AJ119" s="44" t="s">
        <v>1253</v>
      </c>
      <c r="AK119" s="44" t="s">
        <v>203</v>
      </c>
      <c r="AL119" s="44" t="s">
        <v>1253</v>
      </c>
      <c r="AM119" s="44" t="n">
        <v>0</v>
      </c>
      <c r="AN119" s="44"/>
      <c r="AO119" s="44"/>
      <c r="AP119" s="44"/>
      <c r="AQ119" s="45" t="s">
        <v>1373</v>
      </c>
      <c r="AR119" s="44" t="s">
        <v>1282</v>
      </c>
      <c r="AS119" s="44"/>
      <c r="AT119" s="44"/>
      <c r="AU119" s="44"/>
      <c r="AV119" s="44"/>
      <c r="AW119" s="44"/>
      <c r="AX119" s="44"/>
      <c r="AY119" s="44"/>
      <c r="AZ119" s="46"/>
    </row>
    <row r="120" customFormat="false" ht="18" hidden="false" customHeight="true" outlineLevel="0" collapsed="false">
      <c r="A120" s="47" t="n">
        <v>113835</v>
      </c>
      <c r="B120" s="48" t="s">
        <v>1632</v>
      </c>
      <c r="C120" s="47" t="n">
        <v>113835</v>
      </c>
      <c r="D120" s="48" t="s">
        <v>1633</v>
      </c>
      <c r="E120" s="48" t="s">
        <v>69</v>
      </c>
      <c r="F120" s="48" t="s">
        <v>1595</v>
      </c>
      <c r="G120" s="49" t="s">
        <v>1511</v>
      </c>
      <c r="H120" s="48" t="s">
        <v>1253</v>
      </c>
      <c r="I120" s="48" t="s">
        <v>1159</v>
      </c>
      <c r="J120" s="48" t="s">
        <v>1159</v>
      </c>
      <c r="K120" s="48" t="s">
        <v>1159</v>
      </c>
      <c r="L120" s="48" t="s">
        <v>1159</v>
      </c>
      <c r="M120" s="48"/>
      <c r="N120" s="50" t="s">
        <v>1443</v>
      </c>
      <c r="O120" s="51" t="s">
        <v>1582</v>
      </c>
      <c r="P120" s="52" t="n">
        <v>1</v>
      </c>
      <c r="Q120" s="61"/>
      <c r="R120" s="52" t="s">
        <v>1519</v>
      </c>
      <c r="S120" s="52"/>
      <c r="T120" s="52"/>
      <c r="U120" s="53" t="n">
        <v>216470</v>
      </c>
      <c r="V120" s="54" t="n">
        <v>216470</v>
      </c>
      <c r="W120" s="55" t="n">
        <v>0.14</v>
      </c>
      <c r="X120" s="52" t="n">
        <v>0.055</v>
      </c>
      <c r="Y120" s="55" t="n">
        <v>0.12</v>
      </c>
      <c r="Z120" s="56"/>
      <c r="AA120" s="55" t="n">
        <v>0.04</v>
      </c>
      <c r="AB120" s="57" t="n">
        <v>293316.85</v>
      </c>
      <c r="AC120" s="44"/>
      <c r="AD120" s="62"/>
      <c r="AE120" s="62" t="n">
        <v>293316.85</v>
      </c>
      <c r="AF120" s="62" t="s">
        <v>53</v>
      </c>
      <c r="AG120" s="62" t="n">
        <v>0</v>
      </c>
      <c r="AH120" s="58" t="s">
        <v>1514</v>
      </c>
      <c r="AI120" s="44" t="n">
        <v>0</v>
      </c>
      <c r="AJ120" s="44" t="s">
        <v>1253</v>
      </c>
      <c r="AK120" s="44" t="s">
        <v>47</v>
      </c>
      <c r="AL120" s="44" t="s">
        <v>1253</v>
      </c>
      <c r="AM120" s="44" t="n">
        <v>0</v>
      </c>
      <c r="AN120" s="44"/>
      <c r="AO120" s="44"/>
      <c r="AP120" s="44"/>
      <c r="AQ120" s="45" t="s">
        <v>1374</v>
      </c>
      <c r="AR120" s="44" t="s">
        <v>1282</v>
      </c>
      <c r="AS120" s="44"/>
      <c r="AT120" s="44"/>
      <c r="AU120" s="44"/>
      <c r="AV120" s="44"/>
      <c r="AW120" s="44"/>
      <c r="AX120" s="44"/>
      <c r="AY120" s="44"/>
      <c r="AZ120" s="46"/>
    </row>
    <row r="121" customFormat="false" ht="18" hidden="false" customHeight="true" outlineLevel="0" collapsed="false">
      <c r="A121" s="47" t="n">
        <v>10572</v>
      </c>
      <c r="B121" s="48" t="s">
        <v>695</v>
      </c>
      <c r="C121" s="47" t="n">
        <v>10572</v>
      </c>
      <c r="D121" s="48" t="s">
        <v>84</v>
      </c>
      <c r="E121" s="48" t="s">
        <v>69</v>
      </c>
      <c r="F121" s="48" t="s">
        <v>1634</v>
      </c>
      <c r="G121" s="49" t="s">
        <v>1461</v>
      </c>
      <c r="H121" s="48" t="s">
        <v>1161</v>
      </c>
      <c r="I121" s="48" t="s">
        <v>1584</v>
      </c>
      <c r="J121" s="48" t="s">
        <v>24</v>
      </c>
      <c r="K121" s="48" t="s">
        <v>1158</v>
      </c>
      <c r="L121" s="48" t="s">
        <v>1158</v>
      </c>
      <c r="M121" s="48"/>
      <c r="N121" s="50" t="s">
        <v>1443</v>
      </c>
      <c r="O121" s="51" t="s">
        <v>1582</v>
      </c>
      <c r="P121" s="52" t="n">
        <v>1</v>
      </c>
      <c r="Q121" s="61"/>
      <c r="R121" s="52" t="s">
        <v>1519</v>
      </c>
      <c r="S121" s="52"/>
      <c r="T121" s="52"/>
      <c r="U121" s="53" t="n">
        <v>205050</v>
      </c>
      <c r="V121" s="54" t="n">
        <v>205050</v>
      </c>
      <c r="W121" s="55" t="n">
        <v>0.14</v>
      </c>
      <c r="X121" s="52" t="n">
        <v>0.055</v>
      </c>
      <c r="Y121" s="55" t="n">
        <v>0.12</v>
      </c>
      <c r="Z121" s="56"/>
      <c r="AA121" s="55" t="n">
        <v>0.04</v>
      </c>
      <c r="AB121" s="57" t="n">
        <v>277842.75</v>
      </c>
      <c r="AC121" s="44"/>
      <c r="AD121" s="62"/>
      <c r="AE121" s="62" t="n">
        <v>277842.75</v>
      </c>
      <c r="AF121" s="62" t="s">
        <v>53</v>
      </c>
      <c r="AG121" s="62" t="n">
        <v>0</v>
      </c>
      <c r="AH121" s="58" t="s">
        <v>24</v>
      </c>
      <c r="AI121" s="44" t="n">
        <v>0</v>
      </c>
      <c r="AJ121" s="44" t="s">
        <v>689</v>
      </c>
      <c r="AK121" s="44" t="s">
        <v>47</v>
      </c>
      <c r="AL121" s="44" t="s">
        <v>689</v>
      </c>
      <c r="AM121" s="44" t="n">
        <v>0</v>
      </c>
      <c r="AN121" s="44"/>
      <c r="AO121" s="44"/>
      <c r="AP121" s="44"/>
      <c r="AQ121" s="45" t="s">
        <v>694</v>
      </c>
      <c r="AR121" s="44" t="s">
        <v>1282</v>
      </c>
      <c r="AS121" s="44"/>
      <c r="AT121" s="44"/>
      <c r="AU121" s="44"/>
      <c r="AV121" s="44"/>
      <c r="AW121" s="44"/>
      <c r="AX121" s="44"/>
      <c r="AY121" s="44"/>
      <c r="AZ121" s="46"/>
    </row>
    <row r="122" customFormat="false" ht="18" hidden="false" customHeight="true" outlineLevel="0" collapsed="false">
      <c r="A122" s="47" t="n">
        <v>115502</v>
      </c>
      <c r="B122" s="48" t="s">
        <v>162</v>
      </c>
      <c r="C122" s="47" t="n">
        <v>115502</v>
      </c>
      <c r="D122" s="48" t="s">
        <v>163</v>
      </c>
      <c r="E122" s="48" t="s">
        <v>1565</v>
      </c>
      <c r="F122" s="48" t="s">
        <v>1566</v>
      </c>
      <c r="G122" s="49" t="s">
        <v>1471</v>
      </c>
      <c r="H122" s="48" t="s">
        <v>1635</v>
      </c>
      <c r="I122" s="48"/>
      <c r="J122" s="48" t="s">
        <v>1567</v>
      </c>
      <c r="K122" s="48" t="s">
        <v>1285</v>
      </c>
      <c r="L122" s="48" t="s">
        <v>1636</v>
      </c>
      <c r="M122" s="48"/>
      <c r="N122" s="50" t="s">
        <v>1284</v>
      </c>
      <c r="O122" s="51" t="s">
        <v>1582</v>
      </c>
      <c r="P122" s="52" t="n">
        <v>1</v>
      </c>
      <c r="Q122" s="63"/>
      <c r="R122" s="52" t="s">
        <v>1519</v>
      </c>
      <c r="S122" s="52"/>
      <c r="T122" s="52"/>
      <c r="U122" s="53" t="n">
        <v>175960</v>
      </c>
      <c r="V122" s="54" t="n">
        <v>161883.2</v>
      </c>
      <c r="W122" s="55" t="n">
        <v>0.15</v>
      </c>
      <c r="X122" s="52"/>
      <c r="Y122" s="55" t="n">
        <v>0.05</v>
      </c>
      <c r="Z122" s="56" t="n">
        <v>2910</v>
      </c>
      <c r="AA122" s="55" t="n">
        <v>0.03</v>
      </c>
      <c r="AB122" s="57" t="n">
        <v>202026.336</v>
      </c>
      <c r="AC122" s="44"/>
      <c r="AD122" s="62"/>
      <c r="AE122" s="62" t="n">
        <v>202026.336</v>
      </c>
      <c r="AF122" s="62" t="s">
        <v>53</v>
      </c>
      <c r="AG122" s="62" t="n">
        <v>0</v>
      </c>
      <c r="AH122" s="58" t="s">
        <v>14</v>
      </c>
      <c r="AI122" s="44" t="n">
        <v>0</v>
      </c>
      <c r="AJ122" s="44" t="s">
        <v>160</v>
      </c>
      <c r="AK122" s="44" t="s">
        <v>47</v>
      </c>
      <c r="AL122" s="44" t="s">
        <v>160</v>
      </c>
      <c r="AM122" s="44" t="n">
        <v>0</v>
      </c>
      <c r="AN122" s="44"/>
      <c r="AO122" s="44"/>
      <c r="AP122" s="44"/>
      <c r="AQ122" s="45" t="s">
        <v>161</v>
      </c>
      <c r="AR122" s="44" t="s">
        <v>1284</v>
      </c>
      <c r="AS122" s="44"/>
      <c r="AT122" s="44"/>
      <c r="AU122" s="44"/>
      <c r="AV122" s="44"/>
      <c r="AW122" s="44"/>
      <c r="AX122" s="44"/>
      <c r="AY122" s="64"/>
      <c r="AZ122" s="46"/>
    </row>
    <row r="123" customFormat="false" ht="18" hidden="false" customHeight="true" outlineLevel="0" collapsed="false">
      <c r="A123" s="47" t="n">
        <v>106350</v>
      </c>
      <c r="B123" s="48" t="s">
        <v>804</v>
      </c>
      <c r="C123" s="47" t="n">
        <v>106350</v>
      </c>
      <c r="D123" s="48" t="s">
        <v>805</v>
      </c>
      <c r="E123" s="48" t="s">
        <v>800</v>
      </c>
      <c r="F123" s="48" t="s">
        <v>801</v>
      </c>
      <c r="G123" s="49" t="s">
        <v>30</v>
      </c>
      <c r="H123" s="48" t="s">
        <v>1297</v>
      </c>
      <c r="I123" s="48" t="s">
        <v>1637</v>
      </c>
      <c r="J123" s="48" t="s">
        <v>26</v>
      </c>
      <c r="K123" s="48" t="s">
        <v>26</v>
      </c>
      <c r="L123" s="48" t="s">
        <v>756</v>
      </c>
      <c r="M123" s="48"/>
      <c r="N123" s="50" t="s">
        <v>1443</v>
      </c>
      <c r="O123" s="51" t="s">
        <v>1582</v>
      </c>
      <c r="P123" s="52" t="n">
        <v>1</v>
      </c>
      <c r="Q123" s="61"/>
      <c r="R123" s="52" t="s">
        <v>1519</v>
      </c>
      <c r="S123" s="52"/>
      <c r="T123" s="52"/>
      <c r="U123" s="53" t="n">
        <v>218720</v>
      </c>
      <c r="V123" s="54" t="n">
        <v>218720</v>
      </c>
      <c r="W123" s="55" t="n">
        <v>0.14</v>
      </c>
      <c r="X123" s="52" t="n">
        <v>0.055</v>
      </c>
      <c r="Y123" s="55" t="n">
        <v>0.12</v>
      </c>
      <c r="Z123" s="56"/>
      <c r="AA123" s="55" t="n">
        <v>0.04</v>
      </c>
      <c r="AB123" s="57" t="n">
        <v>296365.6</v>
      </c>
      <c r="AC123" s="44"/>
      <c r="AD123" s="62"/>
      <c r="AE123" s="62" t="n">
        <v>296365.6</v>
      </c>
      <c r="AF123" s="62" t="s">
        <v>53</v>
      </c>
      <c r="AG123" s="62" t="n">
        <v>0</v>
      </c>
      <c r="AH123" s="58" t="s">
        <v>26</v>
      </c>
      <c r="AI123" s="44" t="n">
        <v>1</v>
      </c>
      <c r="AJ123" s="44" t="s">
        <v>756</v>
      </c>
      <c r="AK123" s="44" t="s">
        <v>206</v>
      </c>
      <c r="AL123" s="44" t="s">
        <v>206</v>
      </c>
      <c r="AM123" s="44" t="n">
        <v>0</v>
      </c>
      <c r="AN123" s="44"/>
      <c r="AO123" s="44"/>
      <c r="AP123" s="44"/>
      <c r="AQ123" s="45" t="s">
        <v>803</v>
      </c>
      <c r="AR123" s="44" t="s">
        <v>1282</v>
      </c>
      <c r="AS123" s="44"/>
      <c r="AT123" s="44"/>
      <c r="AU123" s="44"/>
      <c r="AV123" s="44"/>
      <c r="AW123" s="44"/>
      <c r="AX123" s="44"/>
      <c r="AY123" s="64"/>
      <c r="AZ123" s="46"/>
    </row>
    <row r="124" customFormat="false" ht="18" hidden="false" customHeight="true" outlineLevel="0" collapsed="false">
      <c r="A124" s="47" t="n">
        <v>109863</v>
      </c>
      <c r="B124" s="48" t="s">
        <v>844</v>
      </c>
      <c r="C124" s="47" t="n">
        <v>109863</v>
      </c>
      <c r="D124" s="48" t="s">
        <v>845</v>
      </c>
      <c r="E124" s="48" t="s">
        <v>800</v>
      </c>
      <c r="F124" s="48" t="s">
        <v>801</v>
      </c>
      <c r="G124" s="49" t="s">
        <v>30</v>
      </c>
      <c r="H124" s="48" t="s">
        <v>1297</v>
      </c>
      <c r="I124" s="48" t="s">
        <v>1638</v>
      </c>
      <c r="J124" s="48" t="s">
        <v>28</v>
      </c>
      <c r="K124" s="48" t="s">
        <v>28</v>
      </c>
      <c r="L124" s="48" t="s">
        <v>756</v>
      </c>
      <c r="M124" s="48"/>
      <c r="N124" s="50" t="s">
        <v>1443</v>
      </c>
      <c r="O124" s="51" t="s">
        <v>1582</v>
      </c>
      <c r="P124" s="52" t="n">
        <v>1</v>
      </c>
      <c r="Q124" s="61"/>
      <c r="R124" s="52" t="s">
        <v>1519</v>
      </c>
      <c r="S124" s="52"/>
      <c r="T124" s="52"/>
      <c r="U124" s="53" t="n">
        <v>238790</v>
      </c>
      <c r="V124" s="54" t="n">
        <v>238790</v>
      </c>
      <c r="W124" s="55" t="n">
        <v>0.14</v>
      </c>
      <c r="X124" s="52" t="n">
        <v>0.055</v>
      </c>
      <c r="Y124" s="55" t="n">
        <v>0.12</v>
      </c>
      <c r="Z124" s="56"/>
      <c r="AA124" s="55" t="n">
        <v>0.04</v>
      </c>
      <c r="AB124" s="57" t="n">
        <v>323560.45</v>
      </c>
      <c r="AC124" s="44"/>
      <c r="AD124" s="62"/>
      <c r="AE124" s="62" t="n">
        <v>323560.45</v>
      </c>
      <c r="AF124" s="62" t="s">
        <v>53</v>
      </c>
      <c r="AG124" s="62" t="n">
        <v>0</v>
      </c>
      <c r="AH124" s="58" t="s">
        <v>28</v>
      </c>
      <c r="AI124" s="44" t="n">
        <v>1</v>
      </c>
      <c r="AJ124" s="44" t="s">
        <v>756</v>
      </c>
      <c r="AK124" s="44" t="s">
        <v>206</v>
      </c>
      <c r="AL124" s="44" t="s">
        <v>206</v>
      </c>
      <c r="AM124" s="44" t="n">
        <v>0</v>
      </c>
      <c r="AN124" s="44"/>
      <c r="AO124" s="44"/>
      <c r="AP124" s="44"/>
      <c r="AQ124" s="45" t="s">
        <v>843</v>
      </c>
      <c r="AR124" s="44" t="s">
        <v>1282</v>
      </c>
      <c r="AS124" s="44"/>
      <c r="AT124" s="44"/>
      <c r="AU124" s="44"/>
      <c r="AV124" s="44"/>
      <c r="AW124" s="44"/>
      <c r="AX124" s="44"/>
      <c r="AY124" s="64"/>
      <c r="AZ124" s="46"/>
    </row>
    <row r="125" customFormat="false" ht="18" hidden="false" customHeight="true" outlineLevel="0" collapsed="false">
      <c r="A125" s="47" t="s">
        <v>1507</v>
      </c>
      <c r="B125" s="48" t="s">
        <v>69</v>
      </c>
      <c r="C125" s="47" t="s">
        <v>1507</v>
      </c>
      <c r="D125" s="48" t="s">
        <v>203</v>
      </c>
      <c r="E125" s="48" t="s">
        <v>800</v>
      </c>
      <c r="F125" s="48" t="s">
        <v>801</v>
      </c>
      <c r="G125" s="49" t="s">
        <v>30</v>
      </c>
      <c r="H125" s="48" t="s">
        <v>1297</v>
      </c>
      <c r="I125" s="48" t="s">
        <v>1639</v>
      </c>
      <c r="J125" s="48" t="s">
        <v>1297</v>
      </c>
      <c r="K125" s="48" t="s">
        <v>1297</v>
      </c>
      <c r="L125" s="48" t="s">
        <v>756</v>
      </c>
      <c r="M125" s="48"/>
      <c r="N125" s="50" t="s">
        <v>1443</v>
      </c>
      <c r="O125" s="51" t="s">
        <v>1582</v>
      </c>
      <c r="P125" s="52" t="n">
        <v>1</v>
      </c>
      <c r="Q125" s="61"/>
      <c r="R125" s="52" t="s">
        <v>1507</v>
      </c>
      <c r="S125" s="52"/>
      <c r="T125" s="52"/>
      <c r="U125" s="53" t="n">
        <v>203550</v>
      </c>
      <c r="V125" s="54" t="n">
        <v>203550</v>
      </c>
      <c r="W125" s="55" t="n">
        <v>0.14</v>
      </c>
      <c r="X125" s="52" t="n">
        <v>0.055</v>
      </c>
      <c r="Y125" s="55" t="n">
        <v>0.12</v>
      </c>
      <c r="Z125" s="56"/>
      <c r="AA125" s="55" t="n">
        <v>0.04</v>
      </c>
      <c r="AB125" s="57" t="n">
        <v>275810.25</v>
      </c>
      <c r="AC125" s="44"/>
      <c r="AD125" s="62"/>
      <c r="AE125" s="62" t="n">
        <v>275810.25</v>
      </c>
      <c r="AF125" s="62" t="s">
        <v>69</v>
      </c>
      <c r="AG125" s="62" t="n">
        <v>0</v>
      </c>
      <c r="AH125" s="58" t="s">
        <v>26</v>
      </c>
      <c r="AI125" s="44" t="n">
        <v>1</v>
      </c>
      <c r="AJ125" s="44" t="s">
        <v>756</v>
      </c>
      <c r="AK125" s="44" t="s">
        <v>203</v>
      </c>
      <c r="AL125" s="44" t="s">
        <v>203</v>
      </c>
      <c r="AM125" s="44" t="n">
        <v>0</v>
      </c>
      <c r="AN125" s="44"/>
      <c r="AO125" s="44"/>
      <c r="AP125" s="44"/>
      <c r="AQ125" s="45" t="s">
        <v>802</v>
      </c>
      <c r="AR125" s="44" t="s">
        <v>1282</v>
      </c>
      <c r="AS125" s="44"/>
      <c r="AT125" s="44"/>
      <c r="AU125" s="44"/>
      <c r="AV125" s="44"/>
      <c r="AW125" s="44"/>
      <c r="AX125" s="44"/>
      <c r="AY125" s="64"/>
      <c r="AZ125" s="46"/>
    </row>
    <row r="126" customFormat="false" ht="18" hidden="false" customHeight="true" outlineLevel="0" collapsed="false">
      <c r="A126" s="47" t="n">
        <v>116599</v>
      </c>
      <c r="B126" s="48" t="s">
        <v>1143</v>
      </c>
      <c r="C126" s="47" t="n">
        <v>116599</v>
      </c>
      <c r="D126" s="48" t="s">
        <v>1144</v>
      </c>
      <c r="E126" s="48" t="s">
        <v>1640</v>
      </c>
      <c r="F126" s="48" t="s">
        <v>1640</v>
      </c>
      <c r="G126" s="49" t="s">
        <v>36</v>
      </c>
      <c r="H126" s="48" t="s">
        <v>36</v>
      </c>
      <c r="I126" s="48" t="s">
        <v>36</v>
      </c>
      <c r="J126" s="48" t="s">
        <v>36</v>
      </c>
      <c r="K126" s="48" t="s">
        <v>36</v>
      </c>
      <c r="L126" s="48" t="s">
        <v>36</v>
      </c>
      <c r="M126" s="48"/>
      <c r="N126" s="50" t="s">
        <v>1458</v>
      </c>
      <c r="O126" s="51" t="s">
        <v>1582</v>
      </c>
      <c r="P126" s="52" t="n">
        <v>1</v>
      </c>
      <c r="Q126" s="61"/>
      <c r="R126" s="52" t="s">
        <v>1641</v>
      </c>
      <c r="S126" s="52"/>
      <c r="T126" s="52"/>
      <c r="U126" s="53" t="n">
        <v>170000</v>
      </c>
      <c r="V126" s="54" t="n">
        <v>170000</v>
      </c>
      <c r="W126" s="55" t="n">
        <v>0.12</v>
      </c>
      <c r="X126" s="52" t="n">
        <v>0.06</v>
      </c>
      <c r="Y126" s="55" t="n">
        <v>0</v>
      </c>
      <c r="Z126" s="56"/>
      <c r="AA126" s="55" t="n">
        <v>0.04</v>
      </c>
      <c r="AB126" s="57" t="n">
        <v>207400</v>
      </c>
      <c r="AC126" s="44"/>
      <c r="AD126" s="62"/>
      <c r="AE126" s="62" t="n">
        <v>207400</v>
      </c>
      <c r="AF126" s="62" t="s">
        <v>53</v>
      </c>
      <c r="AG126" s="62" t="n">
        <v>0</v>
      </c>
      <c r="AH126" s="58" t="s">
        <v>36</v>
      </c>
      <c r="AI126" s="44" t="n">
        <v>0</v>
      </c>
      <c r="AJ126" s="44" t="s">
        <v>36</v>
      </c>
      <c r="AK126" s="44" t="s">
        <v>47</v>
      </c>
      <c r="AL126" s="44" t="s">
        <v>36</v>
      </c>
      <c r="AM126" s="44" t="n">
        <v>1</v>
      </c>
      <c r="AN126" s="44"/>
      <c r="AO126" s="44"/>
      <c r="AP126" s="44"/>
      <c r="AQ126" s="45" t="s">
        <v>1142</v>
      </c>
      <c r="AR126" s="44" t="s">
        <v>1282</v>
      </c>
      <c r="AS126" s="44"/>
      <c r="AT126" s="44"/>
      <c r="AU126" s="44"/>
      <c r="AV126" s="44"/>
      <c r="AW126" s="44"/>
      <c r="AX126" s="44"/>
      <c r="AY126" s="64"/>
      <c r="AZ126" s="46"/>
    </row>
    <row r="127" customFormat="false" ht="18" hidden="false" customHeight="true" outlineLevel="0" collapsed="false">
      <c r="A127" s="47" t="n">
        <v>113552</v>
      </c>
      <c r="B127" s="48" t="s">
        <v>463</v>
      </c>
      <c r="C127" s="47" t="n">
        <v>113552</v>
      </c>
      <c r="D127" s="48" t="s">
        <v>84</v>
      </c>
      <c r="E127" s="48" t="s">
        <v>443</v>
      </c>
      <c r="F127" s="48" t="s">
        <v>1438</v>
      </c>
      <c r="G127" s="49" t="s">
        <v>1439</v>
      </c>
      <c r="H127" s="48" t="s">
        <v>1440</v>
      </c>
      <c r="I127" s="48" t="s">
        <v>1441</v>
      </c>
      <c r="J127" s="48" t="s">
        <v>1517</v>
      </c>
      <c r="K127" s="48" t="s">
        <v>1157</v>
      </c>
      <c r="L127" s="48" t="s">
        <v>461</v>
      </c>
      <c r="M127" s="48"/>
      <c r="N127" s="50" t="s">
        <v>1284</v>
      </c>
      <c r="O127" s="51" t="s">
        <v>1642</v>
      </c>
      <c r="P127" s="52" t="n">
        <v>1</v>
      </c>
      <c r="Q127" s="63"/>
      <c r="R127" s="52" t="s">
        <v>1519</v>
      </c>
      <c r="S127" s="52"/>
      <c r="T127" s="52"/>
      <c r="U127" s="53" t="n">
        <v>154980</v>
      </c>
      <c r="V127" s="54" t="n">
        <v>142581.6</v>
      </c>
      <c r="W127" s="55" t="n">
        <v>0.15</v>
      </c>
      <c r="X127" s="52"/>
      <c r="Y127" s="55" t="n">
        <v>0.05</v>
      </c>
      <c r="Z127" s="56" t="n">
        <v>2910</v>
      </c>
      <c r="AA127" s="55" t="n">
        <v>0.03</v>
      </c>
      <c r="AB127" s="57" t="n">
        <v>178285.368</v>
      </c>
      <c r="AC127" s="44"/>
      <c r="AD127" s="62"/>
      <c r="AE127" s="62" t="n">
        <v>178285.368</v>
      </c>
      <c r="AF127" s="62" t="s">
        <v>53</v>
      </c>
      <c r="AG127" s="62" t="n">
        <v>0</v>
      </c>
      <c r="AH127" s="58" t="s">
        <v>1439</v>
      </c>
      <c r="AI127" s="44" t="n">
        <v>0</v>
      </c>
      <c r="AJ127" s="44" t="s">
        <v>461</v>
      </c>
      <c r="AK127" s="44" t="s">
        <v>47</v>
      </c>
      <c r="AL127" s="44" t="s">
        <v>461</v>
      </c>
      <c r="AM127" s="44" t="n">
        <v>0</v>
      </c>
      <c r="AN127" s="44" t="s">
        <v>53</v>
      </c>
      <c r="AO127" s="44"/>
      <c r="AP127" s="44"/>
      <c r="AQ127" s="45" t="s">
        <v>462</v>
      </c>
      <c r="AR127" s="44" t="s">
        <v>1284</v>
      </c>
      <c r="AS127" s="44"/>
      <c r="AT127" s="44"/>
      <c r="AU127" s="44"/>
      <c r="AV127" s="44"/>
      <c r="AW127" s="44"/>
      <c r="AX127" s="44"/>
      <c r="AY127" s="44"/>
      <c r="AZ127" s="46"/>
    </row>
    <row r="128" customFormat="false" ht="18" hidden="false" customHeight="true" outlineLevel="0" collapsed="false">
      <c r="A128" s="47" t="n">
        <v>94663</v>
      </c>
      <c r="B128" s="48" t="s">
        <v>326</v>
      </c>
      <c r="C128" s="47" t="n">
        <v>94663</v>
      </c>
      <c r="D128" s="48" t="s">
        <v>84</v>
      </c>
      <c r="E128" s="48" t="s">
        <v>443</v>
      </c>
      <c r="F128" s="48" t="s">
        <v>1438</v>
      </c>
      <c r="G128" s="49" t="s">
        <v>1439</v>
      </c>
      <c r="H128" s="48" t="s">
        <v>1440</v>
      </c>
      <c r="I128" s="48" t="s">
        <v>1441</v>
      </c>
      <c r="J128" s="48" t="s">
        <v>18</v>
      </c>
      <c r="K128" s="48" t="s">
        <v>1150</v>
      </c>
      <c r="L128" s="48" t="s">
        <v>307</v>
      </c>
      <c r="M128" s="48"/>
      <c r="N128" s="50" t="s">
        <v>1443</v>
      </c>
      <c r="O128" s="51" t="s">
        <v>1642</v>
      </c>
      <c r="P128" s="52" t="n">
        <v>1</v>
      </c>
      <c r="Q128" s="61"/>
      <c r="R128" s="52" t="s">
        <v>1519</v>
      </c>
      <c r="S128" s="52"/>
      <c r="T128" s="52"/>
      <c r="U128" s="53" t="n">
        <v>190980</v>
      </c>
      <c r="V128" s="54" t="n">
        <v>190980</v>
      </c>
      <c r="W128" s="55" t="n">
        <v>0.12</v>
      </c>
      <c r="X128" s="52" t="n">
        <v>0.055</v>
      </c>
      <c r="Y128" s="55" t="n">
        <v>0.12</v>
      </c>
      <c r="Z128" s="56"/>
      <c r="AA128" s="55" t="n">
        <v>0.04</v>
      </c>
      <c r="AB128" s="57" t="n">
        <v>254958.3</v>
      </c>
      <c r="AC128" s="44"/>
      <c r="AD128" s="62"/>
      <c r="AE128" s="62" t="n">
        <v>254958.3</v>
      </c>
      <c r="AF128" s="62" t="s">
        <v>53</v>
      </c>
      <c r="AG128" s="62" t="n">
        <v>0</v>
      </c>
      <c r="AH128" s="58" t="s">
        <v>1439</v>
      </c>
      <c r="AI128" s="44" t="n">
        <v>0</v>
      </c>
      <c r="AJ128" s="44" t="s">
        <v>307</v>
      </c>
      <c r="AK128" s="44" t="s">
        <v>47</v>
      </c>
      <c r="AL128" s="44" t="s">
        <v>307</v>
      </c>
      <c r="AM128" s="44" t="n">
        <v>0</v>
      </c>
      <c r="AN128" s="44" t="s">
        <v>53</v>
      </c>
      <c r="AO128" s="44"/>
      <c r="AP128" s="44"/>
      <c r="AQ128" s="45" t="s">
        <v>325</v>
      </c>
      <c r="AR128" s="44" t="s">
        <v>1282</v>
      </c>
      <c r="AS128" s="44"/>
      <c r="AT128" s="44"/>
      <c r="AU128" s="44"/>
      <c r="AV128" s="44"/>
      <c r="AW128" s="44"/>
      <c r="AX128" s="44"/>
      <c r="AY128" s="44"/>
      <c r="AZ128" s="46"/>
    </row>
    <row r="129" customFormat="false" ht="18" hidden="false" customHeight="true" outlineLevel="0" collapsed="false">
      <c r="A129" s="47" t="n">
        <v>108384</v>
      </c>
      <c r="B129" s="48" t="s">
        <v>376</v>
      </c>
      <c r="C129" s="47" t="n">
        <v>108384</v>
      </c>
      <c r="D129" s="48" t="s">
        <v>84</v>
      </c>
      <c r="E129" s="48" t="s">
        <v>443</v>
      </c>
      <c r="F129" s="48" t="s">
        <v>1438</v>
      </c>
      <c r="G129" s="49" t="s">
        <v>1439</v>
      </c>
      <c r="H129" s="48" t="s">
        <v>1440</v>
      </c>
      <c r="I129" s="48" t="s">
        <v>1441</v>
      </c>
      <c r="J129" s="48" t="s">
        <v>18</v>
      </c>
      <c r="K129" s="48" t="s">
        <v>1150</v>
      </c>
      <c r="L129" s="48" t="s">
        <v>318</v>
      </c>
      <c r="M129" s="48"/>
      <c r="N129" s="50" t="s">
        <v>1443</v>
      </c>
      <c r="O129" s="51" t="s">
        <v>1642</v>
      </c>
      <c r="P129" s="52" t="n">
        <v>1</v>
      </c>
      <c r="Q129" s="61"/>
      <c r="R129" s="52" t="s">
        <v>1519</v>
      </c>
      <c r="S129" s="52"/>
      <c r="T129" s="52"/>
      <c r="U129" s="53" t="n">
        <v>182090</v>
      </c>
      <c r="V129" s="54" t="n">
        <v>182090</v>
      </c>
      <c r="W129" s="55" t="n">
        <v>0.12</v>
      </c>
      <c r="X129" s="52" t="n">
        <v>0.055</v>
      </c>
      <c r="Y129" s="55" t="n">
        <v>0.12</v>
      </c>
      <c r="Z129" s="56"/>
      <c r="AA129" s="55" t="n">
        <v>0.04</v>
      </c>
      <c r="AB129" s="57" t="n">
        <v>243090.15</v>
      </c>
      <c r="AC129" s="44"/>
      <c r="AD129" s="62"/>
      <c r="AE129" s="62" t="n">
        <v>243090.15</v>
      </c>
      <c r="AF129" s="62" t="s">
        <v>53</v>
      </c>
      <c r="AG129" s="62" t="n">
        <v>0</v>
      </c>
      <c r="AH129" s="58" t="s">
        <v>1439</v>
      </c>
      <c r="AI129" s="44" t="n">
        <v>0</v>
      </c>
      <c r="AJ129" s="44" t="s">
        <v>318</v>
      </c>
      <c r="AK129" s="44" t="s">
        <v>47</v>
      </c>
      <c r="AL129" s="44" t="s">
        <v>318</v>
      </c>
      <c r="AM129" s="44" t="n">
        <v>0</v>
      </c>
      <c r="AN129" s="44" t="s">
        <v>53</v>
      </c>
      <c r="AO129" s="44"/>
      <c r="AP129" s="44"/>
      <c r="AQ129" s="45" t="s">
        <v>375</v>
      </c>
      <c r="AR129" s="44" t="s">
        <v>1282</v>
      </c>
      <c r="AS129" s="44"/>
      <c r="AT129" s="44"/>
      <c r="AU129" s="44"/>
      <c r="AV129" s="44"/>
      <c r="AW129" s="44"/>
      <c r="AX129" s="44"/>
      <c r="AY129" s="44"/>
      <c r="AZ129" s="46"/>
    </row>
    <row r="130" customFormat="false" ht="18" hidden="false" customHeight="true" outlineLevel="0" collapsed="false">
      <c r="A130" s="47" t="n">
        <v>113463</v>
      </c>
      <c r="B130" s="48" t="s">
        <v>328</v>
      </c>
      <c r="C130" s="47" t="n">
        <v>113463</v>
      </c>
      <c r="D130" s="48" t="s">
        <v>329</v>
      </c>
      <c r="E130" s="48" t="s">
        <v>475</v>
      </c>
      <c r="F130" s="48" t="s">
        <v>476</v>
      </c>
      <c r="G130" s="49" t="s">
        <v>1439</v>
      </c>
      <c r="H130" s="48" t="s">
        <v>1440</v>
      </c>
      <c r="I130" s="48" t="s">
        <v>1576</v>
      </c>
      <c r="J130" s="48" t="s">
        <v>18</v>
      </c>
      <c r="K130" s="48" t="s">
        <v>1150</v>
      </c>
      <c r="L130" s="48" t="s">
        <v>307</v>
      </c>
      <c r="M130" s="48"/>
      <c r="N130" s="50" t="s">
        <v>1443</v>
      </c>
      <c r="O130" s="51" t="s">
        <v>1642</v>
      </c>
      <c r="P130" s="52" t="n">
        <v>1</v>
      </c>
      <c r="Q130" s="61"/>
      <c r="R130" s="52" t="s">
        <v>1519</v>
      </c>
      <c r="S130" s="52"/>
      <c r="T130" s="52"/>
      <c r="U130" s="53" t="n">
        <v>176280</v>
      </c>
      <c r="V130" s="54" t="n">
        <v>176280</v>
      </c>
      <c r="W130" s="55" t="n">
        <v>0.12</v>
      </c>
      <c r="X130" s="52" t="n">
        <v>0.055</v>
      </c>
      <c r="Y130" s="55" t="n">
        <v>0.12</v>
      </c>
      <c r="Z130" s="56"/>
      <c r="AA130" s="55" t="n">
        <v>0.04</v>
      </c>
      <c r="AB130" s="57" t="n">
        <v>235333.8</v>
      </c>
      <c r="AC130" s="44"/>
      <c r="AD130" s="62"/>
      <c r="AE130" s="62" t="n">
        <v>235333.8</v>
      </c>
      <c r="AF130" s="62" t="s">
        <v>53</v>
      </c>
      <c r="AG130" s="62" t="n">
        <v>0</v>
      </c>
      <c r="AH130" s="58" t="s">
        <v>1439</v>
      </c>
      <c r="AI130" s="44" t="n">
        <v>0</v>
      </c>
      <c r="AJ130" s="44" t="s">
        <v>307</v>
      </c>
      <c r="AK130" s="44" t="s">
        <v>47</v>
      </c>
      <c r="AL130" s="44" t="s">
        <v>307</v>
      </c>
      <c r="AM130" s="44" t="n">
        <v>0</v>
      </c>
      <c r="AN130" s="44" t="s">
        <v>53</v>
      </c>
      <c r="AO130" s="44"/>
      <c r="AP130" s="44"/>
      <c r="AQ130" s="45" t="s">
        <v>327</v>
      </c>
      <c r="AR130" s="44" t="s">
        <v>1282</v>
      </c>
      <c r="AS130" s="44"/>
      <c r="AT130" s="44"/>
      <c r="AU130" s="44"/>
      <c r="AV130" s="44"/>
      <c r="AW130" s="44"/>
      <c r="AX130" s="44"/>
      <c r="AY130" s="44"/>
      <c r="AZ130" s="46"/>
    </row>
    <row r="131" customFormat="false" ht="18" hidden="false" customHeight="true" outlineLevel="0" collapsed="false">
      <c r="A131" s="47" t="n">
        <v>113514</v>
      </c>
      <c r="B131" s="48" t="s">
        <v>466</v>
      </c>
      <c r="C131" s="47" t="n">
        <v>113514</v>
      </c>
      <c r="D131" s="48" t="s">
        <v>332</v>
      </c>
      <c r="E131" s="48" t="s">
        <v>475</v>
      </c>
      <c r="F131" s="48" t="s">
        <v>476</v>
      </c>
      <c r="G131" s="49" t="s">
        <v>1439</v>
      </c>
      <c r="H131" s="48" t="s">
        <v>1440</v>
      </c>
      <c r="I131" s="48" t="s">
        <v>1576</v>
      </c>
      <c r="J131" s="48" t="s">
        <v>1517</v>
      </c>
      <c r="K131" s="48" t="s">
        <v>1157</v>
      </c>
      <c r="L131" s="48" t="s">
        <v>461</v>
      </c>
      <c r="M131" s="48"/>
      <c r="N131" s="50" t="s">
        <v>1284</v>
      </c>
      <c r="O131" s="51" t="s">
        <v>1642</v>
      </c>
      <c r="P131" s="52" t="n">
        <v>1</v>
      </c>
      <c r="Q131" s="61"/>
      <c r="R131" s="52" t="s">
        <v>1519</v>
      </c>
      <c r="S131" s="52"/>
      <c r="T131" s="52"/>
      <c r="U131" s="53" t="n">
        <v>157460</v>
      </c>
      <c r="V131" s="54" t="n">
        <v>144863.2</v>
      </c>
      <c r="W131" s="55" t="n">
        <v>0.15</v>
      </c>
      <c r="X131" s="52"/>
      <c r="Y131" s="55" t="n">
        <v>0.05</v>
      </c>
      <c r="Z131" s="56" t="n">
        <v>2910</v>
      </c>
      <c r="AA131" s="55" t="n">
        <v>0.03</v>
      </c>
      <c r="AB131" s="57" t="n">
        <v>181091.736</v>
      </c>
      <c r="AC131" s="44"/>
      <c r="AD131" s="62"/>
      <c r="AE131" s="62" t="n">
        <v>181091.736</v>
      </c>
      <c r="AF131" s="62" t="s">
        <v>53</v>
      </c>
      <c r="AG131" s="62" t="n">
        <v>0</v>
      </c>
      <c r="AH131" s="58" t="s">
        <v>1439</v>
      </c>
      <c r="AI131" s="44" t="n">
        <v>0</v>
      </c>
      <c r="AJ131" s="44" t="s">
        <v>461</v>
      </c>
      <c r="AK131" s="44" t="s">
        <v>47</v>
      </c>
      <c r="AL131" s="44" t="s">
        <v>461</v>
      </c>
      <c r="AM131" s="44" t="n">
        <v>0</v>
      </c>
      <c r="AN131" s="44" t="s">
        <v>53</v>
      </c>
      <c r="AO131" s="44"/>
      <c r="AP131" s="44"/>
      <c r="AQ131" s="45" t="s">
        <v>465</v>
      </c>
      <c r="AR131" s="44" t="s">
        <v>1284</v>
      </c>
      <c r="AS131" s="44"/>
      <c r="AT131" s="44"/>
      <c r="AU131" s="44"/>
      <c r="AV131" s="44"/>
      <c r="AW131" s="44"/>
      <c r="AX131" s="44"/>
      <c r="AY131" s="44"/>
      <c r="AZ131" s="46"/>
    </row>
    <row r="132" customFormat="false" ht="18" hidden="false" customHeight="true" outlineLevel="0" collapsed="false">
      <c r="A132" s="47" t="n">
        <v>116714</v>
      </c>
      <c r="B132" s="48" t="s">
        <v>331</v>
      </c>
      <c r="C132" s="47" t="n">
        <v>116714</v>
      </c>
      <c r="D132" s="48" t="s">
        <v>332</v>
      </c>
      <c r="E132" s="48" t="s">
        <v>475</v>
      </c>
      <c r="F132" s="48" t="s">
        <v>476</v>
      </c>
      <c r="G132" s="49" t="s">
        <v>1439</v>
      </c>
      <c r="H132" s="48" t="s">
        <v>1440</v>
      </c>
      <c r="I132" s="48" t="s">
        <v>1576</v>
      </c>
      <c r="J132" s="48" t="s">
        <v>18</v>
      </c>
      <c r="K132" s="48" t="s">
        <v>1150</v>
      </c>
      <c r="L132" s="48" t="s">
        <v>307</v>
      </c>
      <c r="M132" s="48"/>
      <c r="N132" s="50" t="s">
        <v>1443</v>
      </c>
      <c r="O132" s="51" t="s">
        <v>1642</v>
      </c>
      <c r="P132" s="52" t="n">
        <v>1</v>
      </c>
      <c r="Q132" s="61"/>
      <c r="R132" s="52" t="s">
        <v>1641</v>
      </c>
      <c r="S132" s="52"/>
      <c r="T132" s="52"/>
      <c r="U132" s="53" t="n">
        <v>150000</v>
      </c>
      <c r="V132" s="54" t="n">
        <v>150000</v>
      </c>
      <c r="W132" s="55" t="n">
        <v>0.12</v>
      </c>
      <c r="X132" s="52" t="n">
        <v>0.055</v>
      </c>
      <c r="Y132" s="55" t="n">
        <v>0.12</v>
      </c>
      <c r="Z132" s="56"/>
      <c r="AA132" s="55" t="n">
        <v>0.04</v>
      </c>
      <c r="AB132" s="57" t="n">
        <v>240302</v>
      </c>
      <c r="AC132" s="44" t="s">
        <v>1643</v>
      </c>
      <c r="AD132" s="62"/>
      <c r="AE132" s="62" t="n">
        <v>240302</v>
      </c>
      <c r="AF132" s="62" t="s">
        <v>53</v>
      </c>
      <c r="AG132" s="62" t="n">
        <v>0</v>
      </c>
      <c r="AH132" s="58" t="s">
        <v>1439</v>
      </c>
      <c r="AI132" s="44" t="n">
        <v>0</v>
      </c>
      <c r="AJ132" s="44" t="s">
        <v>307</v>
      </c>
      <c r="AK132" s="44" t="s">
        <v>47</v>
      </c>
      <c r="AL132" s="44" t="s">
        <v>307</v>
      </c>
      <c r="AM132" s="44" t="n">
        <v>0</v>
      </c>
      <c r="AN132" s="44" t="s">
        <v>53</v>
      </c>
      <c r="AO132" s="44" t="s">
        <v>1643</v>
      </c>
      <c r="AP132" s="59" t="n">
        <v>46507</v>
      </c>
      <c r="AQ132" s="45" t="s">
        <v>330</v>
      </c>
      <c r="AR132" s="44" t="s">
        <v>1282</v>
      </c>
      <c r="AS132" s="44"/>
      <c r="AT132" s="44"/>
      <c r="AU132" s="44"/>
      <c r="AV132" s="44"/>
      <c r="AW132" s="44"/>
      <c r="AX132" s="44"/>
      <c r="AY132" s="44"/>
      <c r="AZ132" s="46"/>
    </row>
    <row r="133" customFormat="false" ht="18" hidden="false" customHeight="true" outlineLevel="0" collapsed="false">
      <c r="A133" s="47" t="n">
        <v>113618</v>
      </c>
      <c r="B133" s="48" t="s">
        <v>468</v>
      </c>
      <c r="C133" s="47" t="n">
        <v>113618</v>
      </c>
      <c r="D133" s="48" t="s">
        <v>332</v>
      </c>
      <c r="E133" s="48" t="s">
        <v>475</v>
      </c>
      <c r="F133" s="48" t="s">
        <v>476</v>
      </c>
      <c r="G133" s="49" t="s">
        <v>1439</v>
      </c>
      <c r="H133" s="48" t="s">
        <v>1440</v>
      </c>
      <c r="I133" s="48" t="s">
        <v>1576</v>
      </c>
      <c r="J133" s="48" t="s">
        <v>1517</v>
      </c>
      <c r="K133" s="48" t="s">
        <v>1157</v>
      </c>
      <c r="L133" s="48" t="s">
        <v>461</v>
      </c>
      <c r="M133" s="48"/>
      <c r="N133" s="50" t="s">
        <v>1284</v>
      </c>
      <c r="O133" s="51" t="s">
        <v>1642</v>
      </c>
      <c r="P133" s="52" t="n">
        <v>1</v>
      </c>
      <c r="Q133" s="61"/>
      <c r="R133" s="52" t="s">
        <v>1519</v>
      </c>
      <c r="S133" s="52"/>
      <c r="T133" s="52"/>
      <c r="U133" s="53" t="n">
        <v>142000</v>
      </c>
      <c r="V133" s="54" t="n">
        <v>130640</v>
      </c>
      <c r="W133" s="55" t="n">
        <v>0.15</v>
      </c>
      <c r="X133" s="52"/>
      <c r="Y133" s="55" t="n">
        <v>0.05</v>
      </c>
      <c r="Z133" s="56" t="n">
        <v>2910</v>
      </c>
      <c r="AA133" s="55" t="n">
        <v>0.03</v>
      </c>
      <c r="AB133" s="57" t="n">
        <v>163597.2</v>
      </c>
      <c r="AC133" s="44"/>
      <c r="AD133" s="62"/>
      <c r="AE133" s="62" t="n">
        <v>163597.2</v>
      </c>
      <c r="AF133" s="62" t="s">
        <v>53</v>
      </c>
      <c r="AG133" s="62" t="n">
        <v>0</v>
      </c>
      <c r="AH133" s="58" t="s">
        <v>1439</v>
      </c>
      <c r="AI133" s="44" t="n">
        <v>0</v>
      </c>
      <c r="AJ133" s="44" t="s">
        <v>461</v>
      </c>
      <c r="AK133" s="44" t="s">
        <v>47</v>
      </c>
      <c r="AL133" s="44" t="s">
        <v>461</v>
      </c>
      <c r="AM133" s="44" t="n">
        <v>0</v>
      </c>
      <c r="AN133" s="44" t="s">
        <v>53</v>
      </c>
      <c r="AO133" s="44"/>
      <c r="AP133" s="44"/>
      <c r="AQ133" s="45" t="s">
        <v>467</v>
      </c>
      <c r="AR133" s="44" t="s">
        <v>1284</v>
      </c>
      <c r="AS133" s="44"/>
      <c r="AT133" s="44"/>
      <c r="AU133" s="44"/>
      <c r="AV133" s="44"/>
      <c r="AW133" s="44"/>
      <c r="AX133" s="44"/>
      <c r="AY133" s="44"/>
      <c r="AZ133" s="46"/>
    </row>
    <row r="134" customFormat="false" ht="18" hidden="false" customHeight="true" outlineLevel="0" collapsed="false">
      <c r="A134" s="47" t="n">
        <v>113508</v>
      </c>
      <c r="B134" s="48" t="s">
        <v>355</v>
      </c>
      <c r="C134" s="47" t="n">
        <v>113508</v>
      </c>
      <c r="D134" s="48" t="s">
        <v>356</v>
      </c>
      <c r="E134" s="48" t="s">
        <v>441</v>
      </c>
      <c r="F134" s="48" t="s">
        <v>1464</v>
      </c>
      <c r="G134" s="49" t="s">
        <v>1439</v>
      </c>
      <c r="H134" s="48" t="s">
        <v>1465</v>
      </c>
      <c r="I134" s="48" t="s">
        <v>1466</v>
      </c>
      <c r="J134" s="48" t="s">
        <v>1517</v>
      </c>
      <c r="K134" s="48" t="s">
        <v>315</v>
      </c>
      <c r="L134" s="48" t="s">
        <v>315</v>
      </c>
      <c r="M134" s="48"/>
      <c r="N134" s="50" t="s">
        <v>1284</v>
      </c>
      <c r="O134" s="51" t="s">
        <v>1642</v>
      </c>
      <c r="P134" s="52" t="n">
        <v>0.8</v>
      </c>
      <c r="Q134" s="61"/>
      <c r="R134" s="52" t="s">
        <v>1489</v>
      </c>
      <c r="S134" s="52"/>
      <c r="T134" s="52"/>
      <c r="U134" s="53" t="n">
        <v>169030</v>
      </c>
      <c r="V134" s="54" t="n">
        <v>155507.6</v>
      </c>
      <c r="W134" s="55" t="n">
        <v>0.15</v>
      </c>
      <c r="X134" s="52"/>
      <c r="Y134" s="55" t="n">
        <v>0.05</v>
      </c>
      <c r="Z134" s="56" t="n">
        <v>2910</v>
      </c>
      <c r="AA134" s="55" t="n">
        <v>0.03</v>
      </c>
      <c r="AB134" s="57" t="n">
        <v>194184.348</v>
      </c>
      <c r="AC134" s="44"/>
      <c r="AD134" s="62"/>
      <c r="AE134" s="62" t="n">
        <v>155347.4784</v>
      </c>
      <c r="AF134" s="62" t="s">
        <v>53</v>
      </c>
      <c r="AG134" s="62" t="n">
        <v>0</v>
      </c>
      <c r="AH134" s="58" t="s">
        <v>1439</v>
      </c>
      <c r="AI134" s="44" t="n">
        <v>0</v>
      </c>
      <c r="AJ134" s="44" t="s">
        <v>315</v>
      </c>
      <c r="AK134" s="44" t="s">
        <v>47</v>
      </c>
      <c r="AL134" s="44" t="s">
        <v>315</v>
      </c>
      <c r="AM134" s="44" t="n">
        <v>0</v>
      </c>
      <c r="AN134" s="44" t="s">
        <v>53</v>
      </c>
      <c r="AO134" s="44"/>
      <c r="AP134" s="44"/>
      <c r="AQ134" s="45" t="s">
        <v>354</v>
      </c>
      <c r="AR134" s="44" t="s">
        <v>1284</v>
      </c>
      <c r="AS134" s="44"/>
      <c r="AT134" s="44"/>
      <c r="AU134" s="44"/>
      <c r="AV134" s="44"/>
      <c r="AW134" s="44"/>
      <c r="AX134" s="44"/>
      <c r="AY134" s="44"/>
      <c r="AZ134" s="46"/>
    </row>
    <row r="135" customFormat="false" ht="18" hidden="false" customHeight="true" outlineLevel="0" collapsed="false">
      <c r="A135" s="47" t="n">
        <v>113528</v>
      </c>
      <c r="B135" s="48" t="s">
        <v>478</v>
      </c>
      <c r="C135" s="47" t="n">
        <v>113528</v>
      </c>
      <c r="D135" s="48" t="s">
        <v>84</v>
      </c>
      <c r="E135" s="48" t="s">
        <v>441</v>
      </c>
      <c r="F135" s="48" t="s">
        <v>1464</v>
      </c>
      <c r="G135" s="49" t="s">
        <v>1439</v>
      </c>
      <c r="H135" s="48" t="s">
        <v>1465</v>
      </c>
      <c r="I135" s="48" t="s">
        <v>1466</v>
      </c>
      <c r="J135" s="48" t="s">
        <v>1517</v>
      </c>
      <c r="K135" s="48" t="s">
        <v>464</v>
      </c>
      <c r="L135" s="48" t="s">
        <v>464</v>
      </c>
      <c r="M135" s="48"/>
      <c r="N135" s="50" t="s">
        <v>1284</v>
      </c>
      <c r="O135" s="51" t="s">
        <v>1642</v>
      </c>
      <c r="P135" s="52" t="n">
        <v>1</v>
      </c>
      <c r="Q135" s="61"/>
      <c r="R135" s="52" t="s">
        <v>1519</v>
      </c>
      <c r="S135" s="52"/>
      <c r="T135" s="52"/>
      <c r="U135" s="53" t="n">
        <v>171670</v>
      </c>
      <c r="V135" s="54" t="n">
        <v>157936.4</v>
      </c>
      <c r="W135" s="55" t="n">
        <v>0.15</v>
      </c>
      <c r="X135" s="52"/>
      <c r="Y135" s="55" t="n">
        <v>0.05</v>
      </c>
      <c r="Z135" s="56" t="n">
        <v>2910</v>
      </c>
      <c r="AA135" s="55" t="n">
        <v>0.03</v>
      </c>
      <c r="AB135" s="57" t="n">
        <v>197171.772</v>
      </c>
      <c r="AC135" s="44"/>
      <c r="AD135" s="62"/>
      <c r="AE135" s="62" t="n">
        <v>197171.772</v>
      </c>
      <c r="AF135" s="62" t="s">
        <v>53</v>
      </c>
      <c r="AG135" s="62" t="n">
        <v>0</v>
      </c>
      <c r="AH135" s="58" t="s">
        <v>1439</v>
      </c>
      <c r="AI135" s="44" t="n">
        <v>0</v>
      </c>
      <c r="AJ135" s="44" t="s">
        <v>464</v>
      </c>
      <c r="AK135" s="44" t="s">
        <v>47</v>
      </c>
      <c r="AL135" s="44" t="s">
        <v>464</v>
      </c>
      <c r="AM135" s="44" t="n">
        <v>0</v>
      </c>
      <c r="AN135" s="44" t="s">
        <v>53</v>
      </c>
      <c r="AO135" s="44"/>
      <c r="AP135" s="44"/>
      <c r="AQ135" s="45" t="s">
        <v>477</v>
      </c>
      <c r="AR135" s="44" t="s">
        <v>1284</v>
      </c>
      <c r="AS135" s="44"/>
      <c r="AT135" s="44"/>
      <c r="AU135" s="44"/>
      <c r="AV135" s="44"/>
      <c r="AW135" s="44"/>
      <c r="AX135" s="44"/>
      <c r="AY135" s="44"/>
      <c r="AZ135" s="46"/>
    </row>
    <row r="136" customFormat="false" ht="18" hidden="false" customHeight="true" outlineLevel="0" collapsed="false">
      <c r="A136" s="47" t="n">
        <v>113519</v>
      </c>
      <c r="B136" s="48" t="s">
        <v>480</v>
      </c>
      <c r="C136" s="47" t="n">
        <v>113519</v>
      </c>
      <c r="D136" s="48" t="s">
        <v>481</v>
      </c>
      <c r="E136" s="48" t="s">
        <v>448</v>
      </c>
      <c r="F136" s="48" t="s">
        <v>1644</v>
      </c>
      <c r="G136" s="49" t="s">
        <v>1439</v>
      </c>
      <c r="H136" s="48" t="s">
        <v>1465</v>
      </c>
      <c r="I136" s="48" t="s">
        <v>1571</v>
      </c>
      <c r="J136" s="48" t="s">
        <v>1517</v>
      </c>
      <c r="K136" s="48" t="s">
        <v>464</v>
      </c>
      <c r="L136" s="48" t="s">
        <v>464</v>
      </c>
      <c r="M136" s="48"/>
      <c r="N136" s="50" t="s">
        <v>1284</v>
      </c>
      <c r="O136" s="51" t="s">
        <v>1642</v>
      </c>
      <c r="P136" s="52" t="n">
        <v>1</v>
      </c>
      <c r="Q136" s="61"/>
      <c r="R136" s="52" t="s">
        <v>1519</v>
      </c>
      <c r="S136" s="52"/>
      <c r="T136" s="52"/>
      <c r="U136" s="53" t="n">
        <v>151850</v>
      </c>
      <c r="V136" s="54" t="n">
        <v>139702</v>
      </c>
      <c r="W136" s="55" t="n">
        <v>0.15</v>
      </c>
      <c r="X136" s="52"/>
      <c r="Y136" s="55" t="n">
        <v>0.05</v>
      </c>
      <c r="Z136" s="56" t="n">
        <v>2910</v>
      </c>
      <c r="AA136" s="55" t="n">
        <v>0.03</v>
      </c>
      <c r="AB136" s="57" t="n">
        <v>174743.46</v>
      </c>
      <c r="AC136" s="44"/>
      <c r="AD136" s="62"/>
      <c r="AE136" s="62" t="n">
        <v>174743.46</v>
      </c>
      <c r="AF136" s="62" t="s">
        <v>53</v>
      </c>
      <c r="AG136" s="62" t="n">
        <v>0</v>
      </c>
      <c r="AH136" s="58" t="s">
        <v>1439</v>
      </c>
      <c r="AI136" s="44" t="n">
        <v>0</v>
      </c>
      <c r="AJ136" s="44" t="s">
        <v>464</v>
      </c>
      <c r="AK136" s="44" t="s">
        <v>47</v>
      </c>
      <c r="AL136" s="44" t="s">
        <v>464</v>
      </c>
      <c r="AM136" s="44" t="n">
        <v>0</v>
      </c>
      <c r="AN136" s="44" t="s">
        <v>53</v>
      </c>
      <c r="AO136" s="44"/>
      <c r="AP136" s="44"/>
      <c r="AQ136" s="45" t="s">
        <v>479</v>
      </c>
      <c r="AR136" s="44" t="s">
        <v>1284</v>
      </c>
      <c r="AS136" s="44"/>
      <c r="AT136" s="44"/>
      <c r="AU136" s="44"/>
      <c r="AV136" s="44"/>
      <c r="AW136" s="44"/>
      <c r="AX136" s="44"/>
      <c r="AY136" s="44"/>
      <c r="AZ136" s="46"/>
    </row>
    <row r="137" customFormat="false" ht="18" hidden="false" customHeight="true" outlineLevel="0" collapsed="false">
      <c r="A137" s="47" t="n">
        <v>113565</v>
      </c>
      <c r="B137" s="48" t="s">
        <v>483</v>
      </c>
      <c r="C137" s="47" t="n">
        <v>113565</v>
      </c>
      <c r="D137" s="48" t="s">
        <v>118</v>
      </c>
      <c r="E137" s="48" t="s">
        <v>448</v>
      </c>
      <c r="F137" s="48" t="s">
        <v>1644</v>
      </c>
      <c r="G137" s="49" t="s">
        <v>1439</v>
      </c>
      <c r="H137" s="48" t="s">
        <v>1465</v>
      </c>
      <c r="I137" s="48" t="s">
        <v>1571</v>
      </c>
      <c r="J137" s="48" t="s">
        <v>1517</v>
      </c>
      <c r="K137" s="48" t="s">
        <v>464</v>
      </c>
      <c r="L137" s="48" t="s">
        <v>464</v>
      </c>
      <c r="M137" s="48"/>
      <c r="N137" s="50" t="s">
        <v>1284</v>
      </c>
      <c r="O137" s="51" t="s">
        <v>1642</v>
      </c>
      <c r="P137" s="52" t="n">
        <v>0.8</v>
      </c>
      <c r="Q137" s="61"/>
      <c r="R137" s="52" t="s">
        <v>1489</v>
      </c>
      <c r="S137" s="52"/>
      <c r="T137" s="52"/>
      <c r="U137" s="53" t="n">
        <v>135264</v>
      </c>
      <c r="V137" s="54" t="n">
        <v>124442.88</v>
      </c>
      <c r="W137" s="55" t="n">
        <v>0.15</v>
      </c>
      <c r="X137" s="52"/>
      <c r="Y137" s="55" t="n">
        <v>0.05</v>
      </c>
      <c r="Z137" s="56" t="n">
        <v>2910</v>
      </c>
      <c r="AA137" s="55" t="n">
        <v>0.03</v>
      </c>
      <c r="AB137" s="57" t="n">
        <v>155974.7424</v>
      </c>
      <c r="AC137" s="44"/>
      <c r="AD137" s="62"/>
      <c r="AE137" s="62" t="n">
        <v>124779.79392</v>
      </c>
      <c r="AF137" s="62" t="s">
        <v>53</v>
      </c>
      <c r="AG137" s="62" t="n">
        <v>0</v>
      </c>
      <c r="AH137" s="58" t="s">
        <v>1439</v>
      </c>
      <c r="AI137" s="44" t="n">
        <v>0</v>
      </c>
      <c r="AJ137" s="44" t="s">
        <v>464</v>
      </c>
      <c r="AK137" s="44" t="s">
        <v>47</v>
      </c>
      <c r="AL137" s="44" t="s">
        <v>464</v>
      </c>
      <c r="AM137" s="44" t="n">
        <v>0</v>
      </c>
      <c r="AN137" s="44" t="s">
        <v>53</v>
      </c>
      <c r="AO137" s="44"/>
      <c r="AP137" s="44"/>
      <c r="AQ137" s="45" t="s">
        <v>482</v>
      </c>
      <c r="AR137" s="44" t="s">
        <v>1284</v>
      </c>
      <c r="AS137" s="44"/>
      <c r="AT137" s="44"/>
      <c r="AU137" s="44"/>
      <c r="AV137" s="44"/>
      <c r="AW137" s="44"/>
      <c r="AX137" s="44"/>
      <c r="AY137" s="44"/>
      <c r="AZ137" s="46"/>
    </row>
    <row r="138" customFormat="false" ht="18" hidden="false" customHeight="true" outlineLevel="0" collapsed="false">
      <c r="A138" s="47" t="n">
        <v>113601</v>
      </c>
      <c r="B138" s="48" t="s">
        <v>485</v>
      </c>
      <c r="C138" s="47" t="n">
        <v>113601</v>
      </c>
      <c r="D138" s="48" t="s">
        <v>481</v>
      </c>
      <c r="E138" s="48" t="s">
        <v>448</v>
      </c>
      <c r="F138" s="48" t="s">
        <v>1644</v>
      </c>
      <c r="G138" s="49" t="s">
        <v>1439</v>
      </c>
      <c r="H138" s="48" t="s">
        <v>1465</v>
      </c>
      <c r="I138" s="48" t="s">
        <v>1571</v>
      </c>
      <c r="J138" s="48" t="s">
        <v>1517</v>
      </c>
      <c r="K138" s="48" t="s">
        <v>464</v>
      </c>
      <c r="L138" s="48" t="s">
        <v>464</v>
      </c>
      <c r="M138" s="48"/>
      <c r="N138" s="50" t="s">
        <v>1284</v>
      </c>
      <c r="O138" s="51" t="s">
        <v>1642</v>
      </c>
      <c r="P138" s="52" t="n">
        <v>1</v>
      </c>
      <c r="Q138" s="61"/>
      <c r="R138" s="52" t="s">
        <v>1519</v>
      </c>
      <c r="S138" s="52"/>
      <c r="T138" s="52"/>
      <c r="U138" s="53" t="n">
        <v>170880</v>
      </c>
      <c r="V138" s="54" t="n">
        <v>157209.6</v>
      </c>
      <c r="W138" s="55" t="n">
        <v>0.15</v>
      </c>
      <c r="X138" s="52"/>
      <c r="Y138" s="55" t="n">
        <v>0.05</v>
      </c>
      <c r="Z138" s="56" t="n">
        <v>2910</v>
      </c>
      <c r="AA138" s="55" t="n">
        <v>0.03</v>
      </c>
      <c r="AB138" s="57" t="n">
        <v>196277.808</v>
      </c>
      <c r="AC138" s="44"/>
      <c r="AD138" s="62"/>
      <c r="AE138" s="62" t="n">
        <v>196277.808</v>
      </c>
      <c r="AF138" s="62" t="s">
        <v>53</v>
      </c>
      <c r="AG138" s="62" t="n">
        <v>0</v>
      </c>
      <c r="AH138" s="58" t="s">
        <v>1439</v>
      </c>
      <c r="AI138" s="44" t="n">
        <v>0</v>
      </c>
      <c r="AJ138" s="44" t="s">
        <v>464</v>
      </c>
      <c r="AK138" s="44" t="s">
        <v>47</v>
      </c>
      <c r="AL138" s="44" t="s">
        <v>464</v>
      </c>
      <c r="AM138" s="44" t="n">
        <v>0</v>
      </c>
      <c r="AN138" s="44" t="s">
        <v>53</v>
      </c>
      <c r="AO138" s="44"/>
      <c r="AP138" s="44"/>
      <c r="AQ138" s="45" t="s">
        <v>484</v>
      </c>
      <c r="AR138" s="44" t="s">
        <v>1284</v>
      </c>
      <c r="AS138" s="44"/>
      <c r="AT138" s="44"/>
      <c r="AU138" s="44"/>
      <c r="AV138" s="44"/>
      <c r="AW138" s="44"/>
      <c r="AX138" s="44"/>
      <c r="AY138" s="44"/>
      <c r="AZ138" s="46"/>
    </row>
    <row r="139" customFormat="false" ht="18" hidden="false" customHeight="true" outlineLevel="0" collapsed="false">
      <c r="A139" s="47" t="s">
        <v>1507</v>
      </c>
      <c r="B139" s="48" t="s">
        <v>69</v>
      </c>
      <c r="C139" s="47" t="s">
        <v>1507</v>
      </c>
      <c r="D139" s="48" t="s">
        <v>52</v>
      </c>
      <c r="E139" s="48" t="s">
        <v>448</v>
      </c>
      <c r="F139" s="48" t="s">
        <v>1644</v>
      </c>
      <c r="G139" s="49" t="s">
        <v>1439</v>
      </c>
      <c r="H139" s="48" t="s">
        <v>1465</v>
      </c>
      <c r="I139" s="48" t="s">
        <v>1571</v>
      </c>
      <c r="J139" s="48" t="s">
        <v>1517</v>
      </c>
      <c r="K139" s="48" t="s">
        <v>464</v>
      </c>
      <c r="L139" s="48" t="s">
        <v>464</v>
      </c>
      <c r="M139" s="48"/>
      <c r="N139" s="50" t="s">
        <v>1443</v>
      </c>
      <c r="O139" s="51" t="s">
        <v>1642</v>
      </c>
      <c r="P139" s="52" t="n">
        <v>1</v>
      </c>
      <c r="Q139" s="61"/>
      <c r="R139" s="52" t="s">
        <v>69</v>
      </c>
      <c r="S139" s="52"/>
      <c r="T139" s="52"/>
      <c r="U139" s="53" t="n">
        <v>176280</v>
      </c>
      <c r="V139" s="54" t="n">
        <v>176280</v>
      </c>
      <c r="W139" s="55" t="n">
        <v>0.12</v>
      </c>
      <c r="X139" s="52" t="n">
        <v>0.055</v>
      </c>
      <c r="Y139" s="55" t="n">
        <v>0.12</v>
      </c>
      <c r="Z139" s="56"/>
      <c r="AA139" s="55" t="n">
        <v>0.04</v>
      </c>
      <c r="AB139" s="57" t="n">
        <v>235333.8</v>
      </c>
      <c r="AC139" s="44"/>
      <c r="AD139" s="62"/>
      <c r="AE139" s="62" t="n">
        <v>235333.8</v>
      </c>
      <c r="AF139" s="62" t="s">
        <v>69</v>
      </c>
      <c r="AG139" s="62" t="n">
        <v>0</v>
      </c>
      <c r="AH139" s="58" t="s">
        <v>1439</v>
      </c>
      <c r="AI139" s="44" t="n">
        <v>0</v>
      </c>
      <c r="AJ139" s="44" t="s">
        <v>464</v>
      </c>
      <c r="AK139" s="44" t="s">
        <v>47</v>
      </c>
      <c r="AL139" s="44" t="s">
        <v>464</v>
      </c>
      <c r="AM139" s="44" t="n">
        <v>0</v>
      </c>
      <c r="AN139" s="44" t="s">
        <v>69</v>
      </c>
      <c r="AO139" s="44" t="s">
        <v>1645</v>
      </c>
      <c r="AP139" s="44"/>
      <c r="AQ139" s="45" t="s">
        <v>511</v>
      </c>
      <c r="AR139" s="44" t="s">
        <v>1282</v>
      </c>
      <c r="AS139" s="44"/>
      <c r="AT139" s="44"/>
      <c r="AU139" s="44"/>
      <c r="AV139" s="44"/>
      <c r="AW139" s="44"/>
      <c r="AX139" s="44"/>
      <c r="AY139" s="44"/>
      <c r="AZ139" s="46"/>
    </row>
    <row r="140" customFormat="false" ht="18" hidden="false" customHeight="true" outlineLevel="0" collapsed="false">
      <c r="A140" s="47" t="n">
        <v>4781</v>
      </c>
      <c r="B140" s="48" t="s">
        <v>400</v>
      </c>
      <c r="C140" s="47" t="n">
        <v>4781</v>
      </c>
      <c r="D140" s="48" t="s">
        <v>401</v>
      </c>
      <c r="E140" s="48" t="s">
        <v>459</v>
      </c>
      <c r="F140" s="48" t="s">
        <v>1575</v>
      </c>
      <c r="G140" s="49" t="s">
        <v>1439</v>
      </c>
      <c r="H140" s="48" t="s">
        <v>1440</v>
      </c>
      <c r="I140" s="48" t="s">
        <v>1476</v>
      </c>
      <c r="J140" s="48" t="s">
        <v>18</v>
      </c>
      <c r="K140" s="48" t="s">
        <v>1150</v>
      </c>
      <c r="L140" s="48" t="s">
        <v>308</v>
      </c>
      <c r="M140" s="48"/>
      <c r="N140" s="50" t="s">
        <v>1443</v>
      </c>
      <c r="O140" s="51" t="s">
        <v>1642</v>
      </c>
      <c r="P140" s="52" t="n">
        <v>1</v>
      </c>
      <c r="Q140" s="61"/>
      <c r="R140" s="52" t="s">
        <v>1519</v>
      </c>
      <c r="S140" s="52"/>
      <c r="T140" s="52"/>
      <c r="U140" s="53" t="n">
        <v>193100</v>
      </c>
      <c r="V140" s="54" t="n">
        <v>193100</v>
      </c>
      <c r="W140" s="55" t="n">
        <v>0.12</v>
      </c>
      <c r="X140" s="52" t="n">
        <v>0.055</v>
      </c>
      <c r="Y140" s="55" t="n">
        <v>0.12</v>
      </c>
      <c r="Z140" s="56"/>
      <c r="AA140" s="55" t="n">
        <v>0.04</v>
      </c>
      <c r="AB140" s="57" t="n">
        <v>257788.5</v>
      </c>
      <c r="AC140" s="44"/>
      <c r="AD140" s="62"/>
      <c r="AE140" s="62" t="n">
        <v>257788.5</v>
      </c>
      <c r="AF140" s="62" t="s">
        <v>53</v>
      </c>
      <c r="AG140" s="62" t="n">
        <v>0</v>
      </c>
      <c r="AH140" s="58" t="s">
        <v>1439</v>
      </c>
      <c r="AI140" s="44" t="n">
        <v>0</v>
      </c>
      <c r="AJ140" s="44" t="s">
        <v>308</v>
      </c>
      <c r="AK140" s="44" t="s">
        <v>47</v>
      </c>
      <c r="AL140" s="44" t="s">
        <v>308</v>
      </c>
      <c r="AM140" s="44" t="n">
        <v>0</v>
      </c>
      <c r="AN140" s="44" t="s">
        <v>53</v>
      </c>
      <c r="AO140" s="44"/>
      <c r="AP140" s="44"/>
      <c r="AQ140" s="45" t="s">
        <v>399</v>
      </c>
      <c r="AR140" s="44" t="s">
        <v>1282</v>
      </c>
      <c r="AS140" s="44"/>
      <c r="AT140" s="44"/>
      <c r="AU140" s="44"/>
      <c r="AV140" s="44"/>
      <c r="AW140" s="44"/>
      <c r="AX140" s="44"/>
      <c r="AY140" s="44"/>
      <c r="AZ140" s="46"/>
    </row>
    <row r="141" customFormat="false" ht="18" hidden="false" customHeight="true" outlineLevel="0" collapsed="false">
      <c r="A141" s="47" t="n">
        <v>113612</v>
      </c>
      <c r="B141" s="48" t="s">
        <v>470</v>
      </c>
      <c r="C141" s="47" t="n">
        <v>113612</v>
      </c>
      <c r="D141" s="48" t="s">
        <v>471</v>
      </c>
      <c r="E141" s="48" t="s">
        <v>459</v>
      </c>
      <c r="F141" s="48" t="s">
        <v>1575</v>
      </c>
      <c r="G141" s="49" t="s">
        <v>1439</v>
      </c>
      <c r="H141" s="48" t="s">
        <v>1440</v>
      </c>
      <c r="I141" s="48" t="s">
        <v>1646</v>
      </c>
      <c r="J141" s="48" t="s">
        <v>1517</v>
      </c>
      <c r="K141" s="48" t="s">
        <v>1157</v>
      </c>
      <c r="L141" s="48" t="s">
        <v>461</v>
      </c>
      <c r="M141" s="48"/>
      <c r="N141" s="50" t="s">
        <v>1284</v>
      </c>
      <c r="O141" s="51" t="s">
        <v>1642</v>
      </c>
      <c r="P141" s="52" t="n">
        <v>1</v>
      </c>
      <c r="Q141" s="61"/>
      <c r="R141" s="52" t="s">
        <v>1519</v>
      </c>
      <c r="S141" s="52"/>
      <c r="T141" s="52"/>
      <c r="U141" s="53" t="n">
        <v>162180</v>
      </c>
      <c r="V141" s="54" t="n">
        <v>149205.6</v>
      </c>
      <c r="W141" s="55" t="n">
        <v>0.15</v>
      </c>
      <c r="X141" s="52"/>
      <c r="Y141" s="55" t="n">
        <v>0.05</v>
      </c>
      <c r="Z141" s="56" t="n">
        <v>2910</v>
      </c>
      <c r="AA141" s="55" t="n">
        <v>0.03</v>
      </c>
      <c r="AB141" s="57" t="n">
        <v>186432.888</v>
      </c>
      <c r="AC141" s="44"/>
      <c r="AD141" s="62"/>
      <c r="AE141" s="62" t="n">
        <v>186432.888</v>
      </c>
      <c r="AF141" s="62" t="s">
        <v>53</v>
      </c>
      <c r="AG141" s="62" t="n">
        <v>0</v>
      </c>
      <c r="AH141" s="58" t="s">
        <v>1439</v>
      </c>
      <c r="AI141" s="44" t="n">
        <v>0</v>
      </c>
      <c r="AJ141" s="44" t="s">
        <v>461</v>
      </c>
      <c r="AK141" s="44" t="s">
        <v>47</v>
      </c>
      <c r="AL141" s="44" t="s">
        <v>461</v>
      </c>
      <c r="AM141" s="44" t="n">
        <v>0</v>
      </c>
      <c r="AN141" s="44" t="s">
        <v>53</v>
      </c>
      <c r="AO141" s="44"/>
      <c r="AP141" s="44"/>
      <c r="AQ141" s="45" t="s">
        <v>469</v>
      </c>
      <c r="AR141" s="44" t="s">
        <v>1284</v>
      </c>
      <c r="AS141" s="44"/>
      <c r="AT141" s="44"/>
      <c r="AU141" s="44"/>
      <c r="AV141" s="44"/>
      <c r="AW141" s="44"/>
      <c r="AX141" s="44"/>
      <c r="AY141" s="44"/>
      <c r="AZ141" s="46"/>
    </row>
    <row r="142" customFormat="false" ht="18" hidden="false" customHeight="true" outlineLevel="0" collapsed="false">
      <c r="A142" s="47" t="n">
        <v>116408</v>
      </c>
      <c r="B142" s="48" t="s">
        <v>430</v>
      </c>
      <c r="C142" s="47" t="n">
        <v>116408</v>
      </c>
      <c r="D142" s="48" t="s">
        <v>431</v>
      </c>
      <c r="E142" s="48" t="s">
        <v>69</v>
      </c>
      <c r="F142" s="48" t="s">
        <v>428</v>
      </c>
      <c r="G142" s="49" t="s">
        <v>1439</v>
      </c>
      <c r="H142" s="48" t="s">
        <v>1573</v>
      </c>
      <c r="I142" s="48"/>
      <c r="J142" s="48" t="s">
        <v>18</v>
      </c>
      <c r="K142" s="48" t="s">
        <v>405</v>
      </c>
      <c r="L142" s="48" t="s">
        <v>1574</v>
      </c>
      <c r="M142" s="48"/>
      <c r="N142" s="50" t="s">
        <v>1443</v>
      </c>
      <c r="O142" s="51" t="s">
        <v>1642</v>
      </c>
      <c r="P142" s="52" t="n">
        <v>1</v>
      </c>
      <c r="Q142" s="61"/>
      <c r="R142" s="52" t="s">
        <v>1641</v>
      </c>
      <c r="S142" s="52"/>
      <c r="T142" s="52"/>
      <c r="U142" s="53" t="n">
        <v>160000</v>
      </c>
      <c r="V142" s="54" t="n">
        <v>160000</v>
      </c>
      <c r="W142" s="55" t="n">
        <v>0.12</v>
      </c>
      <c r="X142" s="52" t="n">
        <v>0.055</v>
      </c>
      <c r="Y142" s="55" t="n">
        <v>0.12</v>
      </c>
      <c r="Z142" s="56"/>
      <c r="AA142" s="55" t="n">
        <v>0.04</v>
      </c>
      <c r="AB142" s="57" t="n">
        <v>240301</v>
      </c>
      <c r="AC142" s="44" t="s">
        <v>1647</v>
      </c>
      <c r="AD142" s="62"/>
      <c r="AE142" s="62" t="n">
        <v>240301</v>
      </c>
      <c r="AF142" s="62" t="s">
        <v>53</v>
      </c>
      <c r="AG142" s="62" t="n">
        <v>0</v>
      </c>
      <c r="AH142" s="58" t="s">
        <v>1439</v>
      </c>
      <c r="AI142" s="44" t="n">
        <v>0</v>
      </c>
      <c r="AJ142" s="44" t="s">
        <v>1574</v>
      </c>
      <c r="AK142" s="44" t="s">
        <v>47</v>
      </c>
      <c r="AL142" s="44" t="s">
        <v>405</v>
      </c>
      <c r="AM142" s="44" t="n">
        <v>1</v>
      </c>
      <c r="AN142" s="44" t="s">
        <v>53</v>
      </c>
      <c r="AO142" s="44" t="s">
        <v>1647</v>
      </c>
      <c r="AP142" s="59" t="n">
        <v>46455</v>
      </c>
      <c r="AQ142" s="45" t="s">
        <v>429</v>
      </c>
      <c r="AR142" s="44" t="s">
        <v>1282</v>
      </c>
      <c r="AS142" s="44"/>
      <c r="AT142" s="44"/>
      <c r="AU142" s="44"/>
      <c r="AV142" s="44"/>
      <c r="AW142" s="44"/>
      <c r="AX142" s="44"/>
      <c r="AY142" s="44"/>
      <c r="AZ142" s="46"/>
    </row>
    <row r="143" customFormat="false" ht="18" hidden="false" customHeight="true" outlineLevel="0" collapsed="false">
      <c r="A143" s="47" t="n">
        <v>114650</v>
      </c>
      <c r="B143" s="48" t="s">
        <v>378</v>
      </c>
      <c r="C143" s="47" t="n">
        <v>114650</v>
      </c>
      <c r="D143" s="48" t="s">
        <v>335</v>
      </c>
      <c r="E143" s="48" t="s">
        <v>69</v>
      </c>
      <c r="F143" s="48" t="s">
        <v>1497</v>
      </c>
      <c r="G143" s="49" t="s">
        <v>1439</v>
      </c>
      <c r="H143" s="48" t="s">
        <v>1440</v>
      </c>
      <c r="I143" s="48" t="s">
        <v>1498</v>
      </c>
      <c r="J143" s="48" t="s">
        <v>18</v>
      </c>
      <c r="K143" s="48" t="s">
        <v>1150</v>
      </c>
      <c r="L143" s="48" t="s">
        <v>318</v>
      </c>
      <c r="M143" s="48"/>
      <c r="N143" s="50" t="s">
        <v>1443</v>
      </c>
      <c r="O143" s="51" t="s">
        <v>1642</v>
      </c>
      <c r="P143" s="52" t="n">
        <v>1</v>
      </c>
      <c r="Q143" s="61"/>
      <c r="R143" s="52" t="s">
        <v>1519</v>
      </c>
      <c r="S143" s="52"/>
      <c r="T143" s="52"/>
      <c r="U143" s="53" t="n">
        <v>180000</v>
      </c>
      <c r="V143" s="54" t="n">
        <v>180000</v>
      </c>
      <c r="W143" s="55" t="n">
        <v>0.12</v>
      </c>
      <c r="X143" s="52" t="n">
        <v>0.055</v>
      </c>
      <c r="Y143" s="55" t="n">
        <v>0.12</v>
      </c>
      <c r="Z143" s="56"/>
      <c r="AA143" s="55" t="n">
        <v>0.04</v>
      </c>
      <c r="AB143" s="57" t="n">
        <v>240300</v>
      </c>
      <c r="AC143" s="44"/>
      <c r="AD143" s="62"/>
      <c r="AE143" s="62" t="n">
        <v>240300</v>
      </c>
      <c r="AF143" s="62" t="s">
        <v>53</v>
      </c>
      <c r="AG143" s="62" t="n">
        <v>0</v>
      </c>
      <c r="AH143" s="58" t="s">
        <v>1439</v>
      </c>
      <c r="AI143" s="44" t="n">
        <v>0</v>
      </c>
      <c r="AJ143" s="44" t="s">
        <v>318</v>
      </c>
      <c r="AK143" s="44" t="s">
        <v>47</v>
      </c>
      <c r="AL143" s="44" t="s">
        <v>318</v>
      </c>
      <c r="AM143" s="44" t="n">
        <v>0</v>
      </c>
      <c r="AN143" s="44" t="s">
        <v>53</v>
      </c>
      <c r="AO143" s="44"/>
      <c r="AP143" s="44"/>
      <c r="AQ143" s="45" t="s">
        <v>377</v>
      </c>
      <c r="AR143" s="44" t="s">
        <v>1282</v>
      </c>
      <c r="AS143" s="44"/>
      <c r="AT143" s="44"/>
      <c r="AU143" s="44"/>
      <c r="AV143" s="44"/>
      <c r="AW143" s="44"/>
      <c r="AX143" s="44"/>
      <c r="AY143" s="44"/>
      <c r="AZ143" s="46"/>
    </row>
    <row r="144" customFormat="false" ht="18" hidden="false" customHeight="true" outlineLevel="0" collapsed="false">
      <c r="A144" s="47" t="n">
        <v>97634</v>
      </c>
      <c r="B144" s="48" t="s">
        <v>334</v>
      </c>
      <c r="C144" s="47" t="n">
        <v>97634</v>
      </c>
      <c r="D144" s="48" t="s">
        <v>335</v>
      </c>
      <c r="E144" s="48" t="s">
        <v>69</v>
      </c>
      <c r="F144" s="48" t="s">
        <v>1497</v>
      </c>
      <c r="G144" s="49" t="s">
        <v>1439</v>
      </c>
      <c r="H144" s="48" t="s">
        <v>1440</v>
      </c>
      <c r="I144" s="48" t="s">
        <v>1498</v>
      </c>
      <c r="J144" s="48" t="s">
        <v>18</v>
      </c>
      <c r="K144" s="48" t="s">
        <v>1150</v>
      </c>
      <c r="L144" s="48" t="s">
        <v>307</v>
      </c>
      <c r="M144" s="48"/>
      <c r="N144" s="50" t="s">
        <v>1443</v>
      </c>
      <c r="O144" s="51" t="s">
        <v>1642</v>
      </c>
      <c r="P144" s="52" t="n">
        <v>1</v>
      </c>
      <c r="Q144" s="61"/>
      <c r="R144" s="52" t="s">
        <v>1519</v>
      </c>
      <c r="S144" s="52"/>
      <c r="T144" s="52"/>
      <c r="U144" s="53" t="n">
        <v>194910</v>
      </c>
      <c r="V144" s="54" t="n">
        <v>194910</v>
      </c>
      <c r="W144" s="55" t="n">
        <v>0.12</v>
      </c>
      <c r="X144" s="52" t="n">
        <v>0.055</v>
      </c>
      <c r="Y144" s="55" t="n">
        <v>0.12</v>
      </c>
      <c r="Z144" s="56"/>
      <c r="AA144" s="55" t="n">
        <v>0.04</v>
      </c>
      <c r="AB144" s="57" t="n">
        <v>260204.85</v>
      </c>
      <c r="AC144" s="44"/>
      <c r="AD144" s="62"/>
      <c r="AE144" s="62" t="n">
        <v>260204.85</v>
      </c>
      <c r="AF144" s="62" t="s">
        <v>53</v>
      </c>
      <c r="AG144" s="62" t="n">
        <v>0</v>
      </c>
      <c r="AH144" s="58" t="s">
        <v>1439</v>
      </c>
      <c r="AI144" s="44" t="n">
        <v>0</v>
      </c>
      <c r="AJ144" s="44" t="s">
        <v>307</v>
      </c>
      <c r="AK144" s="44" t="s">
        <v>47</v>
      </c>
      <c r="AL144" s="44" t="s">
        <v>307</v>
      </c>
      <c r="AM144" s="44" t="n">
        <v>0</v>
      </c>
      <c r="AN144" s="44" t="s">
        <v>53</v>
      </c>
      <c r="AO144" s="44"/>
      <c r="AP144" s="44"/>
      <c r="AQ144" s="45" t="s">
        <v>333</v>
      </c>
      <c r="AR144" s="44" t="s">
        <v>1282</v>
      </c>
      <c r="AS144" s="44"/>
      <c r="AT144" s="44"/>
      <c r="AU144" s="44"/>
      <c r="AV144" s="44"/>
      <c r="AW144" s="44"/>
      <c r="AX144" s="44"/>
      <c r="AY144" s="44"/>
      <c r="AZ144" s="46"/>
    </row>
    <row r="145" customFormat="false" ht="18" hidden="false" customHeight="true" outlineLevel="0" collapsed="false">
      <c r="A145" s="47" t="n">
        <v>106547</v>
      </c>
      <c r="B145" s="48" t="s">
        <v>525</v>
      </c>
      <c r="C145" s="47" t="n">
        <v>106547</v>
      </c>
      <c r="D145" s="48" t="s">
        <v>526</v>
      </c>
      <c r="E145" s="48" t="s">
        <v>610</v>
      </c>
      <c r="F145" s="48" t="s">
        <v>1648</v>
      </c>
      <c r="G145" s="49" t="s">
        <v>1461</v>
      </c>
      <c r="H145" s="48" t="s">
        <v>20</v>
      </c>
      <c r="I145" s="48" t="s">
        <v>1605</v>
      </c>
      <c r="J145" s="48" t="s">
        <v>20</v>
      </c>
      <c r="K145" s="48" t="s">
        <v>517</v>
      </c>
      <c r="L145" s="48" t="s">
        <v>517</v>
      </c>
      <c r="M145" s="48"/>
      <c r="N145" s="50" t="s">
        <v>1549</v>
      </c>
      <c r="O145" s="51" t="s">
        <v>1649</v>
      </c>
      <c r="P145" s="52" t="n">
        <v>1</v>
      </c>
      <c r="Q145" s="61"/>
      <c r="R145" s="52" t="s">
        <v>1519</v>
      </c>
      <c r="S145" s="52"/>
      <c r="T145" s="52"/>
      <c r="U145" s="53" t="n">
        <v>193688</v>
      </c>
      <c r="V145" s="54" t="n">
        <v>234362.48</v>
      </c>
      <c r="W145" s="55" t="n">
        <v>0.25</v>
      </c>
      <c r="X145" s="52"/>
      <c r="Y145" s="55" t="n">
        <v>0.17</v>
      </c>
      <c r="Z145" s="56" t="n">
        <v>3310</v>
      </c>
      <c r="AA145" s="55" t="n">
        <v>0.045</v>
      </c>
      <c r="AB145" s="57" t="n">
        <v>346651.0332</v>
      </c>
      <c r="AC145" s="44"/>
      <c r="AD145" s="62"/>
      <c r="AE145" s="62" t="n">
        <v>346651.0332</v>
      </c>
      <c r="AF145" s="62" t="s">
        <v>53</v>
      </c>
      <c r="AG145" s="62" t="n">
        <v>0</v>
      </c>
      <c r="AH145" s="58" t="s">
        <v>20</v>
      </c>
      <c r="AI145" s="44" t="n">
        <v>0</v>
      </c>
      <c r="AJ145" s="44" t="s">
        <v>517</v>
      </c>
      <c r="AK145" s="44" t="s">
        <v>47</v>
      </c>
      <c r="AL145" s="44" t="s">
        <v>517</v>
      </c>
      <c r="AM145" s="44" t="n">
        <v>0</v>
      </c>
      <c r="AN145" s="44"/>
      <c r="AO145" s="44"/>
      <c r="AP145" s="44"/>
      <c r="AQ145" s="45" t="s">
        <v>524</v>
      </c>
      <c r="AR145" s="44" t="s">
        <v>1282</v>
      </c>
      <c r="AS145" s="44"/>
      <c r="AT145" s="44"/>
      <c r="AU145" s="44"/>
      <c r="AV145" s="44"/>
      <c r="AW145" s="44"/>
      <c r="AX145" s="44"/>
      <c r="AY145" s="44"/>
      <c r="AZ145" s="46"/>
    </row>
    <row r="146" customFormat="false" ht="18" hidden="false" customHeight="true" outlineLevel="0" collapsed="false">
      <c r="A146" s="47" t="n">
        <v>116312</v>
      </c>
      <c r="B146" s="48" t="s">
        <v>574</v>
      </c>
      <c r="C146" s="47" t="n">
        <v>116312</v>
      </c>
      <c r="D146" s="48" t="s">
        <v>575</v>
      </c>
      <c r="E146" s="48" t="s">
        <v>610</v>
      </c>
      <c r="F146" s="48" t="s">
        <v>1648</v>
      </c>
      <c r="G146" s="49" t="s">
        <v>1461</v>
      </c>
      <c r="H146" s="48" t="s">
        <v>20</v>
      </c>
      <c r="I146" s="48" t="s">
        <v>1605</v>
      </c>
      <c r="J146" s="48" t="s">
        <v>20</v>
      </c>
      <c r="K146" s="48" t="s">
        <v>569</v>
      </c>
      <c r="L146" s="48" t="s">
        <v>569</v>
      </c>
      <c r="M146" s="48"/>
      <c r="N146" s="50" t="s">
        <v>1549</v>
      </c>
      <c r="O146" s="51" t="s">
        <v>1649</v>
      </c>
      <c r="P146" s="52" t="n">
        <v>1</v>
      </c>
      <c r="Q146" s="61"/>
      <c r="R146" s="52" t="s">
        <v>1519</v>
      </c>
      <c r="S146" s="52"/>
      <c r="T146" s="52"/>
      <c r="U146" s="53" t="n">
        <v>170000</v>
      </c>
      <c r="V146" s="54" t="n">
        <v>205700</v>
      </c>
      <c r="W146" s="55" t="n">
        <v>0.25</v>
      </c>
      <c r="X146" s="52"/>
      <c r="Y146" s="55" t="n">
        <v>0.17</v>
      </c>
      <c r="Z146" s="56" t="n">
        <v>3310</v>
      </c>
      <c r="AA146" s="55" t="n">
        <v>0.045</v>
      </c>
      <c r="AB146" s="57" t="n">
        <v>304660.5</v>
      </c>
      <c r="AC146" s="44"/>
      <c r="AD146" s="62"/>
      <c r="AE146" s="62" t="n">
        <v>304660.5</v>
      </c>
      <c r="AF146" s="62" t="s">
        <v>53</v>
      </c>
      <c r="AG146" s="62" t="n">
        <v>0</v>
      </c>
      <c r="AH146" s="58" t="s">
        <v>20</v>
      </c>
      <c r="AI146" s="44" t="n">
        <v>0</v>
      </c>
      <c r="AJ146" s="44" t="s">
        <v>569</v>
      </c>
      <c r="AK146" s="44" t="s">
        <v>47</v>
      </c>
      <c r="AL146" s="44" t="s">
        <v>569</v>
      </c>
      <c r="AM146" s="44" t="n">
        <v>0</v>
      </c>
      <c r="AN146" s="44"/>
      <c r="AO146" s="44"/>
      <c r="AP146" s="44"/>
      <c r="AQ146" s="45" t="s">
        <v>573</v>
      </c>
      <c r="AR146" s="44" t="s">
        <v>1282</v>
      </c>
      <c r="AS146" s="44"/>
      <c r="AT146" s="44"/>
      <c r="AU146" s="44"/>
      <c r="AV146" s="44"/>
      <c r="AW146" s="44"/>
      <c r="AX146" s="44"/>
      <c r="AY146" s="44"/>
      <c r="AZ146" s="46"/>
    </row>
    <row r="147" customFormat="false" ht="18" hidden="false" customHeight="true" outlineLevel="0" collapsed="false">
      <c r="A147" s="47" t="n">
        <v>96270</v>
      </c>
      <c r="B147" s="48" t="s">
        <v>577</v>
      </c>
      <c r="C147" s="47" t="n">
        <v>96270</v>
      </c>
      <c r="D147" s="48" t="s">
        <v>575</v>
      </c>
      <c r="E147" s="48" t="s">
        <v>610</v>
      </c>
      <c r="F147" s="48" t="s">
        <v>1648</v>
      </c>
      <c r="G147" s="49" t="s">
        <v>1461</v>
      </c>
      <c r="H147" s="48" t="s">
        <v>20</v>
      </c>
      <c r="I147" s="48" t="s">
        <v>1605</v>
      </c>
      <c r="J147" s="48" t="s">
        <v>20</v>
      </c>
      <c r="K147" s="48" t="s">
        <v>569</v>
      </c>
      <c r="L147" s="48" t="s">
        <v>569</v>
      </c>
      <c r="M147" s="48"/>
      <c r="N147" s="50" t="s">
        <v>1443</v>
      </c>
      <c r="O147" s="51" t="s">
        <v>1649</v>
      </c>
      <c r="P147" s="52" t="n">
        <v>1</v>
      </c>
      <c r="Q147" s="61"/>
      <c r="R147" s="52" t="s">
        <v>1519</v>
      </c>
      <c r="S147" s="52"/>
      <c r="T147" s="52"/>
      <c r="U147" s="53" t="n">
        <v>165730</v>
      </c>
      <c r="V147" s="54" t="n">
        <v>165730</v>
      </c>
      <c r="W147" s="55" t="n">
        <v>0.12</v>
      </c>
      <c r="X147" s="52" t="n">
        <v>0.055</v>
      </c>
      <c r="Y147" s="55" t="n">
        <v>0.12</v>
      </c>
      <c r="Z147" s="56"/>
      <c r="AA147" s="55" t="n">
        <v>0.04</v>
      </c>
      <c r="AB147" s="57" t="n">
        <v>221249.55</v>
      </c>
      <c r="AC147" s="44"/>
      <c r="AD147" s="62"/>
      <c r="AE147" s="62" t="n">
        <v>221249.55</v>
      </c>
      <c r="AF147" s="62" t="s">
        <v>53</v>
      </c>
      <c r="AG147" s="62" t="n">
        <v>0</v>
      </c>
      <c r="AH147" s="58" t="s">
        <v>20</v>
      </c>
      <c r="AI147" s="44" t="n">
        <v>0</v>
      </c>
      <c r="AJ147" s="44" t="s">
        <v>569</v>
      </c>
      <c r="AK147" s="44" t="s">
        <v>47</v>
      </c>
      <c r="AL147" s="44" t="s">
        <v>569</v>
      </c>
      <c r="AM147" s="44" t="n">
        <v>0</v>
      </c>
      <c r="AN147" s="44"/>
      <c r="AO147" s="44"/>
      <c r="AP147" s="44"/>
      <c r="AQ147" s="45" t="s">
        <v>576</v>
      </c>
      <c r="AR147" s="44" t="s">
        <v>1282</v>
      </c>
      <c r="AS147" s="44"/>
      <c r="AT147" s="44"/>
      <c r="AU147" s="44"/>
      <c r="AV147" s="44"/>
      <c r="AW147" s="44"/>
      <c r="AX147" s="44"/>
      <c r="AY147" s="44"/>
      <c r="AZ147" s="46"/>
    </row>
    <row r="148" customFormat="false" ht="18" hidden="false" customHeight="true" outlineLevel="0" collapsed="false">
      <c r="A148" s="47" t="n">
        <v>106201</v>
      </c>
      <c r="B148" s="48" t="s">
        <v>758</v>
      </c>
      <c r="C148" s="47" t="n">
        <v>106201</v>
      </c>
      <c r="D148" s="48" t="s">
        <v>52</v>
      </c>
      <c r="E148" s="48" t="s">
        <v>760</v>
      </c>
      <c r="F148" s="48" t="s">
        <v>1650</v>
      </c>
      <c r="G148" s="49" t="s">
        <v>1461</v>
      </c>
      <c r="H148" s="48" t="s">
        <v>1161</v>
      </c>
      <c r="I148" s="48" t="s">
        <v>1161</v>
      </c>
      <c r="J148" s="48" t="s">
        <v>24</v>
      </c>
      <c r="K148" s="48" t="s">
        <v>1295</v>
      </c>
      <c r="L148" s="48" t="s">
        <v>756</v>
      </c>
      <c r="M148" s="48"/>
      <c r="N148" s="50" t="s">
        <v>1443</v>
      </c>
      <c r="O148" s="51" t="s">
        <v>1649</v>
      </c>
      <c r="P148" s="52" t="n">
        <v>1</v>
      </c>
      <c r="Q148" s="61"/>
      <c r="R148" s="52" t="s">
        <v>1519</v>
      </c>
      <c r="S148" s="52"/>
      <c r="T148" s="52"/>
      <c r="U148" s="53" t="n">
        <v>192260</v>
      </c>
      <c r="V148" s="54" t="n">
        <v>192260</v>
      </c>
      <c r="W148" s="55" t="n">
        <v>0.12</v>
      </c>
      <c r="X148" s="52" t="n">
        <v>0.055</v>
      </c>
      <c r="Y148" s="55" t="n">
        <v>0.12</v>
      </c>
      <c r="Z148" s="56"/>
      <c r="AA148" s="55" t="n">
        <v>0.04</v>
      </c>
      <c r="AB148" s="57" t="n">
        <v>256667.1</v>
      </c>
      <c r="AC148" s="44"/>
      <c r="AD148" s="62"/>
      <c r="AE148" s="62" t="n">
        <v>256667.1</v>
      </c>
      <c r="AF148" s="62" t="s">
        <v>53</v>
      </c>
      <c r="AG148" s="62" t="n">
        <v>0</v>
      </c>
      <c r="AH148" s="58" t="s">
        <v>24</v>
      </c>
      <c r="AI148" s="44" t="n">
        <v>1</v>
      </c>
      <c r="AJ148" s="44" t="s">
        <v>756</v>
      </c>
      <c r="AK148" s="44" t="s">
        <v>47</v>
      </c>
      <c r="AL148" s="44" t="s">
        <v>756</v>
      </c>
      <c r="AM148" s="44" t="n">
        <v>0</v>
      </c>
      <c r="AN148" s="44"/>
      <c r="AO148" s="44"/>
      <c r="AP148" s="44"/>
      <c r="AQ148" s="45" t="s">
        <v>757</v>
      </c>
      <c r="AR148" s="44" t="s">
        <v>1282</v>
      </c>
      <c r="AS148" s="44"/>
      <c r="AT148" s="44"/>
      <c r="AU148" s="44"/>
      <c r="AV148" s="44"/>
      <c r="AW148" s="44"/>
      <c r="AX148" s="44"/>
      <c r="AY148" s="44"/>
      <c r="AZ148" s="46"/>
    </row>
    <row r="149" customFormat="false" ht="18" hidden="false" customHeight="true" outlineLevel="0" collapsed="false">
      <c r="A149" s="47" t="n">
        <v>113615</v>
      </c>
      <c r="B149" s="48" t="s">
        <v>1651</v>
      </c>
      <c r="C149" s="47" t="n">
        <v>113615</v>
      </c>
      <c r="D149" s="48" t="s">
        <v>1652</v>
      </c>
      <c r="E149" s="48" t="s">
        <v>1585</v>
      </c>
      <c r="F149" s="48" t="s">
        <v>1653</v>
      </c>
      <c r="G149" s="49" t="s">
        <v>1527</v>
      </c>
      <c r="H149" s="48" t="s">
        <v>1328</v>
      </c>
      <c r="I149" s="48" t="s">
        <v>1159</v>
      </c>
      <c r="J149" s="48" t="s">
        <v>1159</v>
      </c>
      <c r="K149" s="48" t="s">
        <v>1159</v>
      </c>
      <c r="L149" s="48" t="s">
        <v>1159</v>
      </c>
      <c r="M149" s="48"/>
      <c r="N149" s="50" t="s">
        <v>1284</v>
      </c>
      <c r="O149" s="51" t="s">
        <v>1649</v>
      </c>
      <c r="P149" s="52" t="n">
        <v>1</v>
      </c>
      <c r="Q149" s="61"/>
      <c r="R149" s="52" t="s">
        <v>1519</v>
      </c>
      <c r="S149" s="52"/>
      <c r="T149" s="52"/>
      <c r="U149" s="53" t="n">
        <v>164020</v>
      </c>
      <c r="V149" s="54" t="n">
        <v>150898.4</v>
      </c>
      <c r="W149" s="55" t="n">
        <v>0.15</v>
      </c>
      <c r="X149" s="52"/>
      <c r="Y149" s="55" t="n">
        <v>0.05</v>
      </c>
      <c r="Z149" s="56" t="n">
        <v>2910</v>
      </c>
      <c r="AA149" s="55" t="n">
        <v>0.03</v>
      </c>
      <c r="AB149" s="57" t="n">
        <v>188515.032</v>
      </c>
      <c r="AC149" s="44"/>
      <c r="AD149" s="62"/>
      <c r="AE149" s="62" t="n">
        <v>188515.032</v>
      </c>
      <c r="AF149" s="62" t="s">
        <v>53</v>
      </c>
      <c r="AG149" s="62" t="n">
        <v>0</v>
      </c>
      <c r="AH149" s="58" t="s">
        <v>32</v>
      </c>
      <c r="AI149" s="44" t="n">
        <v>0</v>
      </c>
      <c r="AJ149" s="44" t="s">
        <v>1328</v>
      </c>
      <c r="AK149" s="44" t="s">
        <v>47</v>
      </c>
      <c r="AL149" s="44" t="s">
        <v>1328</v>
      </c>
      <c r="AM149" s="44" t="n">
        <v>0</v>
      </c>
      <c r="AN149" s="44"/>
      <c r="AO149" s="44"/>
      <c r="AP149" s="44"/>
      <c r="AQ149" s="45" t="s">
        <v>1330</v>
      </c>
      <c r="AR149" s="44" t="s">
        <v>1284</v>
      </c>
      <c r="AS149" s="44"/>
      <c r="AT149" s="44"/>
      <c r="AU149" s="44"/>
      <c r="AV149" s="44"/>
      <c r="AW149" s="44"/>
      <c r="AX149" s="44"/>
      <c r="AY149" s="44"/>
      <c r="AZ149" s="46"/>
    </row>
    <row r="150" customFormat="false" ht="18" hidden="false" customHeight="true" outlineLevel="0" collapsed="false">
      <c r="A150" s="47" t="n">
        <v>113531</v>
      </c>
      <c r="B150" s="48" t="s">
        <v>234</v>
      </c>
      <c r="C150" s="47" t="n">
        <v>113531</v>
      </c>
      <c r="D150" s="48" t="s">
        <v>52</v>
      </c>
      <c r="E150" s="48" t="s">
        <v>305</v>
      </c>
      <c r="F150" s="48" t="s">
        <v>1654</v>
      </c>
      <c r="G150" s="49" t="s">
        <v>1471</v>
      </c>
      <c r="H150" s="48" t="s">
        <v>1472</v>
      </c>
      <c r="I150" s="48" t="s">
        <v>1628</v>
      </c>
      <c r="J150" s="48" t="s">
        <v>1568</v>
      </c>
      <c r="K150" s="48" t="s">
        <v>19</v>
      </c>
      <c r="L150" s="48" t="s">
        <v>218</v>
      </c>
      <c r="M150" s="48"/>
      <c r="N150" s="50" t="s">
        <v>1284</v>
      </c>
      <c r="O150" s="51" t="s">
        <v>1649</v>
      </c>
      <c r="P150" s="52" t="n">
        <v>1</v>
      </c>
      <c r="Q150" s="61"/>
      <c r="R150" s="52" t="s">
        <v>1519</v>
      </c>
      <c r="S150" s="52"/>
      <c r="T150" s="52"/>
      <c r="U150" s="53" t="n">
        <v>161990</v>
      </c>
      <c r="V150" s="54" t="n">
        <v>149030.8</v>
      </c>
      <c r="W150" s="55" t="n">
        <v>0.15</v>
      </c>
      <c r="X150" s="52"/>
      <c r="Y150" s="55" t="n">
        <v>0.05</v>
      </c>
      <c r="Z150" s="56" t="n">
        <v>2910</v>
      </c>
      <c r="AA150" s="55" t="n">
        <v>0.03</v>
      </c>
      <c r="AB150" s="57" t="n">
        <v>186217.884</v>
      </c>
      <c r="AC150" s="44"/>
      <c r="AD150" s="62"/>
      <c r="AE150" s="62" t="n">
        <v>186217.884</v>
      </c>
      <c r="AF150" s="62" t="s">
        <v>53</v>
      </c>
      <c r="AG150" s="62" t="n">
        <v>0</v>
      </c>
      <c r="AH150" s="58" t="s">
        <v>16</v>
      </c>
      <c r="AI150" s="44" t="n">
        <v>0</v>
      </c>
      <c r="AJ150" s="44" t="s">
        <v>218</v>
      </c>
      <c r="AK150" s="44" t="s">
        <v>47</v>
      </c>
      <c r="AL150" s="44" t="s">
        <v>218</v>
      </c>
      <c r="AM150" s="44" t="n">
        <v>0</v>
      </c>
      <c r="AN150" s="44"/>
      <c r="AO150" s="44"/>
      <c r="AP150" s="44"/>
      <c r="AQ150" s="45" t="s">
        <v>233</v>
      </c>
      <c r="AR150" s="44" t="s">
        <v>1284</v>
      </c>
      <c r="AS150" s="44"/>
      <c r="AT150" s="44"/>
      <c r="AU150" s="44"/>
      <c r="AV150" s="44"/>
      <c r="AW150" s="44"/>
      <c r="AX150" s="44"/>
      <c r="AY150" s="44"/>
      <c r="AZ150" s="46"/>
    </row>
    <row r="151" customFormat="false" ht="18" hidden="false" customHeight="true" outlineLevel="0" collapsed="false">
      <c r="A151" s="47" t="n">
        <v>116260</v>
      </c>
      <c r="B151" s="48" t="s">
        <v>255</v>
      </c>
      <c r="C151" s="47" t="n">
        <v>116260</v>
      </c>
      <c r="D151" s="48" t="s">
        <v>52</v>
      </c>
      <c r="E151" s="48" t="s">
        <v>305</v>
      </c>
      <c r="F151" s="48" t="s">
        <v>1654</v>
      </c>
      <c r="G151" s="49" t="s">
        <v>1471</v>
      </c>
      <c r="H151" s="48" t="s">
        <v>1472</v>
      </c>
      <c r="I151" s="48" t="s">
        <v>1628</v>
      </c>
      <c r="J151" s="48" t="s">
        <v>1568</v>
      </c>
      <c r="K151" s="48" t="s">
        <v>19</v>
      </c>
      <c r="L151" s="48" t="s">
        <v>1655</v>
      </c>
      <c r="M151" s="48"/>
      <c r="N151" s="50" t="s">
        <v>1284</v>
      </c>
      <c r="O151" s="51" t="s">
        <v>1649</v>
      </c>
      <c r="P151" s="52" t="n">
        <v>1</v>
      </c>
      <c r="Q151" s="61"/>
      <c r="R151" s="52" t="s">
        <v>1519</v>
      </c>
      <c r="S151" s="52"/>
      <c r="T151" s="52"/>
      <c r="U151" s="53" t="n">
        <v>180000</v>
      </c>
      <c r="V151" s="54" t="n">
        <v>165600</v>
      </c>
      <c r="W151" s="55" t="n">
        <v>0.15</v>
      </c>
      <c r="X151" s="52"/>
      <c r="Y151" s="55" t="n">
        <v>0.05</v>
      </c>
      <c r="Z151" s="56" t="n">
        <v>2910</v>
      </c>
      <c r="AA151" s="55" t="n">
        <v>0.03</v>
      </c>
      <c r="AB151" s="57" t="n">
        <v>206598</v>
      </c>
      <c r="AC151" s="44"/>
      <c r="AD151" s="62"/>
      <c r="AE151" s="62" t="n">
        <v>206598</v>
      </c>
      <c r="AF151" s="62" t="s">
        <v>53</v>
      </c>
      <c r="AG151" s="62" t="n">
        <v>0</v>
      </c>
      <c r="AH151" s="58" t="s">
        <v>16</v>
      </c>
      <c r="AI151" s="44" t="n">
        <v>0</v>
      </c>
      <c r="AJ151" s="44" t="s">
        <v>224</v>
      </c>
      <c r="AK151" s="44" t="s">
        <v>47</v>
      </c>
      <c r="AL151" s="44" t="s">
        <v>224</v>
      </c>
      <c r="AM151" s="44" t="n">
        <v>0</v>
      </c>
      <c r="AN151" s="44"/>
      <c r="AO151" s="44"/>
      <c r="AP151" s="44"/>
      <c r="AQ151" s="45" t="s">
        <v>254</v>
      </c>
      <c r="AR151" s="44" t="s">
        <v>1284</v>
      </c>
      <c r="AS151" s="44"/>
      <c r="AT151" s="44"/>
      <c r="AU151" s="44"/>
      <c r="AV151" s="44"/>
      <c r="AW151" s="44"/>
      <c r="AX151" s="44"/>
      <c r="AY151" s="44"/>
      <c r="AZ151" s="46"/>
    </row>
    <row r="152" customFormat="false" ht="18" hidden="false" customHeight="true" outlineLevel="0" collapsed="false">
      <c r="A152" s="47" t="n">
        <v>113566</v>
      </c>
      <c r="B152" s="48" t="s">
        <v>236</v>
      </c>
      <c r="C152" s="47" t="n">
        <v>113566</v>
      </c>
      <c r="D152" s="48" t="s">
        <v>118</v>
      </c>
      <c r="E152" s="48" t="s">
        <v>305</v>
      </c>
      <c r="F152" s="48" t="s">
        <v>1654</v>
      </c>
      <c r="G152" s="49" t="s">
        <v>1471</v>
      </c>
      <c r="H152" s="48" t="s">
        <v>1472</v>
      </c>
      <c r="I152" s="48" t="s">
        <v>1628</v>
      </c>
      <c r="J152" s="48" t="s">
        <v>1568</v>
      </c>
      <c r="K152" s="48" t="s">
        <v>19</v>
      </c>
      <c r="L152" s="48" t="s">
        <v>218</v>
      </c>
      <c r="M152" s="48"/>
      <c r="N152" s="50" t="s">
        <v>1284</v>
      </c>
      <c r="O152" s="51" t="s">
        <v>1649</v>
      </c>
      <c r="P152" s="52" t="n">
        <v>1</v>
      </c>
      <c r="Q152" s="61"/>
      <c r="R152" s="52" t="s">
        <v>1519</v>
      </c>
      <c r="S152" s="52"/>
      <c r="T152" s="52"/>
      <c r="U152" s="53" t="n">
        <v>72000</v>
      </c>
      <c r="V152" s="54" t="n">
        <v>66240</v>
      </c>
      <c r="W152" s="55" t="n">
        <v>0.1</v>
      </c>
      <c r="X152" s="52"/>
      <c r="Y152" s="55" t="n">
        <v>0.05</v>
      </c>
      <c r="Z152" s="56" t="n">
        <v>2910</v>
      </c>
      <c r="AA152" s="55" t="n">
        <v>0.03</v>
      </c>
      <c r="AB152" s="57" t="n">
        <v>81073.2</v>
      </c>
      <c r="AC152" s="44"/>
      <c r="AD152" s="62"/>
      <c r="AE152" s="62" t="n">
        <v>81073.2</v>
      </c>
      <c r="AF152" s="62" t="s">
        <v>53</v>
      </c>
      <c r="AG152" s="62" t="n">
        <v>0</v>
      </c>
      <c r="AH152" s="58" t="s">
        <v>16</v>
      </c>
      <c r="AI152" s="44" t="n">
        <v>0</v>
      </c>
      <c r="AJ152" s="44" t="s">
        <v>218</v>
      </c>
      <c r="AK152" s="44" t="s">
        <v>47</v>
      </c>
      <c r="AL152" s="44" t="s">
        <v>218</v>
      </c>
      <c r="AM152" s="44" t="n">
        <v>0</v>
      </c>
      <c r="AN152" s="44"/>
      <c r="AO152" s="44"/>
      <c r="AP152" s="44"/>
      <c r="AQ152" s="45" t="s">
        <v>235</v>
      </c>
      <c r="AR152" s="44" t="s">
        <v>1284</v>
      </c>
      <c r="AS152" s="44"/>
      <c r="AT152" s="44"/>
      <c r="AU152" s="44"/>
      <c r="AV152" s="44"/>
      <c r="AW152" s="44"/>
      <c r="AX152" s="44"/>
      <c r="AY152" s="44"/>
      <c r="AZ152" s="46"/>
    </row>
    <row r="153" customFormat="false" ht="18" hidden="false" customHeight="true" outlineLevel="0" collapsed="false">
      <c r="A153" s="47" t="n">
        <v>113622</v>
      </c>
      <c r="B153" s="48" t="s">
        <v>238</v>
      </c>
      <c r="C153" s="47" t="n">
        <v>113622</v>
      </c>
      <c r="D153" s="48" t="s">
        <v>118</v>
      </c>
      <c r="E153" s="48" t="s">
        <v>305</v>
      </c>
      <c r="F153" s="48" t="s">
        <v>1654</v>
      </c>
      <c r="G153" s="49" t="s">
        <v>1471</v>
      </c>
      <c r="H153" s="48" t="s">
        <v>1472</v>
      </c>
      <c r="I153" s="48" t="s">
        <v>1628</v>
      </c>
      <c r="J153" s="48" t="s">
        <v>1568</v>
      </c>
      <c r="K153" s="48" t="s">
        <v>19</v>
      </c>
      <c r="L153" s="48" t="s">
        <v>218</v>
      </c>
      <c r="M153" s="48"/>
      <c r="N153" s="50" t="s">
        <v>1284</v>
      </c>
      <c r="O153" s="51" t="s">
        <v>1649</v>
      </c>
      <c r="P153" s="52" t="n">
        <v>1</v>
      </c>
      <c r="Q153" s="61"/>
      <c r="R153" s="52" t="s">
        <v>1519</v>
      </c>
      <c r="S153" s="52"/>
      <c r="T153" s="52"/>
      <c r="U153" s="53" t="n">
        <v>174080</v>
      </c>
      <c r="V153" s="54" t="n">
        <v>160153.6</v>
      </c>
      <c r="W153" s="55" t="n">
        <v>0.15</v>
      </c>
      <c r="X153" s="52"/>
      <c r="Y153" s="55" t="n">
        <v>0.05</v>
      </c>
      <c r="Z153" s="56" t="n">
        <v>2910</v>
      </c>
      <c r="AA153" s="55" t="n">
        <v>0.03</v>
      </c>
      <c r="AB153" s="57" t="n">
        <v>199898.928</v>
      </c>
      <c r="AC153" s="44"/>
      <c r="AD153" s="62"/>
      <c r="AE153" s="62" t="n">
        <v>199898.928</v>
      </c>
      <c r="AF153" s="62" t="s">
        <v>53</v>
      </c>
      <c r="AG153" s="62" t="n">
        <v>0</v>
      </c>
      <c r="AH153" s="58" t="s">
        <v>16</v>
      </c>
      <c r="AI153" s="44" t="n">
        <v>0</v>
      </c>
      <c r="AJ153" s="44" t="s">
        <v>218</v>
      </c>
      <c r="AK153" s="44" t="s">
        <v>47</v>
      </c>
      <c r="AL153" s="44" t="s">
        <v>218</v>
      </c>
      <c r="AM153" s="44" t="n">
        <v>0</v>
      </c>
      <c r="AN153" s="44"/>
      <c r="AO153" s="44"/>
      <c r="AP153" s="44"/>
      <c r="AQ153" s="45" t="s">
        <v>237</v>
      </c>
      <c r="AR153" s="44" t="s">
        <v>1284</v>
      </c>
      <c r="AS153" s="44"/>
      <c r="AT153" s="44"/>
      <c r="AU153" s="44"/>
      <c r="AV153" s="44"/>
      <c r="AW153" s="44"/>
      <c r="AX153" s="44"/>
      <c r="AY153" s="44"/>
      <c r="AZ153" s="46"/>
    </row>
    <row r="154" customFormat="false" ht="18" hidden="false" customHeight="true" outlineLevel="0" collapsed="false">
      <c r="A154" s="47" t="n">
        <v>83003</v>
      </c>
      <c r="B154" s="48" t="s">
        <v>771</v>
      </c>
      <c r="C154" s="47" t="n">
        <v>83003</v>
      </c>
      <c r="D154" s="48" t="s">
        <v>772</v>
      </c>
      <c r="E154" s="48" t="s">
        <v>804</v>
      </c>
      <c r="F154" s="48" t="s">
        <v>1656</v>
      </c>
      <c r="G154" s="49" t="s">
        <v>30</v>
      </c>
      <c r="H154" s="48" t="s">
        <v>1297</v>
      </c>
      <c r="I154" s="48" t="s">
        <v>1637</v>
      </c>
      <c r="J154" s="48" t="s">
        <v>26</v>
      </c>
      <c r="K154" s="48" t="s">
        <v>26</v>
      </c>
      <c r="L154" s="48" t="s">
        <v>26</v>
      </c>
      <c r="M154" s="48"/>
      <c r="N154" s="50" t="s">
        <v>1443</v>
      </c>
      <c r="O154" s="51" t="s">
        <v>1649</v>
      </c>
      <c r="P154" s="52" t="n">
        <v>1</v>
      </c>
      <c r="Q154" s="61"/>
      <c r="R154" s="52" t="s">
        <v>1519</v>
      </c>
      <c r="S154" s="52"/>
      <c r="T154" s="52"/>
      <c r="U154" s="53" t="n">
        <v>178250</v>
      </c>
      <c r="V154" s="54" t="n">
        <v>178250</v>
      </c>
      <c r="W154" s="55" t="n">
        <v>0.12</v>
      </c>
      <c r="X154" s="52" t="n">
        <v>0.055</v>
      </c>
      <c r="Y154" s="55" t="n">
        <v>0.12</v>
      </c>
      <c r="Z154" s="56"/>
      <c r="AA154" s="55" t="n">
        <v>0.04</v>
      </c>
      <c r="AB154" s="57" t="n">
        <v>237963.75</v>
      </c>
      <c r="AC154" s="44"/>
      <c r="AD154" s="62"/>
      <c r="AE154" s="62" t="n">
        <v>237963.75</v>
      </c>
      <c r="AF154" s="62" t="s">
        <v>53</v>
      </c>
      <c r="AG154" s="62" t="n">
        <v>0</v>
      </c>
      <c r="AH154" s="58" t="s">
        <v>26</v>
      </c>
      <c r="AI154" s="44" t="n">
        <v>0</v>
      </c>
      <c r="AJ154" s="44" t="s">
        <v>26</v>
      </c>
      <c r="AK154" s="44" t="s">
        <v>47</v>
      </c>
      <c r="AL154" s="44" t="s">
        <v>26</v>
      </c>
      <c r="AM154" s="44" t="n">
        <v>0</v>
      </c>
      <c r="AN154" s="44"/>
      <c r="AO154" s="44"/>
      <c r="AP154" s="44"/>
      <c r="AQ154" s="45" t="s">
        <v>770</v>
      </c>
      <c r="AR154" s="44" t="s">
        <v>1282</v>
      </c>
      <c r="AS154" s="44"/>
      <c r="AT154" s="44"/>
      <c r="AU154" s="44"/>
      <c r="AV154" s="44"/>
      <c r="AW154" s="44"/>
      <c r="AX154" s="44"/>
      <c r="AY154" s="44"/>
      <c r="AZ154" s="46"/>
    </row>
    <row r="155" customFormat="false" ht="18" hidden="false" customHeight="true" outlineLevel="0" collapsed="false">
      <c r="A155" s="47" t="n">
        <v>108123</v>
      </c>
      <c r="B155" s="48" t="s">
        <v>774</v>
      </c>
      <c r="C155" s="47" t="n">
        <v>108123</v>
      </c>
      <c r="D155" s="48" t="s">
        <v>52</v>
      </c>
      <c r="E155" s="48" t="s">
        <v>804</v>
      </c>
      <c r="F155" s="48" t="s">
        <v>1656</v>
      </c>
      <c r="G155" s="49" t="s">
        <v>30</v>
      </c>
      <c r="H155" s="48" t="s">
        <v>1297</v>
      </c>
      <c r="I155" s="48" t="s">
        <v>1637</v>
      </c>
      <c r="J155" s="48" t="s">
        <v>26</v>
      </c>
      <c r="K155" s="48" t="s">
        <v>26</v>
      </c>
      <c r="L155" s="48" t="s">
        <v>26</v>
      </c>
      <c r="M155" s="48"/>
      <c r="N155" s="50" t="s">
        <v>1443</v>
      </c>
      <c r="O155" s="51" t="s">
        <v>1649</v>
      </c>
      <c r="P155" s="52" t="n">
        <v>1</v>
      </c>
      <c r="Q155" s="61"/>
      <c r="R155" s="52" t="s">
        <v>1519</v>
      </c>
      <c r="S155" s="52"/>
      <c r="T155" s="52"/>
      <c r="U155" s="53" t="n">
        <v>204000</v>
      </c>
      <c r="V155" s="54" t="n">
        <v>204000</v>
      </c>
      <c r="W155" s="55" t="n">
        <v>0.12</v>
      </c>
      <c r="X155" s="52" t="n">
        <v>0.055</v>
      </c>
      <c r="Y155" s="55" t="n">
        <v>0.12</v>
      </c>
      <c r="Z155" s="56"/>
      <c r="AA155" s="55" t="n">
        <v>0.04</v>
      </c>
      <c r="AB155" s="57" t="n">
        <v>272340</v>
      </c>
      <c r="AC155" s="44"/>
      <c r="AD155" s="62"/>
      <c r="AE155" s="62" t="n">
        <v>272340</v>
      </c>
      <c r="AF155" s="62" t="s">
        <v>53</v>
      </c>
      <c r="AG155" s="62" t="n">
        <v>0</v>
      </c>
      <c r="AH155" s="58" t="s">
        <v>26</v>
      </c>
      <c r="AI155" s="44" t="n">
        <v>0</v>
      </c>
      <c r="AJ155" s="44" t="s">
        <v>26</v>
      </c>
      <c r="AK155" s="44" t="s">
        <v>47</v>
      </c>
      <c r="AL155" s="44" t="s">
        <v>26</v>
      </c>
      <c r="AM155" s="44" t="n">
        <v>0</v>
      </c>
      <c r="AN155" s="44"/>
      <c r="AO155" s="44"/>
      <c r="AP155" s="44"/>
      <c r="AQ155" s="45" t="s">
        <v>773</v>
      </c>
      <c r="AR155" s="44" t="s">
        <v>1282</v>
      </c>
      <c r="AS155" s="44"/>
      <c r="AT155" s="44"/>
      <c r="AU155" s="44"/>
      <c r="AV155" s="44"/>
      <c r="AW155" s="44"/>
      <c r="AX155" s="44"/>
      <c r="AY155" s="44"/>
      <c r="AZ155" s="46"/>
    </row>
    <row r="156" customFormat="false" ht="18" hidden="false" customHeight="true" outlineLevel="0" collapsed="false">
      <c r="A156" s="47" t="n">
        <v>93476</v>
      </c>
      <c r="B156" s="48" t="s">
        <v>776</v>
      </c>
      <c r="C156" s="47" t="n">
        <v>93476</v>
      </c>
      <c r="D156" s="48" t="s">
        <v>777</v>
      </c>
      <c r="E156" s="48" t="s">
        <v>804</v>
      </c>
      <c r="F156" s="48" t="s">
        <v>1656</v>
      </c>
      <c r="G156" s="49" t="s">
        <v>30</v>
      </c>
      <c r="H156" s="48" t="s">
        <v>1297</v>
      </c>
      <c r="I156" s="48" t="s">
        <v>1637</v>
      </c>
      <c r="J156" s="48" t="s">
        <v>26</v>
      </c>
      <c r="K156" s="48" t="s">
        <v>26</v>
      </c>
      <c r="L156" s="48" t="s">
        <v>26</v>
      </c>
      <c r="M156" s="48"/>
      <c r="N156" s="50" t="s">
        <v>1443</v>
      </c>
      <c r="O156" s="51" t="s">
        <v>1649</v>
      </c>
      <c r="P156" s="52" t="n">
        <v>1</v>
      </c>
      <c r="Q156" s="61"/>
      <c r="R156" s="52" t="s">
        <v>1519</v>
      </c>
      <c r="S156" s="52"/>
      <c r="T156" s="52"/>
      <c r="U156" s="53" t="n">
        <v>175410</v>
      </c>
      <c r="V156" s="54" t="n">
        <v>175410</v>
      </c>
      <c r="W156" s="55" t="n">
        <v>0.12</v>
      </c>
      <c r="X156" s="52" t="n">
        <v>0.055</v>
      </c>
      <c r="Y156" s="55" t="n">
        <v>0.12</v>
      </c>
      <c r="Z156" s="56"/>
      <c r="AA156" s="55" t="n">
        <v>0.04</v>
      </c>
      <c r="AB156" s="57" t="n">
        <v>234172.35</v>
      </c>
      <c r="AC156" s="44"/>
      <c r="AD156" s="62"/>
      <c r="AE156" s="62" t="n">
        <v>234172.35</v>
      </c>
      <c r="AF156" s="62" t="s">
        <v>53</v>
      </c>
      <c r="AG156" s="62" t="n">
        <v>0</v>
      </c>
      <c r="AH156" s="58" t="s">
        <v>26</v>
      </c>
      <c r="AI156" s="44" t="n">
        <v>0</v>
      </c>
      <c r="AJ156" s="44" t="s">
        <v>26</v>
      </c>
      <c r="AK156" s="44" t="s">
        <v>47</v>
      </c>
      <c r="AL156" s="44" t="s">
        <v>26</v>
      </c>
      <c r="AM156" s="44" t="n">
        <v>0</v>
      </c>
      <c r="AN156" s="44"/>
      <c r="AO156" s="44"/>
      <c r="AP156" s="44"/>
      <c r="AQ156" s="45" t="s">
        <v>775</v>
      </c>
      <c r="AR156" s="44" t="s">
        <v>1282</v>
      </c>
      <c r="AS156" s="44"/>
      <c r="AT156" s="44"/>
      <c r="AU156" s="44"/>
      <c r="AV156" s="44"/>
      <c r="AW156" s="44"/>
      <c r="AX156" s="44"/>
      <c r="AY156" s="44"/>
      <c r="AZ156" s="46"/>
    </row>
    <row r="157" customFormat="false" ht="18" hidden="false" customHeight="true" outlineLevel="0" collapsed="false">
      <c r="A157" s="47" t="n">
        <v>114683</v>
      </c>
      <c r="B157" s="48" t="s">
        <v>1657</v>
      </c>
      <c r="C157" s="47" t="n">
        <v>114683</v>
      </c>
      <c r="D157" s="48" t="s">
        <v>1658</v>
      </c>
      <c r="E157" s="48" t="s">
        <v>1589</v>
      </c>
      <c r="F157" s="48" t="s">
        <v>1590</v>
      </c>
      <c r="G157" s="49" t="s">
        <v>1527</v>
      </c>
      <c r="H157" s="48" t="s">
        <v>1322</v>
      </c>
      <c r="I157" s="48" t="s">
        <v>1159</v>
      </c>
      <c r="J157" s="48" t="s">
        <v>1159</v>
      </c>
      <c r="K157" s="48" t="s">
        <v>1159</v>
      </c>
      <c r="L157" s="48" t="s">
        <v>1159</v>
      </c>
      <c r="M157" s="48"/>
      <c r="N157" s="50" t="s">
        <v>1443</v>
      </c>
      <c r="O157" s="51" t="s">
        <v>1649</v>
      </c>
      <c r="P157" s="52" t="n">
        <v>1</v>
      </c>
      <c r="Q157" s="61"/>
      <c r="R157" s="52" t="s">
        <v>1519</v>
      </c>
      <c r="S157" s="52"/>
      <c r="T157" s="52"/>
      <c r="U157" s="53" t="n">
        <v>165000</v>
      </c>
      <c r="V157" s="54" t="n">
        <v>165000</v>
      </c>
      <c r="W157" s="55" t="n">
        <v>0.12</v>
      </c>
      <c r="X157" s="52" t="n">
        <v>0.055</v>
      </c>
      <c r="Y157" s="55" t="n">
        <v>0.12</v>
      </c>
      <c r="Z157" s="56"/>
      <c r="AA157" s="55" t="n">
        <v>0.04</v>
      </c>
      <c r="AB157" s="57" t="n">
        <v>220275</v>
      </c>
      <c r="AC157" s="44"/>
      <c r="AD157" s="62"/>
      <c r="AE157" s="62" t="n">
        <v>220275</v>
      </c>
      <c r="AF157" s="62" t="s">
        <v>53</v>
      </c>
      <c r="AG157" s="62" t="n">
        <v>0</v>
      </c>
      <c r="AH157" s="58" t="s">
        <v>32</v>
      </c>
      <c r="AI157" s="44" t="n">
        <v>0</v>
      </c>
      <c r="AJ157" s="44" t="s">
        <v>1322</v>
      </c>
      <c r="AK157" s="44" t="s">
        <v>47</v>
      </c>
      <c r="AL157" s="44" t="s">
        <v>1322</v>
      </c>
      <c r="AM157" s="44" t="n">
        <v>0</v>
      </c>
      <c r="AN157" s="44"/>
      <c r="AO157" s="44"/>
      <c r="AP157" s="44"/>
      <c r="AQ157" s="45" t="s">
        <v>1323</v>
      </c>
      <c r="AR157" s="44" t="s">
        <v>1282</v>
      </c>
      <c r="AS157" s="44"/>
      <c r="AT157" s="44"/>
      <c r="AU157" s="44"/>
      <c r="AV157" s="44"/>
      <c r="AW157" s="44"/>
      <c r="AX157" s="44"/>
      <c r="AY157" s="44"/>
      <c r="AZ157" s="46"/>
    </row>
    <row r="158" customFormat="false" ht="18" hidden="false" customHeight="true" outlineLevel="0" collapsed="false">
      <c r="A158" s="47" t="s">
        <v>1507</v>
      </c>
      <c r="B158" s="48" t="s">
        <v>69</v>
      </c>
      <c r="C158" s="47" t="s">
        <v>1507</v>
      </c>
      <c r="D158" s="48" t="s">
        <v>824</v>
      </c>
      <c r="E158" s="48" t="s">
        <v>1659</v>
      </c>
      <c r="F158" s="48" t="s">
        <v>829</v>
      </c>
      <c r="G158" s="49" t="s">
        <v>30</v>
      </c>
      <c r="H158" s="48" t="s">
        <v>1297</v>
      </c>
      <c r="I158" s="48" t="s">
        <v>1638</v>
      </c>
      <c r="J158" s="48" t="s">
        <v>28</v>
      </c>
      <c r="K158" s="48" t="s">
        <v>1154</v>
      </c>
      <c r="L158" s="48" t="s">
        <v>810</v>
      </c>
      <c r="M158" s="48"/>
      <c r="N158" s="50" t="s">
        <v>1443</v>
      </c>
      <c r="O158" s="51" t="s">
        <v>1649</v>
      </c>
      <c r="P158" s="52" t="n">
        <v>1</v>
      </c>
      <c r="Q158" s="61"/>
      <c r="R158" s="52" t="s">
        <v>1513</v>
      </c>
      <c r="S158" s="52"/>
      <c r="T158" s="52"/>
      <c r="U158" s="53" t="n">
        <v>173550</v>
      </c>
      <c r="V158" s="54" t="n">
        <v>173550</v>
      </c>
      <c r="W158" s="55" t="n">
        <v>0.12</v>
      </c>
      <c r="X158" s="52" t="n">
        <v>0.055</v>
      </c>
      <c r="Y158" s="55" t="n">
        <v>0.12</v>
      </c>
      <c r="Z158" s="56"/>
      <c r="AA158" s="55" t="n">
        <v>0.04</v>
      </c>
      <c r="AB158" s="57" t="n">
        <v>231689.25</v>
      </c>
      <c r="AC158" s="44"/>
      <c r="AD158" s="62"/>
      <c r="AE158" s="62" t="n">
        <v>231689.25</v>
      </c>
      <c r="AF158" s="62" t="s">
        <v>69</v>
      </c>
      <c r="AG158" s="62" t="n">
        <v>0</v>
      </c>
      <c r="AH158" s="58" t="s">
        <v>28</v>
      </c>
      <c r="AI158" s="44" t="n">
        <v>0</v>
      </c>
      <c r="AJ158" s="44" t="s">
        <v>810</v>
      </c>
      <c r="AK158" s="44" t="s">
        <v>47</v>
      </c>
      <c r="AL158" s="44" t="s">
        <v>810</v>
      </c>
      <c r="AM158" s="44" t="n">
        <v>0</v>
      </c>
      <c r="AN158" s="44"/>
      <c r="AO158" s="44"/>
      <c r="AP158" s="44"/>
      <c r="AQ158" s="45" t="s">
        <v>823</v>
      </c>
      <c r="AR158" s="44" t="s">
        <v>1282</v>
      </c>
      <c r="AS158" s="44"/>
      <c r="AT158" s="44"/>
      <c r="AU158" s="44"/>
      <c r="AV158" s="44"/>
      <c r="AW158" s="44"/>
      <c r="AX158" s="44"/>
      <c r="AY158" s="44"/>
      <c r="AZ158" s="46"/>
    </row>
    <row r="159" customFormat="false" ht="18" hidden="false" customHeight="true" outlineLevel="0" collapsed="false">
      <c r="A159" s="47" t="n">
        <v>99691</v>
      </c>
      <c r="B159" s="48" t="s">
        <v>616</v>
      </c>
      <c r="C159" s="47" t="n">
        <v>99691</v>
      </c>
      <c r="D159" s="48" t="s">
        <v>617</v>
      </c>
      <c r="E159" s="48" t="s">
        <v>687</v>
      </c>
      <c r="F159" s="48" t="s">
        <v>685</v>
      </c>
      <c r="G159" s="49" t="s">
        <v>1461</v>
      </c>
      <c r="H159" s="48" t="s">
        <v>1562</v>
      </c>
      <c r="I159" s="48" t="s">
        <v>1599</v>
      </c>
      <c r="J159" s="48" t="s">
        <v>1562</v>
      </c>
      <c r="K159" s="48" t="s">
        <v>613</v>
      </c>
      <c r="L159" s="48" t="s">
        <v>613</v>
      </c>
      <c r="M159" s="48"/>
      <c r="N159" s="50" t="s">
        <v>1443</v>
      </c>
      <c r="O159" s="51" t="s">
        <v>1649</v>
      </c>
      <c r="P159" s="52" t="n">
        <v>1</v>
      </c>
      <c r="Q159" s="61"/>
      <c r="R159" s="52" t="s">
        <v>1519</v>
      </c>
      <c r="S159" s="52"/>
      <c r="T159" s="52"/>
      <c r="U159" s="53" t="n">
        <v>167510</v>
      </c>
      <c r="V159" s="54" t="n">
        <v>167510</v>
      </c>
      <c r="W159" s="55" t="n">
        <v>0.12</v>
      </c>
      <c r="X159" s="52" t="n">
        <v>0.055</v>
      </c>
      <c r="Y159" s="55" t="n">
        <v>0.12</v>
      </c>
      <c r="Z159" s="56"/>
      <c r="AA159" s="55" t="n">
        <v>0.04</v>
      </c>
      <c r="AB159" s="57" t="n">
        <v>223625.85</v>
      </c>
      <c r="AC159" s="44"/>
      <c r="AD159" s="62"/>
      <c r="AE159" s="62" t="n">
        <v>223625.85</v>
      </c>
      <c r="AF159" s="62" t="s">
        <v>53</v>
      </c>
      <c r="AG159" s="62" t="n">
        <v>0</v>
      </c>
      <c r="AH159" s="58" t="s">
        <v>22</v>
      </c>
      <c r="AI159" s="44" t="n">
        <v>0</v>
      </c>
      <c r="AJ159" s="44" t="s">
        <v>613</v>
      </c>
      <c r="AK159" s="44" t="s">
        <v>47</v>
      </c>
      <c r="AL159" s="44" t="s">
        <v>613</v>
      </c>
      <c r="AM159" s="44" t="n">
        <v>0</v>
      </c>
      <c r="AN159" s="44"/>
      <c r="AO159" s="44"/>
      <c r="AP159" s="44"/>
      <c r="AQ159" s="45" t="s">
        <v>615</v>
      </c>
      <c r="AR159" s="44" t="s">
        <v>1282</v>
      </c>
      <c r="AS159" s="44"/>
      <c r="AT159" s="44"/>
      <c r="AU159" s="44"/>
      <c r="AV159" s="44"/>
      <c r="AW159" s="44"/>
      <c r="AX159" s="44"/>
      <c r="AY159" s="44"/>
      <c r="AZ159" s="46"/>
    </row>
    <row r="160" customFormat="false" ht="18" hidden="false" customHeight="true" outlineLevel="0" collapsed="false">
      <c r="A160" s="47" t="n">
        <v>114723</v>
      </c>
      <c r="B160" s="48" t="s">
        <v>619</v>
      </c>
      <c r="C160" s="47" t="n">
        <v>114723</v>
      </c>
      <c r="D160" s="48" t="s">
        <v>620</v>
      </c>
      <c r="E160" s="48" t="s">
        <v>687</v>
      </c>
      <c r="F160" s="48" t="s">
        <v>685</v>
      </c>
      <c r="G160" s="49" t="s">
        <v>1461</v>
      </c>
      <c r="H160" s="48" t="s">
        <v>1562</v>
      </c>
      <c r="I160" s="48" t="s">
        <v>1599</v>
      </c>
      <c r="J160" s="48" t="s">
        <v>1562</v>
      </c>
      <c r="K160" s="48" t="s">
        <v>613</v>
      </c>
      <c r="L160" s="48" t="s">
        <v>613</v>
      </c>
      <c r="M160" s="48"/>
      <c r="N160" s="50" t="s">
        <v>1443</v>
      </c>
      <c r="O160" s="51" t="s">
        <v>1649</v>
      </c>
      <c r="P160" s="52" t="n">
        <v>1</v>
      </c>
      <c r="Q160" s="63"/>
      <c r="R160" s="52" t="s">
        <v>1519</v>
      </c>
      <c r="S160" s="52"/>
      <c r="T160" s="52"/>
      <c r="U160" s="53" t="n">
        <v>166000</v>
      </c>
      <c r="V160" s="54" t="n">
        <v>166000</v>
      </c>
      <c r="W160" s="55" t="n">
        <v>0.12</v>
      </c>
      <c r="X160" s="52" t="n">
        <v>0.055</v>
      </c>
      <c r="Y160" s="55" t="n">
        <v>0.12</v>
      </c>
      <c r="Z160" s="56"/>
      <c r="AA160" s="55" t="n">
        <v>0.04</v>
      </c>
      <c r="AB160" s="57" t="n">
        <v>221610</v>
      </c>
      <c r="AC160" s="44"/>
      <c r="AD160" s="62"/>
      <c r="AE160" s="62" t="n">
        <v>221610</v>
      </c>
      <c r="AF160" s="62" t="s">
        <v>53</v>
      </c>
      <c r="AG160" s="62" t="n">
        <v>0</v>
      </c>
      <c r="AH160" s="58" t="s">
        <v>22</v>
      </c>
      <c r="AI160" s="44" t="n">
        <v>0</v>
      </c>
      <c r="AJ160" s="44" t="s">
        <v>613</v>
      </c>
      <c r="AK160" s="44" t="s">
        <v>47</v>
      </c>
      <c r="AL160" s="44" t="s">
        <v>613</v>
      </c>
      <c r="AM160" s="44" t="n">
        <v>0</v>
      </c>
      <c r="AN160" s="44"/>
      <c r="AO160" s="44"/>
      <c r="AP160" s="44"/>
      <c r="AQ160" s="45" t="s">
        <v>618</v>
      </c>
      <c r="AR160" s="44" t="s">
        <v>1282</v>
      </c>
      <c r="AS160" s="44"/>
      <c r="AT160" s="44"/>
      <c r="AU160" s="44"/>
      <c r="AV160" s="44"/>
      <c r="AW160" s="44"/>
      <c r="AX160" s="44"/>
      <c r="AY160" s="44"/>
      <c r="AZ160" s="46"/>
    </row>
    <row r="161" customFormat="false" ht="18" hidden="false" customHeight="true" outlineLevel="0" collapsed="false">
      <c r="A161" s="47" t="s">
        <v>1507</v>
      </c>
      <c r="B161" s="48" t="s">
        <v>69</v>
      </c>
      <c r="C161" s="47" t="s">
        <v>1507</v>
      </c>
      <c r="D161" s="48" t="s">
        <v>52</v>
      </c>
      <c r="E161" s="48" t="s">
        <v>687</v>
      </c>
      <c r="F161" s="48" t="s">
        <v>685</v>
      </c>
      <c r="G161" s="49" t="s">
        <v>1461</v>
      </c>
      <c r="H161" s="48" t="s">
        <v>1562</v>
      </c>
      <c r="I161" s="48" t="s">
        <v>1599</v>
      </c>
      <c r="J161" s="48" t="s">
        <v>1562</v>
      </c>
      <c r="K161" s="48" t="s">
        <v>613</v>
      </c>
      <c r="L161" s="48" t="s">
        <v>613</v>
      </c>
      <c r="M161" s="48"/>
      <c r="N161" s="50" t="s">
        <v>1458</v>
      </c>
      <c r="O161" s="51" t="s">
        <v>1649</v>
      </c>
      <c r="P161" s="52" t="n">
        <v>1</v>
      </c>
      <c r="Q161" s="61"/>
      <c r="R161" s="52" t="s">
        <v>1513</v>
      </c>
      <c r="S161" s="52"/>
      <c r="T161" s="52"/>
      <c r="U161" s="53" t="n">
        <v>173550</v>
      </c>
      <c r="V161" s="54" t="n">
        <v>173550</v>
      </c>
      <c r="W161" s="55" t="n">
        <v>0.12</v>
      </c>
      <c r="X161" s="52" t="n">
        <v>0.055</v>
      </c>
      <c r="Y161" s="55" t="n">
        <v>0.12</v>
      </c>
      <c r="Z161" s="56"/>
      <c r="AA161" s="55" t="n">
        <v>0.04</v>
      </c>
      <c r="AB161" s="57" t="n">
        <v>231689.25</v>
      </c>
      <c r="AC161" s="44"/>
      <c r="AD161" s="62"/>
      <c r="AE161" s="62" t="n">
        <v>231689.25</v>
      </c>
      <c r="AF161" s="62" t="s">
        <v>69</v>
      </c>
      <c r="AG161" s="62" t="n">
        <v>0</v>
      </c>
      <c r="AH161" s="58" t="s">
        <v>22</v>
      </c>
      <c r="AI161" s="44" t="n">
        <v>0</v>
      </c>
      <c r="AJ161" s="44" t="s">
        <v>613</v>
      </c>
      <c r="AK161" s="44" t="s">
        <v>47</v>
      </c>
      <c r="AL161" s="44" t="s">
        <v>613</v>
      </c>
      <c r="AM161" s="44" t="n">
        <v>0</v>
      </c>
      <c r="AN161" s="44" t="s">
        <v>69</v>
      </c>
      <c r="AO161" s="44" t="s">
        <v>1645</v>
      </c>
      <c r="AP161" s="44"/>
      <c r="AQ161" s="45" t="s">
        <v>621</v>
      </c>
      <c r="AR161" s="44" t="s">
        <v>1282</v>
      </c>
      <c r="AS161" s="44"/>
      <c r="AT161" s="44"/>
      <c r="AU161" s="44"/>
      <c r="AV161" s="44"/>
      <c r="AW161" s="44"/>
      <c r="AX161" s="44"/>
      <c r="AY161" s="44"/>
      <c r="AZ161" s="46"/>
    </row>
    <row r="162" customFormat="false" ht="18" hidden="false" customHeight="true" outlineLevel="0" collapsed="false">
      <c r="A162" s="47" t="n">
        <v>115523</v>
      </c>
      <c r="B162" s="48" t="s">
        <v>276</v>
      </c>
      <c r="C162" s="47" t="n">
        <v>115523</v>
      </c>
      <c r="D162" s="48" t="s">
        <v>277</v>
      </c>
      <c r="E162" s="48" t="s">
        <v>299</v>
      </c>
      <c r="F162" s="48" t="s">
        <v>300</v>
      </c>
      <c r="G162" s="49" t="s">
        <v>1471</v>
      </c>
      <c r="H162" s="48" t="s">
        <v>1472</v>
      </c>
      <c r="I162" s="48" t="s">
        <v>1620</v>
      </c>
      <c r="J162" s="48" t="s">
        <v>1568</v>
      </c>
      <c r="K162" s="48" t="s">
        <v>220</v>
      </c>
      <c r="L162" s="48" t="s">
        <v>220</v>
      </c>
      <c r="M162" s="48"/>
      <c r="N162" s="50" t="s">
        <v>1284</v>
      </c>
      <c r="O162" s="51" t="s">
        <v>1649</v>
      </c>
      <c r="P162" s="52" t="n">
        <v>1</v>
      </c>
      <c r="Q162" s="61"/>
      <c r="R162" s="52" t="s">
        <v>1519</v>
      </c>
      <c r="S162" s="52"/>
      <c r="T162" s="52"/>
      <c r="U162" s="53" t="n">
        <v>160250</v>
      </c>
      <c r="V162" s="54" t="n">
        <v>147430</v>
      </c>
      <c r="W162" s="55" t="n">
        <v>0.15</v>
      </c>
      <c r="X162" s="52"/>
      <c r="Y162" s="55" t="n">
        <v>0.05</v>
      </c>
      <c r="Z162" s="56" t="n">
        <v>2910</v>
      </c>
      <c r="AA162" s="55" t="n">
        <v>0.03</v>
      </c>
      <c r="AB162" s="57" t="n">
        <v>184248.9</v>
      </c>
      <c r="AC162" s="44"/>
      <c r="AD162" s="62"/>
      <c r="AE162" s="62" t="n">
        <v>184248.9</v>
      </c>
      <c r="AF162" s="62" t="s">
        <v>53</v>
      </c>
      <c r="AG162" s="62" t="n">
        <v>0</v>
      </c>
      <c r="AH162" s="58" t="s">
        <v>16</v>
      </c>
      <c r="AI162" s="44" t="n">
        <v>0</v>
      </c>
      <c r="AJ162" s="44" t="s">
        <v>220</v>
      </c>
      <c r="AK162" s="44" t="s">
        <v>47</v>
      </c>
      <c r="AL162" s="44" t="s">
        <v>220</v>
      </c>
      <c r="AM162" s="44" t="n">
        <v>0</v>
      </c>
      <c r="AN162" s="44"/>
      <c r="AO162" s="44"/>
      <c r="AP162" s="44"/>
      <c r="AQ162" s="45" t="s">
        <v>275</v>
      </c>
      <c r="AR162" s="44" t="s">
        <v>1284</v>
      </c>
      <c r="AS162" s="44"/>
      <c r="AT162" s="44"/>
      <c r="AU162" s="44"/>
      <c r="AV162" s="44"/>
      <c r="AW162" s="44"/>
      <c r="AX162" s="44"/>
      <c r="AY162" s="44"/>
      <c r="AZ162" s="46"/>
    </row>
    <row r="163" customFormat="false" ht="18" hidden="false" customHeight="true" outlineLevel="0" collapsed="false">
      <c r="A163" s="47" t="n">
        <v>113620</v>
      </c>
      <c r="B163" s="48" t="s">
        <v>257</v>
      </c>
      <c r="C163" s="47" t="n">
        <v>113620</v>
      </c>
      <c r="D163" s="48" t="s">
        <v>258</v>
      </c>
      <c r="E163" s="48" t="s">
        <v>299</v>
      </c>
      <c r="F163" s="48" t="s">
        <v>300</v>
      </c>
      <c r="G163" s="49" t="s">
        <v>1471</v>
      </c>
      <c r="H163" s="48" t="s">
        <v>1472</v>
      </c>
      <c r="I163" s="48" t="s">
        <v>1620</v>
      </c>
      <c r="J163" s="48" t="s">
        <v>1568</v>
      </c>
      <c r="K163" s="48" t="s">
        <v>19</v>
      </c>
      <c r="L163" s="48" t="s">
        <v>1655</v>
      </c>
      <c r="M163" s="48"/>
      <c r="N163" s="50" t="s">
        <v>1284</v>
      </c>
      <c r="O163" s="51" t="s">
        <v>1649</v>
      </c>
      <c r="P163" s="52" t="n">
        <v>1</v>
      </c>
      <c r="Q163" s="61"/>
      <c r="R163" s="52" t="s">
        <v>1519</v>
      </c>
      <c r="S163" s="52"/>
      <c r="T163" s="52"/>
      <c r="U163" s="53" t="n">
        <v>133300</v>
      </c>
      <c r="V163" s="54" t="n">
        <v>133300</v>
      </c>
      <c r="W163" s="55" t="n">
        <v>0.1</v>
      </c>
      <c r="X163" s="52" t="n">
        <v>0.055</v>
      </c>
      <c r="Y163" s="55" t="n">
        <v>0.12</v>
      </c>
      <c r="Z163" s="56"/>
      <c r="AA163" s="55" t="n">
        <v>0.04</v>
      </c>
      <c r="AB163" s="57" t="n">
        <v>175289.5</v>
      </c>
      <c r="AC163" s="44"/>
      <c r="AD163" s="62"/>
      <c r="AE163" s="62" t="n">
        <v>175289.5</v>
      </c>
      <c r="AF163" s="62" t="s">
        <v>53</v>
      </c>
      <c r="AG163" s="62" t="n">
        <v>0</v>
      </c>
      <c r="AH163" s="58" t="s">
        <v>16</v>
      </c>
      <c r="AI163" s="44" t="n">
        <v>0</v>
      </c>
      <c r="AJ163" s="44" t="s">
        <v>224</v>
      </c>
      <c r="AK163" s="44" t="s">
        <v>47</v>
      </c>
      <c r="AL163" s="44" t="s">
        <v>224</v>
      </c>
      <c r="AM163" s="44" t="n">
        <v>0</v>
      </c>
      <c r="AN163" s="44"/>
      <c r="AO163" s="44"/>
      <c r="AP163" s="44"/>
      <c r="AQ163" s="45" t="s">
        <v>256</v>
      </c>
      <c r="AR163" s="44" t="s">
        <v>1284</v>
      </c>
      <c r="AS163" s="44"/>
      <c r="AT163" s="44"/>
      <c r="AU163" s="44"/>
      <c r="AV163" s="44"/>
      <c r="AW163" s="44"/>
      <c r="AX163" s="44"/>
      <c r="AY163" s="44"/>
      <c r="AZ163" s="46"/>
    </row>
    <row r="164" customFormat="false" ht="18" hidden="false" customHeight="true" outlineLevel="0" collapsed="false">
      <c r="A164" s="47" t="s">
        <v>1507</v>
      </c>
      <c r="B164" s="48" t="s">
        <v>69</v>
      </c>
      <c r="C164" s="47" t="s">
        <v>1507</v>
      </c>
      <c r="D164" s="48" t="s">
        <v>118</v>
      </c>
      <c r="E164" s="48" t="s">
        <v>299</v>
      </c>
      <c r="F164" s="48" t="s">
        <v>300</v>
      </c>
      <c r="G164" s="49" t="s">
        <v>1471</v>
      </c>
      <c r="H164" s="48" t="s">
        <v>1472</v>
      </c>
      <c r="I164" s="48" t="s">
        <v>1620</v>
      </c>
      <c r="J164" s="48" t="s">
        <v>1568</v>
      </c>
      <c r="K164" s="48" t="s">
        <v>19</v>
      </c>
      <c r="L164" s="48" t="s">
        <v>1655</v>
      </c>
      <c r="M164" s="48"/>
      <c r="N164" s="50" t="s">
        <v>1443</v>
      </c>
      <c r="O164" s="51" t="s">
        <v>1649</v>
      </c>
      <c r="P164" s="52" t="n">
        <v>1</v>
      </c>
      <c r="Q164" s="61"/>
      <c r="R164" s="52" t="s">
        <v>1513</v>
      </c>
      <c r="S164" s="52"/>
      <c r="T164" s="52"/>
      <c r="U164" s="53" t="n">
        <v>129650</v>
      </c>
      <c r="V164" s="54" t="n">
        <v>129650</v>
      </c>
      <c r="W164" s="55" t="n">
        <v>0.1</v>
      </c>
      <c r="X164" s="52" t="n">
        <v>0.055</v>
      </c>
      <c r="Y164" s="55" t="n">
        <v>0.12</v>
      </c>
      <c r="Z164" s="56"/>
      <c r="AA164" s="55" t="n">
        <v>0.04</v>
      </c>
      <c r="AB164" s="57" t="n">
        <v>170489.75</v>
      </c>
      <c r="AC164" s="44"/>
      <c r="AD164" s="62"/>
      <c r="AE164" s="62" t="n">
        <v>170489.75</v>
      </c>
      <c r="AF164" s="62" t="s">
        <v>69</v>
      </c>
      <c r="AG164" s="62" t="n">
        <v>0</v>
      </c>
      <c r="AH164" s="58" t="s">
        <v>16</v>
      </c>
      <c r="AI164" s="44" t="n">
        <v>0</v>
      </c>
      <c r="AJ164" s="44" t="s">
        <v>224</v>
      </c>
      <c r="AK164" s="44" t="s">
        <v>47</v>
      </c>
      <c r="AL164" s="44" t="s">
        <v>224</v>
      </c>
      <c r="AM164" s="44" t="n">
        <v>0</v>
      </c>
      <c r="AN164" s="44"/>
      <c r="AO164" s="44"/>
      <c r="AP164" s="44"/>
      <c r="AQ164" s="45" t="s">
        <v>259</v>
      </c>
      <c r="AR164" s="44" t="s">
        <v>1282</v>
      </c>
      <c r="AS164" s="44"/>
      <c r="AT164" s="44"/>
      <c r="AU164" s="44"/>
      <c r="AV164" s="44"/>
      <c r="AW164" s="44"/>
      <c r="AX164" s="44"/>
      <c r="AY164" s="44"/>
      <c r="AZ164" s="46"/>
    </row>
    <row r="165" customFormat="false" ht="18" hidden="false" customHeight="true" outlineLevel="0" collapsed="false">
      <c r="A165" s="47" t="n">
        <v>95017</v>
      </c>
      <c r="B165" s="48" t="s">
        <v>188</v>
      </c>
      <c r="C165" s="47" t="n">
        <v>95017</v>
      </c>
      <c r="D165" s="48" t="s">
        <v>189</v>
      </c>
      <c r="E165" s="48" t="s">
        <v>1457</v>
      </c>
      <c r="F165" s="48" t="s">
        <v>1451</v>
      </c>
      <c r="G165" s="49" t="s">
        <v>1471</v>
      </c>
      <c r="H165" s="48" t="s">
        <v>36</v>
      </c>
      <c r="I165" s="48" t="s">
        <v>36</v>
      </c>
      <c r="J165" s="48" t="s">
        <v>1442</v>
      </c>
      <c r="K165" s="48" t="s">
        <v>36</v>
      </c>
      <c r="L165" s="48" t="s">
        <v>184</v>
      </c>
      <c r="M165" s="48"/>
      <c r="N165" s="50" t="s">
        <v>1443</v>
      </c>
      <c r="O165" s="51" t="s">
        <v>1649</v>
      </c>
      <c r="P165" s="52" t="n">
        <v>1</v>
      </c>
      <c r="Q165" s="61"/>
      <c r="R165" s="52" t="s">
        <v>1519</v>
      </c>
      <c r="S165" s="52"/>
      <c r="T165" s="52"/>
      <c r="U165" s="53" t="n">
        <v>118280</v>
      </c>
      <c r="V165" s="54" t="n">
        <v>118280</v>
      </c>
      <c r="W165" s="55" t="n">
        <v>0.1</v>
      </c>
      <c r="X165" s="52" t="n">
        <v>0.055</v>
      </c>
      <c r="Y165" s="55" t="n">
        <v>0.12</v>
      </c>
      <c r="Z165" s="56"/>
      <c r="AA165" s="55" t="n">
        <v>0.04</v>
      </c>
      <c r="AB165" s="57" t="n">
        <v>155538.2</v>
      </c>
      <c r="AC165" s="44"/>
      <c r="AD165" s="62"/>
      <c r="AE165" s="62" t="n">
        <v>155538.2</v>
      </c>
      <c r="AF165" s="62" t="s">
        <v>53</v>
      </c>
      <c r="AG165" s="62" t="n">
        <v>0</v>
      </c>
      <c r="AH165" s="58" t="s">
        <v>14</v>
      </c>
      <c r="AI165" s="44" t="n">
        <v>0</v>
      </c>
      <c r="AJ165" s="44" t="s">
        <v>184</v>
      </c>
      <c r="AK165" s="44" t="s">
        <v>47</v>
      </c>
      <c r="AL165" s="44" t="s">
        <v>184</v>
      </c>
      <c r="AM165" s="44" t="n">
        <v>1</v>
      </c>
      <c r="AN165" s="44"/>
      <c r="AO165" s="44"/>
      <c r="AP165" s="44"/>
      <c r="AQ165" s="45" t="s">
        <v>187</v>
      </c>
      <c r="AR165" s="44" t="s">
        <v>1282</v>
      </c>
      <c r="AS165" s="44"/>
      <c r="AT165" s="44"/>
      <c r="AU165" s="44"/>
      <c r="AV165" s="44"/>
      <c r="AW165" s="44"/>
      <c r="AX165" s="44"/>
      <c r="AY165" s="44"/>
      <c r="AZ165" s="46"/>
    </row>
    <row r="166" customFormat="false" ht="18" hidden="false" customHeight="true" outlineLevel="0" collapsed="false">
      <c r="A166" s="47" t="n">
        <v>113599</v>
      </c>
      <c r="B166" s="48" t="s">
        <v>661</v>
      </c>
      <c r="C166" s="47" t="n">
        <v>113599</v>
      </c>
      <c r="D166" s="48" t="s">
        <v>52</v>
      </c>
      <c r="E166" s="48" t="s">
        <v>684</v>
      </c>
      <c r="F166" s="48" t="s">
        <v>685</v>
      </c>
      <c r="G166" s="49" t="s">
        <v>1461</v>
      </c>
      <c r="H166" s="48" t="s">
        <v>1562</v>
      </c>
      <c r="I166" s="48" t="s">
        <v>1598</v>
      </c>
      <c r="J166" s="48" t="s">
        <v>1562</v>
      </c>
      <c r="K166" s="48" t="s">
        <v>1152</v>
      </c>
      <c r="L166" s="48" t="s">
        <v>436</v>
      </c>
      <c r="M166" s="48"/>
      <c r="N166" s="50" t="s">
        <v>1284</v>
      </c>
      <c r="O166" s="51" t="s">
        <v>1649</v>
      </c>
      <c r="P166" s="52" t="n">
        <v>1</v>
      </c>
      <c r="Q166" s="61"/>
      <c r="R166" s="52" t="s">
        <v>1519</v>
      </c>
      <c r="S166" s="52"/>
      <c r="T166" s="52"/>
      <c r="U166" s="53" t="n">
        <v>166850</v>
      </c>
      <c r="V166" s="54" t="n">
        <v>153502</v>
      </c>
      <c r="W166" s="55" t="n">
        <v>0.15</v>
      </c>
      <c r="X166" s="52"/>
      <c r="Y166" s="55" t="n">
        <v>0.05</v>
      </c>
      <c r="Z166" s="56" t="n">
        <v>2910</v>
      </c>
      <c r="AA166" s="55" t="n">
        <v>0.03</v>
      </c>
      <c r="AB166" s="57" t="n">
        <v>191717.46</v>
      </c>
      <c r="AC166" s="44"/>
      <c r="AD166" s="62"/>
      <c r="AE166" s="62" t="n">
        <v>191717.46</v>
      </c>
      <c r="AF166" s="62" t="s">
        <v>53</v>
      </c>
      <c r="AG166" s="62" t="n">
        <v>0</v>
      </c>
      <c r="AH166" s="58" t="s">
        <v>22</v>
      </c>
      <c r="AI166" s="44" t="n">
        <v>0</v>
      </c>
      <c r="AJ166" s="44" t="s">
        <v>436</v>
      </c>
      <c r="AK166" s="44" t="s">
        <v>47</v>
      </c>
      <c r="AL166" s="44" t="s">
        <v>436</v>
      </c>
      <c r="AM166" s="44" t="n">
        <v>0</v>
      </c>
      <c r="AN166" s="44"/>
      <c r="AO166" s="44"/>
      <c r="AP166" s="44"/>
      <c r="AQ166" s="45" t="s">
        <v>660</v>
      </c>
      <c r="AR166" s="44" t="s">
        <v>1284</v>
      </c>
      <c r="AS166" s="44"/>
      <c r="AT166" s="44"/>
      <c r="AU166" s="44"/>
      <c r="AV166" s="44"/>
      <c r="AW166" s="44"/>
      <c r="AX166" s="44"/>
      <c r="AY166" s="44"/>
      <c r="AZ166" s="46"/>
    </row>
    <row r="167" customFormat="false" ht="18" hidden="false" customHeight="true" outlineLevel="0" collapsed="false">
      <c r="A167" s="47" t="n">
        <v>113542</v>
      </c>
      <c r="B167" s="48" t="s">
        <v>648</v>
      </c>
      <c r="C167" s="47" t="n">
        <v>113542</v>
      </c>
      <c r="D167" s="48" t="s">
        <v>591</v>
      </c>
      <c r="E167" s="48" t="s">
        <v>684</v>
      </c>
      <c r="F167" s="48" t="s">
        <v>685</v>
      </c>
      <c r="G167" s="49" t="s">
        <v>1461</v>
      </c>
      <c r="H167" s="48" t="s">
        <v>1562</v>
      </c>
      <c r="I167" s="48" t="s">
        <v>1598</v>
      </c>
      <c r="J167" s="48" t="s">
        <v>1562</v>
      </c>
      <c r="K167" s="48" t="s">
        <v>1152</v>
      </c>
      <c r="L167" s="48" t="s">
        <v>614</v>
      </c>
      <c r="M167" s="48"/>
      <c r="N167" s="50" t="s">
        <v>1284</v>
      </c>
      <c r="O167" s="51" t="s">
        <v>1649</v>
      </c>
      <c r="P167" s="52" t="n">
        <v>1</v>
      </c>
      <c r="Q167" s="61"/>
      <c r="R167" s="52" t="s">
        <v>1519</v>
      </c>
      <c r="S167" s="52"/>
      <c r="T167" s="52"/>
      <c r="U167" s="53" t="n">
        <v>160220</v>
      </c>
      <c r="V167" s="54" t="n">
        <v>147402.4</v>
      </c>
      <c r="W167" s="55" t="n">
        <v>0.15</v>
      </c>
      <c r="X167" s="52"/>
      <c r="Y167" s="55" t="n">
        <v>0.05</v>
      </c>
      <c r="Z167" s="56" t="n">
        <v>2910</v>
      </c>
      <c r="AA167" s="55" t="n">
        <v>0.03</v>
      </c>
      <c r="AB167" s="57" t="n">
        <v>184214.952</v>
      </c>
      <c r="AC167" s="44"/>
      <c r="AD167" s="62"/>
      <c r="AE167" s="62" t="n">
        <v>184214.952</v>
      </c>
      <c r="AF167" s="62" t="s">
        <v>53</v>
      </c>
      <c r="AG167" s="62" t="n">
        <v>0</v>
      </c>
      <c r="AH167" s="58" t="s">
        <v>22</v>
      </c>
      <c r="AI167" s="44" t="n">
        <v>0</v>
      </c>
      <c r="AJ167" s="44" t="s">
        <v>614</v>
      </c>
      <c r="AK167" s="44" t="s">
        <v>47</v>
      </c>
      <c r="AL167" s="44" t="s">
        <v>614</v>
      </c>
      <c r="AM167" s="44" t="n">
        <v>0</v>
      </c>
      <c r="AN167" s="44"/>
      <c r="AO167" s="44"/>
      <c r="AP167" s="44"/>
      <c r="AQ167" s="45" t="s">
        <v>647</v>
      </c>
      <c r="AR167" s="44" t="s">
        <v>1284</v>
      </c>
      <c r="AS167" s="44"/>
      <c r="AT167" s="44"/>
      <c r="AU167" s="44"/>
      <c r="AV167" s="44"/>
      <c r="AW167" s="44"/>
      <c r="AX167" s="44"/>
      <c r="AY167" s="44"/>
      <c r="AZ167" s="46"/>
    </row>
    <row r="168" customFormat="false" ht="18" hidden="false" customHeight="true" outlineLevel="0" collapsed="false">
      <c r="A168" s="47" t="n">
        <v>8367</v>
      </c>
      <c r="B168" s="48" t="s">
        <v>663</v>
      </c>
      <c r="C168" s="47" t="n">
        <v>8367</v>
      </c>
      <c r="D168" s="48" t="s">
        <v>664</v>
      </c>
      <c r="E168" s="48" t="s">
        <v>684</v>
      </c>
      <c r="F168" s="48" t="s">
        <v>685</v>
      </c>
      <c r="G168" s="49" t="s">
        <v>1461</v>
      </c>
      <c r="H168" s="48" t="s">
        <v>1562</v>
      </c>
      <c r="I168" s="48" t="s">
        <v>1598</v>
      </c>
      <c r="J168" s="48" t="s">
        <v>1562</v>
      </c>
      <c r="K168" s="48" t="s">
        <v>1152</v>
      </c>
      <c r="L168" s="48" t="s">
        <v>436</v>
      </c>
      <c r="M168" s="48"/>
      <c r="N168" s="50" t="s">
        <v>1443</v>
      </c>
      <c r="O168" s="51" t="s">
        <v>1660</v>
      </c>
      <c r="P168" s="52" t="n">
        <v>1</v>
      </c>
      <c r="Q168" s="61"/>
      <c r="R168" s="52" t="s">
        <v>1519</v>
      </c>
      <c r="S168" s="52"/>
      <c r="T168" s="52"/>
      <c r="U168" s="53" t="n">
        <v>187730</v>
      </c>
      <c r="V168" s="54" t="n">
        <v>187730</v>
      </c>
      <c r="W168" s="55" t="n">
        <v>0.12</v>
      </c>
      <c r="X168" s="52" t="n">
        <v>0.055</v>
      </c>
      <c r="Y168" s="55" t="n">
        <v>0.12</v>
      </c>
      <c r="Z168" s="56"/>
      <c r="AA168" s="55" t="n">
        <v>0.04</v>
      </c>
      <c r="AB168" s="57" t="n">
        <v>250619.55</v>
      </c>
      <c r="AC168" s="44"/>
      <c r="AD168" s="62"/>
      <c r="AE168" s="62" t="n">
        <v>250619.55</v>
      </c>
      <c r="AF168" s="62" t="s">
        <v>53</v>
      </c>
      <c r="AG168" s="62" t="n">
        <v>0</v>
      </c>
      <c r="AH168" s="58" t="s">
        <v>22</v>
      </c>
      <c r="AI168" s="44" t="n">
        <v>0</v>
      </c>
      <c r="AJ168" s="44" t="s">
        <v>436</v>
      </c>
      <c r="AK168" s="44" t="s">
        <v>47</v>
      </c>
      <c r="AL168" s="44" t="s">
        <v>436</v>
      </c>
      <c r="AM168" s="44" t="n">
        <v>0</v>
      </c>
      <c r="AN168" s="44"/>
      <c r="AO168" s="44"/>
      <c r="AP168" s="44"/>
      <c r="AQ168" s="45" t="s">
        <v>662</v>
      </c>
      <c r="AR168" s="44" t="s">
        <v>1282</v>
      </c>
      <c r="AS168" s="44"/>
      <c r="AT168" s="44"/>
      <c r="AU168" s="44"/>
      <c r="AV168" s="44"/>
      <c r="AW168" s="44"/>
      <c r="AX168" s="44"/>
      <c r="AY168" s="44"/>
      <c r="AZ168" s="46"/>
    </row>
    <row r="169" customFormat="false" ht="18" hidden="false" customHeight="true" outlineLevel="0" collapsed="false">
      <c r="A169" s="47" t="n">
        <v>108809</v>
      </c>
      <c r="B169" s="48" t="s">
        <v>1068</v>
      </c>
      <c r="C169" s="47" t="n">
        <v>108809</v>
      </c>
      <c r="D169" s="48" t="s">
        <v>1069</v>
      </c>
      <c r="E169" s="48" t="s">
        <v>1523</v>
      </c>
      <c r="F169" s="48" t="s">
        <v>1590</v>
      </c>
      <c r="G169" s="49" t="s">
        <v>1527</v>
      </c>
      <c r="H169" s="48" t="s">
        <v>1338</v>
      </c>
      <c r="I169" s="48" t="s">
        <v>1159</v>
      </c>
      <c r="J169" s="48" t="s">
        <v>1159</v>
      </c>
      <c r="K169" s="48" t="s">
        <v>1159</v>
      </c>
      <c r="L169" s="48" t="s">
        <v>1159</v>
      </c>
      <c r="M169" s="48"/>
      <c r="N169" s="50" t="s">
        <v>1443</v>
      </c>
      <c r="O169" s="51" t="s">
        <v>1649</v>
      </c>
      <c r="P169" s="52" t="n">
        <v>1</v>
      </c>
      <c r="Q169" s="61"/>
      <c r="R169" s="52" t="s">
        <v>1519</v>
      </c>
      <c r="S169" s="52"/>
      <c r="T169" s="52"/>
      <c r="U169" s="53" t="n">
        <v>193790</v>
      </c>
      <c r="V169" s="54" t="n">
        <v>193790</v>
      </c>
      <c r="W169" s="55" t="n">
        <v>0.12</v>
      </c>
      <c r="X169" s="52" t="n">
        <v>0.055</v>
      </c>
      <c r="Y169" s="55" t="n">
        <v>0.12</v>
      </c>
      <c r="Z169" s="56"/>
      <c r="AA169" s="55" t="n">
        <v>0.04</v>
      </c>
      <c r="AB169" s="57" t="n">
        <v>258709.65</v>
      </c>
      <c r="AC169" s="44"/>
      <c r="AD169" s="62"/>
      <c r="AE169" s="62" t="n">
        <v>258709.65</v>
      </c>
      <c r="AF169" s="62" t="s">
        <v>53</v>
      </c>
      <c r="AG169" s="62" t="n">
        <v>0</v>
      </c>
      <c r="AH169" s="58" t="s">
        <v>25</v>
      </c>
      <c r="AI169" s="44" t="n">
        <v>0</v>
      </c>
      <c r="AJ169" s="44" t="s">
        <v>1066</v>
      </c>
      <c r="AK169" s="44" t="s">
        <v>47</v>
      </c>
      <c r="AL169" s="44" t="s">
        <v>1066</v>
      </c>
      <c r="AM169" s="44" t="n">
        <v>0</v>
      </c>
      <c r="AN169" s="44"/>
      <c r="AO169" s="44"/>
      <c r="AP169" s="44"/>
      <c r="AQ169" s="45" t="s">
        <v>1067</v>
      </c>
      <c r="AR169" s="44" t="s">
        <v>1282</v>
      </c>
      <c r="AS169" s="44"/>
      <c r="AT169" s="44"/>
      <c r="AU169" s="44"/>
      <c r="AV169" s="44"/>
      <c r="AW169" s="44"/>
      <c r="AX169" s="44"/>
      <c r="AY169" s="44"/>
      <c r="AZ169" s="46"/>
    </row>
    <row r="170" customFormat="false" ht="18" hidden="false" customHeight="true" outlineLevel="0" collapsed="false">
      <c r="A170" s="47" t="n">
        <v>97592</v>
      </c>
      <c r="B170" s="48" t="s">
        <v>1082</v>
      </c>
      <c r="C170" s="47" t="n">
        <v>97592</v>
      </c>
      <c r="D170" s="48" t="s">
        <v>1083</v>
      </c>
      <c r="E170" s="48" t="s">
        <v>1523</v>
      </c>
      <c r="F170" s="48"/>
      <c r="G170" s="49" t="s">
        <v>1527</v>
      </c>
      <c r="H170" s="48" t="s">
        <v>1338</v>
      </c>
      <c r="I170" s="48" t="s">
        <v>1159</v>
      </c>
      <c r="J170" s="48" t="s">
        <v>1159</v>
      </c>
      <c r="K170" s="48" t="s">
        <v>1159</v>
      </c>
      <c r="L170" s="48" t="s">
        <v>1159</v>
      </c>
      <c r="M170" s="48"/>
      <c r="N170" s="50" t="s">
        <v>1443</v>
      </c>
      <c r="O170" s="51" t="s">
        <v>1649</v>
      </c>
      <c r="P170" s="52" t="n">
        <v>1</v>
      </c>
      <c r="Q170" s="61"/>
      <c r="R170" s="52" t="s">
        <v>1519</v>
      </c>
      <c r="S170" s="52"/>
      <c r="T170" s="52"/>
      <c r="U170" s="53" t="n">
        <v>213470</v>
      </c>
      <c r="V170" s="54" t="n">
        <v>213470</v>
      </c>
      <c r="W170" s="55" t="n">
        <v>0.12</v>
      </c>
      <c r="X170" s="52" t="n">
        <v>0.055</v>
      </c>
      <c r="Y170" s="55" t="n">
        <v>0.12</v>
      </c>
      <c r="Z170" s="56"/>
      <c r="AA170" s="55" t="n">
        <v>0.04</v>
      </c>
      <c r="AB170" s="57" t="n">
        <v>284982.45</v>
      </c>
      <c r="AC170" s="44"/>
      <c r="AD170" s="62"/>
      <c r="AE170" s="62" t="n">
        <v>284982.45</v>
      </c>
      <c r="AF170" s="62" t="s">
        <v>53</v>
      </c>
      <c r="AG170" s="62" t="n">
        <v>0</v>
      </c>
      <c r="AH170" s="58" t="s">
        <v>25</v>
      </c>
      <c r="AI170" s="44" t="n">
        <v>0</v>
      </c>
      <c r="AJ170" s="44" t="s">
        <v>1077</v>
      </c>
      <c r="AK170" s="44" t="s">
        <v>47</v>
      </c>
      <c r="AL170" s="44" t="s">
        <v>1077</v>
      </c>
      <c r="AM170" s="44" t="n">
        <v>0</v>
      </c>
      <c r="AN170" s="44"/>
      <c r="AO170" s="44"/>
      <c r="AP170" s="44"/>
      <c r="AQ170" s="45" t="s">
        <v>1081</v>
      </c>
      <c r="AR170" s="44" t="s">
        <v>1282</v>
      </c>
      <c r="AS170" s="44"/>
      <c r="AT170" s="44"/>
      <c r="AU170" s="44"/>
      <c r="AV170" s="44"/>
      <c r="AW170" s="44"/>
      <c r="AX170" s="44"/>
      <c r="AY170" s="44"/>
      <c r="AZ170" s="46"/>
    </row>
    <row r="171" customFormat="false" ht="18" hidden="false" customHeight="true" outlineLevel="0" collapsed="false">
      <c r="A171" s="47" t="n">
        <v>113451</v>
      </c>
      <c r="B171" s="48" t="s">
        <v>1000</v>
      </c>
      <c r="C171" s="47" t="n">
        <v>113451</v>
      </c>
      <c r="D171" s="48" t="s">
        <v>1001</v>
      </c>
      <c r="E171" s="48" t="s">
        <v>1061</v>
      </c>
      <c r="F171" s="48" t="s">
        <v>1062</v>
      </c>
      <c r="G171" s="49" t="s">
        <v>1531</v>
      </c>
      <c r="H171" s="48" t="s">
        <v>1151</v>
      </c>
      <c r="I171" s="48" t="s">
        <v>1532</v>
      </c>
      <c r="J171" s="48" t="s">
        <v>31</v>
      </c>
      <c r="K171" s="48" t="s">
        <v>1151</v>
      </c>
      <c r="L171" s="48" t="s">
        <v>981</v>
      </c>
      <c r="M171" s="48"/>
      <c r="N171" s="50" t="s">
        <v>1443</v>
      </c>
      <c r="O171" s="51" t="s">
        <v>1649</v>
      </c>
      <c r="P171" s="52" t="n">
        <v>1</v>
      </c>
      <c r="Q171" s="61"/>
      <c r="R171" s="52" t="s">
        <v>1519</v>
      </c>
      <c r="S171" s="52"/>
      <c r="T171" s="52"/>
      <c r="U171" s="53" t="n">
        <v>191290</v>
      </c>
      <c r="V171" s="54" t="n">
        <v>191290</v>
      </c>
      <c r="W171" s="55" t="n">
        <v>0.12</v>
      </c>
      <c r="X171" s="52" t="n">
        <v>0.055</v>
      </c>
      <c r="Y171" s="55" t="n">
        <v>0.12</v>
      </c>
      <c r="Z171" s="56"/>
      <c r="AA171" s="55" t="n">
        <v>0.04</v>
      </c>
      <c r="AB171" s="57" t="n">
        <v>255372.15</v>
      </c>
      <c r="AC171" s="44"/>
      <c r="AD171" s="62"/>
      <c r="AE171" s="62" t="n">
        <v>255372.15</v>
      </c>
      <c r="AF171" s="62" t="s">
        <v>53</v>
      </c>
      <c r="AG171" s="62" t="n">
        <v>0</v>
      </c>
      <c r="AH171" s="58" t="s">
        <v>31</v>
      </c>
      <c r="AI171" s="44" t="n">
        <v>0</v>
      </c>
      <c r="AJ171" s="44" t="s">
        <v>981</v>
      </c>
      <c r="AK171" s="44" t="s">
        <v>47</v>
      </c>
      <c r="AL171" s="44" t="s">
        <v>981</v>
      </c>
      <c r="AM171" s="44" t="n">
        <v>0</v>
      </c>
      <c r="AN171" s="44"/>
      <c r="AO171" s="44"/>
      <c r="AP171" s="44"/>
      <c r="AQ171" s="45" t="s">
        <v>999</v>
      </c>
      <c r="AR171" s="44" t="s">
        <v>1282</v>
      </c>
      <c r="AS171" s="44"/>
      <c r="AT171" s="44"/>
      <c r="AU171" s="44"/>
      <c r="AV171" s="44"/>
      <c r="AW171" s="44"/>
      <c r="AX171" s="44"/>
      <c r="AY171" s="44"/>
      <c r="AZ171" s="46"/>
    </row>
    <row r="172" customFormat="false" ht="18" hidden="false" customHeight="true" outlineLevel="0" collapsed="false">
      <c r="A172" s="47" t="n">
        <v>113607</v>
      </c>
      <c r="B172" s="48" t="s">
        <v>976</v>
      </c>
      <c r="C172" s="47" t="n">
        <v>113607</v>
      </c>
      <c r="D172" s="48" t="s">
        <v>977</v>
      </c>
      <c r="E172" s="48" t="s">
        <v>1061</v>
      </c>
      <c r="F172" s="48" t="s">
        <v>1062</v>
      </c>
      <c r="G172" s="49" t="s">
        <v>1531</v>
      </c>
      <c r="H172" s="48" t="s">
        <v>1151</v>
      </c>
      <c r="I172" s="48" t="s">
        <v>1532</v>
      </c>
      <c r="J172" s="48" t="s">
        <v>31</v>
      </c>
      <c r="K172" s="48" t="s">
        <v>1151</v>
      </c>
      <c r="L172" s="48" t="s">
        <v>1597</v>
      </c>
      <c r="M172" s="48"/>
      <c r="N172" s="50" t="s">
        <v>1284</v>
      </c>
      <c r="O172" s="51" t="s">
        <v>1649</v>
      </c>
      <c r="P172" s="52" t="n">
        <v>1</v>
      </c>
      <c r="Q172" s="61"/>
      <c r="R172" s="52" t="s">
        <v>1519</v>
      </c>
      <c r="S172" s="52"/>
      <c r="T172" s="52"/>
      <c r="U172" s="53" t="n">
        <v>177710</v>
      </c>
      <c r="V172" s="54" t="n">
        <v>163493.2</v>
      </c>
      <c r="W172" s="55" t="n">
        <v>0.15</v>
      </c>
      <c r="X172" s="52"/>
      <c r="Y172" s="55" t="n">
        <v>0.05</v>
      </c>
      <c r="Z172" s="56" t="n">
        <v>2910</v>
      </c>
      <c r="AA172" s="55" t="n">
        <v>0.03</v>
      </c>
      <c r="AB172" s="57" t="n">
        <v>204006.636</v>
      </c>
      <c r="AC172" s="44" t="n">
        <v>113607</v>
      </c>
      <c r="AD172" s="62"/>
      <c r="AE172" s="62" t="n">
        <v>204006.636</v>
      </c>
      <c r="AF172" s="62" t="s">
        <v>53</v>
      </c>
      <c r="AG172" s="62" t="n">
        <v>0</v>
      </c>
      <c r="AH172" s="58" t="s">
        <v>31</v>
      </c>
      <c r="AI172" s="44" t="n">
        <v>0</v>
      </c>
      <c r="AJ172" s="44" t="s">
        <v>970</v>
      </c>
      <c r="AK172" s="44" t="s">
        <v>47</v>
      </c>
      <c r="AL172" s="44" t="s">
        <v>970</v>
      </c>
      <c r="AM172" s="44" t="n">
        <v>0</v>
      </c>
      <c r="AN172" s="44"/>
      <c r="AO172" s="44"/>
      <c r="AP172" s="44"/>
      <c r="AQ172" s="45" t="s">
        <v>975</v>
      </c>
      <c r="AR172" s="44" t="s">
        <v>1284</v>
      </c>
      <c r="AS172" s="44"/>
      <c r="AT172" s="44"/>
      <c r="AU172" s="44"/>
      <c r="AV172" s="44"/>
      <c r="AW172" s="44"/>
      <c r="AX172" s="44"/>
      <c r="AY172" s="44"/>
      <c r="AZ172" s="46"/>
    </row>
    <row r="173" customFormat="false" ht="18" hidden="false" customHeight="true" outlineLevel="0" collapsed="false">
      <c r="A173" s="47" t="n">
        <v>12010</v>
      </c>
      <c r="B173" s="48" t="s">
        <v>1034</v>
      </c>
      <c r="C173" s="47" t="n">
        <v>12010</v>
      </c>
      <c r="D173" s="48" t="s">
        <v>1035</v>
      </c>
      <c r="E173" s="48" t="s">
        <v>1061</v>
      </c>
      <c r="F173" s="48" t="s">
        <v>1062</v>
      </c>
      <c r="G173" s="49" t="s">
        <v>1531</v>
      </c>
      <c r="H173" s="48" t="s">
        <v>1151</v>
      </c>
      <c r="I173" s="48" t="s">
        <v>1532</v>
      </c>
      <c r="J173" s="48" t="s">
        <v>31</v>
      </c>
      <c r="K173" s="48" t="s">
        <v>36</v>
      </c>
      <c r="L173" s="48" t="s">
        <v>981</v>
      </c>
      <c r="M173" s="48"/>
      <c r="N173" s="50" t="s">
        <v>1443</v>
      </c>
      <c r="O173" s="51" t="s">
        <v>1649</v>
      </c>
      <c r="P173" s="52" t="n">
        <v>1</v>
      </c>
      <c r="Q173" s="61"/>
      <c r="R173" s="52" t="s">
        <v>1519</v>
      </c>
      <c r="S173" s="52"/>
      <c r="T173" s="52"/>
      <c r="U173" s="53" t="n">
        <v>197480</v>
      </c>
      <c r="V173" s="54" t="n">
        <v>197480</v>
      </c>
      <c r="W173" s="55" t="n">
        <v>0.12</v>
      </c>
      <c r="X173" s="52" t="n">
        <v>0.055</v>
      </c>
      <c r="Y173" s="55" t="n">
        <v>0.12</v>
      </c>
      <c r="Z173" s="56"/>
      <c r="AA173" s="55" t="n">
        <v>0.04</v>
      </c>
      <c r="AB173" s="57" t="n">
        <v>263635.8</v>
      </c>
      <c r="AC173" s="44"/>
      <c r="AD173" s="62"/>
      <c r="AE173" s="62" t="n">
        <v>263635.8</v>
      </c>
      <c r="AF173" s="62" t="s">
        <v>53</v>
      </c>
      <c r="AG173" s="62" t="n">
        <v>0</v>
      </c>
      <c r="AH173" s="58" t="s">
        <v>31</v>
      </c>
      <c r="AI173" s="44" t="n">
        <v>0</v>
      </c>
      <c r="AJ173" s="44" t="s">
        <v>981</v>
      </c>
      <c r="AK173" s="44" t="s">
        <v>47</v>
      </c>
      <c r="AL173" s="44" t="s">
        <v>1032</v>
      </c>
      <c r="AM173" s="44" t="n">
        <v>1</v>
      </c>
      <c r="AN173" s="44"/>
      <c r="AO173" s="44"/>
      <c r="AP173" s="44"/>
      <c r="AQ173" s="45" t="s">
        <v>1033</v>
      </c>
      <c r="AR173" s="44" t="s">
        <v>1282</v>
      </c>
      <c r="AS173" s="44"/>
      <c r="AT173" s="44"/>
      <c r="AU173" s="44"/>
      <c r="AV173" s="44"/>
      <c r="AW173" s="44"/>
      <c r="AX173" s="44"/>
      <c r="AY173" s="44"/>
      <c r="AZ173" s="46"/>
    </row>
    <row r="174" customFormat="false" ht="18" hidden="false" customHeight="true" outlineLevel="0" collapsed="false">
      <c r="A174" s="47" t="n">
        <v>114147</v>
      </c>
      <c r="B174" s="48" t="s">
        <v>1037</v>
      </c>
      <c r="C174" s="47" t="n">
        <v>114147</v>
      </c>
      <c r="D174" s="48" t="s">
        <v>1038</v>
      </c>
      <c r="E174" s="48" t="s">
        <v>1061</v>
      </c>
      <c r="F174" s="48" t="s">
        <v>1062</v>
      </c>
      <c r="G174" s="49" t="s">
        <v>1531</v>
      </c>
      <c r="H174" s="48" t="s">
        <v>1151</v>
      </c>
      <c r="I174" s="48" t="s">
        <v>1532</v>
      </c>
      <c r="J174" s="48" t="s">
        <v>31</v>
      </c>
      <c r="K174" s="48" t="s">
        <v>36</v>
      </c>
      <c r="L174" s="48" t="s">
        <v>981</v>
      </c>
      <c r="M174" s="48"/>
      <c r="N174" s="50" t="s">
        <v>1443</v>
      </c>
      <c r="O174" s="51" t="s">
        <v>1649</v>
      </c>
      <c r="P174" s="52" t="n">
        <v>1</v>
      </c>
      <c r="Q174" s="61"/>
      <c r="R174" s="52" t="s">
        <v>1519</v>
      </c>
      <c r="S174" s="52"/>
      <c r="T174" s="52"/>
      <c r="U174" s="53" t="n">
        <v>188010</v>
      </c>
      <c r="V174" s="54" t="n">
        <v>188010</v>
      </c>
      <c r="W174" s="55" t="n">
        <v>0.12</v>
      </c>
      <c r="X174" s="52" t="n">
        <v>0.055</v>
      </c>
      <c r="Y174" s="55" t="n">
        <v>0.12</v>
      </c>
      <c r="Z174" s="56"/>
      <c r="AA174" s="55" t="n">
        <v>0.04</v>
      </c>
      <c r="AB174" s="57" t="n">
        <v>250993.35</v>
      </c>
      <c r="AC174" s="44"/>
      <c r="AD174" s="62"/>
      <c r="AE174" s="62" t="n">
        <v>250993.35</v>
      </c>
      <c r="AF174" s="62" t="s">
        <v>53</v>
      </c>
      <c r="AG174" s="62" t="n">
        <v>0</v>
      </c>
      <c r="AH174" s="58" t="s">
        <v>31</v>
      </c>
      <c r="AI174" s="44" t="n">
        <v>0</v>
      </c>
      <c r="AJ174" s="44" t="s">
        <v>981</v>
      </c>
      <c r="AK174" s="44" t="s">
        <v>47</v>
      </c>
      <c r="AL174" s="44" t="s">
        <v>1032</v>
      </c>
      <c r="AM174" s="44" t="n">
        <v>1</v>
      </c>
      <c r="AN174" s="44"/>
      <c r="AO174" s="44"/>
      <c r="AP174" s="44"/>
      <c r="AQ174" s="45" t="s">
        <v>1036</v>
      </c>
      <c r="AR174" s="44" t="s">
        <v>1282</v>
      </c>
      <c r="AS174" s="44"/>
      <c r="AT174" s="44"/>
      <c r="AU174" s="44"/>
      <c r="AV174" s="44"/>
      <c r="AW174" s="44"/>
      <c r="AX174" s="44"/>
      <c r="AY174" s="44"/>
      <c r="AZ174" s="46"/>
    </row>
    <row r="175" customFormat="false" ht="18" hidden="false" customHeight="true" outlineLevel="0" collapsed="false">
      <c r="A175" s="47" t="s">
        <v>1507</v>
      </c>
      <c r="B175" s="48" t="s">
        <v>69</v>
      </c>
      <c r="C175" s="47" t="s">
        <v>1507</v>
      </c>
      <c r="D175" s="48" t="s">
        <v>52</v>
      </c>
      <c r="E175" s="48" t="s">
        <v>730</v>
      </c>
      <c r="F175" s="48" t="s">
        <v>1460</v>
      </c>
      <c r="G175" s="49" t="s">
        <v>1461</v>
      </c>
      <c r="H175" s="48" t="s">
        <v>1161</v>
      </c>
      <c r="I175" s="48" t="s">
        <v>1462</v>
      </c>
      <c r="J175" s="48" t="s">
        <v>24</v>
      </c>
      <c r="K175" s="48" t="s">
        <v>1155</v>
      </c>
      <c r="L175" s="48" t="s">
        <v>696</v>
      </c>
      <c r="M175" s="48"/>
      <c r="N175" s="50" t="s">
        <v>1458</v>
      </c>
      <c r="O175" s="51" t="s">
        <v>1649</v>
      </c>
      <c r="P175" s="52" t="n">
        <v>1</v>
      </c>
      <c r="Q175" s="61"/>
      <c r="R175" s="52" t="s">
        <v>1513</v>
      </c>
      <c r="S175" s="52"/>
      <c r="T175" s="52"/>
      <c r="U175" s="53" t="n">
        <v>173550</v>
      </c>
      <c r="V175" s="54" t="n">
        <v>173550</v>
      </c>
      <c r="W175" s="55" t="n">
        <v>0.12</v>
      </c>
      <c r="X175" s="52" t="n">
        <v>0.055</v>
      </c>
      <c r="Y175" s="55" t="n">
        <v>0.12</v>
      </c>
      <c r="Z175" s="56"/>
      <c r="AA175" s="55" t="n">
        <v>0.04</v>
      </c>
      <c r="AB175" s="57" t="n">
        <v>231689.25</v>
      </c>
      <c r="AC175" s="44"/>
      <c r="AD175" s="62"/>
      <c r="AE175" s="62" t="n">
        <v>231689.25</v>
      </c>
      <c r="AF175" s="62" t="s">
        <v>69</v>
      </c>
      <c r="AG175" s="62" t="n">
        <v>0</v>
      </c>
      <c r="AH175" s="58" t="s">
        <v>24</v>
      </c>
      <c r="AI175" s="44" t="n">
        <v>0</v>
      </c>
      <c r="AJ175" s="44" t="s">
        <v>696</v>
      </c>
      <c r="AK175" s="44" t="s">
        <v>47</v>
      </c>
      <c r="AL175" s="44" t="s">
        <v>696</v>
      </c>
      <c r="AM175" s="44" t="n">
        <v>0</v>
      </c>
      <c r="AN175" s="44" t="s">
        <v>69</v>
      </c>
      <c r="AO175" s="44" t="s">
        <v>1645</v>
      </c>
      <c r="AP175" s="44"/>
      <c r="AQ175" s="45" t="s">
        <v>732</v>
      </c>
      <c r="AR175" s="44" t="s">
        <v>1282</v>
      </c>
      <c r="AS175" s="44"/>
      <c r="AT175" s="44"/>
      <c r="AU175" s="44"/>
      <c r="AV175" s="44"/>
      <c r="AW175" s="44"/>
      <c r="AX175" s="44"/>
      <c r="AY175" s="44"/>
      <c r="AZ175" s="46"/>
    </row>
    <row r="176" customFormat="false" ht="18" hidden="false" customHeight="true" outlineLevel="0" collapsed="false">
      <c r="A176" s="47" t="n">
        <v>80477</v>
      </c>
      <c r="B176" s="48" t="s">
        <v>1003</v>
      </c>
      <c r="C176" s="47" t="n">
        <v>80477</v>
      </c>
      <c r="D176" s="48" t="s">
        <v>84</v>
      </c>
      <c r="E176" s="48" t="s">
        <v>1539</v>
      </c>
      <c r="F176" s="48" t="s">
        <v>1540</v>
      </c>
      <c r="G176" s="49" t="s">
        <v>1531</v>
      </c>
      <c r="H176" s="48" t="s">
        <v>1541</v>
      </c>
      <c r="I176" s="48"/>
      <c r="J176" s="48" t="s">
        <v>31</v>
      </c>
      <c r="K176" s="48" t="s">
        <v>1151</v>
      </c>
      <c r="L176" s="48" t="s">
        <v>981</v>
      </c>
      <c r="M176" s="48"/>
      <c r="N176" s="50" t="s">
        <v>1443</v>
      </c>
      <c r="O176" s="51" t="s">
        <v>1649</v>
      </c>
      <c r="P176" s="52" t="n">
        <v>0.6</v>
      </c>
      <c r="Q176" s="61"/>
      <c r="R176" s="52" t="s">
        <v>1489</v>
      </c>
      <c r="S176" s="52"/>
      <c r="T176" s="52"/>
      <c r="U176" s="53" t="n">
        <v>197180</v>
      </c>
      <c r="V176" s="54" t="n">
        <v>197180</v>
      </c>
      <c r="W176" s="55" t="n">
        <v>0.12</v>
      </c>
      <c r="X176" s="52" t="n">
        <v>0.055</v>
      </c>
      <c r="Y176" s="55" t="n">
        <v>0.12</v>
      </c>
      <c r="Z176" s="56"/>
      <c r="AA176" s="55" t="n">
        <v>0.04</v>
      </c>
      <c r="AB176" s="57" t="n">
        <v>263235.3</v>
      </c>
      <c r="AC176" s="44"/>
      <c r="AD176" s="62"/>
      <c r="AE176" s="62" t="n">
        <v>157941.18</v>
      </c>
      <c r="AF176" s="62" t="s">
        <v>53</v>
      </c>
      <c r="AG176" s="62" t="n">
        <v>0</v>
      </c>
      <c r="AH176" s="58" t="s">
        <v>31</v>
      </c>
      <c r="AI176" s="44" t="n">
        <v>0</v>
      </c>
      <c r="AJ176" s="44" t="s">
        <v>981</v>
      </c>
      <c r="AK176" s="44" t="s">
        <v>47</v>
      </c>
      <c r="AL176" s="44" t="s">
        <v>981</v>
      </c>
      <c r="AM176" s="44" t="n">
        <v>0</v>
      </c>
      <c r="AN176" s="44"/>
      <c r="AO176" s="44"/>
      <c r="AP176" s="44"/>
      <c r="AQ176" s="45" t="s">
        <v>1002</v>
      </c>
      <c r="AR176" s="44" t="s">
        <v>1282</v>
      </c>
      <c r="AS176" s="44"/>
      <c r="AT176" s="44"/>
      <c r="AU176" s="44"/>
      <c r="AV176" s="44"/>
      <c r="AW176" s="44"/>
      <c r="AX176" s="44"/>
      <c r="AY176" s="44"/>
      <c r="AZ176" s="46"/>
    </row>
    <row r="177" customFormat="false" ht="18" hidden="false" customHeight="true" outlineLevel="0" collapsed="false">
      <c r="A177" s="47" t="n">
        <v>94631</v>
      </c>
      <c r="B177" s="48" t="s">
        <v>1005</v>
      </c>
      <c r="C177" s="47" t="n">
        <v>94631</v>
      </c>
      <c r="D177" s="48" t="s">
        <v>133</v>
      </c>
      <c r="E177" s="48" t="s">
        <v>1539</v>
      </c>
      <c r="F177" s="48" t="s">
        <v>1540</v>
      </c>
      <c r="G177" s="49" t="s">
        <v>1531</v>
      </c>
      <c r="H177" s="48" t="s">
        <v>1541</v>
      </c>
      <c r="I177" s="48" t="s">
        <v>1661</v>
      </c>
      <c r="J177" s="48" t="s">
        <v>31</v>
      </c>
      <c r="K177" s="48" t="s">
        <v>1151</v>
      </c>
      <c r="L177" s="48"/>
      <c r="M177" s="48"/>
      <c r="N177" s="50" t="s">
        <v>1443</v>
      </c>
      <c r="O177" s="51" t="s">
        <v>1649</v>
      </c>
      <c r="P177" s="52" t="n">
        <v>1</v>
      </c>
      <c r="Q177" s="61"/>
      <c r="R177" s="52" t="s">
        <v>1519</v>
      </c>
      <c r="S177" s="52"/>
      <c r="T177" s="52"/>
      <c r="U177" s="53" t="n">
        <v>186610</v>
      </c>
      <c r="V177" s="54" t="n">
        <v>186610</v>
      </c>
      <c r="W177" s="55" t="n">
        <v>0.12</v>
      </c>
      <c r="X177" s="52" t="n">
        <v>0.055</v>
      </c>
      <c r="Y177" s="55" t="n">
        <v>0.12</v>
      </c>
      <c r="Z177" s="56"/>
      <c r="AA177" s="55" t="n">
        <v>0.04</v>
      </c>
      <c r="AB177" s="57" t="n">
        <v>249124.35</v>
      </c>
      <c r="AC177" s="44"/>
      <c r="AD177" s="62"/>
      <c r="AE177" s="62" t="n">
        <v>249124.35</v>
      </c>
      <c r="AF177" s="62" t="s">
        <v>53</v>
      </c>
      <c r="AG177" s="62" t="n">
        <v>0</v>
      </c>
      <c r="AH177" s="58" t="s">
        <v>31</v>
      </c>
      <c r="AI177" s="44" t="n">
        <v>0</v>
      </c>
      <c r="AJ177" s="44" t="s">
        <v>981</v>
      </c>
      <c r="AK177" s="44" t="s">
        <v>47</v>
      </c>
      <c r="AL177" s="44" t="s">
        <v>981</v>
      </c>
      <c r="AM177" s="44" t="n">
        <v>0</v>
      </c>
      <c r="AN177" s="44"/>
      <c r="AO177" s="44"/>
      <c r="AP177" s="44"/>
      <c r="AQ177" s="45" t="s">
        <v>1004</v>
      </c>
      <c r="AR177" s="44" t="s">
        <v>1282</v>
      </c>
      <c r="AS177" s="44"/>
      <c r="AT177" s="44"/>
      <c r="AU177" s="44"/>
      <c r="AV177" s="44"/>
      <c r="AW177" s="44"/>
      <c r="AX177" s="44"/>
      <c r="AY177" s="44"/>
      <c r="AZ177" s="46"/>
    </row>
    <row r="178" customFormat="false" ht="18" hidden="false" customHeight="true" outlineLevel="0" collapsed="false">
      <c r="A178" s="47" t="n">
        <v>113527</v>
      </c>
      <c r="B178" s="48" t="s">
        <v>990</v>
      </c>
      <c r="C178" s="47" t="n">
        <v>113527</v>
      </c>
      <c r="D178" s="48" t="s">
        <v>991</v>
      </c>
      <c r="E178" s="48" t="s">
        <v>1064</v>
      </c>
      <c r="F178" s="48" t="s">
        <v>1662</v>
      </c>
      <c r="G178" s="49" t="s">
        <v>1531</v>
      </c>
      <c r="H178" s="48" t="s">
        <v>1151</v>
      </c>
      <c r="I178" s="48" t="s">
        <v>974</v>
      </c>
      <c r="J178" s="48" t="s">
        <v>31</v>
      </c>
      <c r="K178" s="48" t="s">
        <v>1151</v>
      </c>
      <c r="L178" s="48" t="s">
        <v>974</v>
      </c>
      <c r="M178" s="48"/>
      <c r="N178" s="50" t="s">
        <v>1284</v>
      </c>
      <c r="O178" s="51" t="s">
        <v>1649</v>
      </c>
      <c r="P178" s="52" t="n">
        <v>1</v>
      </c>
      <c r="Q178" s="61"/>
      <c r="R178" s="52" t="s">
        <v>1519</v>
      </c>
      <c r="S178" s="52"/>
      <c r="T178" s="52"/>
      <c r="U178" s="53" t="n">
        <v>160800</v>
      </c>
      <c r="V178" s="54" t="n">
        <v>147936</v>
      </c>
      <c r="W178" s="55" t="n">
        <v>0.15</v>
      </c>
      <c r="X178" s="52"/>
      <c r="Y178" s="55" t="n">
        <v>0.05</v>
      </c>
      <c r="Z178" s="56" t="n">
        <v>2910</v>
      </c>
      <c r="AA178" s="55" t="n">
        <v>0.03</v>
      </c>
      <c r="AB178" s="57" t="n">
        <v>184871.28</v>
      </c>
      <c r="AC178" s="44" t="n">
        <v>113527</v>
      </c>
      <c r="AD178" s="62"/>
      <c r="AE178" s="62" t="n">
        <v>184871.28</v>
      </c>
      <c r="AF178" s="62" t="s">
        <v>53</v>
      </c>
      <c r="AG178" s="62" t="n">
        <v>0</v>
      </c>
      <c r="AH178" s="58" t="s">
        <v>31</v>
      </c>
      <c r="AI178" s="44" t="n">
        <v>0</v>
      </c>
      <c r="AJ178" s="44" t="s">
        <v>974</v>
      </c>
      <c r="AK178" s="44" t="s">
        <v>47</v>
      </c>
      <c r="AL178" s="44" t="s">
        <v>974</v>
      </c>
      <c r="AM178" s="44" t="n">
        <v>0</v>
      </c>
      <c r="AN178" s="44"/>
      <c r="AO178" s="44"/>
      <c r="AP178" s="44"/>
      <c r="AQ178" s="45" t="s">
        <v>989</v>
      </c>
      <c r="AR178" s="44" t="s">
        <v>1284</v>
      </c>
      <c r="AS178" s="44"/>
      <c r="AT178" s="44"/>
      <c r="AU178" s="44"/>
      <c r="AV178" s="44"/>
      <c r="AW178" s="44"/>
      <c r="AX178" s="44"/>
      <c r="AY178" s="44"/>
      <c r="AZ178" s="46"/>
    </row>
    <row r="179" customFormat="false" ht="18" hidden="false" customHeight="true" outlineLevel="0" collapsed="false">
      <c r="A179" s="47" t="n">
        <v>101166</v>
      </c>
      <c r="B179" s="48" t="s">
        <v>993</v>
      </c>
      <c r="C179" s="47" t="n">
        <v>101166</v>
      </c>
      <c r="D179" s="48" t="s">
        <v>991</v>
      </c>
      <c r="E179" s="48" t="s">
        <v>1064</v>
      </c>
      <c r="F179" s="48" t="s">
        <v>1662</v>
      </c>
      <c r="G179" s="49" t="s">
        <v>1531</v>
      </c>
      <c r="H179" s="48" t="s">
        <v>1151</v>
      </c>
      <c r="I179" s="48" t="s">
        <v>974</v>
      </c>
      <c r="J179" s="48" t="s">
        <v>31</v>
      </c>
      <c r="K179" s="48" t="s">
        <v>1151</v>
      </c>
      <c r="L179" s="48" t="s">
        <v>974</v>
      </c>
      <c r="M179" s="48"/>
      <c r="N179" s="50" t="s">
        <v>1443</v>
      </c>
      <c r="O179" s="51" t="s">
        <v>1649</v>
      </c>
      <c r="P179" s="52" t="n">
        <v>1</v>
      </c>
      <c r="Q179" s="61"/>
      <c r="R179" s="52" t="s">
        <v>1519</v>
      </c>
      <c r="S179" s="52"/>
      <c r="T179" s="52"/>
      <c r="U179" s="53" t="n">
        <v>173470</v>
      </c>
      <c r="V179" s="54" t="n">
        <v>173470</v>
      </c>
      <c r="W179" s="55" t="n">
        <v>0.12</v>
      </c>
      <c r="X179" s="52" t="n">
        <v>0.055</v>
      </c>
      <c r="Y179" s="55" t="n">
        <v>0.12</v>
      </c>
      <c r="Z179" s="56"/>
      <c r="AA179" s="55" t="n">
        <v>0.04</v>
      </c>
      <c r="AB179" s="57" t="n">
        <v>231582.45</v>
      </c>
      <c r="AC179" s="44"/>
      <c r="AD179" s="62"/>
      <c r="AE179" s="62" t="n">
        <v>231582.45</v>
      </c>
      <c r="AF179" s="62" t="s">
        <v>53</v>
      </c>
      <c r="AG179" s="62" t="n">
        <v>0</v>
      </c>
      <c r="AH179" s="58" t="s">
        <v>31</v>
      </c>
      <c r="AI179" s="44" t="n">
        <v>0</v>
      </c>
      <c r="AJ179" s="44" t="s">
        <v>974</v>
      </c>
      <c r="AK179" s="44" t="s">
        <v>47</v>
      </c>
      <c r="AL179" s="44" t="s">
        <v>974</v>
      </c>
      <c r="AM179" s="44" t="n">
        <v>0</v>
      </c>
      <c r="AN179" s="44"/>
      <c r="AO179" s="44"/>
      <c r="AP179" s="44"/>
      <c r="AQ179" s="45" t="s">
        <v>992</v>
      </c>
      <c r="AR179" s="44" t="s">
        <v>1282</v>
      </c>
      <c r="AS179" s="44"/>
      <c r="AT179" s="44"/>
      <c r="AU179" s="44"/>
      <c r="AV179" s="44"/>
      <c r="AW179" s="44"/>
      <c r="AX179" s="44"/>
      <c r="AY179" s="44"/>
      <c r="AZ179" s="46"/>
    </row>
    <row r="180" customFormat="false" ht="18" hidden="false" customHeight="true" outlineLevel="0" collapsed="false">
      <c r="A180" s="47" t="s">
        <v>1507</v>
      </c>
      <c r="B180" s="48" t="s">
        <v>69</v>
      </c>
      <c r="C180" s="47" t="s">
        <v>1507</v>
      </c>
      <c r="D180" s="48" t="s">
        <v>824</v>
      </c>
      <c r="E180" s="48" t="s">
        <v>828</v>
      </c>
      <c r="F180" s="48" t="s">
        <v>829</v>
      </c>
      <c r="G180" s="49" t="s">
        <v>30</v>
      </c>
      <c r="H180" s="48" t="s">
        <v>1297</v>
      </c>
      <c r="I180" s="48" t="s">
        <v>1638</v>
      </c>
      <c r="J180" s="48" t="s">
        <v>28</v>
      </c>
      <c r="K180" s="48" t="s">
        <v>1154</v>
      </c>
      <c r="L180" s="48" t="s">
        <v>810</v>
      </c>
      <c r="M180" s="48"/>
      <c r="N180" s="50" t="s">
        <v>1443</v>
      </c>
      <c r="O180" s="51" t="s">
        <v>1649</v>
      </c>
      <c r="P180" s="52" t="n">
        <v>1</v>
      </c>
      <c r="Q180" s="61"/>
      <c r="R180" s="52" t="s">
        <v>1513</v>
      </c>
      <c r="S180" s="52"/>
      <c r="T180" s="52"/>
      <c r="U180" s="53" t="n">
        <v>173550</v>
      </c>
      <c r="V180" s="54" t="n">
        <v>173550</v>
      </c>
      <c r="W180" s="55" t="n">
        <v>0.12</v>
      </c>
      <c r="X180" s="52" t="n">
        <v>0.055</v>
      </c>
      <c r="Y180" s="55" t="n">
        <v>0.12</v>
      </c>
      <c r="Z180" s="56"/>
      <c r="AA180" s="55" t="n">
        <v>0.04</v>
      </c>
      <c r="AB180" s="57" t="n">
        <v>231689.25</v>
      </c>
      <c r="AC180" s="44"/>
      <c r="AD180" s="62"/>
      <c r="AE180" s="62" t="n">
        <v>231689.25</v>
      </c>
      <c r="AF180" s="62" t="s">
        <v>69</v>
      </c>
      <c r="AG180" s="62" t="n">
        <v>0</v>
      </c>
      <c r="AH180" s="58" t="s">
        <v>28</v>
      </c>
      <c r="AI180" s="44" t="n">
        <v>0</v>
      </c>
      <c r="AJ180" s="44" t="s">
        <v>810</v>
      </c>
      <c r="AK180" s="44" t="s">
        <v>47</v>
      </c>
      <c r="AL180" s="44" t="s">
        <v>810</v>
      </c>
      <c r="AM180" s="44" t="n">
        <v>0</v>
      </c>
      <c r="AN180" s="44"/>
      <c r="AO180" s="44"/>
      <c r="AP180" s="44"/>
      <c r="AQ180" s="45" t="s">
        <v>825</v>
      </c>
      <c r="AR180" s="44" t="s">
        <v>1282</v>
      </c>
      <c r="AS180" s="44"/>
      <c r="AT180" s="44"/>
      <c r="AU180" s="44"/>
      <c r="AV180" s="44"/>
      <c r="AW180" s="44"/>
      <c r="AX180" s="44"/>
      <c r="AY180" s="64"/>
      <c r="AZ180" s="46"/>
    </row>
    <row r="181" customFormat="false" ht="18" hidden="false" customHeight="true" outlineLevel="0" collapsed="false">
      <c r="A181" s="47" t="n">
        <v>81395</v>
      </c>
      <c r="B181" s="48" t="s">
        <v>709</v>
      </c>
      <c r="C181" s="47" t="n">
        <v>81395</v>
      </c>
      <c r="D181" s="48" t="s">
        <v>617</v>
      </c>
      <c r="E181" s="48" t="s">
        <v>765</v>
      </c>
      <c r="F181" s="48" t="s">
        <v>1663</v>
      </c>
      <c r="G181" s="49" t="s">
        <v>1461</v>
      </c>
      <c r="H181" s="48" t="s">
        <v>1161</v>
      </c>
      <c r="I181" s="48" t="s">
        <v>1583</v>
      </c>
      <c r="J181" s="48" t="s">
        <v>24</v>
      </c>
      <c r="K181" s="48" t="s">
        <v>1153</v>
      </c>
      <c r="L181" s="48" t="s">
        <v>699</v>
      </c>
      <c r="M181" s="48"/>
      <c r="N181" s="50" t="s">
        <v>1443</v>
      </c>
      <c r="O181" s="51" t="s">
        <v>1649</v>
      </c>
      <c r="P181" s="52" t="n">
        <v>1</v>
      </c>
      <c r="Q181" s="61"/>
      <c r="R181" s="52" t="s">
        <v>1519</v>
      </c>
      <c r="S181" s="52"/>
      <c r="T181" s="52"/>
      <c r="U181" s="53" t="n">
        <v>176400</v>
      </c>
      <c r="V181" s="54" t="n">
        <v>176400</v>
      </c>
      <c r="W181" s="55" t="n">
        <v>0.12</v>
      </c>
      <c r="X181" s="52" t="n">
        <v>0.055</v>
      </c>
      <c r="Y181" s="55" t="n">
        <v>0.12</v>
      </c>
      <c r="Z181" s="56"/>
      <c r="AA181" s="55" t="n">
        <v>0.04</v>
      </c>
      <c r="AB181" s="57" t="n">
        <v>235494</v>
      </c>
      <c r="AC181" s="44"/>
      <c r="AD181" s="62"/>
      <c r="AE181" s="62" t="n">
        <v>235494</v>
      </c>
      <c r="AF181" s="62" t="s">
        <v>53</v>
      </c>
      <c r="AG181" s="62" t="n">
        <v>0</v>
      </c>
      <c r="AH181" s="58" t="s">
        <v>24</v>
      </c>
      <c r="AI181" s="44" t="n">
        <v>0</v>
      </c>
      <c r="AJ181" s="44" t="s">
        <v>699</v>
      </c>
      <c r="AK181" s="44" t="s">
        <v>47</v>
      </c>
      <c r="AL181" s="44" t="s">
        <v>699</v>
      </c>
      <c r="AM181" s="44" t="n">
        <v>0</v>
      </c>
      <c r="AN181" s="44"/>
      <c r="AO181" s="44"/>
      <c r="AP181" s="44"/>
      <c r="AQ181" s="45" t="s">
        <v>708</v>
      </c>
      <c r="AR181" s="44" t="s">
        <v>1282</v>
      </c>
      <c r="AS181" s="44"/>
      <c r="AT181" s="44"/>
      <c r="AU181" s="44"/>
      <c r="AV181" s="44"/>
      <c r="AW181" s="44"/>
      <c r="AX181" s="44"/>
      <c r="AY181" s="64"/>
      <c r="AZ181" s="46"/>
    </row>
    <row r="182" customFormat="false" ht="18" hidden="false" customHeight="true" outlineLevel="0" collapsed="false">
      <c r="A182" s="47" t="n">
        <v>99707</v>
      </c>
      <c r="B182" s="48" t="s">
        <v>1664</v>
      </c>
      <c r="C182" s="47" t="n">
        <v>99707</v>
      </c>
      <c r="D182" s="48" t="s">
        <v>1665</v>
      </c>
      <c r="E182" s="48" t="s">
        <v>1082</v>
      </c>
      <c r="F182" s="48" t="s">
        <v>1083</v>
      </c>
      <c r="G182" s="49" t="s">
        <v>1527</v>
      </c>
      <c r="H182" s="48" t="s">
        <v>1338</v>
      </c>
      <c r="I182" s="48" t="s">
        <v>1159</v>
      </c>
      <c r="J182" s="48" t="s">
        <v>1159</v>
      </c>
      <c r="K182" s="48" t="s">
        <v>1159</v>
      </c>
      <c r="L182" s="48" t="s">
        <v>1159</v>
      </c>
      <c r="M182" s="48"/>
      <c r="N182" s="50" t="s">
        <v>1443</v>
      </c>
      <c r="O182" s="51" t="s">
        <v>1649</v>
      </c>
      <c r="P182" s="52" t="n">
        <v>1</v>
      </c>
      <c r="Q182" s="61"/>
      <c r="R182" s="52" t="s">
        <v>1519</v>
      </c>
      <c r="S182" s="52"/>
      <c r="T182" s="52"/>
      <c r="U182" s="53" t="n">
        <v>213740</v>
      </c>
      <c r="V182" s="54" t="n">
        <v>213740</v>
      </c>
      <c r="W182" s="55" t="n">
        <v>0.12</v>
      </c>
      <c r="X182" s="52" t="n">
        <v>0.055</v>
      </c>
      <c r="Y182" s="55" t="n">
        <v>0.12</v>
      </c>
      <c r="Z182" s="56"/>
      <c r="AA182" s="55" t="n">
        <v>0.04</v>
      </c>
      <c r="AB182" s="57" t="n">
        <v>285342.9</v>
      </c>
      <c r="AC182" s="44"/>
      <c r="AD182" s="62"/>
      <c r="AE182" s="62" t="n">
        <v>285342.9</v>
      </c>
      <c r="AF182" s="62" t="s">
        <v>53</v>
      </c>
      <c r="AG182" s="62" t="n">
        <v>0</v>
      </c>
      <c r="AH182" s="58" t="s">
        <v>32</v>
      </c>
      <c r="AI182" s="44" t="n">
        <v>0</v>
      </c>
      <c r="AJ182" s="44" t="s">
        <v>1338</v>
      </c>
      <c r="AK182" s="44" t="s">
        <v>47</v>
      </c>
      <c r="AL182" s="44" t="s">
        <v>1338</v>
      </c>
      <c r="AM182" s="44" t="n">
        <v>0</v>
      </c>
      <c r="AN182" s="44"/>
      <c r="AO182" s="44"/>
      <c r="AP182" s="44"/>
      <c r="AQ182" s="45" t="s">
        <v>1340</v>
      </c>
      <c r="AR182" s="44" t="s">
        <v>1282</v>
      </c>
      <c r="AS182" s="44"/>
      <c r="AT182" s="44"/>
      <c r="AU182" s="44"/>
      <c r="AV182" s="44"/>
      <c r="AW182" s="44"/>
      <c r="AX182" s="44"/>
      <c r="AY182" s="64"/>
      <c r="AZ182" s="46"/>
    </row>
    <row r="183" customFormat="false" ht="18" hidden="false" customHeight="true" outlineLevel="0" collapsed="false">
      <c r="A183" s="47" t="n">
        <v>102385</v>
      </c>
      <c r="B183" s="48" t="s">
        <v>1666</v>
      </c>
      <c r="C183" s="47" t="n">
        <v>102385</v>
      </c>
      <c r="D183" s="48" t="s">
        <v>1667</v>
      </c>
      <c r="E183" s="48" t="s">
        <v>1082</v>
      </c>
      <c r="F183" s="48" t="s">
        <v>1668</v>
      </c>
      <c r="G183" s="49" t="s">
        <v>1527</v>
      </c>
      <c r="H183" s="48" t="s">
        <v>1338</v>
      </c>
      <c r="I183" s="48" t="s">
        <v>1159</v>
      </c>
      <c r="J183" s="48" t="s">
        <v>1159</v>
      </c>
      <c r="K183" s="48" t="s">
        <v>1159</v>
      </c>
      <c r="L183" s="48" t="s">
        <v>1159</v>
      </c>
      <c r="M183" s="48"/>
      <c r="N183" s="50" t="s">
        <v>1443</v>
      </c>
      <c r="O183" s="51" t="s">
        <v>1649</v>
      </c>
      <c r="P183" s="52" t="n">
        <v>1</v>
      </c>
      <c r="Q183" s="61"/>
      <c r="R183" s="52" t="s">
        <v>1519</v>
      </c>
      <c r="S183" s="52"/>
      <c r="T183" s="52"/>
      <c r="U183" s="53" t="n">
        <v>212250</v>
      </c>
      <c r="V183" s="54" t="n">
        <v>212250</v>
      </c>
      <c r="W183" s="55" t="n">
        <v>0.12</v>
      </c>
      <c r="X183" s="52" t="n">
        <v>0.055</v>
      </c>
      <c r="Y183" s="55" t="n">
        <v>0.12</v>
      </c>
      <c r="Z183" s="56"/>
      <c r="AA183" s="55" t="n">
        <v>0.04</v>
      </c>
      <c r="AB183" s="57" t="n">
        <v>283353.75</v>
      </c>
      <c r="AC183" s="44"/>
      <c r="AD183" s="62"/>
      <c r="AE183" s="62" t="n">
        <v>283353.75</v>
      </c>
      <c r="AF183" s="62" t="s">
        <v>53</v>
      </c>
      <c r="AG183" s="62" t="n">
        <v>0</v>
      </c>
      <c r="AH183" s="58" t="s">
        <v>32</v>
      </c>
      <c r="AI183" s="44" t="n">
        <v>0</v>
      </c>
      <c r="AJ183" s="44" t="s">
        <v>1338</v>
      </c>
      <c r="AK183" s="44" t="s">
        <v>47</v>
      </c>
      <c r="AL183" s="44" t="s">
        <v>1338</v>
      </c>
      <c r="AM183" s="44" t="n">
        <v>0</v>
      </c>
      <c r="AN183" s="44"/>
      <c r="AO183" s="44"/>
      <c r="AP183" s="44"/>
      <c r="AQ183" s="45" t="s">
        <v>1341</v>
      </c>
      <c r="AR183" s="44" t="s">
        <v>1282</v>
      </c>
      <c r="AS183" s="44"/>
      <c r="AT183" s="44"/>
      <c r="AU183" s="44"/>
      <c r="AV183" s="44"/>
      <c r="AW183" s="44"/>
      <c r="AX183" s="44"/>
      <c r="AY183" s="64"/>
      <c r="AZ183" s="46"/>
    </row>
    <row r="184" customFormat="false" ht="18" hidden="false" customHeight="true" outlineLevel="0" collapsed="false">
      <c r="A184" s="47" t="n">
        <v>104966</v>
      </c>
      <c r="B184" s="48" t="s">
        <v>1669</v>
      </c>
      <c r="C184" s="47" t="n">
        <v>104966</v>
      </c>
      <c r="D184" s="48" t="s">
        <v>1667</v>
      </c>
      <c r="E184" s="48" t="s">
        <v>1082</v>
      </c>
      <c r="F184" s="48"/>
      <c r="G184" s="49" t="s">
        <v>1527</v>
      </c>
      <c r="H184" s="48" t="s">
        <v>1338</v>
      </c>
      <c r="I184" s="48" t="s">
        <v>1159</v>
      </c>
      <c r="J184" s="48" t="s">
        <v>1159</v>
      </c>
      <c r="K184" s="48" t="s">
        <v>1159</v>
      </c>
      <c r="L184" s="48" t="s">
        <v>1159</v>
      </c>
      <c r="M184" s="48"/>
      <c r="N184" s="50" t="s">
        <v>1443</v>
      </c>
      <c r="O184" s="51" t="s">
        <v>1649</v>
      </c>
      <c r="P184" s="52" t="n">
        <v>1</v>
      </c>
      <c r="Q184" s="61"/>
      <c r="R184" s="52" t="s">
        <v>1519</v>
      </c>
      <c r="S184" s="52"/>
      <c r="T184" s="52"/>
      <c r="U184" s="53" t="n">
        <v>169500</v>
      </c>
      <c r="V184" s="54" t="n">
        <v>169500</v>
      </c>
      <c r="W184" s="55" t="n">
        <v>0.12</v>
      </c>
      <c r="X184" s="52" t="n">
        <v>0.055</v>
      </c>
      <c r="Y184" s="55" t="n">
        <v>0.12</v>
      </c>
      <c r="Z184" s="56"/>
      <c r="AA184" s="55" t="n">
        <v>0.04</v>
      </c>
      <c r="AB184" s="57" t="n">
        <v>226282.5</v>
      </c>
      <c r="AC184" s="44"/>
      <c r="AD184" s="62"/>
      <c r="AE184" s="62" t="n">
        <v>226282.5</v>
      </c>
      <c r="AF184" s="62" t="s">
        <v>53</v>
      </c>
      <c r="AG184" s="62" t="n">
        <v>0</v>
      </c>
      <c r="AH184" s="58" t="s">
        <v>32</v>
      </c>
      <c r="AI184" s="44" t="n">
        <v>0</v>
      </c>
      <c r="AJ184" s="44" t="s">
        <v>1338</v>
      </c>
      <c r="AK184" s="44" t="s">
        <v>47</v>
      </c>
      <c r="AL184" s="44" t="s">
        <v>1338</v>
      </c>
      <c r="AM184" s="44" t="n">
        <v>0</v>
      </c>
      <c r="AN184" s="44"/>
      <c r="AO184" s="44"/>
      <c r="AP184" s="44"/>
      <c r="AQ184" s="45" t="s">
        <v>1342</v>
      </c>
      <c r="AR184" s="44" t="s">
        <v>1282</v>
      </c>
      <c r="AS184" s="44"/>
      <c r="AT184" s="44"/>
      <c r="AU184" s="44"/>
      <c r="AV184" s="44"/>
      <c r="AW184" s="44"/>
      <c r="AX184" s="44"/>
      <c r="AY184" s="64"/>
      <c r="AZ184" s="46"/>
    </row>
    <row r="185" customFormat="false" ht="18" hidden="false" customHeight="true" outlineLevel="0" collapsed="false">
      <c r="A185" s="47" t="n">
        <v>113562</v>
      </c>
      <c r="B185" s="48" t="s">
        <v>808</v>
      </c>
      <c r="C185" s="47" t="n">
        <v>113562</v>
      </c>
      <c r="D185" s="48" t="s">
        <v>809</v>
      </c>
      <c r="E185" s="48" t="s">
        <v>814</v>
      </c>
      <c r="F185" s="48" t="s">
        <v>1670</v>
      </c>
      <c r="G185" s="49" t="s">
        <v>30</v>
      </c>
      <c r="H185" s="48" t="s">
        <v>1297</v>
      </c>
      <c r="I185" s="48" t="s">
        <v>1638</v>
      </c>
      <c r="J185" s="48" t="s">
        <v>28</v>
      </c>
      <c r="K185" s="48" t="s">
        <v>806</v>
      </c>
      <c r="L185" s="48" t="s">
        <v>806</v>
      </c>
      <c r="M185" s="48"/>
      <c r="N185" s="50" t="s">
        <v>1284</v>
      </c>
      <c r="O185" s="51" t="s">
        <v>1649</v>
      </c>
      <c r="P185" s="52" t="n">
        <v>1</v>
      </c>
      <c r="Q185" s="61"/>
      <c r="R185" s="52" t="s">
        <v>1519</v>
      </c>
      <c r="S185" s="52"/>
      <c r="T185" s="52"/>
      <c r="U185" s="53" t="n">
        <v>160470</v>
      </c>
      <c r="V185" s="54" t="n">
        <v>147632.4</v>
      </c>
      <c r="W185" s="55" t="n">
        <v>0.15</v>
      </c>
      <c r="X185" s="52"/>
      <c r="Y185" s="55" t="n">
        <v>0.05</v>
      </c>
      <c r="Z185" s="56" t="n">
        <v>2910</v>
      </c>
      <c r="AA185" s="55" t="n">
        <v>0.03</v>
      </c>
      <c r="AB185" s="57" t="n">
        <v>184497.852</v>
      </c>
      <c r="AC185" s="44"/>
      <c r="AD185" s="62"/>
      <c r="AE185" s="62" t="n">
        <v>184497.852</v>
      </c>
      <c r="AF185" s="62" t="s">
        <v>53</v>
      </c>
      <c r="AG185" s="62" t="n">
        <v>0</v>
      </c>
      <c r="AH185" s="58" t="s">
        <v>28</v>
      </c>
      <c r="AI185" s="44" t="n">
        <v>0</v>
      </c>
      <c r="AJ185" s="44" t="s">
        <v>806</v>
      </c>
      <c r="AK185" s="44" t="s">
        <v>47</v>
      </c>
      <c r="AL185" s="44" t="s">
        <v>806</v>
      </c>
      <c r="AM185" s="44" t="n">
        <v>0</v>
      </c>
      <c r="AN185" s="44"/>
      <c r="AO185" s="44"/>
      <c r="AP185" s="44"/>
      <c r="AQ185" s="45" t="s">
        <v>807</v>
      </c>
      <c r="AR185" s="44" t="s">
        <v>1284</v>
      </c>
      <c r="AS185" s="44"/>
      <c r="AT185" s="44"/>
      <c r="AU185" s="44"/>
      <c r="AV185" s="44"/>
      <c r="AW185" s="44"/>
      <c r="AX185" s="44"/>
      <c r="AY185" s="64"/>
      <c r="AZ185" s="46"/>
    </row>
    <row r="186" customFormat="false" ht="18" hidden="false" customHeight="true" outlineLevel="0" collapsed="false">
      <c r="A186" s="47" t="n">
        <v>113587</v>
      </c>
      <c r="B186" s="48" t="s">
        <v>812</v>
      </c>
      <c r="C186" s="47" t="n">
        <v>113587</v>
      </c>
      <c r="D186" s="48" t="s">
        <v>809</v>
      </c>
      <c r="E186" s="48" t="s">
        <v>814</v>
      </c>
      <c r="F186" s="48" t="s">
        <v>1670</v>
      </c>
      <c r="G186" s="49" t="s">
        <v>30</v>
      </c>
      <c r="H186" s="48" t="s">
        <v>1297</v>
      </c>
      <c r="I186" s="48" t="s">
        <v>1638</v>
      </c>
      <c r="J186" s="48" t="s">
        <v>28</v>
      </c>
      <c r="K186" s="48" t="s">
        <v>806</v>
      </c>
      <c r="L186" s="48" t="s">
        <v>806</v>
      </c>
      <c r="M186" s="48"/>
      <c r="N186" s="50" t="s">
        <v>1284</v>
      </c>
      <c r="O186" s="51" t="s">
        <v>1649</v>
      </c>
      <c r="P186" s="52" t="n">
        <v>1</v>
      </c>
      <c r="Q186" s="61"/>
      <c r="R186" s="52" t="s">
        <v>1519</v>
      </c>
      <c r="S186" s="52"/>
      <c r="T186" s="52"/>
      <c r="U186" s="53" t="n">
        <v>155550</v>
      </c>
      <c r="V186" s="54" t="n">
        <v>143106</v>
      </c>
      <c r="W186" s="55" t="n">
        <v>0.15</v>
      </c>
      <c r="X186" s="52"/>
      <c r="Y186" s="55" t="n">
        <v>0.05</v>
      </c>
      <c r="Z186" s="56" t="n">
        <v>2910</v>
      </c>
      <c r="AA186" s="55" t="n">
        <v>0.03</v>
      </c>
      <c r="AB186" s="57" t="n">
        <v>178930.38</v>
      </c>
      <c r="AC186" s="44"/>
      <c r="AD186" s="62"/>
      <c r="AE186" s="62" t="n">
        <v>178930.38</v>
      </c>
      <c r="AF186" s="62" t="s">
        <v>53</v>
      </c>
      <c r="AG186" s="62" t="n">
        <v>0</v>
      </c>
      <c r="AH186" s="58" t="s">
        <v>28</v>
      </c>
      <c r="AI186" s="44" t="n">
        <v>0</v>
      </c>
      <c r="AJ186" s="44" t="s">
        <v>806</v>
      </c>
      <c r="AK186" s="44" t="s">
        <v>47</v>
      </c>
      <c r="AL186" s="44" t="s">
        <v>806</v>
      </c>
      <c r="AM186" s="44" t="n">
        <v>0</v>
      </c>
      <c r="AN186" s="44"/>
      <c r="AO186" s="44"/>
      <c r="AP186" s="44"/>
      <c r="AQ186" s="45" t="s">
        <v>811</v>
      </c>
      <c r="AR186" s="44" t="s">
        <v>1284</v>
      </c>
      <c r="AS186" s="44"/>
      <c r="AT186" s="44"/>
      <c r="AU186" s="44"/>
      <c r="AV186" s="44"/>
      <c r="AW186" s="44"/>
      <c r="AX186" s="44"/>
      <c r="AY186" s="64"/>
      <c r="AZ186" s="46"/>
    </row>
    <row r="187" customFormat="false" ht="18" hidden="false" customHeight="true" outlineLevel="0" collapsed="false">
      <c r="A187" s="47" t="s">
        <v>1507</v>
      </c>
      <c r="B187" s="48" t="s">
        <v>69</v>
      </c>
      <c r="C187" s="47" t="s">
        <v>1507</v>
      </c>
      <c r="D187" s="48" t="s">
        <v>824</v>
      </c>
      <c r="E187" s="48" t="s">
        <v>831</v>
      </c>
      <c r="F187" s="48" t="s">
        <v>829</v>
      </c>
      <c r="G187" s="49" t="s">
        <v>30</v>
      </c>
      <c r="H187" s="48" t="s">
        <v>1297</v>
      </c>
      <c r="I187" s="48" t="s">
        <v>1638</v>
      </c>
      <c r="J187" s="48" t="s">
        <v>28</v>
      </c>
      <c r="K187" s="48" t="s">
        <v>1154</v>
      </c>
      <c r="L187" s="48" t="s">
        <v>810</v>
      </c>
      <c r="M187" s="48"/>
      <c r="N187" s="50" t="s">
        <v>1443</v>
      </c>
      <c r="O187" s="51" t="s">
        <v>1649</v>
      </c>
      <c r="P187" s="52" t="n">
        <v>1</v>
      </c>
      <c r="Q187" s="61"/>
      <c r="R187" s="52" t="s">
        <v>1513</v>
      </c>
      <c r="S187" s="52"/>
      <c r="T187" s="52"/>
      <c r="U187" s="53" t="n">
        <v>173550</v>
      </c>
      <c r="V187" s="54" t="n">
        <v>173550</v>
      </c>
      <c r="W187" s="55" t="n">
        <v>0.12</v>
      </c>
      <c r="X187" s="52" t="n">
        <v>0.055</v>
      </c>
      <c r="Y187" s="55" t="n">
        <v>0.12</v>
      </c>
      <c r="Z187" s="56"/>
      <c r="AA187" s="55" t="n">
        <v>0.04</v>
      </c>
      <c r="AB187" s="57" t="n">
        <v>231689.25</v>
      </c>
      <c r="AC187" s="44"/>
      <c r="AD187" s="62"/>
      <c r="AE187" s="62" t="n">
        <v>231689.25</v>
      </c>
      <c r="AF187" s="62" t="s">
        <v>69</v>
      </c>
      <c r="AG187" s="62" t="n">
        <v>0</v>
      </c>
      <c r="AH187" s="58" t="s">
        <v>28</v>
      </c>
      <c r="AI187" s="44" t="n">
        <v>0</v>
      </c>
      <c r="AJ187" s="44" t="s">
        <v>810</v>
      </c>
      <c r="AK187" s="44" t="s">
        <v>47</v>
      </c>
      <c r="AL187" s="44" t="s">
        <v>810</v>
      </c>
      <c r="AM187" s="44" t="n">
        <v>0</v>
      </c>
      <c r="AN187" s="44"/>
      <c r="AO187" s="44"/>
      <c r="AP187" s="44"/>
      <c r="AQ187" s="45" t="s">
        <v>826</v>
      </c>
      <c r="AR187" s="44" t="s">
        <v>1282</v>
      </c>
      <c r="AS187" s="44"/>
      <c r="AT187" s="44"/>
      <c r="AU187" s="44"/>
      <c r="AV187" s="44"/>
      <c r="AW187" s="44"/>
      <c r="AX187" s="44"/>
      <c r="AY187" s="44"/>
      <c r="AZ187" s="46"/>
    </row>
    <row r="188" customFormat="false" ht="18" hidden="false" customHeight="true" outlineLevel="0" collapsed="false">
      <c r="A188" s="47" t="n">
        <v>113516</v>
      </c>
      <c r="B188" s="48" t="s">
        <v>1671</v>
      </c>
      <c r="C188" s="47" t="n">
        <v>113516</v>
      </c>
      <c r="D188" s="48" t="s">
        <v>1672</v>
      </c>
      <c r="E188" s="48" t="s">
        <v>1608</v>
      </c>
      <c r="F188" s="48" t="s">
        <v>1083</v>
      </c>
      <c r="G188" s="49" t="s">
        <v>1527</v>
      </c>
      <c r="H188" s="48" t="s">
        <v>1251</v>
      </c>
      <c r="I188" s="48" t="s">
        <v>1673</v>
      </c>
      <c r="J188" s="48" t="s">
        <v>1159</v>
      </c>
      <c r="K188" s="48" t="s">
        <v>1159</v>
      </c>
      <c r="L188" s="48" t="s">
        <v>1159</v>
      </c>
      <c r="M188" s="48"/>
      <c r="N188" s="50" t="s">
        <v>1284</v>
      </c>
      <c r="O188" s="51" t="s">
        <v>1649</v>
      </c>
      <c r="P188" s="52" t="n">
        <v>1</v>
      </c>
      <c r="Q188" s="61"/>
      <c r="R188" s="52" t="s">
        <v>1519</v>
      </c>
      <c r="S188" s="52"/>
      <c r="T188" s="52"/>
      <c r="U188" s="53" t="n">
        <v>165310</v>
      </c>
      <c r="V188" s="54" t="n">
        <v>152085.2</v>
      </c>
      <c r="W188" s="55" t="n">
        <v>0.15</v>
      </c>
      <c r="X188" s="52"/>
      <c r="Y188" s="55" t="n">
        <v>0.05</v>
      </c>
      <c r="Z188" s="56" t="n">
        <v>2910</v>
      </c>
      <c r="AA188" s="55" t="n">
        <v>0.03</v>
      </c>
      <c r="AB188" s="57" t="n">
        <v>189974.796</v>
      </c>
      <c r="AC188" s="44"/>
      <c r="AD188" s="62"/>
      <c r="AE188" s="62" t="n">
        <v>189974.796</v>
      </c>
      <c r="AF188" s="62" t="s">
        <v>53</v>
      </c>
      <c r="AG188" s="62" t="n">
        <v>0</v>
      </c>
      <c r="AH188" s="58" t="s">
        <v>27</v>
      </c>
      <c r="AI188" s="44" t="n">
        <v>0</v>
      </c>
      <c r="AJ188" s="44" t="s">
        <v>1251</v>
      </c>
      <c r="AK188" s="44" t="s">
        <v>47</v>
      </c>
      <c r="AL188" s="44" t="s">
        <v>1251</v>
      </c>
      <c r="AM188" s="44" t="n">
        <v>0</v>
      </c>
      <c r="AN188" s="44"/>
      <c r="AO188" s="44"/>
      <c r="AP188" s="44"/>
      <c r="AQ188" s="45" t="s">
        <v>1346</v>
      </c>
      <c r="AR188" s="44" t="s">
        <v>1284</v>
      </c>
      <c r="AS188" s="44"/>
      <c r="AT188" s="44"/>
      <c r="AU188" s="44"/>
      <c r="AV188" s="44"/>
      <c r="AW188" s="44"/>
      <c r="AX188" s="44"/>
      <c r="AY188" s="64"/>
      <c r="AZ188" s="46"/>
    </row>
    <row r="189" customFormat="false" ht="18" hidden="false" customHeight="true" outlineLevel="0" collapsed="false">
      <c r="A189" s="47" t="n">
        <v>91635</v>
      </c>
      <c r="B189" s="48" t="s">
        <v>900</v>
      </c>
      <c r="C189" s="47" t="n">
        <v>91635</v>
      </c>
      <c r="D189" s="48" t="s">
        <v>901</v>
      </c>
      <c r="E189" s="48" t="s">
        <v>966</v>
      </c>
      <c r="F189" s="48" t="s">
        <v>1478</v>
      </c>
      <c r="G189" s="49" t="s">
        <v>30</v>
      </c>
      <c r="H189" s="48" t="s">
        <v>1479</v>
      </c>
      <c r="I189" s="48" t="s">
        <v>1480</v>
      </c>
      <c r="J189" s="48" t="s">
        <v>1149</v>
      </c>
      <c r="K189" s="48" t="s">
        <v>1149</v>
      </c>
      <c r="L189" s="48" t="s">
        <v>1674</v>
      </c>
      <c r="M189" s="48"/>
      <c r="N189" s="50" t="s">
        <v>1443</v>
      </c>
      <c r="O189" s="51" t="s">
        <v>1649</v>
      </c>
      <c r="P189" s="52" t="n">
        <v>1</v>
      </c>
      <c r="Q189" s="61"/>
      <c r="R189" s="52" t="s">
        <v>1519</v>
      </c>
      <c r="S189" s="52"/>
      <c r="T189" s="52"/>
      <c r="U189" s="53" t="n">
        <v>203672</v>
      </c>
      <c r="V189" s="54" t="n">
        <v>203672</v>
      </c>
      <c r="W189" s="55" t="n">
        <v>0.12</v>
      </c>
      <c r="X189" s="52" t="n">
        <v>0.055</v>
      </c>
      <c r="Y189" s="55" t="n">
        <v>0.12</v>
      </c>
      <c r="Z189" s="56"/>
      <c r="AA189" s="55" t="n">
        <v>0.04</v>
      </c>
      <c r="AB189" s="57" t="n">
        <v>271902.12</v>
      </c>
      <c r="AC189" s="44"/>
      <c r="AD189" s="62"/>
      <c r="AE189" s="62" t="n">
        <v>271902.12</v>
      </c>
      <c r="AF189" s="62" t="s">
        <v>53</v>
      </c>
      <c r="AG189" s="62" t="n">
        <v>0</v>
      </c>
      <c r="AH189" s="58" t="s">
        <v>30</v>
      </c>
      <c r="AI189" s="44" t="n">
        <v>0</v>
      </c>
      <c r="AJ189" s="44" t="s">
        <v>854</v>
      </c>
      <c r="AK189" s="44" t="s">
        <v>47</v>
      </c>
      <c r="AL189" s="44" t="s">
        <v>854</v>
      </c>
      <c r="AM189" s="44" t="n">
        <v>0</v>
      </c>
      <c r="AN189" s="44"/>
      <c r="AO189" s="44"/>
      <c r="AP189" s="44"/>
      <c r="AQ189" s="45" t="s">
        <v>899</v>
      </c>
      <c r="AR189" s="44" t="s">
        <v>1282</v>
      </c>
      <c r="AS189" s="44"/>
      <c r="AT189" s="44"/>
      <c r="AU189" s="44"/>
      <c r="AV189" s="44"/>
      <c r="AW189" s="44"/>
      <c r="AX189" s="44"/>
      <c r="AY189" s="64"/>
      <c r="AZ189" s="46"/>
    </row>
    <row r="190" customFormat="false" ht="18" hidden="false" customHeight="true" outlineLevel="0" collapsed="false">
      <c r="A190" s="47" t="n">
        <v>115503</v>
      </c>
      <c r="B190" s="48" t="s">
        <v>903</v>
      </c>
      <c r="C190" s="47" t="n">
        <v>115503</v>
      </c>
      <c r="D190" s="48" t="s">
        <v>591</v>
      </c>
      <c r="E190" s="48" t="s">
        <v>966</v>
      </c>
      <c r="F190" s="48" t="s">
        <v>1478</v>
      </c>
      <c r="G190" s="49" t="s">
        <v>30</v>
      </c>
      <c r="H190" s="48" t="s">
        <v>1479</v>
      </c>
      <c r="I190" s="48" t="s">
        <v>1480</v>
      </c>
      <c r="J190" s="48" t="s">
        <v>1149</v>
      </c>
      <c r="K190" s="48" t="s">
        <v>1149</v>
      </c>
      <c r="L190" s="48" t="s">
        <v>1674</v>
      </c>
      <c r="M190" s="48"/>
      <c r="N190" s="50" t="s">
        <v>1284</v>
      </c>
      <c r="O190" s="51" t="s">
        <v>1649</v>
      </c>
      <c r="P190" s="52" t="n">
        <v>1</v>
      </c>
      <c r="Q190" s="61"/>
      <c r="R190" s="52" t="s">
        <v>1519</v>
      </c>
      <c r="S190" s="52"/>
      <c r="T190" s="52"/>
      <c r="U190" s="53" t="n">
        <v>154830</v>
      </c>
      <c r="V190" s="54" t="n">
        <v>142443.6</v>
      </c>
      <c r="W190" s="55" t="n">
        <v>0.15</v>
      </c>
      <c r="X190" s="52"/>
      <c r="Y190" s="55" t="n">
        <v>0.05</v>
      </c>
      <c r="Z190" s="56" t="n">
        <v>2910</v>
      </c>
      <c r="AA190" s="55" t="n">
        <v>0.03</v>
      </c>
      <c r="AB190" s="57" t="n">
        <v>178115.628</v>
      </c>
      <c r="AC190" s="44"/>
      <c r="AD190" s="62"/>
      <c r="AE190" s="62" t="n">
        <v>178115.628</v>
      </c>
      <c r="AF190" s="62" t="s">
        <v>53</v>
      </c>
      <c r="AG190" s="62" t="n">
        <v>0</v>
      </c>
      <c r="AH190" s="58" t="s">
        <v>30</v>
      </c>
      <c r="AI190" s="44" t="n">
        <v>0</v>
      </c>
      <c r="AJ190" s="44" t="s">
        <v>854</v>
      </c>
      <c r="AK190" s="44" t="s">
        <v>47</v>
      </c>
      <c r="AL190" s="44" t="s">
        <v>854</v>
      </c>
      <c r="AM190" s="44" t="n">
        <v>0</v>
      </c>
      <c r="AN190" s="44"/>
      <c r="AO190" s="44"/>
      <c r="AP190" s="44"/>
      <c r="AQ190" s="45" t="s">
        <v>902</v>
      </c>
      <c r="AR190" s="44" t="s">
        <v>1284</v>
      </c>
      <c r="AS190" s="44"/>
      <c r="AT190" s="44"/>
      <c r="AU190" s="44"/>
      <c r="AV190" s="44"/>
      <c r="AW190" s="44"/>
      <c r="AX190" s="44"/>
      <c r="AY190" s="44"/>
      <c r="AZ190" s="46"/>
    </row>
    <row r="191" customFormat="false" ht="18" hidden="false" customHeight="true" outlineLevel="0" collapsed="false">
      <c r="A191" s="47" t="n">
        <v>113593</v>
      </c>
      <c r="B191" s="48" t="s">
        <v>905</v>
      </c>
      <c r="C191" s="47" t="n">
        <v>113593</v>
      </c>
      <c r="D191" s="48" t="s">
        <v>52</v>
      </c>
      <c r="E191" s="48" t="s">
        <v>966</v>
      </c>
      <c r="F191" s="48" t="s">
        <v>1478</v>
      </c>
      <c r="G191" s="49" t="s">
        <v>30</v>
      </c>
      <c r="H191" s="48" t="s">
        <v>1479</v>
      </c>
      <c r="I191" s="48" t="s">
        <v>1480</v>
      </c>
      <c r="J191" s="48" t="s">
        <v>1149</v>
      </c>
      <c r="K191" s="48" t="s">
        <v>1149</v>
      </c>
      <c r="L191" s="48" t="s">
        <v>1674</v>
      </c>
      <c r="M191" s="48"/>
      <c r="N191" s="50" t="s">
        <v>1284</v>
      </c>
      <c r="O191" s="51" t="s">
        <v>1649</v>
      </c>
      <c r="P191" s="52" t="n">
        <v>1</v>
      </c>
      <c r="Q191" s="61"/>
      <c r="R191" s="52" t="s">
        <v>1519</v>
      </c>
      <c r="S191" s="52"/>
      <c r="T191" s="52"/>
      <c r="U191" s="53" t="n">
        <v>188510</v>
      </c>
      <c r="V191" s="54" t="n">
        <v>173429.2</v>
      </c>
      <c r="W191" s="55" t="n">
        <v>0.15</v>
      </c>
      <c r="X191" s="52"/>
      <c r="Y191" s="55" t="n">
        <v>0.05</v>
      </c>
      <c r="Z191" s="56" t="n">
        <v>2910</v>
      </c>
      <c r="AA191" s="55" t="n">
        <v>0.03</v>
      </c>
      <c r="AB191" s="57" t="n">
        <v>216227.916</v>
      </c>
      <c r="AC191" s="44"/>
      <c r="AD191" s="62"/>
      <c r="AE191" s="62" t="n">
        <v>216227.916</v>
      </c>
      <c r="AF191" s="62" t="s">
        <v>53</v>
      </c>
      <c r="AG191" s="62" t="n">
        <v>0</v>
      </c>
      <c r="AH191" s="58" t="s">
        <v>30</v>
      </c>
      <c r="AI191" s="44" t="n">
        <v>0</v>
      </c>
      <c r="AJ191" s="44" t="s">
        <v>854</v>
      </c>
      <c r="AK191" s="44" t="s">
        <v>47</v>
      </c>
      <c r="AL191" s="44" t="s">
        <v>854</v>
      </c>
      <c r="AM191" s="44" t="n">
        <v>0</v>
      </c>
      <c r="AN191" s="44"/>
      <c r="AO191" s="44"/>
      <c r="AP191" s="44"/>
      <c r="AQ191" s="45" t="s">
        <v>904</v>
      </c>
      <c r="AR191" s="44" t="s">
        <v>1284</v>
      </c>
      <c r="AS191" s="44"/>
      <c r="AT191" s="44"/>
      <c r="AU191" s="44"/>
      <c r="AV191" s="44"/>
      <c r="AW191" s="44"/>
      <c r="AX191" s="44"/>
      <c r="AY191" s="44"/>
      <c r="AZ191" s="44"/>
    </row>
    <row r="192" customFormat="false" ht="18" hidden="false" customHeight="true" outlineLevel="0" collapsed="false">
      <c r="A192" s="47" t="s">
        <v>1507</v>
      </c>
      <c r="B192" s="48" t="s">
        <v>69</v>
      </c>
      <c r="C192" s="47" t="s">
        <v>1507</v>
      </c>
      <c r="D192" s="48" t="s">
        <v>907</v>
      </c>
      <c r="E192" s="48" t="s">
        <v>966</v>
      </c>
      <c r="F192" s="48" t="s">
        <v>1478</v>
      </c>
      <c r="G192" s="49" t="s">
        <v>30</v>
      </c>
      <c r="H192" s="48" t="s">
        <v>1479</v>
      </c>
      <c r="I192" s="48" t="s">
        <v>1480</v>
      </c>
      <c r="J192" s="48" t="s">
        <v>1149</v>
      </c>
      <c r="K192" s="48" t="s">
        <v>1149</v>
      </c>
      <c r="L192" s="48" t="s">
        <v>1674</v>
      </c>
      <c r="M192" s="48"/>
      <c r="N192" s="50" t="s">
        <v>1443</v>
      </c>
      <c r="O192" s="51" t="s">
        <v>1649</v>
      </c>
      <c r="P192" s="52" t="n">
        <v>1</v>
      </c>
      <c r="Q192" s="61"/>
      <c r="R192" s="52" t="s">
        <v>1513</v>
      </c>
      <c r="S192" s="52"/>
      <c r="T192" s="52"/>
      <c r="U192" s="53" t="n">
        <v>173550</v>
      </c>
      <c r="V192" s="54" t="n">
        <v>173550</v>
      </c>
      <c r="W192" s="55" t="n">
        <v>0.12</v>
      </c>
      <c r="X192" s="52" t="n">
        <v>0.055</v>
      </c>
      <c r="Y192" s="55" t="n">
        <v>0.12</v>
      </c>
      <c r="Z192" s="56"/>
      <c r="AA192" s="55" t="n">
        <v>0.04</v>
      </c>
      <c r="AB192" s="57" t="n">
        <v>231689.25</v>
      </c>
      <c r="AC192" s="44"/>
      <c r="AD192" s="62"/>
      <c r="AE192" s="62" t="n">
        <v>231689.25</v>
      </c>
      <c r="AF192" s="62" t="s">
        <v>69</v>
      </c>
      <c r="AG192" s="62" t="n">
        <v>0</v>
      </c>
      <c r="AH192" s="58" t="s">
        <v>30</v>
      </c>
      <c r="AI192" s="44" t="n">
        <v>0</v>
      </c>
      <c r="AJ192" s="44" t="s">
        <v>854</v>
      </c>
      <c r="AK192" s="44" t="s">
        <v>47</v>
      </c>
      <c r="AL192" s="44" t="s">
        <v>854</v>
      </c>
      <c r="AM192" s="44" t="n">
        <v>0</v>
      </c>
      <c r="AN192" s="44"/>
      <c r="AO192" s="44"/>
      <c r="AP192" s="44"/>
      <c r="AQ192" s="45" t="s">
        <v>906</v>
      </c>
      <c r="AR192" s="44" t="s">
        <v>1282</v>
      </c>
      <c r="AS192" s="44"/>
      <c r="AT192" s="44"/>
      <c r="AU192" s="44"/>
      <c r="AV192" s="44"/>
      <c r="AW192" s="44"/>
      <c r="AX192" s="44"/>
      <c r="AY192" s="44"/>
      <c r="AZ192" s="44"/>
    </row>
    <row r="193" customFormat="false" ht="18" hidden="false" customHeight="true" outlineLevel="0" collapsed="false">
      <c r="A193" s="47" t="n">
        <v>95018</v>
      </c>
      <c r="B193" s="48" t="s">
        <v>924</v>
      </c>
      <c r="C193" s="47" t="n">
        <v>95018</v>
      </c>
      <c r="D193" s="48" t="s">
        <v>925</v>
      </c>
      <c r="E193" s="48" t="s">
        <v>961</v>
      </c>
      <c r="F193" s="48" t="s">
        <v>1617</v>
      </c>
      <c r="G193" s="49" t="s">
        <v>30</v>
      </c>
      <c r="H193" s="48" t="s">
        <v>1479</v>
      </c>
      <c r="I193" s="48" t="s">
        <v>851</v>
      </c>
      <c r="J193" s="48" t="s">
        <v>1149</v>
      </c>
      <c r="K193" s="48" t="s">
        <v>1149</v>
      </c>
      <c r="L193" s="48" t="s">
        <v>851</v>
      </c>
      <c r="M193" s="48"/>
      <c r="N193" s="50" t="s">
        <v>1443</v>
      </c>
      <c r="O193" s="51" t="s">
        <v>1649</v>
      </c>
      <c r="P193" s="52" t="n">
        <v>1</v>
      </c>
      <c r="Q193" s="52"/>
      <c r="R193" s="52" t="s">
        <v>1519</v>
      </c>
      <c r="S193" s="52"/>
      <c r="T193" s="52"/>
      <c r="U193" s="53" t="n">
        <v>165450</v>
      </c>
      <c r="V193" s="54" t="n">
        <v>165450</v>
      </c>
      <c r="W193" s="55" t="n">
        <v>0.12</v>
      </c>
      <c r="X193" s="52" t="n">
        <v>0.055</v>
      </c>
      <c r="Y193" s="55" t="n">
        <v>0.12</v>
      </c>
      <c r="Z193" s="56"/>
      <c r="AA193" s="55" t="n">
        <v>0.04</v>
      </c>
      <c r="AB193" s="57" t="n">
        <v>220875.75</v>
      </c>
      <c r="AC193" s="44"/>
      <c r="AD193" s="44"/>
      <c r="AE193" s="44" t="n">
        <v>220875.75</v>
      </c>
      <c r="AF193" s="44" t="s">
        <v>53</v>
      </c>
      <c r="AG193" s="44" t="n">
        <v>0</v>
      </c>
      <c r="AH193" s="58" t="s">
        <v>30</v>
      </c>
      <c r="AI193" s="44" t="n">
        <v>0</v>
      </c>
      <c r="AJ193" s="44" t="s">
        <v>851</v>
      </c>
      <c r="AK193" s="44" t="s">
        <v>47</v>
      </c>
      <c r="AL193" s="44" t="s">
        <v>851</v>
      </c>
      <c r="AM193" s="44" t="n">
        <v>0</v>
      </c>
      <c r="AN193" s="44"/>
      <c r="AO193" s="44"/>
      <c r="AP193" s="44"/>
      <c r="AQ193" s="45" t="s">
        <v>923</v>
      </c>
      <c r="AR193" s="44" t="s">
        <v>1282</v>
      </c>
      <c r="AS193" s="44"/>
      <c r="AT193" s="44"/>
      <c r="AU193" s="44"/>
      <c r="AV193" s="44"/>
      <c r="AW193" s="44"/>
      <c r="AX193" s="44"/>
      <c r="AY193" s="44"/>
      <c r="AZ193" s="46"/>
    </row>
    <row r="194" customFormat="false" ht="18" hidden="false" customHeight="true" outlineLevel="0" collapsed="false">
      <c r="A194" s="47" t="n">
        <v>105531</v>
      </c>
      <c r="B194" s="48" t="s">
        <v>711</v>
      </c>
      <c r="C194" s="47" t="n">
        <v>105531</v>
      </c>
      <c r="D194" s="48" t="s">
        <v>84</v>
      </c>
      <c r="E194" s="48" t="s">
        <v>763</v>
      </c>
      <c r="F194" s="48" t="s">
        <v>1675</v>
      </c>
      <c r="G194" s="49" t="s">
        <v>1461</v>
      </c>
      <c r="H194" s="48" t="s">
        <v>1161</v>
      </c>
      <c r="I194" s="48" t="s">
        <v>1581</v>
      </c>
      <c r="J194" s="48" t="s">
        <v>24</v>
      </c>
      <c r="K194" s="48" t="s">
        <v>1153</v>
      </c>
      <c r="L194" s="48" t="s">
        <v>699</v>
      </c>
      <c r="M194" s="48"/>
      <c r="N194" s="50" t="s">
        <v>1443</v>
      </c>
      <c r="O194" s="51" t="s">
        <v>1649</v>
      </c>
      <c r="P194" s="52" t="n">
        <v>1</v>
      </c>
      <c r="Q194" s="51"/>
      <c r="R194" s="52" t="s">
        <v>1519</v>
      </c>
      <c r="S194" s="52"/>
      <c r="T194" s="52"/>
      <c r="U194" s="53" t="n">
        <v>192870</v>
      </c>
      <c r="V194" s="54" t="n">
        <v>192870</v>
      </c>
      <c r="W194" s="55" t="n">
        <v>0.12</v>
      </c>
      <c r="X194" s="52" t="n">
        <v>0.055</v>
      </c>
      <c r="Y194" s="55" t="n">
        <v>0.12</v>
      </c>
      <c r="Z194" s="56"/>
      <c r="AA194" s="55" t="n">
        <v>0.04</v>
      </c>
      <c r="AB194" s="57" t="n">
        <v>257481.45</v>
      </c>
      <c r="AC194" s="44"/>
      <c r="AD194" s="44"/>
      <c r="AE194" s="44" t="n">
        <v>257481.45</v>
      </c>
      <c r="AF194" s="44" t="s">
        <v>53</v>
      </c>
      <c r="AG194" s="44" t="n">
        <v>0</v>
      </c>
      <c r="AH194" s="58" t="s">
        <v>24</v>
      </c>
      <c r="AI194" s="44" t="n">
        <v>0</v>
      </c>
      <c r="AJ194" s="44" t="s">
        <v>699</v>
      </c>
      <c r="AK194" s="44" t="s">
        <v>47</v>
      </c>
      <c r="AL194" s="44" t="s">
        <v>699</v>
      </c>
      <c r="AM194" s="44" t="n">
        <v>0</v>
      </c>
      <c r="AN194" s="44"/>
      <c r="AO194" s="44"/>
      <c r="AP194" s="44"/>
      <c r="AQ194" s="45" t="s">
        <v>710</v>
      </c>
      <c r="AR194" s="44" t="s">
        <v>1282</v>
      </c>
      <c r="AS194" s="44"/>
      <c r="AT194" s="44"/>
      <c r="AU194" s="44"/>
      <c r="AV194" s="44"/>
      <c r="AW194" s="44"/>
      <c r="AX194" s="44"/>
      <c r="AY194" s="44"/>
      <c r="AZ194" s="46"/>
    </row>
    <row r="195" customFormat="false" ht="18" hidden="false" customHeight="true" outlineLevel="0" collapsed="false">
      <c r="A195" s="47" t="n">
        <v>110044</v>
      </c>
      <c r="B195" s="48" t="s">
        <v>165</v>
      </c>
      <c r="C195" s="47" t="n">
        <v>110044</v>
      </c>
      <c r="D195" s="48" t="s">
        <v>84</v>
      </c>
      <c r="E195" s="48" t="s">
        <v>763</v>
      </c>
      <c r="F195" s="48" t="s">
        <v>1675</v>
      </c>
      <c r="G195" s="49" t="s">
        <v>1461</v>
      </c>
      <c r="H195" s="48" t="s">
        <v>1161</v>
      </c>
      <c r="I195" s="48" t="s">
        <v>1581</v>
      </c>
      <c r="J195" s="48" t="s">
        <v>1676</v>
      </c>
      <c r="K195" s="48" t="s">
        <v>1285</v>
      </c>
      <c r="L195" s="48" t="s">
        <v>1636</v>
      </c>
      <c r="M195" s="48"/>
      <c r="N195" s="50" t="s">
        <v>1443</v>
      </c>
      <c r="O195" s="51" t="s">
        <v>1649</v>
      </c>
      <c r="P195" s="52" t="n">
        <v>1</v>
      </c>
      <c r="Q195" s="51"/>
      <c r="R195" s="52" t="s">
        <v>1519</v>
      </c>
      <c r="S195" s="52"/>
      <c r="T195" s="52"/>
      <c r="U195" s="53" t="n">
        <v>189620</v>
      </c>
      <c r="V195" s="54" t="n">
        <v>189620</v>
      </c>
      <c r="W195" s="55" t="n">
        <v>0.12</v>
      </c>
      <c r="X195" s="52" t="n">
        <v>0.055</v>
      </c>
      <c r="Y195" s="55" t="n">
        <v>0.12</v>
      </c>
      <c r="Z195" s="56"/>
      <c r="AA195" s="55" t="n">
        <v>0.04</v>
      </c>
      <c r="AB195" s="57" t="n">
        <v>253142.7</v>
      </c>
      <c r="AC195" s="44"/>
      <c r="AD195" s="44"/>
      <c r="AE195" s="44" t="n">
        <v>253142.7</v>
      </c>
      <c r="AF195" s="44" t="s">
        <v>53</v>
      </c>
      <c r="AG195" s="44" t="n">
        <v>0</v>
      </c>
      <c r="AH195" s="58" t="s">
        <v>14</v>
      </c>
      <c r="AI195" s="44" t="n">
        <v>0</v>
      </c>
      <c r="AJ195" s="44" t="s">
        <v>160</v>
      </c>
      <c r="AK195" s="44" t="s">
        <v>47</v>
      </c>
      <c r="AL195" s="44" t="s">
        <v>160</v>
      </c>
      <c r="AM195" s="44" t="n">
        <v>0</v>
      </c>
      <c r="AN195" s="44"/>
      <c r="AO195" s="44"/>
      <c r="AP195" s="44"/>
      <c r="AQ195" s="45" t="s">
        <v>164</v>
      </c>
      <c r="AR195" s="44" t="s">
        <v>1282</v>
      </c>
      <c r="AS195" s="44"/>
      <c r="AT195" s="44"/>
      <c r="AU195" s="44"/>
      <c r="AV195" s="44"/>
      <c r="AW195" s="44"/>
      <c r="AX195" s="44"/>
      <c r="AY195" s="44"/>
      <c r="AZ195" s="46"/>
    </row>
    <row r="196" customFormat="false" ht="18" hidden="false" customHeight="true" outlineLevel="0" collapsed="false">
      <c r="A196" s="47" t="n">
        <v>105488</v>
      </c>
      <c r="B196" s="48" t="s">
        <v>734</v>
      </c>
      <c r="C196" s="47" t="n">
        <v>105488</v>
      </c>
      <c r="D196" s="48" t="s">
        <v>84</v>
      </c>
      <c r="E196" s="48" t="s">
        <v>763</v>
      </c>
      <c r="F196" s="48" t="s">
        <v>1675</v>
      </c>
      <c r="G196" s="49" t="s">
        <v>1461</v>
      </c>
      <c r="H196" s="48" t="s">
        <v>1161</v>
      </c>
      <c r="I196" s="48" t="s">
        <v>1581</v>
      </c>
      <c r="J196" s="48" t="s">
        <v>24</v>
      </c>
      <c r="K196" s="48" t="s">
        <v>1155</v>
      </c>
      <c r="L196" s="48" t="s">
        <v>696</v>
      </c>
      <c r="M196" s="48"/>
      <c r="N196" s="50" t="s">
        <v>1443</v>
      </c>
      <c r="O196" s="51" t="s">
        <v>1649</v>
      </c>
      <c r="P196" s="52" t="n">
        <v>1</v>
      </c>
      <c r="Q196" s="52"/>
      <c r="R196" s="52" t="s">
        <v>1519</v>
      </c>
      <c r="S196" s="52"/>
      <c r="T196" s="52"/>
      <c r="U196" s="53" t="n">
        <v>192110</v>
      </c>
      <c r="V196" s="54" t="n">
        <v>192110</v>
      </c>
      <c r="W196" s="55" t="n">
        <v>0.12</v>
      </c>
      <c r="X196" s="52" t="n">
        <v>0.055</v>
      </c>
      <c r="Y196" s="55" t="n">
        <v>0.12</v>
      </c>
      <c r="Z196" s="56"/>
      <c r="AA196" s="55" t="n">
        <v>0.04</v>
      </c>
      <c r="AB196" s="57" t="n">
        <v>256466.85</v>
      </c>
      <c r="AC196" s="44"/>
      <c r="AD196" s="44"/>
      <c r="AE196" s="44" t="n">
        <v>256466.85</v>
      </c>
      <c r="AF196" s="44" t="s">
        <v>53</v>
      </c>
      <c r="AG196" s="44" t="n">
        <v>0</v>
      </c>
      <c r="AH196" s="58" t="s">
        <v>24</v>
      </c>
      <c r="AI196" s="44" t="n">
        <v>0</v>
      </c>
      <c r="AJ196" s="44" t="s">
        <v>696</v>
      </c>
      <c r="AK196" s="44" t="s">
        <v>47</v>
      </c>
      <c r="AL196" s="44" t="s">
        <v>696</v>
      </c>
      <c r="AM196" s="44" t="n">
        <v>0</v>
      </c>
      <c r="AN196" s="44"/>
      <c r="AO196" s="44"/>
      <c r="AP196" s="44"/>
      <c r="AQ196" s="45" t="s">
        <v>733</v>
      </c>
      <c r="AR196" s="44" t="s">
        <v>1282</v>
      </c>
      <c r="AS196" s="44"/>
      <c r="AT196" s="44"/>
      <c r="AU196" s="44"/>
      <c r="AV196" s="44"/>
      <c r="AW196" s="44"/>
      <c r="AX196" s="44"/>
      <c r="AY196" s="44"/>
      <c r="AZ196" s="46"/>
    </row>
    <row r="197" customFormat="false" ht="18" hidden="false" customHeight="true" outlineLevel="0" collapsed="false">
      <c r="A197" s="47" t="n">
        <v>6307</v>
      </c>
      <c r="B197" s="48" t="s">
        <v>1677</v>
      </c>
      <c r="C197" s="47" t="n">
        <v>6307</v>
      </c>
      <c r="D197" s="48" t="s">
        <v>1678</v>
      </c>
      <c r="E197" s="48" t="s">
        <v>1528</v>
      </c>
      <c r="F197" s="48" t="s">
        <v>1558</v>
      </c>
      <c r="G197" s="49" t="s">
        <v>1527</v>
      </c>
      <c r="H197" s="48" t="s">
        <v>1251</v>
      </c>
      <c r="I197" s="48" t="s">
        <v>1159</v>
      </c>
      <c r="J197" s="48" t="s">
        <v>1159</v>
      </c>
      <c r="K197" s="48" t="s">
        <v>1159</v>
      </c>
      <c r="L197" s="48" t="s">
        <v>1159</v>
      </c>
      <c r="M197" s="48"/>
      <c r="N197" s="50" t="s">
        <v>1443</v>
      </c>
      <c r="O197" s="51" t="s">
        <v>1649</v>
      </c>
      <c r="P197" s="52" t="n">
        <v>1</v>
      </c>
      <c r="Q197" s="51"/>
      <c r="R197" s="52" t="s">
        <v>1519</v>
      </c>
      <c r="S197" s="52"/>
      <c r="T197" s="52"/>
      <c r="U197" s="53" t="n">
        <v>205950</v>
      </c>
      <c r="V197" s="54" t="n">
        <v>205950</v>
      </c>
      <c r="W197" s="55" t="n">
        <v>0.12</v>
      </c>
      <c r="X197" s="52" t="n">
        <v>0.055</v>
      </c>
      <c r="Y197" s="55" t="n">
        <v>0.12</v>
      </c>
      <c r="Z197" s="56"/>
      <c r="AA197" s="55" t="n">
        <v>0.04</v>
      </c>
      <c r="AB197" s="57" t="n">
        <v>274943.25</v>
      </c>
      <c r="AC197" s="44"/>
      <c r="AD197" s="44"/>
      <c r="AE197" s="44" t="n">
        <v>274943.25</v>
      </c>
      <c r="AF197" s="44" t="s">
        <v>53</v>
      </c>
      <c r="AG197" s="44" t="n">
        <v>0</v>
      </c>
      <c r="AH197" s="58" t="s">
        <v>27</v>
      </c>
      <c r="AI197" s="44" t="n">
        <v>0</v>
      </c>
      <c r="AJ197" s="44" t="s">
        <v>1251</v>
      </c>
      <c r="AK197" s="44" t="s">
        <v>47</v>
      </c>
      <c r="AL197" s="44" t="s">
        <v>1251</v>
      </c>
      <c r="AM197" s="44" t="n">
        <v>0</v>
      </c>
      <c r="AN197" s="44"/>
      <c r="AO197" s="44"/>
      <c r="AP197" s="44"/>
      <c r="AQ197" s="45" t="s">
        <v>1347</v>
      </c>
      <c r="AR197" s="44" t="s">
        <v>1282</v>
      </c>
      <c r="AS197" s="44"/>
      <c r="AT197" s="44"/>
      <c r="AU197" s="44"/>
      <c r="AV197" s="44"/>
      <c r="AW197" s="44"/>
      <c r="AX197" s="44"/>
      <c r="AY197" s="44"/>
      <c r="AZ197" s="46"/>
    </row>
    <row r="198" customFormat="false" ht="18" hidden="false" customHeight="true" outlineLevel="0" collapsed="false">
      <c r="A198" s="47" t="n">
        <v>84274</v>
      </c>
      <c r="B198" s="48" t="s">
        <v>1679</v>
      </c>
      <c r="C198" s="47" t="n">
        <v>84274</v>
      </c>
      <c r="D198" s="48" t="s">
        <v>1680</v>
      </c>
      <c r="E198" s="48" t="s">
        <v>1528</v>
      </c>
      <c r="F198" s="48" t="s">
        <v>1591</v>
      </c>
      <c r="G198" s="49" t="s">
        <v>1527</v>
      </c>
      <c r="H198" s="48" t="s">
        <v>1251</v>
      </c>
      <c r="I198" s="48" t="s">
        <v>1159</v>
      </c>
      <c r="J198" s="48" t="s">
        <v>1159</v>
      </c>
      <c r="K198" s="48" t="s">
        <v>1159</v>
      </c>
      <c r="L198" s="48" t="s">
        <v>1159</v>
      </c>
      <c r="M198" s="48"/>
      <c r="N198" s="50" t="s">
        <v>1443</v>
      </c>
      <c r="O198" s="51" t="s">
        <v>1649</v>
      </c>
      <c r="P198" s="52" t="n">
        <v>1</v>
      </c>
      <c r="Q198" s="51"/>
      <c r="R198" s="52" t="s">
        <v>1519</v>
      </c>
      <c r="S198" s="52"/>
      <c r="T198" s="52"/>
      <c r="U198" s="53" t="n">
        <v>182250</v>
      </c>
      <c r="V198" s="54" t="n">
        <v>182250</v>
      </c>
      <c r="W198" s="55" t="n">
        <v>0.12</v>
      </c>
      <c r="X198" s="52" t="n">
        <v>0.055</v>
      </c>
      <c r="Y198" s="55" t="n">
        <v>0.12</v>
      </c>
      <c r="Z198" s="56"/>
      <c r="AA198" s="55" t="n">
        <v>0.04</v>
      </c>
      <c r="AB198" s="57" t="n">
        <v>243303.75</v>
      </c>
      <c r="AC198" s="44"/>
      <c r="AD198" s="44"/>
      <c r="AE198" s="44" t="n">
        <v>243303.75</v>
      </c>
      <c r="AF198" s="44" t="s">
        <v>53</v>
      </c>
      <c r="AG198" s="44" t="n">
        <v>0</v>
      </c>
      <c r="AH198" s="58" t="s">
        <v>27</v>
      </c>
      <c r="AI198" s="44" t="n">
        <v>0</v>
      </c>
      <c r="AJ198" s="44" t="s">
        <v>1251</v>
      </c>
      <c r="AK198" s="44" t="s">
        <v>47</v>
      </c>
      <c r="AL198" s="44" t="s">
        <v>1251</v>
      </c>
      <c r="AM198" s="44" t="n">
        <v>0</v>
      </c>
      <c r="AN198" s="44"/>
      <c r="AO198" s="44"/>
      <c r="AP198" s="44"/>
      <c r="AQ198" s="45" t="s">
        <v>1348</v>
      </c>
      <c r="AR198" s="44" t="s">
        <v>1282</v>
      </c>
      <c r="AS198" s="44"/>
      <c r="AT198" s="44"/>
      <c r="AU198" s="44"/>
      <c r="AV198" s="44"/>
      <c r="AW198" s="44"/>
      <c r="AX198" s="44"/>
      <c r="AY198" s="44"/>
      <c r="AZ198" s="46"/>
    </row>
    <row r="199" customFormat="false" ht="18" hidden="false" customHeight="true" outlineLevel="0" collapsed="false">
      <c r="A199" s="47" t="n">
        <v>100330</v>
      </c>
      <c r="B199" s="48" t="s">
        <v>1681</v>
      </c>
      <c r="C199" s="47" t="n">
        <v>100330</v>
      </c>
      <c r="D199" s="48" t="s">
        <v>1682</v>
      </c>
      <c r="E199" s="48" t="s">
        <v>1533</v>
      </c>
      <c r="F199" s="48" t="s">
        <v>1564</v>
      </c>
      <c r="G199" s="49" t="s">
        <v>1531</v>
      </c>
      <c r="H199" s="48" t="s">
        <v>1151</v>
      </c>
      <c r="I199" s="48" t="s">
        <v>1535</v>
      </c>
      <c r="J199" s="48"/>
      <c r="K199" s="48"/>
      <c r="L199" s="48" t="s">
        <v>1597</v>
      </c>
      <c r="M199" s="48"/>
      <c r="N199" s="50" t="s">
        <v>1443</v>
      </c>
      <c r="O199" s="51" t="s">
        <v>1649</v>
      </c>
      <c r="P199" s="52" t="n">
        <v>1</v>
      </c>
      <c r="Q199" s="52"/>
      <c r="R199" s="52" t="s">
        <v>1519</v>
      </c>
      <c r="S199" s="52"/>
      <c r="T199" s="52"/>
      <c r="U199" s="53" t="n">
        <v>198940</v>
      </c>
      <c r="V199" s="54" t="n">
        <v>198940</v>
      </c>
      <c r="W199" s="55" t="n">
        <v>0.12</v>
      </c>
      <c r="X199" s="52" t="n">
        <v>0.055</v>
      </c>
      <c r="Y199" s="55" t="n">
        <v>0.12</v>
      </c>
      <c r="Z199" s="56"/>
      <c r="AA199" s="55" t="n">
        <v>0.04</v>
      </c>
      <c r="AB199" s="57" t="n">
        <v>265584.9</v>
      </c>
      <c r="AC199" s="44"/>
      <c r="AD199" s="44"/>
      <c r="AE199" s="44" t="n">
        <v>265584.9</v>
      </c>
      <c r="AF199" s="44" t="s">
        <v>53</v>
      </c>
      <c r="AG199" s="44" t="n">
        <v>0</v>
      </c>
      <c r="AH199" s="58" t="s">
        <v>1536</v>
      </c>
      <c r="AI199" s="44" t="n">
        <v>0</v>
      </c>
      <c r="AJ199" s="44" t="s">
        <v>970</v>
      </c>
      <c r="AK199" s="44" t="s">
        <v>47</v>
      </c>
      <c r="AL199" s="44" t="s">
        <v>970</v>
      </c>
      <c r="AM199" s="44" t="n">
        <v>0</v>
      </c>
      <c r="AN199" s="44"/>
      <c r="AO199" s="44" t="s">
        <v>1683</v>
      </c>
      <c r="AP199" s="44"/>
      <c r="AQ199" s="45" t="s">
        <v>1395</v>
      </c>
      <c r="AR199" s="44" t="s">
        <v>1282</v>
      </c>
      <c r="AS199" s="44"/>
      <c r="AT199" s="44"/>
      <c r="AU199" s="44"/>
      <c r="AV199" s="44"/>
      <c r="AW199" s="44"/>
      <c r="AX199" s="44"/>
      <c r="AY199" s="44"/>
      <c r="AZ199" s="46"/>
    </row>
    <row r="200" customFormat="false" ht="18" hidden="false" customHeight="true" outlineLevel="0" collapsed="false">
      <c r="A200" s="47" t="n">
        <v>99522</v>
      </c>
      <c r="B200" s="48" t="s">
        <v>1684</v>
      </c>
      <c r="C200" s="47" t="n">
        <v>99522</v>
      </c>
      <c r="D200" s="48" t="s">
        <v>1685</v>
      </c>
      <c r="E200" s="48" t="s">
        <v>1533</v>
      </c>
      <c r="F200" s="48" t="s">
        <v>1564</v>
      </c>
      <c r="G200" s="49" t="s">
        <v>1531</v>
      </c>
      <c r="H200" s="48" t="s">
        <v>1151</v>
      </c>
      <c r="I200" s="48" t="s">
        <v>1535</v>
      </c>
      <c r="J200" s="48"/>
      <c r="K200" s="48"/>
      <c r="L200" s="48"/>
      <c r="M200" s="48"/>
      <c r="N200" s="50" t="s">
        <v>1443</v>
      </c>
      <c r="O200" s="51" t="s">
        <v>1649</v>
      </c>
      <c r="P200" s="52" t="n">
        <v>1</v>
      </c>
      <c r="Q200" s="51"/>
      <c r="R200" s="52" t="s">
        <v>1519</v>
      </c>
      <c r="S200" s="52"/>
      <c r="T200" s="52"/>
      <c r="U200" s="53" t="n">
        <v>169280</v>
      </c>
      <c r="V200" s="54" t="n">
        <v>169280</v>
      </c>
      <c r="W200" s="55" t="n">
        <v>0.12</v>
      </c>
      <c r="X200" s="52" t="n">
        <v>0.055</v>
      </c>
      <c r="Y200" s="55" t="n">
        <v>0.12</v>
      </c>
      <c r="Z200" s="56"/>
      <c r="AA200" s="55" t="n">
        <v>0.04</v>
      </c>
      <c r="AB200" s="57" t="n">
        <v>225988.8</v>
      </c>
      <c r="AC200" s="44"/>
      <c r="AD200" s="44"/>
      <c r="AE200" s="44" t="n">
        <v>225988.8</v>
      </c>
      <c r="AF200" s="44" t="s">
        <v>53</v>
      </c>
      <c r="AG200" s="44" t="n">
        <v>0</v>
      </c>
      <c r="AH200" s="58" t="s">
        <v>1536</v>
      </c>
      <c r="AI200" s="44" t="n">
        <v>0</v>
      </c>
      <c r="AJ200" s="44" t="s">
        <v>1151</v>
      </c>
      <c r="AK200" s="44" t="s">
        <v>47</v>
      </c>
      <c r="AL200" s="44" t="s">
        <v>1151</v>
      </c>
      <c r="AM200" s="44" t="n">
        <v>0</v>
      </c>
      <c r="AN200" s="44"/>
      <c r="AO200" s="44"/>
      <c r="AP200" s="44"/>
      <c r="AQ200" s="45" t="s">
        <v>1398</v>
      </c>
      <c r="AR200" s="44" t="s">
        <v>1282</v>
      </c>
      <c r="AS200" s="44"/>
      <c r="AT200" s="44"/>
      <c r="AU200" s="44"/>
      <c r="AV200" s="44"/>
      <c r="AW200" s="44"/>
      <c r="AX200" s="44"/>
      <c r="AY200" s="44"/>
      <c r="AZ200" s="46"/>
    </row>
    <row r="201" customFormat="false" ht="18" hidden="false" customHeight="true" outlineLevel="0" collapsed="false">
      <c r="A201" s="47" t="n">
        <v>113580</v>
      </c>
      <c r="B201" s="48" t="s">
        <v>884</v>
      </c>
      <c r="C201" s="47" t="n">
        <v>113580</v>
      </c>
      <c r="D201" s="48" t="s">
        <v>885</v>
      </c>
      <c r="E201" s="48" t="s">
        <v>963</v>
      </c>
      <c r="F201" s="48" t="s">
        <v>964</v>
      </c>
      <c r="G201" s="49" t="s">
        <v>30</v>
      </c>
      <c r="H201" s="48" t="s">
        <v>1619</v>
      </c>
      <c r="I201" s="48" t="s">
        <v>847</v>
      </c>
      <c r="J201" s="48" t="s">
        <v>1149</v>
      </c>
      <c r="K201" s="48" t="s">
        <v>1149</v>
      </c>
      <c r="L201" s="48" t="s">
        <v>847</v>
      </c>
      <c r="M201" s="48"/>
      <c r="N201" s="50" t="s">
        <v>1284</v>
      </c>
      <c r="O201" s="51" t="s">
        <v>1649</v>
      </c>
      <c r="P201" s="52" t="n">
        <v>1</v>
      </c>
      <c r="Q201" s="51"/>
      <c r="R201" s="52" t="s">
        <v>1519</v>
      </c>
      <c r="S201" s="52"/>
      <c r="T201" s="52"/>
      <c r="U201" s="53" t="n">
        <v>159200</v>
      </c>
      <c r="V201" s="54" t="n">
        <v>146464</v>
      </c>
      <c r="W201" s="55" t="n">
        <v>0.15</v>
      </c>
      <c r="X201" s="52"/>
      <c r="Y201" s="55" t="n">
        <v>0.05</v>
      </c>
      <c r="Z201" s="56" t="n">
        <v>2910</v>
      </c>
      <c r="AA201" s="55" t="n">
        <v>0.03</v>
      </c>
      <c r="AB201" s="57" t="n">
        <v>183060.72</v>
      </c>
      <c r="AC201" s="44"/>
      <c r="AD201" s="44"/>
      <c r="AE201" s="44" t="n">
        <v>183060.72</v>
      </c>
      <c r="AF201" s="44" t="s">
        <v>53</v>
      </c>
      <c r="AG201" s="44" t="n">
        <v>0</v>
      </c>
      <c r="AH201" s="58" t="s">
        <v>30</v>
      </c>
      <c r="AI201" s="44" t="n">
        <v>0</v>
      </c>
      <c r="AJ201" s="44" t="s">
        <v>847</v>
      </c>
      <c r="AK201" s="44" t="s">
        <v>47</v>
      </c>
      <c r="AL201" s="44" t="s">
        <v>847</v>
      </c>
      <c r="AM201" s="44" t="n">
        <v>0</v>
      </c>
      <c r="AN201" s="44"/>
      <c r="AO201" s="44"/>
      <c r="AP201" s="44"/>
      <c r="AQ201" s="45" t="s">
        <v>883</v>
      </c>
      <c r="AR201" s="44" t="s">
        <v>1284</v>
      </c>
      <c r="AS201" s="44"/>
      <c r="AT201" s="44"/>
      <c r="AU201" s="44"/>
      <c r="AV201" s="44"/>
      <c r="AW201" s="44"/>
      <c r="AX201" s="44"/>
      <c r="AY201" s="44"/>
      <c r="AZ201" s="46"/>
    </row>
    <row r="202" customFormat="false" ht="18" hidden="false" customHeight="true" outlineLevel="0" collapsed="false">
      <c r="A202" s="47" t="n">
        <v>117818</v>
      </c>
      <c r="B202" s="48" t="s">
        <v>949</v>
      </c>
      <c r="C202" s="47" t="n">
        <v>117818</v>
      </c>
      <c r="D202" s="48" t="s">
        <v>950</v>
      </c>
      <c r="E202" s="48" t="s">
        <v>963</v>
      </c>
      <c r="F202" s="48" t="s">
        <v>964</v>
      </c>
      <c r="G202" s="49" t="s">
        <v>30</v>
      </c>
      <c r="H202" s="48" t="s">
        <v>1619</v>
      </c>
      <c r="I202" s="48" t="s">
        <v>1686</v>
      </c>
      <c r="J202" s="48" t="s">
        <v>36</v>
      </c>
      <c r="K202" s="48" t="s">
        <v>36</v>
      </c>
      <c r="L202" s="48" t="s">
        <v>938</v>
      </c>
      <c r="M202" s="48"/>
      <c r="N202" s="50" t="s">
        <v>1284</v>
      </c>
      <c r="O202" s="51" t="s">
        <v>1649</v>
      </c>
      <c r="P202" s="52" t="n">
        <v>1</v>
      </c>
      <c r="Q202" s="52"/>
      <c r="R202" s="52" t="s">
        <v>1519</v>
      </c>
      <c r="S202" s="52"/>
      <c r="T202" s="52"/>
      <c r="U202" s="53" t="n">
        <v>173600</v>
      </c>
      <c r="V202" s="54" t="n">
        <v>159712</v>
      </c>
      <c r="W202" s="55" t="n">
        <v>0.15</v>
      </c>
      <c r="X202" s="52"/>
      <c r="Y202" s="55" t="n">
        <v>0.05</v>
      </c>
      <c r="Z202" s="56" t="n">
        <v>2910</v>
      </c>
      <c r="AA202" s="55" t="n">
        <v>0.03</v>
      </c>
      <c r="AB202" s="57" t="n">
        <v>199355.76</v>
      </c>
      <c r="AC202" s="44"/>
      <c r="AD202" s="44"/>
      <c r="AE202" s="44" t="n">
        <v>199355.76</v>
      </c>
      <c r="AF202" s="44" t="s">
        <v>53</v>
      </c>
      <c r="AG202" s="44" t="n">
        <v>0</v>
      </c>
      <c r="AH202" s="58" t="s">
        <v>30</v>
      </c>
      <c r="AI202" s="44" t="n">
        <v>0</v>
      </c>
      <c r="AJ202" s="44" t="s">
        <v>938</v>
      </c>
      <c r="AK202" s="44" t="s">
        <v>47</v>
      </c>
      <c r="AL202" s="44" t="s">
        <v>938</v>
      </c>
      <c r="AM202" s="44" t="n">
        <v>1</v>
      </c>
      <c r="AN202" s="44"/>
      <c r="AO202" s="44"/>
      <c r="AP202" s="44"/>
      <c r="AQ202" s="45" t="s">
        <v>948</v>
      </c>
      <c r="AR202" s="44" t="s">
        <v>1284</v>
      </c>
      <c r="AS202" s="44"/>
      <c r="AT202" s="44"/>
      <c r="AU202" s="44"/>
      <c r="AV202" s="44"/>
      <c r="AW202" s="44"/>
      <c r="AX202" s="44"/>
      <c r="AY202" s="44"/>
      <c r="AZ202" s="46"/>
    </row>
    <row r="203" customFormat="false" ht="18" hidden="false" customHeight="true" outlineLevel="0" collapsed="false">
      <c r="A203" s="47" t="n">
        <v>115802</v>
      </c>
      <c r="B203" s="48" t="s">
        <v>887</v>
      </c>
      <c r="C203" s="47" t="n">
        <v>115802</v>
      </c>
      <c r="D203" s="48" t="s">
        <v>888</v>
      </c>
      <c r="E203" s="48" t="s">
        <v>963</v>
      </c>
      <c r="F203" s="48" t="s">
        <v>964</v>
      </c>
      <c r="G203" s="49" t="s">
        <v>30</v>
      </c>
      <c r="H203" s="48" t="s">
        <v>1619</v>
      </c>
      <c r="I203" s="48" t="s">
        <v>847</v>
      </c>
      <c r="J203" s="48" t="s">
        <v>1149</v>
      </c>
      <c r="K203" s="48" t="s">
        <v>1149</v>
      </c>
      <c r="L203" s="48" t="s">
        <v>847</v>
      </c>
      <c r="M203" s="48"/>
      <c r="N203" s="50" t="s">
        <v>1284</v>
      </c>
      <c r="O203" s="51" t="s">
        <v>1649</v>
      </c>
      <c r="P203" s="52" t="n">
        <v>1</v>
      </c>
      <c r="Q203" s="51"/>
      <c r="R203" s="52" t="s">
        <v>1519</v>
      </c>
      <c r="S203" s="52"/>
      <c r="T203" s="52"/>
      <c r="U203" s="53" t="n">
        <v>175000</v>
      </c>
      <c r="V203" s="54" t="n">
        <v>161000</v>
      </c>
      <c r="W203" s="55" t="n">
        <v>0.15</v>
      </c>
      <c r="X203" s="52"/>
      <c r="Y203" s="55" t="n">
        <v>0.05</v>
      </c>
      <c r="Z203" s="56" t="n">
        <v>2910</v>
      </c>
      <c r="AA203" s="55" t="n">
        <v>0.03</v>
      </c>
      <c r="AB203" s="57" t="n">
        <v>200940</v>
      </c>
      <c r="AC203" s="44"/>
      <c r="AD203" s="44"/>
      <c r="AE203" s="44" t="n">
        <v>200940</v>
      </c>
      <c r="AF203" s="44" t="s">
        <v>53</v>
      </c>
      <c r="AG203" s="44" t="n">
        <v>0</v>
      </c>
      <c r="AH203" s="58" t="s">
        <v>30</v>
      </c>
      <c r="AI203" s="44" t="n">
        <v>0</v>
      </c>
      <c r="AJ203" s="44" t="s">
        <v>847</v>
      </c>
      <c r="AK203" s="44" t="s">
        <v>47</v>
      </c>
      <c r="AL203" s="44" t="s">
        <v>847</v>
      </c>
      <c r="AM203" s="44" t="n">
        <v>0</v>
      </c>
      <c r="AN203" s="44"/>
      <c r="AO203" s="44"/>
      <c r="AP203" s="44"/>
      <c r="AQ203" s="45" t="s">
        <v>886</v>
      </c>
      <c r="AR203" s="44" t="s">
        <v>1284</v>
      </c>
      <c r="AS203" s="44"/>
      <c r="AT203" s="44"/>
      <c r="AU203" s="44"/>
      <c r="AV203" s="44"/>
      <c r="AW203" s="44"/>
      <c r="AX203" s="44"/>
      <c r="AY203" s="44"/>
      <c r="AZ203" s="46"/>
    </row>
    <row r="204" customFormat="false" ht="18" hidden="false" customHeight="true" outlineLevel="0" collapsed="false">
      <c r="A204" s="47" t="s">
        <v>1507</v>
      </c>
      <c r="B204" s="48" t="s">
        <v>69</v>
      </c>
      <c r="C204" s="47" t="s">
        <v>1507</v>
      </c>
      <c r="D204" s="48" t="s">
        <v>890</v>
      </c>
      <c r="E204" s="48" t="s">
        <v>963</v>
      </c>
      <c r="F204" s="48" t="s">
        <v>964</v>
      </c>
      <c r="G204" s="49" t="s">
        <v>30</v>
      </c>
      <c r="H204" s="48" t="s">
        <v>1619</v>
      </c>
      <c r="I204" s="48" t="s">
        <v>847</v>
      </c>
      <c r="J204" s="48" t="s">
        <v>1149</v>
      </c>
      <c r="K204" s="48" t="s">
        <v>1149</v>
      </c>
      <c r="L204" s="48" t="s">
        <v>847</v>
      </c>
      <c r="M204" s="48"/>
      <c r="N204" s="50" t="s">
        <v>1443</v>
      </c>
      <c r="O204" s="51" t="s">
        <v>1649</v>
      </c>
      <c r="P204" s="52" t="n">
        <v>1</v>
      </c>
      <c r="Q204" s="51"/>
      <c r="R204" s="52" t="s">
        <v>1513</v>
      </c>
      <c r="S204" s="52"/>
      <c r="T204" s="52"/>
      <c r="U204" s="53" t="n">
        <v>173550</v>
      </c>
      <c r="V204" s="54" t="n">
        <v>173550</v>
      </c>
      <c r="W204" s="55" t="n">
        <v>0.12</v>
      </c>
      <c r="X204" s="52" t="n">
        <v>0.055</v>
      </c>
      <c r="Y204" s="55" t="n">
        <v>0.12</v>
      </c>
      <c r="Z204" s="56"/>
      <c r="AA204" s="55" t="n">
        <v>0.04</v>
      </c>
      <c r="AB204" s="57" t="n">
        <v>231689.25</v>
      </c>
      <c r="AC204" s="44"/>
      <c r="AD204" s="44"/>
      <c r="AE204" s="44" t="n">
        <v>231689.25</v>
      </c>
      <c r="AF204" s="44" t="s">
        <v>69</v>
      </c>
      <c r="AG204" s="44" t="n">
        <v>0</v>
      </c>
      <c r="AH204" s="58" t="s">
        <v>30</v>
      </c>
      <c r="AI204" s="44" t="n">
        <v>0</v>
      </c>
      <c r="AJ204" s="44" t="s">
        <v>847</v>
      </c>
      <c r="AK204" s="44" t="s">
        <v>47</v>
      </c>
      <c r="AL204" s="44" t="s">
        <v>847</v>
      </c>
      <c r="AM204" s="44" t="n">
        <v>0</v>
      </c>
      <c r="AN204" s="44"/>
      <c r="AO204" s="44"/>
      <c r="AP204" s="44"/>
      <c r="AQ204" s="45" t="s">
        <v>889</v>
      </c>
      <c r="AR204" s="44" t="s">
        <v>1282</v>
      </c>
      <c r="AS204" s="44"/>
      <c r="AT204" s="44"/>
      <c r="AU204" s="44"/>
      <c r="AV204" s="44"/>
      <c r="AW204" s="44"/>
      <c r="AX204" s="44"/>
      <c r="AY204" s="44"/>
      <c r="AZ204" s="46"/>
    </row>
    <row r="205" customFormat="false" ht="18" hidden="false" customHeight="true" outlineLevel="0" collapsed="false">
      <c r="A205" s="47" t="n">
        <v>14148</v>
      </c>
      <c r="B205" s="48" t="s">
        <v>842</v>
      </c>
      <c r="C205" s="47" t="n">
        <v>14148</v>
      </c>
      <c r="D205" s="48" t="s">
        <v>829</v>
      </c>
      <c r="E205" s="48" t="s">
        <v>844</v>
      </c>
      <c r="F205" s="48" t="s">
        <v>1687</v>
      </c>
      <c r="G205" s="49" t="s">
        <v>30</v>
      </c>
      <c r="H205" s="48" t="s">
        <v>1297</v>
      </c>
      <c r="I205" s="48" t="s">
        <v>1638</v>
      </c>
      <c r="J205" s="48" t="s">
        <v>36</v>
      </c>
      <c r="K205" s="48" t="s">
        <v>36</v>
      </c>
      <c r="L205" s="48" t="s">
        <v>840</v>
      </c>
      <c r="M205" s="48"/>
      <c r="N205" s="50" t="s">
        <v>1443</v>
      </c>
      <c r="O205" s="51" t="s">
        <v>1649</v>
      </c>
      <c r="P205" s="52" t="n">
        <v>1</v>
      </c>
      <c r="Q205" s="52"/>
      <c r="R205" s="52" t="s">
        <v>1519</v>
      </c>
      <c r="S205" s="52"/>
      <c r="T205" s="52"/>
      <c r="U205" s="53" t="n">
        <v>181070</v>
      </c>
      <c r="V205" s="54" t="n">
        <v>181070</v>
      </c>
      <c r="W205" s="55" t="n">
        <v>0.12</v>
      </c>
      <c r="X205" s="52" t="n">
        <v>0.055</v>
      </c>
      <c r="Y205" s="55" t="n">
        <v>0.12</v>
      </c>
      <c r="Z205" s="56"/>
      <c r="AA205" s="55" t="n">
        <v>0.04</v>
      </c>
      <c r="AB205" s="57" t="n">
        <v>241728.45</v>
      </c>
      <c r="AC205" s="44"/>
      <c r="AD205" s="44"/>
      <c r="AE205" s="44" t="n">
        <v>241728.45</v>
      </c>
      <c r="AF205" s="44" t="s">
        <v>53</v>
      </c>
      <c r="AG205" s="44" t="n">
        <v>0</v>
      </c>
      <c r="AH205" s="58" t="s">
        <v>28</v>
      </c>
      <c r="AI205" s="44" t="n">
        <v>0</v>
      </c>
      <c r="AJ205" s="44" t="s">
        <v>840</v>
      </c>
      <c r="AK205" s="44" t="s">
        <v>47</v>
      </c>
      <c r="AL205" s="44" t="s">
        <v>840</v>
      </c>
      <c r="AM205" s="44" t="n">
        <v>1</v>
      </c>
      <c r="AN205" s="44"/>
      <c r="AO205" s="44"/>
      <c r="AP205" s="44"/>
      <c r="AQ205" s="45" t="s">
        <v>841</v>
      </c>
      <c r="AR205" s="44" t="s">
        <v>1282</v>
      </c>
      <c r="AS205" s="44"/>
      <c r="AT205" s="44"/>
      <c r="AU205" s="44"/>
      <c r="AV205" s="44"/>
      <c r="AW205" s="44"/>
      <c r="AX205" s="44"/>
      <c r="AY205" s="44"/>
      <c r="AZ205" s="46"/>
    </row>
    <row r="206" customFormat="false" ht="18" hidden="false" customHeight="true" outlineLevel="0" collapsed="false">
      <c r="A206" s="47" t="n">
        <v>11241</v>
      </c>
      <c r="B206" s="48" t="s">
        <v>828</v>
      </c>
      <c r="C206" s="47" t="n">
        <v>11241</v>
      </c>
      <c r="D206" s="48" t="s">
        <v>829</v>
      </c>
      <c r="E206" s="48" t="s">
        <v>844</v>
      </c>
      <c r="F206" s="48" t="s">
        <v>1687</v>
      </c>
      <c r="G206" s="49" t="s">
        <v>30</v>
      </c>
      <c r="H206" s="48" t="s">
        <v>1297</v>
      </c>
      <c r="I206" s="48" t="s">
        <v>1638</v>
      </c>
      <c r="J206" s="48" t="s">
        <v>28</v>
      </c>
      <c r="K206" s="48" t="s">
        <v>1154</v>
      </c>
      <c r="L206" s="48" t="s">
        <v>810</v>
      </c>
      <c r="M206" s="48"/>
      <c r="N206" s="50" t="s">
        <v>1443</v>
      </c>
      <c r="O206" s="51" t="s">
        <v>1649</v>
      </c>
      <c r="P206" s="52" t="n">
        <v>1</v>
      </c>
      <c r="Q206" s="52"/>
      <c r="R206" s="52" t="s">
        <v>1519</v>
      </c>
      <c r="S206" s="52"/>
      <c r="T206" s="52"/>
      <c r="U206" s="53" t="n">
        <v>179700</v>
      </c>
      <c r="V206" s="54" t="n">
        <v>179700</v>
      </c>
      <c r="W206" s="55" t="n">
        <v>0.12</v>
      </c>
      <c r="X206" s="52" t="n">
        <v>0.055</v>
      </c>
      <c r="Y206" s="55" t="n">
        <v>0.12</v>
      </c>
      <c r="Z206" s="56"/>
      <c r="AA206" s="55" t="n">
        <v>0.04</v>
      </c>
      <c r="AB206" s="57" t="n">
        <v>239899.5</v>
      </c>
      <c r="AC206" s="44"/>
      <c r="AD206" s="44"/>
      <c r="AE206" s="44" t="n">
        <v>239899.5</v>
      </c>
      <c r="AF206" s="44" t="s">
        <v>53</v>
      </c>
      <c r="AG206" s="44" t="n">
        <v>0</v>
      </c>
      <c r="AH206" s="58" t="s">
        <v>28</v>
      </c>
      <c r="AI206" s="44" t="n">
        <v>0</v>
      </c>
      <c r="AJ206" s="44" t="s">
        <v>810</v>
      </c>
      <c r="AK206" s="44" t="s">
        <v>47</v>
      </c>
      <c r="AL206" s="44" t="s">
        <v>810</v>
      </c>
      <c r="AM206" s="44" t="n">
        <v>0</v>
      </c>
      <c r="AN206" s="44"/>
      <c r="AO206" s="44"/>
      <c r="AP206" s="44"/>
      <c r="AQ206" s="45" t="s">
        <v>827</v>
      </c>
      <c r="AR206" s="44" t="s">
        <v>1282</v>
      </c>
      <c r="AS206" s="44"/>
      <c r="AT206" s="44"/>
      <c r="AU206" s="44"/>
      <c r="AV206" s="44"/>
      <c r="AW206" s="44"/>
      <c r="AX206" s="44"/>
      <c r="AY206" s="44"/>
      <c r="AZ206" s="46"/>
    </row>
    <row r="207" customFormat="false" ht="18" hidden="false" customHeight="true" outlineLevel="0" collapsed="false">
      <c r="A207" s="47" t="n">
        <v>113581</v>
      </c>
      <c r="B207" s="48" t="s">
        <v>814</v>
      </c>
      <c r="C207" s="47" t="n">
        <v>113581</v>
      </c>
      <c r="D207" s="48" t="s">
        <v>815</v>
      </c>
      <c r="E207" s="48" t="s">
        <v>844</v>
      </c>
      <c r="F207" s="48" t="s">
        <v>1687</v>
      </c>
      <c r="G207" s="49" t="s">
        <v>30</v>
      </c>
      <c r="H207" s="48" t="s">
        <v>1297</v>
      </c>
      <c r="I207" s="48" t="s">
        <v>1638</v>
      </c>
      <c r="J207" s="48" t="s">
        <v>28</v>
      </c>
      <c r="K207" s="48" t="s">
        <v>806</v>
      </c>
      <c r="L207" s="48" t="s">
        <v>806</v>
      </c>
      <c r="M207" s="48"/>
      <c r="N207" s="50" t="s">
        <v>1284</v>
      </c>
      <c r="O207" s="51" t="s">
        <v>1649</v>
      </c>
      <c r="P207" s="52" t="n">
        <v>1</v>
      </c>
      <c r="Q207" s="51"/>
      <c r="R207" s="52" t="s">
        <v>1519</v>
      </c>
      <c r="S207" s="52"/>
      <c r="T207" s="52"/>
      <c r="U207" s="53" t="n">
        <v>172490</v>
      </c>
      <c r="V207" s="54" t="n">
        <v>158690.8</v>
      </c>
      <c r="W207" s="55" t="n">
        <v>0.15</v>
      </c>
      <c r="X207" s="52"/>
      <c r="Y207" s="55" t="n">
        <v>0.05</v>
      </c>
      <c r="Z207" s="56" t="n">
        <v>2910</v>
      </c>
      <c r="AA207" s="55" t="n">
        <v>0.03</v>
      </c>
      <c r="AB207" s="57" t="n">
        <v>198099.684</v>
      </c>
      <c r="AC207" s="44"/>
      <c r="AD207" s="44"/>
      <c r="AE207" s="44" t="n">
        <v>198099.684</v>
      </c>
      <c r="AF207" s="44" t="s">
        <v>53</v>
      </c>
      <c r="AG207" s="44" t="n">
        <v>0</v>
      </c>
      <c r="AH207" s="58" t="s">
        <v>28</v>
      </c>
      <c r="AI207" s="44" t="n">
        <v>0</v>
      </c>
      <c r="AJ207" s="44" t="s">
        <v>806</v>
      </c>
      <c r="AK207" s="44" t="s">
        <v>47</v>
      </c>
      <c r="AL207" s="44" t="s">
        <v>806</v>
      </c>
      <c r="AM207" s="44" t="n">
        <v>0</v>
      </c>
      <c r="AN207" s="44"/>
      <c r="AO207" s="44"/>
      <c r="AP207" s="44"/>
      <c r="AQ207" s="45" t="s">
        <v>813</v>
      </c>
      <c r="AR207" s="44" t="s">
        <v>1284</v>
      </c>
      <c r="AS207" s="44"/>
      <c r="AT207" s="44"/>
      <c r="AU207" s="44"/>
      <c r="AV207" s="44"/>
      <c r="AW207" s="44"/>
      <c r="AX207" s="44"/>
      <c r="AY207" s="44"/>
      <c r="AZ207" s="46"/>
    </row>
    <row r="208" customFormat="false" ht="18" hidden="false" customHeight="true" outlineLevel="0" collapsed="false">
      <c r="A208" s="47" t="n">
        <v>4251</v>
      </c>
      <c r="B208" s="48" t="s">
        <v>831</v>
      </c>
      <c r="C208" s="47" t="n">
        <v>4251</v>
      </c>
      <c r="D208" s="48" t="s">
        <v>829</v>
      </c>
      <c r="E208" s="48" t="s">
        <v>844</v>
      </c>
      <c r="F208" s="48" t="s">
        <v>1687</v>
      </c>
      <c r="G208" s="49" t="s">
        <v>30</v>
      </c>
      <c r="H208" s="48" t="s">
        <v>1297</v>
      </c>
      <c r="I208" s="48" t="s">
        <v>1638</v>
      </c>
      <c r="J208" s="48" t="s">
        <v>28</v>
      </c>
      <c r="K208" s="48" t="s">
        <v>1154</v>
      </c>
      <c r="L208" s="48" t="s">
        <v>810</v>
      </c>
      <c r="M208" s="48"/>
      <c r="N208" s="50" t="s">
        <v>1443</v>
      </c>
      <c r="O208" s="51" t="s">
        <v>1649</v>
      </c>
      <c r="P208" s="52" t="n">
        <v>1</v>
      </c>
      <c r="Q208" s="51"/>
      <c r="R208" s="52" t="s">
        <v>1519</v>
      </c>
      <c r="S208" s="52"/>
      <c r="T208" s="52"/>
      <c r="U208" s="53" t="n">
        <v>160370</v>
      </c>
      <c r="V208" s="54" t="n">
        <v>160370</v>
      </c>
      <c r="W208" s="55" t="n">
        <v>0.12</v>
      </c>
      <c r="X208" s="52" t="n">
        <v>0.055</v>
      </c>
      <c r="Y208" s="55" t="n">
        <v>0.12</v>
      </c>
      <c r="Z208" s="56"/>
      <c r="AA208" s="55" t="n">
        <v>0.04</v>
      </c>
      <c r="AB208" s="57" t="n">
        <v>214093.95</v>
      </c>
      <c r="AC208" s="44"/>
      <c r="AD208" s="44"/>
      <c r="AE208" s="44" t="n">
        <v>214093.95</v>
      </c>
      <c r="AF208" s="44" t="s">
        <v>53</v>
      </c>
      <c r="AG208" s="44" t="n">
        <v>0</v>
      </c>
      <c r="AH208" s="58" t="s">
        <v>28</v>
      </c>
      <c r="AI208" s="44" t="n">
        <v>0</v>
      </c>
      <c r="AJ208" s="44" t="s">
        <v>810</v>
      </c>
      <c r="AK208" s="44" t="s">
        <v>47</v>
      </c>
      <c r="AL208" s="44" t="s">
        <v>810</v>
      </c>
      <c r="AM208" s="44" t="n">
        <v>0</v>
      </c>
      <c r="AN208" s="44"/>
      <c r="AO208" s="44"/>
      <c r="AP208" s="44"/>
      <c r="AQ208" s="45" t="s">
        <v>830</v>
      </c>
      <c r="AR208" s="44" t="s">
        <v>1282</v>
      </c>
      <c r="AS208" s="44"/>
      <c r="AT208" s="44"/>
      <c r="AU208" s="44"/>
      <c r="AV208" s="44"/>
      <c r="AW208" s="44"/>
      <c r="AX208" s="44"/>
      <c r="AY208" s="44"/>
      <c r="AZ208" s="46"/>
    </row>
    <row r="209" customFormat="false" ht="18" hidden="false" customHeight="true" outlineLevel="0" collapsed="false">
      <c r="A209" s="47" t="s">
        <v>1507</v>
      </c>
      <c r="B209" s="48" t="s">
        <v>69</v>
      </c>
      <c r="C209" s="47" t="s">
        <v>1507</v>
      </c>
      <c r="D209" s="48" t="s">
        <v>824</v>
      </c>
      <c r="E209" s="48" t="s">
        <v>844</v>
      </c>
      <c r="F209" s="48" t="s">
        <v>1687</v>
      </c>
      <c r="G209" s="49" t="s">
        <v>30</v>
      </c>
      <c r="H209" s="48" t="s">
        <v>1297</v>
      </c>
      <c r="I209" s="48" t="s">
        <v>1638</v>
      </c>
      <c r="J209" s="48" t="s">
        <v>28</v>
      </c>
      <c r="K209" s="48" t="s">
        <v>1154</v>
      </c>
      <c r="L209" s="48" t="s">
        <v>810</v>
      </c>
      <c r="M209" s="48"/>
      <c r="N209" s="50" t="s">
        <v>1443</v>
      </c>
      <c r="O209" s="51" t="s">
        <v>1649</v>
      </c>
      <c r="P209" s="52" t="n">
        <v>1</v>
      </c>
      <c r="Q209" s="51"/>
      <c r="R209" s="52" t="s">
        <v>1513</v>
      </c>
      <c r="S209" s="52"/>
      <c r="T209" s="52"/>
      <c r="U209" s="53" t="n">
        <v>173550</v>
      </c>
      <c r="V209" s="54" t="n">
        <v>173550</v>
      </c>
      <c r="W209" s="55" t="n">
        <v>0.12</v>
      </c>
      <c r="X209" s="52" t="n">
        <v>0.055</v>
      </c>
      <c r="Y209" s="55" t="n">
        <v>0.12</v>
      </c>
      <c r="Z209" s="56"/>
      <c r="AA209" s="55" t="n">
        <v>0.04</v>
      </c>
      <c r="AB209" s="57" t="n">
        <v>231689.25</v>
      </c>
      <c r="AC209" s="44"/>
      <c r="AD209" s="44"/>
      <c r="AE209" s="44" t="n">
        <v>231689.25</v>
      </c>
      <c r="AF209" s="44" t="s">
        <v>69</v>
      </c>
      <c r="AG209" s="44" t="n">
        <v>0</v>
      </c>
      <c r="AH209" s="58" t="s">
        <v>28</v>
      </c>
      <c r="AI209" s="44" t="n">
        <v>0</v>
      </c>
      <c r="AJ209" s="44" t="s">
        <v>810</v>
      </c>
      <c r="AK209" s="44" t="s">
        <v>47</v>
      </c>
      <c r="AL209" s="44" t="s">
        <v>810</v>
      </c>
      <c r="AM209" s="44" t="n">
        <v>0</v>
      </c>
      <c r="AN209" s="44"/>
      <c r="AO209" s="44"/>
      <c r="AP209" s="44"/>
      <c r="AQ209" s="45" t="s">
        <v>832</v>
      </c>
      <c r="AR209" s="44" t="s">
        <v>1282</v>
      </c>
      <c r="AS209" s="44"/>
      <c r="AT209" s="44"/>
      <c r="AU209" s="44"/>
      <c r="AV209" s="44"/>
      <c r="AW209" s="44"/>
      <c r="AX209" s="44"/>
      <c r="AY209" s="44"/>
      <c r="AZ209" s="46"/>
    </row>
    <row r="210" customFormat="false" ht="18" hidden="false" customHeight="true" outlineLevel="0" collapsed="false">
      <c r="A210" s="47" t="s">
        <v>1507</v>
      </c>
      <c r="B210" s="48" t="s">
        <v>69</v>
      </c>
      <c r="C210" s="47" t="s">
        <v>1507</v>
      </c>
      <c r="D210" s="48" t="s">
        <v>834</v>
      </c>
      <c r="E210" s="48" t="s">
        <v>844</v>
      </c>
      <c r="F210" s="48" t="s">
        <v>1687</v>
      </c>
      <c r="G210" s="49" t="s">
        <v>30</v>
      </c>
      <c r="H210" s="48" t="s">
        <v>1297</v>
      </c>
      <c r="I210" s="48" t="s">
        <v>1638</v>
      </c>
      <c r="J210" s="48" t="s">
        <v>28</v>
      </c>
      <c r="K210" s="48" t="s">
        <v>1154</v>
      </c>
      <c r="L210" s="48" t="s">
        <v>810</v>
      </c>
      <c r="M210" s="48"/>
      <c r="N210" s="50" t="s">
        <v>1458</v>
      </c>
      <c r="O210" s="51" t="s">
        <v>1649</v>
      </c>
      <c r="P210" s="52" t="n">
        <v>1</v>
      </c>
      <c r="Q210" s="51"/>
      <c r="R210" s="52" t="s">
        <v>1513</v>
      </c>
      <c r="S210" s="52"/>
      <c r="T210" s="52"/>
      <c r="U210" s="53" t="n">
        <v>173550</v>
      </c>
      <c r="V210" s="54" t="n">
        <v>173550</v>
      </c>
      <c r="W210" s="55" t="n">
        <v>0.12</v>
      </c>
      <c r="X210" s="52" t="n">
        <v>0.055</v>
      </c>
      <c r="Y210" s="55" t="n">
        <v>0.12</v>
      </c>
      <c r="Z210" s="56"/>
      <c r="AA210" s="55" t="n">
        <v>0.04</v>
      </c>
      <c r="AB210" s="57" t="n">
        <v>231689.25</v>
      </c>
      <c r="AC210" s="44"/>
      <c r="AD210" s="44"/>
      <c r="AE210" s="44" t="n">
        <v>231689.25</v>
      </c>
      <c r="AF210" s="44" t="s">
        <v>69</v>
      </c>
      <c r="AG210" s="44" t="n">
        <v>0</v>
      </c>
      <c r="AH210" s="58" t="s">
        <v>28</v>
      </c>
      <c r="AI210" s="44" t="n">
        <v>0</v>
      </c>
      <c r="AJ210" s="44" t="s">
        <v>810</v>
      </c>
      <c r="AK210" s="44" t="s">
        <v>47</v>
      </c>
      <c r="AL210" s="44" t="s">
        <v>810</v>
      </c>
      <c r="AM210" s="44" t="n">
        <v>0</v>
      </c>
      <c r="AN210" s="44"/>
      <c r="AO210" s="44"/>
      <c r="AP210" s="44"/>
      <c r="AQ210" s="45" t="s">
        <v>833</v>
      </c>
      <c r="AR210" s="44" t="s">
        <v>1282</v>
      </c>
      <c r="AS210" s="44"/>
      <c r="AT210" s="44"/>
      <c r="AU210" s="44"/>
      <c r="AV210" s="44"/>
      <c r="AW210" s="44"/>
      <c r="AX210" s="44"/>
      <c r="AY210" s="44"/>
      <c r="AZ210" s="46"/>
    </row>
    <row r="211" customFormat="false" ht="18" hidden="false" customHeight="true" outlineLevel="0" collapsed="false">
      <c r="A211" s="47" t="n">
        <v>113609</v>
      </c>
      <c r="B211" s="48" t="s">
        <v>1688</v>
      </c>
      <c r="C211" s="47" t="n">
        <v>113609</v>
      </c>
      <c r="D211" s="48" t="s">
        <v>1689</v>
      </c>
      <c r="E211" s="48" t="s">
        <v>1592</v>
      </c>
      <c r="F211" s="48"/>
      <c r="G211" s="49" t="s">
        <v>1527</v>
      </c>
      <c r="H211" s="48" t="s">
        <v>1332</v>
      </c>
      <c r="I211" s="48" t="s">
        <v>1159</v>
      </c>
      <c r="J211" s="48" t="s">
        <v>1159</v>
      </c>
      <c r="K211" s="48" t="s">
        <v>1159</v>
      </c>
      <c r="L211" s="48" t="s">
        <v>1159</v>
      </c>
      <c r="M211" s="48"/>
      <c r="N211" s="50" t="s">
        <v>1284</v>
      </c>
      <c r="O211" s="51" t="s">
        <v>1649</v>
      </c>
      <c r="P211" s="52" t="n">
        <v>1</v>
      </c>
      <c r="Q211" s="51"/>
      <c r="R211" s="52" t="s">
        <v>1519</v>
      </c>
      <c r="S211" s="52"/>
      <c r="T211" s="52"/>
      <c r="U211" s="53" t="n">
        <v>185550</v>
      </c>
      <c r="V211" s="54" t="n">
        <v>170706</v>
      </c>
      <c r="W211" s="55" t="n">
        <v>0.15</v>
      </c>
      <c r="X211" s="52"/>
      <c r="Y211" s="55" t="n">
        <v>0.05</v>
      </c>
      <c r="Z211" s="56" t="n">
        <v>2910</v>
      </c>
      <c r="AA211" s="55" t="n">
        <v>0.03</v>
      </c>
      <c r="AB211" s="57" t="n">
        <v>212878.38</v>
      </c>
      <c r="AC211" s="44"/>
      <c r="AD211" s="44"/>
      <c r="AE211" s="44" t="n">
        <v>212878.38</v>
      </c>
      <c r="AF211" s="44" t="s">
        <v>53</v>
      </c>
      <c r="AG211" s="44" t="n">
        <v>0</v>
      </c>
      <c r="AH211" s="58" t="s">
        <v>32</v>
      </c>
      <c r="AI211" s="44" t="n">
        <v>0</v>
      </c>
      <c r="AJ211" s="44" t="s">
        <v>1332</v>
      </c>
      <c r="AK211" s="44" t="s">
        <v>47</v>
      </c>
      <c r="AL211" s="44" t="s">
        <v>1332</v>
      </c>
      <c r="AM211" s="44" t="n">
        <v>0</v>
      </c>
      <c r="AN211" s="44"/>
      <c r="AO211" s="44"/>
      <c r="AP211" s="44"/>
      <c r="AQ211" s="45" t="s">
        <v>1333</v>
      </c>
      <c r="AR211" s="44" t="s">
        <v>1284</v>
      </c>
      <c r="AS211" s="44"/>
      <c r="AT211" s="44"/>
      <c r="AU211" s="44"/>
      <c r="AV211" s="44"/>
      <c r="AW211" s="44"/>
      <c r="AX211" s="44"/>
      <c r="AY211" s="44"/>
      <c r="AZ211" s="46"/>
    </row>
    <row r="212" customFormat="false" ht="18" hidden="false" customHeight="true" outlineLevel="0" collapsed="false">
      <c r="A212" s="47" t="n">
        <v>113517</v>
      </c>
      <c r="B212" s="48" t="s">
        <v>849</v>
      </c>
      <c r="C212" s="47" t="n">
        <v>113517</v>
      </c>
      <c r="D212" s="48" t="s">
        <v>850</v>
      </c>
      <c r="E212" s="48" t="s">
        <v>69</v>
      </c>
      <c r="F212" s="48" t="s">
        <v>1690</v>
      </c>
      <c r="G212" s="49" t="s">
        <v>30</v>
      </c>
      <c r="H212" s="48" t="s">
        <v>1619</v>
      </c>
      <c r="I212" s="48" t="s">
        <v>1691</v>
      </c>
      <c r="J212" s="48" t="s">
        <v>1149</v>
      </c>
      <c r="K212" s="48" t="s">
        <v>1149</v>
      </c>
      <c r="L212" s="48" t="s">
        <v>846</v>
      </c>
      <c r="M212" s="48"/>
      <c r="N212" s="50" t="s">
        <v>1284</v>
      </c>
      <c r="O212" s="51" t="s">
        <v>1649</v>
      </c>
      <c r="P212" s="52" t="n">
        <v>1</v>
      </c>
      <c r="Q212" s="51"/>
      <c r="R212" s="52" t="s">
        <v>1519</v>
      </c>
      <c r="S212" s="52"/>
      <c r="T212" s="52"/>
      <c r="U212" s="53" t="n">
        <v>169750</v>
      </c>
      <c r="V212" s="54" t="n">
        <v>156170</v>
      </c>
      <c r="W212" s="55" t="n">
        <v>0.15</v>
      </c>
      <c r="X212" s="52"/>
      <c r="Y212" s="55" t="n">
        <v>0.05</v>
      </c>
      <c r="Z212" s="56" t="n">
        <v>2910</v>
      </c>
      <c r="AA212" s="55" t="n">
        <v>0.03</v>
      </c>
      <c r="AB212" s="57" t="n">
        <v>194999.1</v>
      </c>
      <c r="AC212" s="44"/>
      <c r="AD212" s="44"/>
      <c r="AE212" s="44" t="n">
        <v>194999.1</v>
      </c>
      <c r="AF212" s="44" t="s">
        <v>53</v>
      </c>
      <c r="AG212" s="44" t="n">
        <v>0</v>
      </c>
      <c r="AH212" s="58" t="s">
        <v>30</v>
      </c>
      <c r="AI212" s="44" t="n">
        <v>0</v>
      </c>
      <c r="AJ212" s="44" t="s">
        <v>846</v>
      </c>
      <c r="AK212" s="44" t="s">
        <v>47</v>
      </c>
      <c r="AL212" s="44" t="s">
        <v>846</v>
      </c>
      <c r="AM212" s="44" t="n">
        <v>0</v>
      </c>
      <c r="AN212" s="44"/>
      <c r="AO212" s="44"/>
      <c r="AP212" s="44"/>
      <c r="AQ212" s="45" t="s">
        <v>848</v>
      </c>
      <c r="AR212" s="44" t="s">
        <v>1284</v>
      </c>
      <c r="AS212" s="44"/>
      <c r="AT212" s="44"/>
      <c r="AU212" s="44"/>
      <c r="AV212" s="44"/>
      <c r="AW212" s="44"/>
      <c r="AX212" s="44"/>
      <c r="AY212" s="44"/>
      <c r="AZ212" s="46"/>
    </row>
    <row r="213" customFormat="false" ht="18" hidden="false" customHeight="true" outlineLevel="0" collapsed="false">
      <c r="A213" s="47" t="n">
        <v>96568</v>
      </c>
      <c r="B213" s="48" t="s">
        <v>853</v>
      </c>
      <c r="C213" s="47" t="n">
        <v>96568</v>
      </c>
      <c r="D213" s="48" t="s">
        <v>850</v>
      </c>
      <c r="E213" s="48" t="s">
        <v>69</v>
      </c>
      <c r="F213" s="48" t="s">
        <v>1690</v>
      </c>
      <c r="G213" s="49" t="s">
        <v>30</v>
      </c>
      <c r="H213" s="48" t="s">
        <v>1619</v>
      </c>
      <c r="I213" s="48" t="s">
        <v>1691</v>
      </c>
      <c r="J213" s="48" t="s">
        <v>1149</v>
      </c>
      <c r="K213" s="48" t="s">
        <v>1149</v>
      </c>
      <c r="L213" s="48" t="s">
        <v>846</v>
      </c>
      <c r="M213" s="48"/>
      <c r="N213" s="50" t="s">
        <v>1443</v>
      </c>
      <c r="O213" s="51" t="s">
        <v>1649</v>
      </c>
      <c r="P213" s="52" t="n">
        <v>1</v>
      </c>
      <c r="Q213" s="52"/>
      <c r="R213" s="52" t="s">
        <v>1519</v>
      </c>
      <c r="S213" s="52"/>
      <c r="T213" s="52"/>
      <c r="U213" s="53" t="n">
        <v>191260</v>
      </c>
      <c r="V213" s="54" t="n">
        <v>191260</v>
      </c>
      <c r="W213" s="55" t="n">
        <v>0.12</v>
      </c>
      <c r="X213" s="52" t="n">
        <v>0.055</v>
      </c>
      <c r="Y213" s="55" t="n">
        <v>0.12</v>
      </c>
      <c r="Z213" s="56"/>
      <c r="AA213" s="55" t="n">
        <v>0.04</v>
      </c>
      <c r="AB213" s="57" t="n">
        <v>255332.1</v>
      </c>
      <c r="AC213" s="44"/>
      <c r="AD213" s="44"/>
      <c r="AE213" s="44" t="n">
        <v>255332.1</v>
      </c>
      <c r="AF213" s="44" t="s">
        <v>53</v>
      </c>
      <c r="AG213" s="44" t="n">
        <v>0</v>
      </c>
      <c r="AH213" s="58" t="s">
        <v>30</v>
      </c>
      <c r="AI213" s="44" t="n">
        <v>0</v>
      </c>
      <c r="AJ213" s="44" t="s">
        <v>846</v>
      </c>
      <c r="AK213" s="44" t="s">
        <v>47</v>
      </c>
      <c r="AL213" s="44" t="s">
        <v>846</v>
      </c>
      <c r="AM213" s="44" t="n">
        <v>0</v>
      </c>
      <c r="AN213" s="44"/>
      <c r="AO213" s="44"/>
      <c r="AP213" s="44"/>
      <c r="AQ213" s="45" t="s">
        <v>852</v>
      </c>
      <c r="AR213" s="44" t="s">
        <v>1282</v>
      </c>
      <c r="AS213" s="44"/>
      <c r="AT213" s="44"/>
      <c r="AU213" s="44"/>
      <c r="AV213" s="44"/>
      <c r="AW213" s="44"/>
      <c r="AX213" s="44"/>
      <c r="AY213" s="44"/>
      <c r="AZ213" s="46"/>
    </row>
    <row r="214" customFormat="false" ht="18" hidden="false" customHeight="true" outlineLevel="0" collapsed="false">
      <c r="A214" s="47" t="n">
        <v>92821</v>
      </c>
      <c r="B214" s="48" t="s">
        <v>856</v>
      </c>
      <c r="C214" s="47" t="n">
        <v>92821</v>
      </c>
      <c r="D214" s="48" t="s">
        <v>850</v>
      </c>
      <c r="E214" s="48" t="s">
        <v>69</v>
      </c>
      <c r="F214" s="48" t="s">
        <v>1690</v>
      </c>
      <c r="G214" s="49" t="s">
        <v>30</v>
      </c>
      <c r="H214" s="48" t="s">
        <v>1619</v>
      </c>
      <c r="I214" s="48" t="s">
        <v>1691</v>
      </c>
      <c r="J214" s="48" t="s">
        <v>1149</v>
      </c>
      <c r="K214" s="48" t="s">
        <v>1149</v>
      </c>
      <c r="L214" s="48" t="s">
        <v>846</v>
      </c>
      <c r="M214" s="48"/>
      <c r="N214" s="50" t="s">
        <v>1443</v>
      </c>
      <c r="O214" s="51" t="s">
        <v>1649</v>
      </c>
      <c r="P214" s="52" t="n">
        <v>1</v>
      </c>
      <c r="Q214" s="51"/>
      <c r="R214" s="52" t="s">
        <v>1519</v>
      </c>
      <c r="S214" s="52"/>
      <c r="T214" s="52"/>
      <c r="U214" s="53" t="n">
        <v>190660</v>
      </c>
      <c r="V214" s="54" t="n">
        <v>190660</v>
      </c>
      <c r="W214" s="55" t="n">
        <v>0.12</v>
      </c>
      <c r="X214" s="52" t="n">
        <v>0.055</v>
      </c>
      <c r="Y214" s="55" t="n">
        <v>0.12</v>
      </c>
      <c r="Z214" s="56"/>
      <c r="AA214" s="55" t="n">
        <v>0.04</v>
      </c>
      <c r="AB214" s="57" t="n">
        <v>254531.1</v>
      </c>
      <c r="AC214" s="44"/>
      <c r="AD214" s="44"/>
      <c r="AE214" s="44" t="n">
        <v>254531.1</v>
      </c>
      <c r="AF214" s="44" t="s">
        <v>53</v>
      </c>
      <c r="AG214" s="44" t="n">
        <v>0</v>
      </c>
      <c r="AH214" s="58" t="s">
        <v>30</v>
      </c>
      <c r="AI214" s="44" t="n">
        <v>0</v>
      </c>
      <c r="AJ214" s="44" t="s">
        <v>846</v>
      </c>
      <c r="AK214" s="44" t="s">
        <v>47</v>
      </c>
      <c r="AL214" s="44" t="s">
        <v>846</v>
      </c>
      <c r="AM214" s="44" t="n">
        <v>0</v>
      </c>
      <c r="AN214" s="44"/>
      <c r="AO214" s="44"/>
      <c r="AP214" s="44"/>
      <c r="AQ214" s="45" t="s">
        <v>855</v>
      </c>
      <c r="AR214" s="44" t="s">
        <v>1282</v>
      </c>
      <c r="AS214" s="44"/>
      <c r="AT214" s="44"/>
      <c r="AU214" s="44"/>
      <c r="AV214" s="44"/>
      <c r="AW214" s="44"/>
      <c r="AX214" s="44"/>
      <c r="AY214" s="44"/>
      <c r="AZ214" s="46"/>
    </row>
    <row r="215" customFormat="false" ht="18" hidden="false" customHeight="true" outlineLevel="0" collapsed="false">
      <c r="A215" s="47" t="s">
        <v>1507</v>
      </c>
      <c r="B215" s="48" t="s">
        <v>69</v>
      </c>
      <c r="C215" s="47" t="s">
        <v>1507</v>
      </c>
      <c r="D215" s="48" t="s">
        <v>1692</v>
      </c>
      <c r="E215" s="48" t="s">
        <v>69</v>
      </c>
      <c r="F215" s="48" t="s">
        <v>1621</v>
      </c>
      <c r="G215" s="49" t="s">
        <v>1511</v>
      </c>
      <c r="H215" s="48" t="s">
        <v>1253</v>
      </c>
      <c r="I215" s="48" t="s">
        <v>1159</v>
      </c>
      <c r="J215" s="48" t="s">
        <v>1159</v>
      </c>
      <c r="K215" s="48" t="s">
        <v>1159</v>
      </c>
      <c r="L215" s="48" t="s">
        <v>1159</v>
      </c>
      <c r="M215" s="48"/>
      <c r="N215" s="50" t="s">
        <v>1443</v>
      </c>
      <c r="O215" s="51" t="s">
        <v>1649</v>
      </c>
      <c r="P215" s="52" t="n">
        <v>1</v>
      </c>
      <c r="Q215" s="51"/>
      <c r="R215" s="52" t="s">
        <v>1507</v>
      </c>
      <c r="S215" s="52"/>
      <c r="T215" s="52"/>
      <c r="U215" s="53" t="n">
        <v>173550</v>
      </c>
      <c r="V215" s="54" t="n">
        <v>173550</v>
      </c>
      <c r="W215" s="55" t="n">
        <v>0.12</v>
      </c>
      <c r="X215" s="52" t="n">
        <v>0.055</v>
      </c>
      <c r="Y215" s="55" t="n">
        <v>0.12</v>
      </c>
      <c r="Z215" s="56"/>
      <c r="AA215" s="55" t="n">
        <v>0.04</v>
      </c>
      <c r="AB215" s="57" t="n">
        <v>231689.25</v>
      </c>
      <c r="AC215" s="44"/>
      <c r="AD215" s="44"/>
      <c r="AE215" s="44" t="n">
        <v>231689.25</v>
      </c>
      <c r="AF215" s="44" t="s">
        <v>69</v>
      </c>
      <c r="AG215" s="44" t="n">
        <v>0</v>
      </c>
      <c r="AH215" s="58" t="s">
        <v>1514</v>
      </c>
      <c r="AI215" s="44" t="n">
        <v>0</v>
      </c>
      <c r="AJ215" s="44" t="s">
        <v>1253</v>
      </c>
      <c r="AK215" s="44" t="s">
        <v>47</v>
      </c>
      <c r="AL215" s="44" t="s">
        <v>1253</v>
      </c>
      <c r="AM215" s="44" t="n">
        <v>0</v>
      </c>
      <c r="AN215" s="44"/>
      <c r="AO215" s="44"/>
      <c r="AP215" s="44"/>
      <c r="AQ215" s="45" t="s">
        <v>1375</v>
      </c>
      <c r="AR215" s="44" t="s">
        <v>1282</v>
      </c>
      <c r="AS215" s="44"/>
      <c r="AT215" s="44"/>
      <c r="AU215" s="44"/>
      <c r="AV215" s="44"/>
      <c r="AW215" s="44"/>
      <c r="AX215" s="44"/>
      <c r="AY215" s="44"/>
      <c r="AZ215" s="46"/>
    </row>
    <row r="216" customFormat="false" ht="18" hidden="false" customHeight="true" outlineLevel="0" collapsed="false">
      <c r="A216" s="47" t="n">
        <v>113509</v>
      </c>
      <c r="B216" s="48" t="s">
        <v>650</v>
      </c>
      <c r="C216" s="47" t="n">
        <v>113509</v>
      </c>
      <c r="D216" s="48" t="s">
        <v>84</v>
      </c>
      <c r="E216" s="48" t="s">
        <v>69</v>
      </c>
      <c r="F216" s="48" t="s">
        <v>203</v>
      </c>
      <c r="G216" s="49" t="s">
        <v>1461</v>
      </c>
      <c r="H216" s="48" t="s">
        <v>1562</v>
      </c>
      <c r="I216" s="48" t="s">
        <v>1693</v>
      </c>
      <c r="J216" s="48" t="s">
        <v>1562</v>
      </c>
      <c r="K216" s="48" t="s">
        <v>1152</v>
      </c>
      <c r="L216" s="48" t="s">
        <v>614</v>
      </c>
      <c r="M216" s="48"/>
      <c r="N216" s="50" t="s">
        <v>1284</v>
      </c>
      <c r="O216" s="51" t="s">
        <v>1649</v>
      </c>
      <c r="P216" s="52" t="n">
        <v>1</v>
      </c>
      <c r="Q216" s="51"/>
      <c r="R216" s="52" t="s">
        <v>1519</v>
      </c>
      <c r="S216" s="52"/>
      <c r="T216" s="52"/>
      <c r="U216" s="53" t="n">
        <v>163830</v>
      </c>
      <c r="V216" s="54" t="n">
        <v>150723.6</v>
      </c>
      <c r="W216" s="55" t="n">
        <v>0.15</v>
      </c>
      <c r="X216" s="52"/>
      <c r="Y216" s="55" t="n">
        <v>0.05</v>
      </c>
      <c r="Z216" s="56" t="n">
        <v>2910</v>
      </c>
      <c r="AA216" s="55" t="n">
        <v>0.03</v>
      </c>
      <c r="AB216" s="57" t="n">
        <v>188300.028</v>
      </c>
      <c r="AC216" s="44"/>
      <c r="AD216" s="44"/>
      <c r="AE216" s="44" t="n">
        <v>188300.028</v>
      </c>
      <c r="AF216" s="44" t="s">
        <v>53</v>
      </c>
      <c r="AG216" s="44" t="n">
        <v>0</v>
      </c>
      <c r="AH216" s="58" t="s">
        <v>22</v>
      </c>
      <c r="AI216" s="44" t="n">
        <v>0</v>
      </c>
      <c r="AJ216" s="44" t="s">
        <v>614</v>
      </c>
      <c r="AK216" s="44" t="s">
        <v>47</v>
      </c>
      <c r="AL216" s="44" t="s">
        <v>614</v>
      </c>
      <c r="AM216" s="44" t="n">
        <v>0</v>
      </c>
      <c r="AN216" s="44"/>
      <c r="AO216" s="44"/>
      <c r="AP216" s="44"/>
      <c r="AQ216" s="45" t="s">
        <v>649</v>
      </c>
      <c r="AR216" s="44" t="s">
        <v>1284</v>
      </c>
      <c r="AS216" s="44"/>
      <c r="AT216" s="44"/>
      <c r="AU216" s="44"/>
      <c r="AV216" s="44"/>
      <c r="AW216" s="44"/>
      <c r="AX216" s="44"/>
      <c r="AY216" s="44"/>
      <c r="AZ216" s="46"/>
    </row>
    <row r="217" customFormat="false" ht="18" hidden="false" customHeight="true" outlineLevel="0" collapsed="false">
      <c r="A217" s="47" t="n">
        <v>106829</v>
      </c>
      <c r="B217" s="48" t="s">
        <v>858</v>
      </c>
      <c r="C217" s="47" t="n">
        <v>106829</v>
      </c>
      <c r="D217" s="48" t="s">
        <v>859</v>
      </c>
      <c r="E217" s="48" t="s">
        <v>69</v>
      </c>
      <c r="F217" s="48" t="s">
        <v>203</v>
      </c>
      <c r="G217" s="49" t="s">
        <v>30</v>
      </c>
      <c r="H217" s="48" t="s">
        <v>1479</v>
      </c>
      <c r="I217" s="48" t="s">
        <v>1694</v>
      </c>
      <c r="J217" s="48" t="s">
        <v>1149</v>
      </c>
      <c r="K217" s="48" t="s">
        <v>1149</v>
      </c>
      <c r="L217" s="48" t="s">
        <v>846</v>
      </c>
      <c r="M217" s="48"/>
      <c r="N217" s="50" t="s">
        <v>1443</v>
      </c>
      <c r="O217" s="51" t="s">
        <v>1649</v>
      </c>
      <c r="P217" s="52" t="n">
        <v>1</v>
      </c>
      <c r="Q217" s="51"/>
      <c r="R217" s="52" t="s">
        <v>1519</v>
      </c>
      <c r="S217" s="52"/>
      <c r="T217" s="52"/>
      <c r="U217" s="53" t="n">
        <v>186640</v>
      </c>
      <c r="V217" s="54" t="n">
        <v>186640</v>
      </c>
      <c r="W217" s="55" t="n">
        <v>0.12</v>
      </c>
      <c r="X217" s="52" t="n">
        <v>0.055</v>
      </c>
      <c r="Y217" s="55" t="n">
        <v>0.12</v>
      </c>
      <c r="Z217" s="56"/>
      <c r="AA217" s="55" t="n">
        <v>0.04</v>
      </c>
      <c r="AB217" s="57" t="n">
        <v>249164.4</v>
      </c>
      <c r="AC217" s="44"/>
      <c r="AD217" s="44"/>
      <c r="AE217" s="44" t="n">
        <v>249164.4</v>
      </c>
      <c r="AF217" s="44" t="s">
        <v>53</v>
      </c>
      <c r="AG217" s="44" t="n">
        <v>0</v>
      </c>
      <c r="AH217" s="58" t="s">
        <v>30</v>
      </c>
      <c r="AI217" s="44" t="n">
        <v>0</v>
      </c>
      <c r="AJ217" s="44" t="s">
        <v>846</v>
      </c>
      <c r="AK217" s="44" t="s">
        <v>47</v>
      </c>
      <c r="AL217" s="44" t="s">
        <v>846</v>
      </c>
      <c r="AM217" s="44" t="n">
        <v>0</v>
      </c>
      <c r="AN217" s="44"/>
      <c r="AO217" s="44"/>
      <c r="AP217" s="44"/>
      <c r="AQ217" s="45" t="s">
        <v>857</v>
      </c>
      <c r="AR217" s="44" t="s">
        <v>1282</v>
      </c>
      <c r="AS217" s="44"/>
      <c r="AT217" s="44"/>
      <c r="AU217" s="44"/>
      <c r="AV217" s="44"/>
      <c r="AW217" s="44"/>
      <c r="AX217" s="44"/>
      <c r="AY217" s="44"/>
      <c r="AZ217" s="46"/>
    </row>
    <row r="218" customFormat="false" ht="18" hidden="false" customHeight="true" outlineLevel="0" collapsed="false">
      <c r="A218" s="47" t="n">
        <v>105532</v>
      </c>
      <c r="B218" s="48" t="s">
        <v>623</v>
      </c>
      <c r="C218" s="47" t="n">
        <v>105532</v>
      </c>
      <c r="D218" s="48" t="s">
        <v>84</v>
      </c>
      <c r="E218" s="48" t="s">
        <v>69</v>
      </c>
      <c r="F218" s="48" t="s">
        <v>203</v>
      </c>
      <c r="G218" s="49" t="s">
        <v>1461</v>
      </c>
      <c r="H218" s="48" t="s">
        <v>1562</v>
      </c>
      <c r="I218" s="48" t="s">
        <v>1693</v>
      </c>
      <c r="J218" s="48" t="s">
        <v>1562</v>
      </c>
      <c r="K218" s="48" t="s">
        <v>613</v>
      </c>
      <c r="L218" s="48" t="s">
        <v>613</v>
      </c>
      <c r="M218" s="48"/>
      <c r="N218" s="50" t="s">
        <v>1443</v>
      </c>
      <c r="O218" s="51" t="s">
        <v>1649</v>
      </c>
      <c r="P218" s="52" t="n">
        <v>1</v>
      </c>
      <c r="Q218" s="51"/>
      <c r="R218" s="52" t="s">
        <v>1519</v>
      </c>
      <c r="S218" s="52"/>
      <c r="T218" s="52"/>
      <c r="U218" s="53" t="n">
        <v>199710</v>
      </c>
      <c r="V218" s="54" t="n">
        <v>199710</v>
      </c>
      <c r="W218" s="55" t="n">
        <v>0.12</v>
      </c>
      <c r="X218" s="52" t="n">
        <v>0.055</v>
      </c>
      <c r="Y218" s="55" t="n">
        <v>0.12</v>
      </c>
      <c r="Z218" s="56"/>
      <c r="AA218" s="55" t="n">
        <v>0.04</v>
      </c>
      <c r="AB218" s="57" t="n">
        <v>266612.85</v>
      </c>
      <c r="AC218" s="44"/>
      <c r="AD218" s="44"/>
      <c r="AE218" s="44" t="n">
        <v>266612.85</v>
      </c>
      <c r="AF218" s="44" t="s">
        <v>53</v>
      </c>
      <c r="AG218" s="44" t="n">
        <v>0</v>
      </c>
      <c r="AH218" s="58" t="s">
        <v>22</v>
      </c>
      <c r="AI218" s="44" t="n">
        <v>0</v>
      </c>
      <c r="AJ218" s="44" t="s">
        <v>613</v>
      </c>
      <c r="AK218" s="44" t="s">
        <v>47</v>
      </c>
      <c r="AL218" s="44" t="s">
        <v>613</v>
      </c>
      <c r="AM218" s="44" t="n">
        <v>0</v>
      </c>
      <c r="AN218" s="44"/>
      <c r="AO218" s="44"/>
      <c r="AP218" s="44"/>
      <c r="AQ218" s="45" t="s">
        <v>622</v>
      </c>
      <c r="AR218" s="44" t="s">
        <v>1282</v>
      </c>
      <c r="AS218" s="44"/>
      <c r="AT218" s="44"/>
      <c r="AU218" s="44"/>
      <c r="AV218" s="44"/>
      <c r="AW218" s="44"/>
      <c r="AX218" s="44"/>
      <c r="AY218" s="44"/>
      <c r="AZ218" s="46"/>
    </row>
    <row r="219" customFormat="false" ht="18" hidden="false" customHeight="true" outlineLevel="0" collapsed="false">
      <c r="A219" s="47" t="n">
        <v>113577</v>
      </c>
      <c r="B219" s="48" t="s">
        <v>909</v>
      </c>
      <c r="C219" s="47" t="n">
        <v>113577</v>
      </c>
      <c r="D219" s="48" t="s">
        <v>910</v>
      </c>
      <c r="E219" s="48" t="s">
        <v>69</v>
      </c>
      <c r="F219" s="48" t="s">
        <v>203</v>
      </c>
      <c r="G219" s="49" t="s">
        <v>30</v>
      </c>
      <c r="H219" s="48" t="s">
        <v>1479</v>
      </c>
      <c r="I219" s="48" t="s">
        <v>1694</v>
      </c>
      <c r="J219" s="48" t="s">
        <v>1149</v>
      </c>
      <c r="K219" s="48" t="s">
        <v>1149</v>
      </c>
      <c r="L219" s="48" t="s">
        <v>854</v>
      </c>
      <c r="M219" s="48"/>
      <c r="N219" s="50" t="s">
        <v>1284</v>
      </c>
      <c r="O219" s="51" t="s">
        <v>1649</v>
      </c>
      <c r="P219" s="52" t="n">
        <v>1</v>
      </c>
      <c r="Q219" s="51"/>
      <c r="R219" s="52" t="s">
        <v>1519</v>
      </c>
      <c r="S219" s="52"/>
      <c r="T219" s="52"/>
      <c r="U219" s="53" t="n">
        <v>176220</v>
      </c>
      <c r="V219" s="54" t="n">
        <v>162122.4</v>
      </c>
      <c r="W219" s="55" t="n">
        <v>0.15</v>
      </c>
      <c r="X219" s="52"/>
      <c r="Y219" s="55" t="n">
        <v>0.05</v>
      </c>
      <c r="Z219" s="56" t="n">
        <v>2910</v>
      </c>
      <c r="AA219" s="55" t="n">
        <v>0.03</v>
      </c>
      <c r="AB219" s="57" t="n">
        <v>202320.552</v>
      </c>
      <c r="AC219" s="44"/>
      <c r="AD219" s="44"/>
      <c r="AE219" s="44" t="n">
        <v>202320.552</v>
      </c>
      <c r="AF219" s="44" t="s">
        <v>53</v>
      </c>
      <c r="AG219" s="44" t="n">
        <v>0</v>
      </c>
      <c r="AH219" s="58" t="s">
        <v>30</v>
      </c>
      <c r="AI219" s="44" t="n">
        <v>0</v>
      </c>
      <c r="AJ219" s="44" t="s">
        <v>854</v>
      </c>
      <c r="AK219" s="44" t="s">
        <v>47</v>
      </c>
      <c r="AL219" s="44" t="s">
        <v>854</v>
      </c>
      <c r="AM219" s="44" t="n">
        <v>0</v>
      </c>
      <c r="AN219" s="44"/>
      <c r="AO219" s="44"/>
      <c r="AP219" s="44"/>
      <c r="AQ219" s="45" t="s">
        <v>908</v>
      </c>
      <c r="AR219" s="44" t="s">
        <v>1284</v>
      </c>
      <c r="AS219" s="44"/>
      <c r="AT219" s="44"/>
      <c r="AU219" s="44"/>
      <c r="AV219" s="44"/>
      <c r="AW219" s="44"/>
      <c r="AX219" s="44"/>
      <c r="AY219" s="44"/>
      <c r="AZ219" s="46"/>
    </row>
    <row r="220" customFormat="false" ht="18" hidden="false" customHeight="true" outlineLevel="0" collapsed="false">
      <c r="A220" s="47" t="n">
        <v>106907</v>
      </c>
      <c r="B220" s="48" t="s">
        <v>579</v>
      </c>
      <c r="C220" s="47" t="n">
        <v>106907</v>
      </c>
      <c r="D220" s="48" t="s">
        <v>84</v>
      </c>
      <c r="E220" s="48" t="s">
        <v>69</v>
      </c>
      <c r="F220" s="48" t="s">
        <v>203</v>
      </c>
      <c r="G220" s="49" t="s">
        <v>1461</v>
      </c>
      <c r="H220" s="48" t="s">
        <v>20</v>
      </c>
      <c r="I220" s="48" t="s">
        <v>1606</v>
      </c>
      <c r="J220" s="48" t="s">
        <v>20</v>
      </c>
      <c r="K220" s="48" t="s">
        <v>569</v>
      </c>
      <c r="L220" s="48" t="s">
        <v>569</v>
      </c>
      <c r="M220" s="48"/>
      <c r="N220" s="50" t="s">
        <v>1443</v>
      </c>
      <c r="O220" s="51" t="s">
        <v>1649</v>
      </c>
      <c r="P220" s="52" t="n">
        <v>1</v>
      </c>
      <c r="Q220" s="51"/>
      <c r="R220" s="52" t="s">
        <v>1519</v>
      </c>
      <c r="S220" s="52"/>
      <c r="T220" s="52"/>
      <c r="U220" s="53" t="n">
        <v>190260</v>
      </c>
      <c r="V220" s="54" t="n">
        <v>190260</v>
      </c>
      <c r="W220" s="55" t="n">
        <v>0.12</v>
      </c>
      <c r="X220" s="52" t="n">
        <v>0.055</v>
      </c>
      <c r="Y220" s="55" t="n">
        <v>0.12</v>
      </c>
      <c r="Z220" s="56"/>
      <c r="AA220" s="55" t="n">
        <v>0.04</v>
      </c>
      <c r="AB220" s="57" t="n">
        <v>253997.1</v>
      </c>
      <c r="AC220" s="44"/>
      <c r="AD220" s="44"/>
      <c r="AE220" s="44" t="n">
        <v>253997.1</v>
      </c>
      <c r="AF220" s="44" t="s">
        <v>53</v>
      </c>
      <c r="AG220" s="44" t="n">
        <v>0</v>
      </c>
      <c r="AH220" s="58" t="s">
        <v>20</v>
      </c>
      <c r="AI220" s="44" t="n">
        <v>0</v>
      </c>
      <c r="AJ220" s="44" t="s">
        <v>569</v>
      </c>
      <c r="AK220" s="44" t="s">
        <v>47</v>
      </c>
      <c r="AL220" s="44" t="s">
        <v>569</v>
      </c>
      <c r="AM220" s="44" t="n">
        <v>0</v>
      </c>
      <c r="AN220" s="44"/>
      <c r="AO220" s="44"/>
      <c r="AP220" s="44"/>
      <c r="AQ220" s="45" t="s">
        <v>578</v>
      </c>
      <c r="AR220" s="44" t="s">
        <v>1282</v>
      </c>
      <c r="AS220" s="44"/>
      <c r="AT220" s="44"/>
      <c r="AU220" s="44"/>
      <c r="AV220" s="44"/>
      <c r="AW220" s="44"/>
      <c r="AX220" s="44"/>
      <c r="AY220" s="44"/>
      <c r="AZ220" s="46"/>
    </row>
    <row r="221" customFormat="false" ht="18" hidden="false" customHeight="true" outlineLevel="0" collapsed="false">
      <c r="A221" s="47" t="n">
        <v>115935</v>
      </c>
      <c r="B221" s="48" t="s">
        <v>581</v>
      </c>
      <c r="C221" s="47" t="n">
        <v>115935</v>
      </c>
      <c r="D221" s="48" t="s">
        <v>192</v>
      </c>
      <c r="E221" s="48" t="s">
        <v>69</v>
      </c>
      <c r="F221" s="48" t="s">
        <v>203</v>
      </c>
      <c r="G221" s="49" t="s">
        <v>1461</v>
      </c>
      <c r="H221" s="48" t="s">
        <v>20</v>
      </c>
      <c r="I221" s="48" t="s">
        <v>1606</v>
      </c>
      <c r="J221" s="48" t="s">
        <v>20</v>
      </c>
      <c r="K221" s="48" t="s">
        <v>569</v>
      </c>
      <c r="L221" s="48" t="s">
        <v>569</v>
      </c>
      <c r="M221" s="48"/>
      <c r="N221" s="50" t="s">
        <v>1549</v>
      </c>
      <c r="O221" s="51" t="s">
        <v>1649</v>
      </c>
      <c r="P221" s="52" t="n">
        <v>1</v>
      </c>
      <c r="Q221" s="51"/>
      <c r="R221" s="52" t="s">
        <v>1519</v>
      </c>
      <c r="S221" s="52"/>
      <c r="T221" s="52"/>
      <c r="U221" s="53" t="n">
        <v>205000</v>
      </c>
      <c r="V221" s="54" t="n">
        <v>248050</v>
      </c>
      <c r="W221" s="55" t="n">
        <v>0.25</v>
      </c>
      <c r="X221" s="52"/>
      <c r="Y221" s="55" t="n">
        <v>0.17</v>
      </c>
      <c r="Z221" s="56" t="n">
        <v>3310</v>
      </c>
      <c r="AA221" s="55" t="n">
        <v>0.045</v>
      </c>
      <c r="AB221" s="57" t="n">
        <v>366703.25</v>
      </c>
      <c r="AC221" s="44"/>
      <c r="AD221" s="44"/>
      <c r="AE221" s="44" t="n">
        <v>366703.25</v>
      </c>
      <c r="AF221" s="44" t="s">
        <v>53</v>
      </c>
      <c r="AG221" s="44" t="n">
        <v>0</v>
      </c>
      <c r="AH221" s="58" t="s">
        <v>20</v>
      </c>
      <c r="AI221" s="44" t="n">
        <v>0</v>
      </c>
      <c r="AJ221" s="44" t="s">
        <v>569</v>
      </c>
      <c r="AK221" s="44" t="s">
        <v>47</v>
      </c>
      <c r="AL221" s="44" t="s">
        <v>569</v>
      </c>
      <c r="AM221" s="44" t="n">
        <v>0</v>
      </c>
      <c r="AN221" s="44"/>
      <c r="AO221" s="44"/>
      <c r="AP221" s="44"/>
      <c r="AQ221" s="45" t="s">
        <v>580</v>
      </c>
      <c r="AR221" s="44" t="s">
        <v>1282</v>
      </c>
      <c r="AS221" s="44"/>
      <c r="AT221" s="44"/>
      <c r="AU221" s="44"/>
      <c r="AV221" s="44"/>
      <c r="AW221" s="44"/>
      <c r="AX221" s="44"/>
      <c r="AY221" s="44"/>
      <c r="AZ221" s="46"/>
    </row>
    <row r="222" customFormat="false" ht="18" hidden="false" customHeight="true" outlineLevel="0" collapsed="false">
      <c r="A222" s="47" t="n">
        <v>106221</v>
      </c>
      <c r="B222" s="48" t="s">
        <v>528</v>
      </c>
      <c r="C222" s="47" t="n">
        <v>106221</v>
      </c>
      <c r="D222" s="48" t="s">
        <v>133</v>
      </c>
      <c r="E222" s="48" t="s">
        <v>69</v>
      </c>
      <c r="F222" s="48" t="s">
        <v>203</v>
      </c>
      <c r="G222" s="49" t="s">
        <v>1461</v>
      </c>
      <c r="H222" s="48" t="s">
        <v>20</v>
      </c>
      <c r="I222" s="48" t="s">
        <v>1606</v>
      </c>
      <c r="J222" s="48" t="s">
        <v>20</v>
      </c>
      <c r="K222" s="48" t="s">
        <v>517</v>
      </c>
      <c r="L222" s="48" t="s">
        <v>517</v>
      </c>
      <c r="M222" s="48"/>
      <c r="N222" s="50" t="s">
        <v>1549</v>
      </c>
      <c r="O222" s="51" t="s">
        <v>1649</v>
      </c>
      <c r="P222" s="52" t="n">
        <v>1</v>
      </c>
      <c r="Q222" s="51"/>
      <c r="R222" s="52" t="s">
        <v>1519</v>
      </c>
      <c r="S222" s="52"/>
      <c r="T222" s="52"/>
      <c r="U222" s="53" t="n">
        <v>196770</v>
      </c>
      <c r="V222" s="54" t="n">
        <v>238091.7</v>
      </c>
      <c r="W222" s="55" t="n">
        <v>0.25</v>
      </c>
      <c r="X222" s="52"/>
      <c r="Y222" s="55" t="n">
        <v>0.17</v>
      </c>
      <c r="Z222" s="56" t="n">
        <v>3310</v>
      </c>
      <c r="AA222" s="55" t="n">
        <v>0.045</v>
      </c>
      <c r="AB222" s="57" t="n">
        <v>352114.3405</v>
      </c>
      <c r="AC222" s="44"/>
      <c r="AD222" s="44"/>
      <c r="AE222" s="44" t="n">
        <v>352114.3405</v>
      </c>
      <c r="AF222" s="44" t="s">
        <v>53</v>
      </c>
      <c r="AG222" s="44" t="n">
        <v>0</v>
      </c>
      <c r="AH222" s="58" t="s">
        <v>20</v>
      </c>
      <c r="AI222" s="44" t="n">
        <v>0</v>
      </c>
      <c r="AJ222" s="44" t="s">
        <v>517</v>
      </c>
      <c r="AK222" s="44" t="s">
        <v>47</v>
      </c>
      <c r="AL222" s="44" t="s">
        <v>517</v>
      </c>
      <c r="AM222" s="44" t="n">
        <v>0</v>
      </c>
      <c r="AN222" s="44"/>
      <c r="AO222" s="44"/>
      <c r="AP222" s="44"/>
      <c r="AQ222" s="45" t="s">
        <v>527</v>
      </c>
      <c r="AR222" s="44" t="s">
        <v>1282</v>
      </c>
      <c r="AS222" s="44"/>
      <c r="AT222" s="44"/>
      <c r="AU222" s="44"/>
      <c r="AV222" s="44"/>
      <c r="AW222" s="44"/>
      <c r="AX222" s="44"/>
      <c r="AY222" s="44"/>
      <c r="AZ222" s="46"/>
    </row>
    <row r="223" customFormat="false" ht="18" hidden="false" customHeight="true" outlineLevel="0" collapsed="false">
      <c r="A223" s="47" t="s">
        <v>1507</v>
      </c>
      <c r="B223" s="48" t="s">
        <v>69</v>
      </c>
      <c r="C223" s="47" t="s">
        <v>1507</v>
      </c>
      <c r="D223" s="48" t="s">
        <v>84</v>
      </c>
      <c r="E223" s="48" t="s">
        <v>69</v>
      </c>
      <c r="F223" s="48" t="s">
        <v>203</v>
      </c>
      <c r="G223" s="49" t="s">
        <v>1461</v>
      </c>
      <c r="H223" s="48" t="s">
        <v>20</v>
      </c>
      <c r="I223" s="48" t="s">
        <v>1606</v>
      </c>
      <c r="J223" s="48" t="s">
        <v>20</v>
      </c>
      <c r="K223" s="48" t="s">
        <v>512</v>
      </c>
      <c r="L223" s="48" t="s">
        <v>512</v>
      </c>
      <c r="M223" s="48"/>
      <c r="N223" s="50" t="s">
        <v>1443</v>
      </c>
      <c r="O223" s="51" t="s">
        <v>1649</v>
      </c>
      <c r="P223" s="52" t="n">
        <v>1</v>
      </c>
      <c r="Q223" s="51"/>
      <c r="R223" s="52" t="s">
        <v>1507</v>
      </c>
      <c r="S223" s="52"/>
      <c r="T223" s="52"/>
      <c r="U223" s="53" t="n">
        <v>173550</v>
      </c>
      <c r="V223" s="54" t="n">
        <v>173550</v>
      </c>
      <c r="W223" s="55" t="n">
        <v>0.12</v>
      </c>
      <c r="X223" s="52" t="n">
        <v>0.055</v>
      </c>
      <c r="Y223" s="55" t="n">
        <v>0.12</v>
      </c>
      <c r="Z223" s="56"/>
      <c r="AA223" s="55" t="n">
        <v>0.04</v>
      </c>
      <c r="AB223" s="57" t="n">
        <v>231689.25</v>
      </c>
      <c r="AC223" s="44"/>
      <c r="AD223" s="44"/>
      <c r="AE223" s="44" t="n">
        <v>231689.25</v>
      </c>
      <c r="AF223" s="44" t="s">
        <v>69</v>
      </c>
      <c r="AG223" s="44" t="n">
        <v>0</v>
      </c>
      <c r="AH223" s="58" t="s">
        <v>20</v>
      </c>
      <c r="AI223" s="44" t="n">
        <v>0</v>
      </c>
      <c r="AJ223" s="44" t="s">
        <v>512</v>
      </c>
      <c r="AK223" s="44" t="s">
        <v>47</v>
      </c>
      <c r="AL223" s="44" t="s">
        <v>512</v>
      </c>
      <c r="AM223" s="44" t="n">
        <v>0</v>
      </c>
      <c r="AN223" s="44"/>
      <c r="AO223" s="44"/>
      <c r="AP223" s="44"/>
      <c r="AQ223" s="45" t="s">
        <v>514</v>
      </c>
      <c r="AR223" s="44" t="s">
        <v>1282</v>
      </c>
      <c r="AS223" s="44"/>
      <c r="AT223" s="44"/>
      <c r="AU223" s="44"/>
      <c r="AV223" s="44"/>
      <c r="AW223" s="44"/>
      <c r="AX223" s="44"/>
      <c r="AY223" s="44"/>
      <c r="AZ223" s="46"/>
    </row>
    <row r="224" customFormat="false" ht="18" hidden="false" customHeight="true" outlineLevel="0" collapsed="false">
      <c r="A224" s="47" t="s">
        <v>1507</v>
      </c>
      <c r="B224" s="48" t="s">
        <v>69</v>
      </c>
      <c r="C224" s="47" t="s">
        <v>1507</v>
      </c>
      <c r="D224" s="48" t="s">
        <v>84</v>
      </c>
      <c r="E224" s="48" t="s">
        <v>69</v>
      </c>
      <c r="F224" s="48" t="s">
        <v>203</v>
      </c>
      <c r="G224" s="49" t="s">
        <v>1461</v>
      </c>
      <c r="H224" s="48" t="s">
        <v>20</v>
      </c>
      <c r="I224" s="48" t="s">
        <v>1606</v>
      </c>
      <c r="J224" s="48" t="s">
        <v>20</v>
      </c>
      <c r="K224" s="48" t="s">
        <v>517</v>
      </c>
      <c r="L224" s="48" t="s">
        <v>517</v>
      </c>
      <c r="M224" s="48"/>
      <c r="N224" s="50" t="s">
        <v>1443</v>
      </c>
      <c r="O224" s="51" t="s">
        <v>1649</v>
      </c>
      <c r="P224" s="52" t="n">
        <v>1</v>
      </c>
      <c r="Q224" s="51"/>
      <c r="R224" s="52" t="s">
        <v>1507</v>
      </c>
      <c r="S224" s="52"/>
      <c r="T224" s="52"/>
      <c r="U224" s="53" t="n">
        <v>173550</v>
      </c>
      <c r="V224" s="54" t="n">
        <v>173550</v>
      </c>
      <c r="W224" s="55" t="n">
        <v>0.12</v>
      </c>
      <c r="X224" s="52" t="n">
        <v>0.055</v>
      </c>
      <c r="Y224" s="55" t="n">
        <v>0.12</v>
      </c>
      <c r="Z224" s="56"/>
      <c r="AA224" s="55" t="n">
        <v>0.04</v>
      </c>
      <c r="AB224" s="57" t="n">
        <v>231689.25</v>
      </c>
      <c r="AC224" s="44"/>
      <c r="AD224" s="44"/>
      <c r="AE224" s="44" t="n">
        <v>231689.25</v>
      </c>
      <c r="AF224" s="44" t="s">
        <v>69</v>
      </c>
      <c r="AG224" s="44" t="n">
        <v>0</v>
      </c>
      <c r="AH224" s="58" t="s">
        <v>20</v>
      </c>
      <c r="AI224" s="44" t="n">
        <v>0</v>
      </c>
      <c r="AJ224" s="44" t="s">
        <v>517</v>
      </c>
      <c r="AK224" s="44" t="s">
        <v>47</v>
      </c>
      <c r="AL224" s="44" t="s">
        <v>517</v>
      </c>
      <c r="AM224" s="44" t="n">
        <v>0</v>
      </c>
      <c r="AN224" s="44"/>
      <c r="AO224" s="44"/>
      <c r="AP224" s="44"/>
      <c r="AQ224" s="45" t="s">
        <v>529</v>
      </c>
      <c r="AR224" s="44" t="s">
        <v>1282</v>
      </c>
      <c r="AS224" s="44"/>
      <c r="AT224" s="44"/>
      <c r="AU224" s="44"/>
      <c r="AV224" s="44"/>
      <c r="AW224" s="44"/>
      <c r="AX224" s="44"/>
      <c r="AY224" s="44"/>
      <c r="AZ224" s="46"/>
    </row>
    <row r="225" customFormat="false" ht="18" hidden="false" customHeight="true" outlineLevel="0" collapsed="false">
      <c r="A225" s="47" t="n">
        <v>106791</v>
      </c>
      <c r="B225" s="48" t="s">
        <v>167</v>
      </c>
      <c r="C225" s="47" t="n">
        <v>106791</v>
      </c>
      <c r="D225" s="48" t="s">
        <v>84</v>
      </c>
      <c r="E225" s="48" t="s">
        <v>69</v>
      </c>
      <c r="F225" s="48" t="s">
        <v>203</v>
      </c>
      <c r="G225" s="49" t="s">
        <v>1461</v>
      </c>
      <c r="H225" s="48" t="s">
        <v>1562</v>
      </c>
      <c r="I225" s="48" t="s">
        <v>1693</v>
      </c>
      <c r="J225" s="48" t="s">
        <v>1676</v>
      </c>
      <c r="K225" s="48" t="s">
        <v>1285</v>
      </c>
      <c r="L225" s="48" t="s">
        <v>1636</v>
      </c>
      <c r="M225" s="48"/>
      <c r="N225" s="50" t="s">
        <v>1443</v>
      </c>
      <c r="O225" s="51" t="s">
        <v>1649</v>
      </c>
      <c r="P225" s="52" t="n">
        <v>1</v>
      </c>
      <c r="Q225" s="51"/>
      <c r="R225" s="52" t="s">
        <v>1519</v>
      </c>
      <c r="S225" s="52"/>
      <c r="T225" s="52"/>
      <c r="U225" s="53" t="n">
        <v>185360</v>
      </c>
      <c r="V225" s="54" t="n">
        <v>185360</v>
      </c>
      <c r="W225" s="55" t="n">
        <v>0.12</v>
      </c>
      <c r="X225" s="52" t="n">
        <v>0.055</v>
      </c>
      <c r="Y225" s="55" t="n">
        <v>0.12</v>
      </c>
      <c r="Z225" s="56"/>
      <c r="AA225" s="55" t="n">
        <v>0.04</v>
      </c>
      <c r="AB225" s="57" t="n">
        <v>247455.6</v>
      </c>
      <c r="AC225" s="44"/>
      <c r="AD225" s="44"/>
      <c r="AE225" s="44" t="n">
        <v>247455.6</v>
      </c>
      <c r="AF225" s="44" t="s">
        <v>53</v>
      </c>
      <c r="AG225" s="44" t="n">
        <v>0</v>
      </c>
      <c r="AH225" s="58" t="s">
        <v>14</v>
      </c>
      <c r="AI225" s="44" t="n">
        <v>0</v>
      </c>
      <c r="AJ225" s="44" t="s">
        <v>160</v>
      </c>
      <c r="AK225" s="44" t="s">
        <v>47</v>
      </c>
      <c r="AL225" s="44" t="s">
        <v>160</v>
      </c>
      <c r="AM225" s="44" t="n">
        <v>0</v>
      </c>
      <c r="AN225" s="44"/>
      <c r="AO225" s="44"/>
      <c r="AP225" s="44"/>
      <c r="AQ225" s="45" t="s">
        <v>166</v>
      </c>
      <c r="AR225" s="44" t="s">
        <v>1282</v>
      </c>
      <c r="AS225" s="44"/>
      <c r="AT225" s="44"/>
      <c r="AU225" s="44"/>
      <c r="AV225" s="44"/>
      <c r="AW225" s="44"/>
      <c r="AX225" s="44"/>
      <c r="AY225" s="44"/>
      <c r="AZ225" s="46"/>
    </row>
    <row r="226" customFormat="false" ht="18" hidden="false" customHeight="true" outlineLevel="0" collapsed="false">
      <c r="A226" s="47" t="n">
        <v>113592</v>
      </c>
      <c r="B226" s="48" t="s">
        <v>779</v>
      </c>
      <c r="C226" s="47" t="n">
        <v>113592</v>
      </c>
      <c r="D226" s="48" t="s">
        <v>192</v>
      </c>
      <c r="E226" s="48" t="s">
        <v>69</v>
      </c>
      <c r="F226" s="48" t="s">
        <v>1695</v>
      </c>
      <c r="G226" s="49" t="s">
        <v>30</v>
      </c>
      <c r="H226" s="48" t="s">
        <v>1297</v>
      </c>
      <c r="I226" s="48" t="s">
        <v>1639</v>
      </c>
      <c r="J226" s="48" t="s">
        <v>26</v>
      </c>
      <c r="K226" s="48" t="s">
        <v>26</v>
      </c>
      <c r="L226" s="48" t="s">
        <v>26</v>
      </c>
      <c r="M226" s="48"/>
      <c r="N226" s="50" t="s">
        <v>1284</v>
      </c>
      <c r="O226" s="51" t="s">
        <v>1649</v>
      </c>
      <c r="P226" s="52" t="n">
        <v>1</v>
      </c>
      <c r="Q226" s="52"/>
      <c r="R226" s="52" t="s">
        <v>1519</v>
      </c>
      <c r="S226" s="52"/>
      <c r="T226" s="52"/>
      <c r="U226" s="53" t="n">
        <v>168300</v>
      </c>
      <c r="V226" s="54" t="n">
        <v>154836</v>
      </c>
      <c r="W226" s="55" t="n">
        <v>0.15</v>
      </c>
      <c r="X226" s="52"/>
      <c r="Y226" s="55" t="n">
        <v>0.05</v>
      </c>
      <c r="Z226" s="56" t="n">
        <v>2910</v>
      </c>
      <c r="AA226" s="55" t="n">
        <v>0.03</v>
      </c>
      <c r="AB226" s="57" t="n">
        <v>193358.28</v>
      </c>
      <c r="AC226" s="44"/>
      <c r="AD226" s="44"/>
      <c r="AE226" s="44" t="n">
        <v>193358.28</v>
      </c>
      <c r="AF226" s="44" t="s">
        <v>53</v>
      </c>
      <c r="AG226" s="44" t="n">
        <v>0</v>
      </c>
      <c r="AH226" s="58" t="s">
        <v>26</v>
      </c>
      <c r="AI226" s="44" t="n">
        <v>0</v>
      </c>
      <c r="AJ226" s="44" t="s">
        <v>26</v>
      </c>
      <c r="AK226" s="44" t="s">
        <v>47</v>
      </c>
      <c r="AL226" s="44" t="s">
        <v>26</v>
      </c>
      <c r="AM226" s="44" t="n">
        <v>0</v>
      </c>
      <c r="AN226" s="44"/>
      <c r="AO226" s="44"/>
      <c r="AP226" s="44"/>
      <c r="AQ226" s="45" t="s">
        <v>778</v>
      </c>
      <c r="AR226" s="44" t="s">
        <v>1284</v>
      </c>
      <c r="AS226" s="44"/>
      <c r="AT226" s="44"/>
      <c r="AU226" s="44"/>
      <c r="AV226" s="44"/>
      <c r="AW226" s="44"/>
      <c r="AX226" s="44"/>
      <c r="AY226" s="44"/>
      <c r="AZ226" s="46"/>
    </row>
    <row r="227" customFormat="false" ht="18" hidden="false" customHeight="true" outlineLevel="0" collapsed="false">
      <c r="A227" s="47" t="n">
        <v>99876</v>
      </c>
      <c r="B227" s="48" t="s">
        <v>781</v>
      </c>
      <c r="C227" s="47" t="n">
        <v>99876</v>
      </c>
      <c r="D227" s="48" t="s">
        <v>782</v>
      </c>
      <c r="E227" s="48" t="s">
        <v>69</v>
      </c>
      <c r="F227" s="48" t="s">
        <v>1695</v>
      </c>
      <c r="G227" s="49" t="s">
        <v>30</v>
      </c>
      <c r="H227" s="48" t="s">
        <v>1297</v>
      </c>
      <c r="I227" s="48" t="s">
        <v>1639</v>
      </c>
      <c r="J227" s="48" t="s">
        <v>26</v>
      </c>
      <c r="K227" s="48" t="s">
        <v>26</v>
      </c>
      <c r="L227" s="48" t="s">
        <v>26</v>
      </c>
      <c r="M227" s="48"/>
      <c r="N227" s="50" t="s">
        <v>1443</v>
      </c>
      <c r="O227" s="51" t="s">
        <v>1649</v>
      </c>
      <c r="P227" s="52" t="n">
        <v>1</v>
      </c>
      <c r="Q227" s="52"/>
      <c r="R227" s="52" t="s">
        <v>1519</v>
      </c>
      <c r="S227" s="52"/>
      <c r="T227" s="52"/>
      <c r="U227" s="53" t="n">
        <v>188380</v>
      </c>
      <c r="V227" s="54" t="n">
        <v>188380</v>
      </c>
      <c r="W227" s="55" t="n">
        <v>0.12</v>
      </c>
      <c r="X227" s="52" t="n">
        <v>0.055</v>
      </c>
      <c r="Y227" s="55" t="n">
        <v>0.12</v>
      </c>
      <c r="Z227" s="56"/>
      <c r="AA227" s="55" t="n">
        <v>0.04</v>
      </c>
      <c r="AB227" s="57" t="n">
        <v>251487.3</v>
      </c>
      <c r="AC227" s="44"/>
      <c r="AD227" s="44"/>
      <c r="AE227" s="44" t="n">
        <v>251487.3</v>
      </c>
      <c r="AF227" s="44" t="s">
        <v>53</v>
      </c>
      <c r="AG227" s="44" t="n">
        <v>0</v>
      </c>
      <c r="AH227" s="58" t="s">
        <v>26</v>
      </c>
      <c r="AI227" s="44" t="n">
        <v>0</v>
      </c>
      <c r="AJ227" s="44" t="s">
        <v>26</v>
      </c>
      <c r="AK227" s="44" t="s">
        <v>47</v>
      </c>
      <c r="AL227" s="44" t="s">
        <v>26</v>
      </c>
      <c r="AM227" s="44" t="n">
        <v>0</v>
      </c>
      <c r="AN227" s="44"/>
      <c r="AO227" s="44"/>
      <c r="AP227" s="44"/>
      <c r="AQ227" s="45" t="s">
        <v>780</v>
      </c>
      <c r="AR227" s="44" t="s">
        <v>1282</v>
      </c>
      <c r="AS227" s="44"/>
      <c r="AT227" s="44"/>
      <c r="AU227" s="44"/>
      <c r="AV227" s="44"/>
      <c r="AW227" s="44"/>
      <c r="AX227" s="44"/>
      <c r="AY227" s="44"/>
      <c r="AZ227" s="46"/>
    </row>
    <row r="228" customFormat="false" ht="18" hidden="false" customHeight="true" outlineLevel="0" collapsed="false">
      <c r="A228" s="47" t="s">
        <v>1507</v>
      </c>
      <c r="B228" s="48" t="s">
        <v>69</v>
      </c>
      <c r="C228" s="47" t="s">
        <v>1507</v>
      </c>
      <c r="D228" s="48" t="s">
        <v>817</v>
      </c>
      <c r="E228" s="48" t="s">
        <v>69</v>
      </c>
      <c r="F228" s="48" t="s">
        <v>1695</v>
      </c>
      <c r="G228" s="49" t="s">
        <v>30</v>
      </c>
      <c r="H228" s="48" t="s">
        <v>1297</v>
      </c>
      <c r="I228" s="48" t="s">
        <v>1639</v>
      </c>
      <c r="J228" s="48" t="s">
        <v>28</v>
      </c>
      <c r="K228" s="48" t="s">
        <v>806</v>
      </c>
      <c r="L228" s="48" t="s">
        <v>806</v>
      </c>
      <c r="M228" s="48"/>
      <c r="N228" s="50" t="s">
        <v>1443</v>
      </c>
      <c r="O228" s="51" t="s">
        <v>1649</v>
      </c>
      <c r="P228" s="52" t="n">
        <v>1</v>
      </c>
      <c r="Q228" s="51"/>
      <c r="R228" s="52" t="s">
        <v>1507</v>
      </c>
      <c r="S228" s="52"/>
      <c r="T228" s="52"/>
      <c r="U228" s="53" t="n">
        <v>173550</v>
      </c>
      <c r="V228" s="54" t="n">
        <v>173550</v>
      </c>
      <c r="W228" s="55" t="n">
        <v>0.12</v>
      </c>
      <c r="X228" s="52" t="n">
        <v>0.055</v>
      </c>
      <c r="Y228" s="55" t="n">
        <v>0.12</v>
      </c>
      <c r="Z228" s="56"/>
      <c r="AA228" s="55" t="n">
        <v>0.04</v>
      </c>
      <c r="AB228" s="57" t="n">
        <v>231689.25</v>
      </c>
      <c r="AC228" s="44"/>
      <c r="AD228" s="44"/>
      <c r="AE228" s="44" t="n">
        <v>231689.25</v>
      </c>
      <c r="AF228" s="44" t="s">
        <v>69</v>
      </c>
      <c r="AG228" s="44" t="n">
        <v>0</v>
      </c>
      <c r="AH228" s="58" t="s">
        <v>28</v>
      </c>
      <c r="AI228" s="44" t="n">
        <v>0</v>
      </c>
      <c r="AJ228" s="44" t="s">
        <v>806</v>
      </c>
      <c r="AK228" s="44" t="s">
        <v>47</v>
      </c>
      <c r="AL228" s="44" t="s">
        <v>806</v>
      </c>
      <c r="AM228" s="44" t="n">
        <v>0</v>
      </c>
      <c r="AN228" s="44"/>
      <c r="AO228" s="44"/>
      <c r="AP228" s="44"/>
      <c r="AQ228" s="45" t="s">
        <v>816</v>
      </c>
      <c r="AR228" s="44" t="s">
        <v>1282</v>
      </c>
      <c r="AS228" s="44"/>
      <c r="AT228" s="44"/>
      <c r="AU228" s="44"/>
      <c r="AV228" s="44"/>
      <c r="AW228" s="44"/>
      <c r="AX228" s="44"/>
      <c r="AY228" s="44"/>
      <c r="AZ228" s="46"/>
    </row>
    <row r="229" customFormat="false" ht="18" hidden="false" customHeight="true" outlineLevel="0" collapsed="false">
      <c r="A229" s="47" t="s">
        <v>1507</v>
      </c>
      <c r="B229" s="48" t="s">
        <v>69</v>
      </c>
      <c r="C229" s="47" t="s">
        <v>1507</v>
      </c>
      <c r="D229" s="48" t="s">
        <v>788</v>
      </c>
      <c r="E229" s="48" t="s">
        <v>69</v>
      </c>
      <c r="F229" s="48" t="s">
        <v>1695</v>
      </c>
      <c r="G229" s="49" t="s">
        <v>30</v>
      </c>
      <c r="H229" s="48" t="s">
        <v>1297</v>
      </c>
      <c r="I229" s="48" t="s">
        <v>1639</v>
      </c>
      <c r="J229" s="48" t="s">
        <v>26</v>
      </c>
      <c r="K229" s="48" t="s">
        <v>26</v>
      </c>
      <c r="L229" s="48" t="s">
        <v>769</v>
      </c>
      <c r="M229" s="48"/>
      <c r="N229" s="50" t="s">
        <v>1443</v>
      </c>
      <c r="O229" s="51" t="s">
        <v>1649</v>
      </c>
      <c r="P229" s="52" t="n">
        <v>1</v>
      </c>
      <c r="Q229" s="52"/>
      <c r="R229" s="52" t="s">
        <v>1507</v>
      </c>
      <c r="S229" s="52"/>
      <c r="T229" s="52"/>
      <c r="U229" s="53" t="n">
        <v>173550</v>
      </c>
      <c r="V229" s="54" t="n">
        <v>173550</v>
      </c>
      <c r="W229" s="55" t="n">
        <v>0.12</v>
      </c>
      <c r="X229" s="52" t="n">
        <v>0.055</v>
      </c>
      <c r="Y229" s="55" t="n">
        <v>0.12</v>
      </c>
      <c r="Z229" s="56"/>
      <c r="AA229" s="55" t="n">
        <v>0.04</v>
      </c>
      <c r="AB229" s="57" t="n">
        <v>231689.25</v>
      </c>
      <c r="AC229" s="44"/>
      <c r="AD229" s="44"/>
      <c r="AE229" s="44" t="n">
        <v>231689.25</v>
      </c>
      <c r="AF229" s="44" t="s">
        <v>69</v>
      </c>
      <c r="AG229" s="44" t="n">
        <v>0</v>
      </c>
      <c r="AH229" s="58" t="s">
        <v>26</v>
      </c>
      <c r="AI229" s="44" t="n">
        <v>0</v>
      </c>
      <c r="AJ229" s="44" t="s">
        <v>769</v>
      </c>
      <c r="AK229" s="44" t="s">
        <v>47</v>
      </c>
      <c r="AL229" s="44" t="s">
        <v>769</v>
      </c>
      <c r="AM229" s="44" t="n">
        <v>0</v>
      </c>
      <c r="AN229" s="44"/>
      <c r="AO229" s="44"/>
      <c r="AP229" s="44"/>
      <c r="AQ229" s="45" t="s">
        <v>787</v>
      </c>
      <c r="AR229" s="44" t="s">
        <v>1282</v>
      </c>
      <c r="AS229" s="44"/>
      <c r="AT229" s="44"/>
      <c r="AU229" s="44"/>
      <c r="AV229" s="44"/>
      <c r="AW229" s="44"/>
      <c r="AX229" s="44"/>
      <c r="AY229" s="44"/>
      <c r="AZ229" s="46"/>
    </row>
    <row r="230" customFormat="false" ht="18" hidden="false" customHeight="true" outlineLevel="0" collapsed="false">
      <c r="A230" s="47" t="s">
        <v>1507</v>
      </c>
      <c r="B230" s="48" t="s">
        <v>69</v>
      </c>
      <c r="C230" s="47" t="s">
        <v>1507</v>
      </c>
      <c r="D230" s="48" t="s">
        <v>837</v>
      </c>
      <c r="E230" s="48" t="s">
        <v>69</v>
      </c>
      <c r="F230" s="48" t="s">
        <v>1695</v>
      </c>
      <c r="G230" s="49" t="s">
        <v>30</v>
      </c>
      <c r="H230" s="48" t="s">
        <v>1297</v>
      </c>
      <c r="I230" s="48" t="s">
        <v>1639</v>
      </c>
      <c r="J230" s="48" t="s">
        <v>28</v>
      </c>
      <c r="K230" s="48" t="s">
        <v>1154</v>
      </c>
      <c r="L230" s="48" t="s">
        <v>810</v>
      </c>
      <c r="M230" s="48"/>
      <c r="N230" s="50" t="s">
        <v>1443</v>
      </c>
      <c r="O230" s="51" t="s">
        <v>1649</v>
      </c>
      <c r="P230" s="52" t="n">
        <v>1</v>
      </c>
      <c r="Q230" s="51"/>
      <c r="R230" s="52" t="s">
        <v>1507</v>
      </c>
      <c r="S230" s="52"/>
      <c r="T230" s="52"/>
      <c r="U230" s="53" t="n">
        <v>173550</v>
      </c>
      <c r="V230" s="54" t="n">
        <v>173550</v>
      </c>
      <c r="W230" s="55" t="n">
        <v>0.12</v>
      </c>
      <c r="X230" s="52" t="n">
        <v>0.055</v>
      </c>
      <c r="Y230" s="55" t="n">
        <v>0.12</v>
      </c>
      <c r="Z230" s="56"/>
      <c r="AA230" s="55" t="n">
        <v>0.04</v>
      </c>
      <c r="AB230" s="57" t="n">
        <v>231689.25</v>
      </c>
      <c r="AC230" s="44"/>
      <c r="AD230" s="44"/>
      <c r="AE230" s="44" t="n">
        <v>231689.25</v>
      </c>
      <c r="AF230" s="44" t="s">
        <v>69</v>
      </c>
      <c r="AG230" s="44" t="n">
        <v>0</v>
      </c>
      <c r="AH230" s="58" t="s">
        <v>28</v>
      </c>
      <c r="AI230" s="44" t="n">
        <v>0</v>
      </c>
      <c r="AJ230" s="44" t="s">
        <v>810</v>
      </c>
      <c r="AK230" s="44" t="s">
        <v>47</v>
      </c>
      <c r="AL230" s="44" t="s">
        <v>810</v>
      </c>
      <c r="AM230" s="44" t="n">
        <v>0</v>
      </c>
      <c r="AN230" s="44"/>
      <c r="AO230" s="44"/>
      <c r="AP230" s="44"/>
      <c r="AQ230" s="45" t="s">
        <v>836</v>
      </c>
      <c r="AR230" s="44" t="s">
        <v>1282</v>
      </c>
      <c r="AS230" s="44"/>
      <c r="AT230" s="44"/>
      <c r="AU230" s="44"/>
      <c r="AV230" s="44"/>
      <c r="AW230" s="44"/>
      <c r="AX230" s="44"/>
      <c r="AY230" s="44"/>
      <c r="AZ230" s="46"/>
    </row>
    <row r="231" customFormat="false" ht="18" hidden="false" customHeight="true" outlineLevel="0" collapsed="false">
      <c r="A231" s="47" t="n">
        <v>113067</v>
      </c>
      <c r="B231" s="48" t="s">
        <v>797</v>
      </c>
      <c r="C231" s="47" t="n">
        <v>113067</v>
      </c>
      <c r="D231" s="48" t="s">
        <v>798</v>
      </c>
      <c r="E231" s="48" t="s">
        <v>69</v>
      </c>
      <c r="F231" s="48" t="s">
        <v>1695</v>
      </c>
      <c r="G231" s="49" t="s">
        <v>30</v>
      </c>
      <c r="H231" s="48" t="s">
        <v>36</v>
      </c>
      <c r="I231" s="48"/>
      <c r="J231" s="48" t="s">
        <v>36</v>
      </c>
      <c r="K231" s="48" t="s">
        <v>36</v>
      </c>
      <c r="L231" s="48" t="s">
        <v>795</v>
      </c>
      <c r="M231" s="48"/>
      <c r="N231" s="50" t="s">
        <v>1443</v>
      </c>
      <c r="O231" s="51" t="s">
        <v>1649</v>
      </c>
      <c r="P231" s="52" t="n">
        <v>1</v>
      </c>
      <c r="Q231" s="51"/>
      <c r="R231" s="52" t="s">
        <v>1519</v>
      </c>
      <c r="S231" s="52"/>
      <c r="T231" s="52"/>
      <c r="U231" s="53" t="n">
        <v>179000</v>
      </c>
      <c r="V231" s="54" t="n">
        <v>179000</v>
      </c>
      <c r="W231" s="55" t="n">
        <v>0.12</v>
      </c>
      <c r="X231" s="52" t="n">
        <v>0.055</v>
      </c>
      <c r="Y231" s="55" t="n">
        <v>0.12</v>
      </c>
      <c r="Z231" s="56"/>
      <c r="AA231" s="55" t="n">
        <v>0.04</v>
      </c>
      <c r="AB231" s="57" t="n">
        <v>238965</v>
      </c>
      <c r="AC231" s="44"/>
      <c r="AD231" s="44"/>
      <c r="AE231" s="44" t="n">
        <v>238965</v>
      </c>
      <c r="AF231" s="44" t="s">
        <v>53</v>
      </c>
      <c r="AG231" s="44" t="n">
        <v>0</v>
      </c>
      <c r="AH231" s="58" t="s">
        <v>26</v>
      </c>
      <c r="AI231" s="44" t="n">
        <v>0</v>
      </c>
      <c r="AJ231" s="44" t="s">
        <v>795</v>
      </c>
      <c r="AK231" s="44" t="s">
        <v>47</v>
      </c>
      <c r="AL231" s="44" t="s">
        <v>795</v>
      </c>
      <c r="AM231" s="44" t="n">
        <v>1</v>
      </c>
      <c r="AN231" s="44"/>
      <c r="AO231" s="44"/>
      <c r="AP231" s="44"/>
      <c r="AQ231" s="45" t="s">
        <v>796</v>
      </c>
      <c r="AR231" s="44" t="s">
        <v>1282</v>
      </c>
      <c r="AS231" s="44"/>
      <c r="AT231" s="44"/>
      <c r="AU231" s="44"/>
      <c r="AV231" s="44"/>
      <c r="AW231" s="44"/>
      <c r="AX231" s="44"/>
      <c r="AY231" s="44"/>
      <c r="AZ231" s="46"/>
    </row>
    <row r="232" customFormat="false" ht="18" hidden="false" customHeight="true" outlineLevel="0" collapsed="false">
      <c r="A232" s="47" t="n">
        <v>113513</v>
      </c>
      <c r="B232" s="48" t="s">
        <v>191</v>
      </c>
      <c r="C232" s="47" t="n">
        <v>113513</v>
      </c>
      <c r="D232" s="48" t="s">
        <v>192</v>
      </c>
      <c r="E232" s="48" t="s">
        <v>69</v>
      </c>
      <c r="F232" s="48" t="s">
        <v>1696</v>
      </c>
      <c r="G232" s="49" t="s">
        <v>1471</v>
      </c>
      <c r="H232" s="48" t="s">
        <v>1472</v>
      </c>
      <c r="I232" s="48" t="s">
        <v>1629</v>
      </c>
      <c r="J232" s="48" t="s">
        <v>1442</v>
      </c>
      <c r="K232" s="48" t="s">
        <v>36</v>
      </c>
      <c r="L232" s="48" t="s">
        <v>184</v>
      </c>
      <c r="M232" s="48"/>
      <c r="N232" s="50" t="s">
        <v>1284</v>
      </c>
      <c r="O232" s="51" t="s">
        <v>1649</v>
      </c>
      <c r="P232" s="52" t="n">
        <v>0.8</v>
      </c>
      <c r="Q232" s="51"/>
      <c r="R232" s="52" t="s">
        <v>1489</v>
      </c>
      <c r="S232" s="52"/>
      <c r="T232" s="52"/>
      <c r="U232" s="53" t="n">
        <v>170290</v>
      </c>
      <c r="V232" s="54" t="n">
        <v>156666.8</v>
      </c>
      <c r="W232" s="55" t="n">
        <v>0.15</v>
      </c>
      <c r="X232" s="52"/>
      <c r="Y232" s="55" t="n">
        <v>0.05</v>
      </c>
      <c r="Z232" s="56" t="n">
        <v>2910</v>
      </c>
      <c r="AA232" s="55" t="n">
        <v>0.03</v>
      </c>
      <c r="AB232" s="57" t="n">
        <v>195610.164</v>
      </c>
      <c r="AC232" s="44"/>
      <c r="AD232" s="44"/>
      <c r="AE232" s="44" t="n">
        <v>156488.1312</v>
      </c>
      <c r="AF232" s="44" t="s">
        <v>53</v>
      </c>
      <c r="AG232" s="44" t="n">
        <v>0</v>
      </c>
      <c r="AH232" s="58" t="s">
        <v>14</v>
      </c>
      <c r="AI232" s="44" t="n">
        <v>0</v>
      </c>
      <c r="AJ232" s="44" t="s">
        <v>184</v>
      </c>
      <c r="AK232" s="44" t="s">
        <v>47</v>
      </c>
      <c r="AL232" s="44" t="s">
        <v>184</v>
      </c>
      <c r="AM232" s="44" t="n">
        <v>1</v>
      </c>
      <c r="AN232" s="44"/>
      <c r="AO232" s="44"/>
      <c r="AP232" s="44"/>
      <c r="AQ232" s="45" t="s">
        <v>190</v>
      </c>
      <c r="AR232" s="44" t="s">
        <v>1284</v>
      </c>
      <c r="AS232" s="44"/>
      <c r="AT232" s="44"/>
      <c r="AU232" s="44"/>
      <c r="AV232" s="44"/>
      <c r="AW232" s="44"/>
      <c r="AX232" s="44"/>
      <c r="AY232" s="44"/>
      <c r="AZ232" s="46"/>
    </row>
    <row r="233" customFormat="false" ht="18" hidden="false" customHeight="true" outlineLevel="0" collapsed="false">
      <c r="A233" s="47" t="n">
        <v>113545</v>
      </c>
      <c r="B233" s="48" t="s">
        <v>279</v>
      </c>
      <c r="C233" s="47" t="n">
        <v>113545</v>
      </c>
      <c r="D233" s="48" t="s">
        <v>84</v>
      </c>
      <c r="E233" s="48" t="s">
        <v>69</v>
      </c>
      <c r="F233" s="48" t="s">
        <v>1696</v>
      </c>
      <c r="G233" s="49" t="s">
        <v>1471</v>
      </c>
      <c r="H233" s="48" t="s">
        <v>1472</v>
      </c>
      <c r="I233" s="48" t="s">
        <v>1629</v>
      </c>
      <c r="J233" s="48" t="s">
        <v>1568</v>
      </c>
      <c r="K233" s="48" t="s">
        <v>220</v>
      </c>
      <c r="L233" s="48" t="s">
        <v>220</v>
      </c>
      <c r="M233" s="48"/>
      <c r="N233" s="50" t="s">
        <v>1284</v>
      </c>
      <c r="O233" s="51" t="s">
        <v>1649</v>
      </c>
      <c r="P233" s="52" t="n">
        <v>1</v>
      </c>
      <c r="Q233" s="51"/>
      <c r="R233" s="52" t="s">
        <v>1519</v>
      </c>
      <c r="S233" s="52"/>
      <c r="T233" s="52"/>
      <c r="U233" s="53" t="n">
        <v>179340</v>
      </c>
      <c r="V233" s="54" t="n">
        <v>179340</v>
      </c>
      <c r="W233" s="55" t="n">
        <v>0.12</v>
      </c>
      <c r="X233" s="52" t="n">
        <v>0.055</v>
      </c>
      <c r="Y233" s="55" t="n">
        <v>0.12</v>
      </c>
      <c r="Z233" s="56"/>
      <c r="AA233" s="55" t="n">
        <v>0.04</v>
      </c>
      <c r="AB233" s="57" t="n">
        <v>239418.9</v>
      </c>
      <c r="AC233" s="44"/>
      <c r="AD233" s="44"/>
      <c r="AE233" s="44" t="n">
        <v>239418.9</v>
      </c>
      <c r="AF233" s="44" t="s">
        <v>53</v>
      </c>
      <c r="AG233" s="44" t="n">
        <v>0</v>
      </c>
      <c r="AH233" s="58" t="s">
        <v>16</v>
      </c>
      <c r="AI233" s="44" t="n">
        <v>0</v>
      </c>
      <c r="AJ233" s="44" t="s">
        <v>220</v>
      </c>
      <c r="AK233" s="44" t="s">
        <v>47</v>
      </c>
      <c r="AL233" s="44" t="s">
        <v>220</v>
      </c>
      <c r="AM233" s="44" t="n">
        <v>0</v>
      </c>
      <c r="AN233" s="44"/>
      <c r="AO233" s="44"/>
      <c r="AP233" s="44"/>
      <c r="AQ233" s="45" t="s">
        <v>278</v>
      </c>
      <c r="AR233" s="44" t="s">
        <v>1284</v>
      </c>
      <c r="AS233" s="44"/>
      <c r="AT233" s="44"/>
      <c r="AU233" s="44"/>
      <c r="AV233" s="44"/>
      <c r="AW233" s="44"/>
      <c r="AX233" s="44"/>
      <c r="AY233" s="44"/>
      <c r="AZ233" s="46"/>
    </row>
    <row r="234" customFormat="false" ht="18" hidden="false" customHeight="true" outlineLevel="0" collapsed="false">
      <c r="A234" s="47" t="n">
        <v>115493</v>
      </c>
      <c r="B234" s="48" t="s">
        <v>261</v>
      </c>
      <c r="C234" s="47" t="n">
        <v>115493</v>
      </c>
      <c r="D234" s="48" t="s">
        <v>84</v>
      </c>
      <c r="E234" s="48" t="s">
        <v>69</v>
      </c>
      <c r="F234" s="48" t="s">
        <v>1696</v>
      </c>
      <c r="G234" s="49" t="s">
        <v>1471</v>
      </c>
      <c r="H234" s="48" t="s">
        <v>1472</v>
      </c>
      <c r="I234" s="48" t="s">
        <v>1629</v>
      </c>
      <c r="J234" s="48" t="s">
        <v>1568</v>
      </c>
      <c r="K234" s="48" t="s">
        <v>19</v>
      </c>
      <c r="L234" s="48" t="s">
        <v>1655</v>
      </c>
      <c r="M234" s="48"/>
      <c r="N234" s="50" t="s">
        <v>1284</v>
      </c>
      <c r="O234" s="51" t="s">
        <v>1649</v>
      </c>
      <c r="P234" s="52" t="n">
        <v>1</v>
      </c>
      <c r="Q234" s="51"/>
      <c r="R234" s="52" t="s">
        <v>1519</v>
      </c>
      <c r="S234" s="52"/>
      <c r="T234" s="52"/>
      <c r="U234" s="53" t="n">
        <v>135000</v>
      </c>
      <c r="V234" s="54" t="n">
        <v>135000</v>
      </c>
      <c r="W234" s="55" t="n">
        <v>0.12</v>
      </c>
      <c r="X234" s="52" t="n">
        <v>0.055</v>
      </c>
      <c r="Y234" s="55" t="n">
        <v>0.12</v>
      </c>
      <c r="Z234" s="56"/>
      <c r="AA234" s="55" t="n">
        <v>0.04</v>
      </c>
      <c r="AB234" s="57" t="n">
        <v>180225</v>
      </c>
      <c r="AC234" s="44"/>
      <c r="AD234" s="44"/>
      <c r="AE234" s="44" t="n">
        <v>180225</v>
      </c>
      <c r="AF234" s="44" t="s">
        <v>53</v>
      </c>
      <c r="AG234" s="44" t="n">
        <v>0</v>
      </c>
      <c r="AH234" s="58" t="s">
        <v>16</v>
      </c>
      <c r="AI234" s="44" t="n">
        <v>0</v>
      </c>
      <c r="AJ234" s="44" t="s">
        <v>224</v>
      </c>
      <c r="AK234" s="44" t="s">
        <v>47</v>
      </c>
      <c r="AL234" s="44" t="s">
        <v>224</v>
      </c>
      <c r="AM234" s="44" t="n">
        <v>0</v>
      </c>
      <c r="AN234" s="44"/>
      <c r="AO234" s="44"/>
      <c r="AP234" s="44"/>
      <c r="AQ234" s="45" t="s">
        <v>260</v>
      </c>
      <c r="AR234" s="44" t="s">
        <v>1284</v>
      </c>
      <c r="AS234" s="44"/>
      <c r="AT234" s="44"/>
      <c r="AU234" s="44"/>
      <c r="AV234" s="44"/>
      <c r="AW234" s="44"/>
      <c r="AX234" s="44"/>
      <c r="AY234" s="44"/>
      <c r="AZ234" s="46"/>
    </row>
    <row r="235" customFormat="false" ht="18" hidden="false" customHeight="true" outlineLevel="0" collapsed="false">
      <c r="A235" s="47" t="n">
        <v>113619</v>
      </c>
      <c r="B235" s="48" t="s">
        <v>240</v>
      </c>
      <c r="C235" s="47" t="n">
        <v>113619</v>
      </c>
      <c r="D235" s="48" t="s">
        <v>84</v>
      </c>
      <c r="E235" s="48" t="s">
        <v>69</v>
      </c>
      <c r="F235" s="48" t="s">
        <v>1696</v>
      </c>
      <c r="G235" s="49" t="s">
        <v>1471</v>
      </c>
      <c r="H235" s="48" t="s">
        <v>1472</v>
      </c>
      <c r="I235" s="48" t="s">
        <v>1629</v>
      </c>
      <c r="J235" s="48" t="s">
        <v>1568</v>
      </c>
      <c r="K235" s="48" t="s">
        <v>19</v>
      </c>
      <c r="L235" s="48" t="s">
        <v>218</v>
      </c>
      <c r="M235" s="48"/>
      <c r="N235" s="50" t="s">
        <v>1284</v>
      </c>
      <c r="O235" s="51" t="s">
        <v>1649</v>
      </c>
      <c r="P235" s="52" t="n">
        <v>1</v>
      </c>
      <c r="Q235" s="51"/>
      <c r="R235" s="52" t="s">
        <v>1519</v>
      </c>
      <c r="S235" s="52"/>
      <c r="T235" s="52"/>
      <c r="U235" s="53" t="n">
        <v>189604</v>
      </c>
      <c r="V235" s="54" t="n">
        <v>189604</v>
      </c>
      <c r="W235" s="55" t="n">
        <v>0.14</v>
      </c>
      <c r="X235" s="52" t="n">
        <v>0.055</v>
      </c>
      <c r="Y235" s="55" t="n">
        <v>0.12</v>
      </c>
      <c r="Z235" s="56"/>
      <c r="AA235" s="55" t="n">
        <v>0.04</v>
      </c>
      <c r="AB235" s="57" t="n">
        <v>256913.42</v>
      </c>
      <c r="AC235" s="44"/>
      <c r="AD235" s="44"/>
      <c r="AE235" s="44" t="n">
        <v>256913.42</v>
      </c>
      <c r="AF235" s="44" t="s">
        <v>53</v>
      </c>
      <c r="AG235" s="44" t="n">
        <v>0</v>
      </c>
      <c r="AH235" s="58" t="s">
        <v>16</v>
      </c>
      <c r="AI235" s="44" t="n">
        <v>0</v>
      </c>
      <c r="AJ235" s="44" t="s">
        <v>218</v>
      </c>
      <c r="AK235" s="44" t="s">
        <v>47</v>
      </c>
      <c r="AL235" s="44" t="s">
        <v>218</v>
      </c>
      <c r="AM235" s="44" t="n">
        <v>0</v>
      </c>
      <c r="AN235" s="44"/>
      <c r="AO235" s="44"/>
      <c r="AP235" s="44"/>
      <c r="AQ235" s="45" t="s">
        <v>239</v>
      </c>
      <c r="AR235" s="44" t="s">
        <v>1284</v>
      </c>
      <c r="AS235" s="44"/>
      <c r="AT235" s="44"/>
      <c r="AU235" s="44"/>
      <c r="AV235" s="44"/>
      <c r="AW235" s="44"/>
      <c r="AX235" s="44"/>
      <c r="AY235" s="44"/>
      <c r="AZ235" s="46"/>
    </row>
    <row r="236" customFormat="false" ht="18" hidden="false" customHeight="true" outlineLevel="0" collapsed="false">
      <c r="A236" s="47" t="s">
        <v>1507</v>
      </c>
      <c r="B236" s="48" t="s">
        <v>69</v>
      </c>
      <c r="C236" s="47" t="s">
        <v>1507</v>
      </c>
      <c r="D236" s="48" t="s">
        <v>84</v>
      </c>
      <c r="E236" s="48" t="s">
        <v>69</v>
      </c>
      <c r="F236" s="48" t="s">
        <v>1696</v>
      </c>
      <c r="G236" s="49" t="s">
        <v>1471</v>
      </c>
      <c r="H236" s="48" t="s">
        <v>1472</v>
      </c>
      <c r="I236" s="48" t="s">
        <v>1629</v>
      </c>
      <c r="J236" s="48" t="s">
        <v>1567</v>
      </c>
      <c r="K236" s="48" t="s">
        <v>1163</v>
      </c>
      <c r="L236" s="48" t="s">
        <v>1697</v>
      </c>
      <c r="M236" s="48"/>
      <c r="N236" s="50" t="s">
        <v>1443</v>
      </c>
      <c r="O236" s="51" t="s">
        <v>1649</v>
      </c>
      <c r="P236" s="52" t="n">
        <v>1</v>
      </c>
      <c r="Q236" s="51"/>
      <c r="R236" s="52" t="s">
        <v>1507</v>
      </c>
      <c r="S236" s="52"/>
      <c r="T236" s="52"/>
      <c r="U236" s="53" t="n">
        <v>151950</v>
      </c>
      <c r="V236" s="54" t="n">
        <v>151950</v>
      </c>
      <c r="W236" s="55" t="n">
        <v>0.12</v>
      </c>
      <c r="X236" s="52" t="n">
        <v>0.055</v>
      </c>
      <c r="Y236" s="55" t="n">
        <v>0.12</v>
      </c>
      <c r="Z236" s="56"/>
      <c r="AA236" s="55" t="n">
        <v>0.04</v>
      </c>
      <c r="AB236" s="57" t="n">
        <v>202853.25</v>
      </c>
      <c r="AC236" s="44"/>
      <c r="AD236" s="44"/>
      <c r="AE236" s="44" t="n">
        <v>202853.25</v>
      </c>
      <c r="AF236" s="44" t="s">
        <v>69</v>
      </c>
      <c r="AG236" s="44" t="n">
        <v>0</v>
      </c>
      <c r="AH236" s="58" t="s">
        <v>14</v>
      </c>
      <c r="AI236" s="44" t="n">
        <v>0</v>
      </c>
      <c r="AJ236" s="44" t="s">
        <v>49</v>
      </c>
      <c r="AK236" s="44" t="s">
        <v>47</v>
      </c>
      <c r="AL236" s="44" t="s">
        <v>49</v>
      </c>
      <c r="AM236" s="44" t="n">
        <v>0</v>
      </c>
      <c r="AN236" s="44"/>
      <c r="AO236" s="44"/>
      <c r="AP236" s="44"/>
      <c r="AQ236" s="45" t="s">
        <v>83</v>
      </c>
      <c r="AR236" s="44" t="s">
        <v>1282</v>
      </c>
      <c r="AS236" s="44"/>
      <c r="AT236" s="44"/>
      <c r="AU236" s="44"/>
      <c r="AV236" s="44"/>
      <c r="AW236" s="44"/>
      <c r="AX236" s="44"/>
      <c r="AY236" s="44"/>
      <c r="AZ236" s="46"/>
    </row>
    <row r="237" customFormat="false" ht="18" hidden="false" customHeight="true" outlineLevel="0" collapsed="false">
      <c r="A237" s="47" t="s">
        <v>1507</v>
      </c>
      <c r="B237" s="48" t="s">
        <v>69</v>
      </c>
      <c r="C237" s="47" t="s">
        <v>1507</v>
      </c>
      <c r="D237" s="48" t="s">
        <v>84</v>
      </c>
      <c r="E237" s="48" t="s">
        <v>69</v>
      </c>
      <c r="F237" s="48" t="s">
        <v>1696</v>
      </c>
      <c r="G237" s="49" t="s">
        <v>1471</v>
      </c>
      <c r="H237" s="48" t="s">
        <v>1472</v>
      </c>
      <c r="I237" s="48" t="s">
        <v>1629</v>
      </c>
      <c r="J237" s="48" t="s">
        <v>1568</v>
      </c>
      <c r="K237" s="48" t="s">
        <v>1160</v>
      </c>
      <c r="L237" s="48" t="s">
        <v>1698</v>
      </c>
      <c r="M237" s="48"/>
      <c r="N237" s="50" t="s">
        <v>1443</v>
      </c>
      <c r="O237" s="51" t="s">
        <v>1649</v>
      </c>
      <c r="P237" s="52" t="n">
        <v>1</v>
      </c>
      <c r="Q237" s="52"/>
      <c r="R237" s="52" t="s">
        <v>1507</v>
      </c>
      <c r="S237" s="52"/>
      <c r="T237" s="52"/>
      <c r="U237" s="53" t="n">
        <v>203550</v>
      </c>
      <c r="V237" s="54" t="n">
        <v>203550</v>
      </c>
      <c r="W237" s="55" t="n">
        <v>0.14</v>
      </c>
      <c r="X237" s="52" t="n">
        <v>0.055</v>
      </c>
      <c r="Y237" s="55" t="n">
        <v>0.12</v>
      </c>
      <c r="Z237" s="56"/>
      <c r="AA237" s="55" t="n">
        <v>0.04</v>
      </c>
      <c r="AB237" s="57" t="n">
        <v>275810.25</v>
      </c>
      <c r="AC237" s="44"/>
      <c r="AD237" s="44"/>
      <c r="AE237" s="44" t="n">
        <v>275810.25</v>
      </c>
      <c r="AF237" s="44" t="s">
        <v>69</v>
      </c>
      <c r="AG237" s="44" t="n">
        <v>0</v>
      </c>
      <c r="AH237" s="58" t="s">
        <v>16</v>
      </c>
      <c r="AI237" s="44" t="n">
        <v>0</v>
      </c>
      <c r="AJ237" s="44" t="s">
        <v>216</v>
      </c>
      <c r="AK237" s="44" t="s">
        <v>47</v>
      </c>
      <c r="AL237" s="44" t="s">
        <v>216</v>
      </c>
      <c r="AM237" s="44" t="n">
        <v>0</v>
      </c>
      <c r="AN237" s="44"/>
      <c r="AO237" s="44"/>
      <c r="AP237" s="44"/>
      <c r="AQ237" s="45" t="s">
        <v>217</v>
      </c>
      <c r="AR237" s="44" t="s">
        <v>1282</v>
      </c>
      <c r="AS237" s="44"/>
      <c r="AT237" s="44"/>
      <c r="AU237" s="44"/>
      <c r="AV237" s="44"/>
      <c r="AW237" s="44"/>
      <c r="AX237" s="44"/>
      <c r="AY237" s="44"/>
      <c r="AZ237" s="46"/>
    </row>
    <row r="238" customFormat="false" ht="18" hidden="false" customHeight="true" outlineLevel="0" collapsed="false">
      <c r="A238" s="47"/>
      <c r="B238" s="48" t="s">
        <v>1622</v>
      </c>
      <c r="C238" s="47"/>
      <c r="D238" s="48" t="s">
        <v>1699</v>
      </c>
      <c r="E238" s="48" t="s">
        <v>69</v>
      </c>
      <c r="F238" s="48" t="s">
        <v>1542</v>
      </c>
      <c r="G238" s="49" t="s">
        <v>1531</v>
      </c>
      <c r="H238" s="48" t="s">
        <v>1246</v>
      </c>
      <c r="I238" s="48" t="s">
        <v>1246</v>
      </c>
      <c r="J238" s="48"/>
      <c r="K238" s="48"/>
      <c r="L238" s="48"/>
      <c r="M238" s="48"/>
      <c r="N238" s="50" t="s">
        <v>1443</v>
      </c>
      <c r="O238" s="51" t="s">
        <v>1649</v>
      </c>
      <c r="P238" s="52" t="n">
        <v>1</v>
      </c>
      <c r="Q238" s="51"/>
      <c r="R238" s="52" t="s">
        <v>1513</v>
      </c>
      <c r="S238" s="52"/>
      <c r="T238" s="52"/>
      <c r="U238" s="53" t="n">
        <v>173550</v>
      </c>
      <c r="V238" s="54" t="n">
        <v>173550</v>
      </c>
      <c r="W238" s="55" t="n">
        <v>0.12</v>
      </c>
      <c r="X238" s="52" t="n">
        <v>0.055</v>
      </c>
      <c r="Y238" s="55" t="n">
        <v>0.12</v>
      </c>
      <c r="Z238" s="56"/>
      <c r="AA238" s="55" t="n">
        <v>0.04</v>
      </c>
      <c r="AB238" s="57" t="n">
        <v>231689.25</v>
      </c>
      <c r="AC238" s="44"/>
      <c r="AD238" s="44"/>
      <c r="AE238" s="44" t="n">
        <v>231689.25</v>
      </c>
      <c r="AF238" s="44" t="s">
        <v>69</v>
      </c>
      <c r="AG238" s="44" t="n">
        <v>1</v>
      </c>
      <c r="AH238" s="58" t="s">
        <v>1536</v>
      </c>
      <c r="AI238" s="44" t="n">
        <v>0</v>
      </c>
      <c r="AJ238" s="44" t="s">
        <v>1246</v>
      </c>
      <c r="AK238" s="44" t="s">
        <v>1612</v>
      </c>
      <c r="AL238" s="44" t="s">
        <v>1246</v>
      </c>
      <c r="AM238" s="44" t="n">
        <v>0</v>
      </c>
      <c r="AN238" s="44"/>
      <c r="AO238" s="44"/>
      <c r="AP238" s="44"/>
      <c r="AQ238" s="45" t="s">
        <v>1308</v>
      </c>
      <c r="AR238" s="44" t="s">
        <v>1282</v>
      </c>
      <c r="AS238" s="44"/>
      <c r="AT238" s="44"/>
      <c r="AU238" s="44"/>
      <c r="AV238" s="44"/>
      <c r="AW238" s="44"/>
      <c r="AX238" s="44"/>
      <c r="AY238" s="44"/>
      <c r="AZ238" s="46"/>
    </row>
    <row r="239" customFormat="false" ht="18" hidden="false" customHeight="true" outlineLevel="0" collapsed="false">
      <c r="A239" s="47"/>
      <c r="B239" s="48" t="s">
        <v>1622</v>
      </c>
      <c r="C239" s="47"/>
      <c r="D239" s="48" t="s">
        <v>1700</v>
      </c>
      <c r="E239" s="48" t="s">
        <v>69</v>
      </c>
      <c r="F239" s="48" t="s">
        <v>1542</v>
      </c>
      <c r="G239" s="49" t="s">
        <v>1531</v>
      </c>
      <c r="H239" s="48" t="s">
        <v>1246</v>
      </c>
      <c r="I239" s="48" t="s">
        <v>1246</v>
      </c>
      <c r="J239" s="48"/>
      <c r="K239" s="48"/>
      <c r="L239" s="48"/>
      <c r="M239" s="48"/>
      <c r="N239" s="50" t="s">
        <v>1443</v>
      </c>
      <c r="O239" s="51" t="s">
        <v>1649</v>
      </c>
      <c r="P239" s="52" t="n">
        <v>1</v>
      </c>
      <c r="Q239" s="65"/>
      <c r="R239" s="52" t="s">
        <v>1513</v>
      </c>
      <c r="S239" s="52"/>
      <c r="T239" s="52"/>
      <c r="U239" s="53" t="n">
        <v>173550</v>
      </c>
      <c r="V239" s="54" t="n">
        <v>173550</v>
      </c>
      <c r="W239" s="55" t="n">
        <v>0.12</v>
      </c>
      <c r="X239" s="52" t="n">
        <v>0.055</v>
      </c>
      <c r="Y239" s="55" t="n">
        <v>0.12</v>
      </c>
      <c r="Z239" s="56"/>
      <c r="AA239" s="55" t="n">
        <v>0.04</v>
      </c>
      <c r="AB239" s="57" t="n">
        <v>231689.25</v>
      </c>
      <c r="AC239" s="44"/>
      <c r="AD239" s="44"/>
      <c r="AE239" s="44" t="n">
        <v>231689.25</v>
      </c>
      <c r="AF239" s="44" t="s">
        <v>69</v>
      </c>
      <c r="AG239" s="44" t="n">
        <v>1</v>
      </c>
      <c r="AH239" s="58" t="s">
        <v>1536</v>
      </c>
      <c r="AI239" s="44" t="n">
        <v>0</v>
      </c>
      <c r="AJ239" s="44" t="s">
        <v>1246</v>
      </c>
      <c r="AK239" s="44" t="s">
        <v>1612</v>
      </c>
      <c r="AL239" s="44" t="s">
        <v>1246</v>
      </c>
      <c r="AM239" s="44" t="n">
        <v>0</v>
      </c>
      <c r="AN239" s="44"/>
      <c r="AO239" s="44"/>
      <c r="AP239" s="44"/>
      <c r="AQ239" s="45" t="s">
        <v>1309</v>
      </c>
      <c r="AR239" s="44" t="s">
        <v>1282</v>
      </c>
      <c r="AS239" s="44"/>
      <c r="AT239" s="44"/>
      <c r="AU239" s="44"/>
      <c r="AV239" s="44"/>
      <c r="AW239" s="44"/>
      <c r="AX239" s="44"/>
      <c r="AY239" s="44"/>
      <c r="AZ239" s="46"/>
    </row>
    <row r="240" customFormat="false" ht="18" hidden="false" customHeight="true" outlineLevel="0" collapsed="false">
      <c r="A240" s="47"/>
      <c r="B240" s="48" t="s">
        <v>1622</v>
      </c>
      <c r="C240" s="47"/>
      <c r="D240" s="48" t="s">
        <v>1701</v>
      </c>
      <c r="E240" s="48" t="s">
        <v>69</v>
      </c>
      <c r="F240" s="48" t="s">
        <v>1542</v>
      </c>
      <c r="G240" s="49" t="s">
        <v>1531</v>
      </c>
      <c r="H240" s="48" t="s">
        <v>1246</v>
      </c>
      <c r="I240" s="48" t="s">
        <v>1246</v>
      </c>
      <c r="J240" s="48"/>
      <c r="K240" s="48"/>
      <c r="L240" s="48"/>
      <c r="M240" s="48"/>
      <c r="N240" s="50" t="s">
        <v>1443</v>
      </c>
      <c r="O240" s="51" t="s">
        <v>1649</v>
      </c>
      <c r="P240" s="52" t="n">
        <v>1</v>
      </c>
      <c r="Q240" s="65"/>
      <c r="R240" s="52" t="s">
        <v>1513</v>
      </c>
      <c r="S240" s="52"/>
      <c r="T240" s="52"/>
      <c r="U240" s="53" t="n">
        <v>173550</v>
      </c>
      <c r="V240" s="54" t="n">
        <v>173550</v>
      </c>
      <c r="W240" s="55" t="n">
        <v>0.12</v>
      </c>
      <c r="X240" s="52" t="n">
        <v>0.055</v>
      </c>
      <c r="Y240" s="55" t="n">
        <v>0.12</v>
      </c>
      <c r="Z240" s="56"/>
      <c r="AA240" s="55" t="n">
        <v>0.04</v>
      </c>
      <c r="AB240" s="57" t="n">
        <v>231689.25</v>
      </c>
      <c r="AC240" s="44"/>
      <c r="AD240" s="44"/>
      <c r="AE240" s="44" t="n">
        <v>231689.25</v>
      </c>
      <c r="AF240" s="44" t="s">
        <v>69</v>
      </c>
      <c r="AG240" s="44" t="n">
        <v>1</v>
      </c>
      <c r="AH240" s="58" t="s">
        <v>1536</v>
      </c>
      <c r="AI240" s="44" t="n">
        <v>0</v>
      </c>
      <c r="AJ240" s="44" t="s">
        <v>1246</v>
      </c>
      <c r="AK240" s="44" t="s">
        <v>1612</v>
      </c>
      <c r="AL240" s="44" t="s">
        <v>1246</v>
      </c>
      <c r="AM240" s="44" t="n">
        <v>0</v>
      </c>
      <c r="AN240" s="44"/>
      <c r="AO240" s="44"/>
      <c r="AP240" s="44"/>
      <c r="AQ240" s="45" t="s">
        <v>1310</v>
      </c>
      <c r="AR240" s="44" t="s">
        <v>1282</v>
      </c>
      <c r="AS240" s="44"/>
      <c r="AT240" s="44"/>
      <c r="AU240" s="44"/>
      <c r="AV240" s="44"/>
      <c r="AW240" s="44"/>
      <c r="AX240" s="44"/>
      <c r="AY240" s="44"/>
      <c r="AZ240" s="46"/>
    </row>
    <row r="241" customFormat="false" ht="18" hidden="false" customHeight="true" outlineLevel="0" collapsed="false">
      <c r="A241" s="47" t="n">
        <v>109802</v>
      </c>
      <c r="B241" s="48" t="s">
        <v>1702</v>
      </c>
      <c r="C241" s="47" t="n">
        <v>109802</v>
      </c>
      <c r="D241" s="48" t="s">
        <v>1703</v>
      </c>
      <c r="E241" s="48" t="s">
        <v>69</v>
      </c>
      <c r="F241" s="48" t="s">
        <v>1625</v>
      </c>
      <c r="G241" s="49" t="s">
        <v>1531</v>
      </c>
      <c r="H241" s="48" t="s">
        <v>1248</v>
      </c>
      <c r="I241" s="48" t="s">
        <v>1248</v>
      </c>
      <c r="J241" s="48"/>
      <c r="K241" s="48"/>
      <c r="L241" s="48"/>
      <c r="M241" s="48"/>
      <c r="N241" s="50" t="s">
        <v>1443</v>
      </c>
      <c r="O241" s="51" t="s">
        <v>1649</v>
      </c>
      <c r="P241" s="52" t="n">
        <v>1</v>
      </c>
      <c r="Q241" s="65"/>
      <c r="R241" s="52" t="s">
        <v>1519</v>
      </c>
      <c r="S241" s="52"/>
      <c r="T241" s="52"/>
      <c r="U241" s="53" t="n">
        <v>187450</v>
      </c>
      <c r="V241" s="54" t="n">
        <v>187450</v>
      </c>
      <c r="W241" s="55" t="n">
        <v>0.12</v>
      </c>
      <c r="X241" s="52" t="n">
        <v>0.055</v>
      </c>
      <c r="Y241" s="55" t="n">
        <v>0.12</v>
      </c>
      <c r="Z241" s="56"/>
      <c r="AA241" s="55" t="n">
        <v>0.04</v>
      </c>
      <c r="AB241" s="57" t="n">
        <v>250245.75</v>
      </c>
      <c r="AC241" s="44"/>
      <c r="AD241" s="44"/>
      <c r="AE241" s="44" t="n">
        <v>250245.75</v>
      </c>
      <c r="AF241" s="44" t="s">
        <v>53</v>
      </c>
      <c r="AG241" s="44" t="n">
        <v>0</v>
      </c>
      <c r="AH241" s="58" t="s">
        <v>1536</v>
      </c>
      <c r="AI241" s="44" t="n">
        <v>0</v>
      </c>
      <c r="AJ241" s="44" t="s">
        <v>1248</v>
      </c>
      <c r="AK241" s="44" t="s">
        <v>47</v>
      </c>
      <c r="AL241" s="44" t="s">
        <v>1248</v>
      </c>
      <c r="AM241" s="44" t="n">
        <v>0</v>
      </c>
      <c r="AN241" s="44"/>
      <c r="AO241" s="44"/>
      <c r="AP241" s="44"/>
      <c r="AQ241" s="45" t="s">
        <v>1316</v>
      </c>
      <c r="AR241" s="44" t="s">
        <v>1282</v>
      </c>
      <c r="AS241" s="44"/>
      <c r="AT241" s="44"/>
      <c r="AU241" s="44"/>
      <c r="AV241" s="44"/>
      <c r="AW241" s="44"/>
      <c r="AX241" s="44"/>
      <c r="AY241" s="44"/>
      <c r="AZ241" s="46"/>
    </row>
    <row r="242" customFormat="false" ht="18" hidden="false" customHeight="true" outlineLevel="0" collapsed="false">
      <c r="A242" s="47" t="n">
        <v>83658</v>
      </c>
      <c r="B242" s="48" t="s">
        <v>1704</v>
      </c>
      <c r="C242" s="47" t="n">
        <v>83658</v>
      </c>
      <c r="D242" s="48" t="s">
        <v>1705</v>
      </c>
      <c r="E242" s="48" t="s">
        <v>69</v>
      </c>
      <c r="F242" s="48" t="s">
        <v>1591</v>
      </c>
      <c r="G242" s="49" t="s">
        <v>1511</v>
      </c>
      <c r="H242" s="48" t="s">
        <v>1253</v>
      </c>
      <c r="I242" s="48" t="s">
        <v>1159</v>
      </c>
      <c r="J242" s="48" t="s">
        <v>1159</v>
      </c>
      <c r="K242" s="48" t="s">
        <v>1159</v>
      </c>
      <c r="L242" s="48" t="s">
        <v>1159</v>
      </c>
      <c r="M242" s="48"/>
      <c r="N242" s="50" t="s">
        <v>1443</v>
      </c>
      <c r="O242" s="51" t="s">
        <v>1649</v>
      </c>
      <c r="P242" s="52" t="n">
        <v>1</v>
      </c>
      <c r="Q242" s="65"/>
      <c r="R242" s="52" t="s">
        <v>1519</v>
      </c>
      <c r="S242" s="52"/>
      <c r="T242" s="52"/>
      <c r="U242" s="53" t="n">
        <v>169130</v>
      </c>
      <c r="V242" s="54" t="n">
        <v>169130</v>
      </c>
      <c r="W242" s="55" t="n">
        <v>0.12</v>
      </c>
      <c r="X242" s="52" t="n">
        <v>0.055</v>
      </c>
      <c r="Y242" s="55" t="n">
        <v>0.12</v>
      </c>
      <c r="Z242" s="56"/>
      <c r="AA242" s="55" t="n">
        <v>0.04</v>
      </c>
      <c r="AB242" s="57" t="n">
        <v>225788.55</v>
      </c>
      <c r="AC242" s="44"/>
      <c r="AD242" s="44"/>
      <c r="AE242" s="44" t="n">
        <v>225788.55</v>
      </c>
      <c r="AF242" s="44" t="s">
        <v>53</v>
      </c>
      <c r="AG242" s="44" t="n">
        <v>0</v>
      </c>
      <c r="AH242" s="58" t="s">
        <v>1514</v>
      </c>
      <c r="AI242" s="44" t="n">
        <v>0</v>
      </c>
      <c r="AJ242" s="44" t="s">
        <v>1253</v>
      </c>
      <c r="AK242" s="44" t="s">
        <v>47</v>
      </c>
      <c r="AL242" s="44" t="s">
        <v>1253</v>
      </c>
      <c r="AM242" s="44" t="n">
        <v>0</v>
      </c>
      <c r="AN242" s="44"/>
      <c r="AO242" s="44"/>
      <c r="AP242" s="44"/>
      <c r="AQ242" s="45" t="s">
        <v>1376</v>
      </c>
      <c r="AR242" s="44" t="s">
        <v>1282</v>
      </c>
      <c r="AS242" s="44"/>
      <c r="AT242" s="44"/>
      <c r="AU242" s="44"/>
      <c r="AV242" s="44"/>
      <c r="AW242" s="44"/>
      <c r="AX242" s="44"/>
      <c r="AY242" s="44"/>
      <c r="AZ242" s="46"/>
    </row>
    <row r="243" customFormat="false" ht="18" hidden="false" customHeight="true" outlineLevel="0" collapsed="false">
      <c r="A243" s="47" t="n">
        <v>97800</v>
      </c>
      <c r="B243" s="48" t="s">
        <v>861</v>
      </c>
      <c r="C243" s="47" t="n">
        <v>97800</v>
      </c>
      <c r="D243" s="48" t="s">
        <v>862</v>
      </c>
      <c r="E243" s="48" t="s">
        <v>69</v>
      </c>
      <c r="F243" s="48" t="s">
        <v>1690</v>
      </c>
      <c r="G243" s="49" t="s">
        <v>30</v>
      </c>
      <c r="H243" s="48" t="s">
        <v>1619</v>
      </c>
      <c r="I243" s="48" t="s">
        <v>1691</v>
      </c>
      <c r="J243" s="48" t="s">
        <v>1149</v>
      </c>
      <c r="K243" s="48" t="s">
        <v>1149</v>
      </c>
      <c r="L243" s="48" t="s">
        <v>846</v>
      </c>
      <c r="M243" s="48"/>
      <c r="N243" s="50" t="s">
        <v>1443</v>
      </c>
      <c r="O243" s="51" t="s">
        <v>1649</v>
      </c>
      <c r="P243" s="52" t="n">
        <v>1</v>
      </c>
      <c r="Q243" s="65"/>
      <c r="R243" s="52" t="s">
        <v>1519</v>
      </c>
      <c r="S243" s="52"/>
      <c r="T243" s="52"/>
      <c r="U243" s="53" t="n">
        <v>184640</v>
      </c>
      <c r="V243" s="54" t="n">
        <v>184640</v>
      </c>
      <c r="W243" s="55" t="n">
        <v>0.12</v>
      </c>
      <c r="X243" s="52" t="n">
        <v>0.055</v>
      </c>
      <c r="Y243" s="55" t="n">
        <v>0.12</v>
      </c>
      <c r="Z243" s="56"/>
      <c r="AA243" s="55" t="n">
        <v>0.04</v>
      </c>
      <c r="AB243" s="57" t="n">
        <v>246494.4</v>
      </c>
      <c r="AC243" s="44"/>
      <c r="AD243" s="44"/>
      <c r="AE243" s="44" t="n">
        <v>246494.4</v>
      </c>
      <c r="AF243" s="44" t="s">
        <v>53</v>
      </c>
      <c r="AG243" s="44" t="n">
        <v>0</v>
      </c>
      <c r="AH243" s="58" t="s">
        <v>30</v>
      </c>
      <c r="AI243" s="44" t="n">
        <v>0</v>
      </c>
      <c r="AJ243" s="44" t="s">
        <v>846</v>
      </c>
      <c r="AK243" s="44" t="s">
        <v>47</v>
      </c>
      <c r="AL243" s="44" t="s">
        <v>846</v>
      </c>
      <c r="AM243" s="44" t="n">
        <v>0</v>
      </c>
      <c r="AN243" s="44"/>
      <c r="AO243" s="44"/>
      <c r="AP243" s="44"/>
      <c r="AQ243" s="45" t="s">
        <v>860</v>
      </c>
      <c r="AR243" s="44" t="s">
        <v>1282</v>
      </c>
      <c r="AS243" s="44"/>
      <c r="AT243" s="44"/>
      <c r="AU243" s="44"/>
      <c r="AV243" s="44"/>
      <c r="AW243" s="44"/>
      <c r="AX243" s="44"/>
      <c r="AY243" s="44"/>
      <c r="AZ243" s="46"/>
    </row>
    <row r="244" customFormat="false" ht="18" hidden="false" customHeight="true" outlineLevel="0" collapsed="false">
      <c r="A244" s="47" t="n">
        <v>97625</v>
      </c>
      <c r="B244" s="48" t="s">
        <v>864</v>
      </c>
      <c r="C244" s="47" t="n">
        <v>97625</v>
      </c>
      <c r="D244" s="48" t="s">
        <v>865</v>
      </c>
      <c r="E244" s="48" t="s">
        <v>69</v>
      </c>
      <c r="F244" s="48" t="s">
        <v>1690</v>
      </c>
      <c r="G244" s="49" t="s">
        <v>30</v>
      </c>
      <c r="H244" s="48" t="s">
        <v>1619</v>
      </c>
      <c r="I244" s="48" t="s">
        <v>1691</v>
      </c>
      <c r="J244" s="48" t="s">
        <v>1149</v>
      </c>
      <c r="K244" s="48" t="s">
        <v>1149</v>
      </c>
      <c r="L244" s="48" t="s">
        <v>846</v>
      </c>
      <c r="M244" s="48"/>
      <c r="N244" s="50" t="s">
        <v>1443</v>
      </c>
      <c r="O244" s="51" t="s">
        <v>1649</v>
      </c>
      <c r="P244" s="52" t="n">
        <v>1</v>
      </c>
      <c r="Q244" s="65"/>
      <c r="R244" s="52" t="s">
        <v>1519</v>
      </c>
      <c r="S244" s="52"/>
      <c r="T244" s="52"/>
      <c r="U244" s="53" t="n">
        <v>194100</v>
      </c>
      <c r="V244" s="54" t="n">
        <v>194100</v>
      </c>
      <c r="W244" s="55" t="n">
        <v>0.12</v>
      </c>
      <c r="X244" s="52" t="n">
        <v>0.055</v>
      </c>
      <c r="Y244" s="55" t="n">
        <v>0.12</v>
      </c>
      <c r="Z244" s="56"/>
      <c r="AA244" s="55" t="n">
        <v>0.04</v>
      </c>
      <c r="AB244" s="57" t="n">
        <v>259123.5</v>
      </c>
      <c r="AC244" s="44"/>
      <c r="AD244" s="44"/>
      <c r="AE244" s="44" t="n">
        <v>259123.5</v>
      </c>
      <c r="AF244" s="44" t="s">
        <v>53</v>
      </c>
      <c r="AG244" s="44" t="n">
        <v>0</v>
      </c>
      <c r="AH244" s="58" t="s">
        <v>30</v>
      </c>
      <c r="AI244" s="44" t="n">
        <v>0</v>
      </c>
      <c r="AJ244" s="44" t="s">
        <v>846</v>
      </c>
      <c r="AK244" s="44" t="s">
        <v>47</v>
      </c>
      <c r="AL244" s="44" t="s">
        <v>846</v>
      </c>
      <c r="AM244" s="44" t="n">
        <v>0</v>
      </c>
      <c r="AN244" s="44"/>
      <c r="AO244" s="44"/>
      <c r="AP244" s="44"/>
      <c r="AQ244" s="45" t="s">
        <v>863</v>
      </c>
      <c r="AR244" s="44" t="s">
        <v>1282</v>
      </c>
      <c r="AS244" s="44"/>
      <c r="AT244" s="44"/>
      <c r="AU244" s="44"/>
      <c r="AV244" s="44"/>
      <c r="AW244" s="44"/>
      <c r="AX244" s="44"/>
      <c r="AY244" s="44"/>
      <c r="AZ244" s="46"/>
    </row>
    <row r="245" customFormat="false" ht="18" hidden="false" customHeight="true" outlineLevel="0" collapsed="false">
      <c r="A245" s="47" t="n">
        <v>6591</v>
      </c>
      <c r="B245" s="48" t="s">
        <v>867</v>
      </c>
      <c r="C245" s="47" t="n">
        <v>6591</v>
      </c>
      <c r="D245" s="48" t="s">
        <v>865</v>
      </c>
      <c r="E245" s="48" t="s">
        <v>69</v>
      </c>
      <c r="F245" s="48" t="s">
        <v>1690</v>
      </c>
      <c r="G245" s="49" t="s">
        <v>30</v>
      </c>
      <c r="H245" s="48" t="s">
        <v>1619</v>
      </c>
      <c r="I245" s="48" t="s">
        <v>1691</v>
      </c>
      <c r="J245" s="48" t="s">
        <v>1149</v>
      </c>
      <c r="K245" s="48" t="s">
        <v>1149</v>
      </c>
      <c r="L245" s="48" t="s">
        <v>846</v>
      </c>
      <c r="M245" s="48"/>
      <c r="N245" s="50" t="s">
        <v>1443</v>
      </c>
      <c r="O245" s="51" t="s">
        <v>1649</v>
      </c>
      <c r="P245" s="52" t="n">
        <v>1</v>
      </c>
      <c r="Q245" s="65"/>
      <c r="R245" s="52" t="s">
        <v>1519</v>
      </c>
      <c r="S245" s="52"/>
      <c r="T245" s="52"/>
      <c r="U245" s="53" t="n">
        <v>182340</v>
      </c>
      <c r="V245" s="54" t="n">
        <v>182340</v>
      </c>
      <c r="W245" s="55" t="n">
        <v>0.12</v>
      </c>
      <c r="X245" s="52" t="n">
        <v>0.055</v>
      </c>
      <c r="Y245" s="55" t="n">
        <v>0.12</v>
      </c>
      <c r="Z245" s="56"/>
      <c r="AA245" s="55" t="n">
        <v>0.04</v>
      </c>
      <c r="AB245" s="57" t="n">
        <v>243423.9</v>
      </c>
      <c r="AC245" s="44"/>
      <c r="AD245" s="44"/>
      <c r="AE245" s="44" t="n">
        <v>243423.9</v>
      </c>
      <c r="AF245" s="44" t="s">
        <v>53</v>
      </c>
      <c r="AG245" s="44" t="n">
        <v>0</v>
      </c>
      <c r="AH245" s="58" t="s">
        <v>30</v>
      </c>
      <c r="AI245" s="44" t="n">
        <v>0</v>
      </c>
      <c r="AJ245" s="44" t="s">
        <v>846</v>
      </c>
      <c r="AK245" s="44" t="s">
        <v>47</v>
      </c>
      <c r="AL245" s="44" t="s">
        <v>846</v>
      </c>
      <c r="AM245" s="44" t="n">
        <v>0</v>
      </c>
      <c r="AN245" s="44"/>
      <c r="AO245" s="44"/>
      <c r="AP245" s="44"/>
      <c r="AQ245" s="45" t="s">
        <v>866</v>
      </c>
      <c r="AR245" s="44" t="s">
        <v>1282</v>
      </c>
      <c r="AS245" s="44"/>
      <c r="AT245" s="44"/>
      <c r="AU245" s="44"/>
      <c r="AV245" s="44"/>
      <c r="AW245" s="44"/>
      <c r="AX245" s="44"/>
      <c r="AY245" s="44"/>
      <c r="AZ245" s="46"/>
    </row>
    <row r="246" customFormat="false" ht="18" hidden="false" customHeight="true" outlineLevel="0" collapsed="false">
      <c r="A246" s="47" t="n">
        <v>113039</v>
      </c>
      <c r="B246" s="48" t="s">
        <v>551</v>
      </c>
      <c r="C246" s="47" t="n">
        <v>113039</v>
      </c>
      <c r="D246" s="48" t="s">
        <v>84</v>
      </c>
      <c r="E246" s="48" t="s">
        <v>69</v>
      </c>
      <c r="F246" s="48" t="s">
        <v>303</v>
      </c>
      <c r="G246" s="49" t="s">
        <v>1461</v>
      </c>
      <c r="H246" s="48" t="s">
        <v>20</v>
      </c>
      <c r="I246" s="48" t="s">
        <v>1607</v>
      </c>
      <c r="J246" s="48" t="s">
        <v>20</v>
      </c>
      <c r="K246" s="48" t="s">
        <v>517</v>
      </c>
      <c r="L246" s="48" t="s">
        <v>513</v>
      </c>
      <c r="M246" s="48"/>
      <c r="N246" s="50" t="s">
        <v>1549</v>
      </c>
      <c r="O246" s="51" t="s">
        <v>1649</v>
      </c>
      <c r="P246" s="52" t="n">
        <v>1</v>
      </c>
      <c r="Q246" s="65"/>
      <c r="R246" s="52" t="s">
        <v>1641</v>
      </c>
      <c r="S246" s="52"/>
      <c r="T246" s="52"/>
      <c r="U246" s="53" t="n">
        <v>160000</v>
      </c>
      <c r="V246" s="54" t="n">
        <v>193600</v>
      </c>
      <c r="W246" s="55" t="n">
        <v>0.25</v>
      </c>
      <c r="X246" s="52"/>
      <c r="Y246" s="55" t="n">
        <v>0.17</v>
      </c>
      <c r="Z246" s="56" t="n">
        <v>3310</v>
      </c>
      <c r="AA246" s="55" t="n">
        <v>0.045</v>
      </c>
      <c r="AB246" s="57" t="n">
        <v>286934</v>
      </c>
      <c r="AC246" s="44"/>
      <c r="AD246" s="44"/>
      <c r="AE246" s="44" t="n">
        <v>286934</v>
      </c>
      <c r="AF246" s="44" t="s">
        <v>53</v>
      </c>
      <c r="AG246" s="44" t="n">
        <v>0</v>
      </c>
      <c r="AH246" s="58" t="s">
        <v>20</v>
      </c>
      <c r="AI246" s="44" t="n">
        <v>0</v>
      </c>
      <c r="AJ246" s="44" t="s">
        <v>513</v>
      </c>
      <c r="AK246" s="44" t="s">
        <v>47</v>
      </c>
      <c r="AL246" s="44" t="s">
        <v>513</v>
      </c>
      <c r="AM246" s="44" t="n">
        <v>0</v>
      </c>
      <c r="AN246" s="44"/>
      <c r="AO246" s="44"/>
      <c r="AP246" s="44"/>
      <c r="AQ246" s="45" t="s">
        <v>550</v>
      </c>
      <c r="AR246" s="44" t="s">
        <v>1282</v>
      </c>
      <c r="AS246" s="44"/>
      <c r="AT246" s="44"/>
      <c r="AU246" s="44"/>
      <c r="AV246" s="44"/>
      <c r="AW246" s="44"/>
      <c r="AX246" s="44"/>
      <c r="AY246" s="44"/>
      <c r="AZ246" s="46"/>
    </row>
    <row r="247" customFormat="false" ht="18" hidden="false" customHeight="true" outlineLevel="0" collapsed="false">
      <c r="A247" s="47" t="n">
        <v>115847</v>
      </c>
      <c r="B247" s="48" t="s">
        <v>553</v>
      </c>
      <c r="C247" s="47" t="n">
        <v>115847</v>
      </c>
      <c r="D247" s="48" t="s">
        <v>133</v>
      </c>
      <c r="E247" s="48" t="s">
        <v>69</v>
      </c>
      <c r="F247" s="48" t="s">
        <v>303</v>
      </c>
      <c r="G247" s="49" t="s">
        <v>1461</v>
      </c>
      <c r="H247" s="48" t="s">
        <v>20</v>
      </c>
      <c r="I247" s="48" t="s">
        <v>1607</v>
      </c>
      <c r="J247" s="48" t="s">
        <v>20</v>
      </c>
      <c r="K247" s="48" t="s">
        <v>517</v>
      </c>
      <c r="L247" s="48" t="s">
        <v>513</v>
      </c>
      <c r="M247" s="48"/>
      <c r="N247" s="50" t="s">
        <v>1549</v>
      </c>
      <c r="O247" s="51" t="s">
        <v>1649</v>
      </c>
      <c r="P247" s="52" t="n">
        <v>1</v>
      </c>
      <c r="Q247" s="65"/>
      <c r="R247" s="52" t="s">
        <v>1519</v>
      </c>
      <c r="S247" s="52"/>
      <c r="T247" s="52"/>
      <c r="U247" s="53" t="n">
        <v>180000</v>
      </c>
      <c r="V247" s="54" t="n">
        <v>217800</v>
      </c>
      <c r="W247" s="55" t="n">
        <v>0.25</v>
      </c>
      <c r="X247" s="52"/>
      <c r="Y247" s="55" t="n">
        <v>0.17</v>
      </c>
      <c r="Z247" s="56" t="n">
        <v>3310</v>
      </c>
      <c r="AA247" s="55" t="n">
        <v>0.045</v>
      </c>
      <c r="AB247" s="57" t="n">
        <v>322387</v>
      </c>
      <c r="AC247" s="44"/>
      <c r="AD247" s="44"/>
      <c r="AE247" s="44" t="n">
        <v>322387</v>
      </c>
      <c r="AF247" s="44" t="s">
        <v>53</v>
      </c>
      <c r="AG247" s="44" t="n">
        <v>0</v>
      </c>
      <c r="AH247" s="58" t="s">
        <v>20</v>
      </c>
      <c r="AI247" s="44" t="n">
        <v>0</v>
      </c>
      <c r="AJ247" s="44" t="s">
        <v>513</v>
      </c>
      <c r="AK247" s="44" t="s">
        <v>47</v>
      </c>
      <c r="AL247" s="44" t="s">
        <v>513</v>
      </c>
      <c r="AM247" s="44" t="n">
        <v>0</v>
      </c>
      <c r="AN247" s="44"/>
      <c r="AO247" s="44"/>
      <c r="AP247" s="44"/>
      <c r="AQ247" s="45" t="s">
        <v>552</v>
      </c>
      <c r="AR247" s="44" t="s">
        <v>1282</v>
      </c>
      <c r="AS247" s="44"/>
      <c r="AT247" s="44"/>
      <c r="AU247" s="44"/>
      <c r="AV247" s="44"/>
      <c r="AW247" s="44"/>
      <c r="AX247" s="44"/>
      <c r="AY247" s="44"/>
      <c r="AZ247" s="46"/>
    </row>
    <row r="248" customFormat="false" ht="18" hidden="false" customHeight="true" outlineLevel="0" collapsed="false">
      <c r="A248" s="47" t="n">
        <v>115723</v>
      </c>
      <c r="B248" s="48" t="s">
        <v>555</v>
      </c>
      <c r="C248" s="47" t="n">
        <v>115723</v>
      </c>
      <c r="D248" s="48" t="s">
        <v>556</v>
      </c>
      <c r="E248" s="48" t="s">
        <v>69</v>
      </c>
      <c r="F248" s="48" t="s">
        <v>303</v>
      </c>
      <c r="G248" s="49" t="s">
        <v>1461</v>
      </c>
      <c r="H248" s="48" t="s">
        <v>20</v>
      </c>
      <c r="I248" s="48" t="s">
        <v>1607</v>
      </c>
      <c r="J248" s="48" t="s">
        <v>20</v>
      </c>
      <c r="K248" s="48" t="s">
        <v>517</v>
      </c>
      <c r="L248" s="48" t="s">
        <v>513</v>
      </c>
      <c r="M248" s="48"/>
      <c r="N248" s="50" t="s">
        <v>1549</v>
      </c>
      <c r="O248" s="51" t="s">
        <v>1649</v>
      </c>
      <c r="P248" s="52" t="n">
        <v>1</v>
      </c>
      <c r="Q248" s="65"/>
      <c r="R248" s="52" t="s">
        <v>1519</v>
      </c>
      <c r="S248" s="52"/>
      <c r="T248" s="52"/>
      <c r="U248" s="53" t="n">
        <v>210000</v>
      </c>
      <c r="V248" s="54" t="n">
        <v>254100</v>
      </c>
      <c r="W248" s="55" t="n">
        <v>0.25</v>
      </c>
      <c r="X248" s="52"/>
      <c r="Y248" s="55" t="n">
        <v>0.17</v>
      </c>
      <c r="Z248" s="56" t="n">
        <v>3310</v>
      </c>
      <c r="AA248" s="55" t="n">
        <v>0.045</v>
      </c>
      <c r="AB248" s="57" t="n">
        <v>375566.5</v>
      </c>
      <c r="AC248" s="44"/>
      <c r="AD248" s="44"/>
      <c r="AE248" s="44" t="n">
        <v>375566.5</v>
      </c>
      <c r="AF248" s="44" t="s">
        <v>53</v>
      </c>
      <c r="AG248" s="44" t="n">
        <v>0</v>
      </c>
      <c r="AH248" s="58" t="s">
        <v>20</v>
      </c>
      <c r="AI248" s="44" t="n">
        <v>0</v>
      </c>
      <c r="AJ248" s="44" t="s">
        <v>513</v>
      </c>
      <c r="AK248" s="44" t="s">
        <v>47</v>
      </c>
      <c r="AL248" s="44" t="s">
        <v>513</v>
      </c>
      <c r="AM248" s="44" t="n">
        <v>0</v>
      </c>
      <c r="AN248" s="44"/>
      <c r="AO248" s="44"/>
      <c r="AP248" s="44"/>
      <c r="AQ248" s="45" t="s">
        <v>554</v>
      </c>
      <c r="AR248" s="44" t="s">
        <v>1282</v>
      </c>
      <c r="AS248" s="44"/>
      <c r="AT248" s="44"/>
      <c r="AU248" s="44"/>
      <c r="AV248" s="44"/>
      <c r="AW248" s="44"/>
      <c r="AX248" s="44"/>
      <c r="AY248" s="44"/>
      <c r="AZ248" s="46"/>
    </row>
    <row r="249" customFormat="false" ht="18" hidden="false" customHeight="true" outlineLevel="0" collapsed="false">
      <c r="A249" s="47" t="n">
        <v>110185</v>
      </c>
      <c r="B249" s="48" t="s">
        <v>558</v>
      </c>
      <c r="C249" s="47" t="n">
        <v>110185</v>
      </c>
      <c r="D249" s="48" t="s">
        <v>559</v>
      </c>
      <c r="E249" s="48" t="s">
        <v>69</v>
      </c>
      <c r="F249" s="48" t="s">
        <v>303</v>
      </c>
      <c r="G249" s="49" t="s">
        <v>1461</v>
      </c>
      <c r="H249" s="48" t="s">
        <v>20</v>
      </c>
      <c r="I249" s="48" t="s">
        <v>1607</v>
      </c>
      <c r="J249" s="48" t="s">
        <v>20</v>
      </c>
      <c r="K249" s="48" t="s">
        <v>517</v>
      </c>
      <c r="L249" s="48" t="s">
        <v>513</v>
      </c>
      <c r="M249" s="48"/>
      <c r="N249" s="50" t="s">
        <v>1549</v>
      </c>
      <c r="O249" s="51" t="s">
        <v>1649</v>
      </c>
      <c r="P249" s="52" t="n">
        <v>1</v>
      </c>
      <c r="Q249" s="65"/>
      <c r="R249" s="52" t="s">
        <v>1519</v>
      </c>
      <c r="S249" s="52"/>
      <c r="T249" s="52"/>
      <c r="U249" s="53" t="n">
        <v>181860</v>
      </c>
      <c r="V249" s="54" t="n">
        <v>220050.6</v>
      </c>
      <c r="W249" s="55" t="n">
        <v>0.25</v>
      </c>
      <c r="X249" s="52"/>
      <c r="Y249" s="55" t="n">
        <v>0.17</v>
      </c>
      <c r="Z249" s="56" t="n">
        <v>3310</v>
      </c>
      <c r="AA249" s="55" t="n">
        <v>0.045</v>
      </c>
      <c r="AB249" s="57" t="n">
        <v>325684.129</v>
      </c>
      <c r="AC249" s="44"/>
      <c r="AD249" s="44"/>
      <c r="AE249" s="44" t="n">
        <v>325684.129</v>
      </c>
      <c r="AF249" s="44" t="s">
        <v>53</v>
      </c>
      <c r="AG249" s="44" t="n">
        <v>0</v>
      </c>
      <c r="AH249" s="58" t="s">
        <v>20</v>
      </c>
      <c r="AI249" s="44" t="n">
        <v>0</v>
      </c>
      <c r="AJ249" s="44" t="s">
        <v>513</v>
      </c>
      <c r="AK249" s="44" t="s">
        <v>47</v>
      </c>
      <c r="AL249" s="44" t="s">
        <v>513</v>
      </c>
      <c r="AM249" s="44" t="n">
        <v>0</v>
      </c>
      <c r="AN249" s="44"/>
      <c r="AO249" s="44"/>
      <c r="AP249" s="44"/>
      <c r="AQ249" s="45" t="s">
        <v>557</v>
      </c>
      <c r="AR249" s="44" t="s">
        <v>1282</v>
      </c>
      <c r="AS249" s="44"/>
      <c r="AT249" s="44"/>
      <c r="AU249" s="44"/>
      <c r="AV249" s="44"/>
      <c r="AW249" s="44"/>
      <c r="AX249" s="44"/>
      <c r="AY249" s="44"/>
      <c r="AZ249" s="46"/>
    </row>
    <row r="250" customFormat="false" ht="18" hidden="false" customHeight="true" outlineLevel="0" collapsed="false">
      <c r="A250" s="47" t="n">
        <v>97284</v>
      </c>
      <c r="B250" s="48" t="s">
        <v>583</v>
      </c>
      <c r="C250" s="47" t="n">
        <v>97284</v>
      </c>
      <c r="D250" s="48" t="s">
        <v>52</v>
      </c>
      <c r="E250" s="48" t="s">
        <v>69</v>
      </c>
      <c r="F250" s="48" t="s">
        <v>300</v>
      </c>
      <c r="G250" s="49" t="s">
        <v>1461</v>
      </c>
      <c r="H250" s="48" t="s">
        <v>20</v>
      </c>
      <c r="I250" s="48" t="s">
        <v>1706</v>
      </c>
      <c r="J250" s="48" t="s">
        <v>20</v>
      </c>
      <c r="K250" s="48" t="s">
        <v>569</v>
      </c>
      <c r="L250" s="48" t="s">
        <v>569</v>
      </c>
      <c r="M250" s="48"/>
      <c r="N250" s="50" t="s">
        <v>1443</v>
      </c>
      <c r="O250" s="51" t="s">
        <v>1649</v>
      </c>
      <c r="P250" s="52" t="n">
        <v>1</v>
      </c>
      <c r="Q250" s="66"/>
      <c r="R250" s="52" t="s">
        <v>1519</v>
      </c>
      <c r="S250" s="52"/>
      <c r="T250" s="52"/>
      <c r="U250" s="53" t="n">
        <v>207470</v>
      </c>
      <c r="V250" s="54" t="n">
        <v>207470</v>
      </c>
      <c r="W250" s="55" t="n">
        <v>0.12</v>
      </c>
      <c r="X250" s="52" t="n">
        <v>0.055</v>
      </c>
      <c r="Y250" s="55" t="n">
        <v>0.12</v>
      </c>
      <c r="Z250" s="56"/>
      <c r="AA250" s="55" t="n">
        <v>0.04</v>
      </c>
      <c r="AB250" s="57" t="n">
        <v>276972.45</v>
      </c>
      <c r="AC250" s="44"/>
      <c r="AD250" s="44"/>
      <c r="AE250" s="44" t="n">
        <v>276972.45</v>
      </c>
      <c r="AF250" s="44" t="s">
        <v>53</v>
      </c>
      <c r="AG250" s="44" t="n">
        <v>0</v>
      </c>
      <c r="AH250" s="58" t="s">
        <v>20</v>
      </c>
      <c r="AI250" s="44" t="n">
        <v>0</v>
      </c>
      <c r="AJ250" s="44" t="s">
        <v>569</v>
      </c>
      <c r="AK250" s="44" t="s">
        <v>47</v>
      </c>
      <c r="AL250" s="44" t="s">
        <v>569</v>
      </c>
      <c r="AM250" s="44" t="n">
        <v>0</v>
      </c>
      <c r="AN250" s="44"/>
      <c r="AO250" s="44"/>
      <c r="AP250" s="44"/>
      <c r="AQ250" s="45" t="s">
        <v>582</v>
      </c>
      <c r="AR250" s="44" t="s">
        <v>1282</v>
      </c>
      <c r="AS250" s="44"/>
      <c r="AT250" s="44"/>
      <c r="AU250" s="44"/>
      <c r="AV250" s="44"/>
      <c r="AW250" s="44"/>
      <c r="AX250" s="44"/>
      <c r="AY250" s="44"/>
      <c r="AZ250" s="46"/>
    </row>
    <row r="251" customFormat="false" ht="18" hidden="false" customHeight="true" outlineLevel="0" collapsed="false">
      <c r="A251" s="47" t="n">
        <v>115506</v>
      </c>
      <c r="B251" s="48" t="s">
        <v>585</v>
      </c>
      <c r="C251" s="47" t="n">
        <v>115506</v>
      </c>
      <c r="D251" s="48" t="s">
        <v>118</v>
      </c>
      <c r="E251" s="48" t="s">
        <v>69</v>
      </c>
      <c r="F251" s="48" t="s">
        <v>300</v>
      </c>
      <c r="G251" s="49" t="s">
        <v>1461</v>
      </c>
      <c r="H251" s="48" t="s">
        <v>20</v>
      </c>
      <c r="I251" s="48" t="s">
        <v>1706</v>
      </c>
      <c r="J251" s="48" t="s">
        <v>20</v>
      </c>
      <c r="K251" s="48" t="s">
        <v>569</v>
      </c>
      <c r="L251" s="48" t="s">
        <v>569</v>
      </c>
      <c r="M251" s="48"/>
      <c r="N251" s="50" t="s">
        <v>1284</v>
      </c>
      <c r="O251" s="51" t="s">
        <v>1649</v>
      </c>
      <c r="P251" s="52" t="n">
        <v>1</v>
      </c>
      <c r="Q251" s="65"/>
      <c r="R251" s="52" t="s">
        <v>1519</v>
      </c>
      <c r="S251" s="52"/>
      <c r="T251" s="52"/>
      <c r="U251" s="53" t="n">
        <v>157060</v>
      </c>
      <c r="V251" s="54" t="n">
        <v>144495.2</v>
      </c>
      <c r="W251" s="55" t="n">
        <v>0.15</v>
      </c>
      <c r="X251" s="52"/>
      <c r="Y251" s="55" t="n">
        <v>0.05</v>
      </c>
      <c r="Z251" s="56" t="n">
        <v>2910</v>
      </c>
      <c r="AA251" s="55" t="n">
        <v>0.03</v>
      </c>
      <c r="AB251" s="57" t="n">
        <v>180639.096</v>
      </c>
      <c r="AC251" s="44"/>
      <c r="AD251" s="44"/>
      <c r="AE251" s="44" t="n">
        <v>180639.096</v>
      </c>
      <c r="AF251" s="44" t="s">
        <v>53</v>
      </c>
      <c r="AG251" s="44" t="n">
        <v>0</v>
      </c>
      <c r="AH251" s="58" t="s">
        <v>20</v>
      </c>
      <c r="AI251" s="44" t="n">
        <v>0</v>
      </c>
      <c r="AJ251" s="44" t="s">
        <v>569</v>
      </c>
      <c r="AK251" s="44" t="s">
        <v>47</v>
      </c>
      <c r="AL251" s="44" t="s">
        <v>569</v>
      </c>
      <c r="AM251" s="44" t="n">
        <v>0</v>
      </c>
      <c r="AN251" s="44"/>
      <c r="AO251" s="44"/>
      <c r="AP251" s="44"/>
      <c r="AQ251" s="45" t="s">
        <v>584</v>
      </c>
      <c r="AR251" s="44" t="s">
        <v>1284</v>
      </c>
      <c r="AS251" s="44"/>
      <c r="AT251" s="44"/>
      <c r="AU251" s="44"/>
      <c r="AV251" s="44"/>
      <c r="AW251" s="44"/>
      <c r="AX251" s="44"/>
      <c r="AY251" s="44"/>
      <c r="AZ251" s="46"/>
    </row>
    <row r="252" customFormat="false" ht="18" hidden="false" customHeight="true" outlineLevel="0" collapsed="false">
      <c r="A252" s="47" t="n">
        <v>114717</v>
      </c>
      <c r="B252" s="48" t="s">
        <v>587</v>
      </c>
      <c r="C252" s="47" t="n">
        <v>114717</v>
      </c>
      <c r="D252" s="48" t="s">
        <v>588</v>
      </c>
      <c r="E252" s="48" t="s">
        <v>69</v>
      </c>
      <c r="F252" s="48" t="s">
        <v>300</v>
      </c>
      <c r="G252" s="49" t="s">
        <v>1461</v>
      </c>
      <c r="H252" s="48" t="s">
        <v>20</v>
      </c>
      <c r="I252" s="48" t="s">
        <v>1706</v>
      </c>
      <c r="J252" s="48" t="s">
        <v>20</v>
      </c>
      <c r="K252" s="48" t="s">
        <v>569</v>
      </c>
      <c r="L252" s="48" t="s">
        <v>569</v>
      </c>
      <c r="M252" s="48"/>
      <c r="N252" s="50" t="s">
        <v>1443</v>
      </c>
      <c r="O252" s="51" t="s">
        <v>1649</v>
      </c>
      <c r="P252" s="52" t="n">
        <v>1</v>
      </c>
      <c r="Q252" s="65"/>
      <c r="R252" s="52" t="s">
        <v>1519</v>
      </c>
      <c r="S252" s="52"/>
      <c r="T252" s="52"/>
      <c r="U252" s="53" t="n">
        <v>210000</v>
      </c>
      <c r="V252" s="54" t="n">
        <v>210000</v>
      </c>
      <c r="W252" s="55" t="n">
        <v>0.12</v>
      </c>
      <c r="X252" s="52" t="n">
        <v>0.055</v>
      </c>
      <c r="Y252" s="55" t="n">
        <v>0.12</v>
      </c>
      <c r="Z252" s="56"/>
      <c r="AA252" s="55" t="n">
        <v>0.04</v>
      </c>
      <c r="AB252" s="57" t="n">
        <v>280350</v>
      </c>
      <c r="AC252" s="44"/>
      <c r="AD252" s="44"/>
      <c r="AE252" s="44" t="n">
        <v>280350</v>
      </c>
      <c r="AF252" s="44" t="s">
        <v>53</v>
      </c>
      <c r="AG252" s="44" t="n">
        <v>0</v>
      </c>
      <c r="AH252" s="58" t="s">
        <v>20</v>
      </c>
      <c r="AI252" s="44" t="n">
        <v>0</v>
      </c>
      <c r="AJ252" s="44" t="s">
        <v>569</v>
      </c>
      <c r="AK252" s="44" t="s">
        <v>47</v>
      </c>
      <c r="AL252" s="44" t="s">
        <v>569</v>
      </c>
      <c r="AM252" s="44" t="n">
        <v>0</v>
      </c>
      <c r="AN252" s="44"/>
      <c r="AO252" s="44"/>
      <c r="AP252" s="44"/>
      <c r="AQ252" s="45" t="s">
        <v>586</v>
      </c>
      <c r="AR252" s="44" t="s">
        <v>1282</v>
      </c>
      <c r="AS252" s="44"/>
      <c r="AT252" s="44"/>
      <c r="AU252" s="44"/>
      <c r="AV252" s="44"/>
      <c r="AW252" s="44"/>
      <c r="AX252" s="44"/>
      <c r="AY252" s="44"/>
      <c r="AZ252" s="46"/>
    </row>
    <row r="253" customFormat="false" ht="18" hidden="false" customHeight="true" outlineLevel="0" collapsed="false">
      <c r="A253" s="47" t="n">
        <v>113544</v>
      </c>
      <c r="B253" s="48" t="s">
        <v>590</v>
      </c>
      <c r="C253" s="47" t="n">
        <v>113544</v>
      </c>
      <c r="D253" s="48" t="s">
        <v>591</v>
      </c>
      <c r="E253" s="48" t="s">
        <v>69</v>
      </c>
      <c r="F253" s="48" t="s">
        <v>300</v>
      </c>
      <c r="G253" s="49" t="s">
        <v>1461</v>
      </c>
      <c r="H253" s="48" t="s">
        <v>20</v>
      </c>
      <c r="I253" s="48" t="s">
        <v>1706</v>
      </c>
      <c r="J253" s="48" t="s">
        <v>20</v>
      </c>
      <c r="K253" s="48" t="s">
        <v>569</v>
      </c>
      <c r="L253" s="48" t="s">
        <v>569</v>
      </c>
      <c r="M253" s="48"/>
      <c r="N253" s="50" t="s">
        <v>1284</v>
      </c>
      <c r="O253" s="51" t="s">
        <v>1649</v>
      </c>
      <c r="P253" s="52" t="n">
        <v>1</v>
      </c>
      <c r="Q253" s="65"/>
      <c r="R253" s="52" t="s">
        <v>1519</v>
      </c>
      <c r="S253" s="52"/>
      <c r="T253" s="52"/>
      <c r="U253" s="53" t="n">
        <v>171800</v>
      </c>
      <c r="V253" s="54" t="n">
        <v>158056</v>
      </c>
      <c r="W253" s="55" t="n">
        <v>0.15</v>
      </c>
      <c r="X253" s="52"/>
      <c r="Y253" s="55" t="n">
        <v>0.05</v>
      </c>
      <c r="Z253" s="56" t="n">
        <v>2910</v>
      </c>
      <c r="AA253" s="55" t="n">
        <v>0.03</v>
      </c>
      <c r="AB253" s="57" t="n">
        <v>197318.88</v>
      </c>
      <c r="AC253" s="44"/>
      <c r="AD253" s="44"/>
      <c r="AE253" s="44" t="n">
        <v>197318.88</v>
      </c>
      <c r="AF253" s="44" t="s">
        <v>53</v>
      </c>
      <c r="AG253" s="44" t="n">
        <v>0</v>
      </c>
      <c r="AH253" s="58" t="s">
        <v>20</v>
      </c>
      <c r="AI253" s="44" t="n">
        <v>0</v>
      </c>
      <c r="AJ253" s="44" t="s">
        <v>569</v>
      </c>
      <c r="AK253" s="44" t="s">
        <v>47</v>
      </c>
      <c r="AL253" s="44" t="s">
        <v>569</v>
      </c>
      <c r="AM253" s="44" t="n">
        <v>0</v>
      </c>
      <c r="AN253" s="44"/>
      <c r="AO253" s="44"/>
      <c r="AP253" s="44"/>
      <c r="AQ253" s="45" t="s">
        <v>589</v>
      </c>
      <c r="AR253" s="44" t="s">
        <v>1284</v>
      </c>
      <c r="AS253" s="44"/>
      <c r="AT253" s="44"/>
      <c r="AU253" s="44"/>
      <c r="AV253" s="44"/>
      <c r="AW253" s="44"/>
      <c r="AX253" s="44"/>
      <c r="AY253" s="44"/>
      <c r="AZ253" s="46"/>
    </row>
    <row r="254" customFormat="false" ht="18" hidden="false" customHeight="true" outlineLevel="0" collapsed="false">
      <c r="A254" s="47" t="s">
        <v>1507</v>
      </c>
      <c r="B254" s="48" t="s">
        <v>69</v>
      </c>
      <c r="C254" s="47" t="s">
        <v>1507</v>
      </c>
      <c r="D254" s="48" t="s">
        <v>698</v>
      </c>
      <c r="E254" s="48" t="s">
        <v>69</v>
      </c>
      <c r="F254" s="48" t="s">
        <v>1634</v>
      </c>
      <c r="G254" s="49" t="s">
        <v>1461</v>
      </c>
      <c r="H254" s="48" t="s">
        <v>1161</v>
      </c>
      <c r="I254" s="48" t="s">
        <v>1584</v>
      </c>
      <c r="J254" s="48" t="s">
        <v>24</v>
      </c>
      <c r="K254" s="48" t="s">
        <v>1158</v>
      </c>
      <c r="L254" s="48" t="s">
        <v>1158</v>
      </c>
      <c r="M254" s="48"/>
      <c r="N254" s="50" t="s">
        <v>1443</v>
      </c>
      <c r="O254" s="51" t="s">
        <v>1649</v>
      </c>
      <c r="P254" s="52" t="n">
        <v>1</v>
      </c>
      <c r="Q254" s="65"/>
      <c r="R254" s="52" t="s">
        <v>1513</v>
      </c>
      <c r="S254" s="52"/>
      <c r="T254" s="52"/>
      <c r="U254" s="53" t="n">
        <v>173550</v>
      </c>
      <c r="V254" s="54" t="n">
        <v>173550</v>
      </c>
      <c r="W254" s="55" t="n">
        <v>0.12</v>
      </c>
      <c r="X254" s="52" t="n">
        <v>0.055</v>
      </c>
      <c r="Y254" s="55" t="n">
        <v>0.12</v>
      </c>
      <c r="Z254" s="56"/>
      <c r="AA254" s="55" t="n">
        <v>0.04</v>
      </c>
      <c r="AB254" s="57" t="n">
        <v>231689.25</v>
      </c>
      <c r="AC254" s="44"/>
      <c r="AD254" s="44"/>
      <c r="AE254" s="44" t="n">
        <v>231689.25</v>
      </c>
      <c r="AF254" s="44" t="s">
        <v>69</v>
      </c>
      <c r="AG254" s="44" t="n">
        <v>0</v>
      </c>
      <c r="AH254" s="58" t="s">
        <v>24</v>
      </c>
      <c r="AI254" s="44" t="n">
        <v>0</v>
      </c>
      <c r="AJ254" s="44" t="s">
        <v>689</v>
      </c>
      <c r="AK254" s="44" t="s">
        <v>47</v>
      </c>
      <c r="AL254" s="44" t="s">
        <v>689</v>
      </c>
      <c r="AM254" s="44" t="n">
        <v>0</v>
      </c>
      <c r="AN254" s="44"/>
      <c r="AO254" s="44"/>
      <c r="AP254" s="44"/>
      <c r="AQ254" s="45" t="s">
        <v>697</v>
      </c>
      <c r="AR254" s="44" t="s">
        <v>1282</v>
      </c>
      <c r="AS254" s="44"/>
      <c r="AT254" s="44"/>
      <c r="AU254" s="44"/>
      <c r="AV254" s="44"/>
      <c r="AW254" s="44"/>
      <c r="AX254" s="44"/>
      <c r="AY254" s="44"/>
      <c r="AZ254" s="46"/>
    </row>
    <row r="255" customFormat="false" ht="18" hidden="false" customHeight="true" outlineLevel="0" collapsed="false">
      <c r="A255" s="47" t="s">
        <v>1507</v>
      </c>
      <c r="B255" s="48" t="s">
        <v>69</v>
      </c>
      <c r="C255" s="47" t="s">
        <v>1507</v>
      </c>
      <c r="D255" s="48" t="s">
        <v>1707</v>
      </c>
      <c r="E255" s="48" t="s">
        <v>69</v>
      </c>
      <c r="F255" s="48" t="s">
        <v>822</v>
      </c>
      <c r="G255" s="49" t="s">
        <v>1511</v>
      </c>
      <c r="H255" s="48" t="s">
        <v>1253</v>
      </c>
      <c r="I255" s="48" t="s">
        <v>1159</v>
      </c>
      <c r="J255" s="48" t="s">
        <v>1159</v>
      </c>
      <c r="K255" s="48" t="s">
        <v>1159</v>
      </c>
      <c r="L255" s="48" t="s">
        <v>1159</v>
      </c>
      <c r="M255" s="48"/>
      <c r="N255" s="50" t="s">
        <v>1443</v>
      </c>
      <c r="O255" s="51" t="s">
        <v>1649</v>
      </c>
      <c r="P255" s="52" t="n">
        <v>1</v>
      </c>
      <c r="Q255" s="51"/>
      <c r="R255" s="52" t="s">
        <v>1507</v>
      </c>
      <c r="S255" s="52"/>
      <c r="T255" s="52"/>
      <c r="U255" s="53" t="n">
        <v>173550</v>
      </c>
      <c r="V255" s="54" t="n">
        <v>173550</v>
      </c>
      <c r="W255" s="55" t="n">
        <v>0.12</v>
      </c>
      <c r="X255" s="52" t="n">
        <v>0.055</v>
      </c>
      <c r="Y255" s="55" t="n">
        <v>0.12</v>
      </c>
      <c r="Z255" s="56"/>
      <c r="AA255" s="55" t="n">
        <v>0.04</v>
      </c>
      <c r="AB255" s="57" t="n">
        <v>231689.25</v>
      </c>
      <c r="AC255" s="44"/>
      <c r="AD255" s="44"/>
      <c r="AE255" s="44" t="n">
        <v>231689.25</v>
      </c>
      <c r="AF255" s="44" t="s">
        <v>69</v>
      </c>
      <c r="AG255" s="44" t="n">
        <v>0</v>
      </c>
      <c r="AH255" s="58" t="s">
        <v>1514</v>
      </c>
      <c r="AI255" s="44" t="n">
        <v>0</v>
      </c>
      <c r="AJ255" s="44" t="s">
        <v>1253</v>
      </c>
      <c r="AK255" s="44" t="s">
        <v>47</v>
      </c>
      <c r="AL255" s="44" t="s">
        <v>1253</v>
      </c>
      <c r="AM255" s="44" t="n">
        <v>0</v>
      </c>
      <c r="AN255" s="44"/>
      <c r="AO255" s="44"/>
      <c r="AP255" s="44"/>
      <c r="AQ255" s="45" t="s">
        <v>1377</v>
      </c>
      <c r="AR255" s="44" t="s">
        <v>1282</v>
      </c>
      <c r="AS255" s="44"/>
      <c r="AT255" s="44"/>
      <c r="AU255" s="44"/>
      <c r="AV255" s="44"/>
      <c r="AW255" s="44"/>
      <c r="AX255" s="44"/>
      <c r="AY255" s="44"/>
      <c r="AZ255" s="46"/>
    </row>
    <row r="256" customFormat="false" ht="18" hidden="false" customHeight="true" outlineLevel="0" collapsed="false">
      <c r="A256" s="47" t="s">
        <v>1507</v>
      </c>
      <c r="B256" s="48" t="s">
        <v>69</v>
      </c>
      <c r="C256" s="47" t="s">
        <v>1507</v>
      </c>
      <c r="D256" s="48" t="s">
        <v>118</v>
      </c>
      <c r="E256" s="48" t="s">
        <v>214</v>
      </c>
      <c r="F256" s="48" t="s">
        <v>215</v>
      </c>
      <c r="G256" s="49" t="s">
        <v>1471</v>
      </c>
      <c r="H256" s="48" t="s">
        <v>14</v>
      </c>
      <c r="I256" s="48" t="s">
        <v>1627</v>
      </c>
      <c r="J256" s="48" t="s">
        <v>1567</v>
      </c>
      <c r="K256" s="48" t="s">
        <v>67</v>
      </c>
      <c r="L256" s="48" t="s">
        <v>58</v>
      </c>
      <c r="M256" s="48"/>
      <c r="N256" s="50" t="s">
        <v>1443</v>
      </c>
      <c r="O256" s="51" t="s">
        <v>1649</v>
      </c>
      <c r="P256" s="52" t="n">
        <v>1</v>
      </c>
      <c r="Q256" s="51"/>
      <c r="R256" s="52" t="s">
        <v>1513</v>
      </c>
      <c r="S256" s="52"/>
      <c r="T256" s="52"/>
      <c r="U256" s="53" t="n">
        <v>168160</v>
      </c>
      <c r="V256" s="54" t="n">
        <v>168160</v>
      </c>
      <c r="W256" s="55" t="n">
        <v>0.12</v>
      </c>
      <c r="X256" s="52" t="n">
        <v>0.055</v>
      </c>
      <c r="Y256" s="55" t="n">
        <v>0.12</v>
      </c>
      <c r="Z256" s="56"/>
      <c r="AA256" s="55" t="n">
        <v>0.04</v>
      </c>
      <c r="AB256" s="57" t="n">
        <v>224493.6</v>
      </c>
      <c r="AC256" s="44"/>
      <c r="AD256" s="44"/>
      <c r="AE256" s="44" t="n">
        <v>224493.6</v>
      </c>
      <c r="AF256" s="44" t="s">
        <v>69</v>
      </c>
      <c r="AG256" s="44" t="n">
        <v>0</v>
      </c>
      <c r="AH256" s="58" t="s">
        <v>14</v>
      </c>
      <c r="AI256" s="44" t="n">
        <v>0</v>
      </c>
      <c r="AJ256" s="44" t="s">
        <v>58</v>
      </c>
      <c r="AK256" s="44" t="s">
        <v>47</v>
      </c>
      <c r="AL256" s="44" t="s">
        <v>58</v>
      </c>
      <c r="AM256" s="44" t="n">
        <v>0</v>
      </c>
      <c r="AN256" s="44"/>
      <c r="AO256" s="44"/>
      <c r="AP256" s="44"/>
      <c r="AQ256" s="45" t="s">
        <v>117</v>
      </c>
      <c r="AR256" s="44" t="s">
        <v>1282</v>
      </c>
      <c r="AS256" s="44"/>
      <c r="AT256" s="44"/>
      <c r="AU256" s="44"/>
      <c r="AV256" s="44"/>
      <c r="AW256" s="44"/>
      <c r="AX256" s="44"/>
      <c r="AY256" s="44"/>
      <c r="AZ256" s="46"/>
    </row>
    <row r="257" customFormat="false" ht="18" hidden="false" customHeight="true" outlineLevel="0" collapsed="false">
      <c r="A257" s="47" t="n">
        <v>97784</v>
      </c>
      <c r="B257" s="48" t="s">
        <v>169</v>
      </c>
      <c r="C257" s="47" t="n">
        <v>97784</v>
      </c>
      <c r="D257" s="48" t="s">
        <v>84</v>
      </c>
      <c r="E257" s="48" t="s">
        <v>205</v>
      </c>
      <c r="F257" s="48" t="s">
        <v>1503</v>
      </c>
      <c r="G257" s="49" t="s">
        <v>1471</v>
      </c>
      <c r="H257" s="48" t="s">
        <v>14</v>
      </c>
      <c r="I257" s="48" t="s">
        <v>1504</v>
      </c>
      <c r="J257" s="48" t="s">
        <v>1567</v>
      </c>
      <c r="K257" s="48" t="s">
        <v>1285</v>
      </c>
      <c r="L257" s="48" t="s">
        <v>1636</v>
      </c>
      <c r="M257" s="48"/>
      <c r="N257" s="50" t="s">
        <v>1443</v>
      </c>
      <c r="O257" s="51" t="s">
        <v>1649</v>
      </c>
      <c r="P257" s="52" t="n">
        <v>1</v>
      </c>
      <c r="Q257" s="52"/>
      <c r="R257" s="52" t="s">
        <v>1519</v>
      </c>
      <c r="S257" s="52"/>
      <c r="T257" s="52"/>
      <c r="U257" s="53" t="n">
        <v>178018</v>
      </c>
      <c r="V257" s="54" t="n">
        <v>178018</v>
      </c>
      <c r="W257" s="55" t="n">
        <v>0.12</v>
      </c>
      <c r="X257" s="52" t="n">
        <v>0.055</v>
      </c>
      <c r="Y257" s="55" t="n">
        <v>0.12</v>
      </c>
      <c r="Z257" s="56"/>
      <c r="AA257" s="55" t="n">
        <v>0.04</v>
      </c>
      <c r="AB257" s="57" t="n">
        <v>237654.03</v>
      </c>
      <c r="AC257" s="44"/>
      <c r="AD257" s="44"/>
      <c r="AE257" s="44" t="n">
        <v>237654.03</v>
      </c>
      <c r="AF257" s="44" t="s">
        <v>53</v>
      </c>
      <c r="AG257" s="44" t="n">
        <v>0</v>
      </c>
      <c r="AH257" s="58" t="s">
        <v>14</v>
      </c>
      <c r="AI257" s="44" t="n">
        <v>0</v>
      </c>
      <c r="AJ257" s="44" t="s">
        <v>160</v>
      </c>
      <c r="AK257" s="44" t="s">
        <v>47</v>
      </c>
      <c r="AL257" s="44" t="s">
        <v>160</v>
      </c>
      <c r="AM257" s="44" t="n">
        <v>0</v>
      </c>
      <c r="AN257" s="44"/>
      <c r="AO257" s="44"/>
      <c r="AP257" s="44"/>
      <c r="AQ257" s="45" t="s">
        <v>168</v>
      </c>
      <c r="AR257" s="44" t="s">
        <v>1282</v>
      </c>
      <c r="AS257" s="44"/>
      <c r="AT257" s="44"/>
      <c r="AU257" s="44"/>
      <c r="AV257" s="44"/>
      <c r="AW257" s="44"/>
      <c r="AX257" s="44"/>
      <c r="AY257" s="44"/>
      <c r="AZ257" s="46"/>
    </row>
    <row r="258" customFormat="false" ht="18" hidden="false" customHeight="true" outlineLevel="0" collapsed="false">
      <c r="A258" s="47" t="n">
        <v>110704</v>
      </c>
      <c r="B258" s="48" t="s">
        <v>171</v>
      </c>
      <c r="C258" s="47" t="n">
        <v>110704</v>
      </c>
      <c r="D258" s="48" t="s">
        <v>84</v>
      </c>
      <c r="E258" s="48" t="s">
        <v>205</v>
      </c>
      <c r="F258" s="48" t="s">
        <v>1503</v>
      </c>
      <c r="G258" s="49" t="s">
        <v>1471</v>
      </c>
      <c r="H258" s="48" t="s">
        <v>14</v>
      </c>
      <c r="I258" s="48" t="s">
        <v>1504</v>
      </c>
      <c r="J258" s="48" t="s">
        <v>1567</v>
      </c>
      <c r="K258" s="48" t="s">
        <v>1285</v>
      </c>
      <c r="L258" s="48" t="s">
        <v>1636</v>
      </c>
      <c r="M258" s="48"/>
      <c r="N258" s="50" t="s">
        <v>1443</v>
      </c>
      <c r="O258" s="51" t="s">
        <v>1649</v>
      </c>
      <c r="P258" s="52" t="n">
        <v>1</v>
      </c>
      <c r="Q258" s="51"/>
      <c r="R258" s="52" t="s">
        <v>1519</v>
      </c>
      <c r="S258" s="52"/>
      <c r="T258" s="52"/>
      <c r="U258" s="53" t="n">
        <v>140000</v>
      </c>
      <c r="V258" s="54" t="n">
        <v>128800</v>
      </c>
      <c r="W258" s="55" t="n">
        <v>0.15</v>
      </c>
      <c r="X258" s="52"/>
      <c r="Y258" s="55" t="n">
        <v>0.05</v>
      </c>
      <c r="Z258" s="56" t="n">
        <v>2910</v>
      </c>
      <c r="AA258" s="55" t="n">
        <v>0.03</v>
      </c>
      <c r="AB258" s="57" t="n">
        <v>161334</v>
      </c>
      <c r="AC258" s="44"/>
      <c r="AD258" s="44"/>
      <c r="AE258" s="44" t="n">
        <v>161334</v>
      </c>
      <c r="AF258" s="44" t="s">
        <v>53</v>
      </c>
      <c r="AG258" s="44" t="n">
        <v>0</v>
      </c>
      <c r="AH258" s="58" t="s">
        <v>14</v>
      </c>
      <c r="AI258" s="44" t="n">
        <v>0</v>
      </c>
      <c r="AJ258" s="44" t="s">
        <v>160</v>
      </c>
      <c r="AK258" s="44" t="s">
        <v>47</v>
      </c>
      <c r="AL258" s="44" t="s">
        <v>160</v>
      </c>
      <c r="AM258" s="44" t="n">
        <v>0</v>
      </c>
      <c r="AN258" s="44"/>
      <c r="AO258" s="44"/>
      <c r="AP258" s="44"/>
      <c r="AQ258" s="45" t="s">
        <v>170</v>
      </c>
      <c r="AR258" s="44" t="s">
        <v>1282</v>
      </c>
      <c r="AS258" s="44"/>
      <c r="AT258" s="44"/>
      <c r="AU258" s="44"/>
      <c r="AV258" s="44"/>
      <c r="AW258" s="44"/>
      <c r="AX258" s="44"/>
      <c r="AY258" s="44"/>
      <c r="AZ258" s="46"/>
    </row>
    <row r="259" customFormat="false" ht="18" hidden="false" customHeight="true" outlineLevel="0" collapsed="false">
      <c r="A259" s="47" t="n">
        <v>4259</v>
      </c>
      <c r="B259" s="48" t="s">
        <v>138</v>
      </c>
      <c r="C259" s="47" t="n">
        <v>4259</v>
      </c>
      <c r="D259" s="48" t="s">
        <v>139</v>
      </c>
      <c r="E259" s="48" t="s">
        <v>211</v>
      </c>
      <c r="F259" s="48" t="s">
        <v>212</v>
      </c>
      <c r="G259" s="49" t="s">
        <v>1471</v>
      </c>
      <c r="H259" s="48" t="s">
        <v>14</v>
      </c>
      <c r="I259" s="48" t="s">
        <v>1602</v>
      </c>
      <c r="J259" s="48" t="s">
        <v>1567</v>
      </c>
      <c r="K259" s="48" t="s">
        <v>67</v>
      </c>
      <c r="L259" s="48" t="s">
        <v>67</v>
      </c>
      <c r="M259" s="48"/>
      <c r="N259" s="50" t="s">
        <v>1443</v>
      </c>
      <c r="O259" s="51" t="s">
        <v>1649</v>
      </c>
      <c r="P259" s="52" t="n">
        <v>1</v>
      </c>
      <c r="Q259" s="52"/>
      <c r="R259" s="52" t="s">
        <v>1519</v>
      </c>
      <c r="S259" s="52"/>
      <c r="T259" s="52"/>
      <c r="U259" s="53" t="n">
        <v>68900</v>
      </c>
      <c r="V259" s="54" t="n">
        <v>63388</v>
      </c>
      <c r="W259" s="55" t="n">
        <v>0.1</v>
      </c>
      <c r="X259" s="52"/>
      <c r="Y259" s="55" t="n">
        <v>0.05</v>
      </c>
      <c r="Z259" s="56" t="n">
        <v>2910</v>
      </c>
      <c r="AA259" s="55" t="n">
        <v>0.03</v>
      </c>
      <c r="AB259" s="57" t="n">
        <v>77707.84</v>
      </c>
      <c r="AC259" s="44"/>
      <c r="AD259" s="44"/>
      <c r="AE259" s="44" t="n">
        <v>77707.84</v>
      </c>
      <c r="AF259" s="44" t="s">
        <v>53</v>
      </c>
      <c r="AG259" s="44" t="n">
        <v>0</v>
      </c>
      <c r="AH259" s="58" t="s">
        <v>14</v>
      </c>
      <c r="AI259" s="44" t="n">
        <v>0</v>
      </c>
      <c r="AJ259" s="44" t="s">
        <v>67</v>
      </c>
      <c r="AK259" s="44" t="s">
        <v>47</v>
      </c>
      <c r="AL259" s="44" t="s">
        <v>67</v>
      </c>
      <c r="AM259" s="44" t="n">
        <v>0</v>
      </c>
      <c r="AN259" s="44"/>
      <c r="AO259" s="44"/>
      <c r="AP259" s="44"/>
      <c r="AQ259" s="45" t="s">
        <v>137</v>
      </c>
      <c r="AR259" s="44" t="s">
        <v>1282</v>
      </c>
      <c r="AS259" s="44"/>
      <c r="AT259" s="44"/>
      <c r="AU259" s="44"/>
      <c r="AV259" s="44"/>
      <c r="AW259" s="44"/>
      <c r="AX259" s="44"/>
      <c r="AY259" s="44"/>
      <c r="AZ259" s="46"/>
    </row>
    <row r="260" customFormat="false" ht="18" hidden="false" customHeight="true" outlineLevel="0" collapsed="false">
      <c r="A260" s="47" t="n">
        <v>111835</v>
      </c>
      <c r="B260" s="48" t="s">
        <v>93</v>
      </c>
      <c r="C260" s="47" t="n">
        <v>111835</v>
      </c>
      <c r="D260" s="48" t="s">
        <v>94</v>
      </c>
      <c r="E260" s="48" t="s">
        <v>211</v>
      </c>
      <c r="F260" s="48" t="s">
        <v>212</v>
      </c>
      <c r="G260" s="49" t="s">
        <v>1471</v>
      </c>
      <c r="H260" s="48" t="s">
        <v>14</v>
      </c>
      <c r="I260" s="48" t="s">
        <v>1602</v>
      </c>
      <c r="J260" s="48" t="s">
        <v>1567</v>
      </c>
      <c r="K260" s="48" t="s">
        <v>67</v>
      </c>
      <c r="L260" s="48" t="s">
        <v>61</v>
      </c>
      <c r="M260" s="48"/>
      <c r="N260" s="50" t="s">
        <v>1443</v>
      </c>
      <c r="O260" s="51" t="s">
        <v>1649</v>
      </c>
      <c r="P260" s="52" t="n">
        <v>1</v>
      </c>
      <c r="Q260" s="52"/>
      <c r="R260" s="52" t="s">
        <v>1519</v>
      </c>
      <c r="S260" s="52"/>
      <c r="T260" s="52"/>
      <c r="U260" s="53" t="n">
        <v>118020</v>
      </c>
      <c r="V260" s="54" t="n">
        <v>108578.4</v>
      </c>
      <c r="W260" s="55" t="n">
        <v>0.15</v>
      </c>
      <c r="X260" s="52"/>
      <c r="Y260" s="55" t="n">
        <v>0.05</v>
      </c>
      <c r="Z260" s="56" t="n">
        <v>2910</v>
      </c>
      <c r="AA260" s="55" t="n">
        <v>0.03</v>
      </c>
      <c r="AB260" s="57" t="n">
        <v>136461.432</v>
      </c>
      <c r="AC260" s="44"/>
      <c r="AD260" s="44"/>
      <c r="AE260" s="44" t="n">
        <v>136461.432</v>
      </c>
      <c r="AF260" s="44" t="s">
        <v>53</v>
      </c>
      <c r="AG260" s="44" t="n">
        <v>0</v>
      </c>
      <c r="AH260" s="58" t="s">
        <v>14</v>
      </c>
      <c r="AI260" s="44" t="n">
        <v>0</v>
      </c>
      <c r="AJ260" s="44" t="s">
        <v>61</v>
      </c>
      <c r="AK260" s="44" t="s">
        <v>47</v>
      </c>
      <c r="AL260" s="44" t="s">
        <v>61</v>
      </c>
      <c r="AM260" s="44" t="n">
        <v>0</v>
      </c>
      <c r="AN260" s="44"/>
      <c r="AO260" s="44"/>
      <c r="AP260" s="44"/>
      <c r="AQ260" s="45" t="s">
        <v>92</v>
      </c>
      <c r="AR260" s="44" t="s">
        <v>1282</v>
      </c>
      <c r="AS260" s="44"/>
      <c r="AT260" s="44"/>
      <c r="AU260" s="44"/>
      <c r="AV260" s="44"/>
      <c r="AW260" s="44"/>
      <c r="AX260" s="44"/>
      <c r="AY260" s="44"/>
      <c r="AZ260" s="46"/>
    </row>
    <row r="261" customFormat="false" ht="18" hidden="false" customHeight="true" outlineLevel="0" collapsed="false">
      <c r="A261" s="47" t="n">
        <v>95286</v>
      </c>
      <c r="B261" s="48" t="s">
        <v>194</v>
      </c>
      <c r="C261" s="47" t="n">
        <v>95286</v>
      </c>
      <c r="D261" s="48" t="s">
        <v>52</v>
      </c>
      <c r="E261" s="48" t="s">
        <v>211</v>
      </c>
      <c r="F261" s="48" t="s">
        <v>212</v>
      </c>
      <c r="G261" s="49" t="s">
        <v>1471</v>
      </c>
      <c r="H261" s="48" t="s">
        <v>14</v>
      </c>
      <c r="I261" s="48" t="s">
        <v>1602</v>
      </c>
      <c r="J261" s="48" t="s">
        <v>1442</v>
      </c>
      <c r="K261" s="48" t="s">
        <v>36</v>
      </c>
      <c r="L261" s="48" t="s">
        <v>184</v>
      </c>
      <c r="M261" s="48"/>
      <c r="N261" s="50" t="s">
        <v>1443</v>
      </c>
      <c r="O261" s="51" t="s">
        <v>1649</v>
      </c>
      <c r="P261" s="52" t="n">
        <v>1</v>
      </c>
      <c r="Q261" s="51"/>
      <c r="R261" s="52" t="s">
        <v>1519</v>
      </c>
      <c r="S261" s="52"/>
      <c r="T261" s="52"/>
      <c r="U261" s="53" t="n">
        <v>100000</v>
      </c>
      <c r="V261" s="54" t="n">
        <v>100000</v>
      </c>
      <c r="W261" s="55" t="n">
        <v>0.12</v>
      </c>
      <c r="X261" s="52" t="n">
        <v>0.055</v>
      </c>
      <c r="Y261" s="55" t="n">
        <v>0.12</v>
      </c>
      <c r="Z261" s="56"/>
      <c r="AA261" s="55" t="n">
        <v>0.04</v>
      </c>
      <c r="AB261" s="57" t="n">
        <v>133500</v>
      </c>
      <c r="AC261" s="44"/>
      <c r="AD261" s="44"/>
      <c r="AE261" s="44" t="n">
        <v>133500</v>
      </c>
      <c r="AF261" s="44" t="s">
        <v>53</v>
      </c>
      <c r="AG261" s="44" t="n">
        <v>0</v>
      </c>
      <c r="AH261" s="58" t="s">
        <v>14</v>
      </c>
      <c r="AI261" s="44" t="n">
        <v>0</v>
      </c>
      <c r="AJ261" s="44" t="s">
        <v>184</v>
      </c>
      <c r="AK261" s="44" t="s">
        <v>47</v>
      </c>
      <c r="AL261" s="44" t="s">
        <v>184</v>
      </c>
      <c r="AM261" s="44" t="n">
        <v>1</v>
      </c>
      <c r="AN261" s="44"/>
      <c r="AO261" s="44"/>
      <c r="AP261" s="44"/>
      <c r="AQ261" s="45" t="s">
        <v>193</v>
      </c>
      <c r="AR261" s="44" t="s">
        <v>1282</v>
      </c>
      <c r="AS261" s="44"/>
      <c r="AT261" s="44"/>
      <c r="AU261" s="44"/>
      <c r="AV261" s="44"/>
      <c r="AW261" s="44"/>
      <c r="AX261" s="44"/>
      <c r="AY261" s="44"/>
      <c r="AZ261" s="46"/>
    </row>
    <row r="262" customFormat="false" ht="18" hidden="false" customHeight="true" outlineLevel="0" collapsed="false">
      <c r="A262" s="47" t="n">
        <v>98007</v>
      </c>
      <c r="B262" s="48" t="s">
        <v>196</v>
      </c>
      <c r="C262" s="47" t="n">
        <v>98007</v>
      </c>
      <c r="D262" s="48" t="s">
        <v>52</v>
      </c>
      <c r="E262" s="48" t="s">
        <v>211</v>
      </c>
      <c r="F262" s="48" t="s">
        <v>212</v>
      </c>
      <c r="G262" s="49" t="s">
        <v>1471</v>
      </c>
      <c r="H262" s="48" t="s">
        <v>14</v>
      </c>
      <c r="I262" s="48" t="s">
        <v>1602</v>
      </c>
      <c r="J262" s="48" t="s">
        <v>1442</v>
      </c>
      <c r="K262" s="48" t="s">
        <v>36</v>
      </c>
      <c r="L262" s="48" t="s">
        <v>184</v>
      </c>
      <c r="M262" s="48"/>
      <c r="N262" s="50" t="s">
        <v>1443</v>
      </c>
      <c r="O262" s="51" t="s">
        <v>1649</v>
      </c>
      <c r="P262" s="52" t="n">
        <v>1</v>
      </c>
      <c r="Q262" s="52"/>
      <c r="R262" s="52" t="s">
        <v>1519</v>
      </c>
      <c r="S262" s="52"/>
      <c r="T262" s="52"/>
      <c r="U262" s="53" t="n">
        <v>200410</v>
      </c>
      <c r="V262" s="54" t="n">
        <v>200410</v>
      </c>
      <c r="W262" s="55" t="n">
        <v>0.12</v>
      </c>
      <c r="X262" s="52" t="n">
        <v>0.055</v>
      </c>
      <c r="Y262" s="55" t="n">
        <v>0.12</v>
      </c>
      <c r="Z262" s="56"/>
      <c r="AA262" s="55" t="n">
        <v>0.04</v>
      </c>
      <c r="AB262" s="57" t="n">
        <v>267547.35</v>
      </c>
      <c r="AC262" s="44"/>
      <c r="AD262" s="44"/>
      <c r="AE262" s="44" t="n">
        <v>267547.35</v>
      </c>
      <c r="AF262" s="44" t="s">
        <v>53</v>
      </c>
      <c r="AG262" s="44" t="n">
        <v>0</v>
      </c>
      <c r="AH262" s="58" t="s">
        <v>14</v>
      </c>
      <c r="AI262" s="44" t="n">
        <v>0</v>
      </c>
      <c r="AJ262" s="44" t="s">
        <v>184</v>
      </c>
      <c r="AK262" s="44" t="s">
        <v>47</v>
      </c>
      <c r="AL262" s="44" t="s">
        <v>184</v>
      </c>
      <c r="AM262" s="44" t="n">
        <v>1</v>
      </c>
      <c r="AN262" s="44"/>
      <c r="AO262" s="44"/>
      <c r="AP262" s="44"/>
      <c r="AQ262" s="45" t="s">
        <v>195</v>
      </c>
      <c r="AR262" s="44" t="s">
        <v>1282</v>
      </c>
      <c r="AS262" s="44"/>
      <c r="AT262" s="44"/>
      <c r="AU262" s="44"/>
      <c r="AV262" s="44"/>
      <c r="AW262" s="44"/>
      <c r="AX262" s="44"/>
      <c r="AY262" s="44"/>
      <c r="AZ262" s="46"/>
    </row>
    <row r="263" customFormat="false" ht="18" hidden="false" customHeight="true" outlineLevel="0" collapsed="false">
      <c r="A263" s="47" t="n">
        <v>114990</v>
      </c>
      <c r="B263" s="48" t="s">
        <v>51</v>
      </c>
      <c r="C263" s="47" t="n">
        <v>114990</v>
      </c>
      <c r="D263" s="48" t="s">
        <v>52</v>
      </c>
      <c r="E263" s="48" t="s">
        <v>211</v>
      </c>
      <c r="F263" s="48" t="s">
        <v>212</v>
      </c>
      <c r="G263" s="49" t="s">
        <v>1471</v>
      </c>
      <c r="H263" s="48" t="s">
        <v>14</v>
      </c>
      <c r="I263" s="48" t="s">
        <v>1602</v>
      </c>
      <c r="J263" s="48" t="s">
        <v>1567</v>
      </c>
      <c r="K263" s="48" t="s">
        <v>48</v>
      </c>
      <c r="L263" s="48" t="s">
        <v>48</v>
      </c>
      <c r="M263" s="48"/>
      <c r="N263" s="50" t="s">
        <v>1443</v>
      </c>
      <c r="O263" s="51" t="s">
        <v>1649</v>
      </c>
      <c r="P263" s="52" t="n">
        <v>1</v>
      </c>
      <c r="Q263" s="52"/>
      <c r="R263" s="52" t="s">
        <v>1519</v>
      </c>
      <c r="S263" s="52"/>
      <c r="T263" s="52"/>
      <c r="U263" s="53" t="n">
        <v>182500</v>
      </c>
      <c r="V263" s="54" t="n">
        <v>182500</v>
      </c>
      <c r="W263" s="55" t="n">
        <v>0.12</v>
      </c>
      <c r="X263" s="52" t="n">
        <v>0.055</v>
      </c>
      <c r="Y263" s="55" t="n">
        <v>0.12</v>
      </c>
      <c r="Z263" s="56"/>
      <c r="AA263" s="55" t="n">
        <v>0.04</v>
      </c>
      <c r="AB263" s="57" t="n">
        <v>243637.5</v>
      </c>
      <c r="AC263" s="44"/>
      <c r="AD263" s="44"/>
      <c r="AE263" s="44" t="n">
        <v>243637.5</v>
      </c>
      <c r="AF263" s="44" t="s">
        <v>53</v>
      </c>
      <c r="AG263" s="44" t="n">
        <v>0</v>
      </c>
      <c r="AH263" s="58" t="s">
        <v>14</v>
      </c>
      <c r="AI263" s="44" t="n">
        <v>0</v>
      </c>
      <c r="AJ263" s="44" t="s">
        <v>48</v>
      </c>
      <c r="AK263" s="44" t="s">
        <v>47</v>
      </c>
      <c r="AL263" s="44" t="s">
        <v>48</v>
      </c>
      <c r="AM263" s="44" t="n">
        <v>0</v>
      </c>
      <c r="AN263" s="44"/>
      <c r="AO263" s="44"/>
      <c r="AP263" s="44"/>
      <c r="AQ263" s="45" t="s">
        <v>50</v>
      </c>
      <c r="AR263" s="44" t="s">
        <v>1282</v>
      </c>
      <c r="AS263" s="44"/>
      <c r="AT263" s="44"/>
      <c r="AU263" s="44"/>
      <c r="AV263" s="44"/>
      <c r="AW263" s="44"/>
      <c r="AX263" s="44"/>
      <c r="AY263" s="44"/>
      <c r="AZ263" s="46"/>
    </row>
    <row r="264" customFormat="false" ht="18" hidden="false" customHeight="true" outlineLevel="0" collapsed="false">
      <c r="A264" s="47" t="n">
        <v>98924</v>
      </c>
      <c r="B264" s="48" t="s">
        <v>1085</v>
      </c>
      <c r="C264" s="47" t="n">
        <v>98924</v>
      </c>
      <c r="D264" s="48" t="s">
        <v>1086</v>
      </c>
      <c r="E264" s="48" t="s">
        <v>1079</v>
      </c>
      <c r="F264" s="48" t="s">
        <v>1668</v>
      </c>
      <c r="G264" s="49" t="s">
        <v>1527</v>
      </c>
      <c r="H264" s="48" t="s">
        <v>1338</v>
      </c>
      <c r="I264" s="48" t="s">
        <v>1159</v>
      </c>
      <c r="J264" s="48" t="s">
        <v>1159</v>
      </c>
      <c r="K264" s="48" t="s">
        <v>1159</v>
      </c>
      <c r="L264" s="48" t="s">
        <v>1159</v>
      </c>
      <c r="M264" s="48"/>
      <c r="N264" s="50" t="s">
        <v>1443</v>
      </c>
      <c r="O264" s="51" t="s">
        <v>1649</v>
      </c>
      <c r="P264" s="52" t="n">
        <v>1</v>
      </c>
      <c r="Q264" s="51"/>
      <c r="R264" s="52" t="s">
        <v>1519</v>
      </c>
      <c r="S264" s="52"/>
      <c r="T264" s="52"/>
      <c r="U264" s="53" t="n">
        <v>193690</v>
      </c>
      <c r="V264" s="54" t="n">
        <v>193690</v>
      </c>
      <c r="W264" s="55" t="n">
        <v>0.12</v>
      </c>
      <c r="X264" s="52" t="n">
        <v>0.055</v>
      </c>
      <c r="Y264" s="55" t="n">
        <v>0.12</v>
      </c>
      <c r="Z264" s="56"/>
      <c r="AA264" s="55" t="n">
        <v>0.04</v>
      </c>
      <c r="AB264" s="57" t="n">
        <v>258576.15</v>
      </c>
      <c r="AC264" s="44"/>
      <c r="AD264" s="44"/>
      <c r="AE264" s="44" t="n">
        <v>258576.15</v>
      </c>
      <c r="AF264" s="44" t="s">
        <v>53</v>
      </c>
      <c r="AG264" s="44" t="n">
        <v>0</v>
      </c>
      <c r="AH264" s="58" t="s">
        <v>25</v>
      </c>
      <c r="AI264" s="44" t="n">
        <v>0</v>
      </c>
      <c r="AJ264" s="44" t="s">
        <v>1077</v>
      </c>
      <c r="AK264" s="44" t="s">
        <v>47</v>
      </c>
      <c r="AL264" s="44" t="s">
        <v>1077</v>
      </c>
      <c r="AM264" s="44" t="n">
        <v>0</v>
      </c>
      <c r="AN264" s="44"/>
      <c r="AO264" s="44"/>
      <c r="AP264" s="44"/>
      <c r="AQ264" s="45" t="s">
        <v>1084</v>
      </c>
      <c r="AR264" s="44" t="s">
        <v>1282</v>
      </c>
      <c r="AS264" s="44"/>
      <c r="AT264" s="44"/>
      <c r="AU264" s="44"/>
      <c r="AV264" s="44"/>
      <c r="AW264" s="44"/>
      <c r="AX264" s="44"/>
      <c r="AY264" s="44"/>
      <c r="AZ264" s="46"/>
    </row>
    <row r="265" customFormat="false" ht="18" hidden="false" customHeight="true" outlineLevel="0" collapsed="false">
      <c r="A265" s="47" t="n">
        <v>117595</v>
      </c>
      <c r="B265" s="48" t="s">
        <v>418</v>
      </c>
      <c r="C265" s="47" t="n">
        <v>117595</v>
      </c>
      <c r="D265" s="48" t="s">
        <v>77</v>
      </c>
      <c r="E265" s="48" t="s">
        <v>443</v>
      </c>
      <c r="F265" s="48" t="s">
        <v>1438</v>
      </c>
      <c r="G265" s="49" t="s">
        <v>1439</v>
      </c>
      <c r="H265" s="48" t="s">
        <v>1440</v>
      </c>
      <c r="I265" s="48" t="s">
        <v>1441</v>
      </c>
      <c r="J265" s="48" t="s">
        <v>1442</v>
      </c>
      <c r="K265" s="48" t="s">
        <v>36</v>
      </c>
      <c r="L265" s="48" t="s">
        <v>405</v>
      </c>
      <c r="M265" s="48"/>
      <c r="N265" s="50" t="s">
        <v>1443</v>
      </c>
      <c r="O265" s="51" t="s">
        <v>1708</v>
      </c>
      <c r="P265" s="52" t="n">
        <v>1</v>
      </c>
      <c r="Q265" s="51"/>
      <c r="R265" s="52" t="s">
        <v>1519</v>
      </c>
      <c r="S265" s="52"/>
      <c r="T265" s="52"/>
      <c r="U265" s="53" t="n">
        <v>165000</v>
      </c>
      <c r="V265" s="54" t="n">
        <v>203550</v>
      </c>
      <c r="W265" s="55" t="n">
        <v>0.12</v>
      </c>
      <c r="X265" s="52" t="n">
        <v>0.055</v>
      </c>
      <c r="Y265" s="55" t="n">
        <v>0.12</v>
      </c>
      <c r="Z265" s="56"/>
      <c r="AA265" s="55" t="n">
        <v>0.04</v>
      </c>
      <c r="AB265" s="57" t="n">
        <v>216047.05</v>
      </c>
      <c r="AC265" s="44"/>
      <c r="AD265" s="44"/>
      <c r="AE265" s="44" t="n">
        <v>216047.05</v>
      </c>
      <c r="AF265" s="44" t="s">
        <v>53</v>
      </c>
      <c r="AG265" s="44" t="n">
        <v>0</v>
      </c>
      <c r="AH265" s="58" t="s">
        <v>1439</v>
      </c>
      <c r="AI265" s="44" t="n">
        <v>0</v>
      </c>
      <c r="AJ265" s="44" t="s">
        <v>405</v>
      </c>
      <c r="AK265" s="44" t="s">
        <v>47</v>
      </c>
      <c r="AL265" s="44" t="s">
        <v>405</v>
      </c>
      <c r="AM265" s="44" t="n">
        <v>1</v>
      </c>
      <c r="AN265" s="44" t="s">
        <v>53</v>
      </c>
      <c r="AO265" s="44"/>
      <c r="AP265" s="44"/>
      <c r="AQ265" s="45" t="s">
        <v>417</v>
      </c>
      <c r="AR265" s="44" t="s">
        <v>1282</v>
      </c>
      <c r="AS265" s="44"/>
      <c r="AT265" s="44"/>
      <c r="AU265" s="44"/>
      <c r="AV265" s="44"/>
      <c r="AW265" s="44"/>
      <c r="AX265" s="44"/>
      <c r="AY265" s="44"/>
      <c r="AZ265" s="46"/>
    </row>
    <row r="266" customFormat="false" ht="18" hidden="false" customHeight="true" outlineLevel="0" collapsed="false">
      <c r="A266" s="47" t="n">
        <v>98144</v>
      </c>
      <c r="B266" s="48" t="s">
        <v>420</v>
      </c>
      <c r="C266" s="47" t="n">
        <v>98144</v>
      </c>
      <c r="D266" s="48" t="s">
        <v>421</v>
      </c>
      <c r="E266" s="48" t="s">
        <v>334</v>
      </c>
      <c r="F266" s="48" t="s">
        <v>335</v>
      </c>
      <c r="G266" s="49" t="s">
        <v>1439</v>
      </c>
      <c r="H266" s="48" t="s">
        <v>1440</v>
      </c>
      <c r="I266" s="48" t="s">
        <v>1498</v>
      </c>
      <c r="J266" s="48" t="s">
        <v>1442</v>
      </c>
      <c r="K266" s="48" t="s">
        <v>36</v>
      </c>
      <c r="L266" s="48" t="s">
        <v>405</v>
      </c>
      <c r="M266" s="48"/>
      <c r="N266" s="50" t="s">
        <v>1443</v>
      </c>
      <c r="O266" s="51" t="s">
        <v>1708</v>
      </c>
      <c r="P266" s="52" t="n">
        <v>1</v>
      </c>
      <c r="Q266" s="52"/>
      <c r="R266" s="52" t="s">
        <v>1519</v>
      </c>
      <c r="S266" s="52"/>
      <c r="T266" s="52"/>
      <c r="U266" s="53" t="n">
        <v>163990</v>
      </c>
      <c r="V266" s="54" t="n">
        <v>163990</v>
      </c>
      <c r="W266" s="55" t="n">
        <v>0.12</v>
      </c>
      <c r="X266" s="52" t="n">
        <v>0.055</v>
      </c>
      <c r="Y266" s="55" t="n">
        <v>0.12</v>
      </c>
      <c r="Z266" s="56"/>
      <c r="AA266" s="55" t="n">
        <v>0.04</v>
      </c>
      <c r="AB266" s="57" t="n">
        <v>218926.65</v>
      </c>
      <c r="AC266" s="44"/>
      <c r="AD266" s="44"/>
      <c r="AE266" s="44" t="n">
        <v>218926.65</v>
      </c>
      <c r="AF266" s="44" t="s">
        <v>53</v>
      </c>
      <c r="AG266" s="44" t="n">
        <v>0</v>
      </c>
      <c r="AH266" s="58" t="s">
        <v>1439</v>
      </c>
      <c r="AI266" s="44" t="n">
        <v>0</v>
      </c>
      <c r="AJ266" s="44" t="s">
        <v>405</v>
      </c>
      <c r="AK266" s="44" t="s">
        <v>47</v>
      </c>
      <c r="AL266" s="44" t="s">
        <v>405</v>
      </c>
      <c r="AM266" s="44" t="n">
        <v>1</v>
      </c>
      <c r="AN266" s="44" t="s">
        <v>53</v>
      </c>
      <c r="AO266" s="44"/>
      <c r="AP266" s="44"/>
      <c r="AQ266" s="45" t="s">
        <v>419</v>
      </c>
      <c r="AR266" s="44" t="s">
        <v>1282</v>
      </c>
      <c r="AS266" s="44"/>
      <c r="AT266" s="44"/>
      <c r="AU266" s="44"/>
      <c r="AV266" s="44"/>
      <c r="AW266" s="44"/>
      <c r="AX266" s="44"/>
      <c r="AY266" s="44"/>
      <c r="AZ266" s="46"/>
    </row>
    <row r="267" customFormat="false" ht="18" hidden="false" customHeight="true" outlineLevel="0" collapsed="false">
      <c r="A267" s="47" t="n">
        <v>114411</v>
      </c>
      <c r="B267" s="48" t="s">
        <v>337</v>
      </c>
      <c r="C267" s="47" t="n">
        <v>114411</v>
      </c>
      <c r="D267" s="48" t="s">
        <v>338</v>
      </c>
      <c r="E267" s="48" t="s">
        <v>334</v>
      </c>
      <c r="F267" s="48" t="s">
        <v>335</v>
      </c>
      <c r="G267" s="49" t="s">
        <v>1439</v>
      </c>
      <c r="H267" s="48" t="s">
        <v>1440</v>
      </c>
      <c r="I267" s="48" t="s">
        <v>1498</v>
      </c>
      <c r="J267" s="48" t="s">
        <v>18</v>
      </c>
      <c r="K267" s="48" t="s">
        <v>1150</v>
      </c>
      <c r="L267" s="48" t="s">
        <v>307</v>
      </c>
      <c r="M267" s="48"/>
      <c r="N267" s="50" t="s">
        <v>1443</v>
      </c>
      <c r="O267" s="51" t="s">
        <v>1708</v>
      </c>
      <c r="P267" s="52" t="n">
        <v>1</v>
      </c>
      <c r="Q267" s="52"/>
      <c r="R267" s="52" t="s">
        <v>1519</v>
      </c>
      <c r="S267" s="52"/>
      <c r="T267" s="52"/>
      <c r="U267" s="53" t="n">
        <v>161830</v>
      </c>
      <c r="V267" s="54" t="n">
        <v>161830</v>
      </c>
      <c r="W267" s="55" t="n">
        <v>0.12</v>
      </c>
      <c r="X267" s="52" t="n">
        <v>0.055</v>
      </c>
      <c r="Y267" s="55" t="n">
        <v>0.12</v>
      </c>
      <c r="Z267" s="56"/>
      <c r="AA267" s="55" t="n">
        <v>0.04</v>
      </c>
      <c r="AB267" s="57" t="n">
        <v>216043.05</v>
      </c>
      <c r="AC267" s="44"/>
      <c r="AD267" s="44"/>
      <c r="AE267" s="44" t="n">
        <v>216043.05</v>
      </c>
      <c r="AF267" s="44" t="s">
        <v>53</v>
      </c>
      <c r="AG267" s="44" t="n">
        <v>0</v>
      </c>
      <c r="AH267" s="58" t="s">
        <v>1439</v>
      </c>
      <c r="AI267" s="44" t="n">
        <v>0</v>
      </c>
      <c r="AJ267" s="44" t="s">
        <v>307</v>
      </c>
      <c r="AK267" s="44" t="s">
        <v>47</v>
      </c>
      <c r="AL267" s="44" t="s">
        <v>307</v>
      </c>
      <c r="AM267" s="44" t="n">
        <v>0</v>
      </c>
      <c r="AN267" s="44" t="s">
        <v>53</v>
      </c>
      <c r="AO267" s="44"/>
      <c r="AP267" s="44"/>
      <c r="AQ267" s="45" t="s">
        <v>336</v>
      </c>
      <c r="AR267" s="44" t="s">
        <v>1282</v>
      </c>
      <c r="AS267" s="44"/>
      <c r="AT267" s="44"/>
      <c r="AU267" s="44"/>
      <c r="AV267" s="44"/>
      <c r="AW267" s="44"/>
      <c r="AX267" s="44"/>
      <c r="AY267" s="44"/>
      <c r="AZ267" s="46"/>
    </row>
    <row r="268" customFormat="false" ht="18" hidden="false" customHeight="true" outlineLevel="0" collapsed="false">
      <c r="A268" s="47" t="n">
        <v>108287</v>
      </c>
      <c r="B268" s="48" t="s">
        <v>340</v>
      </c>
      <c r="C268" s="47" t="n">
        <v>108287</v>
      </c>
      <c r="D268" s="48" t="s">
        <v>269</v>
      </c>
      <c r="E268" s="48" t="s">
        <v>451</v>
      </c>
      <c r="F268" s="48" t="s">
        <v>1482</v>
      </c>
      <c r="G268" s="49" t="s">
        <v>1439</v>
      </c>
      <c r="H268" s="48" t="s">
        <v>1440</v>
      </c>
      <c r="I268" s="48" t="s">
        <v>1483</v>
      </c>
      <c r="J268" s="48" t="s">
        <v>18</v>
      </c>
      <c r="K268" s="48" t="s">
        <v>1150</v>
      </c>
      <c r="L268" s="48" t="s">
        <v>307</v>
      </c>
      <c r="M268" s="48"/>
      <c r="N268" s="50" t="s">
        <v>1443</v>
      </c>
      <c r="O268" s="51" t="s">
        <v>1708</v>
      </c>
      <c r="P268" s="52" t="n">
        <v>1</v>
      </c>
      <c r="Q268" s="51"/>
      <c r="R268" s="52" t="s">
        <v>1519</v>
      </c>
      <c r="S268" s="52"/>
      <c r="T268" s="52"/>
      <c r="U268" s="53" t="n">
        <v>163310</v>
      </c>
      <c r="V268" s="54" t="n">
        <v>163310</v>
      </c>
      <c r="W268" s="55" t="n">
        <v>0.12</v>
      </c>
      <c r="X268" s="52" t="n">
        <v>0.055</v>
      </c>
      <c r="Y268" s="55" t="n">
        <v>0.12</v>
      </c>
      <c r="Z268" s="56"/>
      <c r="AA268" s="55" t="n">
        <v>0.04</v>
      </c>
      <c r="AB268" s="57" t="n">
        <v>218018.85</v>
      </c>
      <c r="AC268" s="44"/>
      <c r="AD268" s="44"/>
      <c r="AE268" s="44" t="n">
        <v>218018.85</v>
      </c>
      <c r="AF268" s="44" t="s">
        <v>53</v>
      </c>
      <c r="AG268" s="44" t="n">
        <v>0</v>
      </c>
      <c r="AH268" s="58" t="s">
        <v>1439</v>
      </c>
      <c r="AI268" s="44" t="n">
        <v>0</v>
      </c>
      <c r="AJ268" s="44" t="s">
        <v>307</v>
      </c>
      <c r="AK268" s="44" t="s">
        <v>47</v>
      </c>
      <c r="AL268" s="44" t="s">
        <v>307</v>
      </c>
      <c r="AM268" s="44" t="n">
        <v>0</v>
      </c>
      <c r="AN268" s="44" t="s">
        <v>53</v>
      </c>
      <c r="AO268" s="44"/>
      <c r="AP268" s="44"/>
      <c r="AQ268" s="45" t="s">
        <v>339</v>
      </c>
      <c r="AR268" s="44" t="s">
        <v>1282</v>
      </c>
      <c r="AS268" s="44"/>
      <c r="AT268" s="44"/>
      <c r="AU268" s="44"/>
      <c r="AV268" s="44"/>
      <c r="AW268" s="44"/>
      <c r="AX268" s="44"/>
      <c r="AY268" s="44"/>
      <c r="AZ268" s="46"/>
    </row>
    <row r="269" customFormat="false" ht="18" hidden="false" customHeight="true" outlineLevel="0" collapsed="false">
      <c r="A269" s="47" t="n">
        <v>109041</v>
      </c>
      <c r="B269" s="48" t="s">
        <v>380</v>
      </c>
      <c r="C269" s="47" t="n">
        <v>109041</v>
      </c>
      <c r="D269" s="48" t="s">
        <v>381</v>
      </c>
      <c r="E269" s="48" t="s">
        <v>451</v>
      </c>
      <c r="F269" s="48" t="s">
        <v>1482</v>
      </c>
      <c r="G269" s="49" t="s">
        <v>1439</v>
      </c>
      <c r="H269" s="48" t="s">
        <v>1440</v>
      </c>
      <c r="I269" s="48" t="s">
        <v>1483</v>
      </c>
      <c r="J269" s="48" t="s">
        <v>18</v>
      </c>
      <c r="K269" s="48" t="s">
        <v>1150</v>
      </c>
      <c r="L269" s="48" t="s">
        <v>318</v>
      </c>
      <c r="M269" s="48"/>
      <c r="N269" s="50" t="s">
        <v>1443</v>
      </c>
      <c r="O269" s="51" t="s">
        <v>1708</v>
      </c>
      <c r="P269" s="52" t="n">
        <v>1</v>
      </c>
      <c r="Q269" s="51"/>
      <c r="R269" s="52" t="s">
        <v>1519</v>
      </c>
      <c r="S269" s="52"/>
      <c r="T269" s="52"/>
      <c r="U269" s="53" t="n">
        <v>155320</v>
      </c>
      <c r="V269" s="54" t="n">
        <v>155320</v>
      </c>
      <c r="W269" s="55" t="n">
        <v>0.12</v>
      </c>
      <c r="X269" s="52" t="n">
        <v>0.055</v>
      </c>
      <c r="Y269" s="55" t="n">
        <v>0.12</v>
      </c>
      <c r="Z269" s="56"/>
      <c r="AA269" s="55" t="n">
        <v>0.04</v>
      </c>
      <c r="AB269" s="57" t="n">
        <v>207352.2</v>
      </c>
      <c r="AC269" s="44"/>
      <c r="AD269" s="44"/>
      <c r="AE269" s="44" t="n">
        <v>207352.2</v>
      </c>
      <c r="AF269" s="44" t="s">
        <v>53</v>
      </c>
      <c r="AG269" s="44" t="n">
        <v>0</v>
      </c>
      <c r="AH269" s="58" t="s">
        <v>1439</v>
      </c>
      <c r="AI269" s="44" t="n">
        <v>0</v>
      </c>
      <c r="AJ269" s="44" t="s">
        <v>318</v>
      </c>
      <c r="AK269" s="44" t="s">
        <v>47</v>
      </c>
      <c r="AL269" s="44" t="s">
        <v>318</v>
      </c>
      <c r="AM269" s="44" t="n">
        <v>0</v>
      </c>
      <c r="AN269" s="44" t="s">
        <v>53</v>
      </c>
      <c r="AO269" s="44"/>
      <c r="AP269" s="44"/>
      <c r="AQ269" s="45" t="s">
        <v>379</v>
      </c>
      <c r="AR269" s="44" t="s">
        <v>1282</v>
      </c>
      <c r="AS269" s="44"/>
      <c r="AT269" s="44"/>
      <c r="AU269" s="44"/>
      <c r="AV269" s="44"/>
      <c r="AW269" s="44"/>
      <c r="AX269" s="44"/>
      <c r="AY269" s="44"/>
      <c r="AZ269" s="46"/>
    </row>
    <row r="270" customFormat="false" ht="18" hidden="false" customHeight="true" outlineLevel="0" collapsed="false">
      <c r="A270" s="47" t="n">
        <v>116957</v>
      </c>
      <c r="B270" s="48" t="s">
        <v>342</v>
      </c>
      <c r="C270" s="47" t="n">
        <v>116957</v>
      </c>
      <c r="D270" s="48" t="s">
        <v>343</v>
      </c>
      <c r="E270" s="48" t="s">
        <v>451</v>
      </c>
      <c r="F270" s="48" t="s">
        <v>1482</v>
      </c>
      <c r="G270" s="49" t="s">
        <v>1439</v>
      </c>
      <c r="H270" s="48" t="s">
        <v>1440</v>
      </c>
      <c r="I270" s="48" t="s">
        <v>1577</v>
      </c>
      <c r="J270" s="48" t="s">
        <v>18</v>
      </c>
      <c r="K270" s="48" t="s">
        <v>1150</v>
      </c>
      <c r="L270" s="48" t="s">
        <v>307</v>
      </c>
      <c r="M270" s="48"/>
      <c r="N270" s="50" t="s">
        <v>1443</v>
      </c>
      <c r="O270" s="51" t="s">
        <v>1708</v>
      </c>
      <c r="P270" s="52" t="n">
        <v>1</v>
      </c>
      <c r="Q270" s="51"/>
      <c r="R270" s="52" t="s">
        <v>1641</v>
      </c>
      <c r="S270" s="52"/>
      <c r="T270" s="52"/>
      <c r="U270" s="53" t="n">
        <v>165000</v>
      </c>
      <c r="V270" s="54" t="n">
        <v>165000</v>
      </c>
      <c r="W270" s="55" t="n">
        <v>0.12</v>
      </c>
      <c r="X270" s="52" t="n">
        <v>0.055</v>
      </c>
      <c r="Y270" s="55" t="n">
        <v>0.12</v>
      </c>
      <c r="Z270" s="56"/>
      <c r="AA270" s="55" t="n">
        <v>0.04</v>
      </c>
      <c r="AB270" s="57" t="n">
        <v>216046.05</v>
      </c>
      <c r="AC270" s="44" t="s">
        <v>1709</v>
      </c>
      <c r="AD270" s="44"/>
      <c r="AE270" s="44" t="n">
        <v>216046.05</v>
      </c>
      <c r="AF270" s="44" t="s">
        <v>53</v>
      </c>
      <c r="AG270" s="44" t="n">
        <v>0</v>
      </c>
      <c r="AH270" s="58" t="s">
        <v>1439</v>
      </c>
      <c r="AI270" s="44" t="n">
        <v>0</v>
      </c>
      <c r="AJ270" s="44" t="s">
        <v>307</v>
      </c>
      <c r="AK270" s="44" t="s">
        <v>47</v>
      </c>
      <c r="AL270" s="44" t="s">
        <v>307</v>
      </c>
      <c r="AM270" s="44" t="n">
        <v>0</v>
      </c>
      <c r="AN270" s="44" t="s">
        <v>53</v>
      </c>
      <c r="AO270" s="44" t="s">
        <v>1709</v>
      </c>
      <c r="AP270" s="59" t="n">
        <v>46514</v>
      </c>
      <c r="AQ270" s="45" t="s">
        <v>341</v>
      </c>
      <c r="AR270" s="44" t="s">
        <v>1282</v>
      </c>
      <c r="AS270" s="44"/>
      <c r="AT270" s="44"/>
      <c r="AU270" s="44"/>
      <c r="AV270" s="44"/>
      <c r="AW270" s="44"/>
      <c r="AX270" s="44"/>
      <c r="AY270" s="44"/>
      <c r="AZ270" s="46"/>
    </row>
    <row r="271" customFormat="false" ht="18" hidden="false" customHeight="true" outlineLevel="0" collapsed="false">
      <c r="A271" s="47" t="n">
        <v>107781</v>
      </c>
      <c r="B271" s="48" t="s">
        <v>423</v>
      </c>
      <c r="C271" s="47" t="n">
        <v>107781</v>
      </c>
      <c r="D271" s="48" t="s">
        <v>52</v>
      </c>
      <c r="E271" s="48" t="s">
        <v>451</v>
      </c>
      <c r="F271" s="48" t="s">
        <v>1482</v>
      </c>
      <c r="G271" s="49" t="s">
        <v>1439</v>
      </c>
      <c r="H271" s="48" t="s">
        <v>1440</v>
      </c>
      <c r="I271" s="48" t="s">
        <v>1483</v>
      </c>
      <c r="J271" s="48" t="s">
        <v>1442</v>
      </c>
      <c r="K271" s="48" t="s">
        <v>36</v>
      </c>
      <c r="L271" s="48" t="s">
        <v>405</v>
      </c>
      <c r="M271" s="48"/>
      <c r="N271" s="50" t="s">
        <v>1443</v>
      </c>
      <c r="O271" s="51" t="s">
        <v>1708</v>
      </c>
      <c r="P271" s="52" t="n">
        <v>1</v>
      </c>
      <c r="Q271" s="51"/>
      <c r="R271" s="52" t="s">
        <v>1519</v>
      </c>
      <c r="S271" s="52"/>
      <c r="T271" s="52"/>
      <c r="U271" s="53" t="n">
        <v>167750</v>
      </c>
      <c r="V271" s="54" t="n">
        <v>167750</v>
      </c>
      <c r="W271" s="55" t="n">
        <v>0.12</v>
      </c>
      <c r="X271" s="52" t="n">
        <v>0.055</v>
      </c>
      <c r="Y271" s="55" t="n">
        <v>0.12</v>
      </c>
      <c r="Z271" s="56"/>
      <c r="AA271" s="55" t="n">
        <v>0.04</v>
      </c>
      <c r="AB271" s="57" t="n">
        <v>223946.25</v>
      </c>
      <c r="AC271" s="44"/>
      <c r="AD271" s="44"/>
      <c r="AE271" s="44" t="n">
        <v>223946.25</v>
      </c>
      <c r="AF271" s="44" t="s">
        <v>53</v>
      </c>
      <c r="AG271" s="44" t="n">
        <v>0</v>
      </c>
      <c r="AH271" s="58" t="s">
        <v>1439</v>
      </c>
      <c r="AI271" s="44" t="n">
        <v>0</v>
      </c>
      <c r="AJ271" s="44" t="s">
        <v>405</v>
      </c>
      <c r="AK271" s="44" t="s">
        <v>47</v>
      </c>
      <c r="AL271" s="44" t="s">
        <v>405</v>
      </c>
      <c r="AM271" s="44" t="n">
        <v>1</v>
      </c>
      <c r="AN271" s="44" t="s">
        <v>53</v>
      </c>
      <c r="AO271" s="44"/>
      <c r="AP271" s="44"/>
      <c r="AQ271" s="45" t="s">
        <v>422</v>
      </c>
      <c r="AR271" s="44" t="s">
        <v>1282</v>
      </c>
      <c r="AS271" s="44"/>
      <c r="AT271" s="44"/>
      <c r="AU271" s="44"/>
      <c r="AV271" s="44"/>
      <c r="AW271" s="44"/>
      <c r="AX271" s="44"/>
      <c r="AY271" s="44"/>
      <c r="AZ271" s="46"/>
    </row>
    <row r="272" customFormat="false" ht="18" hidden="false" customHeight="true" outlineLevel="0" collapsed="false">
      <c r="A272" s="47" t="n">
        <v>114395</v>
      </c>
      <c r="B272" s="48" t="s">
        <v>425</v>
      </c>
      <c r="C272" s="47" t="n">
        <v>114395</v>
      </c>
      <c r="D272" s="48" t="s">
        <v>426</v>
      </c>
      <c r="E272" s="48" t="s">
        <v>451</v>
      </c>
      <c r="F272" s="48" t="s">
        <v>1482</v>
      </c>
      <c r="G272" s="49" t="s">
        <v>1439</v>
      </c>
      <c r="H272" s="48" t="s">
        <v>1440</v>
      </c>
      <c r="I272" s="48" t="s">
        <v>1483</v>
      </c>
      <c r="J272" s="48" t="s">
        <v>1442</v>
      </c>
      <c r="K272" s="48" t="s">
        <v>36</v>
      </c>
      <c r="L272" s="48" t="s">
        <v>405</v>
      </c>
      <c r="M272" s="48"/>
      <c r="N272" s="50" t="s">
        <v>1443</v>
      </c>
      <c r="O272" s="51" t="s">
        <v>1708</v>
      </c>
      <c r="P272" s="52" t="n">
        <v>1</v>
      </c>
      <c r="Q272" s="51"/>
      <c r="R272" s="52" t="s">
        <v>1519</v>
      </c>
      <c r="S272" s="52"/>
      <c r="T272" s="52"/>
      <c r="U272" s="53" t="n">
        <v>148310</v>
      </c>
      <c r="V272" s="54" t="n">
        <v>148310</v>
      </c>
      <c r="W272" s="55" t="n">
        <v>0.12</v>
      </c>
      <c r="X272" s="52" t="n">
        <v>0.055</v>
      </c>
      <c r="Y272" s="55" t="n">
        <v>0.12</v>
      </c>
      <c r="Z272" s="56"/>
      <c r="AA272" s="55" t="n">
        <v>0.04</v>
      </c>
      <c r="AB272" s="57" t="n">
        <v>197993.85</v>
      </c>
      <c r="AC272" s="44"/>
      <c r="AD272" s="44"/>
      <c r="AE272" s="44" t="n">
        <v>197993.85</v>
      </c>
      <c r="AF272" s="44" t="s">
        <v>53</v>
      </c>
      <c r="AG272" s="44" t="n">
        <v>0</v>
      </c>
      <c r="AH272" s="58" t="s">
        <v>1439</v>
      </c>
      <c r="AI272" s="44" t="n">
        <v>0</v>
      </c>
      <c r="AJ272" s="44" t="s">
        <v>405</v>
      </c>
      <c r="AK272" s="44" t="s">
        <v>47</v>
      </c>
      <c r="AL272" s="44" t="s">
        <v>405</v>
      </c>
      <c r="AM272" s="44" t="n">
        <v>1</v>
      </c>
      <c r="AN272" s="44" t="s">
        <v>53</v>
      </c>
      <c r="AO272" s="44"/>
      <c r="AP272" s="44"/>
      <c r="AQ272" s="45" t="s">
        <v>424</v>
      </c>
      <c r="AR272" s="44" t="s">
        <v>1282</v>
      </c>
      <c r="AS272" s="44"/>
      <c r="AT272" s="44"/>
      <c r="AU272" s="44"/>
      <c r="AV272" s="44"/>
      <c r="AW272" s="44"/>
      <c r="AX272" s="44"/>
      <c r="AY272" s="44"/>
      <c r="AZ272" s="46"/>
    </row>
    <row r="273" customFormat="false" ht="18" hidden="false" customHeight="true" outlineLevel="0" collapsed="false">
      <c r="A273" s="47" t="n">
        <v>115964</v>
      </c>
      <c r="B273" s="48" t="s">
        <v>345</v>
      </c>
      <c r="C273" s="47" t="n">
        <v>115964</v>
      </c>
      <c r="D273" s="48" t="s">
        <v>346</v>
      </c>
      <c r="E273" s="48" t="s">
        <v>451</v>
      </c>
      <c r="F273" s="48" t="s">
        <v>1482</v>
      </c>
      <c r="G273" s="49" t="s">
        <v>1439</v>
      </c>
      <c r="H273" s="48" t="s">
        <v>1440</v>
      </c>
      <c r="I273" s="48" t="s">
        <v>1483</v>
      </c>
      <c r="J273" s="48" t="s">
        <v>18</v>
      </c>
      <c r="K273" s="48" t="s">
        <v>1150</v>
      </c>
      <c r="L273" s="48" t="s">
        <v>307</v>
      </c>
      <c r="M273" s="48"/>
      <c r="N273" s="50" t="s">
        <v>1443</v>
      </c>
      <c r="O273" s="51" t="s">
        <v>1708</v>
      </c>
      <c r="P273" s="52" t="n">
        <v>1</v>
      </c>
      <c r="Q273" s="51"/>
      <c r="R273" s="52" t="s">
        <v>1519</v>
      </c>
      <c r="S273" s="52"/>
      <c r="T273" s="52"/>
      <c r="U273" s="53" t="n">
        <v>126350</v>
      </c>
      <c r="V273" s="54" t="n">
        <v>203550</v>
      </c>
      <c r="W273" s="55" t="n">
        <v>0.12</v>
      </c>
      <c r="X273" s="52" t="n">
        <v>0.055</v>
      </c>
      <c r="Y273" s="55" t="n">
        <v>0.12</v>
      </c>
      <c r="Z273" s="56"/>
      <c r="AA273" s="55" t="n">
        <v>0.04</v>
      </c>
      <c r="AB273" s="57" t="n">
        <v>216044.05</v>
      </c>
      <c r="AC273" s="44"/>
      <c r="AD273" s="44"/>
      <c r="AE273" s="44" t="n">
        <v>216044.05</v>
      </c>
      <c r="AF273" s="44" t="s">
        <v>53</v>
      </c>
      <c r="AG273" s="44" t="n">
        <v>0</v>
      </c>
      <c r="AH273" s="58" t="s">
        <v>1439</v>
      </c>
      <c r="AI273" s="44" t="n">
        <v>0</v>
      </c>
      <c r="AJ273" s="44" t="s">
        <v>307</v>
      </c>
      <c r="AK273" s="44" t="s">
        <v>47</v>
      </c>
      <c r="AL273" s="44" t="s">
        <v>307</v>
      </c>
      <c r="AM273" s="44" t="n">
        <v>0</v>
      </c>
      <c r="AN273" s="44" t="s">
        <v>53</v>
      </c>
      <c r="AO273" s="44"/>
      <c r="AP273" s="44"/>
      <c r="AQ273" s="45" t="s">
        <v>344</v>
      </c>
      <c r="AR273" s="44" t="s">
        <v>1282</v>
      </c>
      <c r="AS273" s="44"/>
      <c r="AT273" s="44"/>
      <c r="AU273" s="44"/>
      <c r="AV273" s="44"/>
      <c r="AW273" s="44"/>
      <c r="AX273" s="44"/>
      <c r="AY273" s="44"/>
      <c r="AZ273" s="46"/>
    </row>
    <row r="274" customFormat="false" ht="18" hidden="false" customHeight="true" outlineLevel="0" collapsed="false">
      <c r="A274" s="47" t="s">
        <v>1507</v>
      </c>
      <c r="B274" s="48" t="s">
        <v>69</v>
      </c>
      <c r="C274" s="47" t="s">
        <v>1507</v>
      </c>
      <c r="D274" s="48" t="s">
        <v>388</v>
      </c>
      <c r="E274" s="48" t="s">
        <v>69</v>
      </c>
      <c r="F274" s="48" t="s">
        <v>1710</v>
      </c>
      <c r="G274" s="49" t="s">
        <v>1439</v>
      </c>
      <c r="H274" s="48" t="s">
        <v>1572</v>
      </c>
      <c r="I274" s="48"/>
      <c r="J274" s="48" t="s">
        <v>18</v>
      </c>
      <c r="K274" s="48" t="s">
        <v>1162</v>
      </c>
      <c r="L274" s="48" t="s">
        <v>311</v>
      </c>
      <c r="M274" s="48"/>
      <c r="N274" s="50" t="s">
        <v>1443</v>
      </c>
      <c r="O274" s="51" t="s">
        <v>1708</v>
      </c>
      <c r="P274" s="52" t="n">
        <v>1</v>
      </c>
      <c r="Q274" s="51"/>
      <c r="R274" s="52" t="s">
        <v>69</v>
      </c>
      <c r="S274" s="52"/>
      <c r="T274" s="52"/>
      <c r="U274" s="53" t="n">
        <v>145910</v>
      </c>
      <c r="V274" s="54" t="n">
        <v>145910</v>
      </c>
      <c r="W274" s="55" t="n">
        <v>0.12</v>
      </c>
      <c r="X274" s="52" t="n">
        <v>0.055</v>
      </c>
      <c r="Y274" s="55" t="n">
        <v>0.12</v>
      </c>
      <c r="Z274" s="56"/>
      <c r="AA274" s="55" t="n">
        <v>0.04</v>
      </c>
      <c r="AB274" s="57" t="n">
        <v>194789.85</v>
      </c>
      <c r="AC274" s="44"/>
      <c r="AD274" s="44"/>
      <c r="AE274" s="44" t="n">
        <v>194789.85</v>
      </c>
      <c r="AF274" s="44" t="s">
        <v>53</v>
      </c>
      <c r="AG274" s="44" t="n">
        <v>0</v>
      </c>
      <c r="AH274" s="58" t="s">
        <v>1439</v>
      </c>
      <c r="AI274" s="44" t="n">
        <v>0</v>
      </c>
      <c r="AJ274" s="44" t="s">
        <v>311</v>
      </c>
      <c r="AK274" s="44" t="s">
        <v>47</v>
      </c>
      <c r="AL274" s="44" t="s">
        <v>311</v>
      </c>
      <c r="AM274" s="44" t="n">
        <v>0</v>
      </c>
      <c r="AN274" s="44" t="s">
        <v>69</v>
      </c>
      <c r="AO274" s="44"/>
      <c r="AP274" s="44"/>
      <c r="AQ274" s="45" t="s">
        <v>386</v>
      </c>
      <c r="AR274" s="44" t="s">
        <v>1282</v>
      </c>
      <c r="AS274" s="44"/>
      <c r="AT274" s="44"/>
      <c r="AU274" s="44"/>
      <c r="AV274" s="44"/>
      <c r="AW274" s="44"/>
      <c r="AX274" s="44"/>
      <c r="AY274" s="44"/>
      <c r="AZ274" s="46"/>
    </row>
    <row r="275" customFormat="false" ht="18" hidden="false" customHeight="true" outlineLevel="0" collapsed="false">
      <c r="A275" s="47" t="s">
        <v>1507</v>
      </c>
      <c r="B275" s="48" t="s">
        <v>69</v>
      </c>
      <c r="C275" s="47" t="s">
        <v>1507</v>
      </c>
      <c r="D275" s="48" t="s">
        <v>1711</v>
      </c>
      <c r="E275" s="48" t="s">
        <v>69</v>
      </c>
      <c r="F275" s="48" t="s">
        <v>1710</v>
      </c>
      <c r="G275" s="49" t="s">
        <v>1439</v>
      </c>
      <c r="H275" s="48" t="s">
        <v>1572</v>
      </c>
      <c r="I275" s="48"/>
      <c r="J275" s="48" t="s">
        <v>18</v>
      </c>
      <c r="K275" s="48" t="s">
        <v>1162</v>
      </c>
      <c r="L275" s="48" t="s">
        <v>311</v>
      </c>
      <c r="M275" s="48"/>
      <c r="N275" s="50" t="s">
        <v>1443</v>
      </c>
      <c r="O275" s="51" t="s">
        <v>1708</v>
      </c>
      <c r="P275" s="52" t="n">
        <v>1</v>
      </c>
      <c r="Q275" s="51"/>
      <c r="R275" s="52" t="s">
        <v>69</v>
      </c>
      <c r="S275" s="52"/>
      <c r="T275" s="52"/>
      <c r="U275" s="53" t="n">
        <v>145910</v>
      </c>
      <c r="V275" s="54" t="n">
        <v>145910</v>
      </c>
      <c r="W275" s="55" t="n">
        <v>0.12</v>
      </c>
      <c r="X275" s="52" t="n">
        <v>0.055</v>
      </c>
      <c r="Y275" s="55" t="n">
        <v>0.12</v>
      </c>
      <c r="Z275" s="56"/>
      <c r="AA275" s="55" t="n">
        <v>0.04</v>
      </c>
      <c r="AB275" s="57" t="n">
        <v>194789.85</v>
      </c>
      <c r="AC275" s="44"/>
      <c r="AD275" s="44"/>
      <c r="AE275" s="44" t="n">
        <v>194789.85</v>
      </c>
      <c r="AF275" s="44" t="s">
        <v>69</v>
      </c>
      <c r="AG275" s="44" t="n">
        <v>0</v>
      </c>
      <c r="AH275" s="58" t="s">
        <v>1439</v>
      </c>
      <c r="AI275" s="44" t="n">
        <v>0</v>
      </c>
      <c r="AJ275" s="44" t="s">
        <v>311</v>
      </c>
      <c r="AK275" s="44" t="s">
        <v>47</v>
      </c>
      <c r="AL275" s="44" t="s">
        <v>311</v>
      </c>
      <c r="AM275" s="44" t="n">
        <v>0</v>
      </c>
      <c r="AN275" s="44" t="s">
        <v>69</v>
      </c>
      <c r="AO275" s="44"/>
      <c r="AP275" s="44"/>
      <c r="AQ275" s="45" t="s">
        <v>389</v>
      </c>
      <c r="AR275" s="44" t="s">
        <v>1282</v>
      </c>
      <c r="AS275" s="44"/>
      <c r="AT275" s="44"/>
      <c r="AU275" s="44"/>
      <c r="AV275" s="44"/>
      <c r="AW275" s="44"/>
      <c r="AX275" s="44"/>
      <c r="AY275" s="44"/>
      <c r="AZ275" s="46"/>
    </row>
    <row r="276" customFormat="false" ht="18" hidden="false" customHeight="true" outlineLevel="0" collapsed="false">
      <c r="A276" s="47" t="n">
        <v>116387</v>
      </c>
      <c r="B276" s="48" t="s">
        <v>433</v>
      </c>
      <c r="C276" s="47" t="n">
        <v>116387</v>
      </c>
      <c r="D276" s="48" t="s">
        <v>77</v>
      </c>
      <c r="E276" s="48" t="s">
        <v>69</v>
      </c>
      <c r="F276" s="48" t="s">
        <v>1712</v>
      </c>
      <c r="G276" s="49" t="s">
        <v>1439</v>
      </c>
      <c r="H276" s="48" t="s">
        <v>1573</v>
      </c>
      <c r="I276" s="48"/>
      <c r="J276" s="48" t="s">
        <v>18</v>
      </c>
      <c r="K276" s="48" t="s">
        <v>405</v>
      </c>
      <c r="L276" s="48" t="s">
        <v>1574</v>
      </c>
      <c r="M276" s="48"/>
      <c r="N276" s="50" t="s">
        <v>1443</v>
      </c>
      <c r="O276" s="51" t="s">
        <v>1708</v>
      </c>
      <c r="P276" s="52" t="n">
        <v>1</v>
      </c>
      <c r="Q276" s="51"/>
      <c r="R276" s="52" t="s">
        <v>1641</v>
      </c>
      <c r="S276" s="52"/>
      <c r="T276" s="52"/>
      <c r="U276" s="53" t="n">
        <v>165000</v>
      </c>
      <c r="V276" s="54" t="n">
        <v>165000</v>
      </c>
      <c r="W276" s="55" t="n">
        <v>0.12</v>
      </c>
      <c r="X276" s="52" t="n">
        <v>0.055</v>
      </c>
      <c r="Y276" s="55" t="n">
        <v>0.12</v>
      </c>
      <c r="Z276" s="56"/>
      <c r="AA276" s="55" t="n">
        <v>0.04</v>
      </c>
      <c r="AB276" s="57" t="n">
        <v>216045.05</v>
      </c>
      <c r="AC276" s="44" t="s">
        <v>1647</v>
      </c>
      <c r="AD276" s="44"/>
      <c r="AE276" s="44" t="n">
        <v>216045.05</v>
      </c>
      <c r="AF276" s="44" t="s">
        <v>53</v>
      </c>
      <c r="AG276" s="44" t="n">
        <v>0</v>
      </c>
      <c r="AH276" s="58" t="s">
        <v>1439</v>
      </c>
      <c r="AI276" s="44" t="n">
        <v>0</v>
      </c>
      <c r="AJ276" s="44" t="s">
        <v>1574</v>
      </c>
      <c r="AK276" s="44" t="s">
        <v>47</v>
      </c>
      <c r="AL276" s="44" t="s">
        <v>405</v>
      </c>
      <c r="AM276" s="44" t="n">
        <v>1</v>
      </c>
      <c r="AN276" s="44" t="s">
        <v>53</v>
      </c>
      <c r="AO276" s="44" t="s">
        <v>1647</v>
      </c>
      <c r="AP276" s="59" t="n">
        <v>46455</v>
      </c>
      <c r="AQ276" s="45" t="s">
        <v>432</v>
      </c>
      <c r="AR276" s="44" t="s">
        <v>1282</v>
      </c>
      <c r="AS276" s="44"/>
      <c r="AT276" s="44"/>
      <c r="AU276" s="44"/>
      <c r="AV276" s="44"/>
      <c r="AW276" s="44"/>
      <c r="AX276" s="44"/>
      <c r="AY276" s="44"/>
      <c r="AZ276" s="46"/>
    </row>
    <row r="277" customFormat="false" ht="18" hidden="false" customHeight="true" outlineLevel="0" collapsed="false">
      <c r="A277" s="47" t="n">
        <v>97241</v>
      </c>
      <c r="B277" s="48" t="s">
        <v>358</v>
      </c>
      <c r="C277" s="47" t="n">
        <v>97241</v>
      </c>
      <c r="D277" s="48" t="s">
        <v>359</v>
      </c>
      <c r="E277" s="48" t="s">
        <v>445</v>
      </c>
      <c r="F277" s="48" t="s">
        <v>1713</v>
      </c>
      <c r="G277" s="49" t="s">
        <v>1439</v>
      </c>
      <c r="H277" s="48" t="s">
        <v>1465</v>
      </c>
      <c r="I277" s="48" t="s">
        <v>1570</v>
      </c>
      <c r="J277" s="48" t="s">
        <v>18</v>
      </c>
      <c r="K277" s="48" t="s">
        <v>315</v>
      </c>
      <c r="L277" s="48" t="s">
        <v>315</v>
      </c>
      <c r="M277" s="48"/>
      <c r="N277" s="50" t="s">
        <v>1443</v>
      </c>
      <c r="O277" s="51" t="s">
        <v>1708</v>
      </c>
      <c r="P277" s="52" t="n">
        <v>1</v>
      </c>
      <c r="Q277" s="51"/>
      <c r="R277" s="52" t="s">
        <v>1519</v>
      </c>
      <c r="S277" s="52"/>
      <c r="T277" s="52"/>
      <c r="U277" s="53" t="n">
        <v>155040</v>
      </c>
      <c r="V277" s="54" t="n">
        <v>155040</v>
      </c>
      <c r="W277" s="55" t="n">
        <v>0.12</v>
      </c>
      <c r="X277" s="52" t="n">
        <v>0.055</v>
      </c>
      <c r="Y277" s="55" t="n">
        <v>0.12</v>
      </c>
      <c r="Z277" s="56"/>
      <c r="AA277" s="55" t="n">
        <v>0.04</v>
      </c>
      <c r="AB277" s="57" t="n">
        <v>206978.4</v>
      </c>
      <c r="AC277" s="44"/>
      <c r="AD277" s="44"/>
      <c r="AE277" s="44" t="n">
        <v>206978.4</v>
      </c>
      <c r="AF277" s="44" t="s">
        <v>53</v>
      </c>
      <c r="AG277" s="44" t="n">
        <v>0</v>
      </c>
      <c r="AH277" s="58" t="s">
        <v>1439</v>
      </c>
      <c r="AI277" s="44" t="n">
        <v>0</v>
      </c>
      <c r="AJ277" s="44" t="s">
        <v>315</v>
      </c>
      <c r="AK277" s="44" t="s">
        <v>47</v>
      </c>
      <c r="AL277" s="44" t="s">
        <v>315</v>
      </c>
      <c r="AM277" s="44" t="n">
        <v>0</v>
      </c>
      <c r="AN277" s="44" t="s">
        <v>53</v>
      </c>
      <c r="AO277" s="44"/>
      <c r="AP277" s="44"/>
      <c r="AQ277" s="45" t="s">
        <v>357</v>
      </c>
      <c r="AR277" s="44" t="s">
        <v>1282</v>
      </c>
      <c r="AS277" s="44"/>
      <c r="AT277" s="44"/>
      <c r="AU277" s="44"/>
      <c r="AV277" s="44"/>
      <c r="AW277" s="44"/>
      <c r="AX277" s="44"/>
      <c r="AY277" s="44"/>
      <c r="AZ277" s="46"/>
    </row>
    <row r="278" customFormat="false" ht="18" hidden="false" customHeight="true" outlineLevel="0" collapsed="false">
      <c r="A278" s="47" t="n">
        <v>111777</v>
      </c>
      <c r="B278" s="48" t="s">
        <v>361</v>
      </c>
      <c r="C278" s="47" t="n">
        <v>111777</v>
      </c>
      <c r="D278" s="48" t="s">
        <v>86</v>
      </c>
      <c r="E278" s="48" t="s">
        <v>445</v>
      </c>
      <c r="F278" s="48" t="s">
        <v>1713</v>
      </c>
      <c r="G278" s="49" t="s">
        <v>1439</v>
      </c>
      <c r="H278" s="48" t="s">
        <v>1465</v>
      </c>
      <c r="I278" s="48" t="s">
        <v>1570</v>
      </c>
      <c r="J278" s="48" t="s">
        <v>18</v>
      </c>
      <c r="K278" s="48" t="s">
        <v>315</v>
      </c>
      <c r="L278" s="48" t="s">
        <v>315</v>
      </c>
      <c r="M278" s="48"/>
      <c r="N278" s="50" t="s">
        <v>1443</v>
      </c>
      <c r="O278" s="51" t="s">
        <v>1708</v>
      </c>
      <c r="P278" s="52" t="n">
        <v>1</v>
      </c>
      <c r="Q278" s="51"/>
      <c r="R278" s="52" t="s">
        <v>1519</v>
      </c>
      <c r="S278" s="52"/>
      <c r="T278" s="52"/>
      <c r="U278" s="53" t="n">
        <v>145910</v>
      </c>
      <c r="V278" s="54" t="n">
        <v>145910</v>
      </c>
      <c r="W278" s="55" t="n">
        <v>0.12</v>
      </c>
      <c r="X278" s="52" t="n">
        <v>0.055</v>
      </c>
      <c r="Y278" s="55" t="n">
        <v>0.12</v>
      </c>
      <c r="Z278" s="56"/>
      <c r="AA278" s="55" t="n">
        <v>0.04</v>
      </c>
      <c r="AB278" s="57" t="n">
        <v>194789.85</v>
      </c>
      <c r="AC278" s="44"/>
      <c r="AD278" s="44"/>
      <c r="AE278" s="44" t="n">
        <v>194789.85</v>
      </c>
      <c r="AF278" s="44" t="s">
        <v>53</v>
      </c>
      <c r="AG278" s="44" t="n">
        <v>0</v>
      </c>
      <c r="AH278" s="58" t="s">
        <v>1439</v>
      </c>
      <c r="AI278" s="44" t="n">
        <v>0</v>
      </c>
      <c r="AJ278" s="44" t="s">
        <v>315</v>
      </c>
      <c r="AK278" s="44" t="s">
        <v>47</v>
      </c>
      <c r="AL278" s="44" t="s">
        <v>315</v>
      </c>
      <c r="AM278" s="44" t="n">
        <v>0</v>
      </c>
      <c r="AN278" s="44" t="s">
        <v>53</v>
      </c>
      <c r="AO278" s="44"/>
      <c r="AP278" s="44"/>
      <c r="AQ278" s="45" t="s">
        <v>360</v>
      </c>
      <c r="AR278" s="44" t="s">
        <v>1282</v>
      </c>
      <c r="AS278" s="44"/>
      <c r="AT278" s="44"/>
      <c r="AU278" s="44"/>
      <c r="AV278" s="44"/>
      <c r="AW278" s="44"/>
      <c r="AX278" s="44"/>
      <c r="AY278" s="44"/>
      <c r="AZ278" s="46"/>
    </row>
    <row r="279" customFormat="false" ht="18" hidden="false" customHeight="true" outlineLevel="0" collapsed="false">
      <c r="A279" s="47" t="s">
        <v>1507</v>
      </c>
      <c r="B279" s="48" t="s">
        <v>69</v>
      </c>
      <c r="C279" s="47" t="s">
        <v>1507</v>
      </c>
      <c r="D279" s="48" t="s">
        <v>86</v>
      </c>
      <c r="E279" s="48" t="s">
        <v>445</v>
      </c>
      <c r="F279" s="48" t="s">
        <v>1713</v>
      </c>
      <c r="G279" s="49" t="s">
        <v>1439</v>
      </c>
      <c r="H279" s="48" t="s">
        <v>1465</v>
      </c>
      <c r="I279" s="48" t="s">
        <v>1570</v>
      </c>
      <c r="J279" s="48" t="s">
        <v>18</v>
      </c>
      <c r="K279" s="48" t="s">
        <v>315</v>
      </c>
      <c r="L279" s="48" t="s">
        <v>315</v>
      </c>
      <c r="M279" s="48"/>
      <c r="N279" s="50" t="s">
        <v>1443</v>
      </c>
      <c r="O279" s="51" t="s">
        <v>1708</v>
      </c>
      <c r="P279" s="52" t="n">
        <v>1</v>
      </c>
      <c r="Q279" s="51"/>
      <c r="R279" s="52" t="s">
        <v>69</v>
      </c>
      <c r="S279" s="52"/>
      <c r="T279" s="52"/>
      <c r="U279" s="53" t="n">
        <v>145910</v>
      </c>
      <c r="V279" s="54" t="n">
        <v>145910</v>
      </c>
      <c r="W279" s="55" t="n">
        <v>0.12</v>
      </c>
      <c r="X279" s="52" t="n">
        <v>0.055</v>
      </c>
      <c r="Y279" s="55" t="n">
        <v>0.12</v>
      </c>
      <c r="Z279" s="56"/>
      <c r="AA279" s="55" t="n">
        <v>0.04</v>
      </c>
      <c r="AB279" s="57" t="n">
        <v>194789.85</v>
      </c>
      <c r="AC279" s="44"/>
      <c r="AD279" s="44"/>
      <c r="AE279" s="44" t="n">
        <v>194789.85</v>
      </c>
      <c r="AF279" s="44" t="s">
        <v>69</v>
      </c>
      <c r="AG279" s="44" t="n">
        <v>0</v>
      </c>
      <c r="AH279" s="58" t="s">
        <v>1439</v>
      </c>
      <c r="AI279" s="44" t="n">
        <v>0</v>
      </c>
      <c r="AJ279" s="44" t="s">
        <v>315</v>
      </c>
      <c r="AK279" s="44" t="s">
        <v>47</v>
      </c>
      <c r="AL279" s="44" t="s">
        <v>315</v>
      </c>
      <c r="AM279" s="44" t="n">
        <v>0</v>
      </c>
      <c r="AN279" s="44" t="s">
        <v>69</v>
      </c>
      <c r="AO279" s="44"/>
      <c r="AP279" s="44"/>
      <c r="AQ279" s="45" t="s">
        <v>362</v>
      </c>
      <c r="AR279" s="44" t="s">
        <v>1282</v>
      </c>
      <c r="AS279" s="44"/>
      <c r="AT279" s="44"/>
      <c r="AU279" s="44"/>
      <c r="AV279" s="44"/>
      <c r="AW279" s="44"/>
      <c r="AX279" s="44"/>
      <c r="AY279" s="44"/>
      <c r="AZ279" s="46"/>
    </row>
    <row r="280" customFormat="false" ht="18" hidden="false" customHeight="true" outlineLevel="0" collapsed="false">
      <c r="A280" s="47" t="s">
        <v>1507</v>
      </c>
      <c r="B280" s="48" t="s">
        <v>69</v>
      </c>
      <c r="C280" s="47" t="s">
        <v>1507</v>
      </c>
      <c r="D280" s="48" t="s">
        <v>364</v>
      </c>
      <c r="E280" s="48" t="s">
        <v>445</v>
      </c>
      <c r="F280" s="48" t="s">
        <v>1713</v>
      </c>
      <c r="G280" s="49" t="s">
        <v>1439</v>
      </c>
      <c r="H280" s="48" t="s">
        <v>1465</v>
      </c>
      <c r="I280" s="48" t="s">
        <v>1570</v>
      </c>
      <c r="J280" s="48" t="s">
        <v>18</v>
      </c>
      <c r="K280" s="48" t="s">
        <v>315</v>
      </c>
      <c r="L280" s="48" t="s">
        <v>315</v>
      </c>
      <c r="M280" s="48"/>
      <c r="N280" s="50" t="s">
        <v>1443</v>
      </c>
      <c r="O280" s="51" t="s">
        <v>1708</v>
      </c>
      <c r="P280" s="52" t="n">
        <v>1</v>
      </c>
      <c r="Q280" s="51"/>
      <c r="R280" s="52" t="s">
        <v>69</v>
      </c>
      <c r="S280" s="52"/>
      <c r="T280" s="52"/>
      <c r="U280" s="53" t="n">
        <v>145910</v>
      </c>
      <c r="V280" s="54" t="n">
        <v>145910</v>
      </c>
      <c r="W280" s="55" t="n">
        <v>0.12</v>
      </c>
      <c r="X280" s="52" t="n">
        <v>0.055</v>
      </c>
      <c r="Y280" s="55" t="n">
        <v>0.12</v>
      </c>
      <c r="Z280" s="56"/>
      <c r="AA280" s="55" t="n">
        <v>0.04</v>
      </c>
      <c r="AB280" s="57" t="n">
        <v>194789.85</v>
      </c>
      <c r="AC280" s="44"/>
      <c r="AD280" s="44"/>
      <c r="AE280" s="44" t="n">
        <v>194789.85</v>
      </c>
      <c r="AF280" s="44" t="s">
        <v>69</v>
      </c>
      <c r="AG280" s="44" t="n">
        <v>0</v>
      </c>
      <c r="AH280" s="58" t="s">
        <v>1439</v>
      </c>
      <c r="AI280" s="44" t="n">
        <v>0</v>
      </c>
      <c r="AJ280" s="44" t="s">
        <v>315</v>
      </c>
      <c r="AK280" s="44" t="s">
        <v>47</v>
      </c>
      <c r="AL280" s="44" t="s">
        <v>315</v>
      </c>
      <c r="AM280" s="44" t="n">
        <v>0</v>
      </c>
      <c r="AN280" s="44" t="s">
        <v>69</v>
      </c>
      <c r="AO280" s="44"/>
      <c r="AP280" s="44"/>
      <c r="AQ280" s="45" t="s">
        <v>363</v>
      </c>
      <c r="AR280" s="44" t="s">
        <v>1282</v>
      </c>
      <c r="AS280" s="44"/>
      <c r="AT280" s="44"/>
      <c r="AU280" s="44"/>
      <c r="AV280" s="44"/>
      <c r="AW280" s="44"/>
      <c r="AX280" s="44"/>
      <c r="AY280" s="44"/>
      <c r="AZ280" s="46"/>
    </row>
    <row r="281" customFormat="false" ht="18" hidden="false" customHeight="true" outlineLevel="0" collapsed="false">
      <c r="A281" s="47" t="s">
        <v>1507</v>
      </c>
      <c r="B281" s="48" t="s">
        <v>69</v>
      </c>
      <c r="C281" s="47" t="s">
        <v>1507</v>
      </c>
      <c r="D281" s="48" t="s">
        <v>366</v>
      </c>
      <c r="E281" s="48" t="s">
        <v>445</v>
      </c>
      <c r="F281" s="48" t="s">
        <v>1713</v>
      </c>
      <c r="G281" s="49" t="s">
        <v>1439</v>
      </c>
      <c r="H281" s="48" t="s">
        <v>1465</v>
      </c>
      <c r="I281" s="48" t="s">
        <v>1570</v>
      </c>
      <c r="J281" s="48" t="s">
        <v>18</v>
      </c>
      <c r="K281" s="48" t="s">
        <v>315</v>
      </c>
      <c r="L281" s="48" t="s">
        <v>315</v>
      </c>
      <c r="M281" s="48"/>
      <c r="N281" s="50" t="s">
        <v>1443</v>
      </c>
      <c r="O281" s="51" t="s">
        <v>1708</v>
      </c>
      <c r="P281" s="52" t="n">
        <v>1</v>
      </c>
      <c r="Q281" s="52"/>
      <c r="R281" s="52" t="s">
        <v>69</v>
      </c>
      <c r="S281" s="52"/>
      <c r="T281" s="52"/>
      <c r="U281" s="53" t="n">
        <v>145910</v>
      </c>
      <c r="V281" s="54" t="n">
        <v>145910</v>
      </c>
      <c r="W281" s="55" t="n">
        <v>0.12</v>
      </c>
      <c r="X281" s="52" t="n">
        <v>0.055</v>
      </c>
      <c r="Y281" s="55" t="n">
        <v>0.12</v>
      </c>
      <c r="Z281" s="56"/>
      <c r="AA281" s="55" t="n">
        <v>0.04</v>
      </c>
      <c r="AB281" s="57" t="n">
        <v>194789.85</v>
      </c>
      <c r="AC281" s="44"/>
      <c r="AD281" s="44"/>
      <c r="AE281" s="44" t="n">
        <v>194789.85</v>
      </c>
      <c r="AF281" s="44" t="s">
        <v>69</v>
      </c>
      <c r="AG281" s="44" t="n">
        <v>0</v>
      </c>
      <c r="AH281" s="58" t="s">
        <v>1439</v>
      </c>
      <c r="AI281" s="44" t="n">
        <v>0</v>
      </c>
      <c r="AJ281" s="44" t="s">
        <v>315</v>
      </c>
      <c r="AK281" s="44" t="s">
        <v>47</v>
      </c>
      <c r="AL281" s="44" t="s">
        <v>315</v>
      </c>
      <c r="AM281" s="44" t="n">
        <v>0</v>
      </c>
      <c r="AN281" s="44" t="s">
        <v>69</v>
      </c>
      <c r="AO281" s="44"/>
      <c r="AP281" s="44"/>
      <c r="AQ281" s="45" t="s">
        <v>365</v>
      </c>
      <c r="AR281" s="44" t="s">
        <v>1282</v>
      </c>
      <c r="AS281" s="44"/>
      <c r="AT281" s="44"/>
      <c r="AU281" s="44"/>
      <c r="AV281" s="44"/>
      <c r="AW281" s="44"/>
      <c r="AX281" s="44"/>
      <c r="AY281" s="44"/>
      <c r="AZ281" s="46"/>
    </row>
    <row r="282" customFormat="false" ht="18" hidden="false" customHeight="true" outlineLevel="0" collapsed="false">
      <c r="A282" s="47" t="n">
        <v>105010</v>
      </c>
      <c r="B282" s="48" t="s">
        <v>979</v>
      </c>
      <c r="C282" s="47" t="n">
        <v>105010</v>
      </c>
      <c r="D282" s="48" t="s">
        <v>980</v>
      </c>
      <c r="E282" s="48" t="s">
        <v>1061</v>
      </c>
      <c r="F282" s="48" t="s">
        <v>1062</v>
      </c>
      <c r="G282" s="49" t="s">
        <v>1531</v>
      </c>
      <c r="H282" s="48" t="s">
        <v>1151</v>
      </c>
      <c r="I282" s="48" t="s">
        <v>1532</v>
      </c>
      <c r="J282" s="48" t="s">
        <v>31</v>
      </c>
      <c r="K282" s="48" t="s">
        <v>1151</v>
      </c>
      <c r="L282" s="48" t="s">
        <v>1597</v>
      </c>
      <c r="M282" s="48"/>
      <c r="N282" s="50" t="s">
        <v>1443</v>
      </c>
      <c r="O282" s="51" t="s">
        <v>1714</v>
      </c>
      <c r="P282" s="52" t="n">
        <v>1</v>
      </c>
      <c r="Q282" s="51"/>
      <c r="R282" s="52" t="s">
        <v>1519</v>
      </c>
      <c r="S282" s="52"/>
      <c r="T282" s="52"/>
      <c r="U282" s="53" t="n">
        <v>182760</v>
      </c>
      <c r="V282" s="54" t="n">
        <v>182760</v>
      </c>
      <c r="W282" s="55" t="n">
        <v>0.12</v>
      </c>
      <c r="X282" s="52" t="n">
        <v>0.055</v>
      </c>
      <c r="Y282" s="55" t="n">
        <v>0.12</v>
      </c>
      <c r="Z282" s="56"/>
      <c r="AA282" s="55" t="n">
        <v>0.04</v>
      </c>
      <c r="AB282" s="57" t="n">
        <v>243984.6</v>
      </c>
      <c r="AC282" s="44"/>
      <c r="AD282" s="44"/>
      <c r="AE282" s="44" t="n">
        <v>243984.6</v>
      </c>
      <c r="AF282" s="44" t="s">
        <v>53</v>
      </c>
      <c r="AG282" s="44" t="n">
        <v>0</v>
      </c>
      <c r="AH282" s="58" t="s">
        <v>31</v>
      </c>
      <c r="AI282" s="44" t="n">
        <v>0</v>
      </c>
      <c r="AJ282" s="44" t="s">
        <v>970</v>
      </c>
      <c r="AK282" s="44" t="s">
        <v>47</v>
      </c>
      <c r="AL282" s="44" t="s">
        <v>970</v>
      </c>
      <c r="AM282" s="44" t="n">
        <v>0</v>
      </c>
      <c r="AN282" s="44"/>
      <c r="AO282" s="44"/>
      <c r="AP282" s="44"/>
      <c r="AQ282" s="45" t="s">
        <v>978</v>
      </c>
      <c r="AR282" s="44" t="s">
        <v>1282</v>
      </c>
      <c r="AS282" s="44"/>
      <c r="AT282" s="44"/>
      <c r="AU282" s="44"/>
      <c r="AV282" s="44"/>
      <c r="AW282" s="44"/>
      <c r="AX282" s="44"/>
      <c r="AY282" s="44"/>
      <c r="AZ282" s="46"/>
    </row>
    <row r="283" customFormat="false" ht="18" hidden="false" customHeight="true" outlineLevel="0" collapsed="false">
      <c r="A283" s="47" t="n">
        <v>103651</v>
      </c>
      <c r="B283" s="48" t="s">
        <v>531</v>
      </c>
      <c r="C283" s="47" t="n">
        <v>103651</v>
      </c>
      <c r="D283" s="48" t="s">
        <v>57</v>
      </c>
      <c r="E283" s="48" t="s">
        <v>610</v>
      </c>
      <c r="F283" s="48" t="s">
        <v>1648</v>
      </c>
      <c r="G283" s="49" t="s">
        <v>1461</v>
      </c>
      <c r="H283" s="48" t="s">
        <v>20</v>
      </c>
      <c r="I283" s="48" t="s">
        <v>1605</v>
      </c>
      <c r="J283" s="48" t="s">
        <v>20</v>
      </c>
      <c r="K283" s="48" t="s">
        <v>517</v>
      </c>
      <c r="L283" s="48" t="s">
        <v>517</v>
      </c>
      <c r="M283" s="48"/>
      <c r="N283" s="50" t="s">
        <v>1549</v>
      </c>
      <c r="O283" s="51" t="s">
        <v>1715</v>
      </c>
      <c r="P283" s="52" t="n">
        <v>1</v>
      </c>
      <c r="Q283" s="51"/>
      <c r="R283" s="52" t="s">
        <v>1519</v>
      </c>
      <c r="S283" s="52"/>
      <c r="T283" s="52"/>
      <c r="U283" s="53" t="n">
        <v>163780</v>
      </c>
      <c r="V283" s="54" t="n">
        <v>198173.8</v>
      </c>
      <c r="W283" s="55" t="n">
        <v>0.25</v>
      </c>
      <c r="X283" s="52"/>
      <c r="Y283" s="55" t="n">
        <v>0.17</v>
      </c>
      <c r="Z283" s="56" t="n">
        <v>3310</v>
      </c>
      <c r="AA283" s="55" t="n">
        <v>0.045</v>
      </c>
      <c r="AB283" s="57" t="n">
        <v>293634.617</v>
      </c>
      <c r="AC283" s="44"/>
      <c r="AD283" s="44"/>
      <c r="AE283" s="44" t="n">
        <v>293634.617</v>
      </c>
      <c r="AF283" s="44" t="s">
        <v>53</v>
      </c>
      <c r="AG283" s="44" t="n">
        <v>0</v>
      </c>
      <c r="AH283" s="58" t="s">
        <v>20</v>
      </c>
      <c r="AI283" s="44" t="n">
        <v>0</v>
      </c>
      <c r="AJ283" s="44" t="s">
        <v>517</v>
      </c>
      <c r="AK283" s="44" t="s">
        <v>47</v>
      </c>
      <c r="AL283" s="44" t="s">
        <v>517</v>
      </c>
      <c r="AM283" s="44" t="n">
        <v>0</v>
      </c>
      <c r="AN283" s="44"/>
      <c r="AO283" s="44"/>
      <c r="AP283" s="44"/>
      <c r="AQ283" s="45" t="s">
        <v>530</v>
      </c>
      <c r="AR283" s="44" t="s">
        <v>1282</v>
      </c>
      <c r="AS283" s="44"/>
      <c r="AT283" s="44"/>
      <c r="AU283" s="44"/>
      <c r="AV283" s="44"/>
      <c r="AW283" s="44"/>
      <c r="AX283" s="44"/>
      <c r="AY283" s="44"/>
      <c r="AZ283" s="46"/>
    </row>
    <row r="284" customFormat="false" ht="18" hidden="false" customHeight="true" outlineLevel="0" collapsed="false">
      <c r="A284" s="47" t="n">
        <v>6511</v>
      </c>
      <c r="B284" s="48" t="s">
        <v>533</v>
      </c>
      <c r="C284" s="47" t="n">
        <v>6511</v>
      </c>
      <c r="D284" s="48" t="s">
        <v>534</v>
      </c>
      <c r="E284" s="48" t="s">
        <v>610</v>
      </c>
      <c r="F284" s="48" t="s">
        <v>1648</v>
      </c>
      <c r="G284" s="49" t="s">
        <v>1461</v>
      </c>
      <c r="H284" s="48" t="s">
        <v>20</v>
      </c>
      <c r="I284" s="48" t="s">
        <v>1605</v>
      </c>
      <c r="J284" s="48" t="s">
        <v>20</v>
      </c>
      <c r="K284" s="48" t="s">
        <v>517</v>
      </c>
      <c r="L284" s="48" t="s">
        <v>517</v>
      </c>
      <c r="M284" s="48"/>
      <c r="N284" s="50" t="s">
        <v>1443</v>
      </c>
      <c r="O284" s="51" t="s">
        <v>1715</v>
      </c>
      <c r="P284" s="52" t="n">
        <v>1</v>
      </c>
      <c r="Q284" s="51"/>
      <c r="R284" s="52" t="s">
        <v>1519</v>
      </c>
      <c r="S284" s="52"/>
      <c r="T284" s="52"/>
      <c r="U284" s="53" t="n">
        <v>159220</v>
      </c>
      <c r="V284" s="54" t="n">
        <v>159220</v>
      </c>
      <c r="W284" s="55" t="n">
        <v>0.12</v>
      </c>
      <c r="X284" s="52" t="n">
        <v>0.055</v>
      </c>
      <c r="Y284" s="55" t="n">
        <v>0.12</v>
      </c>
      <c r="Z284" s="56"/>
      <c r="AA284" s="55" t="n">
        <v>0.04</v>
      </c>
      <c r="AB284" s="57" t="n">
        <v>212558.7</v>
      </c>
      <c r="AC284" s="44"/>
      <c r="AD284" s="44"/>
      <c r="AE284" s="44" t="n">
        <v>212558.7</v>
      </c>
      <c r="AF284" s="44" t="s">
        <v>53</v>
      </c>
      <c r="AG284" s="44" t="n">
        <v>0</v>
      </c>
      <c r="AH284" s="58" t="s">
        <v>20</v>
      </c>
      <c r="AI284" s="44" t="n">
        <v>0</v>
      </c>
      <c r="AJ284" s="44" t="s">
        <v>517</v>
      </c>
      <c r="AK284" s="44" t="s">
        <v>47</v>
      </c>
      <c r="AL284" s="44" t="s">
        <v>517</v>
      </c>
      <c r="AM284" s="44" t="n">
        <v>0</v>
      </c>
      <c r="AN284" s="44"/>
      <c r="AO284" s="44"/>
      <c r="AP284" s="44"/>
      <c r="AQ284" s="45" t="s">
        <v>532</v>
      </c>
      <c r="AR284" s="44" t="s">
        <v>1282</v>
      </c>
      <c r="AS284" s="44"/>
      <c r="AT284" s="44"/>
      <c r="AU284" s="44"/>
      <c r="AV284" s="44"/>
      <c r="AW284" s="44"/>
      <c r="AX284" s="44"/>
      <c r="AY284" s="44"/>
      <c r="AZ284" s="46"/>
    </row>
    <row r="285" customFormat="false" ht="18" hidden="false" customHeight="true" outlineLevel="0" collapsed="false">
      <c r="A285" s="47" t="s">
        <v>1507</v>
      </c>
      <c r="B285" s="48" t="s">
        <v>69</v>
      </c>
      <c r="C285" s="47" t="s">
        <v>1507</v>
      </c>
      <c r="D285" s="48" t="s">
        <v>516</v>
      </c>
      <c r="E285" s="48" t="s">
        <v>610</v>
      </c>
      <c r="F285" s="48" t="s">
        <v>1648</v>
      </c>
      <c r="G285" s="49" t="s">
        <v>1461</v>
      </c>
      <c r="H285" s="48" t="s">
        <v>20</v>
      </c>
      <c r="I285" s="48" t="s">
        <v>1605</v>
      </c>
      <c r="J285" s="48" t="s">
        <v>20</v>
      </c>
      <c r="K285" s="48" t="s">
        <v>512</v>
      </c>
      <c r="L285" s="48" t="s">
        <v>512</v>
      </c>
      <c r="M285" s="48"/>
      <c r="N285" s="50" t="s">
        <v>1443</v>
      </c>
      <c r="O285" s="51" t="s">
        <v>1715</v>
      </c>
      <c r="P285" s="52" t="n">
        <v>1</v>
      </c>
      <c r="Q285" s="52"/>
      <c r="R285" s="52" t="s">
        <v>1513</v>
      </c>
      <c r="S285" s="52"/>
      <c r="T285" s="52"/>
      <c r="U285" s="53" t="n">
        <v>151950</v>
      </c>
      <c r="V285" s="54" t="n">
        <v>151950</v>
      </c>
      <c r="W285" s="55" t="n">
        <v>0.12</v>
      </c>
      <c r="X285" s="52" t="n">
        <v>0.055</v>
      </c>
      <c r="Y285" s="55" t="n">
        <v>0.12</v>
      </c>
      <c r="Z285" s="56"/>
      <c r="AA285" s="55" t="n">
        <v>0.04</v>
      </c>
      <c r="AB285" s="57" t="n">
        <v>202853.25</v>
      </c>
      <c r="AC285" s="44"/>
      <c r="AD285" s="44"/>
      <c r="AE285" s="44" t="n">
        <v>202853.25</v>
      </c>
      <c r="AF285" s="44" t="s">
        <v>69</v>
      </c>
      <c r="AG285" s="44" t="n">
        <v>0</v>
      </c>
      <c r="AH285" s="58" t="s">
        <v>20</v>
      </c>
      <c r="AI285" s="44" t="n">
        <v>0</v>
      </c>
      <c r="AJ285" s="44" t="s">
        <v>512</v>
      </c>
      <c r="AK285" s="44" t="s">
        <v>47</v>
      </c>
      <c r="AL285" s="44" t="s">
        <v>512</v>
      </c>
      <c r="AM285" s="44" t="n">
        <v>0</v>
      </c>
      <c r="AN285" s="44"/>
      <c r="AO285" s="44"/>
      <c r="AP285" s="44"/>
      <c r="AQ285" s="45" t="s">
        <v>515</v>
      </c>
      <c r="AR285" s="44" t="s">
        <v>1282</v>
      </c>
      <c r="AS285" s="44"/>
      <c r="AT285" s="44"/>
      <c r="AU285" s="44"/>
      <c r="AV285" s="44"/>
      <c r="AW285" s="44"/>
      <c r="AX285" s="44"/>
      <c r="AY285" s="44"/>
      <c r="AZ285" s="46"/>
    </row>
    <row r="286" customFormat="false" ht="18" hidden="false" customHeight="true" outlineLevel="0" collapsed="false">
      <c r="A286" s="47" t="s">
        <v>1507</v>
      </c>
      <c r="B286" s="48" t="s">
        <v>519</v>
      </c>
      <c r="C286" s="47" t="s">
        <v>1507</v>
      </c>
      <c r="D286" s="48" t="s">
        <v>516</v>
      </c>
      <c r="E286" s="48" t="s">
        <v>610</v>
      </c>
      <c r="F286" s="48" t="s">
        <v>1648</v>
      </c>
      <c r="G286" s="49" t="s">
        <v>1461</v>
      </c>
      <c r="H286" s="48" t="s">
        <v>20</v>
      </c>
      <c r="I286" s="48" t="s">
        <v>1605</v>
      </c>
      <c r="J286" s="48" t="s">
        <v>20</v>
      </c>
      <c r="K286" s="48" t="s">
        <v>512</v>
      </c>
      <c r="L286" s="48" t="s">
        <v>512</v>
      </c>
      <c r="M286" s="48"/>
      <c r="N286" s="50" t="s">
        <v>1443</v>
      </c>
      <c r="O286" s="51" t="s">
        <v>1715</v>
      </c>
      <c r="P286" s="52" t="n">
        <v>1</v>
      </c>
      <c r="Q286" s="52"/>
      <c r="R286" s="52" t="s">
        <v>1513</v>
      </c>
      <c r="S286" s="52"/>
      <c r="T286" s="52"/>
      <c r="U286" s="53" t="n">
        <v>151950</v>
      </c>
      <c r="V286" s="54" t="n">
        <v>151950</v>
      </c>
      <c r="W286" s="55" t="n">
        <v>0.12</v>
      </c>
      <c r="X286" s="52" t="n">
        <v>0.055</v>
      </c>
      <c r="Y286" s="55" t="n">
        <v>0.12</v>
      </c>
      <c r="Z286" s="56"/>
      <c r="AA286" s="55" t="n">
        <v>0.04</v>
      </c>
      <c r="AB286" s="57" t="n">
        <v>202853.25</v>
      </c>
      <c r="AC286" s="44"/>
      <c r="AD286" s="44"/>
      <c r="AE286" s="44" t="n">
        <v>202853.25</v>
      </c>
      <c r="AF286" s="44" t="s">
        <v>69</v>
      </c>
      <c r="AG286" s="44" t="n">
        <v>0</v>
      </c>
      <c r="AH286" s="58" t="s">
        <v>20</v>
      </c>
      <c r="AI286" s="44" t="n">
        <v>0</v>
      </c>
      <c r="AJ286" s="44" t="s">
        <v>512</v>
      </c>
      <c r="AK286" s="44" t="s">
        <v>47</v>
      </c>
      <c r="AL286" s="44" t="s">
        <v>512</v>
      </c>
      <c r="AM286" s="44" t="n">
        <v>0</v>
      </c>
      <c r="AN286" s="44"/>
      <c r="AO286" s="44"/>
      <c r="AP286" s="44"/>
      <c r="AQ286" s="45" t="s">
        <v>518</v>
      </c>
      <c r="AR286" s="44" t="s">
        <v>1282</v>
      </c>
      <c r="AS286" s="44"/>
      <c r="AT286" s="44"/>
      <c r="AU286" s="44"/>
      <c r="AV286" s="44"/>
      <c r="AW286" s="44"/>
      <c r="AX286" s="44"/>
      <c r="AY286" s="44"/>
      <c r="AZ286" s="46"/>
    </row>
    <row r="287" customFormat="false" ht="18" hidden="false" customHeight="true" outlineLevel="0" collapsed="false">
      <c r="A287" s="47" t="n">
        <v>96830</v>
      </c>
      <c r="B287" s="48" t="s">
        <v>1716</v>
      </c>
      <c r="C287" s="47" t="n">
        <v>96830</v>
      </c>
      <c r="D287" s="48" t="s">
        <v>1717</v>
      </c>
      <c r="E287" s="48" t="s">
        <v>1679</v>
      </c>
      <c r="F287" s="48" t="s">
        <v>1587</v>
      </c>
      <c r="G287" s="49" t="s">
        <v>1527</v>
      </c>
      <c r="H287" s="48" t="s">
        <v>1251</v>
      </c>
      <c r="I287" s="48" t="s">
        <v>1159</v>
      </c>
      <c r="J287" s="48" t="s">
        <v>1159</v>
      </c>
      <c r="K287" s="48" t="s">
        <v>1159</v>
      </c>
      <c r="L287" s="48" t="s">
        <v>1159</v>
      </c>
      <c r="M287" s="48"/>
      <c r="N287" s="50" t="s">
        <v>1443</v>
      </c>
      <c r="O287" s="51" t="s">
        <v>1715</v>
      </c>
      <c r="P287" s="52" t="n">
        <v>1</v>
      </c>
      <c r="Q287" s="51"/>
      <c r="R287" s="52" t="s">
        <v>1519</v>
      </c>
      <c r="S287" s="52"/>
      <c r="T287" s="52"/>
      <c r="U287" s="53" t="n">
        <v>152800</v>
      </c>
      <c r="V287" s="54" t="n">
        <v>152800</v>
      </c>
      <c r="W287" s="55" t="n">
        <v>0.12</v>
      </c>
      <c r="X287" s="52" t="n">
        <v>0.055</v>
      </c>
      <c r="Y287" s="55" t="n">
        <v>0.12</v>
      </c>
      <c r="Z287" s="56"/>
      <c r="AA287" s="55" t="n">
        <v>0.04</v>
      </c>
      <c r="AB287" s="57" t="n">
        <v>203988</v>
      </c>
      <c r="AC287" s="44"/>
      <c r="AD287" s="44"/>
      <c r="AE287" s="44" t="n">
        <v>203988</v>
      </c>
      <c r="AF287" s="44" t="s">
        <v>53</v>
      </c>
      <c r="AG287" s="44" t="n">
        <v>0</v>
      </c>
      <c r="AH287" s="58" t="s">
        <v>27</v>
      </c>
      <c r="AI287" s="44" t="n">
        <v>0</v>
      </c>
      <c r="AJ287" s="44" t="s">
        <v>1251</v>
      </c>
      <c r="AK287" s="44" t="s">
        <v>47</v>
      </c>
      <c r="AL287" s="44" t="s">
        <v>1251</v>
      </c>
      <c r="AM287" s="44" t="n">
        <v>0</v>
      </c>
      <c r="AN287" s="44"/>
      <c r="AO287" s="44"/>
      <c r="AP287" s="44"/>
      <c r="AQ287" s="45" t="s">
        <v>1349</v>
      </c>
      <c r="AR287" s="44" t="s">
        <v>1282</v>
      </c>
      <c r="AS287" s="44"/>
      <c r="AT287" s="44"/>
      <c r="AU287" s="44"/>
      <c r="AV287" s="44"/>
      <c r="AW287" s="44"/>
      <c r="AX287" s="44"/>
      <c r="AY287" s="44"/>
      <c r="AZ287" s="46"/>
    </row>
    <row r="288" customFormat="false" ht="18" hidden="false" customHeight="true" outlineLevel="0" collapsed="false">
      <c r="A288" s="47" t="n">
        <v>92681</v>
      </c>
      <c r="B288" s="48" t="s">
        <v>1718</v>
      </c>
      <c r="C288" s="47" t="n">
        <v>92681</v>
      </c>
      <c r="D288" s="48" t="s">
        <v>1719</v>
      </c>
      <c r="E288" s="48" t="s">
        <v>1679</v>
      </c>
      <c r="F288" s="48" t="s">
        <v>1530</v>
      </c>
      <c r="G288" s="49" t="s">
        <v>1527</v>
      </c>
      <c r="H288" s="48" t="s">
        <v>1251</v>
      </c>
      <c r="I288" s="48" t="s">
        <v>1159</v>
      </c>
      <c r="J288" s="48" t="s">
        <v>1159</v>
      </c>
      <c r="K288" s="48" t="s">
        <v>1159</v>
      </c>
      <c r="L288" s="48" t="s">
        <v>1159</v>
      </c>
      <c r="M288" s="48"/>
      <c r="N288" s="50" t="s">
        <v>1443</v>
      </c>
      <c r="O288" s="51" t="s">
        <v>1715</v>
      </c>
      <c r="P288" s="52" t="n">
        <v>1</v>
      </c>
      <c r="Q288" s="51"/>
      <c r="R288" s="52" t="s">
        <v>1519</v>
      </c>
      <c r="S288" s="52"/>
      <c r="T288" s="52"/>
      <c r="U288" s="53" t="n">
        <v>152690</v>
      </c>
      <c r="V288" s="54" t="n">
        <v>152690</v>
      </c>
      <c r="W288" s="55" t="n">
        <v>0.12</v>
      </c>
      <c r="X288" s="52" t="n">
        <v>0.055</v>
      </c>
      <c r="Y288" s="55" t="n">
        <v>0.12</v>
      </c>
      <c r="Z288" s="56"/>
      <c r="AA288" s="55" t="n">
        <v>0.04</v>
      </c>
      <c r="AB288" s="57" t="n">
        <v>203841.15</v>
      </c>
      <c r="AC288" s="44"/>
      <c r="AD288" s="44"/>
      <c r="AE288" s="44" t="n">
        <v>203841.15</v>
      </c>
      <c r="AF288" s="44" t="s">
        <v>53</v>
      </c>
      <c r="AG288" s="44" t="n">
        <v>0</v>
      </c>
      <c r="AH288" s="58" t="s">
        <v>27</v>
      </c>
      <c r="AI288" s="44" t="n">
        <v>0</v>
      </c>
      <c r="AJ288" s="44" t="s">
        <v>1251</v>
      </c>
      <c r="AK288" s="44" t="s">
        <v>47</v>
      </c>
      <c r="AL288" s="44" t="s">
        <v>1251</v>
      </c>
      <c r="AM288" s="44" t="n">
        <v>0</v>
      </c>
      <c r="AN288" s="44"/>
      <c r="AO288" s="44"/>
      <c r="AP288" s="44"/>
      <c r="AQ288" s="45" t="s">
        <v>1350</v>
      </c>
      <c r="AR288" s="44" t="s">
        <v>1282</v>
      </c>
      <c r="AS288" s="44"/>
      <c r="AT288" s="44"/>
      <c r="AU288" s="44"/>
      <c r="AV288" s="44"/>
      <c r="AW288" s="44"/>
      <c r="AX288" s="44"/>
      <c r="AY288" s="44"/>
      <c r="AZ288" s="46"/>
    </row>
    <row r="289" customFormat="false" ht="18" hidden="false" customHeight="true" outlineLevel="0" collapsed="false">
      <c r="A289" s="47" t="n">
        <v>108728</v>
      </c>
      <c r="B289" s="48" t="s">
        <v>1720</v>
      </c>
      <c r="C289" s="47" t="n">
        <v>108728</v>
      </c>
      <c r="D289" s="48" t="s">
        <v>1721</v>
      </c>
      <c r="E289" s="48" t="s">
        <v>1677</v>
      </c>
      <c r="F289" s="48" t="s">
        <v>1590</v>
      </c>
      <c r="G289" s="49" t="s">
        <v>1527</v>
      </c>
      <c r="H289" s="48" t="s">
        <v>1251</v>
      </c>
      <c r="I289" s="48" t="s">
        <v>1159</v>
      </c>
      <c r="J289" s="48" t="s">
        <v>1159</v>
      </c>
      <c r="K289" s="48" t="s">
        <v>1159</v>
      </c>
      <c r="L289" s="48" t="s">
        <v>1159</v>
      </c>
      <c r="M289" s="48"/>
      <c r="N289" s="50" t="s">
        <v>1443</v>
      </c>
      <c r="O289" s="51" t="s">
        <v>1715</v>
      </c>
      <c r="P289" s="52" t="n">
        <v>1</v>
      </c>
      <c r="Q289" s="51"/>
      <c r="R289" s="52" t="s">
        <v>1519</v>
      </c>
      <c r="S289" s="52"/>
      <c r="T289" s="52"/>
      <c r="U289" s="53" t="n">
        <v>165450</v>
      </c>
      <c r="V289" s="54" t="n">
        <v>165450</v>
      </c>
      <c r="W289" s="55" t="n">
        <v>0.12</v>
      </c>
      <c r="X289" s="52" t="n">
        <v>0.055</v>
      </c>
      <c r="Y289" s="55" t="n">
        <v>0.12</v>
      </c>
      <c r="Z289" s="56"/>
      <c r="AA289" s="55" t="n">
        <v>0.04</v>
      </c>
      <c r="AB289" s="57" t="n">
        <v>220875.75</v>
      </c>
      <c r="AC289" s="44"/>
      <c r="AD289" s="44"/>
      <c r="AE289" s="44" t="n">
        <v>220875.75</v>
      </c>
      <c r="AF289" s="44" t="s">
        <v>53</v>
      </c>
      <c r="AG289" s="44" t="n">
        <v>0</v>
      </c>
      <c r="AH289" s="58" t="s">
        <v>27</v>
      </c>
      <c r="AI289" s="44" t="n">
        <v>0</v>
      </c>
      <c r="AJ289" s="44" t="s">
        <v>1251</v>
      </c>
      <c r="AK289" s="44" t="s">
        <v>47</v>
      </c>
      <c r="AL289" s="44" t="s">
        <v>1251</v>
      </c>
      <c r="AM289" s="44" t="n">
        <v>0</v>
      </c>
      <c r="AN289" s="44"/>
      <c r="AO289" s="44"/>
      <c r="AP289" s="44"/>
      <c r="AQ289" s="45" t="s">
        <v>1351</v>
      </c>
      <c r="AR289" s="44" t="s">
        <v>1282</v>
      </c>
      <c r="AS289" s="44"/>
      <c r="AT289" s="44"/>
      <c r="AU289" s="44"/>
      <c r="AV289" s="44"/>
      <c r="AW289" s="44"/>
      <c r="AX289" s="44"/>
      <c r="AY289" s="44"/>
      <c r="AZ289" s="46"/>
    </row>
    <row r="290" customFormat="false" ht="18" hidden="false" customHeight="true" outlineLevel="0" collapsed="false">
      <c r="A290" s="47" t="s">
        <v>1507</v>
      </c>
      <c r="B290" s="48" t="s">
        <v>69</v>
      </c>
      <c r="C290" s="47" t="s">
        <v>1507</v>
      </c>
      <c r="D290" s="48" t="s">
        <v>784</v>
      </c>
      <c r="E290" s="48" t="s">
        <v>804</v>
      </c>
      <c r="F290" s="48" t="s">
        <v>1656</v>
      </c>
      <c r="G290" s="49" t="s">
        <v>30</v>
      </c>
      <c r="H290" s="48" t="s">
        <v>1297</v>
      </c>
      <c r="I290" s="48" t="s">
        <v>1637</v>
      </c>
      <c r="J290" s="48" t="s">
        <v>26</v>
      </c>
      <c r="K290" s="48" t="s">
        <v>26</v>
      </c>
      <c r="L290" s="48" t="s">
        <v>26</v>
      </c>
      <c r="M290" s="48"/>
      <c r="N290" s="50" t="s">
        <v>1443</v>
      </c>
      <c r="O290" s="51" t="s">
        <v>1722</v>
      </c>
      <c r="P290" s="52" t="n">
        <v>1</v>
      </c>
      <c r="Q290" s="52"/>
      <c r="R290" s="52" t="s">
        <v>1507</v>
      </c>
      <c r="S290" s="52"/>
      <c r="T290" s="52"/>
      <c r="U290" s="53" t="n">
        <v>151950</v>
      </c>
      <c r="V290" s="54" t="n">
        <v>151950</v>
      </c>
      <c r="W290" s="55" t="n">
        <v>0.12</v>
      </c>
      <c r="X290" s="52" t="n">
        <v>0.055</v>
      </c>
      <c r="Y290" s="55" t="n">
        <v>0.12</v>
      </c>
      <c r="Z290" s="56"/>
      <c r="AA290" s="55" t="n">
        <v>0.04</v>
      </c>
      <c r="AB290" s="57" t="n">
        <v>202853.25</v>
      </c>
      <c r="AC290" s="44"/>
      <c r="AD290" s="44"/>
      <c r="AE290" s="44" t="n">
        <v>202853.25</v>
      </c>
      <c r="AF290" s="44" t="s">
        <v>69</v>
      </c>
      <c r="AG290" s="44" t="n">
        <v>0</v>
      </c>
      <c r="AH290" s="58" t="s">
        <v>26</v>
      </c>
      <c r="AI290" s="44" t="n">
        <v>0</v>
      </c>
      <c r="AJ290" s="44" t="s">
        <v>26</v>
      </c>
      <c r="AK290" s="44" t="s">
        <v>47</v>
      </c>
      <c r="AL290" s="44" t="s">
        <v>26</v>
      </c>
      <c r="AM290" s="44" t="n">
        <v>0</v>
      </c>
      <c r="AN290" s="44"/>
      <c r="AO290" s="44"/>
      <c r="AP290" s="44"/>
      <c r="AQ290" s="45" t="s">
        <v>783</v>
      </c>
      <c r="AR290" s="44" t="s">
        <v>1282</v>
      </c>
      <c r="AS290" s="44"/>
      <c r="AT290" s="44"/>
      <c r="AU290" s="44"/>
      <c r="AV290" s="44"/>
      <c r="AW290" s="44"/>
      <c r="AX290" s="44"/>
      <c r="AY290" s="44"/>
      <c r="AZ290" s="46"/>
    </row>
    <row r="291" customFormat="false" ht="18" hidden="false" customHeight="true" outlineLevel="0" collapsed="false">
      <c r="A291" s="47" t="s">
        <v>1507</v>
      </c>
      <c r="B291" s="48" t="s">
        <v>69</v>
      </c>
      <c r="C291" s="47" t="s">
        <v>1507</v>
      </c>
      <c r="D291" s="48" t="s">
        <v>784</v>
      </c>
      <c r="E291" s="48" t="s">
        <v>804</v>
      </c>
      <c r="F291" s="48" t="s">
        <v>1656</v>
      </c>
      <c r="G291" s="49" t="s">
        <v>30</v>
      </c>
      <c r="H291" s="48" t="s">
        <v>1297</v>
      </c>
      <c r="I291" s="48" t="s">
        <v>1637</v>
      </c>
      <c r="J291" s="48" t="s">
        <v>26</v>
      </c>
      <c r="K291" s="48" t="s">
        <v>26</v>
      </c>
      <c r="L291" s="48" t="s">
        <v>26</v>
      </c>
      <c r="M291" s="48"/>
      <c r="N291" s="50" t="s">
        <v>1443</v>
      </c>
      <c r="O291" s="51" t="s">
        <v>1722</v>
      </c>
      <c r="P291" s="52" t="n">
        <v>1</v>
      </c>
      <c r="Q291" s="52"/>
      <c r="R291" s="52" t="s">
        <v>1507</v>
      </c>
      <c r="S291" s="52"/>
      <c r="T291" s="52"/>
      <c r="U291" s="53" t="n">
        <v>151950</v>
      </c>
      <c r="V291" s="54" t="n">
        <v>151950</v>
      </c>
      <c r="W291" s="55" t="n">
        <v>0.12</v>
      </c>
      <c r="X291" s="52" t="n">
        <v>0.055</v>
      </c>
      <c r="Y291" s="55" t="n">
        <v>0.12</v>
      </c>
      <c r="Z291" s="56"/>
      <c r="AA291" s="55" t="n">
        <v>0.04</v>
      </c>
      <c r="AB291" s="57" t="n">
        <v>202853.25</v>
      </c>
      <c r="AC291" s="44"/>
      <c r="AD291" s="44"/>
      <c r="AE291" s="44" t="n">
        <v>202853.25</v>
      </c>
      <c r="AF291" s="44" t="s">
        <v>69</v>
      </c>
      <c r="AG291" s="44" t="n">
        <v>0</v>
      </c>
      <c r="AH291" s="58" t="s">
        <v>26</v>
      </c>
      <c r="AI291" s="44" t="n">
        <v>0</v>
      </c>
      <c r="AJ291" s="44" t="s">
        <v>26</v>
      </c>
      <c r="AK291" s="44" t="s">
        <v>47</v>
      </c>
      <c r="AL291" s="44" t="s">
        <v>26</v>
      </c>
      <c r="AM291" s="44" t="n">
        <v>0</v>
      </c>
      <c r="AN291" s="44"/>
      <c r="AO291" s="44"/>
      <c r="AP291" s="44"/>
      <c r="AQ291" s="45" t="s">
        <v>785</v>
      </c>
      <c r="AR291" s="44" t="s">
        <v>1282</v>
      </c>
      <c r="AS291" s="44"/>
      <c r="AT291" s="44"/>
      <c r="AU291" s="44"/>
      <c r="AV291" s="44"/>
      <c r="AW291" s="44"/>
      <c r="AX291" s="44"/>
      <c r="AY291" s="44"/>
      <c r="AZ291" s="46"/>
    </row>
    <row r="292" customFormat="false" ht="18" hidden="false" customHeight="true" outlineLevel="0" collapsed="false">
      <c r="A292" s="47" t="s">
        <v>1507</v>
      </c>
      <c r="B292" s="48" t="s">
        <v>69</v>
      </c>
      <c r="C292" s="47" t="s">
        <v>1507</v>
      </c>
      <c r="D292" s="48" t="s">
        <v>784</v>
      </c>
      <c r="E292" s="48" t="s">
        <v>804</v>
      </c>
      <c r="F292" s="48" t="s">
        <v>1656</v>
      </c>
      <c r="G292" s="49" t="s">
        <v>30</v>
      </c>
      <c r="H292" s="48" t="s">
        <v>1297</v>
      </c>
      <c r="I292" s="48" t="s">
        <v>1637</v>
      </c>
      <c r="J292" s="48" t="s">
        <v>26</v>
      </c>
      <c r="K292" s="48" t="s">
        <v>26</v>
      </c>
      <c r="L292" s="48" t="s">
        <v>769</v>
      </c>
      <c r="M292" s="48"/>
      <c r="N292" s="50" t="s">
        <v>1443</v>
      </c>
      <c r="O292" s="51" t="s">
        <v>1715</v>
      </c>
      <c r="P292" s="52" t="n">
        <v>1</v>
      </c>
      <c r="Q292" s="51"/>
      <c r="R292" s="52" t="s">
        <v>1507</v>
      </c>
      <c r="S292" s="52"/>
      <c r="T292" s="52"/>
      <c r="U292" s="53" t="n">
        <v>151950</v>
      </c>
      <c r="V292" s="54" t="n">
        <v>151950</v>
      </c>
      <c r="W292" s="55" t="n">
        <v>0.12</v>
      </c>
      <c r="X292" s="52" t="n">
        <v>0.055</v>
      </c>
      <c r="Y292" s="55" t="n">
        <v>0.12</v>
      </c>
      <c r="Z292" s="56"/>
      <c r="AA292" s="55" t="n">
        <v>0.04</v>
      </c>
      <c r="AB292" s="57" t="n">
        <v>202853.25</v>
      </c>
      <c r="AC292" s="44"/>
      <c r="AD292" s="44"/>
      <c r="AE292" s="44" t="n">
        <v>202853.25</v>
      </c>
      <c r="AF292" s="44" t="s">
        <v>69</v>
      </c>
      <c r="AG292" s="44" t="n">
        <v>0</v>
      </c>
      <c r="AH292" s="58" t="s">
        <v>26</v>
      </c>
      <c r="AI292" s="44" t="n">
        <v>0</v>
      </c>
      <c r="AJ292" s="44" t="s">
        <v>769</v>
      </c>
      <c r="AK292" s="44" t="s">
        <v>47</v>
      </c>
      <c r="AL292" s="44" t="s">
        <v>769</v>
      </c>
      <c r="AM292" s="44" t="n">
        <v>0</v>
      </c>
      <c r="AN292" s="44"/>
      <c r="AO292" s="44"/>
      <c r="AP292" s="44"/>
      <c r="AQ292" s="45" t="s">
        <v>789</v>
      </c>
      <c r="AR292" s="44" t="s">
        <v>1282</v>
      </c>
      <c r="AS292" s="44"/>
      <c r="AT292" s="44"/>
      <c r="AU292" s="44"/>
      <c r="AV292" s="44"/>
      <c r="AW292" s="44"/>
      <c r="AX292" s="44"/>
      <c r="AY292" s="44"/>
      <c r="AZ292" s="46"/>
    </row>
    <row r="293" customFormat="false" ht="18" hidden="false" customHeight="true" outlineLevel="0" collapsed="false">
      <c r="A293" s="47" t="s">
        <v>1507</v>
      </c>
      <c r="B293" s="48" t="s">
        <v>69</v>
      </c>
      <c r="C293" s="47" t="s">
        <v>1507</v>
      </c>
      <c r="D293" s="48" t="s">
        <v>1056</v>
      </c>
      <c r="E293" s="48" t="s">
        <v>1053</v>
      </c>
      <c r="F293" s="48" t="s">
        <v>1054</v>
      </c>
      <c r="G293" s="49" t="s">
        <v>1531</v>
      </c>
      <c r="H293" s="48" t="s">
        <v>1151</v>
      </c>
      <c r="I293" s="48" t="s">
        <v>1596</v>
      </c>
      <c r="J293" s="48" t="s">
        <v>31</v>
      </c>
      <c r="K293" s="48" t="s">
        <v>756</v>
      </c>
      <c r="L293" s="48"/>
      <c r="M293" s="48"/>
      <c r="N293" s="50" t="s">
        <v>1443</v>
      </c>
      <c r="O293" s="51" t="s">
        <v>1715</v>
      </c>
      <c r="P293" s="52" t="n">
        <v>1</v>
      </c>
      <c r="Q293" s="51"/>
      <c r="R293" s="52" t="s">
        <v>1513</v>
      </c>
      <c r="S293" s="52"/>
      <c r="T293" s="52"/>
      <c r="U293" s="53" t="n">
        <v>151950</v>
      </c>
      <c r="V293" s="54" t="n">
        <v>151950</v>
      </c>
      <c r="W293" s="55" t="n">
        <v>0.12</v>
      </c>
      <c r="X293" s="52" t="n">
        <v>0.055</v>
      </c>
      <c r="Y293" s="55" t="n">
        <v>0.12</v>
      </c>
      <c r="Z293" s="56"/>
      <c r="AA293" s="55" t="n">
        <v>0.04</v>
      </c>
      <c r="AB293" s="57" t="n">
        <v>202853.25</v>
      </c>
      <c r="AC293" s="44"/>
      <c r="AD293" s="44"/>
      <c r="AE293" s="44" t="n">
        <v>202853.25</v>
      </c>
      <c r="AF293" s="44" t="s">
        <v>69</v>
      </c>
      <c r="AG293" s="44" t="n">
        <v>0</v>
      </c>
      <c r="AH293" s="58" t="s">
        <v>31</v>
      </c>
      <c r="AI293" s="44" t="n">
        <v>1</v>
      </c>
      <c r="AJ293" s="44" t="s">
        <v>756</v>
      </c>
      <c r="AK293" s="44" t="s">
        <v>47</v>
      </c>
      <c r="AL293" s="44" t="s">
        <v>756</v>
      </c>
      <c r="AM293" s="44" t="n">
        <v>0</v>
      </c>
      <c r="AN293" s="44"/>
      <c r="AO293" s="44"/>
      <c r="AP293" s="44"/>
      <c r="AQ293" s="45" t="s">
        <v>1055</v>
      </c>
      <c r="AR293" s="44" t="s">
        <v>1282</v>
      </c>
      <c r="AS293" s="44"/>
      <c r="AT293" s="44"/>
      <c r="AU293" s="44"/>
      <c r="AV293" s="44"/>
      <c r="AW293" s="44"/>
      <c r="AX293" s="44"/>
      <c r="AY293" s="44"/>
      <c r="AZ293" s="46"/>
    </row>
    <row r="294" customFormat="false" ht="18" hidden="false" customHeight="true" outlineLevel="0" collapsed="false">
      <c r="A294" s="47" t="n">
        <v>106044</v>
      </c>
      <c r="B294" s="48" t="s">
        <v>983</v>
      </c>
      <c r="C294" s="47" t="n">
        <v>106044</v>
      </c>
      <c r="D294" s="48" t="s">
        <v>984</v>
      </c>
      <c r="E294" s="48" t="s">
        <v>979</v>
      </c>
      <c r="F294" s="48" t="s">
        <v>980</v>
      </c>
      <c r="G294" s="49" t="s">
        <v>1531</v>
      </c>
      <c r="H294" s="48" t="s">
        <v>1151</v>
      </c>
      <c r="I294" s="48" t="s">
        <v>1532</v>
      </c>
      <c r="J294" s="48" t="s">
        <v>31</v>
      </c>
      <c r="K294" s="48" t="s">
        <v>1151</v>
      </c>
      <c r="L294" s="48" t="s">
        <v>1597</v>
      </c>
      <c r="M294" s="48"/>
      <c r="N294" s="50" t="s">
        <v>1443</v>
      </c>
      <c r="O294" s="51" t="s">
        <v>1715</v>
      </c>
      <c r="P294" s="52" t="n">
        <v>1</v>
      </c>
      <c r="Q294" s="51"/>
      <c r="R294" s="52" t="s">
        <v>1519</v>
      </c>
      <c r="S294" s="52"/>
      <c r="T294" s="52"/>
      <c r="U294" s="53" t="n">
        <v>159820</v>
      </c>
      <c r="V294" s="54" t="n">
        <v>159820</v>
      </c>
      <c r="W294" s="55" t="n">
        <v>0.12</v>
      </c>
      <c r="X294" s="52" t="n">
        <v>0.055</v>
      </c>
      <c r="Y294" s="55" t="n">
        <v>0.12</v>
      </c>
      <c r="Z294" s="56"/>
      <c r="AA294" s="55" t="n">
        <v>0.04</v>
      </c>
      <c r="AB294" s="57" t="n">
        <v>213359.7</v>
      </c>
      <c r="AC294" s="44"/>
      <c r="AD294" s="44"/>
      <c r="AE294" s="44" t="n">
        <v>213359.7</v>
      </c>
      <c r="AF294" s="44" t="s">
        <v>53</v>
      </c>
      <c r="AG294" s="44" t="n">
        <v>0</v>
      </c>
      <c r="AH294" s="58" t="s">
        <v>31</v>
      </c>
      <c r="AI294" s="44" t="n">
        <v>0</v>
      </c>
      <c r="AJ294" s="44" t="s">
        <v>970</v>
      </c>
      <c r="AK294" s="44" t="s">
        <v>47</v>
      </c>
      <c r="AL294" s="44" t="s">
        <v>970</v>
      </c>
      <c r="AM294" s="44" t="n">
        <v>0</v>
      </c>
      <c r="AN294" s="44"/>
      <c r="AO294" s="44"/>
      <c r="AP294" s="44"/>
      <c r="AQ294" s="45" t="s">
        <v>982</v>
      </c>
      <c r="AR294" s="44" t="s">
        <v>1282</v>
      </c>
      <c r="AS294" s="44"/>
      <c r="AT294" s="44"/>
      <c r="AU294" s="44"/>
      <c r="AV294" s="44"/>
      <c r="AW294" s="44"/>
      <c r="AX294" s="44"/>
      <c r="AY294" s="44"/>
      <c r="AZ294" s="46"/>
    </row>
    <row r="295" customFormat="false" ht="18" hidden="false" customHeight="true" outlineLevel="0" collapsed="false">
      <c r="A295" s="47" t="n">
        <v>109491</v>
      </c>
      <c r="B295" s="48" t="s">
        <v>1723</v>
      </c>
      <c r="C295" s="47" t="n">
        <v>109491</v>
      </c>
      <c r="D295" s="48" t="s">
        <v>1724</v>
      </c>
      <c r="E295" s="48" t="s">
        <v>1589</v>
      </c>
      <c r="F295" s="48"/>
      <c r="G295" s="49" t="s">
        <v>1527</v>
      </c>
      <c r="H295" s="48" t="s">
        <v>1322</v>
      </c>
      <c r="I295" s="48" t="s">
        <v>1159</v>
      </c>
      <c r="J295" s="48" t="s">
        <v>1159</v>
      </c>
      <c r="K295" s="48" t="s">
        <v>1159</v>
      </c>
      <c r="L295" s="48" t="s">
        <v>1159</v>
      </c>
      <c r="M295" s="48"/>
      <c r="N295" s="50" t="s">
        <v>1443</v>
      </c>
      <c r="O295" s="51" t="s">
        <v>1715</v>
      </c>
      <c r="P295" s="52" t="n">
        <v>1</v>
      </c>
      <c r="Q295" s="51"/>
      <c r="R295" s="52" t="s">
        <v>1519</v>
      </c>
      <c r="S295" s="52"/>
      <c r="T295" s="52"/>
      <c r="U295" s="53" t="n">
        <v>152390</v>
      </c>
      <c r="V295" s="54" t="n">
        <v>152390</v>
      </c>
      <c r="W295" s="55" t="n">
        <v>0.12</v>
      </c>
      <c r="X295" s="52" t="n">
        <v>0.055</v>
      </c>
      <c r="Y295" s="55" t="n">
        <v>0.12</v>
      </c>
      <c r="Z295" s="56"/>
      <c r="AA295" s="55" t="n">
        <v>0.04</v>
      </c>
      <c r="AB295" s="57" t="n">
        <v>203440.65</v>
      </c>
      <c r="AC295" s="44"/>
      <c r="AD295" s="44"/>
      <c r="AE295" s="44" t="n">
        <v>203440.65</v>
      </c>
      <c r="AF295" s="44" t="s">
        <v>53</v>
      </c>
      <c r="AG295" s="44" t="n">
        <v>0</v>
      </c>
      <c r="AH295" s="58" t="s">
        <v>32</v>
      </c>
      <c r="AI295" s="44" t="n">
        <v>0</v>
      </c>
      <c r="AJ295" s="44" t="s">
        <v>1322</v>
      </c>
      <c r="AK295" s="44" t="s">
        <v>47</v>
      </c>
      <c r="AL295" s="44" t="s">
        <v>1322</v>
      </c>
      <c r="AM295" s="44" t="n">
        <v>0</v>
      </c>
      <c r="AN295" s="44"/>
      <c r="AO295" s="44"/>
      <c r="AP295" s="44"/>
      <c r="AQ295" s="45" t="s">
        <v>1324</v>
      </c>
      <c r="AR295" s="44" t="s">
        <v>1282</v>
      </c>
      <c r="AS295" s="44"/>
      <c r="AT295" s="44"/>
      <c r="AU295" s="44"/>
      <c r="AV295" s="44"/>
      <c r="AW295" s="44"/>
      <c r="AX295" s="44"/>
      <c r="AY295" s="44"/>
      <c r="AZ295" s="46"/>
    </row>
    <row r="296" customFormat="false" ht="18" hidden="false" customHeight="true" outlineLevel="0" collapsed="false">
      <c r="A296" s="47" t="n">
        <v>104805</v>
      </c>
      <c r="B296" s="48" t="s">
        <v>1725</v>
      </c>
      <c r="C296" s="47" t="n">
        <v>104805</v>
      </c>
      <c r="D296" s="48" t="s">
        <v>1724</v>
      </c>
      <c r="E296" s="48" t="s">
        <v>1589</v>
      </c>
      <c r="F296" s="48"/>
      <c r="G296" s="49" t="s">
        <v>1527</v>
      </c>
      <c r="H296" s="48" t="s">
        <v>1322</v>
      </c>
      <c r="I296" s="48" t="s">
        <v>1159</v>
      </c>
      <c r="J296" s="48" t="s">
        <v>1159</v>
      </c>
      <c r="K296" s="48" t="s">
        <v>1159</v>
      </c>
      <c r="L296" s="48" t="s">
        <v>1159</v>
      </c>
      <c r="M296" s="48"/>
      <c r="N296" s="50" t="s">
        <v>1443</v>
      </c>
      <c r="O296" s="51" t="s">
        <v>1715</v>
      </c>
      <c r="P296" s="52" t="n">
        <v>1</v>
      </c>
      <c r="Q296" s="51"/>
      <c r="R296" s="52" t="s">
        <v>1519</v>
      </c>
      <c r="S296" s="52"/>
      <c r="T296" s="52"/>
      <c r="U296" s="53" t="n">
        <v>171450</v>
      </c>
      <c r="V296" s="54" t="n">
        <v>171450</v>
      </c>
      <c r="W296" s="55" t="n">
        <v>0.12</v>
      </c>
      <c r="X296" s="52" t="n">
        <v>0.055</v>
      </c>
      <c r="Y296" s="55" t="n">
        <v>0.12</v>
      </c>
      <c r="Z296" s="56"/>
      <c r="AA296" s="55" t="n">
        <v>0.04</v>
      </c>
      <c r="AB296" s="57" t="n">
        <v>228885.75</v>
      </c>
      <c r="AC296" s="44"/>
      <c r="AD296" s="44"/>
      <c r="AE296" s="44" t="n">
        <v>228885.75</v>
      </c>
      <c r="AF296" s="44" t="s">
        <v>53</v>
      </c>
      <c r="AG296" s="44" t="n">
        <v>0</v>
      </c>
      <c r="AH296" s="58" t="s">
        <v>32</v>
      </c>
      <c r="AI296" s="44" t="n">
        <v>0</v>
      </c>
      <c r="AJ296" s="44" t="s">
        <v>1322</v>
      </c>
      <c r="AK296" s="44" t="s">
        <v>47</v>
      </c>
      <c r="AL296" s="44" t="s">
        <v>1322</v>
      </c>
      <c r="AM296" s="44" t="n">
        <v>0</v>
      </c>
      <c r="AN296" s="44"/>
      <c r="AO296" s="44"/>
      <c r="AP296" s="44"/>
      <c r="AQ296" s="45" t="s">
        <v>1325</v>
      </c>
      <c r="AR296" s="44" t="s">
        <v>1282</v>
      </c>
      <c r="AS296" s="44"/>
      <c r="AT296" s="44"/>
      <c r="AU296" s="44"/>
      <c r="AV296" s="44"/>
      <c r="AW296" s="44"/>
      <c r="AX296" s="44"/>
      <c r="AY296" s="44"/>
      <c r="AZ296" s="46"/>
    </row>
    <row r="297" customFormat="false" ht="18" hidden="false" customHeight="true" outlineLevel="0" collapsed="false">
      <c r="A297" s="47" t="n">
        <v>90813</v>
      </c>
      <c r="B297" s="48" t="s">
        <v>625</v>
      </c>
      <c r="C297" s="47" t="n">
        <v>90813</v>
      </c>
      <c r="D297" s="48" t="s">
        <v>626</v>
      </c>
      <c r="E297" s="48" t="s">
        <v>687</v>
      </c>
      <c r="F297" s="48" t="s">
        <v>685</v>
      </c>
      <c r="G297" s="49" t="s">
        <v>1461</v>
      </c>
      <c r="H297" s="48" t="s">
        <v>1562</v>
      </c>
      <c r="I297" s="48" t="s">
        <v>1599</v>
      </c>
      <c r="J297" s="48" t="s">
        <v>1562</v>
      </c>
      <c r="K297" s="48" t="s">
        <v>613</v>
      </c>
      <c r="L297" s="48" t="s">
        <v>613</v>
      </c>
      <c r="M297" s="48"/>
      <c r="N297" s="50" t="s">
        <v>1443</v>
      </c>
      <c r="O297" s="51" t="s">
        <v>1715</v>
      </c>
      <c r="P297" s="52" t="n">
        <v>1</v>
      </c>
      <c r="Q297" s="51"/>
      <c r="R297" s="52" t="s">
        <v>1519</v>
      </c>
      <c r="S297" s="52"/>
      <c r="T297" s="52"/>
      <c r="U297" s="53" t="n">
        <v>140000</v>
      </c>
      <c r="V297" s="54" t="n">
        <v>140000</v>
      </c>
      <c r="W297" s="55" t="n">
        <v>0.12</v>
      </c>
      <c r="X297" s="52" t="n">
        <v>0.055</v>
      </c>
      <c r="Y297" s="55" t="n">
        <v>0.12</v>
      </c>
      <c r="Z297" s="56"/>
      <c r="AA297" s="55" t="n">
        <v>0.04</v>
      </c>
      <c r="AB297" s="57" t="n">
        <v>186900</v>
      </c>
      <c r="AC297" s="44"/>
      <c r="AD297" s="44"/>
      <c r="AE297" s="44" t="n">
        <v>186900</v>
      </c>
      <c r="AF297" s="44" t="s">
        <v>53</v>
      </c>
      <c r="AG297" s="44" t="n">
        <v>0</v>
      </c>
      <c r="AH297" s="58" t="s">
        <v>22</v>
      </c>
      <c r="AI297" s="44" t="n">
        <v>0</v>
      </c>
      <c r="AJ297" s="44" t="s">
        <v>613</v>
      </c>
      <c r="AK297" s="44" t="s">
        <v>47</v>
      </c>
      <c r="AL297" s="44" t="s">
        <v>613</v>
      </c>
      <c r="AM297" s="44" t="n">
        <v>0</v>
      </c>
      <c r="AN297" s="44"/>
      <c r="AO297" s="44"/>
      <c r="AP297" s="44"/>
      <c r="AQ297" s="45" t="s">
        <v>624</v>
      </c>
      <c r="AR297" s="44" t="s">
        <v>1282</v>
      </c>
      <c r="AS297" s="44"/>
      <c r="AT297" s="44"/>
      <c r="AU297" s="44"/>
      <c r="AV297" s="44"/>
      <c r="AW297" s="44"/>
      <c r="AX297" s="44"/>
      <c r="AY297" s="44"/>
      <c r="AZ297" s="46"/>
    </row>
    <row r="298" customFormat="false" ht="18" hidden="false" customHeight="true" outlineLevel="0" collapsed="false">
      <c r="A298" s="47" t="s">
        <v>1507</v>
      </c>
      <c r="B298" s="48" t="s">
        <v>69</v>
      </c>
      <c r="C298" s="47" t="s">
        <v>1507</v>
      </c>
      <c r="D298" s="48" t="s">
        <v>523</v>
      </c>
      <c r="E298" s="48" t="s">
        <v>687</v>
      </c>
      <c r="F298" s="48" t="s">
        <v>685</v>
      </c>
      <c r="G298" s="49" t="s">
        <v>1461</v>
      </c>
      <c r="H298" s="48" t="s">
        <v>1562</v>
      </c>
      <c r="I298" s="48" t="s">
        <v>1599</v>
      </c>
      <c r="J298" s="48" t="s">
        <v>1562</v>
      </c>
      <c r="K298" s="48" t="s">
        <v>613</v>
      </c>
      <c r="L298" s="48" t="s">
        <v>613</v>
      </c>
      <c r="M298" s="48"/>
      <c r="N298" s="50" t="s">
        <v>1443</v>
      </c>
      <c r="O298" s="51" t="s">
        <v>1715</v>
      </c>
      <c r="P298" s="52" t="n">
        <v>1</v>
      </c>
      <c r="Q298" s="52"/>
      <c r="R298" s="52" t="s">
        <v>1507</v>
      </c>
      <c r="S298" s="52"/>
      <c r="T298" s="52"/>
      <c r="U298" s="53" t="n">
        <v>151950</v>
      </c>
      <c r="V298" s="54" t="n">
        <v>151950</v>
      </c>
      <c r="W298" s="55" t="n">
        <v>0.12</v>
      </c>
      <c r="X298" s="52" t="n">
        <v>0.055</v>
      </c>
      <c r="Y298" s="55" t="n">
        <v>0.12</v>
      </c>
      <c r="Z298" s="56"/>
      <c r="AA298" s="55" t="n">
        <v>0.04</v>
      </c>
      <c r="AB298" s="57" t="n">
        <v>202853.25</v>
      </c>
      <c r="AC298" s="44"/>
      <c r="AD298" s="44"/>
      <c r="AE298" s="44" t="n">
        <v>202853.25</v>
      </c>
      <c r="AF298" s="44" t="s">
        <v>69</v>
      </c>
      <c r="AG298" s="44" t="n">
        <v>0</v>
      </c>
      <c r="AH298" s="58" t="s">
        <v>22</v>
      </c>
      <c r="AI298" s="44" t="n">
        <v>0</v>
      </c>
      <c r="AJ298" s="44" t="s">
        <v>613</v>
      </c>
      <c r="AK298" s="44" t="s">
        <v>47</v>
      </c>
      <c r="AL298" s="44" t="s">
        <v>613</v>
      </c>
      <c r="AM298" s="44" t="n">
        <v>0</v>
      </c>
      <c r="AN298" s="44" t="s">
        <v>69</v>
      </c>
      <c r="AO298" s="44"/>
      <c r="AP298" s="44"/>
      <c r="AQ298" s="45" t="s">
        <v>627</v>
      </c>
      <c r="AR298" s="44" t="s">
        <v>1282</v>
      </c>
      <c r="AS298" s="44"/>
      <c r="AT298" s="44"/>
      <c r="AU298" s="44"/>
      <c r="AV298" s="44"/>
      <c r="AW298" s="44"/>
      <c r="AX298" s="44"/>
      <c r="AY298" s="44"/>
      <c r="AZ298" s="46"/>
    </row>
    <row r="299" customFormat="false" ht="18" hidden="false" customHeight="true" outlineLevel="0" collapsed="false">
      <c r="A299" s="47" t="n">
        <v>115813</v>
      </c>
      <c r="B299" s="48" t="s">
        <v>281</v>
      </c>
      <c r="C299" s="47" t="n">
        <v>115813</v>
      </c>
      <c r="D299" s="48" t="s">
        <v>282</v>
      </c>
      <c r="E299" s="48" t="s">
        <v>299</v>
      </c>
      <c r="F299" s="48" t="s">
        <v>300</v>
      </c>
      <c r="G299" s="49" t="s">
        <v>1471</v>
      </c>
      <c r="H299" s="48" t="s">
        <v>1472</v>
      </c>
      <c r="I299" s="48" t="s">
        <v>1620</v>
      </c>
      <c r="J299" s="48" t="s">
        <v>1568</v>
      </c>
      <c r="K299" s="48" t="s">
        <v>220</v>
      </c>
      <c r="L299" s="48" t="s">
        <v>220</v>
      </c>
      <c r="M299" s="48"/>
      <c r="N299" s="50" t="s">
        <v>1284</v>
      </c>
      <c r="O299" s="51" t="s">
        <v>1715</v>
      </c>
      <c r="P299" s="52" t="n">
        <v>1</v>
      </c>
      <c r="Q299" s="51"/>
      <c r="R299" s="52" t="s">
        <v>1519</v>
      </c>
      <c r="S299" s="52"/>
      <c r="T299" s="52"/>
      <c r="U299" s="53" t="n">
        <v>168160</v>
      </c>
      <c r="V299" s="54" t="n">
        <v>168160</v>
      </c>
      <c r="W299" s="55" t="n">
        <v>0.12</v>
      </c>
      <c r="X299" s="52" t="n">
        <v>0.055</v>
      </c>
      <c r="Y299" s="55" t="n">
        <v>0.12</v>
      </c>
      <c r="Z299" s="56"/>
      <c r="AA299" s="55" t="n">
        <v>0.04</v>
      </c>
      <c r="AB299" s="57" t="n">
        <v>224493.6</v>
      </c>
      <c r="AC299" s="44"/>
      <c r="AD299" s="44"/>
      <c r="AE299" s="44" t="n">
        <v>224493.6</v>
      </c>
      <c r="AF299" s="44" t="s">
        <v>53</v>
      </c>
      <c r="AG299" s="44" t="n">
        <v>0</v>
      </c>
      <c r="AH299" s="58" t="s">
        <v>16</v>
      </c>
      <c r="AI299" s="44" t="n">
        <v>0</v>
      </c>
      <c r="AJ299" s="44" t="s">
        <v>220</v>
      </c>
      <c r="AK299" s="44" t="s">
        <v>47</v>
      </c>
      <c r="AL299" s="44" t="s">
        <v>220</v>
      </c>
      <c r="AM299" s="44" t="n">
        <v>0</v>
      </c>
      <c r="AN299" s="44"/>
      <c r="AO299" s="44"/>
      <c r="AP299" s="44"/>
      <c r="AQ299" s="45" t="s">
        <v>280</v>
      </c>
      <c r="AR299" s="44" t="s">
        <v>1284</v>
      </c>
      <c r="AS299" s="44"/>
      <c r="AT299" s="44"/>
      <c r="AU299" s="44"/>
      <c r="AV299" s="44"/>
      <c r="AW299" s="44"/>
      <c r="AX299" s="44"/>
      <c r="AY299" s="44"/>
      <c r="AZ299" s="46"/>
    </row>
    <row r="300" customFormat="false" ht="18" hidden="false" customHeight="true" outlineLevel="0" collapsed="false">
      <c r="A300" s="47" t="s">
        <v>1507</v>
      </c>
      <c r="B300" s="48" t="s">
        <v>69</v>
      </c>
      <c r="C300" s="47" t="s">
        <v>1507</v>
      </c>
      <c r="D300" s="48" t="s">
        <v>263</v>
      </c>
      <c r="E300" s="48" t="s">
        <v>299</v>
      </c>
      <c r="F300" s="48" t="s">
        <v>300</v>
      </c>
      <c r="G300" s="49" t="s">
        <v>1471</v>
      </c>
      <c r="H300" s="48" t="s">
        <v>1472</v>
      </c>
      <c r="I300" s="48" t="s">
        <v>1620</v>
      </c>
      <c r="J300" s="48" t="s">
        <v>1568</v>
      </c>
      <c r="K300" s="48" t="s">
        <v>19</v>
      </c>
      <c r="L300" s="48" t="s">
        <v>1655</v>
      </c>
      <c r="M300" s="48"/>
      <c r="N300" s="50" t="s">
        <v>1458</v>
      </c>
      <c r="O300" s="51" t="s">
        <v>1722</v>
      </c>
      <c r="P300" s="52" t="n">
        <v>1</v>
      </c>
      <c r="Q300" s="51"/>
      <c r="R300" s="52" t="s">
        <v>1513</v>
      </c>
      <c r="S300" s="52"/>
      <c r="T300" s="52"/>
      <c r="U300" s="53" t="n">
        <v>173550</v>
      </c>
      <c r="V300" s="54" t="n">
        <v>173550</v>
      </c>
      <c r="W300" s="55" t="n">
        <v>0.12</v>
      </c>
      <c r="X300" s="52" t="n">
        <v>0.055</v>
      </c>
      <c r="Y300" s="55" t="n">
        <v>0.12</v>
      </c>
      <c r="Z300" s="56"/>
      <c r="AA300" s="55" t="n">
        <v>0.04</v>
      </c>
      <c r="AB300" s="57" t="n">
        <v>231689.25</v>
      </c>
      <c r="AC300" s="44"/>
      <c r="AD300" s="44"/>
      <c r="AE300" s="44" t="n">
        <v>231689.25</v>
      </c>
      <c r="AF300" s="44" t="s">
        <v>69</v>
      </c>
      <c r="AG300" s="44" t="n">
        <v>0</v>
      </c>
      <c r="AH300" s="58" t="s">
        <v>16</v>
      </c>
      <c r="AI300" s="44" t="n">
        <v>0</v>
      </c>
      <c r="AJ300" s="44" t="s">
        <v>224</v>
      </c>
      <c r="AK300" s="44" t="s">
        <v>47</v>
      </c>
      <c r="AL300" s="44" t="s">
        <v>224</v>
      </c>
      <c r="AM300" s="44" t="n">
        <v>0</v>
      </c>
      <c r="AN300" s="44" t="s">
        <v>69</v>
      </c>
      <c r="AO300" s="44"/>
      <c r="AP300" s="44"/>
      <c r="AQ300" s="45" t="s">
        <v>262</v>
      </c>
      <c r="AR300" s="44" t="s">
        <v>1282</v>
      </c>
      <c r="AS300" s="44"/>
      <c r="AT300" s="44"/>
      <c r="AU300" s="44"/>
      <c r="AV300" s="44"/>
      <c r="AW300" s="44"/>
      <c r="AX300" s="44"/>
      <c r="AY300" s="44"/>
      <c r="AZ300" s="46"/>
    </row>
    <row r="301" customFormat="false" ht="18" hidden="false" customHeight="true" outlineLevel="0" collapsed="false">
      <c r="A301" s="47" t="n">
        <v>113524</v>
      </c>
      <c r="B301" s="48" t="s">
        <v>652</v>
      </c>
      <c r="C301" s="47" t="n">
        <v>113524</v>
      </c>
      <c r="D301" s="48" t="s">
        <v>636</v>
      </c>
      <c r="E301" s="48" t="s">
        <v>684</v>
      </c>
      <c r="F301" s="48" t="s">
        <v>685</v>
      </c>
      <c r="G301" s="49" t="s">
        <v>1461</v>
      </c>
      <c r="H301" s="48" t="s">
        <v>1562</v>
      </c>
      <c r="I301" s="48" t="s">
        <v>1598</v>
      </c>
      <c r="J301" s="48" t="s">
        <v>1562</v>
      </c>
      <c r="K301" s="48" t="s">
        <v>1152</v>
      </c>
      <c r="L301" s="48" t="s">
        <v>614</v>
      </c>
      <c r="M301" s="48"/>
      <c r="N301" s="50" t="s">
        <v>1284</v>
      </c>
      <c r="O301" s="51" t="s">
        <v>1715</v>
      </c>
      <c r="P301" s="52" t="n">
        <v>1</v>
      </c>
      <c r="Q301" s="51"/>
      <c r="R301" s="52" t="s">
        <v>1519</v>
      </c>
      <c r="S301" s="52"/>
      <c r="T301" s="52"/>
      <c r="U301" s="53" t="n">
        <v>125000</v>
      </c>
      <c r="V301" s="54" t="n">
        <v>115000</v>
      </c>
      <c r="W301" s="55" t="n">
        <v>0.15</v>
      </c>
      <c r="X301" s="52"/>
      <c r="Y301" s="55" t="n">
        <v>0.05</v>
      </c>
      <c r="Z301" s="56" t="n">
        <v>2910</v>
      </c>
      <c r="AA301" s="55" t="n">
        <v>0.03</v>
      </c>
      <c r="AB301" s="57" t="n">
        <v>144360</v>
      </c>
      <c r="AC301" s="44"/>
      <c r="AD301" s="44"/>
      <c r="AE301" s="44" t="n">
        <v>144360</v>
      </c>
      <c r="AF301" s="44" t="s">
        <v>53</v>
      </c>
      <c r="AG301" s="44" t="n">
        <v>0</v>
      </c>
      <c r="AH301" s="58" t="s">
        <v>22</v>
      </c>
      <c r="AI301" s="44" t="n">
        <v>0</v>
      </c>
      <c r="AJ301" s="44" t="s">
        <v>614</v>
      </c>
      <c r="AK301" s="44" t="s">
        <v>47</v>
      </c>
      <c r="AL301" s="44" t="s">
        <v>614</v>
      </c>
      <c r="AM301" s="44" t="n">
        <v>0</v>
      </c>
      <c r="AN301" s="44"/>
      <c r="AO301" s="44"/>
      <c r="AP301" s="44"/>
      <c r="AQ301" s="45" t="s">
        <v>651</v>
      </c>
      <c r="AR301" s="44" t="s">
        <v>1284</v>
      </c>
      <c r="AS301" s="44"/>
      <c r="AT301" s="44"/>
      <c r="AU301" s="44"/>
      <c r="AV301" s="44"/>
      <c r="AW301" s="44"/>
      <c r="AX301" s="44"/>
      <c r="AY301" s="44"/>
      <c r="AZ301" s="46"/>
    </row>
    <row r="302" customFormat="false" ht="18" hidden="false" customHeight="true" outlineLevel="0" collapsed="false">
      <c r="A302" s="47" t="n">
        <v>107550</v>
      </c>
      <c r="B302" s="48" t="s">
        <v>666</v>
      </c>
      <c r="C302" s="47" t="n">
        <v>107550</v>
      </c>
      <c r="D302" s="48" t="s">
        <v>118</v>
      </c>
      <c r="E302" s="48" t="s">
        <v>684</v>
      </c>
      <c r="F302" s="48" t="s">
        <v>685</v>
      </c>
      <c r="G302" s="49" t="s">
        <v>1461</v>
      </c>
      <c r="H302" s="48" t="s">
        <v>1562</v>
      </c>
      <c r="I302" s="48" t="s">
        <v>1598</v>
      </c>
      <c r="J302" s="48" t="s">
        <v>1562</v>
      </c>
      <c r="K302" s="48" t="s">
        <v>1152</v>
      </c>
      <c r="L302" s="48" t="s">
        <v>436</v>
      </c>
      <c r="M302" s="48"/>
      <c r="N302" s="50" t="s">
        <v>1443</v>
      </c>
      <c r="O302" s="51" t="s">
        <v>1715</v>
      </c>
      <c r="P302" s="52" t="n">
        <v>1</v>
      </c>
      <c r="Q302" s="51"/>
      <c r="R302" s="52" t="s">
        <v>1519</v>
      </c>
      <c r="S302" s="52"/>
      <c r="T302" s="52"/>
      <c r="U302" s="53" t="n">
        <v>156160</v>
      </c>
      <c r="V302" s="54" t="n">
        <v>156160</v>
      </c>
      <c r="W302" s="55" t="n">
        <v>0.12</v>
      </c>
      <c r="X302" s="52" t="n">
        <v>0.055</v>
      </c>
      <c r="Y302" s="55" t="n">
        <v>0.12</v>
      </c>
      <c r="Z302" s="56"/>
      <c r="AA302" s="55" t="n">
        <v>0.04</v>
      </c>
      <c r="AB302" s="57" t="n">
        <v>208473.6</v>
      </c>
      <c r="AC302" s="44"/>
      <c r="AD302" s="44"/>
      <c r="AE302" s="44" t="n">
        <v>208473.6</v>
      </c>
      <c r="AF302" s="44" t="s">
        <v>53</v>
      </c>
      <c r="AG302" s="44" t="n">
        <v>0</v>
      </c>
      <c r="AH302" s="58" t="s">
        <v>22</v>
      </c>
      <c r="AI302" s="44" t="n">
        <v>0</v>
      </c>
      <c r="AJ302" s="44" t="s">
        <v>436</v>
      </c>
      <c r="AK302" s="44" t="s">
        <v>47</v>
      </c>
      <c r="AL302" s="44" t="s">
        <v>436</v>
      </c>
      <c r="AM302" s="44" t="n">
        <v>0</v>
      </c>
      <c r="AN302" s="44"/>
      <c r="AO302" s="44"/>
      <c r="AP302" s="44"/>
      <c r="AQ302" s="45" t="s">
        <v>665</v>
      </c>
      <c r="AR302" s="44" t="s">
        <v>1282</v>
      </c>
      <c r="AS302" s="44"/>
      <c r="AT302" s="44"/>
      <c r="AU302" s="44"/>
      <c r="AV302" s="44"/>
      <c r="AW302" s="44"/>
      <c r="AX302" s="44"/>
      <c r="AY302" s="44"/>
      <c r="AZ302" s="46"/>
    </row>
    <row r="303" customFormat="false" ht="18" hidden="false" customHeight="true" outlineLevel="0" collapsed="false">
      <c r="A303" s="47" t="n">
        <v>104159</v>
      </c>
      <c r="B303" s="48" t="s">
        <v>668</v>
      </c>
      <c r="C303" s="47" t="n">
        <v>104159</v>
      </c>
      <c r="D303" s="48" t="s">
        <v>516</v>
      </c>
      <c r="E303" s="48" t="s">
        <v>684</v>
      </c>
      <c r="F303" s="48" t="s">
        <v>685</v>
      </c>
      <c r="G303" s="49" t="s">
        <v>1461</v>
      </c>
      <c r="H303" s="48" t="s">
        <v>1562</v>
      </c>
      <c r="I303" s="48" t="s">
        <v>1598</v>
      </c>
      <c r="J303" s="48" t="s">
        <v>1562</v>
      </c>
      <c r="K303" s="48" t="s">
        <v>1152</v>
      </c>
      <c r="L303" s="48" t="s">
        <v>436</v>
      </c>
      <c r="M303" s="48"/>
      <c r="N303" s="50" t="s">
        <v>1443</v>
      </c>
      <c r="O303" s="51" t="s">
        <v>1715</v>
      </c>
      <c r="P303" s="52" t="n">
        <v>1</v>
      </c>
      <c r="Q303" s="51"/>
      <c r="R303" s="52" t="s">
        <v>1519</v>
      </c>
      <c r="S303" s="52"/>
      <c r="T303" s="52"/>
      <c r="U303" s="53" t="n">
        <v>159950</v>
      </c>
      <c r="V303" s="54" t="n">
        <v>159950</v>
      </c>
      <c r="W303" s="55" t="n">
        <v>0.12</v>
      </c>
      <c r="X303" s="52" t="n">
        <v>0.055</v>
      </c>
      <c r="Y303" s="55" t="n">
        <v>0.12</v>
      </c>
      <c r="Z303" s="56"/>
      <c r="AA303" s="55" t="n">
        <v>0.04</v>
      </c>
      <c r="AB303" s="57" t="n">
        <v>213533.25</v>
      </c>
      <c r="AC303" s="44"/>
      <c r="AD303" s="44"/>
      <c r="AE303" s="44" t="n">
        <v>213533.25</v>
      </c>
      <c r="AF303" s="44" t="s">
        <v>53</v>
      </c>
      <c r="AG303" s="44" t="n">
        <v>0</v>
      </c>
      <c r="AH303" s="58" t="s">
        <v>22</v>
      </c>
      <c r="AI303" s="44" t="n">
        <v>0</v>
      </c>
      <c r="AJ303" s="44" t="s">
        <v>436</v>
      </c>
      <c r="AK303" s="44" t="s">
        <v>47</v>
      </c>
      <c r="AL303" s="44" t="s">
        <v>436</v>
      </c>
      <c r="AM303" s="44" t="n">
        <v>0</v>
      </c>
      <c r="AN303" s="44"/>
      <c r="AO303" s="44"/>
      <c r="AP303" s="44"/>
      <c r="AQ303" s="45" t="s">
        <v>667</v>
      </c>
      <c r="AR303" s="44" t="s">
        <v>1282</v>
      </c>
      <c r="AS303" s="44"/>
      <c r="AT303" s="44"/>
      <c r="AU303" s="44"/>
      <c r="AV303" s="44"/>
      <c r="AW303" s="44"/>
      <c r="AX303" s="44"/>
      <c r="AY303" s="44"/>
      <c r="AZ303" s="46"/>
    </row>
    <row r="304" customFormat="false" ht="18" hidden="false" customHeight="true" outlineLevel="0" collapsed="false">
      <c r="A304" s="47" t="s">
        <v>1507</v>
      </c>
      <c r="B304" s="48" t="s">
        <v>69</v>
      </c>
      <c r="C304" s="47" t="s">
        <v>1507</v>
      </c>
      <c r="D304" s="48" t="s">
        <v>670</v>
      </c>
      <c r="E304" s="48" t="s">
        <v>684</v>
      </c>
      <c r="F304" s="48" t="s">
        <v>685</v>
      </c>
      <c r="G304" s="49" t="s">
        <v>1461</v>
      </c>
      <c r="H304" s="48" t="s">
        <v>1562</v>
      </c>
      <c r="I304" s="48" t="s">
        <v>1598</v>
      </c>
      <c r="J304" s="48" t="s">
        <v>1562</v>
      </c>
      <c r="K304" s="48" t="s">
        <v>1152</v>
      </c>
      <c r="L304" s="48" t="s">
        <v>436</v>
      </c>
      <c r="M304" s="48"/>
      <c r="N304" s="50" t="s">
        <v>1443</v>
      </c>
      <c r="O304" s="51" t="s">
        <v>1715</v>
      </c>
      <c r="P304" s="52" t="n">
        <v>1</v>
      </c>
      <c r="Q304" s="51"/>
      <c r="R304" s="52" t="s">
        <v>1507</v>
      </c>
      <c r="S304" s="52"/>
      <c r="T304" s="52"/>
      <c r="U304" s="53" t="n">
        <v>151950</v>
      </c>
      <c r="V304" s="54" t="n">
        <v>151950</v>
      </c>
      <c r="W304" s="55" t="n">
        <v>0.12</v>
      </c>
      <c r="X304" s="52" t="n">
        <v>0.055</v>
      </c>
      <c r="Y304" s="55" t="n">
        <v>0.12</v>
      </c>
      <c r="Z304" s="56"/>
      <c r="AA304" s="55" t="n">
        <v>0.04</v>
      </c>
      <c r="AB304" s="57" t="n">
        <v>202853.25</v>
      </c>
      <c r="AC304" s="44"/>
      <c r="AD304" s="44"/>
      <c r="AE304" s="44" t="n">
        <v>202853.25</v>
      </c>
      <c r="AF304" s="44" t="s">
        <v>69</v>
      </c>
      <c r="AG304" s="44" t="n">
        <v>0</v>
      </c>
      <c r="AH304" s="58" t="s">
        <v>22</v>
      </c>
      <c r="AI304" s="44" t="n">
        <v>0</v>
      </c>
      <c r="AJ304" s="44" t="s">
        <v>436</v>
      </c>
      <c r="AK304" s="44" t="s">
        <v>47</v>
      </c>
      <c r="AL304" s="44" t="s">
        <v>436</v>
      </c>
      <c r="AM304" s="44" t="n">
        <v>0</v>
      </c>
      <c r="AN304" s="44"/>
      <c r="AO304" s="44"/>
      <c r="AP304" s="44"/>
      <c r="AQ304" s="45" t="s">
        <v>669</v>
      </c>
      <c r="AR304" s="44" t="s">
        <v>1282</v>
      </c>
      <c r="AS304" s="44"/>
      <c r="AT304" s="44"/>
      <c r="AU304" s="44"/>
      <c r="AV304" s="44"/>
      <c r="AW304" s="44"/>
      <c r="AX304" s="44"/>
      <c r="AY304" s="44"/>
      <c r="AZ304" s="46"/>
    </row>
    <row r="305" customFormat="false" ht="18" hidden="false" customHeight="true" outlineLevel="0" collapsed="false">
      <c r="A305" s="47" t="s">
        <v>1507</v>
      </c>
      <c r="B305" s="48" t="s">
        <v>69</v>
      </c>
      <c r="C305" s="47" t="s">
        <v>1507</v>
      </c>
      <c r="D305" s="48" t="s">
        <v>636</v>
      </c>
      <c r="E305" s="48" t="s">
        <v>684</v>
      </c>
      <c r="F305" s="48" t="s">
        <v>685</v>
      </c>
      <c r="G305" s="49" t="s">
        <v>1461</v>
      </c>
      <c r="H305" s="48" t="s">
        <v>1562</v>
      </c>
      <c r="I305" s="48" t="s">
        <v>1598</v>
      </c>
      <c r="J305" s="48" t="s">
        <v>1562</v>
      </c>
      <c r="K305" s="48" t="s">
        <v>1152</v>
      </c>
      <c r="L305" s="48" t="s">
        <v>436</v>
      </c>
      <c r="M305" s="48"/>
      <c r="N305" s="50" t="s">
        <v>1443</v>
      </c>
      <c r="O305" s="51" t="s">
        <v>1715</v>
      </c>
      <c r="P305" s="52" t="n">
        <v>1</v>
      </c>
      <c r="Q305" s="51"/>
      <c r="R305" s="52" t="s">
        <v>1513</v>
      </c>
      <c r="S305" s="52"/>
      <c r="T305" s="52"/>
      <c r="U305" s="53" t="n">
        <v>151950</v>
      </c>
      <c r="V305" s="54" t="n">
        <v>151950</v>
      </c>
      <c r="W305" s="55" t="n">
        <v>0.12</v>
      </c>
      <c r="X305" s="52" t="n">
        <v>0.055</v>
      </c>
      <c r="Y305" s="55" t="n">
        <v>0.12</v>
      </c>
      <c r="Z305" s="56"/>
      <c r="AA305" s="55" t="n">
        <v>0.04</v>
      </c>
      <c r="AB305" s="57" t="n">
        <v>202853.25</v>
      </c>
      <c r="AC305" s="44"/>
      <c r="AD305" s="44"/>
      <c r="AE305" s="44" t="n">
        <v>202853.25</v>
      </c>
      <c r="AF305" s="44" t="s">
        <v>69</v>
      </c>
      <c r="AG305" s="44" t="n">
        <v>0</v>
      </c>
      <c r="AH305" s="58" t="s">
        <v>22</v>
      </c>
      <c r="AI305" s="44" t="n">
        <v>0</v>
      </c>
      <c r="AJ305" s="44" t="s">
        <v>436</v>
      </c>
      <c r="AK305" s="44" t="s">
        <v>47</v>
      </c>
      <c r="AL305" s="44" t="s">
        <v>436</v>
      </c>
      <c r="AM305" s="44" t="n">
        <v>0</v>
      </c>
      <c r="AN305" s="44"/>
      <c r="AO305" s="44"/>
      <c r="AP305" s="44"/>
      <c r="AQ305" s="45" t="s">
        <v>671</v>
      </c>
      <c r="AR305" s="44" t="s">
        <v>1282</v>
      </c>
      <c r="AS305" s="44"/>
      <c r="AT305" s="44"/>
      <c r="AU305" s="44"/>
      <c r="AV305" s="44"/>
      <c r="AW305" s="44"/>
      <c r="AX305" s="44"/>
      <c r="AY305" s="44"/>
      <c r="AZ305" s="46"/>
    </row>
    <row r="306" customFormat="false" ht="18" hidden="false" customHeight="true" outlineLevel="0" collapsed="false">
      <c r="A306" s="47" t="s">
        <v>1507</v>
      </c>
      <c r="B306" s="48" t="s">
        <v>69</v>
      </c>
      <c r="C306" s="47" t="s">
        <v>1507</v>
      </c>
      <c r="D306" s="48" t="s">
        <v>290</v>
      </c>
      <c r="E306" s="48" t="s">
        <v>1061</v>
      </c>
      <c r="F306" s="48" t="s">
        <v>1062</v>
      </c>
      <c r="G306" s="49" t="s">
        <v>1531</v>
      </c>
      <c r="H306" s="48" t="s">
        <v>1151</v>
      </c>
      <c r="I306" s="48" t="s">
        <v>1532</v>
      </c>
      <c r="J306" s="48" t="s">
        <v>31</v>
      </c>
      <c r="K306" s="48" t="s">
        <v>1151</v>
      </c>
      <c r="L306" s="48" t="s">
        <v>1597</v>
      </c>
      <c r="M306" s="48"/>
      <c r="N306" s="50" t="s">
        <v>1443</v>
      </c>
      <c r="O306" s="51" t="s">
        <v>1722</v>
      </c>
      <c r="P306" s="52" t="n">
        <v>1</v>
      </c>
      <c r="Q306" s="51"/>
      <c r="R306" s="52" t="s">
        <v>1507</v>
      </c>
      <c r="S306" s="52"/>
      <c r="T306" s="52"/>
      <c r="U306" s="53" t="n">
        <v>151950</v>
      </c>
      <c r="V306" s="54" t="n">
        <v>151950</v>
      </c>
      <c r="W306" s="55" t="n">
        <v>0.12</v>
      </c>
      <c r="X306" s="52" t="n">
        <v>0.055</v>
      </c>
      <c r="Y306" s="55" t="n">
        <v>0.12</v>
      </c>
      <c r="Z306" s="56"/>
      <c r="AA306" s="55" t="n">
        <v>0.04</v>
      </c>
      <c r="AB306" s="57" t="n">
        <v>202853.25</v>
      </c>
      <c r="AC306" s="44"/>
      <c r="AD306" s="44"/>
      <c r="AE306" s="44" t="n">
        <v>202853.25</v>
      </c>
      <c r="AF306" s="44" t="s">
        <v>69</v>
      </c>
      <c r="AG306" s="44" t="n">
        <v>0</v>
      </c>
      <c r="AH306" s="58" t="s">
        <v>31</v>
      </c>
      <c r="AI306" s="44" t="n">
        <v>0</v>
      </c>
      <c r="AJ306" s="44" t="s">
        <v>970</v>
      </c>
      <c r="AK306" s="44" t="s">
        <v>47</v>
      </c>
      <c r="AL306" s="44" t="s">
        <v>970</v>
      </c>
      <c r="AM306" s="44" t="n">
        <v>0</v>
      </c>
      <c r="AN306" s="44"/>
      <c r="AO306" s="44"/>
      <c r="AP306" s="44"/>
      <c r="AQ306" s="45" t="s">
        <v>985</v>
      </c>
      <c r="AR306" s="44" t="s">
        <v>1282</v>
      </c>
      <c r="AS306" s="44"/>
      <c r="AT306" s="44"/>
      <c r="AU306" s="44"/>
      <c r="AV306" s="44"/>
      <c r="AW306" s="44"/>
      <c r="AX306" s="44"/>
      <c r="AY306" s="44"/>
      <c r="AZ306" s="46"/>
    </row>
    <row r="307" customFormat="false" ht="18" hidden="false" customHeight="true" outlineLevel="0" collapsed="false">
      <c r="A307" s="47" t="n">
        <v>116090</v>
      </c>
      <c r="B307" s="48" t="s">
        <v>736</v>
      </c>
      <c r="C307" s="47" t="n">
        <v>116090</v>
      </c>
      <c r="D307" s="48" t="s">
        <v>263</v>
      </c>
      <c r="E307" s="48" t="s">
        <v>730</v>
      </c>
      <c r="F307" s="48" t="s">
        <v>1460</v>
      </c>
      <c r="G307" s="49" t="s">
        <v>1461</v>
      </c>
      <c r="H307" s="48" t="s">
        <v>1161</v>
      </c>
      <c r="I307" s="48" t="s">
        <v>1462</v>
      </c>
      <c r="J307" s="48" t="s">
        <v>24</v>
      </c>
      <c r="K307" s="48" t="s">
        <v>1155</v>
      </c>
      <c r="L307" s="48" t="s">
        <v>1579</v>
      </c>
      <c r="M307" s="48"/>
      <c r="N307" s="50" t="s">
        <v>1443</v>
      </c>
      <c r="O307" s="51" t="s">
        <v>1715</v>
      </c>
      <c r="P307" s="52" t="n">
        <v>1</v>
      </c>
      <c r="Q307" s="52"/>
      <c r="R307" s="52" t="s">
        <v>1519</v>
      </c>
      <c r="S307" s="52"/>
      <c r="T307" s="52"/>
      <c r="U307" s="53" t="n">
        <v>145000</v>
      </c>
      <c r="V307" s="54" t="n">
        <v>145000</v>
      </c>
      <c r="W307" s="55" t="n">
        <v>0.12</v>
      </c>
      <c r="X307" s="52" t="n">
        <v>0.055</v>
      </c>
      <c r="Y307" s="55" t="n">
        <v>0.12</v>
      </c>
      <c r="Z307" s="56"/>
      <c r="AA307" s="55" t="n">
        <v>0.04</v>
      </c>
      <c r="AB307" s="57" t="n">
        <v>193575</v>
      </c>
      <c r="AC307" s="44"/>
      <c r="AD307" s="44"/>
      <c r="AE307" s="44" t="n">
        <v>193575</v>
      </c>
      <c r="AF307" s="44" t="s">
        <v>53</v>
      </c>
      <c r="AG307" s="44" t="n">
        <v>0</v>
      </c>
      <c r="AH307" s="58" t="s">
        <v>24</v>
      </c>
      <c r="AI307" s="44" t="n">
        <v>0</v>
      </c>
      <c r="AJ307" s="44" t="s">
        <v>696</v>
      </c>
      <c r="AK307" s="44" t="s">
        <v>47</v>
      </c>
      <c r="AL307" s="44" t="s">
        <v>696</v>
      </c>
      <c r="AM307" s="44" t="n">
        <v>0</v>
      </c>
      <c r="AN307" s="44"/>
      <c r="AO307" s="44"/>
      <c r="AP307" s="44"/>
      <c r="AQ307" s="45" t="s">
        <v>735</v>
      </c>
      <c r="AR307" s="44" t="s">
        <v>1282</v>
      </c>
      <c r="AS307" s="44"/>
      <c r="AT307" s="44"/>
      <c r="AU307" s="44"/>
      <c r="AV307" s="44"/>
      <c r="AW307" s="44"/>
      <c r="AX307" s="44"/>
      <c r="AY307" s="44"/>
      <c r="AZ307" s="46"/>
    </row>
    <row r="308" customFormat="false" ht="18" hidden="false" customHeight="true" outlineLevel="0" collapsed="false">
      <c r="A308" s="47" t="n">
        <v>98087</v>
      </c>
      <c r="B308" s="48" t="s">
        <v>738</v>
      </c>
      <c r="C308" s="47" t="n">
        <v>98087</v>
      </c>
      <c r="D308" s="48" t="s">
        <v>617</v>
      </c>
      <c r="E308" s="48" t="s">
        <v>730</v>
      </c>
      <c r="F308" s="48" t="s">
        <v>1460</v>
      </c>
      <c r="G308" s="49" t="s">
        <v>1461</v>
      </c>
      <c r="H308" s="48" t="s">
        <v>1161</v>
      </c>
      <c r="I308" s="48" t="s">
        <v>1462</v>
      </c>
      <c r="J308" s="48" t="s">
        <v>24</v>
      </c>
      <c r="K308" s="48" t="s">
        <v>1155</v>
      </c>
      <c r="L308" s="48" t="s">
        <v>696</v>
      </c>
      <c r="M308" s="48"/>
      <c r="N308" s="50" t="s">
        <v>1443</v>
      </c>
      <c r="O308" s="51" t="s">
        <v>1715</v>
      </c>
      <c r="P308" s="52" t="n">
        <v>1</v>
      </c>
      <c r="Q308" s="52"/>
      <c r="R308" s="52" t="s">
        <v>1519</v>
      </c>
      <c r="S308" s="52"/>
      <c r="T308" s="52"/>
      <c r="U308" s="53" t="n">
        <v>159820</v>
      </c>
      <c r="V308" s="54" t="n">
        <v>159820</v>
      </c>
      <c r="W308" s="55" t="n">
        <v>0.12</v>
      </c>
      <c r="X308" s="52" t="n">
        <v>0.055</v>
      </c>
      <c r="Y308" s="55" t="n">
        <v>0.12</v>
      </c>
      <c r="Z308" s="56"/>
      <c r="AA308" s="55" t="n">
        <v>0.04</v>
      </c>
      <c r="AB308" s="57" t="n">
        <v>213359.7</v>
      </c>
      <c r="AC308" s="44"/>
      <c r="AD308" s="44"/>
      <c r="AE308" s="44" t="n">
        <v>213359.7</v>
      </c>
      <c r="AF308" s="44" t="s">
        <v>53</v>
      </c>
      <c r="AG308" s="44" t="n">
        <v>0</v>
      </c>
      <c r="AH308" s="58" t="s">
        <v>24</v>
      </c>
      <c r="AI308" s="44" t="n">
        <v>0</v>
      </c>
      <c r="AJ308" s="44" t="s">
        <v>696</v>
      </c>
      <c r="AK308" s="44" t="s">
        <v>47</v>
      </c>
      <c r="AL308" s="44" t="s">
        <v>696</v>
      </c>
      <c r="AM308" s="44" t="n">
        <v>0</v>
      </c>
      <c r="AN308" s="44"/>
      <c r="AO308" s="44"/>
      <c r="AP308" s="44"/>
      <c r="AQ308" s="45" t="s">
        <v>737</v>
      </c>
      <c r="AR308" s="44" t="s">
        <v>1282</v>
      </c>
      <c r="AS308" s="44"/>
      <c r="AT308" s="44"/>
      <c r="AU308" s="44"/>
      <c r="AV308" s="44"/>
      <c r="AW308" s="44"/>
      <c r="AX308" s="44"/>
      <c r="AY308" s="44"/>
      <c r="AZ308" s="46"/>
    </row>
    <row r="309" customFormat="false" ht="18" hidden="false" customHeight="true" outlineLevel="0" collapsed="false">
      <c r="A309" s="47" t="n">
        <v>87951</v>
      </c>
      <c r="B309" s="48" t="s">
        <v>1071</v>
      </c>
      <c r="C309" s="47" t="n">
        <v>87951</v>
      </c>
      <c r="D309" s="48" t="s">
        <v>1072</v>
      </c>
      <c r="E309" s="48" t="s">
        <v>1068</v>
      </c>
      <c r="F309" s="48" t="s">
        <v>1726</v>
      </c>
      <c r="G309" s="49" t="s">
        <v>1527</v>
      </c>
      <c r="H309" s="48" t="s">
        <v>1338</v>
      </c>
      <c r="I309" s="48" t="s">
        <v>1159</v>
      </c>
      <c r="J309" s="48" t="s">
        <v>1159</v>
      </c>
      <c r="K309" s="48" t="s">
        <v>1159</v>
      </c>
      <c r="L309" s="48" t="s">
        <v>1159</v>
      </c>
      <c r="M309" s="48"/>
      <c r="N309" s="50" t="s">
        <v>1443</v>
      </c>
      <c r="O309" s="51" t="s">
        <v>1715</v>
      </c>
      <c r="P309" s="52" t="n">
        <v>1</v>
      </c>
      <c r="Q309" s="51"/>
      <c r="R309" s="52" t="s">
        <v>1519</v>
      </c>
      <c r="S309" s="52"/>
      <c r="T309" s="52"/>
      <c r="U309" s="53" t="n">
        <v>161560</v>
      </c>
      <c r="V309" s="54" t="n">
        <v>161560</v>
      </c>
      <c r="W309" s="55" t="n">
        <v>0.12</v>
      </c>
      <c r="X309" s="52" t="n">
        <v>0.055</v>
      </c>
      <c r="Y309" s="55" t="n">
        <v>0.12</v>
      </c>
      <c r="Z309" s="56"/>
      <c r="AA309" s="55" t="n">
        <v>0.04</v>
      </c>
      <c r="AB309" s="57" t="n">
        <v>215682.6</v>
      </c>
      <c r="AC309" s="44"/>
      <c r="AD309" s="44"/>
      <c r="AE309" s="44" t="n">
        <v>215682.6</v>
      </c>
      <c r="AF309" s="44" t="s">
        <v>53</v>
      </c>
      <c r="AG309" s="44" t="n">
        <v>0</v>
      </c>
      <c r="AH309" s="58" t="s">
        <v>25</v>
      </c>
      <c r="AI309" s="44" t="n">
        <v>0</v>
      </c>
      <c r="AJ309" s="44" t="s">
        <v>1066</v>
      </c>
      <c r="AK309" s="44" t="s">
        <v>47</v>
      </c>
      <c r="AL309" s="44" t="s">
        <v>1066</v>
      </c>
      <c r="AM309" s="44" t="n">
        <v>0</v>
      </c>
      <c r="AN309" s="44"/>
      <c r="AO309" s="44"/>
      <c r="AP309" s="44"/>
      <c r="AQ309" s="45" t="s">
        <v>1070</v>
      </c>
      <c r="AR309" s="44" t="s">
        <v>1282</v>
      </c>
      <c r="AS309" s="44"/>
      <c r="AT309" s="44"/>
      <c r="AU309" s="44"/>
      <c r="AV309" s="44"/>
      <c r="AW309" s="44"/>
      <c r="AX309" s="44"/>
      <c r="AY309" s="44"/>
      <c r="AZ309" s="46"/>
    </row>
    <row r="310" customFormat="false" ht="18" hidden="false" customHeight="true" outlineLevel="0" collapsed="false">
      <c r="A310" s="47" t="s">
        <v>1507</v>
      </c>
      <c r="B310" s="48" t="s">
        <v>69</v>
      </c>
      <c r="C310" s="47" t="s">
        <v>1507</v>
      </c>
      <c r="D310" s="48" t="s">
        <v>77</v>
      </c>
      <c r="E310" s="48" t="s">
        <v>1539</v>
      </c>
      <c r="F310" s="48" t="s">
        <v>1540</v>
      </c>
      <c r="G310" s="49" t="s">
        <v>1531</v>
      </c>
      <c r="H310" s="48" t="s">
        <v>1541</v>
      </c>
      <c r="I310" s="48"/>
      <c r="J310" s="48" t="s">
        <v>31</v>
      </c>
      <c r="K310" s="48" t="s">
        <v>36</v>
      </c>
      <c r="L310" s="48" t="s">
        <v>981</v>
      </c>
      <c r="M310" s="48"/>
      <c r="N310" s="50" t="s">
        <v>1443</v>
      </c>
      <c r="O310" s="51" t="s">
        <v>1715</v>
      </c>
      <c r="P310" s="52" t="n">
        <v>1</v>
      </c>
      <c r="Q310" s="52"/>
      <c r="R310" s="52" t="s">
        <v>1623</v>
      </c>
      <c r="S310" s="52"/>
      <c r="T310" s="52"/>
      <c r="U310" s="53" t="n">
        <v>151950</v>
      </c>
      <c r="V310" s="54" t="n">
        <v>151950</v>
      </c>
      <c r="W310" s="55" t="n">
        <v>0.12</v>
      </c>
      <c r="X310" s="52" t="n">
        <v>0.055</v>
      </c>
      <c r="Y310" s="55" t="n">
        <v>0.12</v>
      </c>
      <c r="Z310" s="56"/>
      <c r="AA310" s="55" t="n">
        <v>0.04</v>
      </c>
      <c r="AB310" s="57" t="n">
        <v>202853.25</v>
      </c>
      <c r="AC310" s="44"/>
      <c r="AD310" s="44"/>
      <c r="AE310" s="44" t="n">
        <v>202853.25</v>
      </c>
      <c r="AF310" s="44" t="s">
        <v>69</v>
      </c>
      <c r="AG310" s="44" t="n">
        <v>0</v>
      </c>
      <c r="AH310" s="58" t="s">
        <v>31</v>
      </c>
      <c r="AI310" s="44" t="n">
        <v>0</v>
      </c>
      <c r="AJ310" s="44" t="s">
        <v>981</v>
      </c>
      <c r="AK310" s="44" t="s">
        <v>47</v>
      </c>
      <c r="AL310" s="44" t="s">
        <v>1032</v>
      </c>
      <c r="AM310" s="44" t="n">
        <v>1</v>
      </c>
      <c r="AN310" s="44"/>
      <c r="AO310" s="44"/>
      <c r="AP310" s="44"/>
      <c r="AQ310" s="45" t="s">
        <v>1039</v>
      </c>
      <c r="AR310" s="44" t="s">
        <v>1282</v>
      </c>
      <c r="AS310" s="44"/>
      <c r="AT310" s="44"/>
      <c r="AU310" s="44"/>
      <c r="AV310" s="44"/>
      <c r="AW310" s="44"/>
      <c r="AX310" s="44"/>
      <c r="AY310" s="44"/>
      <c r="AZ310" s="46"/>
    </row>
    <row r="311" customFormat="false" ht="18" hidden="false" customHeight="true" outlineLevel="0" collapsed="false">
      <c r="A311" s="47" t="s">
        <v>1507</v>
      </c>
      <c r="B311" s="48" t="s">
        <v>69</v>
      </c>
      <c r="C311" s="47" t="s">
        <v>1507</v>
      </c>
      <c r="D311" s="48" t="s">
        <v>77</v>
      </c>
      <c r="E311" s="48" t="s">
        <v>1539</v>
      </c>
      <c r="F311" s="48" t="s">
        <v>1540</v>
      </c>
      <c r="G311" s="49" t="s">
        <v>1531</v>
      </c>
      <c r="H311" s="48" t="s">
        <v>1541</v>
      </c>
      <c r="I311" s="48"/>
      <c r="J311" s="48" t="s">
        <v>31</v>
      </c>
      <c r="K311" s="48" t="s">
        <v>1151</v>
      </c>
      <c r="L311" s="48" t="s">
        <v>1597</v>
      </c>
      <c r="M311" s="48"/>
      <c r="N311" s="50" t="s">
        <v>1443</v>
      </c>
      <c r="O311" s="51" t="s">
        <v>1715</v>
      </c>
      <c r="P311" s="52" t="n">
        <v>1</v>
      </c>
      <c r="Q311" s="51"/>
      <c r="R311" s="52" t="s">
        <v>1507</v>
      </c>
      <c r="S311" s="52"/>
      <c r="T311" s="52"/>
      <c r="U311" s="53" t="n">
        <v>151950</v>
      </c>
      <c r="V311" s="54" t="n">
        <v>151950</v>
      </c>
      <c r="W311" s="55" t="n">
        <v>0.12</v>
      </c>
      <c r="X311" s="52" t="n">
        <v>0.055</v>
      </c>
      <c r="Y311" s="55" t="n">
        <v>0.12</v>
      </c>
      <c r="Z311" s="56"/>
      <c r="AA311" s="55" t="n">
        <v>0.04</v>
      </c>
      <c r="AB311" s="57" t="n">
        <v>202853.25</v>
      </c>
      <c r="AC311" s="44"/>
      <c r="AD311" s="44"/>
      <c r="AE311" s="44" t="n">
        <v>202853.25</v>
      </c>
      <c r="AF311" s="44" t="s">
        <v>69</v>
      </c>
      <c r="AG311" s="44" t="n">
        <v>0</v>
      </c>
      <c r="AH311" s="58" t="s">
        <v>31</v>
      </c>
      <c r="AI311" s="44" t="n">
        <v>0</v>
      </c>
      <c r="AJ311" s="44" t="s">
        <v>970</v>
      </c>
      <c r="AK311" s="44" t="s">
        <v>47</v>
      </c>
      <c r="AL311" s="44" t="s">
        <v>970</v>
      </c>
      <c r="AM311" s="44" t="n">
        <v>0</v>
      </c>
      <c r="AN311" s="44"/>
      <c r="AO311" s="44"/>
      <c r="AP311" s="44"/>
      <c r="AQ311" s="45" t="s">
        <v>986</v>
      </c>
      <c r="AR311" s="44" t="s">
        <v>1282</v>
      </c>
      <c r="AS311" s="44"/>
      <c r="AT311" s="44"/>
      <c r="AU311" s="44"/>
      <c r="AV311" s="44"/>
      <c r="AW311" s="44"/>
      <c r="AX311" s="44"/>
      <c r="AY311" s="44"/>
      <c r="AZ311" s="46"/>
    </row>
    <row r="312" customFormat="false" ht="18" hidden="false" customHeight="true" outlineLevel="0" collapsed="false">
      <c r="A312" s="47" t="n">
        <v>110830</v>
      </c>
      <c r="B312" s="48" t="s">
        <v>869</v>
      </c>
      <c r="C312" s="47" t="n">
        <v>110830</v>
      </c>
      <c r="D312" s="48" t="s">
        <v>870</v>
      </c>
      <c r="E312" s="48" t="s">
        <v>861</v>
      </c>
      <c r="F312" s="48" t="s">
        <v>862</v>
      </c>
      <c r="G312" s="49" t="s">
        <v>30</v>
      </c>
      <c r="H312" s="48" t="s">
        <v>1619</v>
      </c>
      <c r="I312" s="48" t="s">
        <v>1691</v>
      </c>
      <c r="J312" s="48" t="s">
        <v>1149</v>
      </c>
      <c r="K312" s="48" t="s">
        <v>1149</v>
      </c>
      <c r="L312" s="48" t="s">
        <v>846</v>
      </c>
      <c r="M312" s="48"/>
      <c r="N312" s="50" t="s">
        <v>1443</v>
      </c>
      <c r="O312" s="51" t="s">
        <v>1715</v>
      </c>
      <c r="P312" s="52" t="n">
        <v>1</v>
      </c>
      <c r="Q312" s="52"/>
      <c r="R312" s="52" t="s">
        <v>1519</v>
      </c>
      <c r="S312" s="52"/>
      <c r="T312" s="52"/>
      <c r="U312" s="53" t="n">
        <v>154450</v>
      </c>
      <c r="V312" s="54" t="n">
        <v>154450</v>
      </c>
      <c r="W312" s="55" t="n">
        <v>0.12</v>
      </c>
      <c r="X312" s="52" t="n">
        <v>0.055</v>
      </c>
      <c r="Y312" s="55" t="n">
        <v>0.12</v>
      </c>
      <c r="Z312" s="56"/>
      <c r="AA312" s="55" t="n">
        <v>0.04</v>
      </c>
      <c r="AB312" s="57" t="n">
        <v>206190.75</v>
      </c>
      <c r="AC312" s="44"/>
      <c r="AD312" s="44"/>
      <c r="AE312" s="44" t="n">
        <v>206190.75</v>
      </c>
      <c r="AF312" s="44" t="s">
        <v>53</v>
      </c>
      <c r="AG312" s="44" t="n">
        <v>0</v>
      </c>
      <c r="AH312" s="58" t="s">
        <v>30</v>
      </c>
      <c r="AI312" s="44" t="n">
        <v>0</v>
      </c>
      <c r="AJ312" s="44" t="s">
        <v>846</v>
      </c>
      <c r="AK312" s="44" t="s">
        <v>47</v>
      </c>
      <c r="AL312" s="44" t="s">
        <v>846</v>
      </c>
      <c r="AM312" s="44" t="n">
        <v>0</v>
      </c>
      <c r="AN312" s="44"/>
      <c r="AO312" s="44"/>
      <c r="AP312" s="44"/>
      <c r="AQ312" s="45" t="s">
        <v>868</v>
      </c>
      <c r="AR312" s="44" t="s">
        <v>1282</v>
      </c>
      <c r="AS312" s="44"/>
      <c r="AT312" s="44"/>
      <c r="AU312" s="44"/>
      <c r="AV312" s="44"/>
      <c r="AW312" s="44"/>
      <c r="AX312" s="44"/>
      <c r="AY312" s="44"/>
      <c r="AZ312" s="46"/>
    </row>
    <row r="313" customFormat="false" ht="18" hidden="false" customHeight="true" outlineLevel="0" collapsed="false">
      <c r="A313" s="47" t="n">
        <v>106117</v>
      </c>
      <c r="B313" s="48" t="s">
        <v>872</v>
      </c>
      <c r="C313" s="47" t="n">
        <v>106117</v>
      </c>
      <c r="D313" s="48" t="s">
        <v>873</v>
      </c>
      <c r="E313" s="48" t="s">
        <v>861</v>
      </c>
      <c r="F313" s="48" t="s">
        <v>862</v>
      </c>
      <c r="G313" s="49" t="s">
        <v>30</v>
      </c>
      <c r="H313" s="48" t="s">
        <v>1619</v>
      </c>
      <c r="I313" s="48" t="s">
        <v>1691</v>
      </c>
      <c r="J313" s="48" t="s">
        <v>1149</v>
      </c>
      <c r="K313" s="48" t="s">
        <v>1149</v>
      </c>
      <c r="L313" s="48" t="s">
        <v>846</v>
      </c>
      <c r="M313" s="48"/>
      <c r="N313" s="50" t="s">
        <v>1443</v>
      </c>
      <c r="O313" s="51" t="s">
        <v>1715</v>
      </c>
      <c r="P313" s="52" t="n">
        <v>1</v>
      </c>
      <c r="Q313" s="51"/>
      <c r="R313" s="52" t="s">
        <v>1519</v>
      </c>
      <c r="S313" s="52"/>
      <c r="T313" s="52"/>
      <c r="U313" s="53" t="n">
        <v>163040</v>
      </c>
      <c r="V313" s="54" t="n">
        <v>163040</v>
      </c>
      <c r="W313" s="55" t="n">
        <v>0.12</v>
      </c>
      <c r="X313" s="52" t="n">
        <v>0.055</v>
      </c>
      <c r="Y313" s="55" t="n">
        <v>0.12</v>
      </c>
      <c r="Z313" s="56"/>
      <c r="AA313" s="55" t="n">
        <v>0.04</v>
      </c>
      <c r="AB313" s="57" t="n">
        <v>217658.4</v>
      </c>
      <c r="AC313" s="44"/>
      <c r="AD313" s="44"/>
      <c r="AE313" s="44" t="n">
        <v>217658.4</v>
      </c>
      <c r="AF313" s="44" t="s">
        <v>53</v>
      </c>
      <c r="AG313" s="44" t="n">
        <v>0</v>
      </c>
      <c r="AH313" s="58" t="s">
        <v>30</v>
      </c>
      <c r="AI313" s="44" t="n">
        <v>0</v>
      </c>
      <c r="AJ313" s="44" t="s">
        <v>846</v>
      </c>
      <c r="AK313" s="44" t="s">
        <v>47</v>
      </c>
      <c r="AL313" s="44" t="s">
        <v>846</v>
      </c>
      <c r="AM313" s="44" t="n">
        <v>0</v>
      </c>
      <c r="AN313" s="44"/>
      <c r="AO313" s="44"/>
      <c r="AP313" s="44"/>
      <c r="AQ313" s="45" t="s">
        <v>871</v>
      </c>
      <c r="AR313" s="44" t="s">
        <v>1282</v>
      </c>
      <c r="AS313" s="44"/>
      <c r="AT313" s="44"/>
      <c r="AU313" s="44"/>
      <c r="AV313" s="44"/>
      <c r="AW313" s="44"/>
      <c r="AX313" s="44"/>
      <c r="AY313" s="44"/>
      <c r="AZ313" s="46"/>
    </row>
    <row r="314" customFormat="false" ht="18" hidden="false" customHeight="true" outlineLevel="0" collapsed="false">
      <c r="A314" s="47" t="s">
        <v>1507</v>
      </c>
      <c r="B314" s="48" t="s">
        <v>69</v>
      </c>
      <c r="C314" s="47" t="s">
        <v>1507</v>
      </c>
      <c r="D314" s="48" t="s">
        <v>875</v>
      </c>
      <c r="E314" s="48" t="s">
        <v>861</v>
      </c>
      <c r="F314" s="48" t="s">
        <v>862</v>
      </c>
      <c r="G314" s="49" t="s">
        <v>30</v>
      </c>
      <c r="H314" s="48" t="s">
        <v>1619</v>
      </c>
      <c r="I314" s="48" t="s">
        <v>1691</v>
      </c>
      <c r="J314" s="48" t="s">
        <v>1149</v>
      </c>
      <c r="K314" s="48" t="s">
        <v>1149</v>
      </c>
      <c r="L314" s="48" t="s">
        <v>846</v>
      </c>
      <c r="M314" s="48"/>
      <c r="N314" s="50" t="s">
        <v>1443</v>
      </c>
      <c r="O314" s="51" t="s">
        <v>1715</v>
      </c>
      <c r="P314" s="52" t="n">
        <v>1</v>
      </c>
      <c r="Q314" s="51"/>
      <c r="R314" s="52" t="s">
        <v>1513</v>
      </c>
      <c r="S314" s="52"/>
      <c r="T314" s="52"/>
      <c r="U314" s="53" t="n">
        <v>151950</v>
      </c>
      <c r="V314" s="54" t="n">
        <v>151950</v>
      </c>
      <c r="W314" s="55" t="n">
        <v>0.12</v>
      </c>
      <c r="X314" s="52" t="n">
        <v>0.055</v>
      </c>
      <c r="Y314" s="55" t="n">
        <v>0.12</v>
      </c>
      <c r="Z314" s="56"/>
      <c r="AA314" s="55" t="n">
        <v>0.04</v>
      </c>
      <c r="AB314" s="57" t="n">
        <v>202853.25</v>
      </c>
      <c r="AC314" s="44"/>
      <c r="AD314" s="44"/>
      <c r="AE314" s="44" t="n">
        <v>202853.25</v>
      </c>
      <c r="AF314" s="44" t="s">
        <v>69</v>
      </c>
      <c r="AG314" s="44" t="n">
        <v>0</v>
      </c>
      <c r="AH314" s="58" t="s">
        <v>30</v>
      </c>
      <c r="AI314" s="44" t="n">
        <v>0</v>
      </c>
      <c r="AJ314" s="44" t="s">
        <v>846</v>
      </c>
      <c r="AK314" s="44" t="s">
        <v>47</v>
      </c>
      <c r="AL314" s="44" t="s">
        <v>846</v>
      </c>
      <c r="AM314" s="44" t="n">
        <v>0</v>
      </c>
      <c r="AN314" s="44"/>
      <c r="AO314" s="44"/>
      <c r="AP314" s="44"/>
      <c r="AQ314" s="45" t="s">
        <v>874</v>
      </c>
      <c r="AR314" s="44" t="s">
        <v>1282</v>
      </c>
      <c r="AS314" s="44"/>
      <c r="AT314" s="44"/>
      <c r="AU314" s="44"/>
      <c r="AV314" s="44"/>
      <c r="AW314" s="44"/>
      <c r="AX314" s="44"/>
      <c r="AY314" s="44"/>
      <c r="AZ314" s="46"/>
    </row>
    <row r="315" customFormat="false" ht="18" hidden="false" customHeight="true" outlineLevel="0" collapsed="false">
      <c r="A315" s="47" t="s">
        <v>1513</v>
      </c>
      <c r="B315" s="48" t="s">
        <v>822</v>
      </c>
      <c r="C315" s="47" t="s">
        <v>1513</v>
      </c>
      <c r="D315" s="48" t="s">
        <v>877</v>
      </c>
      <c r="E315" s="48" t="s">
        <v>861</v>
      </c>
      <c r="F315" s="48" t="s">
        <v>862</v>
      </c>
      <c r="G315" s="49" t="s">
        <v>30</v>
      </c>
      <c r="H315" s="48" t="s">
        <v>1619</v>
      </c>
      <c r="I315" s="48" t="s">
        <v>1691</v>
      </c>
      <c r="J315" s="48" t="s">
        <v>1149</v>
      </c>
      <c r="K315" s="48" t="s">
        <v>1149</v>
      </c>
      <c r="L315" s="48" t="s">
        <v>846</v>
      </c>
      <c r="M315" s="48"/>
      <c r="N315" s="50" t="s">
        <v>1443</v>
      </c>
      <c r="O315" s="51" t="s">
        <v>1715</v>
      </c>
      <c r="P315" s="52" t="n">
        <v>1</v>
      </c>
      <c r="Q315" s="51"/>
      <c r="R315" s="52" t="s">
        <v>1513</v>
      </c>
      <c r="S315" s="52"/>
      <c r="T315" s="52"/>
      <c r="U315" s="53" t="n">
        <v>151950</v>
      </c>
      <c r="V315" s="54" t="n">
        <v>151950</v>
      </c>
      <c r="W315" s="55" t="n">
        <v>0.12</v>
      </c>
      <c r="X315" s="52" t="n">
        <v>0.055</v>
      </c>
      <c r="Y315" s="55" t="n">
        <v>0.12</v>
      </c>
      <c r="Z315" s="56"/>
      <c r="AA315" s="55" t="n">
        <v>0.04</v>
      </c>
      <c r="AB315" s="57" t="n">
        <v>202853.25</v>
      </c>
      <c r="AC315" s="44"/>
      <c r="AD315" s="44"/>
      <c r="AE315" s="44" t="n">
        <v>202853.25</v>
      </c>
      <c r="AF315" s="44" t="s">
        <v>69</v>
      </c>
      <c r="AG315" s="44" t="n">
        <v>0</v>
      </c>
      <c r="AH315" s="58" t="s">
        <v>30</v>
      </c>
      <c r="AI315" s="44" t="n">
        <v>0</v>
      </c>
      <c r="AJ315" s="44" t="s">
        <v>846</v>
      </c>
      <c r="AK315" s="44" t="s">
        <v>47</v>
      </c>
      <c r="AL315" s="44" t="s">
        <v>846</v>
      </c>
      <c r="AM315" s="44" t="n">
        <v>0</v>
      </c>
      <c r="AN315" s="44"/>
      <c r="AO315" s="44"/>
      <c r="AP315" s="44"/>
      <c r="AQ315" s="45" t="s">
        <v>876</v>
      </c>
      <c r="AR315" s="44" t="s">
        <v>1282</v>
      </c>
      <c r="AS315" s="44"/>
      <c r="AT315" s="44"/>
      <c r="AU315" s="44"/>
      <c r="AV315" s="44"/>
      <c r="AW315" s="44"/>
      <c r="AX315" s="44"/>
      <c r="AY315" s="44"/>
      <c r="AZ315" s="46"/>
    </row>
    <row r="316" customFormat="false" ht="18" hidden="false" customHeight="true" outlineLevel="0" collapsed="false">
      <c r="A316" s="47" t="n">
        <v>107154</v>
      </c>
      <c r="B316" s="48" t="s">
        <v>995</v>
      </c>
      <c r="C316" s="47" t="n">
        <v>107154</v>
      </c>
      <c r="D316" s="48" t="s">
        <v>996</v>
      </c>
      <c r="E316" s="48" t="s">
        <v>1064</v>
      </c>
      <c r="F316" s="48" t="s">
        <v>1662</v>
      </c>
      <c r="G316" s="49" t="s">
        <v>1531</v>
      </c>
      <c r="H316" s="48" t="s">
        <v>1151</v>
      </c>
      <c r="I316" s="48" t="s">
        <v>974</v>
      </c>
      <c r="J316" s="48" t="s">
        <v>31</v>
      </c>
      <c r="K316" s="48" t="s">
        <v>1151</v>
      </c>
      <c r="L316" s="48" t="s">
        <v>974</v>
      </c>
      <c r="M316" s="48"/>
      <c r="N316" s="50" t="s">
        <v>1443</v>
      </c>
      <c r="O316" s="51" t="s">
        <v>1715</v>
      </c>
      <c r="P316" s="52" t="n">
        <v>1</v>
      </c>
      <c r="Q316" s="51"/>
      <c r="R316" s="52" t="s">
        <v>1519</v>
      </c>
      <c r="S316" s="52"/>
      <c r="T316" s="52"/>
      <c r="U316" s="53" t="n">
        <v>156160</v>
      </c>
      <c r="V316" s="54" t="n">
        <v>156160</v>
      </c>
      <c r="W316" s="55" t="n">
        <v>0.12</v>
      </c>
      <c r="X316" s="52" t="n">
        <v>0.055</v>
      </c>
      <c r="Y316" s="55" t="n">
        <v>0.12</v>
      </c>
      <c r="Z316" s="56"/>
      <c r="AA316" s="55" t="n">
        <v>0.04</v>
      </c>
      <c r="AB316" s="57" t="n">
        <v>208473.6</v>
      </c>
      <c r="AC316" s="44"/>
      <c r="AD316" s="44"/>
      <c r="AE316" s="44" t="n">
        <v>208473.6</v>
      </c>
      <c r="AF316" s="44" t="s">
        <v>53</v>
      </c>
      <c r="AG316" s="44" t="n">
        <v>0</v>
      </c>
      <c r="AH316" s="58" t="s">
        <v>31</v>
      </c>
      <c r="AI316" s="44" t="n">
        <v>0</v>
      </c>
      <c r="AJ316" s="44" t="s">
        <v>974</v>
      </c>
      <c r="AK316" s="44" t="s">
        <v>47</v>
      </c>
      <c r="AL316" s="44" t="s">
        <v>974</v>
      </c>
      <c r="AM316" s="44" t="n">
        <v>0</v>
      </c>
      <c r="AN316" s="44"/>
      <c r="AO316" s="44"/>
      <c r="AP316" s="44"/>
      <c r="AQ316" s="45" t="s">
        <v>994</v>
      </c>
      <c r="AR316" s="44" t="s">
        <v>1282</v>
      </c>
      <c r="AS316" s="44"/>
      <c r="AT316" s="44"/>
      <c r="AU316" s="44"/>
      <c r="AV316" s="44"/>
      <c r="AW316" s="44"/>
      <c r="AX316" s="44"/>
      <c r="AY316" s="44"/>
      <c r="AZ316" s="46"/>
    </row>
    <row r="317" customFormat="false" ht="18" hidden="false" customHeight="true" outlineLevel="0" collapsed="false">
      <c r="A317" s="47" t="n">
        <v>97776</v>
      </c>
      <c r="B317" s="48" t="s">
        <v>713</v>
      </c>
      <c r="C317" s="47" t="n">
        <v>97776</v>
      </c>
      <c r="D317" s="48" t="s">
        <v>617</v>
      </c>
      <c r="E317" s="48" t="s">
        <v>765</v>
      </c>
      <c r="F317" s="48" t="s">
        <v>1663</v>
      </c>
      <c r="G317" s="49" t="s">
        <v>1461</v>
      </c>
      <c r="H317" s="48" t="s">
        <v>1161</v>
      </c>
      <c r="I317" s="48" t="s">
        <v>1583</v>
      </c>
      <c r="J317" s="48" t="s">
        <v>24</v>
      </c>
      <c r="K317" s="48" t="s">
        <v>1153</v>
      </c>
      <c r="L317" s="48" t="s">
        <v>699</v>
      </c>
      <c r="M317" s="48"/>
      <c r="N317" s="50" t="s">
        <v>1443</v>
      </c>
      <c r="O317" s="51" t="s">
        <v>1715</v>
      </c>
      <c r="P317" s="52" t="n">
        <v>1</v>
      </c>
      <c r="Q317" s="51"/>
      <c r="R317" s="52" t="s">
        <v>1519</v>
      </c>
      <c r="S317" s="52"/>
      <c r="T317" s="52"/>
      <c r="U317" s="53" t="n">
        <v>161340</v>
      </c>
      <c r="V317" s="54" t="n">
        <v>161340</v>
      </c>
      <c r="W317" s="55" t="n">
        <v>0.12</v>
      </c>
      <c r="X317" s="52" t="n">
        <v>0.055</v>
      </c>
      <c r="Y317" s="55" t="n">
        <v>0.12</v>
      </c>
      <c r="Z317" s="56"/>
      <c r="AA317" s="55" t="n">
        <v>0.04</v>
      </c>
      <c r="AB317" s="57" t="n">
        <v>215388.9</v>
      </c>
      <c r="AC317" s="44"/>
      <c r="AD317" s="44"/>
      <c r="AE317" s="44" t="n">
        <v>215388.9</v>
      </c>
      <c r="AF317" s="44" t="s">
        <v>53</v>
      </c>
      <c r="AG317" s="44" t="n">
        <v>0</v>
      </c>
      <c r="AH317" s="58" t="s">
        <v>24</v>
      </c>
      <c r="AI317" s="44" t="n">
        <v>0</v>
      </c>
      <c r="AJ317" s="44" t="s">
        <v>699</v>
      </c>
      <c r="AK317" s="44" t="s">
        <v>47</v>
      </c>
      <c r="AL317" s="44" t="s">
        <v>699</v>
      </c>
      <c r="AM317" s="44" t="n">
        <v>0</v>
      </c>
      <c r="AN317" s="44"/>
      <c r="AO317" s="44"/>
      <c r="AP317" s="44"/>
      <c r="AQ317" s="45" t="s">
        <v>712</v>
      </c>
      <c r="AR317" s="44" t="s">
        <v>1282</v>
      </c>
      <c r="AS317" s="44"/>
      <c r="AT317" s="44"/>
      <c r="AU317" s="44"/>
      <c r="AV317" s="44"/>
      <c r="AW317" s="44"/>
      <c r="AX317" s="44"/>
      <c r="AY317" s="44"/>
      <c r="AZ317" s="46"/>
    </row>
    <row r="318" customFormat="false" ht="18" hidden="false" customHeight="true" outlineLevel="0" collapsed="false">
      <c r="A318" s="47" t="n">
        <v>113202</v>
      </c>
      <c r="B318" s="48" t="s">
        <v>715</v>
      </c>
      <c r="C318" s="47" t="n">
        <v>113202</v>
      </c>
      <c r="D318" s="48" t="s">
        <v>617</v>
      </c>
      <c r="E318" s="48" t="s">
        <v>765</v>
      </c>
      <c r="F318" s="48" t="s">
        <v>1663</v>
      </c>
      <c r="G318" s="49" t="s">
        <v>1461</v>
      </c>
      <c r="H318" s="48" t="s">
        <v>1161</v>
      </c>
      <c r="I318" s="48" t="s">
        <v>1583</v>
      </c>
      <c r="J318" s="48" t="s">
        <v>24</v>
      </c>
      <c r="K318" s="48" t="s">
        <v>1153</v>
      </c>
      <c r="L318" s="48" t="s">
        <v>699</v>
      </c>
      <c r="M318" s="48"/>
      <c r="N318" s="50" t="s">
        <v>1443</v>
      </c>
      <c r="O318" s="51" t="s">
        <v>1715</v>
      </c>
      <c r="P318" s="52" t="n">
        <v>1</v>
      </c>
      <c r="Q318" s="51"/>
      <c r="R318" s="52" t="s">
        <v>1519</v>
      </c>
      <c r="S318" s="52"/>
      <c r="T318" s="52"/>
      <c r="U318" s="53" t="n">
        <v>156850</v>
      </c>
      <c r="V318" s="54" t="n">
        <v>156850</v>
      </c>
      <c r="W318" s="55" t="n">
        <v>0.12</v>
      </c>
      <c r="X318" s="52" t="n">
        <v>0.055</v>
      </c>
      <c r="Y318" s="55" t="n">
        <v>0.12</v>
      </c>
      <c r="Z318" s="56"/>
      <c r="AA318" s="55" t="n">
        <v>0.04</v>
      </c>
      <c r="AB318" s="57" t="n">
        <v>209394.75</v>
      </c>
      <c r="AC318" s="44"/>
      <c r="AD318" s="44"/>
      <c r="AE318" s="44" t="n">
        <v>209394.75</v>
      </c>
      <c r="AF318" s="44" t="s">
        <v>53</v>
      </c>
      <c r="AG318" s="44" t="n">
        <v>0</v>
      </c>
      <c r="AH318" s="58" t="s">
        <v>24</v>
      </c>
      <c r="AI318" s="44" t="n">
        <v>0</v>
      </c>
      <c r="AJ318" s="44" t="s">
        <v>699</v>
      </c>
      <c r="AK318" s="44" t="s">
        <v>47</v>
      </c>
      <c r="AL318" s="44" t="s">
        <v>699</v>
      </c>
      <c r="AM318" s="44" t="n">
        <v>0</v>
      </c>
      <c r="AN318" s="44"/>
      <c r="AO318" s="44"/>
      <c r="AP318" s="44"/>
      <c r="AQ318" s="45" t="s">
        <v>714</v>
      </c>
      <c r="AR318" s="44" t="s">
        <v>1282</v>
      </c>
      <c r="AS318" s="44"/>
      <c r="AT318" s="44"/>
      <c r="AU318" s="44"/>
      <c r="AV318" s="44"/>
      <c r="AW318" s="44"/>
      <c r="AX318" s="44"/>
      <c r="AY318" s="44"/>
      <c r="AZ318" s="46"/>
    </row>
    <row r="319" customFormat="false" ht="18" hidden="false" customHeight="true" outlineLevel="0" collapsed="false">
      <c r="A319" s="47" t="n">
        <v>116253</v>
      </c>
      <c r="B319" s="48" t="s">
        <v>717</v>
      </c>
      <c r="C319" s="47" t="n">
        <v>116253</v>
      </c>
      <c r="D319" s="48" t="s">
        <v>718</v>
      </c>
      <c r="E319" s="48" t="s">
        <v>765</v>
      </c>
      <c r="F319" s="48" t="s">
        <v>1663</v>
      </c>
      <c r="G319" s="49" t="s">
        <v>1461</v>
      </c>
      <c r="H319" s="48" t="s">
        <v>1161</v>
      </c>
      <c r="I319" s="48" t="s">
        <v>1583</v>
      </c>
      <c r="J319" s="48" t="s">
        <v>24</v>
      </c>
      <c r="K319" s="48" t="s">
        <v>1153</v>
      </c>
      <c r="L319" s="48" t="s">
        <v>699</v>
      </c>
      <c r="M319" s="48"/>
      <c r="N319" s="50" t="s">
        <v>1443</v>
      </c>
      <c r="O319" s="51" t="s">
        <v>1715</v>
      </c>
      <c r="P319" s="52" t="n">
        <v>1</v>
      </c>
      <c r="Q319" s="51"/>
      <c r="R319" s="52" t="s">
        <v>1519</v>
      </c>
      <c r="S319" s="52"/>
      <c r="T319" s="52"/>
      <c r="U319" s="53" t="n">
        <v>160000</v>
      </c>
      <c r="V319" s="54" t="n">
        <v>160000</v>
      </c>
      <c r="W319" s="55" t="n">
        <v>0.12</v>
      </c>
      <c r="X319" s="52" t="n">
        <v>0.055</v>
      </c>
      <c r="Y319" s="55" t="n">
        <v>0.12</v>
      </c>
      <c r="Z319" s="56"/>
      <c r="AA319" s="55" t="n">
        <v>0.04</v>
      </c>
      <c r="AB319" s="57" t="n">
        <v>213600</v>
      </c>
      <c r="AC319" s="44"/>
      <c r="AD319" s="44"/>
      <c r="AE319" s="44" t="n">
        <v>213600</v>
      </c>
      <c r="AF319" s="44" t="s">
        <v>53</v>
      </c>
      <c r="AG319" s="44" t="n">
        <v>0</v>
      </c>
      <c r="AH319" s="58" t="s">
        <v>24</v>
      </c>
      <c r="AI319" s="44" t="n">
        <v>0</v>
      </c>
      <c r="AJ319" s="44" t="s">
        <v>699</v>
      </c>
      <c r="AK319" s="44" t="s">
        <v>47</v>
      </c>
      <c r="AL319" s="44" t="s">
        <v>699</v>
      </c>
      <c r="AM319" s="44" t="n">
        <v>0</v>
      </c>
      <c r="AN319" s="44"/>
      <c r="AO319" s="44"/>
      <c r="AP319" s="44"/>
      <c r="AQ319" s="45" t="s">
        <v>716</v>
      </c>
      <c r="AR319" s="44" t="s">
        <v>1282</v>
      </c>
      <c r="AS319" s="44"/>
      <c r="AT319" s="44"/>
      <c r="AU319" s="44"/>
      <c r="AV319" s="44"/>
      <c r="AW319" s="44"/>
      <c r="AX319" s="44"/>
      <c r="AY319" s="44"/>
      <c r="AZ319" s="46"/>
    </row>
    <row r="320" customFormat="false" ht="18" hidden="false" customHeight="true" outlineLevel="0" collapsed="false">
      <c r="A320" s="47" t="n">
        <v>101059</v>
      </c>
      <c r="B320" s="48" t="s">
        <v>720</v>
      </c>
      <c r="C320" s="47" t="n">
        <v>101059</v>
      </c>
      <c r="D320" s="48" t="s">
        <v>57</v>
      </c>
      <c r="E320" s="48" t="s">
        <v>765</v>
      </c>
      <c r="F320" s="48" t="s">
        <v>1663</v>
      </c>
      <c r="G320" s="49" t="s">
        <v>1461</v>
      </c>
      <c r="H320" s="48" t="s">
        <v>1161</v>
      </c>
      <c r="I320" s="48" t="s">
        <v>1583</v>
      </c>
      <c r="J320" s="48" t="s">
        <v>24</v>
      </c>
      <c r="K320" s="48" t="s">
        <v>1153</v>
      </c>
      <c r="L320" s="48" t="s">
        <v>699</v>
      </c>
      <c r="M320" s="48"/>
      <c r="N320" s="50" t="s">
        <v>1443</v>
      </c>
      <c r="O320" s="51" t="s">
        <v>1715</v>
      </c>
      <c r="P320" s="52" t="n">
        <v>1</v>
      </c>
      <c r="Q320" s="51"/>
      <c r="R320" s="52" t="s">
        <v>1519</v>
      </c>
      <c r="S320" s="52"/>
      <c r="T320" s="52"/>
      <c r="U320" s="53" t="n">
        <v>166360</v>
      </c>
      <c r="V320" s="54" t="n">
        <v>166360</v>
      </c>
      <c r="W320" s="55" t="n">
        <v>0.12</v>
      </c>
      <c r="X320" s="52" t="n">
        <v>0.055</v>
      </c>
      <c r="Y320" s="55" t="n">
        <v>0.12</v>
      </c>
      <c r="Z320" s="56"/>
      <c r="AA320" s="55" t="n">
        <v>0.04</v>
      </c>
      <c r="AB320" s="57" t="n">
        <v>222090.6</v>
      </c>
      <c r="AC320" s="44"/>
      <c r="AD320" s="44"/>
      <c r="AE320" s="44" t="n">
        <v>222090.6</v>
      </c>
      <c r="AF320" s="44" t="s">
        <v>53</v>
      </c>
      <c r="AG320" s="44" t="n">
        <v>0</v>
      </c>
      <c r="AH320" s="58" t="s">
        <v>24</v>
      </c>
      <c r="AI320" s="44" t="n">
        <v>0</v>
      </c>
      <c r="AJ320" s="44" t="s">
        <v>699</v>
      </c>
      <c r="AK320" s="44" t="s">
        <v>47</v>
      </c>
      <c r="AL320" s="44" t="s">
        <v>699</v>
      </c>
      <c r="AM320" s="44" t="n">
        <v>0</v>
      </c>
      <c r="AN320" s="44"/>
      <c r="AO320" s="44"/>
      <c r="AP320" s="44"/>
      <c r="AQ320" s="45" t="s">
        <v>719</v>
      </c>
      <c r="AR320" s="44" t="s">
        <v>1282</v>
      </c>
      <c r="AS320" s="44"/>
      <c r="AT320" s="44"/>
      <c r="AU320" s="44"/>
      <c r="AV320" s="44"/>
      <c r="AW320" s="44"/>
      <c r="AX320" s="44"/>
      <c r="AY320" s="44"/>
      <c r="AZ320" s="46"/>
    </row>
    <row r="321" customFormat="false" ht="18" hidden="false" customHeight="true" outlineLevel="0" collapsed="false">
      <c r="A321" s="47" t="s">
        <v>1507</v>
      </c>
      <c r="B321" s="48" t="s">
        <v>69</v>
      </c>
      <c r="C321" s="47" t="s">
        <v>1507</v>
      </c>
      <c r="D321" s="48" t="s">
        <v>86</v>
      </c>
      <c r="E321" s="48" t="s">
        <v>1470</v>
      </c>
      <c r="F321" s="48" t="s">
        <v>303</v>
      </c>
      <c r="G321" s="49" t="s">
        <v>1471</v>
      </c>
      <c r="H321" s="48" t="s">
        <v>1472</v>
      </c>
      <c r="I321" s="48" t="s">
        <v>1473</v>
      </c>
      <c r="J321" s="48" t="s">
        <v>1567</v>
      </c>
      <c r="K321" s="48" t="s">
        <v>1163</v>
      </c>
      <c r="L321" s="48" t="s">
        <v>1697</v>
      </c>
      <c r="M321" s="48"/>
      <c r="N321" s="50" t="s">
        <v>1443</v>
      </c>
      <c r="O321" s="51" t="s">
        <v>1715</v>
      </c>
      <c r="P321" s="52" t="n">
        <v>1</v>
      </c>
      <c r="Q321" s="51"/>
      <c r="R321" s="52" t="s">
        <v>1507</v>
      </c>
      <c r="S321" s="52"/>
      <c r="T321" s="52"/>
      <c r="U321" s="53" t="n">
        <v>151000</v>
      </c>
      <c r="V321" s="54" t="n">
        <v>151000</v>
      </c>
      <c r="W321" s="55" t="n">
        <v>0.12</v>
      </c>
      <c r="X321" s="52" t="n">
        <v>0.055</v>
      </c>
      <c r="Y321" s="55" t="n">
        <v>0.12</v>
      </c>
      <c r="Z321" s="56"/>
      <c r="AA321" s="55" t="n">
        <v>0.04</v>
      </c>
      <c r="AB321" s="57" t="n">
        <v>201585</v>
      </c>
      <c r="AC321" s="44"/>
      <c r="AD321" s="44"/>
      <c r="AE321" s="44" t="n">
        <v>201585</v>
      </c>
      <c r="AF321" s="44" t="s">
        <v>69</v>
      </c>
      <c r="AG321" s="44" t="n">
        <v>0</v>
      </c>
      <c r="AH321" s="58" t="s">
        <v>14</v>
      </c>
      <c r="AI321" s="44" t="n">
        <v>0</v>
      </c>
      <c r="AJ321" s="44" t="s">
        <v>49</v>
      </c>
      <c r="AK321" s="44" t="s">
        <v>47</v>
      </c>
      <c r="AL321" s="44" t="s">
        <v>49</v>
      </c>
      <c r="AM321" s="44" t="n">
        <v>0</v>
      </c>
      <c r="AN321" s="44" t="s">
        <v>69</v>
      </c>
      <c r="AO321" s="44"/>
      <c r="AP321" s="44"/>
      <c r="AQ321" s="45" t="s">
        <v>85</v>
      </c>
      <c r="AR321" s="44" t="s">
        <v>1282</v>
      </c>
      <c r="AS321" s="44"/>
      <c r="AT321" s="44"/>
      <c r="AU321" s="44"/>
      <c r="AV321" s="44"/>
      <c r="AW321" s="44"/>
      <c r="AX321" s="44"/>
      <c r="AY321" s="44"/>
      <c r="AZ321" s="46"/>
    </row>
    <row r="322" customFormat="false" ht="18" hidden="false" customHeight="true" outlineLevel="0" collapsed="false">
      <c r="A322" s="47" t="s">
        <v>1507</v>
      </c>
      <c r="B322" s="48" t="s">
        <v>69</v>
      </c>
      <c r="C322" s="47" t="s">
        <v>1507</v>
      </c>
      <c r="D322" s="48" t="s">
        <v>86</v>
      </c>
      <c r="E322" s="48" t="s">
        <v>1470</v>
      </c>
      <c r="F322" s="48" t="s">
        <v>303</v>
      </c>
      <c r="G322" s="49" t="s">
        <v>1471</v>
      </c>
      <c r="H322" s="48" t="s">
        <v>1472</v>
      </c>
      <c r="I322" s="48" t="s">
        <v>1473</v>
      </c>
      <c r="J322" s="48" t="s">
        <v>1567</v>
      </c>
      <c r="K322" s="48" t="s">
        <v>1163</v>
      </c>
      <c r="L322" s="48" t="s">
        <v>1697</v>
      </c>
      <c r="M322" s="48"/>
      <c r="N322" s="50" t="s">
        <v>1443</v>
      </c>
      <c r="O322" s="51" t="s">
        <v>1715</v>
      </c>
      <c r="P322" s="52" t="n">
        <v>1</v>
      </c>
      <c r="Q322" s="51"/>
      <c r="R322" s="52" t="s">
        <v>1507</v>
      </c>
      <c r="S322" s="52"/>
      <c r="T322" s="52"/>
      <c r="U322" s="53" t="n">
        <v>173550</v>
      </c>
      <c r="V322" s="54" t="n">
        <v>173550</v>
      </c>
      <c r="W322" s="55" t="n">
        <v>0.12</v>
      </c>
      <c r="X322" s="52" t="n">
        <v>0.055</v>
      </c>
      <c r="Y322" s="55" t="n">
        <v>0.12</v>
      </c>
      <c r="Z322" s="56"/>
      <c r="AA322" s="55" t="n">
        <v>0.04</v>
      </c>
      <c r="AB322" s="57" t="n">
        <v>231689.25</v>
      </c>
      <c r="AC322" s="44"/>
      <c r="AD322" s="44"/>
      <c r="AE322" s="44" t="n">
        <v>231689.25</v>
      </c>
      <c r="AF322" s="44" t="s">
        <v>69</v>
      </c>
      <c r="AG322" s="44" t="n">
        <v>0</v>
      </c>
      <c r="AH322" s="58" t="s">
        <v>14</v>
      </c>
      <c r="AI322" s="44" t="n">
        <v>0</v>
      </c>
      <c r="AJ322" s="44" t="s">
        <v>49</v>
      </c>
      <c r="AK322" s="44" t="s">
        <v>47</v>
      </c>
      <c r="AL322" s="44" t="s">
        <v>49</v>
      </c>
      <c r="AM322" s="44" t="n">
        <v>0</v>
      </c>
      <c r="AN322" s="44" t="s">
        <v>69</v>
      </c>
      <c r="AO322" s="44"/>
      <c r="AP322" s="44"/>
      <c r="AQ322" s="45" t="s">
        <v>87</v>
      </c>
      <c r="AR322" s="44" t="s">
        <v>1282</v>
      </c>
      <c r="AS322" s="44"/>
      <c r="AT322" s="44"/>
      <c r="AU322" s="44"/>
      <c r="AV322" s="44"/>
      <c r="AW322" s="44"/>
      <c r="AX322" s="44"/>
      <c r="AY322" s="44"/>
      <c r="AZ322" s="46"/>
    </row>
    <row r="323" customFormat="false" ht="18" hidden="false" customHeight="true" outlineLevel="0" collapsed="false">
      <c r="A323" s="47" t="s">
        <v>1507</v>
      </c>
      <c r="B323" s="48" t="s">
        <v>69</v>
      </c>
      <c r="C323" s="47" t="s">
        <v>1507</v>
      </c>
      <c r="D323" s="48" t="s">
        <v>89</v>
      </c>
      <c r="E323" s="48" t="s">
        <v>1470</v>
      </c>
      <c r="F323" s="48" t="s">
        <v>303</v>
      </c>
      <c r="G323" s="49" t="s">
        <v>1471</v>
      </c>
      <c r="H323" s="48" t="s">
        <v>1472</v>
      </c>
      <c r="I323" s="48" t="s">
        <v>1473</v>
      </c>
      <c r="J323" s="48" t="s">
        <v>1567</v>
      </c>
      <c r="K323" s="48" t="s">
        <v>1163</v>
      </c>
      <c r="L323" s="48" t="s">
        <v>1697</v>
      </c>
      <c r="M323" s="48"/>
      <c r="N323" s="50" t="s">
        <v>1443</v>
      </c>
      <c r="O323" s="51" t="s">
        <v>1715</v>
      </c>
      <c r="P323" s="52" t="n">
        <v>1</v>
      </c>
      <c r="Q323" s="51"/>
      <c r="R323" s="52" t="s">
        <v>1507</v>
      </c>
      <c r="S323" s="52"/>
      <c r="T323" s="52"/>
      <c r="U323" s="53" t="n">
        <v>151950</v>
      </c>
      <c r="V323" s="54" t="n">
        <v>151950</v>
      </c>
      <c r="W323" s="55" t="n">
        <v>0.12</v>
      </c>
      <c r="X323" s="52" t="n">
        <v>0.055</v>
      </c>
      <c r="Y323" s="55" t="n">
        <v>0.12</v>
      </c>
      <c r="Z323" s="56"/>
      <c r="AA323" s="55" t="n">
        <v>0.04</v>
      </c>
      <c r="AB323" s="57" t="n">
        <v>202853.25</v>
      </c>
      <c r="AC323" s="44"/>
      <c r="AD323" s="44"/>
      <c r="AE323" s="44" t="n">
        <v>202853.25</v>
      </c>
      <c r="AF323" s="44" t="s">
        <v>69</v>
      </c>
      <c r="AG323" s="44" t="n">
        <v>0</v>
      </c>
      <c r="AH323" s="58" t="s">
        <v>14</v>
      </c>
      <c r="AI323" s="44" t="n">
        <v>0</v>
      </c>
      <c r="AJ323" s="44" t="s">
        <v>49</v>
      </c>
      <c r="AK323" s="44" t="s">
        <v>47</v>
      </c>
      <c r="AL323" s="44" t="s">
        <v>49</v>
      </c>
      <c r="AM323" s="44" t="n">
        <v>0</v>
      </c>
      <c r="AN323" s="44"/>
      <c r="AO323" s="44"/>
      <c r="AP323" s="44"/>
      <c r="AQ323" s="45" t="s">
        <v>88</v>
      </c>
      <c r="AR323" s="44" t="s">
        <v>1282</v>
      </c>
      <c r="AS323" s="44"/>
      <c r="AT323" s="44"/>
      <c r="AU323" s="44"/>
      <c r="AV323" s="44"/>
      <c r="AW323" s="44"/>
      <c r="AX323" s="44"/>
      <c r="AY323" s="44"/>
      <c r="AZ323" s="46"/>
    </row>
    <row r="324" customFormat="false" ht="18" hidden="false" customHeight="true" outlineLevel="0" collapsed="false">
      <c r="A324" s="47" t="s">
        <v>1507</v>
      </c>
      <c r="B324" s="48" t="s">
        <v>69</v>
      </c>
      <c r="C324" s="47" t="s">
        <v>1507</v>
      </c>
      <c r="D324" s="48" t="s">
        <v>89</v>
      </c>
      <c r="E324" s="48" t="s">
        <v>1470</v>
      </c>
      <c r="F324" s="48" t="s">
        <v>303</v>
      </c>
      <c r="G324" s="49" t="s">
        <v>1471</v>
      </c>
      <c r="H324" s="48" t="s">
        <v>1472</v>
      </c>
      <c r="I324" s="48" t="s">
        <v>1473</v>
      </c>
      <c r="J324" s="48" t="s">
        <v>1567</v>
      </c>
      <c r="K324" s="48" t="s">
        <v>1163</v>
      </c>
      <c r="L324" s="48" t="s">
        <v>1697</v>
      </c>
      <c r="M324" s="48"/>
      <c r="N324" s="50" t="s">
        <v>1443</v>
      </c>
      <c r="O324" s="51" t="s">
        <v>1715</v>
      </c>
      <c r="P324" s="52" t="n">
        <v>1</v>
      </c>
      <c r="Q324" s="51"/>
      <c r="R324" s="52" t="s">
        <v>1507</v>
      </c>
      <c r="S324" s="52"/>
      <c r="T324" s="52"/>
      <c r="U324" s="53" t="n">
        <v>151950</v>
      </c>
      <c r="V324" s="54" t="n">
        <v>151950</v>
      </c>
      <c r="W324" s="55" t="n">
        <v>0.12</v>
      </c>
      <c r="X324" s="52" t="n">
        <v>0.055</v>
      </c>
      <c r="Y324" s="55" t="n">
        <v>0.12</v>
      </c>
      <c r="Z324" s="56"/>
      <c r="AA324" s="55" t="n">
        <v>0.04</v>
      </c>
      <c r="AB324" s="57" t="n">
        <v>202853.25</v>
      </c>
      <c r="AC324" s="44"/>
      <c r="AD324" s="44"/>
      <c r="AE324" s="44" t="n">
        <v>202853.25</v>
      </c>
      <c r="AF324" s="44" t="s">
        <v>69</v>
      </c>
      <c r="AG324" s="44" t="n">
        <v>0</v>
      </c>
      <c r="AH324" s="58" t="s">
        <v>14</v>
      </c>
      <c r="AI324" s="44" t="n">
        <v>0</v>
      </c>
      <c r="AJ324" s="44" t="s">
        <v>49</v>
      </c>
      <c r="AK324" s="44" t="s">
        <v>47</v>
      </c>
      <c r="AL324" s="44" t="s">
        <v>49</v>
      </c>
      <c r="AM324" s="44" t="n">
        <v>0</v>
      </c>
      <c r="AN324" s="44"/>
      <c r="AO324" s="44"/>
      <c r="AP324" s="44"/>
      <c r="AQ324" s="45" t="s">
        <v>90</v>
      </c>
      <c r="AR324" s="44" t="s">
        <v>1282</v>
      </c>
      <c r="AS324" s="44"/>
      <c r="AT324" s="44"/>
      <c r="AU324" s="44"/>
      <c r="AV324" s="44"/>
      <c r="AW324" s="44"/>
      <c r="AX324" s="44"/>
      <c r="AY324" s="44"/>
      <c r="AZ324" s="46"/>
    </row>
    <row r="325" customFormat="false" ht="18" hidden="false" customHeight="true" outlineLevel="0" collapsed="false">
      <c r="A325" s="47" t="s">
        <v>1507</v>
      </c>
      <c r="B325" s="48" t="s">
        <v>69</v>
      </c>
      <c r="C325" s="47" t="s">
        <v>1507</v>
      </c>
      <c r="D325" s="48" t="s">
        <v>89</v>
      </c>
      <c r="E325" s="48" t="s">
        <v>1470</v>
      </c>
      <c r="F325" s="48" t="s">
        <v>303</v>
      </c>
      <c r="G325" s="49" t="s">
        <v>1471</v>
      </c>
      <c r="H325" s="48" t="s">
        <v>1472</v>
      </c>
      <c r="I325" s="48" t="s">
        <v>1473</v>
      </c>
      <c r="J325" s="48" t="s">
        <v>1567</v>
      </c>
      <c r="K325" s="48" t="s">
        <v>1163</v>
      </c>
      <c r="L325" s="48" t="s">
        <v>1697</v>
      </c>
      <c r="M325" s="48"/>
      <c r="N325" s="50" t="s">
        <v>1443</v>
      </c>
      <c r="O325" s="51" t="s">
        <v>1715</v>
      </c>
      <c r="P325" s="52" t="n">
        <v>1</v>
      </c>
      <c r="Q325" s="51"/>
      <c r="R325" s="52" t="s">
        <v>1513</v>
      </c>
      <c r="S325" s="52"/>
      <c r="T325" s="52"/>
      <c r="U325" s="53" t="n">
        <v>129650</v>
      </c>
      <c r="V325" s="54" t="n">
        <v>129650</v>
      </c>
      <c r="W325" s="55" t="n">
        <v>0.1</v>
      </c>
      <c r="X325" s="52" t="n">
        <v>0.055</v>
      </c>
      <c r="Y325" s="55" t="n">
        <v>0.12</v>
      </c>
      <c r="Z325" s="56"/>
      <c r="AA325" s="55" t="n">
        <v>0.04</v>
      </c>
      <c r="AB325" s="57" t="n">
        <v>170489.75</v>
      </c>
      <c r="AC325" s="44"/>
      <c r="AD325" s="44"/>
      <c r="AE325" s="44" t="n">
        <v>170489.75</v>
      </c>
      <c r="AF325" s="44" t="s">
        <v>69</v>
      </c>
      <c r="AG325" s="44" t="n">
        <v>0</v>
      </c>
      <c r="AH325" s="58" t="s">
        <v>14</v>
      </c>
      <c r="AI325" s="44" t="n">
        <v>0</v>
      </c>
      <c r="AJ325" s="44" t="s">
        <v>49</v>
      </c>
      <c r="AK325" s="44" t="s">
        <v>47</v>
      </c>
      <c r="AL325" s="44" t="s">
        <v>49</v>
      </c>
      <c r="AM325" s="44" t="n">
        <v>0</v>
      </c>
      <c r="AN325" s="44"/>
      <c r="AO325" s="44"/>
      <c r="AP325" s="44"/>
      <c r="AQ325" s="45" t="s">
        <v>91</v>
      </c>
      <c r="AR325" s="44" t="s">
        <v>1282</v>
      </c>
      <c r="AS325" s="44"/>
      <c r="AT325" s="44"/>
      <c r="AU325" s="44"/>
      <c r="AV325" s="44"/>
      <c r="AW325" s="44"/>
      <c r="AX325" s="44"/>
      <c r="AY325" s="44"/>
      <c r="AZ325" s="46"/>
    </row>
    <row r="326" customFormat="false" ht="18" hidden="false" customHeight="true" outlineLevel="0" collapsed="false">
      <c r="A326" s="47" t="s">
        <v>1507</v>
      </c>
      <c r="B326" s="48" t="s">
        <v>69</v>
      </c>
      <c r="C326" s="47" t="s">
        <v>1507</v>
      </c>
      <c r="D326" s="48" t="s">
        <v>89</v>
      </c>
      <c r="E326" s="48" t="s">
        <v>1470</v>
      </c>
      <c r="F326" s="48" t="s">
        <v>303</v>
      </c>
      <c r="G326" s="49" t="s">
        <v>1471</v>
      </c>
      <c r="H326" s="48" t="s">
        <v>1472</v>
      </c>
      <c r="I326" s="48" t="s">
        <v>1473</v>
      </c>
      <c r="J326" s="48" t="s">
        <v>1568</v>
      </c>
      <c r="K326" s="48" t="s">
        <v>1160</v>
      </c>
      <c r="L326" s="48" t="s">
        <v>1698</v>
      </c>
      <c r="M326" s="48"/>
      <c r="N326" s="50" t="s">
        <v>1443</v>
      </c>
      <c r="O326" s="51" t="s">
        <v>1715</v>
      </c>
      <c r="P326" s="52" t="n">
        <v>1</v>
      </c>
      <c r="Q326" s="51"/>
      <c r="R326" s="52" t="s">
        <v>1507</v>
      </c>
      <c r="S326" s="52"/>
      <c r="T326" s="52"/>
      <c r="U326" s="53" t="n">
        <v>151950</v>
      </c>
      <c r="V326" s="54" t="n">
        <v>151950</v>
      </c>
      <c r="W326" s="55" t="n">
        <v>0.12</v>
      </c>
      <c r="X326" s="52" t="n">
        <v>0.055</v>
      </c>
      <c r="Y326" s="55" t="n">
        <v>0.12</v>
      </c>
      <c r="Z326" s="56"/>
      <c r="AA326" s="55" t="n">
        <v>0.04</v>
      </c>
      <c r="AB326" s="57" t="n">
        <v>202853.25</v>
      </c>
      <c r="AC326" s="44"/>
      <c r="AD326" s="44"/>
      <c r="AE326" s="44" t="n">
        <v>202853.25</v>
      </c>
      <c r="AF326" s="44" t="s">
        <v>69</v>
      </c>
      <c r="AG326" s="44" t="n">
        <v>0</v>
      </c>
      <c r="AH326" s="58" t="s">
        <v>16</v>
      </c>
      <c r="AI326" s="44" t="n">
        <v>0</v>
      </c>
      <c r="AJ326" s="44" t="s">
        <v>216</v>
      </c>
      <c r="AK326" s="44" t="s">
        <v>47</v>
      </c>
      <c r="AL326" s="44" t="s">
        <v>216</v>
      </c>
      <c r="AM326" s="44" t="n">
        <v>0</v>
      </c>
      <c r="AN326" s="44"/>
      <c r="AO326" s="44"/>
      <c r="AP326" s="44"/>
      <c r="AQ326" s="45" t="s">
        <v>219</v>
      </c>
      <c r="AR326" s="44" t="s">
        <v>1282</v>
      </c>
      <c r="AS326" s="44"/>
      <c r="AT326" s="44"/>
      <c r="AU326" s="44"/>
      <c r="AV326" s="44"/>
      <c r="AW326" s="44"/>
      <c r="AX326" s="44"/>
      <c r="AY326" s="44"/>
      <c r="AZ326" s="46"/>
    </row>
    <row r="327" customFormat="false" ht="18" hidden="false" customHeight="true" outlineLevel="0" collapsed="false">
      <c r="A327" s="47" t="s">
        <v>1507</v>
      </c>
      <c r="B327" s="48" t="s">
        <v>69</v>
      </c>
      <c r="C327" s="47" t="s">
        <v>1507</v>
      </c>
      <c r="D327" s="48" t="s">
        <v>1727</v>
      </c>
      <c r="E327" s="48" t="s">
        <v>1537</v>
      </c>
      <c r="F327" s="48" t="s">
        <v>1538</v>
      </c>
      <c r="G327" s="49" t="s">
        <v>1531</v>
      </c>
      <c r="H327" s="48" t="s">
        <v>1452</v>
      </c>
      <c r="I327" s="48"/>
      <c r="J327" s="48"/>
      <c r="K327" s="48" t="s">
        <v>756</v>
      </c>
      <c r="L327" s="48"/>
      <c r="M327" s="48"/>
      <c r="N327" s="50" t="s">
        <v>1443</v>
      </c>
      <c r="O327" s="51" t="s">
        <v>1715</v>
      </c>
      <c r="P327" s="52" t="n">
        <v>1</v>
      </c>
      <c r="Q327" s="51"/>
      <c r="R327" s="52" t="s">
        <v>1513</v>
      </c>
      <c r="S327" s="52"/>
      <c r="T327" s="52"/>
      <c r="U327" s="53" t="n">
        <v>140000</v>
      </c>
      <c r="V327" s="54" t="n">
        <v>140000</v>
      </c>
      <c r="W327" s="55" t="n">
        <v>0.12</v>
      </c>
      <c r="X327" s="52" t="n">
        <v>0.055</v>
      </c>
      <c r="Y327" s="55" t="n">
        <v>0.12</v>
      </c>
      <c r="Z327" s="56"/>
      <c r="AA327" s="55" t="n">
        <v>0.04</v>
      </c>
      <c r="AB327" s="57" t="n">
        <v>186900</v>
      </c>
      <c r="AC327" s="44"/>
      <c r="AD327" s="44"/>
      <c r="AE327" s="44" t="n">
        <v>186900</v>
      </c>
      <c r="AF327" s="44" t="s">
        <v>69</v>
      </c>
      <c r="AG327" s="44" t="n">
        <v>0</v>
      </c>
      <c r="AH327" s="58" t="s">
        <v>1536</v>
      </c>
      <c r="AI327" s="44" t="n">
        <v>1</v>
      </c>
      <c r="AJ327" s="44" t="s">
        <v>756</v>
      </c>
      <c r="AK327" s="44" t="s">
        <v>47</v>
      </c>
      <c r="AL327" s="44" t="s">
        <v>756</v>
      </c>
      <c r="AM327" s="44" t="n">
        <v>0</v>
      </c>
      <c r="AN327" s="44"/>
      <c r="AO327" s="44"/>
      <c r="AP327" s="44"/>
      <c r="AQ327" s="45" t="s">
        <v>1314</v>
      </c>
      <c r="AR327" s="44" t="s">
        <v>1282</v>
      </c>
      <c r="AS327" s="44"/>
      <c r="AT327" s="44"/>
      <c r="AU327" s="44"/>
      <c r="AV327" s="44"/>
      <c r="AW327" s="44"/>
      <c r="AX327" s="44"/>
      <c r="AY327" s="44"/>
      <c r="AZ327" s="46"/>
    </row>
    <row r="328" customFormat="false" ht="18" hidden="false" customHeight="true" outlineLevel="0" collapsed="false">
      <c r="A328" s="47" t="n">
        <v>111451</v>
      </c>
      <c r="B328" s="48" t="s">
        <v>96</v>
      </c>
      <c r="C328" s="47" t="n">
        <v>111451</v>
      </c>
      <c r="D328" s="48" t="s">
        <v>97</v>
      </c>
      <c r="E328" s="48" t="s">
        <v>93</v>
      </c>
      <c r="F328" s="48" t="s">
        <v>94</v>
      </c>
      <c r="G328" s="49" t="s">
        <v>1471</v>
      </c>
      <c r="H328" s="48" t="s">
        <v>14</v>
      </c>
      <c r="I328" s="48" t="s">
        <v>1602</v>
      </c>
      <c r="J328" s="48" t="s">
        <v>1567</v>
      </c>
      <c r="K328" s="48" t="s">
        <v>67</v>
      </c>
      <c r="L328" s="48" t="s">
        <v>61</v>
      </c>
      <c r="M328" s="48"/>
      <c r="N328" s="50" t="s">
        <v>1443</v>
      </c>
      <c r="O328" s="51" t="s">
        <v>1715</v>
      </c>
      <c r="P328" s="52" t="n">
        <v>1</v>
      </c>
      <c r="Q328" s="51"/>
      <c r="R328" s="52" t="s">
        <v>1641</v>
      </c>
      <c r="S328" s="52"/>
      <c r="T328" s="52"/>
      <c r="U328" s="53" t="n">
        <v>150000</v>
      </c>
      <c r="V328" s="54" t="n">
        <v>150000</v>
      </c>
      <c r="W328" s="55" t="n">
        <v>0.12</v>
      </c>
      <c r="X328" s="52" t="n">
        <v>0.055</v>
      </c>
      <c r="Y328" s="55" t="n">
        <v>0.12</v>
      </c>
      <c r="Z328" s="56"/>
      <c r="AA328" s="55" t="n">
        <v>0.04</v>
      </c>
      <c r="AB328" s="57" t="n">
        <v>200250</v>
      </c>
      <c r="AC328" s="44"/>
      <c r="AD328" s="44"/>
      <c r="AE328" s="44" t="n">
        <v>200250</v>
      </c>
      <c r="AF328" s="44" t="s">
        <v>53</v>
      </c>
      <c r="AG328" s="44" t="n">
        <v>0</v>
      </c>
      <c r="AH328" s="58" t="s">
        <v>14</v>
      </c>
      <c r="AI328" s="44" t="n">
        <v>0</v>
      </c>
      <c r="AJ328" s="44" t="s">
        <v>61</v>
      </c>
      <c r="AK328" s="44" t="s">
        <v>47</v>
      </c>
      <c r="AL328" s="44" t="s">
        <v>61</v>
      </c>
      <c r="AM328" s="44" t="n">
        <v>0</v>
      </c>
      <c r="AN328" s="44"/>
      <c r="AO328" s="44"/>
      <c r="AP328" s="44"/>
      <c r="AQ328" s="45" t="s">
        <v>95</v>
      </c>
      <c r="AR328" s="44" t="s">
        <v>1282</v>
      </c>
      <c r="AS328" s="44"/>
      <c r="AT328" s="44"/>
      <c r="AU328" s="44"/>
      <c r="AV328" s="44"/>
      <c r="AW328" s="44"/>
      <c r="AX328" s="44"/>
      <c r="AY328" s="44"/>
      <c r="AZ328" s="46"/>
    </row>
    <row r="329" customFormat="false" ht="18" hidden="false" customHeight="true" outlineLevel="0" collapsed="false">
      <c r="A329" s="47" t="n">
        <v>95128</v>
      </c>
      <c r="B329" s="48" t="s">
        <v>99</v>
      </c>
      <c r="C329" s="47" t="n">
        <v>95128</v>
      </c>
      <c r="D329" s="48" t="s">
        <v>100</v>
      </c>
      <c r="E329" s="48" t="s">
        <v>93</v>
      </c>
      <c r="F329" s="48" t="s">
        <v>94</v>
      </c>
      <c r="G329" s="49" t="s">
        <v>1471</v>
      </c>
      <c r="H329" s="48" t="s">
        <v>14</v>
      </c>
      <c r="I329" s="48" t="s">
        <v>1602</v>
      </c>
      <c r="J329" s="48" t="s">
        <v>1567</v>
      </c>
      <c r="K329" s="48" t="s">
        <v>67</v>
      </c>
      <c r="L329" s="48" t="s">
        <v>61</v>
      </c>
      <c r="M329" s="48"/>
      <c r="N329" s="50" t="s">
        <v>1443</v>
      </c>
      <c r="O329" s="51" t="s">
        <v>1715</v>
      </c>
      <c r="P329" s="52" t="n">
        <v>1</v>
      </c>
      <c r="Q329" s="51"/>
      <c r="R329" s="52" t="s">
        <v>1519</v>
      </c>
      <c r="S329" s="52"/>
      <c r="T329" s="52"/>
      <c r="U329" s="53" t="n">
        <v>153920</v>
      </c>
      <c r="V329" s="54" t="n">
        <v>153920</v>
      </c>
      <c r="W329" s="55" t="n">
        <v>0.12</v>
      </c>
      <c r="X329" s="52" t="n">
        <v>0.055</v>
      </c>
      <c r="Y329" s="55" t="n">
        <v>0.12</v>
      </c>
      <c r="Z329" s="56"/>
      <c r="AA329" s="55" t="n">
        <v>0.04</v>
      </c>
      <c r="AB329" s="57" t="n">
        <v>205483.2</v>
      </c>
      <c r="AC329" s="44"/>
      <c r="AD329" s="44"/>
      <c r="AE329" s="44" t="n">
        <v>205483.2</v>
      </c>
      <c r="AF329" s="44" t="s">
        <v>53</v>
      </c>
      <c r="AG329" s="44" t="n">
        <v>0</v>
      </c>
      <c r="AH329" s="58" t="s">
        <v>14</v>
      </c>
      <c r="AI329" s="44" t="n">
        <v>0</v>
      </c>
      <c r="AJ329" s="44" t="s">
        <v>61</v>
      </c>
      <c r="AK329" s="44" t="s">
        <v>47</v>
      </c>
      <c r="AL329" s="44" t="s">
        <v>61</v>
      </c>
      <c r="AM329" s="44" t="n">
        <v>0</v>
      </c>
      <c r="AN329" s="44"/>
      <c r="AO329" s="44"/>
      <c r="AP329" s="44"/>
      <c r="AQ329" s="45" t="s">
        <v>98</v>
      </c>
      <c r="AR329" s="44" t="s">
        <v>1282</v>
      </c>
      <c r="AS329" s="44"/>
      <c r="AT329" s="44"/>
      <c r="AU329" s="44"/>
      <c r="AV329" s="44"/>
      <c r="AW329" s="44"/>
      <c r="AX329" s="44"/>
      <c r="AY329" s="44"/>
      <c r="AZ329" s="46"/>
    </row>
    <row r="330" customFormat="false" ht="18" hidden="false" customHeight="true" outlineLevel="0" collapsed="false">
      <c r="A330" s="47" t="s">
        <v>1507</v>
      </c>
      <c r="B330" s="48" t="s">
        <v>69</v>
      </c>
      <c r="C330" s="47" t="s">
        <v>1507</v>
      </c>
      <c r="D330" s="48" t="s">
        <v>1728</v>
      </c>
      <c r="E330" s="48" t="s">
        <v>1608</v>
      </c>
      <c r="F330" s="48" t="s">
        <v>1591</v>
      </c>
      <c r="G330" s="49" t="s">
        <v>1527</v>
      </c>
      <c r="H330" s="48" t="s">
        <v>1251</v>
      </c>
      <c r="I330" s="48" t="s">
        <v>1159</v>
      </c>
      <c r="J330" s="48" t="s">
        <v>1159</v>
      </c>
      <c r="K330" s="48" t="s">
        <v>1159</v>
      </c>
      <c r="L330" s="48" t="s">
        <v>1159</v>
      </c>
      <c r="M330" s="48"/>
      <c r="N330" s="50" t="s">
        <v>1443</v>
      </c>
      <c r="O330" s="51" t="s">
        <v>1715</v>
      </c>
      <c r="P330" s="52" t="n">
        <v>1</v>
      </c>
      <c r="Q330" s="67"/>
      <c r="R330" s="52" t="s">
        <v>1513</v>
      </c>
      <c r="S330" s="52"/>
      <c r="T330" s="52"/>
      <c r="U330" s="53" t="n">
        <v>151950</v>
      </c>
      <c r="V330" s="54" t="n">
        <v>151950</v>
      </c>
      <c r="W330" s="55" t="n">
        <v>0.12</v>
      </c>
      <c r="X330" s="52" t="n">
        <v>0.055</v>
      </c>
      <c r="Y330" s="55" t="n">
        <v>0.12</v>
      </c>
      <c r="Z330" s="56"/>
      <c r="AA330" s="55" t="n">
        <v>0.04</v>
      </c>
      <c r="AB330" s="57" t="n">
        <v>202853.25</v>
      </c>
      <c r="AC330" s="44"/>
      <c r="AD330" s="44"/>
      <c r="AE330" s="44" t="n">
        <v>202853.25</v>
      </c>
      <c r="AF330" s="44" t="s">
        <v>69</v>
      </c>
      <c r="AG330" s="44" t="n">
        <v>0</v>
      </c>
      <c r="AH330" s="58" t="s">
        <v>27</v>
      </c>
      <c r="AI330" s="44" t="n">
        <v>0</v>
      </c>
      <c r="AJ330" s="44" t="s">
        <v>1251</v>
      </c>
      <c r="AK330" s="44" t="s">
        <v>47</v>
      </c>
      <c r="AL330" s="44" t="s">
        <v>1251</v>
      </c>
      <c r="AM330" s="44" t="n">
        <v>0</v>
      </c>
      <c r="AN330" s="44"/>
      <c r="AO330" s="44"/>
      <c r="AP330" s="44"/>
      <c r="AQ330" s="45" t="s">
        <v>1352</v>
      </c>
      <c r="AR330" s="44" t="s">
        <v>1282</v>
      </c>
      <c r="AS330" s="44"/>
      <c r="AT330" s="44"/>
      <c r="AU330" s="44"/>
      <c r="AV330" s="44"/>
      <c r="AW330" s="44"/>
      <c r="AX330" s="44"/>
      <c r="AY330" s="44"/>
      <c r="AZ330" s="46"/>
    </row>
    <row r="331" customFormat="false" ht="18" hidden="false" customHeight="true" outlineLevel="0" collapsed="false">
      <c r="A331" s="47" t="s">
        <v>1507</v>
      </c>
      <c r="B331" s="48" t="s">
        <v>69</v>
      </c>
      <c r="C331" s="47" t="s">
        <v>1507</v>
      </c>
      <c r="D331" s="48" t="s">
        <v>1729</v>
      </c>
      <c r="E331" s="48" t="s">
        <v>1608</v>
      </c>
      <c r="F331" s="48" t="s">
        <v>1631</v>
      </c>
      <c r="G331" s="49" t="s">
        <v>1527</v>
      </c>
      <c r="H331" s="48" t="s">
        <v>1251</v>
      </c>
      <c r="I331" s="48" t="s">
        <v>1159</v>
      </c>
      <c r="J331" s="48" t="s">
        <v>1159</v>
      </c>
      <c r="K331" s="48" t="s">
        <v>1159</v>
      </c>
      <c r="L331" s="48" t="s">
        <v>1159</v>
      </c>
      <c r="M331" s="48"/>
      <c r="N331" s="50" t="s">
        <v>1443</v>
      </c>
      <c r="O331" s="51" t="s">
        <v>1715</v>
      </c>
      <c r="P331" s="52" t="n">
        <v>1</v>
      </c>
      <c r="Q331" s="51"/>
      <c r="R331" s="52" t="s">
        <v>1513</v>
      </c>
      <c r="S331" s="52"/>
      <c r="T331" s="52"/>
      <c r="U331" s="53" t="n">
        <v>151950</v>
      </c>
      <c r="V331" s="54" t="n">
        <v>151950</v>
      </c>
      <c r="W331" s="55" t="n">
        <v>0.12</v>
      </c>
      <c r="X331" s="52" t="n">
        <v>0.055</v>
      </c>
      <c r="Y331" s="55" t="n">
        <v>0.12</v>
      </c>
      <c r="Z331" s="56"/>
      <c r="AA331" s="55" t="n">
        <v>0.04</v>
      </c>
      <c r="AB331" s="57" t="n">
        <v>202853.25</v>
      </c>
      <c r="AC331" s="44"/>
      <c r="AD331" s="44"/>
      <c r="AE331" s="44" t="n">
        <v>202853.25</v>
      </c>
      <c r="AF331" s="44" t="s">
        <v>69</v>
      </c>
      <c r="AG331" s="44" t="n">
        <v>0</v>
      </c>
      <c r="AH331" s="58" t="s">
        <v>27</v>
      </c>
      <c r="AI331" s="44" t="n">
        <v>0</v>
      </c>
      <c r="AJ331" s="44" t="s">
        <v>1251</v>
      </c>
      <c r="AK331" s="44" t="s">
        <v>47</v>
      </c>
      <c r="AL331" s="44" t="s">
        <v>1251</v>
      </c>
      <c r="AM331" s="44" t="n">
        <v>0</v>
      </c>
      <c r="AN331" s="44"/>
      <c r="AO331" s="44"/>
      <c r="AP331" s="44"/>
      <c r="AQ331" s="45" t="s">
        <v>1353</v>
      </c>
      <c r="AR331" s="44" t="s">
        <v>1282</v>
      </c>
      <c r="AS331" s="44"/>
      <c r="AT331" s="44"/>
      <c r="AU331" s="44"/>
      <c r="AV331" s="44"/>
      <c r="AW331" s="44"/>
      <c r="AX331" s="44"/>
      <c r="AY331" s="44"/>
      <c r="AZ331" s="46"/>
    </row>
    <row r="332" customFormat="false" ht="18" hidden="false" customHeight="true" outlineLevel="0" collapsed="false">
      <c r="A332" s="47" t="n">
        <v>114367</v>
      </c>
      <c r="B332" s="48" t="s">
        <v>912</v>
      </c>
      <c r="C332" s="47" t="n">
        <v>114367</v>
      </c>
      <c r="D332" s="48" t="s">
        <v>913</v>
      </c>
      <c r="E332" s="48" t="s">
        <v>966</v>
      </c>
      <c r="F332" s="48" t="s">
        <v>1478</v>
      </c>
      <c r="G332" s="49" t="s">
        <v>30</v>
      </c>
      <c r="H332" s="48" t="s">
        <v>1479</v>
      </c>
      <c r="I332" s="48" t="s">
        <v>1480</v>
      </c>
      <c r="J332" s="48" t="s">
        <v>1149</v>
      </c>
      <c r="K332" s="48" t="s">
        <v>1149</v>
      </c>
      <c r="L332" s="48" t="s">
        <v>1674</v>
      </c>
      <c r="M332" s="48"/>
      <c r="N332" s="50" t="s">
        <v>1443</v>
      </c>
      <c r="O332" s="51" t="s">
        <v>1715</v>
      </c>
      <c r="P332" s="52" t="n">
        <v>1</v>
      </c>
      <c r="Q332" s="51"/>
      <c r="R332" s="52" t="s">
        <v>1519</v>
      </c>
      <c r="S332" s="52"/>
      <c r="T332" s="52"/>
      <c r="U332" s="53" t="n">
        <v>140000</v>
      </c>
      <c r="V332" s="54" t="n">
        <v>140000</v>
      </c>
      <c r="W332" s="55" t="n">
        <v>0.12</v>
      </c>
      <c r="X332" s="52" t="n">
        <v>0.055</v>
      </c>
      <c r="Y332" s="55" t="n">
        <v>0.12</v>
      </c>
      <c r="Z332" s="56"/>
      <c r="AA332" s="55" t="n">
        <v>0.04</v>
      </c>
      <c r="AB332" s="57" t="n">
        <v>186900</v>
      </c>
      <c r="AC332" s="44"/>
      <c r="AD332" s="44"/>
      <c r="AE332" s="44" t="n">
        <v>186900</v>
      </c>
      <c r="AF332" s="44" t="s">
        <v>53</v>
      </c>
      <c r="AG332" s="44" t="n">
        <v>0</v>
      </c>
      <c r="AH332" s="58" t="s">
        <v>30</v>
      </c>
      <c r="AI332" s="44" t="n">
        <v>0</v>
      </c>
      <c r="AJ332" s="44" t="s">
        <v>854</v>
      </c>
      <c r="AK332" s="44" t="s">
        <v>47</v>
      </c>
      <c r="AL332" s="44" t="s">
        <v>854</v>
      </c>
      <c r="AM332" s="44" t="n">
        <v>0</v>
      </c>
      <c r="AN332" s="44"/>
      <c r="AO332" s="44"/>
      <c r="AP332" s="44"/>
      <c r="AQ332" s="45" t="s">
        <v>911</v>
      </c>
      <c r="AR332" s="44" t="s">
        <v>1282</v>
      </c>
      <c r="AS332" s="44"/>
      <c r="AT332" s="44"/>
      <c r="AU332" s="44"/>
      <c r="AV332" s="44"/>
      <c r="AW332" s="44"/>
      <c r="AX332" s="44"/>
      <c r="AY332" s="44"/>
      <c r="AZ332" s="46"/>
    </row>
    <row r="333" customFormat="false" ht="18" hidden="false" customHeight="true" outlineLevel="0" collapsed="false">
      <c r="A333" s="47" t="n">
        <v>106024</v>
      </c>
      <c r="B333" s="48" t="s">
        <v>927</v>
      </c>
      <c r="C333" s="47" t="n">
        <v>106024</v>
      </c>
      <c r="D333" s="48" t="s">
        <v>928</v>
      </c>
      <c r="E333" s="48" t="s">
        <v>961</v>
      </c>
      <c r="F333" s="48" t="s">
        <v>1617</v>
      </c>
      <c r="G333" s="49" t="s">
        <v>30</v>
      </c>
      <c r="H333" s="48" t="s">
        <v>1479</v>
      </c>
      <c r="I333" s="48" t="s">
        <v>851</v>
      </c>
      <c r="J333" s="48" t="s">
        <v>1149</v>
      </c>
      <c r="K333" s="48" t="s">
        <v>1149</v>
      </c>
      <c r="L333" s="48" t="s">
        <v>851</v>
      </c>
      <c r="M333" s="48"/>
      <c r="N333" s="50" t="s">
        <v>1443</v>
      </c>
      <c r="O333" s="51" t="s">
        <v>1715</v>
      </c>
      <c r="P333" s="52" t="n">
        <v>1</v>
      </c>
      <c r="Q333" s="51"/>
      <c r="R333" s="52" t="s">
        <v>1519</v>
      </c>
      <c r="S333" s="52"/>
      <c r="T333" s="52"/>
      <c r="U333" s="53" t="n">
        <v>159130</v>
      </c>
      <c r="V333" s="54" t="n">
        <v>159130</v>
      </c>
      <c r="W333" s="55" t="n">
        <v>0.12</v>
      </c>
      <c r="X333" s="52" t="n">
        <v>0.055</v>
      </c>
      <c r="Y333" s="55" t="n">
        <v>0.12</v>
      </c>
      <c r="Z333" s="56"/>
      <c r="AA333" s="55" t="n">
        <v>0.04</v>
      </c>
      <c r="AB333" s="57" t="n">
        <v>212438.55</v>
      </c>
      <c r="AC333" s="44"/>
      <c r="AD333" s="44"/>
      <c r="AE333" s="44" t="n">
        <v>212438.55</v>
      </c>
      <c r="AF333" s="44" t="s">
        <v>53</v>
      </c>
      <c r="AG333" s="44" t="n">
        <v>0</v>
      </c>
      <c r="AH333" s="58" t="s">
        <v>30</v>
      </c>
      <c r="AI333" s="44" t="n">
        <v>0</v>
      </c>
      <c r="AJ333" s="44" t="s">
        <v>851</v>
      </c>
      <c r="AK333" s="44" t="s">
        <v>47</v>
      </c>
      <c r="AL333" s="44" t="s">
        <v>851</v>
      </c>
      <c r="AM333" s="44" t="n">
        <v>0</v>
      </c>
      <c r="AN333" s="44"/>
      <c r="AO333" s="44"/>
      <c r="AP333" s="44"/>
      <c r="AQ333" s="45" t="s">
        <v>926</v>
      </c>
      <c r="AR333" s="44" t="s">
        <v>1282</v>
      </c>
      <c r="AS333" s="44"/>
      <c r="AT333" s="44"/>
      <c r="AU333" s="44"/>
      <c r="AV333" s="44"/>
      <c r="AW333" s="44"/>
      <c r="AX333" s="44"/>
      <c r="AY333" s="44"/>
      <c r="AZ333" s="46"/>
    </row>
    <row r="334" customFormat="false" ht="18" hidden="false" customHeight="true" outlineLevel="0" collapsed="false">
      <c r="A334" s="47" t="s">
        <v>1507</v>
      </c>
      <c r="B334" s="48" t="s">
        <v>69</v>
      </c>
      <c r="C334" s="47" t="s">
        <v>1507</v>
      </c>
      <c r="D334" s="48" t="s">
        <v>930</v>
      </c>
      <c r="E334" s="48" t="s">
        <v>961</v>
      </c>
      <c r="F334" s="48" t="s">
        <v>1617</v>
      </c>
      <c r="G334" s="49" t="s">
        <v>30</v>
      </c>
      <c r="H334" s="48" t="s">
        <v>1479</v>
      </c>
      <c r="I334" s="48" t="s">
        <v>851</v>
      </c>
      <c r="J334" s="48" t="s">
        <v>1149</v>
      </c>
      <c r="K334" s="48" t="s">
        <v>1149</v>
      </c>
      <c r="L334" s="48" t="s">
        <v>851</v>
      </c>
      <c r="M334" s="48"/>
      <c r="N334" s="50" t="s">
        <v>1443</v>
      </c>
      <c r="O334" s="51" t="s">
        <v>1715</v>
      </c>
      <c r="P334" s="52" t="n">
        <v>1</v>
      </c>
      <c r="Q334" s="52"/>
      <c r="R334" s="52" t="s">
        <v>1507</v>
      </c>
      <c r="S334" s="52"/>
      <c r="T334" s="52"/>
      <c r="U334" s="53" t="n">
        <v>151950</v>
      </c>
      <c r="V334" s="54" t="n">
        <v>151950</v>
      </c>
      <c r="W334" s="55" t="n">
        <v>0.12</v>
      </c>
      <c r="X334" s="52" t="n">
        <v>0.055</v>
      </c>
      <c r="Y334" s="55" t="n">
        <v>0.12</v>
      </c>
      <c r="Z334" s="56"/>
      <c r="AA334" s="55" t="n">
        <v>0.04</v>
      </c>
      <c r="AB334" s="57" t="n">
        <v>202853.25</v>
      </c>
      <c r="AC334" s="44"/>
      <c r="AD334" s="44"/>
      <c r="AE334" s="44" t="n">
        <v>202853.25</v>
      </c>
      <c r="AF334" s="44" t="s">
        <v>69</v>
      </c>
      <c r="AG334" s="44" t="n">
        <v>0</v>
      </c>
      <c r="AH334" s="58" t="s">
        <v>30</v>
      </c>
      <c r="AI334" s="44" t="n">
        <v>0</v>
      </c>
      <c r="AJ334" s="44" t="s">
        <v>851</v>
      </c>
      <c r="AK334" s="44" t="s">
        <v>47</v>
      </c>
      <c r="AL334" s="44" t="s">
        <v>851</v>
      </c>
      <c r="AM334" s="44" t="n">
        <v>0</v>
      </c>
      <c r="AN334" s="44"/>
      <c r="AO334" s="44"/>
      <c r="AP334" s="44"/>
      <c r="AQ334" s="45" t="s">
        <v>929</v>
      </c>
      <c r="AR334" s="44" t="s">
        <v>1282</v>
      </c>
      <c r="AS334" s="44"/>
      <c r="AT334" s="44"/>
      <c r="AU334" s="44"/>
      <c r="AV334" s="44"/>
      <c r="AW334" s="44"/>
      <c r="AX334" s="44"/>
      <c r="AY334" s="44"/>
      <c r="AZ334" s="46"/>
    </row>
    <row r="335" customFormat="false" ht="18" hidden="false" customHeight="true" outlineLevel="0" collapsed="false">
      <c r="A335" s="47" t="n">
        <v>102098</v>
      </c>
      <c r="B335" s="48" t="s">
        <v>1007</v>
      </c>
      <c r="C335" s="47" t="n">
        <v>102098</v>
      </c>
      <c r="D335" s="48" t="s">
        <v>693</v>
      </c>
      <c r="E335" s="48" t="s">
        <v>1000</v>
      </c>
      <c r="F335" s="48" t="s">
        <v>1730</v>
      </c>
      <c r="G335" s="49" t="s">
        <v>1531</v>
      </c>
      <c r="H335" s="48" t="s">
        <v>1151</v>
      </c>
      <c r="I335" s="48" t="s">
        <v>1532</v>
      </c>
      <c r="J335" s="48" t="s">
        <v>31</v>
      </c>
      <c r="K335" s="48" t="s">
        <v>1151</v>
      </c>
      <c r="L335" s="48" t="s">
        <v>981</v>
      </c>
      <c r="M335" s="48"/>
      <c r="N335" s="50" t="s">
        <v>1443</v>
      </c>
      <c r="O335" s="51" t="s">
        <v>1715</v>
      </c>
      <c r="P335" s="52" t="n">
        <v>1</v>
      </c>
      <c r="Q335" s="51"/>
      <c r="R335" s="52" t="s">
        <v>1519</v>
      </c>
      <c r="S335" s="52"/>
      <c r="T335" s="52"/>
      <c r="U335" s="53" t="n">
        <v>166560</v>
      </c>
      <c r="V335" s="54" t="n">
        <v>166560</v>
      </c>
      <c r="W335" s="55" t="n">
        <v>0.12</v>
      </c>
      <c r="X335" s="52" t="n">
        <v>0.055</v>
      </c>
      <c r="Y335" s="55" t="n">
        <v>0.12</v>
      </c>
      <c r="Z335" s="56"/>
      <c r="AA335" s="55" t="n">
        <v>0.04</v>
      </c>
      <c r="AB335" s="57" t="n">
        <v>222357.6</v>
      </c>
      <c r="AC335" s="44"/>
      <c r="AD335" s="44"/>
      <c r="AE335" s="44" t="n">
        <v>222357.6</v>
      </c>
      <c r="AF335" s="44" t="s">
        <v>53</v>
      </c>
      <c r="AG335" s="44" t="n">
        <v>0</v>
      </c>
      <c r="AH335" s="58" t="s">
        <v>31</v>
      </c>
      <c r="AI335" s="44" t="n">
        <v>0</v>
      </c>
      <c r="AJ335" s="44" t="s">
        <v>981</v>
      </c>
      <c r="AK335" s="44" t="s">
        <v>47</v>
      </c>
      <c r="AL335" s="44" t="s">
        <v>981</v>
      </c>
      <c r="AM335" s="44" t="n">
        <v>0</v>
      </c>
      <c r="AN335" s="44"/>
      <c r="AO335" s="44"/>
      <c r="AP335" s="44"/>
      <c r="AQ335" s="45" t="s">
        <v>1006</v>
      </c>
      <c r="AR335" s="44" t="s">
        <v>1282</v>
      </c>
      <c r="AS335" s="44"/>
      <c r="AT335" s="44"/>
      <c r="AU335" s="44"/>
      <c r="AV335" s="44"/>
      <c r="AW335" s="44"/>
      <c r="AX335" s="44"/>
      <c r="AY335" s="44"/>
      <c r="AZ335" s="46"/>
    </row>
    <row r="336" customFormat="false" ht="18" hidden="false" customHeight="true" outlineLevel="0" collapsed="false">
      <c r="A336" s="47" t="s">
        <v>1507</v>
      </c>
      <c r="B336" s="48" t="s">
        <v>1009</v>
      </c>
      <c r="C336" s="47" t="s">
        <v>1507</v>
      </c>
      <c r="D336" s="48" t="s">
        <v>1010</v>
      </c>
      <c r="E336" s="48" t="s">
        <v>1000</v>
      </c>
      <c r="F336" s="48" t="s">
        <v>1730</v>
      </c>
      <c r="G336" s="49" t="s">
        <v>1531</v>
      </c>
      <c r="H336" s="48" t="s">
        <v>1151</v>
      </c>
      <c r="I336" s="48" t="s">
        <v>1532</v>
      </c>
      <c r="J336" s="48" t="s">
        <v>31</v>
      </c>
      <c r="K336" s="48" t="s">
        <v>1151</v>
      </c>
      <c r="L336" s="48" t="s">
        <v>981</v>
      </c>
      <c r="M336" s="48"/>
      <c r="N336" s="50" t="s">
        <v>1443</v>
      </c>
      <c r="O336" s="51" t="s">
        <v>1715</v>
      </c>
      <c r="P336" s="52" t="n">
        <v>1</v>
      </c>
      <c r="Q336" s="52"/>
      <c r="R336" s="52" t="s">
        <v>1513</v>
      </c>
      <c r="S336" s="52"/>
      <c r="T336" s="52"/>
      <c r="U336" s="53" t="n">
        <v>151950</v>
      </c>
      <c r="V336" s="54" t="n">
        <v>151950</v>
      </c>
      <c r="W336" s="55" t="n">
        <v>0.12</v>
      </c>
      <c r="X336" s="52" t="n">
        <v>0.055</v>
      </c>
      <c r="Y336" s="55" t="n">
        <v>0.12</v>
      </c>
      <c r="Z336" s="56"/>
      <c r="AA336" s="55" t="n">
        <v>0.04</v>
      </c>
      <c r="AB336" s="57" t="n">
        <v>202853.25</v>
      </c>
      <c r="AC336" s="44"/>
      <c r="AD336" s="44"/>
      <c r="AE336" s="44" t="n">
        <v>202853.25</v>
      </c>
      <c r="AF336" s="44" t="s">
        <v>69</v>
      </c>
      <c r="AG336" s="44" t="n">
        <v>0</v>
      </c>
      <c r="AH336" s="58" t="s">
        <v>31</v>
      </c>
      <c r="AI336" s="44" t="n">
        <v>0</v>
      </c>
      <c r="AJ336" s="44" t="s">
        <v>981</v>
      </c>
      <c r="AK336" s="44" t="s">
        <v>47</v>
      </c>
      <c r="AL336" s="44" t="s">
        <v>981</v>
      </c>
      <c r="AM336" s="44" t="n">
        <v>0</v>
      </c>
      <c r="AN336" s="44"/>
      <c r="AO336" s="44"/>
      <c r="AP336" s="44"/>
      <c r="AQ336" s="45" t="s">
        <v>1008</v>
      </c>
      <c r="AR336" s="44" t="s">
        <v>1282</v>
      </c>
      <c r="AS336" s="44"/>
      <c r="AT336" s="44"/>
      <c r="AU336" s="44"/>
      <c r="AV336" s="44"/>
      <c r="AW336" s="44"/>
      <c r="AX336" s="44"/>
      <c r="AY336" s="44"/>
      <c r="AZ336" s="46"/>
    </row>
    <row r="337" customFormat="false" ht="18" hidden="false" customHeight="true" outlineLevel="0" collapsed="false">
      <c r="A337" s="47" t="n">
        <v>106026</v>
      </c>
      <c r="B337" s="48" t="s">
        <v>1012</v>
      </c>
      <c r="C337" s="47" t="n">
        <v>106026</v>
      </c>
      <c r="D337" s="48" t="s">
        <v>693</v>
      </c>
      <c r="E337" s="48" t="s">
        <v>1000</v>
      </c>
      <c r="F337" s="48" t="s">
        <v>1730</v>
      </c>
      <c r="G337" s="49" t="s">
        <v>1531</v>
      </c>
      <c r="H337" s="48" t="s">
        <v>1151</v>
      </c>
      <c r="I337" s="48" t="s">
        <v>1532</v>
      </c>
      <c r="J337" s="48" t="s">
        <v>31</v>
      </c>
      <c r="K337" s="48" t="s">
        <v>1151</v>
      </c>
      <c r="L337" s="48" t="s">
        <v>981</v>
      </c>
      <c r="M337" s="48"/>
      <c r="N337" s="50" t="s">
        <v>1443</v>
      </c>
      <c r="O337" s="51" t="s">
        <v>1715</v>
      </c>
      <c r="P337" s="52" t="n">
        <v>1</v>
      </c>
      <c r="Q337" s="51"/>
      <c r="R337" s="52" t="s">
        <v>1519</v>
      </c>
      <c r="S337" s="52"/>
      <c r="T337" s="52"/>
      <c r="U337" s="53" t="n">
        <v>134550</v>
      </c>
      <c r="V337" s="54" t="n">
        <v>134550</v>
      </c>
      <c r="W337" s="55" t="n">
        <v>0.12</v>
      </c>
      <c r="X337" s="52" t="n">
        <v>0.055</v>
      </c>
      <c r="Y337" s="55" t="n">
        <v>0.12</v>
      </c>
      <c r="Z337" s="56"/>
      <c r="AA337" s="55" t="n">
        <v>0.04</v>
      </c>
      <c r="AB337" s="57" t="n">
        <v>179624.25</v>
      </c>
      <c r="AC337" s="44"/>
      <c r="AD337" s="44"/>
      <c r="AE337" s="44" t="n">
        <v>179624.25</v>
      </c>
      <c r="AF337" s="44" t="s">
        <v>53</v>
      </c>
      <c r="AG337" s="44" t="n">
        <v>0</v>
      </c>
      <c r="AH337" s="58" t="s">
        <v>31</v>
      </c>
      <c r="AI337" s="44" t="n">
        <v>0</v>
      </c>
      <c r="AJ337" s="44" t="s">
        <v>981</v>
      </c>
      <c r="AK337" s="44" t="s">
        <v>47</v>
      </c>
      <c r="AL337" s="44" t="s">
        <v>981</v>
      </c>
      <c r="AM337" s="44" t="n">
        <v>0</v>
      </c>
      <c r="AN337" s="44"/>
      <c r="AO337" s="44"/>
      <c r="AP337" s="44"/>
      <c r="AQ337" s="45" t="s">
        <v>1011</v>
      </c>
      <c r="AR337" s="44" t="s">
        <v>1282</v>
      </c>
      <c r="AS337" s="44"/>
      <c r="AT337" s="44"/>
      <c r="AU337" s="44"/>
      <c r="AV337" s="44"/>
      <c r="AW337" s="44"/>
      <c r="AX337" s="44"/>
      <c r="AY337" s="44"/>
      <c r="AZ337" s="46"/>
    </row>
    <row r="338" customFormat="false" ht="18" hidden="false" customHeight="true" outlineLevel="0" collapsed="false">
      <c r="A338" s="47" t="n">
        <v>107588</v>
      </c>
      <c r="B338" s="48" t="s">
        <v>740</v>
      </c>
      <c r="C338" s="47" t="n">
        <v>107588</v>
      </c>
      <c r="D338" s="48" t="s">
        <v>174</v>
      </c>
      <c r="E338" s="48" t="s">
        <v>763</v>
      </c>
      <c r="F338" s="48" t="s">
        <v>1675</v>
      </c>
      <c r="G338" s="49" t="s">
        <v>1461</v>
      </c>
      <c r="H338" s="48" t="s">
        <v>1161</v>
      </c>
      <c r="I338" s="48" t="s">
        <v>1581</v>
      </c>
      <c r="J338" s="48" t="s">
        <v>24</v>
      </c>
      <c r="K338" s="48" t="s">
        <v>1155</v>
      </c>
      <c r="L338" s="48" t="s">
        <v>696</v>
      </c>
      <c r="M338" s="48"/>
      <c r="N338" s="50" t="s">
        <v>1443</v>
      </c>
      <c r="O338" s="51" t="s">
        <v>1715</v>
      </c>
      <c r="P338" s="52" t="n">
        <v>1</v>
      </c>
      <c r="Q338" s="52"/>
      <c r="R338" s="52" t="s">
        <v>1519</v>
      </c>
      <c r="S338" s="52"/>
      <c r="T338" s="52"/>
      <c r="U338" s="53" t="n">
        <v>166140</v>
      </c>
      <c r="V338" s="54" t="n">
        <v>166140</v>
      </c>
      <c r="W338" s="55" t="n">
        <v>0.12</v>
      </c>
      <c r="X338" s="52" t="n">
        <v>0.055</v>
      </c>
      <c r="Y338" s="55" t="n">
        <v>0.12</v>
      </c>
      <c r="Z338" s="56"/>
      <c r="AA338" s="55" t="n">
        <v>0.04</v>
      </c>
      <c r="AB338" s="57" t="n">
        <v>221796.9</v>
      </c>
      <c r="AC338" s="44"/>
      <c r="AD338" s="44"/>
      <c r="AE338" s="44" t="n">
        <v>221796.9</v>
      </c>
      <c r="AF338" s="44" t="s">
        <v>53</v>
      </c>
      <c r="AG338" s="44" t="n">
        <v>0</v>
      </c>
      <c r="AH338" s="58" t="s">
        <v>24</v>
      </c>
      <c r="AI338" s="44" t="n">
        <v>0</v>
      </c>
      <c r="AJ338" s="44" t="s">
        <v>696</v>
      </c>
      <c r="AK338" s="44" t="s">
        <v>47</v>
      </c>
      <c r="AL338" s="44" t="s">
        <v>696</v>
      </c>
      <c r="AM338" s="44" t="n">
        <v>0</v>
      </c>
      <c r="AN338" s="44"/>
      <c r="AO338" s="44"/>
      <c r="AP338" s="44"/>
      <c r="AQ338" s="45" t="s">
        <v>739</v>
      </c>
      <c r="AR338" s="44" t="s">
        <v>1282</v>
      </c>
      <c r="AS338" s="44"/>
      <c r="AT338" s="44"/>
      <c r="AU338" s="44"/>
      <c r="AV338" s="44"/>
      <c r="AW338" s="44"/>
      <c r="AX338" s="44"/>
      <c r="AY338" s="44"/>
      <c r="AZ338" s="46"/>
    </row>
    <row r="339" customFormat="false" ht="18" hidden="false" customHeight="true" outlineLevel="0" collapsed="false">
      <c r="A339" s="47" t="n">
        <v>97884</v>
      </c>
      <c r="B339" s="48" t="s">
        <v>722</v>
      </c>
      <c r="C339" s="47" t="n">
        <v>97884</v>
      </c>
      <c r="D339" s="48" t="s">
        <v>174</v>
      </c>
      <c r="E339" s="48" t="s">
        <v>763</v>
      </c>
      <c r="F339" s="48" t="s">
        <v>1675</v>
      </c>
      <c r="G339" s="49" t="s">
        <v>1461</v>
      </c>
      <c r="H339" s="48" t="s">
        <v>1161</v>
      </c>
      <c r="I339" s="48" t="s">
        <v>1581</v>
      </c>
      <c r="J339" s="48" t="s">
        <v>24</v>
      </c>
      <c r="K339" s="48" t="s">
        <v>1153</v>
      </c>
      <c r="L339" s="48" t="s">
        <v>699</v>
      </c>
      <c r="M339" s="48"/>
      <c r="N339" s="50" t="s">
        <v>1443</v>
      </c>
      <c r="O339" s="51" t="s">
        <v>1715</v>
      </c>
      <c r="P339" s="52" t="n">
        <v>1</v>
      </c>
      <c r="Q339" s="51"/>
      <c r="R339" s="52" t="s">
        <v>1519</v>
      </c>
      <c r="S339" s="52"/>
      <c r="T339" s="52"/>
      <c r="U339" s="53" t="n">
        <v>174780</v>
      </c>
      <c r="V339" s="54" t="n">
        <v>174780</v>
      </c>
      <c r="W339" s="55" t="n">
        <v>0.12</v>
      </c>
      <c r="X339" s="52" t="n">
        <v>0.055</v>
      </c>
      <c r="Y339" s="55" t="n">
        <v>0.12</v>
      </c>
      <c r="Z339" s="56"/>
      <c r="AA339" s="55" t="n">
        <v>0.04</v>
      </c>
      <c r="AB339" s="57" t="n">
        <v>233331.3</v>
      </c>
      <c r="AC339" s="44"/>
      <c r="AD339" s="44"/>
      <c r="AE339" s="44" t="n">
        <v>233331.3</v>
      </c>
      <c r="AF339" s="44" t="s">
        <v>53</v>
      </c>
      <c r="AG339" s="44" t="n">
        <v>0</v>
      </c>
      <c r="AH339" s="58" t="s">
        <v>24</v>
      </c>
      <c r="AI339" s="44" t="n">
        <v>0</v>
      </c>
      <c r="AJ339" s="44" t="s">
        <v>699</v>
      </c>
      <c r="AK339" s="44" t="s">
        <v>47</v>
      </c>
      <c r="AL339" s="44" t="s">
        <v>699</v>
      </c>
      <c r="AM339" s="44" t="n">
        <v>0</v>
      </c>
      <c r="AN339" s="44"/>
      <c r="AO339" s="44"/>
      <c r="AP339" s="44"/>
      <c r="AQ339" s="45" t="s">
        <v>721</v>
      </c>
      <c r="AR339" s="44" t="s">
        <v>1282</v>
      </c>
      <c r="AS339" s="44"/>
      <c r="AT339" s="44"/>
      <c r="AU339" s="44"/>
      <c r="AV339" s="44"/>
      <c r="AW339" s="44"/>
      <c r="AX339" s="44"/>
      <c r="AY339" s="44"/>
      <c r="AZ339" s="46"/>
    </row>
    <row r="340" customFormat="false" ht="18" hidden="false" customHeight="true" outlineLevel="0" collapsed="false">
      <c r="A340" s="47" t="s">
        <v>1507</v>
      </c>
      <c r="B340" s="48" t="s">
        <v>69</v>
      </c>
      <c r="C340" s="47" t="s">
        <v>1507</v>
      </c>
      <c r="D340" s="48" t="s">
        <v>77</v>
      </c>
      <c r="E340" s="48" t="s">
        <v>763</v>
      </c>
      <c r="F340" s="48" t="s">
        <v>1675</v>
      </c>
      <c r="G340" s="49" t="s">
        <v>1461</v>
      </c>
      <c r="H340" s="48" t="s">
        <v>1161</v>
      </c>
      <c r="I340" s="48" t="s">
        <v>1581</v>
      </c>
      <c r="J340" s="48" t="s">
        <v>24</v>
      </c>
      <c r="K340" s="48" t="s">
        <v>1153</v>
      </c>
      <c r="L340" s="48" t="s">
        <v>699</v>
      </c>
      <c r="M340" s="48"/>
      <c r="N340" s="50" t="s">
        <v>1443</v>
      </c>
      <c r="O340" s="51" t="s">
        <v>1715</v>
      </c>
      <c r="P340" s="52" t="n">
        <v>1</v>
      </c>
      <c r="Q340" s="52"/>
      <c r="R340" s="52" t="s">
        <v>1507</v>
      </c>
      <c r="S340" s="52"/>
      <c r="T340" s="52"/>
      <c r="U340" s="53" t="n">
        <v>151950</v>
      </c>
      <c r="V340" s="54" t="n">
        <v>151950</v>
      </c>
      <c r="W340" s="55" t="n">
        <v>0.12</v>
      </c>
      <c r="X340" s="52" t="n">
        <v>0.055</v>
      </c>
      <c r="Y340" s="55" t="n">
        <v>0.12</v>
      </c>
      <c r="Z340" s="56"/>
      <c r="AA340" s="55" t="n">
        <v>0.04</v>
      </c>
      <c r="AB340" s="57" t="n">
        <v>202853.25</v>
      </c>
      <c r="AC340" s="44"/>
      <c r="AD340" s="44"/>
      <c r="AE340" s="44" t="n">
        <v>202853.25</v>
      </c>
      <c r="AF340" s="44" t="s">
        <v>69</v>
      </c>
      <c r="AG340" s="44" t="n">
        <v>0</v>
      </c>
      <c r="AH340" s="58" t="s">
        <v>24</v>
      </c>
      <c r="AI340" s="44" t="n">
        <v>0</v>
      </c>
      <c r="AJ340" s="44" t="s">
        <v>699</v>
      </c>
      <c r="AK340" s="44" t="s">
        <v>47</v>
      </c>
      <c r="AL340" s="44" t="s">
        <v>699</v>
      </c>
      <c r="AM340" s="44" t="n">
        <v>0</v>
      </c>
      <c r="AN340" s="44"/>
      <c r="AO340" s="44"/>
      <c r="AP340" s="44"/>
      <c r="AQ340" s="45" t="s">
        <v>723</v>
      </c>
      <c r="AR340" s="44" t="s">
        <v>1282</v>
      </c>
      <c r="AS340" s="44"/>
      <c r="AT340" s="44"/>
      <c r="AU340" s="44"/>
      <c r="AV340" s="44"/>
      <c r="AW340" s="44"/>
      <c r="AX340" s="44"/>
      <c r="AY340" s="44"/>
      <c r="AZ340" s="46"/>
    </row>
    <row r="341" customFormat="false" ht="18" hidden="false" customHeight="true" outlineLevel="0" collapsed="false">
      <c r="A341" s="47" t="s">
        <v>1507</v>
      </c>
      <c r="B341" s="48" t="s">
        <v>822</v>
      </c>
      <c r="C341" s="47" t="s">
        <v>1507</v>
      </c>
      <c r="D341" s="48" t="s">
        <v>89</v>
      </c>
      <c r="E341" s="48" t="s">
        <v>976</v>
      </c>
      <c r="F341" s="48" t="s">
        <v>1731</v>
      </c>
      <c r="G341" s="49" t="s">
        <v>1531</v>
      </c>
      <c r="H341" s="48" t="s">
        <v>1151</v>
      </c>
      <c r="I341" s="48" t="s">
        <v>1532</v>
      </c>
      <c r="J341" s="48" t="s">
        <v>31</v>
      </c>
      <c r="K341" s="48" t="s">
        <v>1151</v>
      </c>
      <c r="L341" s="48" t="s">
        <v>1597</v>
      </c>
      <c r="M341" s="48"/>
      <c r="N341" s="50" t="s">
        <v>1443</v>
      </c>
      <c r="O341" s="51" t="s">
        <v>1715</v>
      </c>
      <c r="P341" s="52" t="n">
        <v>1</v>
      </c>
      <c r="Q341" s="52"/>
      <c r="R341" s="52" t="s">
        <v>1507</v>
      </c>
      <c r="S341" s="52"/>
      <c r="T341" s="52"/>
      <c r="U341" s="53" t="n">
        <v>151950</v>
      </c>
      <c r="V341" s="54" t="n">
        <v>151950</v>
      </c>
      <c r="W341" s="55" t="n">
        <v>0.12</v>
      </c>
      <c r="X341" s="52" t="n">
        <v>0.055</v>
      </c>
      <c r="Y341" s="55" t="n">
        <v>0.12</v>
      </c>
      <c r="Z341" s="56"/>
      <c r="AA341" s="55" t="n">
        <v>0.04</v>
      </c>
      <c r="AB341" s="57" t="n">
        <v>202853.25</v>
      </c>
      <c r="AC341" s="44"/>
      <c r="AD341" s="44"/>
      <c r="AE341" s="44" t="n">
        <v>202853.25</v>
      </c>
      <c r="AF341" s="44" t="s">
        <v>69</v>
      </c>
      <c r="AG341" s="44" t="n">
        <v>0</v>
      </c>
      <c r="AH341" s="58" t="s">
        <v>31</v>
      </c>
      <c r="AI341" s="44" t="n">
        <v>0</v>
      </c>
      <c r="AJ341" s="44" t="s">
        <v>970</v>
      </c>
      <c r="AK341" s="44" t="s">
        <v>47</v>
      </c>
      <c r="AL341" s="44" t="s">
        <v>970</v>
      </c>
      <c r="AM341" s="44" t="n">
        <v>0</v>
      </c>
      <c r="AN341" s="44"/>
      <c r="AO341" s="44"/>
      <c r="AP341" s="44"/>
      <c r="AQ341" s="45" t="s">
        <v>987</v>
      </c>
      <c r="AR341" s="44" t="s">
        <v>1282</v>
      </c>
      <c r="AS341" s="44"/>
      <c r="AT341" s="44"/>
      <c r="AU341" s="44"/>
      <c r="AV341" s="44"/>
      <c r="AW341" s="44"/>
      <c r="AX341" s="44"/>
      <c r="AY341" s="44"/>
      <c r="AZ341" s="46"/>
    </row>
    <row r="342" customFormat="false" ht="18" hidden="false" customHeight="true" outlineLevel="0" collapsed="false">
      <c r="A342" s="47" t="s">
        <v>1507</v>
      </c>
      <c r="B342" s="48" t="s">
        <v>69</v>
      </c>
      <c r="C342" s="47" t="s">
        <v>1507</v>
      </c>
      <c r="D342" s="48" t="s">
        <v>1732</v>
      </c>
      <c r="E342" s="48" t="s">
        <v>1632</v>
      </c>
      <c r="F342" s="48" t="s">
        <v>1733</v>
      </c>
      <c r="G342" s="49" t="s">
        <v>1511</v>
      </c>
      <c r="H342" s="48" t="s">
        <v>1253</v>
      </c>
      <c r="I342" s="48" t="s">
        <v>1159</v>
      </c>
      <c r="J342" s="48" t="s">
        <v>1159</v>
      </c>
      <c r="K342" s="48" t="s">
        <v>1159</v>
      </c>
      <c r="L342" s="48" t="s">
        <v>1159</v>
      </c>
      <c r="M342" s="48"/>
      <c r="N342" s="50" t="s">
        <v>1443</v>
      </c>
      <c r="O342" s="51" t="s">
        <v>1722</v>
      </c>
      <c r="P342" s="52" t="n">
        <v>1</v>
      </c>
      <c r="Q342" s="52"/>
      <c r="R342" s="52" t="s">
        <v>1507</v>
      </c>
      <c r="S342" s="52"/>
      <c r="T342" s="52"/>
      <c r="U342" s="53" t="n">
        <v>151950</v>
      </c>
      <c r="V342" s="54" t="n">
        <v>151950</v>
      </c>
      <c r="W342" s="55" t="n">
        <v>0.12</v>
      </c>
      <c r="X342" s="52" t="n">
        <v>0.055</v>
      </c>
      <c r="Y342" s="55" t="n">
        <v>0.12</v>
      </c>
      <c r="Z342" s="56"/>
      <c r="AA342" s="55" t="n">
        <v>0.04</v>
      </c>
      <c r="AB342" s="57" t="n">
        <v>202853.25</v>
      </c>
      <c r="AC342" s="44"/>
      <c r="AD342" s="44"/>
      <c r="AE342" s="44" t="n">
        <v>202853.25</v>
      </c>
      <c r="AF342" s="44" t="s">
        <v>69</v>
      </c>
      <c r="AG342" s="44" t="n">
        <v>0</v>
      </c>
      <c r="AH342" s="58" t="s">
        <v>1514</v>
      </c>
      <c r="AI342" s="44" t="n">
        <v>0</v>
      </c>
      <c r="AJ342" s="44" t="s">
        <v>1253</v>
      </c>
      <c r="AK342" s="44" t="s">
        <v>47</v>
      </c>
      <c r="AL342" s="44" t="s">
        <v>1253</v>
      </c>
      <c r="AM342" s="44" t="n">
        <v>0</v>
      </c>
      <c r="AN342" s="44"/>
      <c r="AO342" s="44"/>
      <c r="AP342" s="44"/>
      <c r="AQ342" s="45" t="s">
        <v>1378</v>
      </c>
      <c r="AR342" s="44" t="s">
        <v>1282</v>
      </c>
      <c r="AS342" s="44"/>
      <c r="AT342" s="44"/>
      <c r="AU342" s="44"/>
      <c r="AV342" s="44"/>
      <c r="AW342" s="44"/>
      <c r="AX342" s="44"/>
      <c r="AY342" s="44"/>
      <c r="AZ342" s="46"/>
    </row>
    <row r="343" customFormat="false" ht="18" hidden="false" customHeight="true" outlineLevel="0" collapsed="false">
      <c r="A343" s="47" t="n">
        <v>116032</v>
      </c>
      <c r="B343" s="48" t="s">
        <v>1041</v>
      </c>
      <c r="C343" s="47" t="n">
        <v>116032</v>
      </c>
      <c r="D343" s="48" t="s">
        <v>1042</v>
      </c>
      <c r="E343" s="48" t="s">
        <v>1034</v>
      </c>
      <c r="F343" s="48" t="s">
        <v>1734</v>
      </c>
      <c r="G343" s="49" t="s">
        <v>1531</v>
      </c>
      <c r="H343" s="48" t="s">
        <v>1151</v>
      </c>
      <c r="I343" s="48" t="s">
        <v>1532</v>
      </c>
      <c r="J343" s="48" t="s">
        <v>31</v>
      </c>
      <c r="K343" s="48" t="s">
        <v>36</v>
      </c>
      <c r="L343" s="48" t="s">
        <v>981</v>
      </c>
      <c r="M343" s="48"/>
      <c r="N343" s="50" t="s">
        <v>1443</v>
      </c>
      <c r="O343" s="51" t="s">
        <v>1715</v>
      </c>
      <c r="P343" s="52" t="n">
        <v>1</v>
      </c>
      <c r="Q343" s="52"/>
      <c r="R343" s="52" t="s">
        <v>1519</v>
      </c>
      <c r="S343" s="52"/>
      <c r="T343" s="52"/>
      <c r="U343" s="53" t="n">
        <v>180000</v>
      </c>
      <c r="V343" s="54" t="n">
        <v>180000</v>
      </c>
      <c r="W343" s="55" t="n">
        <v>0.12</v>
      </c>
      <c r="X343" s="52" t="n">
        <v>0.055</v>
      </c>
      <c r="Y343" s="55" t="n">
        <v>0.12</v>
      </c>
      <c r="Z343" s="56"/>
      <c r="AA343" s="55" t="n">
        <v>0.04</v>
      </c>
      <c r="AB343" s="57" t="n">
        <v>240300</v>
      </c>
      <c r="AC343" s="44"/>
      <c r="AD343" s="44"/>
      <c r="AE343" s="44" t="n">
        <v>240300</v>
      </c>
      <c r="AF343" s="44" t="s">
        <v>53</v>
      </c>
      <c r="AG343" s="44" t="n">
        <v>0</v>
      </c>
      <c r="AH343" s="58" t="s">
        <v>31</v>
      </c>
      <c r="AI343" s="44" t="n">
        <v>0</v>
      </c>
      <c r="AJ343" s="44" t="s">
        <v>981</v>
      </c>
      <c r="AK343" s="44" t="s">
        <v>47</v>
      </c>
      <c r="AL343" s="44" t="s">
        <v>1032</v>
      </c>
      <c r="AM343" s="44" t="n">
        <v>1</v>
      </c>
      <c r="AN343" s="44"/>
      <c r="AO343" s="44"/>
      <c r="AP343" s="44"/>
      <c r="AQ343" s="45" t="s">
        <v>1040</v>
      </c>
      <c r="AR343" s="44" t="s">
        <v>1282</v>
      </c>
      <c r="AS343" s="44"/>
      <c r="AT343" s="44"/>
      <c r="AU343" s="44"/>
      <c r="AV343" s="44"/>
      <c r="AW343" s="44"/>
      <c r="AX343" s="44"/>
      <c r="AY343" s="44"/>
      <c r="AZ343" s="46"/>
    </row>
    <row r="344" customFormat="false" ht="18" hidden="false" customHeight="true" outlineLevel="0" collapsed="false">
      <c r="A344" s="47" t="n">
        <v>83092</v>
      </c>
      <c r="B344" s="48" t="s">
        <v>1044</v>
      </c>
      <c r="C344" s="47" t="n">
        <v>83092</v>
      </c>
      <c r="D344" s="48" t="s">
        <v>1045</v>
      </c>
      <c r="E344" s="48" t="s">
        <v>1034</v>
      </c>
      <c r="F344" s="48" t="s">
        <v>1734</v>
      </c>
      <c r="G344" s="49" t="s">
        <v>1531</v>
      </c>
      <c r="H344" s="48" t="s">
        <v>1151</v>
      </c>
      <c r="I344" s="48" t="s">
        <v>1532</v>
      </c>
      <c r="J344" s="48" t="s">
        <v>31</v>
      </c>
      <c r="K344" s="48" t="s">
        <v>36</v>
      </c>
      <c r="L344" s="48" t="s">
        <v>981</v>
      </c>
      <c r="M344" s="48"/>
      <c r="N344" s="50" t="s">
        <v>1443</v>
      </c>
      <c r="O344" s="51" t="s">
        <v>1715</v>
      </c>
      <c r="P344" s="52" t="n">
        <v>1</v>
      </c>
      <c r="Q344" s="51"/>
      <c r="R344" s="52" t="s">
        <v>1519</v>
      </c>
      <c r="S344" s="52"/>
      <c r="T344" s="52"/>
      <c r="U344" s="53" t="n">
        <v>178100</v>
      </c>
      <c r="V344" s="54" t="n">
        <v>178100</v>
      </c>
      <c r="W344" s="55" t="n">
        <v>0.12</v>
      </c>
      <c r="X344" s="52" t="n">
        <v>0.055</v>
      </c>
      <c r="Y344" s="55" t="n">
        <v>0.12</v>
      </c>
      <c r="Z344" s="56"/>
      <c r="AA344" s="55" t="n">
        <v>0.04</v>
      </c>
      <c r="AB344" s="57" t="n">
        <v>237763.5</v>
      </c>
      <c r="AC344" s="44"/>
      <c r="AD344" s="44"/>
      <c r="AE344" s="44" t="n">
        <v>237763.5</v>
      </c>
      <c r="AF344" s="44" t="s">
        <v>53</v>
      </c>
      <c r="AG344" s="44" t="n">
        <v>0</v>
      </c>
      <c r="AH344" s="58" t="s">
        <v>31</v>
      </c>
      <c r="AI344" s="44" t="n">
        <v>0</v>
      </c>
      <c r="AJ344" s="44" t="s">
        <v>981</v>
      </c>
      <c r="AK344" s="44" t="s">
        <v>47</v>
      </c>
      <c r="AL344" s="44" t="s">
        <v>1032</v>
      </c>
      <c r="AM344" s="44" t="n">
        <v>1</v>
      </c>
      <c r="AN344" s="44"/>
      <c r="AO344" s="44"/>
      <c r="AP344" s="44"/>
      <c r="AQ344" s="45" t="s">
        <v>1043</v>
      </c>
      <c r="AR344" s="44" t="s">
        <v>1282</v>
      </c>
      <c r="AS344" s="44"/>
      <c r="AT344" s="44"/>
      <c r="AU344" s="44"/>
      <c r="AV344" s="44"/>
      <c r="AW344" s="44"/>
      <c r="AX344" s="44"/>
      <c r="AY344" s="44"/>
      <c r="AZ344" s="46"/>
    </row>
    <row r="345" customFormat="false" ht="18" hidden="false" customHeight="true" outlineLevel="0" collapsed="false">
      <c r="A345" s="47" t="n">
        <v>80549</v>
      </c>
      <c r="B345" s="48" t="s">
        <v>1047</v>
      </c>
      <c r="C345" s="47" t="n">
        <v>80549</v>
      </c>
      <c r="D345" s="48" t="s">
        <v>1045</v>
      </c>
      <c r="E345" s="48" t="s">
        <v>1034</v>
      </c>
      <c r="F345" s="48" t="s">
        <v>1734</v>
      </c>
      <c r="G345" s="49" t="s">
        <v>1531</v>
      </c>
      <c r="H345" s="48" t="s">
        <v>1151</v>
      </c>
      <c r="I345" s="48" t="s">
        <v>1532</v>
      </c>
      <c r="J345" s="48" t="s">
        <v>31</v>
      </c>
      <c r="K345" s="48" t="s">
        <v>36</v>
      </c>
      <c r="L345" s="48" t="s">
        <v>981</v>
      </c>
      <c r="M345" s="48"/>
      <c r="N345" s="50" t="s">
        <v>1443</v>
      </c>
      <c r="O345" s="51" t="s">
        <v>1715</v>
      </c>
      <c r="P345" s="52" t="n">
        <v>1</v>
      </c>
      <c r="Q345" s="51"/>
      <c r="R345" s="52" t="s">
        <v>1519</v>
      </c>
      <c r="S345" s="52"/>
      <c r="T345" s="52"/>
      <c r="U345" s="53" t="n">
        <v>182000</v>
      </c>
      <c r="V345" s="54" t="n">
        <v>182000</v>
      </c>
      <c r="W345" s="55" t="n">
        <v>0.12</v>
      </c>
      <c r="X345" s="52" t="n">
        <v>0.055</v>
      </c>
      <c r="Y345" s="55" t="n">
        <v>0.12</v>
      </c>
      <c r="Z345" s="56"/>
      <c r="AA345" s="55" t="n">
        <v>0.04</v>
      </c>
      <c r="AB345" s="57" t="n">
        <v>242970</v>
      </c>
      <c r="AC345" s="44"/>
      <c r="AD345" s="44"/>
      <c r="AE345" s="44" t="n">
        <v>242970</v>
      </c>
      <c r="AF345" s="44" t="s">
        <v>53</v>
      </c>
      <c r="AG345" s="44" t="n">
        <v>0</v>
      </c>
      <c r="AH345" s="58" t="s">
        <v>31</v>
      </c>
      <c r="AI345" s="44" t="n">
        <v>0</v>
      </c>
      <c r="AJ345" s="44" t="s">
        <v>981</v>
      </c>
      <c r="AK345" s="44" t="s">
        <v>47</v>
      </c>
      <c r="AL345" s="44" t="s">
        <v>1032</v>
      </c>
      <c r="AM345" s="44" t="n">
        <v>1</v>
      </c>
      <c r="AN345" s="44"/>
      <c r="AO345" s="44"/>
      <c r="AP345" s="44"/>
      <c r="AQ345" s="45" t="s">
        <v>1046</v>
      </c>
      <c r="AR345" s="44" t="s">
        <v>1282</v>
      </c>
      <c r="AS345" s="44"/>
      <c r="AT345" s="44"/>
      <c r="AU345" s="44"/>
      <c r="AV345" s="44"/>
      <c r="AW345" s="44"/>
      <c r="AX345" s="44"/>
      <c r="AY345" s="44"/>
      <c r="AZ345" s="46"/>
    </row>
    <row r="346" customFormat="false" ht="18" hidden="false" customHeight="true" outlineLevel="0" collapsed="false">
      <c r="A346" s="47" t="n">
        <v>116845</v>
      </c>
      <c r="B346" s="48" t="s">
        <v>1049</v>
      </c>
      <c r="C346" s="47" t="n">
        <v>116845</v>
      </c>
      <c r="D346" s="48" t="s">
        <v>1050</v>
      </c>
      <c r="E346" s="48" t="s">
        <v>1034</v>
      </c>
      <c r="F346" s="48" t="s">
        <v>1734</v>
      </c>
      <c r="G346" s="49" t="s">
        <v>1531</v>
      </c>
      <c r="H346" s="48" t="s">
        <v>1151</v>
      </c>
      <c r="I346" s="48" t="s">
        <v>1532</v>
      </c>
      <c r="J346" s="48" t="s">
        <v>31</v>
      </c>
      <c r="K346" s="48" t="s">
        <v>36</v>
      </c>
      <c r="L346" s="48" t="s">
        <v>981</v>
      </c>
      <c r="M346" s="48"/>
      <c r="N346" s="50" t="s">
        <v>1443</v>
      </c>
      <c r="O346" s="51" t="s">
        <v>1715</v>
      </c>
      <c r="P346" s="52" t="n">
        <v>1</v>
      </c>
      <c r="Q346" s="51"/>
      <c r="R346" s="52" t="s">
        <v>1641</v>
      </c>
      <c r="S346" s="52"/>
      <c r="T346" s="52"/>
      <c r="U346" s="53" t="n">
        <v>170000</v>
      </c>
      <c r="V346" s="54" t="n">
        <v>170000</v>
      </c>
      <c r="W346" s="55" t="n">
        <v>0.12</v>
      </c>
      <c r="X346" s="52" t="n">
        <v>0.055</v>
      </c>
      <c r="Y346" s="55" t="n">
        <v>0.12</v>
      </c>
      <c r="Z346" s="56"/>
      <c r="AA346" s="55" t="n">
        <v>0.04</v>
      </c>
      <c r="AB346" s="57" t="n">
        <v>226950</v>
      </c>
      <c r="AC346" s="44"/>
      <c r="AD346" s="44"/>
      <c r="AE346" s="44" t="n">
        <v>226950</v>
      </c>
      <c r="AF346" s="44" t="s">
        <v>53</v>
      </c>
      <c r="AG346" s="44" t="n">
        <v>0</v>
      </c>
      <c r="AH346" s="58" t="s">
        <v>31</v>
      </c>
      <c r="AI346" s="44" t="n">
        <v>0</v>
      </c>
      <c r="AJ346" s="44" t="s">
        <v>981</v>
      </c>
      <c r="AK346" s="44" t="s">
        <v>47</v>
      </c>
      <c r="AL346" s="44" t="s">
        <v>1032</v>
      </c>
      <c r="AM346" s="44" t="n">
        <v>1</v>
      </c>
      <c r="AN346" s="44"/>
      <c r="AO346" s="44"/>
      <c r="AP346" s="44"/>
      <c r="AQ346" s="45" t="s">
        <v>1048</v>
      </c>
      <c r="AR346" s="44" t="s">
        <v>1282</v>
      </c>
      <c r="AS346" s="44"/>
      <c r="AT346" s="44"/>
      <c r="AU346" s="44"/>
      <c r="AV346" s="44"/>
      <c r="AW346" s="44"/>
      <c r="AX346" s="44"/>
      <c r="AY346" s="44"/>
      <c r="AZ346" s="46"/>
    </row>
    <row r="347" customFormat="false" ht="18" hidden="false" customHeight="true" outlineLevel="0" collapsed="false">
      <c r="A347" s="47" t="n">
        <v>82561</v>
      </c>
      <c r="B347" s="48" t="s">
        <v>1735</v>
      </c>
      <c r="C347" s="47" t="n">
        <v>82561</v>
      </c>
      <c r="D347" s="48" t="s">
        <v>1736</v>
      </c>
      <c r="E347" s="48" t="s">
        <v>1704</v>
      </c>
      <c r="F347" s="48" t="s">
        <v>1653</v>
      </c>
      <c r="G347" s="49" t="s">
        <v>1511</v>
      </c>
      <c r="H347" s="48" t="s">
        <v>1253</v>
      </c>
      <c r="I347" s="48" t="s">
        <v>1159</v>
      </c>
      <c r="J347" s="48" t="s">
        <v>1159</v>
      </c>
      <c r="K347" s="48" t="s">
        <v>1159</v>
      </c>
      <c r="L347" s="48" t="s">
        <v>1159</v>
      </c>
      <c r="M347" s="48"/>
      <c r="N347" s="50" t="s">
        <v>1443</v>
      </c>
      <c r="O347" s="51" t="s">
        <v>1715</v>
      </c>
      <c r="P347" s="52" t="n">
        <v>1</v>
      </c>
      <c r="Q347" s="51"/>
      <c r="R347" s="52" t="s">
        <v>1519</v>
      </c>
      <c r="S347" s="52"/>
      <c r="T347" s="52"/>
      <c r="U347" s="53" t="n">
        <v>154400</v>
      </c>
      <c r="V347" s="54" t="n">
        <v>154400</v>
      </c>
      <c r="W347" s="55" t="n">
        <v>0.12</v>
      </c>
      <c r="X347" s="52" t="n">
        <v>0.055</v>
      </c>
      <c r="Y347" s="55" t="n">
        <v>0.12</v>
      </c>
      <c r="Z347" s="56"/>
      <c r="AA347" s="55" t="n">
        <v>0.04</v>
      </c>
      <c r="AB347" s="57" t="n">
        <v>206124</v>
      </c>
      <c r="AC347" s="44"/>
      <c r="AD347" s="44"/>
      <c r="AE347" s="44" t="n">
        <v>206124</v>
      </c>
      <c r="AF347" s="44" t="s">
        <v>53</v>
      </c>
      <c r="AG347" s="44" t="n">
        <v>0</v>
      </c>
      <c r="AH347" s="58" t="s">
        <v>1514</v>
      </c>
      <c r="AI347" s="44" t="n">
        <v>0</v>
      </c>
      <c r="AJ347" s="44" t="s">
        <v>1253</v>
      </c>
      <c r="AK347" s="44" t="s">
        <v>47</v>
      </c>
      <c r="AL347" s="44" t="s">
        <v>1253</v>
      </c>
      <c r="AM347" s="44" t="n">
        <v>0</v>
      </c>
      <c r="AN347" s="44"/>
      <c r="AO347" s="44"/>
      <c r="AP347" s="44"/>
      <c r="AQ347" s="45" t="s">
        <v>1379</v>
      </c>
      <c r="AR347" s="44" t="s">
        <v>1282</v>
      </c>
      <c r="AS347" s="44"/>
      <c r="AT347" s="44"/>
      <c r="AU347" s="44"/>
      <c r="AV347" s="44"/>
      <c r="AW347" s="44"/>
      <c r="AX347" s="44"/>
      <c r="AY347" s="44"/>
      <c r="AZ347" s="46"/>
    </row>
    <row r="348" customFormat="false" ht="18" hidden="false" customHeight="true" outlineLevel="0" collapsed="false">
      <c r="A348" s="47" t="n">
        <v>115531</v>
      </c>
      <c r="B348" s="48" t="s">
        <v>1737</v>
      </c>
      <c r="C348" s="47" t="n">
        <v>115531</v>
      </c>
      <c r="D348" s="48" t="s">
        <v>1738</v>
      </c>
      <c r="E348" s="48" t="s">
        <v>1533</v>
      </c>
      <c r="F348" s="48" t="s">
        <v>1564</v>
      </c>
      <c r="G348" s="49" t="s">
        <v>1531</v>
      </c>
      <c r="H348" s="48" t="s">
        <v>1151</v>
      </c>
      <c r="I348" s="48" t="s">
        <v>1535</v>
      </c>
      <c r="J348" s="48"/>
      <c r="K348" s="48"/>
      <c r="L348" s="48"/>
      <c r="M348" s="48"/>
      <c r="N348" s="50" t="s">
        <v>1284</v>
      </c>
      <c r="O348" s="51" t="s">
        <v>1715</v>
      </c>
      <c r="P348" s="52" t="n">
        <v>1</v>
      </c>
      <c r="Q348" s="52"/>
      <c r="R348" s="52" t="s">
        <v>1519</v>
      </c>
      <c r="S348" s="52"/>
      <c r="T348" s="52"/>
      <c r="U348" s="53" t="n">
        <v>129760</v>
      </c>
      <c r="V348" s="54" t="n">
        <v>119379.2</v>
      </c>
      <c r="W348" s="55" t="n">
        <v>0.15</v>
      </c>
      <c r="X348" s="52"/>
      <c r="Y348" s="55" t="n">
        <v>0.05</v>
      </c>
      <c r="Z348" s="56" t="n">
        <v>2910</v>
      </c>
      <c r="AA348" s="55" t="n">
        <v>0.03</v>
      </c>
      <c r="AB348" s="57" t="n">
        <v>149746.416</v>
      </c>
      <c r="AC348" s="44" t="n">
        <v>113582</v>
      </c>
      <c r="AD348" s="44"/>
      <c r="AE348" s="44" t="n">
        <v>149746.416</v>
      </c>
      <c r="AF348" s="44" t="s">
        <v>53</v>
      </c>
      <c r="AG348" s="44" t="n">
        <v>0</v>
      </c>
      <c r="AH348" s="58" t="s">
        <v>1536</v>
      </c>
      <c r="AI348" s="44" t="n">
        <v>0</v>
      </c>
      <c r="AJ348" s="44" t="s">
        <v>1151</v>
      </c>
      <c r="AK348" s="44" t="s">
        <v>47</v>
      </c>
      <c r="AL348" s="44" t="s">
        <v>1151</v>
      </c>
      <c r="AM348" s="44" t="n">
        <v>0</v>
      </c>
      <c r="AN348" s="44"/>
      <c r="AO348" s="44"/>
      <c r="AP348" s="44"/>
      <c r="AQ348" s="45" t="s">
        <v>1399</v>
      </c>
      <c r="AR348" s="44" t="s">
        <v>1284</v>
      </c>
      <c r="AS348" s="44"/>
      <c r="AT348" s="44"/>
      <c r="AU348" s="44"/>
      <c r="AV348" s="44"/>
      <c r="AW348" s="44"/>
      <c r="AX348" s="44"/>
      <c r="AY348" s="44"/>
      <c r="AZ348" s="46"/>
    </row>
    <row r="349" customFormat="false" ht="18" hidden="false" customHeight="true" outlineLevel="0" collapsed="false">
      <c r="A349" s="47" t="n">
        <v>110146</v>
      </c>
      <c r="B349" s="48" t="s">
        <v>1739</v>
      </c>
      <c r="C349" s="47" t="n">
        <v>110146</v>
      </c>
      <c r="D349" s="48" t="s">
        <v>1740</v>
      </c>
      <c r="E349" s="48" t="s">
        <v>1533</v>
      </c>
      <c r="F349" s="48" t="s">
        <v>1564</v>
      </c>
      <c r="G349" s="49" t="s">
        <v>1531</v>
      </c>
      <c r="H349" s="48" t="s">
        <v>1151</v>
      </c>
      <c r="I349" s="48" t="s">
        <v>1535</v>
      </c>
      <c r="J349" s="48"/>
      <c r="K349" s="48"/>
      <c r="L349" s="48"/>
      <c r="M349" s="48"/>
      <c r="N349" s="50" t="s">
        <v>1443</v>
      </c>
      <c r="O349" s="51" t="s">
        <v>1715</v>
      </c>
      <c r="P349" s="52" t="n">
        <v>1</v>
      </c>
      <c r="Q349" s="51"/>
      <c r="R349" s="52" t="s">
        <v>1519</v>
      </c>
      <c r="S349" s="52"/>
      <c r="T349" s="52"/>
      <c r="U349" s="53" t="n">
        <v>170080</v>
      </c>
      <c r="V349" s="54" t="n">
        <v>170080</v>
      </c>
      <c r="W349" s="55" t="n">
        <v>0.12</v>
      </c>
      <c r="X349" s="52" t="n">
        <v>0.055</v>
      </c>
      <c r="Y349" s="55" t="n">
        <v>0.12</v>
      </c>
      <c r="Z349" s="56"/>
      <c r="AA349" s="55" t="n">
        <v>0.04</v>
      </c>
      <c r="AB349" s="57" t="n">
        <v>227056.8</v>
      </c>
      <c r="AC349" s="44"/>
      <c r="AD349" s="44"/>
      <c r="AE349" s="44" t="n">
        <v>227056.8</v>
      </c>
      <c r="AF349" s="44" t="s">
        <v>53</v>
      </c>
      <c r="AG349" s="44" t="n">
        <v>0</v>
      </c>
      <c r="AH349" s="58" t="s">
        <v>1536</v>
      </c>
      <c r="AI349" s="44" t="n">
        <v>0</v>
      </c>
      <c r="AJ349" s="44" t="s">
        <v>1151</v>
      </c>
      <c r="AK349" s="44" t="s">
        <v>47</v>
      </c>
      <c r="AL349" s="44" t="s">
        <v>1151</v>
      </c>
      <c r="AM349" s="44" t="n">
        <v>0</v>
      </c>
      <c r="AN349" s="44"/>
      <c r="AO349" s="44"/>
      <c r="AP349" s="44"/>
      <c r="AQ349" s="45" t="s">
        <v>1400</v>
      </c>
      <c r="AR349" s="44" t="s">
        <v>1282</v>
      </c>
      <c r="AS349" s="44"/>
      <c r="AT349" s="44"/>
      <c r="AU349" s="44"/>
      <c r="AV349" s="44"/>
      <c r="AW349" s="44"/>
      <c r="AX349" s="44"/>
      <c r="AY349" s="44"/>
      <c r="AZ349" s="46"/>
    </row>
    <row r="350" customFormat="false" ht="18" hidden="false" customHeight="true" outlineLevel="0" collapsed="false">
      <c r="A350" s="47" t="n">
        <v>98599</v>
      </c>
      <c r="B350" s="48" t="s">
        <v>1741</v>
      </c>
      <c r="C350" s="47" t="n">
        <v>98599</v>
      </c>
      <c r="D350" s="48" t="s">
        <v>1742</v>
      </c>
      <c r="E350" s="48" t="s">
        <v>1533</v>
      </c>
      <c r="F350" s="48" t="s">
        <v>1731</v>
      </c>
      <c r="G350" s="49" t="s">
        <v>1531</v>
      </c>
      <c r="H350" s="48" t="s">
        <v>1151</v>
      </c>
      <c r="I350" s="48" t="s">
        <v>1535</v>
      </c>
      <c r="J350" s="48"/>
      <c r="K350" s="48"/>
      <c r="L350" s="48"/>
      <c r="M350" s="48"/>
      <c r="N350" s="50" t="s">
        <v>1443</v>
      </c>
      <c r="O350" s="51" t="s">
        <v>1715</v>
      </c>
      <c r="P350" s="52" t="n">
        <v>1</v>
      </c>
      <c r="Q350" s="51"/>
      <c r="R350" s="52" t="s">
        <v>1519</v>
      </c>
      <c r="S350" s="52"/>
      <c r="T350" s="52"/>
      <c r="U350" s="53" t="n">
        <v>131740</v>
      </c>
      <c r="V350" s="54" t="n">
        <v>131740</v>
      </c>
      <c r="W350" s="55" t="n">
        <v>0.12</v>
      </c>
      <c r="X350" s="52" t="n">
        <v>0.055</v>
      </c>
      <c r="Y350" s="55" t="n">
        <v>0.12</v>
      </c>
      <c r="Z350" s="56"/>
      <c r="AA350" s="55" t="n">
        <v>0.04</v>
      </c>
      <c r="AB350" s="57" t="n">
        <v>175872.9</v>
      </c>
      <c r="AC350" s="44"/>
      <c r="AD350" s="44"/>
      <c r="AE350" s="44" t="n">
        <v>175872.9</v>
      </c>
      <c r="AF350" s="44" t="s">
        <v>53</v>
      </c>
      <c r="AG350" s="44" t="n">
        <v>0</v>
      </c>
      <c r="AH350" s="58" t="s">
        <v>1536</v>
      </c>
      <c r="AI350" s="44" t="n">
        <v>0</v>
      </c>
      <c r="AJ350" s="44" t="s">
        <v>1151</v>
      </c>
      <c r="AK350" s="44" t="s">
        <v>47</v>
      </c>
      <c r="AL350" s="44" t="s">
        <v>1151</v>
      </c>
      <c r="AM350" s="44" t="n">
        <v>0</v>
      </c>
      <c r="AN350" s="44"/>
      <c r="AO350" s="44"/>
      <c r="AP350" s="44"/>
      <c r="AQ350" s="45" t="s">
        <v>1401</v>
      </c>
      <c r="AR350" s="44" t="s">
        <v>1282</v>
      </c>
      <c r="AS350" s="44"/>
      <c r="AT350" s="44"/>
      <c r="AU350" s="44"/>
      <c r="AV350" s="44"/>
      <c r="AW350" s="44"/>
      <c r="AX350" s="44"/>
      <c r="AY350" s="44"/>
      <c r="AZ350" s="46"/>
    </row>
    <row r="351" customFormat="false" ht="18" hidden="false" customHeight="true" outlineLevel="0" collapsed="false">
      <c r="A351" s="47" t="s">
        <v>1507</v>
      </c>
      <c r="B351" s="48" t="s">
        <v>822</v>
      </c>
      <c r="C351" s="47" t="s">
        <v>1507</v>
      </c>
      <c r="D351" s="48" t="s">
        <v>892</v>
      </c>
      <c r="E351" s="48" t="s">
        <v>963</v>
      </c>
      <c r="F351" s="48" t="s">
        <v>964</v>
      </c>
      <c r="G351" s="49" t="s">
        <v>30</v>
      </c>
      <c r="H351" s="48" t="s">
        <v>1619</v>
      </c>
      <c r="I351" s="48" t="s">
        <v>847</v>
      </c>
      <c r="J351" s="48" t="s">
        <v>1149</v>
      </c>
      <c r="K351" s="48" t="s">
        <v>1149</v>
      </c>
      <c r="L351" s="48" t="s">
        <v>847</v>
      </c>
      <c r="M351" s="48"/>
      <c r="N351" s="50" t="s">
        <v>1443</v>
      </c>
      <c r="O351" s="51" t="s">
        <v>1715</v>
      </c>
      <c r="P351" s="52" t="n">
        <v>1</v>
      </c>
      <c r="Q351" s="52"/>
      <c r="R351" s="52" t="s">
        <v>1507</v>
      </c>
      <c r="S351" s="52"/>
      <c r="T351" s="52"/>
      <c r="U351" s="53" t="n">
        <v>151950</v>
      </c>
      <c r="V351" s="54" t="n">
        <v>151950</v>
      </c>
      <c r="W351" s="55" t="n">
        <v>0.12</v>
      </c>
      <c r="X351" s="52" t="n">
        <v>0.055</v>
      </c>
      <c r="Y351" s="55" t="n">
        <v>0.12</v>
      </c>
      <c r="Z351" s="56"/>
      <c r="AA351" s="55" t="n">
        <v>0.04</v>
      </c>
      <c r="AB351" s="57" t="n">
        <v>202853.25</v>
      </c>
      <c r="AC351" s="44"/>
      <c r="AD351" s="44"/>
      <c r="AE351" s="44" t="n">
        <v>202853.25</v>
      </c>
      <c r="AF351" s="44" t="s">
        <v>69</v>
      </c>
      <c r="AG351" s="44" t="n">
        <v>0</v>
      </c>
      <c r="AH351" s="58" t="s">
        <v>30</v>
      </c>
      <c r="AI351" s="44" t="n">
        <v>0</v>
      </c>
      <c r="AJ351" s="44" t="s">
        <v>847</v>
      </c>
      <c r="AK351" s="44" t="s">
        <v>47</v>
      </c>
      <c r="AL351" s="44" t="s">
        <v>847</v>
      </c>
      <c r="AM351" s="44" t="n">
        <v>0</v>
      </c>
      <c r="AN351" s="44"/>
      <c r="AO351" s="44"/>
      <c r="AP351" s="44"/>
      <c r="AQ351" s="45" t="s">
        <v>891</v>
      </c>
      <c r="AR351" s="44" t="s">
        <v>1282</v>
      </c>
      <c r="AS351" s="44"/>
      <c r="AT351" s="44"/>
      <c r="AU351" s="44"/>
      <c r="AV351" s="44"/>
      <c r="AW351" s="44"/>
      <c r="AX351" s="44"/>
      <c r="AY351" s="44"/>
      <c r="AZ351" s="46"/>
    </row>
    <row r="352" customFormat="false" ht="18" hidden="false" customHeight="true" outlineLevel="0" collapsed="false">
      <c r="A352" s="47" t="s">
        <v>1507</v>
      </c>
      <c r="B352" s="48" t="s">
        <v>1743</v>
      </c>
      <c r="C352" s="47" t="s">
        <v>1507</v>
      </c>
      <c r="D352" s="48" t="s">
        <v>839</v>
      </c>
      <c r="E352" s="48" t="s">
        <v>844</v>
      </c>
      <c r="F352" s="48" t="s">
        <v>1687</v>
      </c>
      <c r="G352" s="49" t="s">
        <v>30</v>
      </c>
      <c r="H352" s="48" t="s">
        <v>1297</v>
      </c>
      <c r="I352" s="48" t="s">
        <v>1638</v>
      </c>
      <c r="J352" s="48" t="s">
        <v>28</v>
      </c>
      <c r="K352" s="48" t="s">
        <v>1154</v>
      </c>
      <c r="L352" s="48" t="s">
        <v>810</v>
      </c>
      <c r="M352" s="48"/>
      <c r="N352" s="50" t="s">
        <v>1284</v>
      </c>
      <c r="O352" s="51" t="s">
        <v>1715</v>
      </c>
      <c r="P352" s="52" t="n">
        <v>1</v>
      </c>
      <c r="Q352" s="52"/>
      <c r="R352" s="52" t="s">
        <v>1513</v>
      </c>
      <c r="S352" s="52"/>
      <c r="T352" s="52"/>
      <c r="U352" s="53" t="n">
        <v>151950</v>
      </c>
      <c r="V352" s="54" t="n">
        <v>139794</v>
      </c>
      <c r="W352" s="55" t="n">
        <v>0.15</v>
      </c>
      <c r="X352" s="52"/>
      <c r="Y352" s="55" t="n">
        <v>0.05</v>
      </c>
      <c r="Z352" s="56" t="n">
        <v>2910</v>
      </c>
      <c r="AA352" s="55" t="n">
        <v>0.03</v>
      </c>
      <c r="AB352" s="57" t="n">
        <v>174856.62</v>
      </c>
      <c r="AC352" s="44"/>
      <c r="AD352" s="44"/>
      <c r="AE352" s="44" t="n">
        <v>174856.62</v>
      </c>
      <c r="AF352" s="44" t="s">
        <v>69</v>
      </c>
      <c r="AG352" s="44" t="n">
        <v>0</v>
      </c>
      <c r="AH352" s="58" t="s">
        <v>28</v>
      </c>
      <c r="AI352" s="44" t="n">
        <v>0</v>
      </c>
      <c r="AJ352" s="44" t="s">
        <v>810</v>
      </c>
      <c r="AK352" s="44" t="s">
        <v>47</v>
      </c>
      <c r="AL352" s="44" t="s">
        <v>810</v>
      </c>
      <c r="AM352" s="44" t="n">
        <v>0</v>
      </c>
      <c r="AN352" s="44"/>
      <c r="AO352" s="44"/>
      <c r="AP352" s="44"/>
      <c r="AQ352" s="45" t="s">
        <v>838</v>
      </c>
      <c r="AR352" s="44" t="s">
        <v>1284</v>
      </c>
      <c r="AS352" s="44"/>
      <c r="AT352" s="44"/>
      <c r="AU352" s="44"/>
      <c r="AV352" s="44"/>
      <c r="AW352" s="44"/>
      <c r="AX352" s="44"/>
      <c r="AY352" s="44"/>
      <c r="AZ352" s="46"/>
    </row>
    <row r="353" customFormat="false" ht="18" hidden="false" customHeight="true" outlineLevel="0" collapsed="false">
      <c r="A353" s="47" t="n">
        <v>116057</v>
      </c>
      <c r="B353" s="48" t="s">
        <v>894</v>
      </c>
      <c r="C353" s="47" t="n">
        <v>116057</v>
      </c>
      <c r="D353" s="48" t="s">
        <v>895</v>
      </c>
      <c r="E353" s="48" t="s">
        <v>949</v>
      </c>
      <c r="F353" s="48" t="s">
        <v>890</v>
      </c>
      <c r="G353" s="49" t="s">
        <v>30</v>
      </c>
      <c r="H353" s="48" t="s">
        <v>1619</v>
      </c>
      <c r="I353" s="48" t="s">
        <v>847</v>
      </c>
      <c r="J353" s="48" t="s">
        <v>1149</v>
      </c>
      <c r="K353" s="48" t="s">
        <v>1149</v>
      </c>
      <c r="L353" s="48" t="s">
        <v>847</v>
      </c>
      <c r="M353" s="48"/>
      <c r="N353" s="50" t="s">
        <v>1443</v>
      </c>
      <c r="O353" s="51" t="s">
        <v>1715</v>
      </c>
      <c r="P353" s="52" t="n">
        <v>1</v>
      </c>
      <c r="Q353" s="51"/>
      <c r="R353" s="52" t="s">
        <v>1519</v>
      </c>
      <c r="S353" s="52"/>
      <c r="T353" s="52"/>
      <c r="U353" s="53" t="n">
        <v>145710</v>
      </c>
      <c r="V353" s="54" t="n">
        <v>145710</v>
      </c>
      <c r="W353" s="55" t="n">
        <v>0.12</v>
      </c>
      <c r="X353" s="52" t="n">
        <v>0.055</v>
      </c>
      <c r="Y353" s="55" t="n">
        <v>0.12</v>
      </c>
      <c r="Z353" s="56"/>
      <c r="AA353" s="55" t="n">
        <v>0.04</v>
      </c>
      <c r="AB353" s="57" t="n">
        <v>194522.85</v>
      </c>
      <c r="AC353" s="44"/>
      <c r="AD353" s="44"/>
      <c r="AE353" s="44" t="n">
        <v>194522.85</v>
      </c>
      <c r="AF353" s="44" t="s">
        <v>53</v>
      </c>
      <c r="AG353" s="44" t="n">
        <v>0</v>
      </c>
      <c r="AH353" s="58" t="s">
        <v>30</v>
      </c>
      <c r="AI353" s="44" t="n">
        <v>0</v>
      </c>
      <c r="AJ353" s="44" t="s">
        <v>847</v>
      </c>
      <c r="AK353" s="44" t="s">
        <v>47</v>
      </c>
      <c r="AL353" s="44" t="s">
        <v>847</v>
      </c>
      <c r="AM353" s="44" t="n">
        <v>0</v>
      </c>
      <c r="AN353" s="44"/>
      <c r="AO353" s="44"/>
      <c r="AP353" s="44"/>
      <c r="AQ353" s="45" t="s">
        <v>893</v>
      </c>
      <c r="AR353" s="44" t="s">
        <v>1282</v>
      </c>
      <c r="AS353" s="44"/>
      <c r="AT353" s="44"/>
      <c r="AU353" s="44"/>
      <c r="AV353" s="44"/>
      <c r="AW353" s="44"/>
      <c r="AX353" s="44"/>
      <c r="AY353" s="44"/>
      <c r="AZ353" s="46"/>
    </row>
    <row r="354" customFormat="false" ht="18" hidden="false" customHeight="true" outlineLevel="0" collapsed="false">
      <c r="A354" s="47" t="s">
        <v>1507</v>
      </c>
      <c r="B354" s="48" t="s">
        <v>69</v>
      </c>
      <c r="C354" s="47" t="s">
        <v>1507</v>
      </c>
      <c r="D354" s="48" t="s">
        <v>895</v>
      </c>
      <c r="E354" s="48" t="s">
        <v>949</v>
      </c>
      <c r="F354" s="48" t="s">
        <v>890</v>
      </c>
      <c r="G354" s="49" t="s">
        <v>30</v>
      </c>
      <c r="H354" s="48" t="s">
        <v>1619</v>
      </c>
      <c r="I354" s="48" t="s">
        <v>847</v>
      </c>
      <c r="J354" s="48" t="s">
        <v>1149</v>
      </c>
      <c r="K354" s="48" t="s">
        <v>1149</v>
      </c>
      <c r="L354" s="48" t="s">
        <v>847</v>
      </c>
      <c r="M354" s="48"/>
      <c r="N354" s="50" t="s">
        <v>1443</v>
      </c>
      <c r="O354" s="51" t="s">
        <v>1715</v>
      </c>
      <c r="P354" s="52" t="n">
        <v>1</v>
      </c>
      <c r="Q354" s="52"/>
      <c r="R354" s="52" t="s">
        <v>1513</v>
      </c>
      <c r="S354" s="52"/>
      <c r="T354" s="52"/>
      <c r="U354" s="53" t="n">
        <v>151950</v>
      </c>
      <c r="V354" s="54" t="n">
        <v>151950</v>
      </c>
      <c r="W354" s="55" t="n">
        <v>0.12</v>
      </c>
      <c r="X354" s="52" t="n">
        <v>0.055</v>
      </c>
      <c r="Y354" s="55" t="n">
        <v>0.12</v>
      </c>
      <c r="Z354" s="56"/>
      <c r="AA354" s="55" t="n">
        <v>0.04</v>
      </c>
      <c r="AB354" s="57" t="n">
        <v>202853.25</v>
      </c>
      <c r="AC354" s="44"/>
      <c r="AD354" s="44"/>
      <c r="AE354" s="44" t="n">
        <v>202853.25</v>
      </c>
      <c r="AF354" s="44" t="s">
        <v>69</v>
      </c>
      <c r="AG354" s="44" t="n">
        <v>0</v>
      </c>
      <c r="AH354" s="58" t="s">
        <v>30</v>
      </c>
      <c r="AI354" s="44" t="n">
        <v>0</v>
      </c>
      <c r="AJ354" s="44" t="s">
        <v>847</v>
      </c>
      <c r="AK354" s="44" t="s">
        <v>47</v>
      </c>
      <c r="AL354" s="44" t="s">
        <v>847</v>
      </c>
      <c r="AM354" s="44" t="n">
        <v>0</v>
      </c>
      <c r="AN354" s="44"/>
      <c r="AO354" s="44"/>
      <c r="AP354" s="44"/>
      <c r="AQ354" s="45" t="s">
        <v>896</v>
      </c>
      <c r="AR354" s="44" t="s">
        <v>1282</v>
      </c>
      <c r="AS354" s="44"/>
      <c r="AT354" s="44"/>
      <c r="AU354" s="44"/>
      <c r="AV354" s="44"/>
      <c r="AW354" s="44"/>
      <c r="AX354" s="44"/>
      <c r="AY354" s="44"/>
      <c r="AZ354" s="46"/>
    </row>
    <row r="355" customFormat="false" ht="18" hidden="false" customHeight="true" outlineLevel="0" collapsed="false">
      <c r="A355" s="47" t="n">
        <v>97425</v>
      </c>
      <c r="B355" s="48" t="s">
        <v>1744</v>
      </c>
      <c r="C355" s="47" t="n">
        <v>97425</v>
      </c>
      <c r="D355" s="48" t="s">
        <v>1745</v>
      </c>
      <c r="E355" s="48" t="s">
        <v>1592</v>
      </c>
      <c r="F355" s="48"/>
      <c r="G355" s="49" t="s">
        <v>1527</v>
      </c>
      <c r="H355" s="48" t="s">
        <v>1332</v>
      </c>
      <c r="I355" s="48" t="s">
        <v>1159</v>
      </c>
      <c r="J355" s="48" t="s">
        <v>1159</v>
      </c>
      <c r="K355" s="48" t="s">
        <v>1159</v>
      </c>
      <c r="L355" s="48" t="s">
        <v>1159</v>
      </c>
      <c r="M355" s="48"/>
      <c r="N355" s="50" t="s">
        <v>1443</v>
      </c>
      <c r="O355" s="51" t="s">
        <v>1715</v>
      </c>
      <c r="P355" s="52" t="n">
        <v>1</v>
      </c>
      <c r="Q355" s="51"/>
      <c r="R355" s="52" t="s">
        <v>1519</v>
      </c>
      <c r="S355" s="52"/>
      <c r="T355" s="52"/>
      <c r="U355" s="53" t="n">
        <v>161520</v>
      </c>
      <c r="V355" s="54" t="n">
        <v>161520</v>
      </c>
      <c r="W355" s="55" t="n">
        <v>0.12</v>
      </c>
      <c r="X355" s="52" t="n">
        <v>0.055</v>
      </c>
      <c r="Y355" s="55" t="n">
        <v>0.12</v>
      </c>
      <c r="Z355" s="56"/>
      <c r="AA355" s="55" t="n">
        <v>0.04</v>
      </c>
      <c r="AB355" s="57" t="n">
        <v>215629.2</v>
      </c>
      <c r="AC355" s="44"/>
      <c r="AD355" s="44"/>
      <c r="AE355" s="44" t="n">
        <v>215629.2</v>
      </c>
      <c r="AF355" s="44" t="s">
        <v>53</v>
      </c>
      <c r="AG355" s="44" t="n">
        <v>0</v>
      </c>
      <c r="AH355" s="58" t="s">
        <v>32</v>
      </c>
      <c r="AI355" s="44" t="n">
        <v>0</v>
      </c>
      <c r="AJ355" s="44" t="s">
        <v>1332</v>
      </c>
      <c r="AK355" s="44" t="s">
        <v>47</v>
      </c>
      <c r="AL355" s="44" t="s">
        <v>1332</v>
      </c>
      <c r="AM355" s="44" t="n">
        <v>0</v>
      </c>
      <c r="AN355" s="44"/>
      <c r="AO355" s="44"/>
      <c r="AP355" s="44"/>
      <c r="AQ355" s="45" t="s">
        <v>1334</v>
      </c>
      <c r="AR355" s="44" t="s">
        <v>1282</v>
      </c>
      <c r="AS355" s="44"/>
      <c r="AT355" s="44"/>
      <c r="AU355" s="44"/>
      <c r="AV355" s="44"/>
      <c r="AW355" s="44"/>
      <c r="AX355" s="44"/>
      <c r="AY355" s="44"/>
      <c r="AZ355" s="46"/>
    </row>
    <row r="356" customFormat="false" ht="18" hidden="false" customHeight="true" outlineLevel="0" collapsed="false">
      <c r="A356" s="47" t="n">
        <v>98371</v>
      </c>
      <c r="B356" s="48" t="s">
        <v>1746</v>
      </c>
      <c r="C356" s="47" t="n">
        <v>98371</v>
      </c>
      <c r="D356" s="48" t="s">
        <v>1745</v>
      </c>
      <c r="E356" s="48" t="s">
        <v>1592</v>
      </c>
      <c r="F356" s="48"/>
      <c r="G356" s="49" t="s">
        <v>1527</v>
      </c>
      <c r="H356" s="48" t="s">
        <v>1332</v>
      </c>
      <c r="I356" s="48" t="s">
        <v>1159</v>
      </c>
      <c r="J356" s="48" t="s">
        <v>1159</v>
      </c>
      <c r="K356" s="48" t="s">
        <v>1159</v>
      </c>
      <c r="L356" s="48" t="s">
        <v>1159</v>
      </c>
      <c r="M356" s="48"/>
      <c r="N356" s="50" t="s">
        <v>1443</v>
      </c>
      <c r="O356" s="51" t="s">
        <v>1715</v>
      </c>
      <c r="P356" s="52" t="n">
        <v>1</v>
      </c>
      <c r="Q356" s="51"/>
      <c r="R356" s="52" t="s">
        <v>1519</v>
      </c>
      <c r="S356" s="52"/>
      <c r="T356" s="52"/>
      <c r="U356" s="53" t="n">
        <v>163830</v>
      </c>
      <c r="V356" s="54" t="n">
        <v>163830</v>
      </c>
      <c r="W356" s="55" t="n">
        <v>0.12</v>
      </c>
      <c r="X356" s="52" t="n">
        <v>0.055</v>
      </c>
      <c r="Y356" s="55" t="n">
        <v>0.12</v>
      </c>
      <c r="Z356" s="56"/>
      <c r="AA356" s="55" t="n">
        <v>0.04</v>
      </c>
      <c r="AB356" s="57" t="n">
        <v>218713.05</v>
      </c>
      <c r="AC356" s="44"/>
      <c r="AD356" s="44"/>
      <c r="AE356" s="44" t="n">
        <v>218713.05</v>
      </c>
      <c r="AF356" s="44" t="s">
        <v>53</v>
      </c>
      <c r="AG356" s="44" t="n">
        <v>0</v>
      </c>
      <c r="AH356" s="58" t="s">
        <v>32</v>
      </c>
      <c r="AI356" s="44" t="n">
        <v>0</v>
      </c>
      <c r="AJ356" s="44" t="s">
        <v>1332</v>
      </c>
      <c r="AK356" s="44" t="s">
        <v>47</v>
      </c>
      <c r="AL356" s="44" t="s">
        <v>1332</v>
      </c>
      <c r="AM356" s="44" t="n">
        <v>0</v>
      </c>
      <c r="AN356" s="44"/>
      <c r="AO356" s="44"/>
      <c r="AP356" s="44"/>
      <c r="AQ356" s="45" t="s">
        <v>1335</v>
      </c>
      <c r="AR356" s="44" t="s">
        <v>1282</v>
      </c>
      <c r="AS356" s="44"/>
      <c r="AT356" s="44"/>
      <c r="AU356" s="44"/>
      <c r="AV356" s="44"/>
      <c r="AW356" s="44"/>
      <c r="AX356" s="44"/>
      <c r="AY356" s="44"/>
      <c r="AZ356" s="46"/>
    </row>
    <row r="357" customFormat="false" ht="18" hidden="false" customHeight="true" outlineLevel="0" collapsed="false">
      <c r="A357" s="47" t="n">
        <v>7001</v>
      </c>
      <c r="B357" s="48" t="s">
        <v>56</v>
      </c>
      <c r="C357" s="47" t="n">
        <v>7001</v>
      </c>
      <c r="D357" s="48" t="s">
        <v>57</v>
      </c>
      <c r="E357" s="48" t="s">
        <v>208</v>
      </c>
      <c r="F357" s="48" t="s">
        <v>1747</v>
      </c>
      <c r="G357" s="49" t="s">
        <v>1471</v>
      </c>
      <c r="H357" s="48" t="s">
        <v>14</v>
      </c>
      <c r="I357" s="48" t="s">
        <v>1601</v>
      </c>
      <c r="J357" s="48" t="s">
        <v>1567</v>
      </c>
      <c r="K357" s="48" t="s">
        <v>48</v>
      </c>
      <c r="L357" s="48" t="s">
        <v>48</v>
      </c>
      <c r="M357" s="48"/>
      <c r="N357" s="50" t="s">
        <v>1443</v>
      </c>
      <c r="O357" s="51" t="s">
        <v>1715</v>
      </c>
      <c r="P357" s="52" t="n">
        <v>1</v>
      </c>
      <c r="Q357" s="51"/>
      <c r="R357" s="52" t="s">
        <v>1519</v>
      </c>
      <c r="S357" s="52"/>
      <c r="T357" s="52"/>
      <c r="U357" s="53" t="n">
        <v>134270</v>
      </c>
      <c r="V357" s="54" t="n">
        <v>134270</v>
      </c>
      <c r="W357" s="55" t="n">
        <v>0.1</v>
      </c>
      <c r="X357" s="52" t="n">
        <v>0.055</v>
      </c>
      <c r="Y357" s="55" t="n">
        <v>0.12</v>
      </c>
      <c r="Z357" s="56"/>
      <c r="AA357" s="55" t="n">
        <v>0.04</v>
      </c>
      <c r="AB357" s="57" t="n">
        <v>176565.05</v>
      </c>
      <c r="AC357" s="44"/>
      <c r="AD357" s="44"/>
      <c r="AE357" s="44" t="n">
        <v>176565.05</v>
      </c>
      <c r="AF357" s="44" t="s">
        <v>53</v>
      </c>
      <c r="AG357" s="44" t="n">
        <v>0</v>
      </c>
      <c r="AH357" s="58" t="s">
        <v>14</v>
      </c>
      <c r="AI357" s="44" t="n">
        <v>0</v>
      </c>
      <c r="AJ357" s="44" t="s">
        <v>48</v>
      </c>
      <c r="AK357" s="44" t="s">
        <v>47</v>
      </c>
      <c r="AL357" s="44" t="s">
        <v>48</v>
      </c>
      <c r="AM357" s="44" t="n">
        <v>0</v>
      </c>
      <c r="AN357" s="44"/>
      <c r="AO357" s="44"/>
      <c r="AP357" s="44"/>
      <c r="AQ357" s="45" t="s">
        <v>55</v>
      </c>
      <c r="AR357" s="44" t="s">
        <v>1282</v>
      </c>
      <c r="AS357" s="44"/>
      <c r="AT357" s="44"/>
      <c r="AU357" s="44"/>
      <c r="AV357" s="44"/>
      <c r="AW357" s="44"/>
      <c r="AX357" s="44"/>
      <c r="AY357" s="44"/>
      <c r="AZ357" s="46"/>
    </row>
    <row r="358" customFormat="false" ht="18" hidden="false" customHeight="true" outlineLevel="0" collapsed="false">
      <c r="A358" s="47" t="n">
        <v>86743</v>
      </c>
      <c r="B358" s="48" t="s">
        <v>60</v>
      </c>
      <c r="C358" s="47" t="n">
        <v>86743</v>
      </c>
      <c r="D358" s="48" t="s">
        <v>57</v>
      </c>
      <c r="E358" s="48" t="s">
        <v>208</v>
      </c>
      <c r="F358" s="48" t="s">
        <v>1747</v>
      </c>
      <c r="G358" s="49" t="s">
        <v>1471</v>
      </c>
      <c r="H358" s="48" t="s">
        <v>14</v>
      </c>
      <c r="I358" s="48" t="s">
        <v>1601</v>
      </c>
      <c r="J358" s="48" t="s">
        <v>1567</v>
      </c>
      <c r="K358" s="48" t="s">
        <v>48</v>
      </c>
      <c r="L358" s="48" t="s">
        <v>48</v>
      </c>
      <c r="M358" s="48"/>
      <c r="N358" s="50" t="s">
        <v>1443</v>
      </c>
      <c r="O358" s="51" t="s">
        <v>1715</v>
      </c>
      <c r="P358" s="52" t="n">
        <v>1</v>
      </c>
      <c r="Q358" s="51"/>
      <c r="R358" s="52" t="s">
        <v>1519</v>
      </c>
      <c r="S358" s="52"/>
      <c r="T358" s="52"/>
      <c r="U358" s="53" t="n">
        <v>116170</v>
      </c>
      <c r="V358" s="54" t="n">
        <v>106876.4</v>
      </c>
      <c r="W358" s="55" t="n">
        <v>0.15</v>
      </c>
      <c r="X358" s="52"/>
      <c r="Y358" s="55" t="n">
        <v>0.05</v>
      </c>
      <c r="Z358" s="56" t="n">
        <v>2910</v>
      </c>
      <c r="AA358" s="55" t="n">
        <v>0.03</v>
      </c>
      <c r="AB358" s="57" t="n">
        <v>134367.972</v>
      </c>
      <c r="AC358" s="44"/>
      <c r="AD358" s="44"/>
      <c r="AE358" s="44" t="n">
        <v>134367.972</v>
      </c>
      <c r="AF358" s="44" t="s">
        <v>53</v>
      </c>
      <c r="AG358" s="44" t="n">
        <v>0</v>
      </c>
      <c r="AH358" s="58" t="s">
        <v>14</v>
      </c>
      <c r="AI358" s="44" t="n">
        <v>0</v>
      </c>
      <c r="AJ358" s="44" t="s">
        <v>48</v>
      </c>
      <c r="AK358" s="44" t="s">
        <v>47</v>
      </c>
      <c r="AL358" s="44" t="s">
        <v>48</v>
      </c>
      <c r="AM358" s="44" t="n">
        <v>0</v>
      </c>
      <c r="AN358" s="44"/>
      <c r="AO358" s="44"/>
      <c r="AP358" s="44"/>
      <c r="AQ358" s="45" t="s">
        <v>59</v>
      </c>
      <c r="AR358" s="44" t="s">
        <v>1282</v>
      </c>
      <c r="AS358" s="44"/>
      <c r="AT358" s="44"/>
      <c r="AU358" s="44"/>
      <c r="AV358" s="44"/>
      <c r="AW358" s="44"/>
      <c r="AX358" s="44"/>
      <c r="AY358" s="44"/>
      <c r="AZ358" s="46"/>
    </row>
    <row r="359" customFormat="false" ht="18" hidden="false" customHeight="true" outlineLevel="0" collapsed="false">
      <c r="A359" s="47" t="n">
        <v>108357</v>
      </c>
      <c r="B359" s="48" t="s">
        <v>63</v>
      </c>
      <c r="C359" s="47" t="n">
        <v>108357</v>
      </c>
      <c r="D359" s="48" t="s">
        <v>57</v>
      </c>
      <c r="E359" s="48" t="s">
        <v>208</v>
      </c>
      <c r="F359" s="48" t="s">
        <v>1747</v>
      </c>
      <c r="G359" s="49" t="s">
        <v>1471</v>
      </c>
      <c r="H359" s="48" t="s">
        <v>14</v>
      </c>
      <c r="I359" s="48" t="s">
        <v>1601</v>
      </c>
      <c r="J359" s="48" t="s">
        <v>1567</v>
      </c>
      <c r="K359" s="48" t="s">
        <v>48</v>
      </c>
      <c r="L359" s="48" t="s">
        <v>48</v>
      </c>
      <c r="M359" s="48"/>
      <c r="N359" s="50" t="s">
        <v>1443</v>
      </c>
      <c r="O359" s="51" t="s">
        <v>1715</v>
      </c>
      <c r="P359" s="52" t="n">
        <v>1</v>
      </c>
      <c r="Q359" s="52"/>
      <c r="R359" s="52" t="s">
        <v>1519</v>
      </c>
      <c r="S359" s="52"/>
      <c r="T359" s="52"/>
      <c r="U359" s="53" t="n">
        <v>123240</v>
      </c>
      <c r="V359" s="54" t="n">
        <v>123240</v>
      </c>
      <c r="W359" s="55" t="n">
        <v>0.1</v>
      </c>
      <c r="X359" s="52" t="n">
        <v>0.055</v>
      </c>
      <c r="Y359" s="55" t="n">
        <v>0.12</v>
      </c>
      <c r="Z359" s="56"/>
      <c r="AA359" s="55" t="n">
        <v>0.04</v>
      </c>
      <c r="AB359" s="57" t="n">
        <v>162060.6</v>
      </c>
      <c r="AC359" s="44"/>
      <c r="AD359" s="44"/>
      <c r="AE359" s="44" t="n">
        <v>162060.6</v>
      </c>
      <c r="AF359" s="44" t="s">
        <v>53</v>
      </c>
      <c r="AG359" s="44" t="n">
        <v>0</v>
      </c>
      <c r="AH359" s="58" t="s">
        <v>14</v>
      </c>
      <c r="AI359" s="44" t="n">
        <v>0</v>
      </c>
      <c r="AJ359" s="44" t="s">
        <v>48</v>
      </c>
      <c r="AK359" s="44" t="s">
        <v>47</v>
      </c>
      <c r="AL359" s="44" t="s">
        <v>48</v>
      </c>
      <c r="AM359" s="44" t="n">
        <v>0</v>
      </c>
      <c r="AN359" s="44"/>
      <c r="AO359" s="44"/>
      <c r="AP359" s="44"/>
      <c r="AQ359" s="45" t="s">
        <v>62</v>
      </c>
      <c r="AR359" s="44" t="s">
        <v>1282</v>
      </c>
      <c r="AS359" s="44"/>
      <c r="AT359" s="44"/>
      <c r="AU359" s="44"/>
      <c r="AV359" s="44"/>
      <c r="AW359" s="44"/>
      <c r="AX359" s="44"/>
      <c r="AY359" s="44"/>
      <c r="AZ359" s="46"/>
    </row>
    <row r="360" customFormat="false" ht="18" hidden="false" customHeight="true" outlineLevel="0" collapsed="false">
      <c r="A360" s="47" t="n">
        <v>11424</v>
      </c>
      <c r="B360" s="48" t="s">
        <v>66</v>
      </c>
      <c r="C360" s="47" t="n">
        <v>11424</v>
      </c>
      <c r="D360" s="48" t="s">
        <v>57</v>
      </c>
      <c r="E360" s="48" t="s">
        <v>208</v>
      </c>
      <c r="F360" s="48" t="s">
        <v>1747</v>
      </c>
      <c r="G360" s="49" t="s">
        <v>1471</v>
      </c>
      <c r="H360" s="48" t="s">
        <v>14</v>
      </c>
      <c r="I360" s="48" t="s">
        <v>1601</v>
      </c>
      <c r="J360" s="48" t="s">
        <v>1567</v>
      </c>
      <c r="K360" s="48" t="s">
        <v>48</v>
      </c>
      <c r="L360" s="48" t="s">
        <v>48</v>
      </c>
      <c r="M360" s="48"/>
      <c r="N360" s="50" t="s">
        <v>1443</v>
      </c>
      <c r="O360" s="51" t="s">
        <v>1715</v>
      </c>
      <c r="P360" s="52" t="n">
        <v>1</v>
      </c>
      <c r="Q360" s="51"/>
      <c r="R360" s="52" t="s">
        <v>1519</v>
      </c>
      <c r="S360" s="52"/>
      <c r="T360" s="52"/>
      <c r="U360" s="53" t="n">
        <v>152220</v>
      </c>
      <c r="V360" s="54" t="n">
        <v>152220</v>
      </c>
      <c r="W360" s="55" t="n">
        <v>0.12</v>
      </c>
      <c r="X360" s="52" t="n">
        <v>0.055</v>
      </c>
      <c r="Y360" s="55" t="n">
        <v>0.12</v>
      </c>
      <c r="Z360" s="56"/>
      <c r="AA360" s="55" t="n">
        <v>0.04</v>
      </c>
      <c r="AB360" s="57" t="n">
        <v>203213.7</v>
      </c>
      <c r="AC360" s="44"/>
      <c r="AD360" s="44"/>
      <c r="AE360" s="44" t="n">
        <v>203213.7</v>
      </c>
      <c r="AF360" s="44" t="s">
        <v>53</v>
      </c>
      <c r="AG360" s="44" t="n">
        <v>0</v>
      </c>
      <c r="AH360" s="58" t="s">
        <v>14</v>
      </c>
      <c r="AI360" s="44" t="n">
        <v>0</v>
      </c>
      <c r="AJ360" s="44" t="s">
        <v>48</v>
      </c>
      <c r="AK360" s="44" t="s">
        <v>47</v>
      </c>
      <c r="AL360" s="44" t="s">
        <v>48</v>
      </c>
      <c r="AM360" s="44" t="n">
        <v>0</v>
      </c>
      <c r="AN360" s="44"/>
      <c r="AO360" s="44"/>
      <c r="AP360" s="44"/>
      <c r="AQ360" s="45" t="s">
        <v>65</v>
      </c>
      <c r="AR360" s="44" t="s">
        <v>1282</v>
      </c>
      <c r="AS360" s="44"/>
      <c r="AT360" s="44"/>
      <c r="AU360" s="44"/>
      <c r="AV360" s="44"/>
      <c r="AW360" s="44"/>
      <c r="AX360" s="44"/>
      <c r="AY360" s="44"/>
      <c r="AZ360" s="46"/>
    </row>
    <row r="361" customFormat="false" ht="18" hidden="false" customHeight="true" outlineLevel="0" collapsed="false">
      <c r="A361" s="47" t="s">
        <v>1507</v>
      </c>
      <c r="B361" s="48" t="s">
        <v>69</v>
      </c>
      <c r="C361" s="47" t="s">
        <v>1507</v>
      </c>
      <c r="D361" s="48" t="s">
        <v>70</v>
      </c>
      <c r="E361" s="48" t="s">
        <v>208</v>
      </c>
      <c r="F361" s="48" t="s">
        <v>1747</v>
      </c>
      <c r="G361" s="49" t="s">
        <v>1471</v>
      </c>
      <c r="H361" s="48" t="s">
        <v>14</v>
      </c>
      <c r="I361" s="48" t="s">
        <v>1601</v>
      </c>
      <c r="J361" s="48" t="s">
        <v>1567</v>
      </c>
      <c r="K361" s="48" t="s">
        <v>48</v>
      </c>
      <c r="L361" s="48" t="s">
        <v>48</v>
      </c>
      <c r="M361" s="48"/>
      <c r="N361" s="50" t="s">
        <v>1443</v>
      </c>
      <c r="O361" s="51" t="s">
        <v>1715</v>
      </c>
      <c r="P361" s="52" t="n">
        <v>1</v>
      </c>
      <c r="Q361" s="51"/>
      <c r="R361" s="52" t="s">
        <v>1513</v>
      </c>
      <c r="S361" s="52"/>
      <c r="T361" s="52"/>
      <c r="U361" s="53" t="n">
        <v>129650</v>
      </c>
      <c r="V361" s="54" t="n">
        <v>129650</v>
      </c>
      <c r="W361" s="55" t="n">
        <v>0.1</v>
      </c>
      <c r="X361" s="52" t="n">
        <v>0.055</v>
      </c>
      <c r="Y361" s="55" t="n">
        <v>0.12</v>
      </c>
      <c r="Z361" s="56"/>
      <c r="AA361" s="55" t="n">
        <v>0.04</v>
      </c>
      <c r="AB361" s="57" t="n">
        <v>170489.75</v>
      </c>
      <c r="AC361" s="44"/>
      <c r="AD361" s="44"/>
      <c r="AE361" s="44" t="n">
        <v>170489.75</v>
      </c>
      <c r="AF361" s="44" t="s">
        <v>69</v>
      </c>
      <c r="AG361" s="44" t="n">
        <v>0</v>
      </c>
      <c r="AH361" s="58" t="s">
        <v>14</v>
      </c>
      <c r="AI361" s="44" t="n">
        <v>0</v>
      </c>
      <c r="AJ361" s="44" t="s">
        <v>48</v>
      </c>
      <c r="AK361" s="44" t="s">
        <v>47</v>
      </c>
      <c r="AL361" s="44" t="s">
        <v>48</v>
      </c>
      <c r="AM361" s="44" t="n">
        <v>0</v>
      </c>
      <c r="AN361" s="44"/>
      <c r="AO361" s="44"/>
      <c r="AP361" s="44"/>
      <c r="AQ361" s="45" t="s">
        <v>68</v>
      </c>
      <c r="AR361" s="44" t="s">
        <v>1282</v>
      </c>
      <c r="AS361" s="44"/>
      <c r="AT361" s="44"/>
      <c r="AU361" s="44"/>
      <c r="AV361" s="44"/>
      <c r="AW361" s="44"/>
      <c r="AX361" s="44"/>
      <c r="AY361" s="44"/>
      <c r="AZ361" s="46"/>
    </row>
    <row r="362" customFormat="false" ht="18" hidden="false" customHeight="true" outlineLevel="0" collapsed="false">
      <c r="A362" s="47" t="n">
        <v>117167</v>
      </c>
      <c r="B362" s="48" t="s">
        <v>73</v>
      </c>
      <c r="C362" s="47" t="n">
        <v>117167</v>
      </c>
      <c r="D362" s="48" t="s">
        <v>57</v>
      </c>
      <c r="E362" s="48" t="s">
        <v>208</v>
      </c>
      <c r="F362" s="48" t="s">
        <v>1747</v>
      </c>
      <c r="G362" s="49" t="s">
        <v>1471</v>
      </c>
      <c r="H362" s="48" t="s">
        <v>14</v>
      </c>
      <c r="I362" s="48" t="s">
        <v>1601</v>
      </c>
      <c r="J362" s="48" t="s">
        <v>1567</v>
      </c>
      <c r="K362" s="48" t="s">
        <v>48</v>
      </c>
      <c r="L362" s="48" t="s">
        <v>48</v>
      </c>
      <c r="M362" s="48"/>
      <c r="N362" s="50" t="s">
        <v>1443</v>
      </c>
      <c r="O362" s="51" t="s">
        <v>1715</v>
      </c>
      <c r="P362" s="52" t="n">
        <v>1</v>
      </c>
      <c r="Q362" s="51"/>
      <c r="R362" s="52" t="s">
        <v>1519</v>
      </c>
      <c r="S362" s="52"/>
      <c r="T362" s="52"/>
      <c r="U362" s="53" t="n">
        <v>145000</v>
      </c>
      <c r="V362" s="54" t="n">
        <v>145000</v>
      </c>
      <c r="W362" s="55" t="n">
        <v>0.12</v>
      </c>
      <c r="X362" s="52" t="n">
        <v>0.055</v>
      </c>
      <c r="Y362" s="55" t="n">
        <v>0.12</v>
      </c>
      <c r="Z362" s="56"/>
      <c r="AA362" s="55" t="n">
        <v>0.04</v>
      </c>
      <c r="AB362" s="57" t="n">
        <v>193575</v>
      </c>
      <c r="AC362" s="44"/>
      <c r="AD362" s="44"/>
      <c r="AE362" s="44" t="n">
        <v>193575</v>
      </c>
      <c r="AF362" s="44" t="s">
        <v>53</v>
      </c>
      <c r="AG362" s="44" t="n">
        <v>0</v>
      </c>
      <c r="AH362" s="58" t="s">
        <v>14</v>
      </c>
      <c r="AI362" s="44" t="n">
        <v>0</v>
      </c>
      <c r="AJ362" s="44" t="s">
        <v>48</v>
      </c>
      <c r="AK362" s="44" t="s">
        <v>47</v>
      </c>
      <c r="AL362" s="44" t="s">
        <v>48</v>
      </c>
      <c r="AM362" s="44" t="n">
        <v>0</v>
      </c>
      <c r="AN362" s="44"/>
      <c r="AO362" s="44"/>
      <c r="AP362" s="44"/>
      <c r="AQ362" s="45" t="s">
        <v>72</v>
      </c>
      <c r="AR362" s="44" t="s">
        <v>1282</v>
      </c>
      <c r="AS362" s="44"/>
      <c r="AT362" s="44"/>
      <c r="AU362" s="44"/>
      <c r="AV362" s="44"/>
      <c r="AW362" s="44"/>
      <c r="AX362" s="44"/>
      <c r="AY362" s="44"/>
      <c r="AZ362" s="46"/>
    </row>
    <row r="363" customFormat="false" ht="18" hidden="false" customHeight="true" outlineLevel="0" collapsed="false">
      <c r="A363" s="47" t="n">
        <v>114829</v>
      </c>
      <c r="B363" s="48" t="s">
        <v>75</v>
      </c>
      <c r="C363" s="47" t="n">
        <v>114829</v>
      </c>
      <c r="D363" s="48" t="s">
        <v>57</v>
      </c>
      <c r="E363" s="48" t="s">
        <v>208</v>
      </c>
      <c r="F363" s="48" t="s">
        <v>1747</v>
      </c>
      <c r="G363" s="49" t="s">
        <v>1471</v>
      </c>
      <c r="H363" s="48" t="s">
        <v>14</v>
      </c>
      <c r="I363" s="48" t="s">
        <v>1601</v>
      </c>
      <c r="J363" s="48" t="s">
        <v>1567</v>
      </c>
      <c r="K363" s="48" t="s">
        <v>48</v>
      </c>
      <c r="L363" s="48" t="s">
        <v>48</v>
      </c>
      <c r="M363" s="48"/>
      <c r="N363" s="50" t="s">
        <v>1549</v>
      </c>
      <c r="O363" s="51" t="s">
        <v>1715</v>
      </c>
      <c r="P363" s="52" t="n">
        <v>1</v>
      </c>
      <c r="Q363" s="51"/>
      <c r="R363" s="52" t="s">
        <v>1519</v>
      </c>
      <c r="S363" s="52"/>
      <c r="T363" s="52"/>
      <c r="U363" s="53" t="n">
        <v>133000</v>
      </c>
      <c r="V363" s="54" t="n">
        <v>160930</v>
      </c>
      <c r="W363" s="55" t="n">
        <v>0.25</v>
      </c>
      <c r="X363" s="52"/>
      <c r="Y363" s="55" t="n">
        <v>0.17</v>
      </c>
      <c r="Z363" s="56" t="n">
        <v>3310</v>
      </c>
      <c r="AA363" s="55" t="n">
        <v>0.045</v>
      </c>
      <c r="AB363" s="57" t="n">
        <v>239072.45</v>
      </c>
      <c r="AC363" s="44"/>
      <c r="AD363" s="44"/>
      <c r="AE363" s="44" t="n">
        <v>239072.45</v>
      </c>
      <c r="AF363" s="44" t="s">
        <v>53</v>
      </c>
      <c r="AG363" s="44" t="n">
        <v>0</v>
      </c>
      <c r="AH363" s="58" t="s">
        <v>14</v>
      </c>
      <c r="AI363" s="44" t="n">
        <v>0</v>
      </c>
      <c r="AJ363" s="44" t="s">
        <v>48</v>
      </c>
      <c r="AK363" s="44" t="s">
        <v>47</v>
      </c>
      <c r="AL363" s="44" t="s">
        <v>48</v>
      </c>
      <c r="AM363" s="44" t="n">
        <v>0</v>
      </c>
      <c r="AN363" s="44"/>
      <c r="AO363" s="44"/>
      <c r="AP363" s="44"/>
      <c r="AQ363" s="45" t="s">
        <v>74</v>
      </c>
      <c r="AR363" s="44" t="s">
        <v>1282</v>
      </c>
      <c r="AS363" s="44"/>
      <c r="AT363" s="44"/>
      <c r="AU363" s="44"/>
      <c r="AV363" s="44"/>
      <c r="AW363" s="44"/>
      <c r="AX363" s="44"/>
      <c r="AY363" s="44"/>
      <c r="AZ363" s="46"/>
    </row>
    <row r="364" customFormat="false" ht="18" hidden="false" customHeight="true" outlineLevel="0" collapsed="false">
      <c r="A364" s="47" t="n">
        <v>8005</v>
      </c>
      <c r="B364" s="48" t="s">
        <v>879</v>
      </c>
      <c r="C364" s="47" t="n">
        <v>8005</v>
      </c>
      <c r="D364" s="48" t="s">
        <v>850</v>
      </c>
      <c r="E364" s="48" t="s">
        <v>69</v>
      </c>
      <c r="F364" s="48" t="s">
        <v>1690</v>
      </c>
      <c r="G364" s="49" t="s">
        <v>30</v>
      </c>
      <c r="H364" s="48" t="s">
        <v>1619</v>
      </c>
      <c r="I364" s="48" t="s">
        <v>1691</v>
      </c>
      <c r="J364" s="48" t="s">
        <v>1149</v>
      </c>
      <c r="K364" s="48" t="s">
        <v>1149</v>
      </c>
      <c r="L364" s="48" t="s">
        <v>846</v>
      </c>
      <c r="M364" s="48"/>
      <c r="N364" s="50" t="s">
        <v>1443</v>
      </c>
      <c r="O364" s="51" t="s">
        <v>1715</v>
      </c>
      <c r="P364" s="52" t="n">
        <v>1</v>
      </c>
      <c r="Q364" s="51"/>
      <c r="R364" s="52" t="s">
        <v>1519</v>
      </c>
      <c r="S364" s="52"/>
      <c r="T364" s="52"/>
      <c r="U364" s="53" t="n">
        <v>152280</v>
      </c>
      <c r="V364" s="54" t="n">
        <v>152280</v>
      </c>
      <c r="W364" s="55" t="n">
        <v>0.12</v>
      </c>
      <c r="X364" s="52" t="n">
        <v>0.055</v>
      </c>
      <c r="Y364" s="55" t="n">
        <v>0.12</v>
      </c>
      <c r="Z364" s="56"/>
      <c r="AA364" s="55" t="n">
        <v>0.04</v>
      </c>
      <c r="AB364" s="57" t="n">
        <v>203293.8</v>
      </c>
      <c r="AC364" s="44"/>
      <c r="AD364" s="44"/>
      <c r="AE364" s="44" t="n">
        <v>203293.8</v>
      </c>
      <c r="AF364" s="44" t="s">
        <v>53</v>
      </c>
      <c r="AG364" s="44" t="n">
        <v>0</v>
      </c>
      <c r="AH364" s="58" t="s">
        <v>30</v>
      </c>
      <c r="AI364" s="44" t="n">
        <v>0</v>
      </c>
      <c r="AJ364" s="44" t="s">
        <v>846</v>
      </c>
      <c r="AK364" s="44" t="s">
        <v>47</v>
      </c>
      <c r="AL364" s="44" t="s">
        <v>846</v>
      </c>
      <c r="AM364" s="44" t="n">
        <v>0</v>
      </c>
      <c r="AN364" s="44"/>
      <c r="AO364" s="44"/>
      <c r="AP364" s="44"/>
      <c r="AQ364" s="45" t="s">
        <v>878</v>
      </c>
      <c r="AR364" s="44" t="s">
        <v>1282</v>
      </c>
      <c r="AS364" s="44"/>
      <c r="AT364" s="44"/>
      <c r="AU364" s="44"/>
      <c r="AV364" s="44"/>
      <c r="AW364" s="44"/>
      <c r="AX364" s="44"/>
      <c r="AY364" s="44"/>
      <c r="AZ364" s="46"/>
    </row>
    <row r="365" customFormat="false" ht="18" hidden="false" customHeight="true" outlineLevel="0" collapsed="false">
      <c r="A365" s="47" t="n">
        <v>111449</v>
      </c>
      <c r="B365" s="48" t="s">
        <v>701</v>
      </c>
      <c r="C365" s="47" t="n">
        <v>111449</v>
      </c>
      <c r="D365" s="48" t="s">
        <v>86</v>
      </c>
      <c r="E365" s="48" t="s">
        <v>69</v>
      </c>
      <c r="F365" s="48" t="s">
        <v>1634</v>
      </c>
      <c r="G365" s="49" t="s">
        <v>1461</v>
      </c>
      <c r="H365" s="48" t="s">
        <v>1161</v>
      </c>
      <c r="I365" s="48" t="s">
        <v>1584</v>
      </c>
      <c r="J365" s="48" t="s">
        <v>24</v>
      </c>
      <c r="K365" s="48" t="s">
        <v>1158</v>
      </c>
      <c r="L365" s="48" t="s">
        <v>1158</v>
      </c>
      <c r="M365" s="48"/>
      <c r="N365" s="50" t="s">
        <v>1443</v>
      </c>
      <c r="O365" s="51" t="s">
        <v>1715</v>
      </c>
      <c r="P365" s="52" t="n">
        <v>1</v>
      </c>
      <c r="Q365" s="68"/>
      <c r="R365" s="52" t="s">
        <v>1519</v>
      </c>
      <c r="S365" s="52"/>
      <c r="T365" s="52"/>
      <c r="U365" s="53" t="n">
        <v>141930</v>
      </c>
      <c r="V365" s="54" t="n">
        <v>141930</v>
      </c>
      <c r="W365" s="55" t="n">
        <v>0.12</v>
      </c>
      <c r="X365" s="52" t="n">
        <v>0.055</v>
      </c>
      <c r="Y365" s="55" t="n">
        <v>0.12</v>
      </c>
      <c r="Z365" s="56"/>
      <c r="AA365" s="55" t="n">
        <v>0.04</v>
      </c>
      <c r="AB365" s="57" t="n">
        <v>189476.55</v>
      </c>
      <c r="AC365" s="44"/>
      <c r="AD365" s="44"/>
      <c r="AE365" s="44" t="n">
        <v>189476.55</v>
      </c>
      <c r="AF365" s="44" t="s">
        <v>53</v>
      </c>
      <c r="AG365" s="44" t="n">
        <v>0</v>
      </c>
      <c r="AH365" s="58" t="s">
        <v>24</v>
      </c>
      <c r="AI365" s="44" t="n">
        <v>0</v>
      </c>
      <c r="AJ365" s="44" t="s">
        <v>689</v>
      </c>
      <c r="AK365" s="44" t="s">
        <v>47</v>
      </c>
      <c r="AL365" s="44" t="s">
        <v>689</v>
      </c>
      <c r="AM365" s="44" t="n">
        <v>0</v>
      </c>
      <c r="AN365" s="44"/>
      <c r="AO365" s="44"/>
      <c r="AP365" s="44"/>
      <c r="AQ365" s="45" t="s">
        <v>700</v>
      </c>
      <c r="AR365" s="44" t="s">
        <v>1282</v>
      </c>
      <c r="AS365" s="44"/>
      <c r="AT365" s="44"/>
      <c r="AU365" s="44"/>
      <c r="AV365" s="44"/>
      <c r="AW365" s="44"/>
      <c r="AX365" s="44"/>
      <c r="AY365" s="44"/>
      <c r="AZ365" s="46"/>
    </row>
    <row r="366" customFormat="false" ht="18" hidden="false" customHeight="true" outlineLevel="0" collapsed="false">
      <c r="A366" s="47" t="n">
        <v>105068</v>
      </c>
      <c r="B366" s="48" t="s">
        <v>703</v>
      </c>
      <c r="C366" s="47" t="n">
        <v>105068</v>
      </c>
      <c r="D366" s="48" t="s">
        <v>704</v>
      </c>
      <c r="E366" s="48" t="s">
        <v>69</v>
      </c>
      <c r="F366" s="48" t="s">
        <v>1634</v>
      </c>
      <c r="G366" s="49" t="s">
        <v>1461</v>
      </c>
      <c r="H366" s="48" t="s">
        <v>1161</v>
      </c>
      <c r="I366" s="48" t="s">
        <v>1584</v>
      </c>
      <c r="J366" s="48" t="s">
        <v>24</v>
      </c>
      <c r="K366" s="48" t="s">
        <v>1158</v>
      </c>
      <c r="L366" s="48" t="s">
        <v>1158</v>
      </c>
      <c r="M366" s="48"/>
      <c r="N366" s="50" t="s">
        <v>1443</v>
      </c>
      <c r="O366" s="51" t="s">
        <v>1715</v>
      </c>
      <c r="P366" s="52" t="n">
        <v>1</v>
      </c>
      <c r="Q366" s="69"/>
      <c r="R366" s="52" t="s">
        <v>1519</v>
      </c>
      <c r="S366" s="52"/>
      <c r="T366" s="52"/>
      <c r="U366" s="53" t="n">
        <v>172530</v>
      </c>
      <c r="V366" s="54" t="n">
        <v>172530</v>
      </c>
      <c r="W366" s="55" t="n">
        <v>0.12</v>
      </c>
      <c r="X366" s="52" t="n">
        <v>0.055</v>
      </c>
      <c r="Y366" s="55" t="n">
        <v>0.12</v>
      </c>
      <c r="Z366" s="56"/>
      <c r="AA366" s="55" t="n">
        <v>0.04</v>
      </c>
      <c r="AB366" s="57" t="n">
        <v>230327.55</v>
      </c>
      <c r="AC366" s="44"/>
      <c r="AD366" s="44"/>
      <c r="AE366" s="44" t="n">
        <v>230327.55</v>
      </c>
      <c r="AF366" s="44" t="s">
        <v>53</v>
      </c>
      <c r="AG366" s="44" t="n">
        <v>0</v>
      </c>
      <c r="AH366" s="58" t="s">
        <v>24</v>
      </c>
      <c r="AI366" s="44" t="n">
        <v>0</v>
      </c>
      <c r="AJ366" s="44" t="s">
        <v>689</v>
      </c>
      <c r="AK366" s="44" t="s">
        <v>47</v>
      </c>
      <c r="AL366" s="44" t="s">
        <v>689</v>
      </c>
      <c r="AM366" s="44" t="n">
        <v>0</v>
      </c>
      <c r="AN366" s="44"/>
      <c r="AO366" s="44"/>
      <c r="AP366" s="44"/>
      <c r="AQ366" s="45" t="s">
        <v>702</v>
      </c>
      <c r="AR366" s="44" t="s">
        <v>1282</v>
      </c>
      <c r="AS366" s="44"/>
      <c r="AT366" s="44"/>
      <c r="AU366" s="44"/>
      <c r="AV366" s="44"/>
      <c r="AW366" s="44"/>
      <c r="AX366" s="44"/>
      <c r="AY366" s="44"/>
      <c r="AZ366" s="46"/>
    </row>
    <row r="367" customFormat="false" ht="18" hidden="false" customHeight="true" outlineLevel="0" collapsed="false">
      <c r="A367" s="47" t="n">
        <v>97479</v>
      </c>
      <c r="B367" s="48" t="s">
        <v>706</v>
      </c>
      <c r="C367" s="47" t="n">
        <v>97479</v>
      </c>
      <c r="D367" s="48" t="s">
        <v>565</v>
      </c>
      <c r="E367" s="48" t="s">
        <v>69</v>
      </c>
      <c r="F367" s="48" t="s">
        <v>1634</v>
      </c>
      <c r="G367" s="49" t="s">
        <v>1461</v>
      </c>
      <c r="H367" s="48" t="s">
        <v>1161</v>
      </c>
      <c r="I367" s="48" t="s">
        <v>1584</v>
      </c>
      <c r="J367" s="48" t="s">
        <v>24</v>
      </c>
      <c r="K367" s="48" t="s">
        <v>1158</v>
      </c>
      <c r="L367" s="48" t="s">
        <v>1158</v>
      </c>
      <c r="M367" s="48"/>
      <c r="N367" s="50" t="s">
        <v>1443</v>
      </c>
      <c r="O367" s="51" t="s">
        <v>1715</v>
      </c>
      <c r="P367" s="52" t="n">
        <v>1</v>
      </c>
      <c r="Q367" s="68"/>
      <c r="R367" s="52" t="s">
        <v>1519</v>
      </c>
      <c r="S367" s="52"/>
      <c r="T367" s="52"/>
      <c r="U367" s="53" t="n">
        <v>154440</v>
      </c>
      <c r="V367" s="54" t="n">
        <v>154440</v>
      </c>
      <c r="W367" s="55" t="n">
        <v>0.12</v>
      </c>
      <c r="X367" s="52" t="n">
        <v>0.055</v>
      </c>
      <c r="Y367" s="55" t="n">
        <v>0.12</v>
      </c>
      <c r="Z367" s="56"/>
      <c r="AA367" s="55" t="n">
        <v>0.04</v>
      </c>
      <c r="AB367" s="57" t="n">
        <v>206177.4</v>
      </c>
      <c r="AC367" s="44"/>
      <c r="AD367" s="44"/>
      <c r="AE367" s="44" t="n">
        <v>206177.4</v>
      </c>
      <c r="AF367" s="44" t="s">
        <v>53</v>
      </c>
      <c r="AG367" s="44" t="n">
        <v>0</v>
      </c>
      <c r="AH367" s="58" t="s">
        <v>24</v>
      </c>
      <c r="AI367" s="44" t="n">
        <v>0</v>
      </c>
      <c r="AJ367" s="44" t="s">
        <v>689</v>
      </c>
      <c r="AK367" s="44" t="s">
        <v>47</v>
      </c>
      <c r="AL367" s="44" t="s">
        <v>689</v>
      </c>
      <c r="AM367" s="44" t="n">
        <v>0</v>
      </c>
      <c r="AN367" s="44"/>
      <c r="AO367" s="44"/>
      <c r="AP367" s="44"/>
      <c r="AQ367" s="45" t="s">
        <v>705</v>
      </c>
      <c r="AR367" s="44" t="s">
        <v>1282</v>
      </c>
      <c r="AS367" s="44"/>
      <c r="AT367" s="44"/>
      <c r="AU367" s="44"/>
      <c r="AV367" s="44"/>
      <c r="AW367" s="44"/>
      <c r="AX367" s="44"/>
      <c r="AY367" s="44"/>
      <c r="AZ367" s="46"/>
    </row>
    <row r="368" customFormat="false" ht="18" hidden="false" customHeight="true" outlineLevel="0" collapsed="false">
      <c r="A368" s="47" t="n">
        <v>95835</v>
      </c>
      <c r="B368" s="48" t="s">
        <v>1748</v>
      </c>
      <c r="C368" s="47" t="n">
        <v>95835</v>
      </c>
      <c r="D368" s="48" t="s">
        <v>1749</v>
      </c>
      <c r="E368" s="48" t="s">
        <v>69</v>
      </c>
      <c r="F368" s="48" t="s">
        <v>1508</v>
      </c>
      <c r="G368" s="49" t="s">
        <v>1511</v>
      </c>
      <c r="H368" s="48" t="s">
        <v>1255</v>
      </c>
      <c r="I368" s="48" t="s">
        <v>1159</v>
      </c>
      <c r="J368" s="48" t="s">
        <v>1159</v>
      </c>
      <c r="K368" s="48" t="s">
        <v>1159</v>
      </c>
      <c r="L368" s="48" t="s">
        <v>1159</v>
      </c>
      <c r="M368" s="48"/>
      <c r="N368" s="50" t="s">
        <v>1443</v>
      </c>
      <c r="O368" s="51" t="s">
        <v>1715</v>
      </c>
      <c r="P368" s="52" t="n">
        <v>1</v>
      </c>
      <c r="Q368" s="68"/>
      <c r="R368" s="52" t="s">
        <v>1519</v>
      </c>
      <c r="S368" s="52"/>
      <c r="T368" s="52"/>
      <c r="U368" s="53" t="n">
        <v>153600</v>
      </c>
      <c r="V368" s="54" t="n">
        <v>153600</v>
      </c>
      <c r="W368" s="55" t="n">
        <v>0.12</v>
      </c>
      <c r="X368" s="52" t="n">
        <v>0.055</v>
      </c>
      <c r="Y368" s="55" t="n">
        <v>0.12</v>
      </c>
      <c r="Z368" s="56"/>
      <c r="AA368" s="55" t="n">
        <v>0.04</v>
      </c>
      <c r="AB368" s="57" t="n">
        <v>205056</v>
      </c>
      <c r="AC368" s="44"/>
      <c r="AD368" s="44"/>
      <c r="AE368" s="44" t="n">
        <v>205056</v>
      </c>
      <c r="AF368" s="44" t="s">
        <v>53</v>
      </c>
      <c r="AG368" s="44" t="n">
        <v>0</v>
      </c>
      <c r="AH368" s="58" t="s">
        <v>1514</v>
      </c>
      <c r="AI368" s="44" t="n">
        <v>0</v>
      </c>
      <c r="AJ368" s="44" t="s">
        <v>1255</v>
      </c>
      <c r="AK368" s="44" t="s">
        <v>47</v>
      </c>
      <c r="AL368" s="44" t="s">
        <v>1255</v>
      </c>
      <c r="AM368" s="44" t="n">
        <v>0</v>
      </c>
      <c r="AN368" s="44"/>
      <c r="AO368" s="44"/>
      <c r="AP368" s="44"/>
      <c r="AQ368" s="45" t="s">
        <v>1386</v>
      </c>
      <c r="AR368" s="44" t="s">
        <v>1282</v>
      </c>
      <c r="AS368" s="44"/>
      <c r="AT368" s="44"/>
      <c r="AU368" s="44"/>
      <c r="AV368" s="44"/>
      <c r="AW368" s="44"/>
      <c r="AX368" s="44"/>
      <c r="AY368" s="44"/>
      <c r="AZ368" s="46"/>
    </row>
    <row r="369" customFormat="false" ht="18" hidden="false" customHeight="true" outlineLevel="0" collapsed="false">
      <c r="A369" s="47" t="n">
        <v>113362</v>
      </c>
      <c r="B369" s="48" t="s">
        <v>1750</v>
      </c>
      <c r="C369" s="47" t="n">
        <v>113362</v>
      </c>
      <c r="D369" s="48" t="s">
        <v>1751</v>
      </c>
      <c r="E369" s="48" t="s">
        <v>69</v>
      </c>
      <c r="F369" s="48" t="s">
        <v>1508</v>
      </c>
      <c r="G369" s="49" t="s">
        <v>1511</v>
      </c>
      <c r="H369" s="48" t="s">
        <v>1255</v>
      </c>
      <c r="I369" s="48" t="s">
        <v>1159</v>
      </c>
      <c r="J369" s="48" t="s">
        <v>1159</v>
      </c>
      <c r="K369" s="48" t="s">
        <v>1159</v>
      </c>
      <c r="L369" s="48" t="s">
        <v>1159</v>
      </c>
      <c r="M369" s="48"/>
      <c r="N369" s="50" t="s">
        <v>1443</v>
      </c>
      <c r="O369" s="51" t="s">
        <v>1715</v>
      </c>
      <c r="P369" s="52" t="n">
        <v>1</v>
      </c>
      <c r="Q369" s="69"/>
      <c r="R369" s="52" t="s">
        <v>1519</v>
      </c>
      <c r="S369" s="52"/>
      <c r="T369" s="52"/>
      <c r="U369" s="53" t="n">
        <v>137420</v>
      </c>
      <c r="V369" s="54" t="n">
        <v>137420</v>
      </c>
      <c r="W369" s="55" t="n">
        <v>0.12</v>
      </c>
      <c r="X369" s="52" t="n">
        <v>0.055</v>
      </c>
      <c r="Y369" s="55" t="n">
        <v>0.12</v>
      </c>
      <c r="Z369" s="56"/>
      <c r="AA369" s="55" t="n">
        <v>0.04</v>
      </c>
      <c r="AB369" s="57" t="n">
        <v>183455.7</v>
      </c>
      <c r="AC369" s="44"/>
      <c r="AD369" s="44"/>
      <c r="AE369" s="44" t="n">
        <v>183455.7</v>
      </c>
      <c r="AF369" s="44" t="s">
        <v>53</v>
      </c>
      <c r="AG369" s="44" t="n">
        <v>0</v>
      </c>
      <c r="AH369" s="58" t="s">
        <v>1514</v>
      </c>
      <c r="AI369" s="44" t="n">
        <v>0</v>
      </c>
      <c r="AJ369" s="44" t="s">
        <v>1255</v>
      </c>
      <c r="AK369" s="44" t="s">
        <v>47</v>
      </c>
      <c r="AL369" s="44" t="s">
        <v>1255</v>
      </c>
      <c r="AM369" s="44" t="n">
        <v>0</v>
      </c>
      <c r="AN369" s="44"/>
      <c r="AO369" s="44"/>
      <c r="AP369" s="44"/>
      <c r="AQ369" s="45" t="s">
        <v>1387</v>
      </c>
      <c r="AR369" s="44" t="s">
        <v>1282</v>
      </c>
      <c r="AS369" s="44"/>
      <c r="AT369" s="44"/>
      <c r="AU369" s="44"/>
      <c r="AV369" s="44"/>
      <c r="AW369" s="44"/>
      <c r="AX369" s="44"/>
      <c r="AY369" s="44"/>
      <c r="AZ369" s="46"/>
    </row>
    <row r="370" customFormat="false" ht="18" hidden="false" customHeight="true" outlineLevel="0" collapsed="false">
      <c r="A370" s="47" t="n">
        <v>6851</v>
      </c>
      <c r="B370" s="48" t="s">
        <v>521</v>
      </c>
      <c r="C370" s="47" t="n">
        <v>6851</v>
      </c>
      <c r="D370" s="48" t="s">
        <v>133</v>
      </c>
      <c r="E370" s="48" t="s">
        <v>69</v>
      </c>
      <c r="F370" s="48" t="s">
        <v>203</v>
      </c>
      <c r="G370" s="49" t="s">
        <v>1461</v>
      </c>
      <c r="H370" s="48" t="s">
        <v>20</v>
      </c>
      <c r="I370" s="48" t="s">
        <v>1606</v>
      </c>
      <c r="J370" s="48" t="s">
        <v>20</v>
      </c>
      <c r="K370" s="48" t="s">
        <v>512</v>
      </c>
      <c r="L370" s="48" t="s">
        <v>512</v>
      </c>
      <c r="M370" s="48"/>
      <c r="N370" s="50" t="s">
        <v>1443</v>
      </c>
      <c r="O370" s="51" t="s">
        <v>1715</v>
      </c>
      <c r="P370" s="52" t="n">
        <v>1</v>
      </c>
      <c r="Q370" s="68"/>
      <c r="R370" s="52" t="s">
        <v>1519</v>
      </c>
      <c r="S370" s="52"/>
      <c r="T370" s="52"/>
      <c r="U370" s="53" t="n">
        <v>164050</v>
      </c>
      <c r="V370" s="54" t="n">
        <v>164050</v>
      </c>
      <c r="W370" s="55" t="n">
        <v>0.12</v>
      </c>
      <c r="X370" s="52" t="n">
        <v>0.055</v>
      </c>
      <c r="Y370" s="55" t="n">
        <v>0.12</v>
      </c>
      <c r="Z370" s="56"/>
      <c r="AA370" s="55" t="n">
        <v>0.04</v>
      </c>
      <c r="AB370" s="57" t="n">
        <v>219006.75</v>
      </c>
      <c r="AC370" s="44"/>
      <c r="AD370" s="44"/>
      <c r="AE370" s="44" t="n">
        <v>219006.75</v>
      </c>
      <c r="AF370" s="44" t="s">
        <v>53</v>
      </c>
      <c r="AG370" s="44" t="n">
        <v>0</v>
      </c>
      <c r="AH370" s="58" t="s">
        <v>20</v>
      </c>
      <c r="AI370" s="44" t="n">
        <v>0</v>
      </c>
      <c r="AJ370" s="44" t="s">
        <v>512</v>
      </c>
      <c r="AK370" s="44" t="s">
        <v>47</v>
      </c>
      <c r="AL370" s="44" t="s">
        <v>512</v>
      </c>
      <c r="AM370" s="44" t="n">
        <v>0</v>
      </c>
      <c r="AN370" s="44"/>
      <c r="AO370" s="44"/>
      <c r="AP370" s="44"/>
      <c r="AQ370" s="45" t="s">
        <v>520</v>
      </c>
      <c r="AR370" s="44" t="s">
        <v>1282</v>
      </c>
      <c r="AS370" s="44"/>
      <c r="AT370" s="44"/>
      <c r="AU370" s="44"/>
      <c r="AV370" s="44"/>
      <c r="AW370" s="44"/>
      <c r="AX370" s="44"/>
      <c r="AY370" s="44"/>
      <c r="AZ370" s="46"/>
    </row>
    <row r="371" customFormat="false" ht="18" hidden="false" customHeight="true" outlineLevel="0" collapsed="false">
      <c r="A371" s="47" t="n">
        <v>108075</v>
      </c>
      <c r="B371" s="48" t="s">
        <v>536</v>
      </c>
      <c r="C371" s="47" t="n">
        <v>108075</v>
      </c>
      <c r="D371" s="48" t="s">
        <v>133</v>
      </c>
      <c r="E371" s="48" t="s">
        <v>69</v>
      </c>
      <c r="F371" s="48" t="s">
        <v>203</v>
      </c>
      <c r="G371" s="49" t="s">
        <v>1461</v>
      </c>
      <c r="H371" s="48" t="s">
        <v>20</v>
      </c>
      <c r="I371" s="48" t="s">
        <v>1606</v>
      </c>
      <c r="J371" s="48" t="s">
        <v>20</v>
      </c>
      <c r="K371" s="48" t="s">
        <v>517</v>
      </c>
      <c r="L371" s="48" t="s">
        <v>517</v>
      </c>
      <c r="M371" s="48"/>
      <c r="N371" s="50" t="s">
        <v>1443</v>
      </c>
      <c r="O371" s="51" t="s">
        <v>1715</v>
      </c>
      <c r="P371" s="52" t="n">
        <v>1</v>
      </c>
      <c r="Q371" s="68"/>
      <c r="R371" s="52" t="s">
        <v>1519</v>
      </c>
      <c r="S371" s="52"/>
      <c r="T371" s="52"/>
      <c r="U371" s="53" t="n">
        <v>169610</v>
      </c>
      <c r="V371" s="54" t="n">
        <v>169610</v>
      </c>
      <c r="W371" s="55" t="n">
        <v>0.12</v>
      </c>
      <c r="X371" s="52" t="n">
        <v>0.055</v>
      </c>
      <c r="Y371" s="55" t="n">
        <v>0.12</v>
      </c>
      <c r="Z371" s="56"/>
      <c r="AA371" s="55" t="n">
        <v>0.04</v>
      </c>
      <c r="AB371" s="57" t="n">
        <v>226429.35</v>
      </c>
      <c r="AC371" s="44"/>
      <c r="AD371" s="44"/>
      <c r="AE371" s="44" t="n">
        <v>226429.35</v>
      </c>
      <c r="AF371" s="44" t="s">
        <v>53</v>
      </c>
      <c r="AG371" s="44" t="n">
        <v>0</v>
      </c>
      <c r="AH371" s="58" t="s">
        <v>20</v>
      </c>
      <c r="AI371" s="44" t="n">
        <v>0</v>
      </c>
      <c r="AJ371" s="44" t="s">
        <v>517</v>
      </c>
      <c r="AK371" s="44" t="s">
        <v>47</v>
      </c>
      <c r="AL371" s="44" t="s">
        <v>517</v>
      </c>
      <c r="AM371" s="44" t="n">
        <v>0</v>
      </c>
      <c r="AN371" s="44"/>
      <c r="AO371" s="44"/>
      <c r="AP371" s="44"/>
      <c r="AQ371" s="45" t="s">
        <v>535</v>
      </c>
      <c r="AR371" s="44" t="s">
        <v>1282</v>
      </c>
      <c r="AS371" s="44"/>
      <c r="AT371" s="44"/>
      <c r="AU371" s="44"/>
      <c r="AV371" s="44"/>
      <c r="AW371" s="44"/>
      <c r="AX371" s="44"/>
      <c r="AY371" s="44"/>
      <c r="AZ371" s="46"/>
    </row>
    <row r="372" customFormat="false" ht="18" hidden="false" customHeight="true" outlineLevel="0" collapsed="false">
      <c r="A372" s="47" t="n">
        <v>85491</v>
      </c>
      <c r="B372" s="48" t="s">
        <v>629</v>
      </c>
      <c r="C372" s="47" t="n">
        <v>85491</v>
      </c>
      <c r="D372" s="48" t="s">
        <v>133</v>
      </c>
      <c r="E372" s="48" t="s">
        <v>69</v>
      </c>
      <c r="F372" s="48" t="s">
        <v>203</v>
      </c>
      <c r="G372" s="49" t="s">
        <v>1461</v>
      </c>
      <c r="H372" s="48" t="s">
        <v>1562</v>
      </c>
      <c r="I372" s="48" t="s">
        <v>1693</v>
      </c>
      <c r="J372" s="48" t="s">
        <v>1562</v>
      </c>
      <c r="K372" s="48" t="s">
        <v>613</v>
      </c>
      <c r="L372" s="48" t="s">
        <v>613</v>
      </c>
      <c r="M372" s="48"/>
      <c r="N372" s="50" t="s">
        <v>1443</v>
      </c>
      <c r="O372" s="51" t="s">
        <v>1715</v>
      </c>
      <c r="P372" s="52" t="n">
        <v>1</v>
      </c>
      <c r="Q372" s="68"/>
      <c r="R372" s="52" t="s">
        <v>1519</v>
      </c>
      <c r="S372" s="52"/>
      <c r="T372" s="52"/>
      <c r="U372" s="53" t="n">
        <v>164380</v>
      </c>
      <c r="V372" s="54" t="n">
        <v>164380</v>
      </c>
      <c r="W372" s="55" t="n">
        <v>0.12</v>
      </c>
      <c r="X372" s="52" t="n">
        <v>0.055</v>
      </c>
      <c r="Y372" s="55" t="n">
        <v>0.12</v>
      </c>
      <c r="Z372" s="56"/>
      <c r="AA372" s="55" t="n">
        <v>0.04</v>
      </c>
      <c r="AB372" s="57" t="n">
        <v>219447.3</v>
      </c>
      <c r="AC372" s="44"/>
      <c r="AD372" s="44"/>
      <c r="AE372" s="44" t="n">
        <v>219447.3</v>
      </c>
      <c r="AF372" s="44" t="s">
        <v>53</v>
      </c>
      <c r="AG372" s="44" t="n">
        <v>0</v>
      </c>
      <c r="AH372" s="58" t="s">
        <v>22</v>
      </c>
      <c r="AI372" s="44" t="n">
        <v>0</v>
      </c>
      <c r="AJ372" s="44" t="s">
        <v>613</v>
      </c>
      <c r="AK372" s="44" t="s">
        <v>47</v>
      </c>
      <c r="AL372" s="44" t="s">
        <v>613</v>
      </c>
      <c r="AM372" s="44" t="n">
        <v>0</v>
      </c>
      <c r="AN372" s="44"/>
      <c r="AO372" s="44"/>
      <c r="AP372" s="44"/>
      <c r="AQ372" s="45" t="s">
        <v>628</v>
      </c>
      <c r="AR372" s="44" t="s">
        <v>1282</v>
      </c>
      <c r="AS372" s="44"/>
      <c r="AT372" s="44"/>
      <c r="AU372" s="44"/>
      <c r="AV372" s="44"/>
      <c r="AW372" s="44"/>
      <c r="AX372" s="44"/>
      <c r="AY372" s="44"/>
      <c r="AZ372" s="46"/>
    </row>
    <row r="373" customFormat="false" ht="18" hidden="false" customHeight="true" outlineLevel="0" collapsed="false">
      <c r="A373" s="47" t="n">
        <v>102187</v>
      </c>
      <c r="B373" s="48" t="s">
        <v>593</v>
      </c>
      <c r="C373" s="47" t="n">
        <v>102187</v>
      </c>
      <c r="D373" s="48" t="s">
        <v>77</v>
      </c>
      <c r="E373" s="48" t="s">
        <v>69</v>
      </c>
      <c r="F373" s="48" t="s">
        <v>203</v>
      </c>
      <c r="G373" s="49" t="s">
        <v>1461</v>
      </c>
      <c r="H373" s="48" t="s">
        <v>20</v>
      </c>
      <c r="I373" s="48" t="s">
        <v>1606</v>
      </c>
      <c r="J373" s="48" t="s">
        <v>20</v>
      </c>
      <c r="K373" s="48" t="s">
        <v>569</v>
      </c>
      <c r="L373" s="48" t="s">
        <v>569</v>
      </c>
      <c r="M373" s="48"/>
      <c r="N373" s="50" t="s">
        <v>1549</v>
      </c>
      <c r="O373" s="51" t="s">
        <v>1715</v>
      </c>
      <c r="P373" s="52" t="n">
        <v>1</v>
      </c>
      <c r="Q373" s="69"/>
      <c r="R373" s="52" t="s">
        <v>1519</v>
      </c>
      <c r="S373" s="52"/>
      <c r="T373" s="52"/>
      <c r="U373" s="53" t="n">
        <v>155640</v>
      </c>
      <c r="V373" s="54" t="n">
        <v>188324.4</v>
      </c>
      <c r="W373" s="55" t="n">
        <v>0.25</v>
      </c>
      <c r="X373" s="52"/>
      <c r="Y373" s="55" t="n">
        <v>0.17</v>
      </c>
      <c r="Z373" s="56" t="n">
        <v>3310</v>
      </c>
      <c r="AA373" s="55" t="n">
        <v>0.045</v>
      </c>
      <c r="AB373" s="57" t="n">
        <v>279205.246</v>
      </c>
      <c r="AC373" s="44"/>
      <c r="AD373" s="44"/>
      <c r="AE373" s="44" t="n">
        <v>279205.246</v>
      </c>
      <c r="AF373" s="44" t="s">
        <v>53</v>
      </c>
      <c r="AG373" s="44" t="n">
        <v>0</v>
      </c>
      <c r="AH373" s="58" t="s">
        <v>20</v>
      </c>
      <c r="AI373" s="44" t="n">
        <v>0</v>
      </c>
      <c r="AJ373" s="44" t="s">
        <v>569</v>
      </c>
      <c r="AK373" s="44" t="s">
        <v>47</v>
      </c>
      <c r="AL373" s="44" t="s">
        <v>569</v>
      </c>
      <c r="AM373" s="44" t="n">
        <v>0</v>
      </c>
      <c r="AN373" s="44"/>
      <c r="AO373" s="44"/>
      <c r="AP373" s="44"/>
      <c r="AQ373" s="45" t="s">
        <v>592</v>
      </c>
      <c r="AR373" s="44" t="s">
        <v>1282</v>
      </c>
      <c r="AS373" s="44"/>
      <c r="AT373" s="44"/>
      <c r="AU373" s="44"/>
      <c r="AV373" s="44"/>
      <c r="AW373" s="44"/>
      <c r="AX373" s="44"/>
      <c r="AY373" s="44"/>
      <c r="AZ373" s="46"/>
    </row>
    <row r="374" customFormat="false" ht="18" hidden="false" customHeight="true" outlineLevel="0" collapsed="false">
      <c r="A374" s="47" t="s">
        <v>1507</v>
      </c>
      <c r="B374" s="48" t="s">
        <v>69</v>
      </c>
      <c r="C374" s="47" t="s">
        <v>1507</v>
      </c>
      <c r="D374" s="48" t="s">
        <v>915</v>
      </c>
      <c r="E374" s="48" t="s">
        <v>69</v>
      </c>
      <c r="F374" s="48" t="s">
        <v>203</v>
      </c>
      <c r="G374" s="49" t="s">
        <v>30</v>
      </c>
      <c r="H374" s="48" t="s">
        <v>1479</v>
      </c>
      <c r="I374" s="48" t="s">
        <v>1694</v>
      </c>
      <c r="J374" s="48" t="s">
        <v>1149</v>
      </c>
      <c r="K374" s="48" t="s">
        <v>1149</v>
      </c>
      <c r="L374" s="48" t="s">
        <v>854</v>
      </c>
      <c r="M374" s="48"/>
      <c r="N374" s="50" t="s">
        <v>1443</v>
      </c>
      <c r="O374" s="51" t="s">
        <v>1715</v>
      </c>
      <c r="P374" s="52" t="n">
        <v>1</v>
      </c>
      <c r="Q374" s="68"/>
      <c r="R374" s="52" t="s">
        <v>1507</v>
      </c>
      <c r="S374" s="52"/>
      <c r="T374" s="52"/>
      <c r="U374" s="53" t="n">
        <v>151000</v>
      </c>
      <c r="V374" s="54" t="n">
        <v>151000</v>
      </c>
      <c r="W374" s="55" t="n">
        <v>0.12</v>
      </c>
      <c r="X374" s="52" t="n">
        <v>0.055</v>
      </c>
      <c r="Y374" s="55" t="n">
        <v>0.12</v>
      </c>
      <c r="Z374" s="56"/>
      <c r="AA374" s="55" t="n">
        <v>0.04</v>
      </c>
      <c r="AB374" s="57" t="n">
        <v>201585</v>
      </c>
      <c r="AC374" s="44"/>
      <c r="AD374" s="44"/>
      <c r="AE374" s="44" t="n">
        <v>201585</v>
      </c>
      <c r="AF374" s="44" t="s">
        <v>69</v>
      </c>
      <c r="AG374" s="44" t="n">
        <v>0</v>
      </c>
      <c r="AH374" s="58" t="s">
        <v>30</v>
      </c>
      <c r="AI374" s="44" t="n">
        <v>0</v>
      </c>
      <c r="AJ374" s="44" t="s">
        <v>854</v>
      </c>
      <c r="AK374" s="44" t="s">
        <v>47</v>
      </c>
      <c r="AL374" s="44" t="s">
        <v>854</v>
      </c>
      <c r="AM374" s="44" t="n">
        <v>0</v>
      </c>
      <c r="AN374" s="44"/>
      <c r="AO374" s="44"/>
      <c r="AP374" s="44"/>
      <c r="AQ374" s="45" t="s">
        <v>914</v>
      </c>
      <c r="AR374" s="44" t="s">
        <v>1282</v>
      </c>
      <c r="AS374" s="44"/>
      <c r="AT374" s="44"/>
      <c r="AU374" s="44"/>
      <c r="AV374" s="44"/>
      <c r="AW374" s="44"/>
      <c r="AX374" s="44"/>
      <c r="AY374" s="44"/>
      <c r="AZ374" s="46"/>
    </row>
    <row r="375" customFormat="false" ht="18" hidden="false" customHeight="true" outlineLevel="0" collapsed="false">
      <c r="A375" s="47" t="s">
        <v>1507</v>
      </c>
      <c r="B375" s="48" t="s">
        <v>1743</v>
      </c>
      <c r="C375" s="47" t="s">
        <v>1507</v>
      </c>
      <c r="D375" s="48" t="s">
        <v>77</v>
      </c>
      <c r="E375" s="48" t="s">
        <v>69</v>
      </c>
      <c r="F375" s="48" t="s">
        <v>203</v>
      </c>
      <c r="G375" s="49" t="s">
        <v>1461</v>
      </c>
      <c r="H375" s="48" t="s">
        <v>1562</v>
      </c>
      <c r="I375" s="48" t="s">
        <v>1693</v>
      </c>
      <c r="J375" s="48" t="s">
        <v>1562</v>
      </c>
      <c r="K375" s="48" t="s">
        <v>613</v>
      </c>
      <c r="L375" s="48" t="s">
        <v>613</v>
      </c>
      <c r="M375" s="48"/>
      <c r="N375" s="50" t="s">
        <v>1443</v>
      </c>
      <c r="O375" s="51" t="s">
        <v>1715</v>
      </c>
      <c r="P375" s="52" t="n">
        <v>1</v>
      </c>
      <c r="Q375" s="68"/>
      <c r="R375" s="52" t="s">
        <v>1507</v>
      </c>
      <c r="S375" s="52"/>
      <c r="T375" s="52"/>
      <c r="U375" s="53" t="n">
        <v>151950</v>
      </c>
      <c r="V375" s="54" t="n">
        <v>151950</v>
      </c>
      <c r="W375" s="55" t="n">
        <v>0.12</v>
      </c>
      <c r="X375" s="52" t="n">
        <v>0.055</v>
      </c>
      <c r="Y375" s="55" t="n">
        <v>0.12</v>
      </c>
      <c r="Z375" s="56"/>
      <c r="AA375" s="55" t="n">
        <v>0.04</v>
      </c>
      <c r="AB375" s="57" t="n">
        <v>202853.25</v>
      </c>
      <c r="AC375" s="44"/>
      <c r="AD375" s="44"/>
      <c r="AE375" s="44" t="n">
        <v>202853.25</v>
      </c>
      <c r="AF375" s="44" t="s">
        <v>69</v>
      </c>
      <c r="AG375" s="44" t="n">
        <v>0</v>
      </c>
      <c r="AH375" s="58" t="s">
        <v>22</v>
      </c>
      <c r="AI375" s="44" t="n">
        <v>0</v>
      </c>
      <c r="AJ375" s="44" t="s">
        <v>613</v>
      </c>
      <c r="AK375" s="44" t="s">
        <v>47</v>
      </c>
      <c r="AL375" s="44" t="s">
        <v>613</v>
      </c>
      <c r="AM375" s="44" t="n">
        <v>0</v>
      </c>
      <c r="AN375" s="44"/>
      <c r="AO375" s="44"/>
      <c r="AP375" s="44"/>
      <c r="AQ375" s="45" t="s">
        <v>630</v>
      </c>
      <c r="AR375" s="44" t="s">
        <v>1282</v>
      </c>
      <c r="AS375" s="44"/>
      <c r="AT375" s="44"/>
      <c r="AU375" s="44"/>
      <c r="AV375" s="44"/>
      <c r="AW375" s="44"/>
      <c r="AX375" s="44"/>
      <c r="AY375" s="44"/>
      <c r="AZ375" s="46"/>
    </row>
    <row r="376" customFormat="false" ht="18" hidden="false" customHeight="true" outlineLevel="0" collapsed="false">
      <c r="A376" s="47" t="s">
        <v>1507</v>
      </c>
      <c r="B376" s="48" t="s">
        <v>1743</v>
      </c>
      <c r="C376" s="47" t="s">
        <v>1507</v>
      </c>
      <c r="D376" s="48" t="s">
        <v>77</v>
      </c>
      <c r="E376" s="48" t="s">
        <v>69</v>
      </c>
      <c r="F376" s="48" t="s">
        <v>203</v>
      </c>
      <c r="G376" s="49" t="s">
        <v>1461</v>
      </c>
      <c r="H376" s="48" t="s">
        <v>1562</v>
      </c>
      <c r="I376" s="48" t="s">
        <v>1693</v>
      </c>
      <c r="J376" s="48" t="s">
        <v>1562</v>
      </c>
      <c r="K376" s="48" t="s">
        <v>1152</v>
      </c>
      <c r="L376" s="48" t="s">
        <v>436</v>
      </c>
      <c r="M376" s="48"/>
      <c r="N376" s="50" t="s">
        <v>1443</v>
      </c>
      <c r="O376" s="51" t="s">
        <v>1715</v>
      </c>
      <c r="P376" s="52" t="n">
        <v>1</v>
      </c>
      <c r="Q376" s="68"/>
      <c r="R376" s="52" t="s">
        <v>1507</v>
      </c>
      <c r="S376" s="52"/>
      <c r="T376" s="52"/>
      <c r="U376" s="53" t="n">
        <v>151950</v>
      </c>
      <c r="V376" s="54" t="n">
        <v>151950</v>
      </c>
      <c r="W376" s="55" t="n">
        <v>0.12</v>
      </c>
      <c r="X376" s="52" t="n">
        <v>0.055</v>
      </c>
      <c r="Y376" s="55" t="n">
        <v>0.12</v>
      </c>
      <c r="Z376" s="56"/>
      <c r="AA376" s="55" t="n">
        <v>0.04</v>
      </c>
      <c r="AB376" s="57" t="n">
        <v>202853.25</v>
      </c>
      <c r="AC376" s="44"/>
      <c r="AD376" s="44"/>
      <c r="AE376" s="44" t="n">
        <v>202853.25</v>
      </c>
      <c r="AF376" s="44" t="s">
        <v>69</v>
      </c>
      <c r="AG376" s="44" t="n">
        <v>0</v>
      </c>
      <c r="AH376" s="58" t="s">
        <v>22</v>
      </c>
      <c r="AI376" s="44" t="n">
        <v>0</v>
      </c>
      <c r="AJ376" s="44" t="s">
        <v>436</v>
      </c>
      <c r="AK376" s="44" t="s">
        <v>47</v>
      </c>
      <c r="AL376" s="44" t="s">
        <v>436</v>
      </c>
      <c r="AM376" s="44" t="n">
        <v>0</v>
      </c>
      <c r="AN376" s="44"/>
      <c r="AO376" s="44"/>
      <c r="AP376" s="44"/>
      <c r="AQ376" s="45" t="s">
        <v>672</v>
      </c>
      <c r="AR376" s="44" t="s">
        <v>1282</v>
      </c>
      <c r="AS376" s="44"/>
      <c r="AT376" s="44"/>
      <c r="AU376" s="44"/>
      <c r="AV376" s="44"/>
      <c r="AW376" s="44"/>
      <c r="AX376" s="44"/>
      <c r="AY376" s="44"/>
      <c r="AZ376" s="46"/>
    </row>
    <row r="377" customFormat="false" ht="18" hidden="false" customHeight="true" outlineLevel="0" collapsed="false">
      <c r="A377" s="47" t="n">
        <v>109092</v>
      </c>
      <c r="B377" s="48" t="s">
        <v>952</v>
      </c>
      <c r="C377" s="47" t="n">
        <v>109092</v>
      </c>
      <c r="D377" s="48" t="s">
        <v>953</v>
      </c>
      <c r="E377" s="48" t="s">
        <v>69</v>
      </c>
      <c r="F377" s="48" t="s">
        <v>1752</v>
      </c>
      <c r="G377" s="49" t="s">
        <v>30</v>
      </c>
      <c r="H377" s="48" t="s">
        <v>1619</v>
      </c>
      <c r="I377" s="48" t="s">
        <v>1694</v>
      </c>
      <c r="J377" s="48" t="s">
        <v>36</v>
      </c>
      <c r="K377" s="48" t="s">
        <v>36</v>
      </c>
      <c r="L377" s="48" t="s">
        <v>938</v>
      </c>
      <c r="M377" s="48"/>
      <c r="N377" s="50" t="s">
        <v>1443</v>
      </c>
      <c r="O377" s="51" t="s">
        <v>1715</v>
      </c>
      <c r="P377" s="52" t="n">
        <v>1</v>
      </c>
      <c r="Q377" s="69"/>
      <c r="R377" s="52" t="s">
        <v>1519</v>
      </c>
      <c r="S377" s="52"/>
      <c r="T377" s="52"/>
      <c r="U377" s="53" t="n">
        <v>158050</v>
      </c>
      <c r="V377" s="54" t="n">
        <v>158050</v>
      </c>
      <c r="W377" s="55" t="n">
        <v>0.12</v>
      </c>
      <c r="X377" s="52" t="n">
        <v>0.055</v>
      </c>
      <c r="Y377" s="55" t="n">
        <v>0.12</v>
      </c>
      <c r="Z377" s="56"/>
      <c r="AA377" s="55" t="n">
        <v>0.04</v>
      </c>
      <c r="AB377" s="57" t="n">
        <v>210996.75</v>
      </c>
      <c r="AC377" s="44"/>
      <c r="AD377" s="44"/>
      <c r="AE377" s="44" t="n">
        <v>210996.75</v>
      </c>
      <c r="AF377" s="44" t="s">
        <v>53</v>
      </c>
      <c r="AG377" s="44" t="n">
        <v>0</v>
      </c>
      <c r="AH377" s="58" t="s">
        <v>30</v>
      </c>
      <c r="AI377" s="44" t="n">
        <v>0</v>
      </c>
      <c r="AJ377" s="44" t="s">
        <v>938</v>
      </c>
      <c r="AK377" s="44" t="s">
        <v>47</v>
      </c>
      <c r="AL377" s="44" t="s">
        <v>938</v>
      </c>
      <c r="AM377" s="44" t="n">
        <v>1</v>
      </c>
      <c r="AN377" s="44"/>
      <c r="AO377" s="44"/>
      <c r="AP377" s="44"/>
      <c r="AQ377" s="45" t="s">
        <v>951</v>
      </c>
      <c r="AR377" s="44" t="s">
        <v>1282</v>
      </c>
      <c r="AS377" s="44"/>
      <c r="AT377" s="44"/>
      <c r="AU377" s="44"/>
      <c r="AV377" s="44"/>
      <c r="AW377" s="44"/>
      <c r="AX377" s="44"/>
      <c r="AY377" s="44"/>
      <c r="AZ377" s="46"/>
    </row>
    <row r="378" customFormat="false" ht="18" hidden="false" customHeight="true" outlineLevel="0" collapsed="false">
      <c r="A378" s="47" t="n">
        <v>105823</v>
      </c>
      <c r="B378" s="48" t="s">
        <v>173</v>
      </c>
      <c r="C378" s="47" t="n">
        <v>105823</v>
      </c>
      <c r="D378" s="48" t="s">
        <v>174</v>
      </c>
      <c r="E378" s="48" t="s">
        <v>69</v>
      </c>
      <c r="F378" s="48" t="s">
        <v>1752</v>
      </c>
      <c r="G378" s="49" t="s">
        <v>30</v>
      </c>
      <c r="H378" s="48" t="s">
        <v>1619</v>
      </c>
      <c r="I378" s="48" t="s">
        <v>1694</v>
      </c>
      <c r="J378" s="48" t="s">
        <v>1567</v>
      </c>
      <c r="K378" s="48" t="s">
        <v>160</v>
      </c>
      <c r="L378" s="48" t="s">
        <v>160</v>
      </c>
      <c r="M378" s="48"/>
      <c r="N378" s="50" t="s">
        <v>1443</v>
      </c>
      <c r="O378" s="51" t="s">
        <v>1715</v>
      </c>
      <c r="P378" s="52" t="n">
        <v>1</v>
      </c>
      <c r="Q378" s="68"/>
      <c r="R378" s="52" t="s">
        <v>1519</v>
      </c>
      <c r="S378" s="52"/>
      <c r="T378" s="52"/>
      <c r="U378" s="53" t="n">
        <v>157560</v>
      </c>
      <c r="V378" s="54" t="n">
        <v>157560</v>
      </c>
      <c r="W378" s="55" t="n">
        <v>0.12</v>
      </c>
      <c r="X378" s="52" t="n">
        <v>0.055</v>
      </c>
      <c r="Y378" s="55" t="n">
        <v>0.12</v>
      </c>
      <c r="Z378" s="56"/>
      <c r="AA378" s="55" t="n">
        <v>0.04</v>
      </c>
      <c r="AB378" s="57" t="n">
        <v>210342.6</v>
      </c>
      <c r="AC378" s="44"/>
      <c r="AD378" s="44"/>
      <c r="AE378" s="44" t="n">
        <v>210342.6</v>
      </c>
      <c r="AF378" s="44" t="s">
        <v>53</v>
      </c>
      <c r="AG378" s="44" t="n">
        <v>0</v>
      </c>
      <c r="AH378" s="58" t="s">
        <v>14</v>
      </c>
      <c r="AI378" s="44" t="n">
        <v>0</v>
      </c>
      <c r="AJ378" s="44" t="s">
        <v>160</v>
      </c>
      <c r="AK378" s="44" t="s">
        <v>47</v>
      </c>
      <c r="AL378" s="44" t="s">
        <v>160</v>
      </c>
      <c r="AM378" s="44" t="n">
        <v>0</v>
      </c>
      <c r="AN378" s="44"/>
      <c r="AO378" s="44"/>
      <c r="AP378" s="44"/>
      <c r="AQ378" s="45" t="s">
        <v>172</v>
      </c>
      <c r="AR378" s="44" t="s">
        <v>1282</v>
      </c>
      <c r="AS378" s="44"/>
      <c r="AT378" s="44"/>
      <c r="AU378" s="44"/>
      <c r="AV378" s="44"/>
      <c r="AW378" s="44"/>
      <c r="AX378" s="44"/>
      <c r="AY378" s="44"/>
      <c r="AZ378" s="46"/>
    </row>
    <row r="379" customFormat="false" ht="18" hidden="false" customHeight="true" outlineLevel="0" collapsed="false">
      <c r="A379" s="47" t="s">
        <v>1507</v>
      </c>
      <c r="B379" s="48" t="s">
        <v>69</v>
      </c>
      <c r="C379" s="47" t="s">
        <v>1507</v>
      </c>
      <c r="D379" s="48" t="s">
        <v>932</v>
      </c>
      <c r="E379" s="48" t="s">
        <v>69</v>
      </c>
      <c r="F379" s="48" t="s">
        <v>1752</v>
      </c>
      <c r="G379" s="49" t="s">
        <v>30</v>
      </c>
      <c r="H379" s="48" t="s">
        <v>1619</v>
      </c>
      <c r="I379" s="48" t="s">
        <v>1694</v>
      </c>
      <c r="J379" s="48" t="s">
        <v>1149</v>
      </c>
      <c r="K379" s="48" t="s">
        <v>1149</v>
      </c>
      <c r="L379" s="48" t="s">
        <v>851</v>
      </c>
      <c r="M379" s="48"/>
      <c r="N379" s="50" t="s">
        <v>1443</v>
      </c>
      <c r="O379" s="51" t="s">
        <v>1715</v>
      </c>
      <c r="P379" s="52" t="n">
        <v>1</v>
      </c>
      <c r="Q379" s="70"/>
      <c r="R379" s="52" t="s">
        <v>1507</v>
      </c>
      <c r="S379" s="52"/>
      <c r="T379" s="52"/>
      <c r="U379" s="53" t="n">
        <v>151000</v>
      </c>
      <c r="V379" s="54" t="n">
        <v>151000</v>
      </c>
      <c r="W379" s="55" t="n">
        <v>0.12</v>
      </c>
      <c r="X379" s="52" t="n">
        <v>0.055</v>
      </c>
      <c r="Y379" s="55" t="n">
        <v>0.12</v>
      </c>
      <c r="Z379" s="56"/>
      <c r="AA379" s="55" t="n">
        <v>0.04</v>
      </c>
      <c r="AB379" s="57" t="n">
        <v>201585</v>
      </c>
      <c r="AC379" s="44"/>
      <c r="AD379" s="44"/>
      <c r="AE379" s="44" t="n">
        <v>201585</v>
      </c>
      <c r="AF379" s="44" t="s">
        <v>69</v>
      </c>
      <c r="AG379" s="44" t="n">
        <v>0</v>
      </c>
      <c r="AH379" s="58" t="s">
        <v>30</v>
      </c>
      <c r="AI379" s="44" t="n">
        <v>0</v>
      </c>
      <c r="AJ379" s="44" t="s">
        <v>851</v>
      </c>
      <c r="AK379" s="44" t="s">
        <v>47</v>
      </c>
      <c r="AL379" s="44" t="s">
        <v>851</v>
      </c>
      <c r="AM379" s="44" t="n">
        <v>0</v>
      </c>
      <c r="AN379" s="44"/>
      <c r="AO379" s="44"/>
      <c r="AP379" s="44"/>
      <c r="AQ379" s="45" t="s">
        <v>931</v>
      </c>
      <c r="AR379" s="44" t="s">
        <v>1282</v>
      </c>
      <c r="AS379" s="44"/>
      <c r="AT379" s="44"/>
      <c r="AU379" s="44"/>
      <c r="AV379" s="44"/>
      <c r="AW379" s="44"/>
      <c r="AX379" s="44"/>
      <c r="AY379" s="44"/>
      <c r="AZ379" s="46"/>
    </row>
    <row r="380" customFormat="false" ht="18" hidden="false" customHeight="true" outlineLevel="0" collapsed="false">
      <c r="A380" s="47" t="s">
        <v>1507</v>
      </c>
      <c r="B380" s="48" t="s">
        <v>69</v>
      </c>
      <c r="C380" s="47" t="s">
        <v>1507</v>
      </c>
      <c r="D380" s="48" t="s">
        <v>791</v>
      </c>
      <c r="E380" s="48" t="s">
        <v>69</v>
      </c>
      <c r="F380" s="48" t="s">
        <v>1695</v>
      </c>
      <c r="G380" s="49" t="s">
        <v>30</v>
      </c>
      <c r="H380" s="48" t="s">
        <v>1297</v>
      </c>
      <c r="I380" s="48" t="s">
        <v>1639</v>
      </c>
      <c r="J380" s="48" t="s">
        <v>26</v>
      </c>
      <c r="K380" s="48" t="s">
        <v>26</v>
      </c>
      <c r="L380" s="48" t="s">
        <v>769</v>
      </c>
      <c r="M380" s="48"/>
      <c r="N380" s="50" t="s">
        <v>1443</v>
      </c>
      <c r="O380" s="51" t="s">
        <v>1715</v>
      </c>
      <c r="P380" s="52" t="n">
        <v>1</v>
      </c>
      <c r="Q380" s="68"/>
      <c r="R380" s="52" t="s">
        <v>1507</v>
      </c>
      <c r="S380" s="52"/>
      <c r="T380" s="52"/>
      <c r="U380" s="53" t="n">
        <v>151000</v>
      </c>
      <c r="V380" s="54" t="n">
        <v>151000</v>
      </c>
      <c r="W380" s="55" t="n">
        <v>0.12</v>
      </c>
      <c r="X380" s="52" t="n">
        <v>0.055</v>
      </c>
      <c r="Y380" s="55" t="n">
        <v>0.12</v>
      </c>
      <c r="Z380" s="56"/>
      <c r="AA380" s="55" t="n">
        <v>0.04</v>
      </c>
      <c r="AB380" s="57" t="n">
        <v>201585</v>
      </c>
      <c r="AC380" s="44"/>
      <c r="AD380" s="44"/>
      <c r="AE380" s="44" t="n">
        <v>201585</v>
      </c>
      <c r="AF380" s="44" t="s">
        <v>69</v>
      </c>
      <c r="AG380" s="44" t="n">
        <v>0</v>
      </c>
      <c r="AH380" s="58" t="s">
        <v>26</v>
      </c>
      <c r="AI380" s="44" t="n">
        <v>0</v>
      </c>
      <c r="AJ380" s="44" t="s">
        <v>769</v>
      </c>
      <c r="AK380" s="44" t="s">
        <v>47</v>
      </c>
      <c r="AL380" s="44" t="s">
        <v>769</v>
      </c>
      <c r="AM380" s="44" t="n">
        <v>0</v>
      </c>
      <c r="AN380" s="44"/>
      <c r="AO380" s="44"/>
      <c r="AP380" s="44"/>
      <c r="AQ380" s="45" t="s">
        <v>790</v>
      </c>
      <c r="AR380" s="44" t="s">
        <v>1282</v>
      </c>
      <c r="AS380" s="44"/>
      <c r="AT380" s="44"/>
      <c r="AU380" s="44"/>
      <c r="AV380" s="44"/>
      <c r="AW380" s="44"/>
      <c r="AX380" s="44"/>
      <c r="AY380" s="44"/>
      <c r="AZ380" s="46"/>
    </row>
    <row r="381" customFormat="false" ht="18" hidden="false" customHeight="true" outlineLevel="0" collapsed="false">
      <c r="A381" s="47" t="s">
        <v>1507</v>
      </c>
      <c r="B381" s="48" t="s">
        <v>69</v>
      </c>
      <c r="C381" s="47" t="s">
        <v>1507</v>
      </c>
      <c r="D381" s="48" t="s">
        <v>1753</v>
      </c>
      <c r="E381" s="48" t="s">
        <v>69</v>
      </c>
      <c r="F381" s="48" t="s">
        <v>1625</v>
      </c>
      <c r="G381" s="49" t="s">
        <v>1531</v>
      </c>
      <c r="H381" s="48" t="s">
        <v>1248</v>
      </c>
      <c r="I381" s="48" t="s">
        <v>1248</v>
      </c>
      <c r="J381" s="48"/>
      <c r="K381" s="48"/>
      <c r="L381" s="48"/>
      <c r="M381" s="48"/>
      <c r="N381" s="50" t="s">
        <v>1443</v>
      </c>
      <c r="O381" s="51" t="s">
        <v>1715</v>
      </c>
      <c r="P381" s="52" t="n">
        <v>1</v>
      </c>
      <c r="Q381" s="68"/>
      <c r="R381" s="52" t="s">
        <v>1507</v>
      </c>
      <c r="S381" s="52"/>
      <c r="T381" s="52"/>
      <c r="U381" s="53" t="n">
        <v>151950</v>
      </c>
      <c r="V381" s="54" t="n">
        <v>151950</v>
      </c>
      <c r="W381" s="55" t="n">
        <v>0.12</v>
      </c>
      <c r="X381" s="52" t="n">
        <v>0.055</v>
      </c>
      <c r="Y381" s="55" t="n">
        <v>0.12</v>
      </c>
      <c r="Z381" s="56"/>
      <c r="AA381" s="55" t="n">
        <v>0.04</v>
      </c>
      <c r="AB381" s="57" t="n">
        <v>202853.25</v>
      </c>
      <c r="AC381" s="44"/>
      <c r="AD381" s="44"/>
      <c r="AE381" s="44" t="n">
        <v>202853.25</v>
      </c>
      <c r="AF381" s="44" t="s">
        <v>69</v>
      </c>
      <c r="AG381" s="44" t="n">
        <v>0</v>
      </c>
      <c r="AH381" s="58" t="s">
        <v>1536</v>
      </c>
      <c r="AI381" s="44" t="n">
        <v>0</v>
      </c>
      <c r="AJ381" s="44" t="s">
        <v>1248</v>
      </c>
      <c r="AK381" s="44" t="s">
        <v>47</v>
      </c>
      <c r="AL381" s="44" t="s">
        <v>1248</v>
      </c>
      <c r="AM381" s="44" t="n">
        <v>0</v>
      </c>
      <c r="AN381" s="44"/>
      <c r="AO381" s="44"/>
      <c r="AP381" s="44"/>
      <c r="AQ381" s="45" t="s">
        <v>1317</v>
      </c>
      <c r="AR381" s="44" t="s">
        <v>1282</v>
      </c>
      <c r="AS381" s="44"/>
      <c r="AT381" s="44"/>
      <c r="AU381" s="44"/>
      <c r="AV381" s="44"/>
      <c r="AW381" s="44"/>
      <c r="AX381" s="44"/>
      <c r="AY381" s="44"/>
      <c r="AZ381" s="46"/>
    </row>
    <row r="382" customFormat="false" ht="18" hidden="false" customHeight="true" outlineLevel="0" collapsed="false">
      <c r="A382" s="47" t="s">
        <v>1507</v>
      </c>
      <c r="B382" s="48" t="s">
        <v>69</v>
      </c>
      <c r="C382" s="47" t="s">
        <v>1507</v>
      </c>
      <c r="D382" s="48" t="s">
        <v>120</v>
      </c>
      <c r="E382" s="48" t="s">
        <v>69</v>
      </c>
      <c r="F382" s="48" t="s">
        <v>118</v>
      </c>
      <c r="G382" s="49" t="s">
        <v>1471</v>
      </c>
      <c r="H382" s="48" t="s">
        <v>14</v>
      </c>
      <c r="I382" s="48" t="s">
        <v>1627</v>
      </c>
      <c r="J382" s="48" t="s">
        <v>1567</v>
      </c>
      <c r="K382" s="48" t="s">
        <v>67</v>
      </c>
      <c r="L382" s="48" t="s">
        <v>58</v>
      </c>
      <c r="M382" s="48"/>
      <c r="N382" s="50" t="s">
        <v>1443</v>
      </c>
      <c r="O382" s="51" t="s">
        <v>1715</v>
      </c>
      <c r="P382" s="52" t="n">
        <v>1</v>
      </c>
      <c r="Q382" s="69"/>
      <c r="R382" s="52" t="s">
        <v>1507</v>
      </c>
      <c r="S382" s="52"/>
      <c r="T382" s="52"/>
      <c r="U382" s="53" t="n">
        <v>151950</v>
      </c>
      <c r="V382" s="54" t="n">
        <v>151950</v>
      </c>
      <c r="W382" s="55" t="n">
        <v>0.12</v>
      </c>
      <c r="X382" s="52" t="n">
        <v>0.055</v>
      </c>
      <c r="Y382" s="55" t="n">
        <v>0.12</v>
      </c>
      <c r="Z382" s="56"/>
      <c r="AA382" s="55" t="n">
        <v>0.04</v>
      </c>
      <c r="AB382" s="57" t="n">
        <v>202853.25</v>
      </c>
      <c r="AC382" s="44"/>
      <c r="AD382" s="44"/>
      <c r="AE382" s="44" t="n">
        <v>202853.25</v>
      </c>
      <c r="AF382" s="44" t="s">
        <v>69</v>
      </c>
      <c r="AG382" s="44" t="n">
        <v>0</v>
      </c>
      <c r="AH382" s="58" t="s">
        <v>14</v>
      </c>
      <c r="AI382" s="44" t="n">
        <v>0</v>
      </c>
      <c r="AJ382" s="44" t="s">
        <v>58</v>
      </c>
      <c r="AK382" s="44" t="s">
        <v>47</v>
      </c>
      <c r="AL382" s="44" t="s">
        <v>58</v>
      </c>
      <c r="AM382" s="44" t="n">
        <v>0</v>
      </c>
      <c r="AN382" s="44"/>
      <c r="AO382" s="44"/>
      <c r="AP382" s="44"/>
      <c r="AQ382" s="45" t="s">
        <v>119</v>
      </c>
      <c r="AR382" s="44" t="s">
        <v>1282</v>
      </c>
      <c r="AS382" s="44"/>
      <c r="AT382" s="44"/>
      <c r="AU382" s="44"/>
      <c r="AV382" s="44"/>
      <c r="AW382" s="44"/>
      <c r="AX382" s="44"/>
      <c r="AY382" s="44"/>
      <c r="AZ382" s="46"/>
    </row>
    <row r="383" customFormat="false" ht="18" hidden="false" customHeight="true" outlineLevel="0" collapsed="false">
      <c r="A383" s="47" t="n">
        <v>114573</v>
      </c>
      <c r="B383" s="48" t="s">
        <v>917</v>
      </c>
      <c r="C383" s="47" t="n">
        <v>114573</v>
      </c>
      <c r="D383" s="48" t="s">
        <v>918</v>
      </c>
      <c r="E383" s="48" t="s">
        <v>69</v>
      </c>
      <c r="F383" s="48" t="s">
        <v>907</v>
      </c>
      <c r="G383" s="49" t="s">
        <v>30</v>
      </c>
      <c r="H383" s="48" t="s">
        <v>1479</v>
      </c>
      <c r="I383" s="48" t="s">
        <v>1674</v>
      </c>
      <c r="J383" s="48" t="s">
        <v>1149</v>
      </c>
      <c r="K383" s="48" t="s">
        <v>1149</v>
      </c>
      <c r="L383" s="48" t="s">
        <v>1674</v>
      </c>
      <c r="M383" s="48"/>
      <c r="N383" s="50" t="s">
        <v>1443</v>
      </c>
      <c r="O383" s="51" t="s">
        <v>1715</v>
      </c>
      <c r="P383" s="52" t="n">
        <v>1</v>
      </c>
      <c r="Q383" s="69"/>
      <c r="R383" s="52" t="s">
        <v>1519</v>
      </c>
      <c r="S383" s="52"/>
      <c r="T383" s="52"/>
      <c r="U383" s="53" t="n">
        <v>140000</v>
      </c>
      <c r="V383" s="54" t="n">
        <v>140000</v>
      </c>
      <c r="W383" s="55" t="n">
        <v>0.12</v>
      </c>
      <c r="X383" s="52" t="n">
        <v>0.055</v>
      </c>
      <c r="Y383" s="55" t="n">
        <v>0.12</v>
      </c>
      <c r="Z383" s="56"/>
      <c r="AA383" s="55" t="n">
        <v>0.04</v>
      </c>
      <c r="AB383" s="57" t="n">
        <v>186900</v>
      </c>
      <c r="AC383" s="44"/>
      <c r="AD383" s="44"/>
      <c r="AE383" s="44" t="n">
        <v>186900</v>
      </c>
      <c r="AF383" s="44" t="s">
        <v>53</v>
      </c>
      <c r="AG383" s="44" t="n">
        <v>0</v>
      </c>
      <c r="AH383" s="58" t="s">
        <v>30</v>
      </c>
      <c r="AI383" s="44" t="n">
        <v>0</v>
      </c>
      <c r="AJ383" s="44" t="s">
        <v>854</v>
      </c>
      <c r="AK383" s="44" t="s">
        <v>47</v>
      </c>
      <c r="AL383" s="44" t="s">
        <v>854</v>
      </c>
      <c r="AM383" s="44" t="n">
        <v>0</v>
      </c>
      <c r="AN383" s="44"/>
      <c r="AO383" s="44"/>
      <c r="AP383" s="44"/>
      <c r="AQ383" s="45" t="s">
        <v>916</v>
      </c>
      <c r="AR383" s="44" t="s">
        <v>1282</v>
      </c>
      <c r="AS383" s="44"/>
      <c r="AT383" s="44"/>
      <c r="AU383" s="44"/>
      <c r="AV383" s="44"/>
      <c r="AW383" s="44"/>
      <c r="AX383" s="44"/>
      <c r="AY383" s="44"/>
      <c r="AZ383" s="46"/>
    </row>
    <row r="384" customFormat="false" ht="18" hidden="false" customHeight="true" outlineLevel="0" collapsed="false">
      <c r="A384" s="47" t="n">
        <v>111319</v>
      </c>
      <c r="B384" s="48" t="s">
        <v>561</v>
      </c>
      <c r="C384" s="47" t="n">
        <v>111319</v>
      </c>
      <c r="D384" s="48" t="s">
        <v>562</v>
      </c>
      <c r="E384" s="48" t="s">
        <v>69</v>
      </c>
      <c r="F384" s="48" t="s">
        <v>303</v>
      </c>
      <c r="G384" s="49" t="s">
        <v>1461</v>
      </c>
      <c r="H384" s="48" t="s">
        <v>20</v>
      </c>
      <c r="I384" s="48" t="s">
        <v>1607</v>
      </c>
      <c r="J384" s="48" t="s">
        <v>20</v>
      </c>
      <c r="K384" s="48" t="s">
        <v>517</v>
      </c>
      <c r="L384" s="48" t="s">
        <v>513</v>
      </c>
      <c r="M384" s="48"/>
      <c r="N384" s="50" t="s">
        <v>1549</v>
      </c>
      <c r="O384" s="51" t="s">
        <v>1715</v>
      </c>
      <c r="P384" s="52" t="n">
        <v>1</v>
      </c>
      <c r="Q384" s="69"/>
      <c r="R384" s="52" t="s">
        <v>1519</v>
      </c>
      <c r="S384" s="52"/>
      <c r="T384" s="52"/>
      <c r="U384" s="53" t="n">
        <v>149480</v>
      </c>
      <c r="V384" s="54" t="n">
        <v>180870.8</v>
      </c>
      <c r="W384" s="55" t="n">
        <v>0.25</v>
      </c>
      <c r="X384" s="52"/>
      <c r="Y384" s="55" t="n">
        <v>0.17</v>
      </c>
      <c r="Z384" s="56" t="n">
        <v>3310</v>
      </c>
      <c r="AA384" s="55" t="n">
        <v>0.045</v>
      </c>
      <c r="AB384" s="57" t="n">
        <v>268285.722</v>
      </c>
      <c r="AC384" s="44"/>
      <c r="AD384" s="44"/>
      <c r="AE384" s="44" t="n">
        <v>268285.722</v>
      </c>
      <c r="AF384" s="44" t="s">
        <v>53</v>
      </c>
      <c r="AG384" s="44" t="n">
        <v>0</v>
      </c>
      <c r="AH384" s="58" t="s">
        <v>20</v>
      </c>
      <c r="AI384" s="44" t="n">
        <v>0</v>
      </c>
      <c r="AJ384" s="44" t="s">
        <v>513</v>
      </c>
      <c r="AK384" s="44" t="s">
        <v>47</v>
      </c>
      <c r="AL384" s="44" t="s">
        <v>513</v>
      </c>
      <c r="AM384" s="44" t="n">
        <v>0</v>
      </c>
      <c r="AN384" s="44"/>
      <c r="AO384" s="44"/>
      <c r="AP384" s="44"/>
      <c r="AQ384" s="45" t="s">
        <v>560</v>
      </c>
      <c r="AR384" s="44" t="s">
        <v>1282</v>
      </c>
      <c r="AS384" s="44"/>
      <c r="AT384" s="44"/>
      <c r="AU384" s="44"/>
      <c r="AV384" s="44"/>
      <c r="AW384" s="44"/>
      <c r="AX384" s="44"/>
      <c r="AY384" s="44"/>
      <c r="AZ384" s="46"/>
    </row>
    <row r="385" customFormat="false" ht="18" hidden="false" customHeight="true" outlineLevel="0" collapsed="false">
      <c r="A385" s="47" t="n">
        <v>108033</v>
      </c>
      <c r="B385" s="48" t="s">
        <v>564</v>
      </c>
      <c r="C385" s="47" t="n">
        <v>108033</v>
      </c>
      <c r="D385" s="48" t="s">
        <v>565</v>
      </c>
      <c r="E385" s="48" t="s">
        <v>69</v>
      </c>
      <c r="F385" s="48" t="s">
        <v>303</v>
      </c>
      <c r="G385" s="49" t="s">
        <v>1461</v>
      </c>
      <c r="H385" s="48" t="s">
        <v>20</v>
      </c>
      <c r="I385" s="48" t="s">
        <v>1607</v>
      </c>
      <c r="J385" s="48" t="s">
        <v>20</v>
      </c>
      <c r="K385" s="48" t="s">
        <v>517</v>
      </c>
      <c r="L385" s="48" t="s">
        <v>513</v>
      </c>
      <c r="M385" s="48"/>
      <c r="N385" s="50" t="s">
        <v>1549</v>
      </c>
      <c r="O385" s="51" t="s">
        <v>1715</v>
      </c>
      <c r="P385" s="52" t="n">
        <v>1</v>
      </c>
      <c r="Q385" s="69"/>
      <c r="R385" s="52" t="s">
        <v>1519</v>
      </c>
      <c r="S385" s="52"/>
      <c r="T385" s="52"/>
      <c r="U385" s="53" t="n">
        <v>145320</v>
      </c>
      <c r="V385" s="54" t="n">
        <v>175837.2</v>
      </c>
      <c r="W385" s="55" t="n">
        <v>0.25</v>
      </c>
      <c r="X385" s="52"/>
      <c r="Y385" s="55" t="n">
        <v>0.17</v>
      </c>
      <c r="Z385" s="56" t="n">
        <v>3310</v>
      </c>
      <c r="AA385" s="55" t="n">
        <v>0.045</v>
      </c>
      <c r="AB385" s="57" t="n">
        <v>260911.498</v>
      </c>
      <c r="AC385" s="44"/>
      <c r="AD385" s="44"/>
      <c r="AE385" s="44" t="n">
        <v>260911.498</v>
      </c>
      <c r="AF385" s="44" t="s">
        <v>53</v>
      </c>
      <c r="AG385" s="44" t="n">
        <v>0</v>
      </c>
      <c r="AH385" s="58" t="s">
        <v>20</v>
      </c>
      <c r="AI385" s="44" t="n">
        <v>0</v>
      </c>
      <c r="AJ385" s="44" t="s">
        <v>513</v>
      </c>
      <c r="AK385" s="44" t="s">
        <v>47</v>
      </c>
      <c r="AL385" s="44" t="s">
        <v>513</v>
      </c>
      <c r="AM385" s="44" t="n">
        <v>0</v>
      </c>
      <c r="AN385" s="44"/>
      <c r="AO385" s="44"/>
      <c r="AP385" s="44"/>
      <c r="AQ385" s="45" t="s">
        <v>563</v>
      </c>
      <c r="AR385" s="44" t="s">
        <v>1282</v>
      </c>
      <c r="AS385" s="44"/>
      <c r="AT385" s="44"/>
      <c r="AU385" s="44"/>
      <c r="AV385" s="44"/>
      <c r="AW385" s="44"/>
      <c r="AX385" s="44"/>
      <c r="AY385" s="44"/>
      <c r="AZ385" s="46"/>
    </row>
    <row r="386" customFormat="false" ht="18" hidden="false" customHeight="true" outlineLevel="0" collapsed="false">
      <c r="A386" s="47" t="n">
        <v>97973</v>
      </c>
      <c r="B386" s="48" t="s">
        <v>674</v>
      </c>
      <c r="C386" s="47" t="n">
        <v>97973</v>
      </c>
      <c r="D386" s="48" t="s">
        <v>516</v>
      </c>
      <c r="E386" s="48" t="s">
        <v>69</v>
      </c>
      <c r="F386" s="48" t="s">
        <v>685</v>
      </c>
      <c r="G386" s="49" t="s">
        <v>1461</v>
      </c>
      <c r="H386" s="48" t="s">
        <v>1562</v>
      </c>
      <c r="I386" s="48" t="s">
        <v>1598</v>
      </c>
      <c r="J386" s="48" t="s">
        <v>1562</v>
      </c>
      <c r="K386" s="48" t="s">
        <v>1152</v>
      </c>
      <c r="L386" s="48" t="s">
        <v>436</v>
      </c>
      <c r="M386" s="48"/>
      <c r="N386" s="50" t="s">
        <v>1443</v>
      </c>
      <c r="O386" s="51" t="s">
        <v>1715</v>
      </c>
      <c r="P386" s="52" t="n">
        <v>1</v>
      </c>
      <c r="Q386" s="68"/>
      <c r="R386" s="52" t="s">
        <v>1519</v>
      </c>
      <c r="S386" s="52"/>
      <c r="T386" s="52"/>
      <c r="U386" s="53" t="n">
        <v>152250</v>
      </c>
      <c r="V386" s="54" t="n">
        <v>152250</v>
      </c>
      <c r="W386" s="55" t="n">
        <v>0.12</v>
      </c>
      <c r="X386" s="52" t="n">
        <v>0.055</v>
      </c>
      <c r="Y386" s="55" t="n">
        <v>0.12</v>
      </c>
      <c r="Z386" s="56"/>
      <c r="AA386" s="55" t="n">
        <v>0.04</v>
      </c>
      <c r="AB386" s="57" t="n">
        <v>203253.75</v>
      </c>
      <c r="AC386" s="44"/>
      <c r="AD386" s="44"/>
      <c r="AE386" s="44" t="n">
        <v>203253.75</v>
      </c>
      <c r="AF386" s="44" t="s">
        <v>53</v>
      </c>
      <c r="AG386" s="44" t="n">
        <v>0</v>
      </c>
      <c r="AH386" s="58" t="s">
        <v>22</v>
      </c>
      <c r="AI386" s="44" t="n">
        <v>0</v>
      </c>
      <c r="AJ386" s="44" t="s">
        <v>436</v>
      </c>
      <c r="AK386" s="44" t="s">
        <v>47</v>
      </c>
      <c r="AL386" s="44" t="s">
        <v>436</v>
      </c>
      <c r="AM386" s="44" t="n">
        <v>0</v>
      </c>
      <c r="AN386" s="44"/>
      <c r="AO386" s="44"/>
      <c r="AP386" s="44"/>
      <c r="AQ386" s="45" t="s">
        <v>673</v>
      </c>
      <c r="AR386" s="44" t="s">
        <v>1282</v>
      </c>
      <c r="AS386" s="44"/>
      <c r="AT386" s="44"/>
      <c r="AU386" s="44"/>
      <c r="AV386" s="44"/>
      <c r="AW386" s="44"/>
      <c r="AX386" s="44"/>
      <c r="AY386" s="44"/>
      <c r="AZ386" s="46"/>
    </row>
    <row r="387" customFormat="false" ht="18" hidden="false" customHeight="true" outlineLevel="0" collapsed="false">
      <c r="A387" s="47" t="n">
        <v>107463</v>
      </c>
      <c r="B387" s="48" t="s">
        <v>595</v>
      </c>
      <c r="C387" s="47" t="n">
        <v>107463</v>
      </c>
      <c r="D387" s="48" t="s">
        <v>596</v>
      </c>
      <c r="E387" s="48" t="s">
        <v>69</v>
      </c>
      <c r="F387" s="48" t="s">
        <v>300</v>
      </c>
      <c r="G387" s="49" t="s">
        <v>1461</v>
      </c>
      <c r="H387" s="48" t="s">
        <v>20</v>
      </c>
      <c r="I387" s="48" t="s">
        <v>1706</v>
      </c>
      <c r="J387" s="48" t="s">
        <v>20</v>
      </c>
      <c r="K387" s="48" t="s">
        <v>569</v>
      </c>
      <c r="L387" s="48" t="s">
        <v>569</v>
      </c>
      <c r="M387" s="48"/>
      <c r="N387" s="50" t="s">
        <v>1443</v>
      </c>
      <c r="O387" s="51" t="s">
        <v>1715</v>
      </c>
      <c r="P387" s="52" t="n">
        <v>1</v>
      </c>
      <c r="Q387" s="68"/>
      <c r="R387" s="52" t="s">
        <v>1519</v>
      </c>
      <c r="S387" s="52"/>
      <c r="T387" s="52"/>
      <c r="U387" s="53" t="n">
        <v>145710</v>
      </c>
      <c r="V387" s="54" t="n">
        <v>145710</v>
      </c>
      <c r="W387" s="55" t="n">
        <v>0.12</v>
      </c>
      <c r="X387" s="52" t="n">
        <v>0.055</v>
      </c>
      <c r="Y387" s="55" t="n">
        <v>0.12</v>
      </c>
      <c r="Z387" s="56"/>
      <c r="AA387" s="55" t="n">
        <v>0.04</v>
      </c>
      <c r="AB387" s="57" t="n">
        <v>194522.85</v>
      </c>
      <c r="AC387" s="44"/>
      <c r="AD387" s="44"/>
      <c r="AE387" s="44" t="n">
        <v>194522.85</v>
      </c>
      <c r="AF387" s="44" t="s">
        <v>53</v>
      </c>
      <c r="AG387" s="44" t="n">
        <v>0</v>
      </c>
      <c r="AH387" s="58" t="s">
        <v>20</v>
      </c>
      <c r="AI387" s="44" t="n">
        <v>0</v>
      </c>
      <c r="AJ387" s="44" t="s">
        <v>569</v>
      </c>
      <c r="AK387" s="44" t="s">
        <v>47</v>
      </c>
      <c r="AL387" s="44" t="s">
        <v>569</v>
      </c>
      <c r="AM387" s="44" t="n">
        <v>0</v>
      </c>
      <c r="AN387" s="44"/>
      <c r="AO387" s="44"/>
      <c r="AP387" s="44"/>
      <c r="AQ387" s="45" t="s">
        <v>594</v>
      </c>
      <c r="AR387" s="44" t="s">
        <v>1282</v>
      </c>
      <c r="AS387" s="44"/>
      <c r="AT387" s="44"/>
      <c r="AU387" s="44"/>
      <c r="AV387" s="44"/>
      <c r="AW387" s="44"/>
      <c r="AX387" s="44"/>
      <c r="AY387" s="44"/>
      <c r="AZ387" s="46"/>
    </row>
    <row r="388" customFormat="false" ht="18" hidden="false" customHeight="true" outlineLevel="0" collapsed="false">
      <c r="A388" s="47" t="s">
        <v>1507</v>
      </c>
      <c r="B388" s="48" t="s">
        <v>1743</v>
      </c>
      <c r="C388" s="47" t="s">
        <v>1507</v>
      </c>
      <c r="D388" s="48" t="s">
        <v>523</v>
      </c>
      <c r="E388" s="48" t="s">
        <v>69</v>
      </c>
      <c r="F388" s="48" t="s">
        <v>300</v>
      </c>
      <c r="G388" s="49" t="s">
        <v>1461</v>
      </c>
      <c r="H388" s="48" t="s">
        <v>20</v>
      </c>
      <c r="I388" s="48" t="s">
        <v>1706</v>
      </c>
      <c r="J388" s="48" t="s">
        <v>20</v>
      </c>
      <c r="K388" s="48" t="s">
        <v>512</v>
      </c>
      <c r="L388" s="48" t="s">
        <v>512</v>
      </c>
      <c r="M388" s="48"/>
      <c r="N388" s="50" t="s">
        <v>1443</v>
      </c>
      <c r="O388" s="51" t="s">
        <v>1715</v>
      </c>
      <c r="P388" s="52" t="n">
        <v>1</v>
      </c>
      <c r="Q388" s="69"/>
      <c r="R388" s="52" t="s">
        <v>1507</v>
      </c>
      <c r="S388" s="52"/>
      <c r="T388" s="52"/>
      <c r="U388" s="53" t="n">
        <v>151950</v>
      </c>
      <c r="V388" s="54" t="n">
        <v>151950</v>
      </c>
      <c r="W388" s="55" t="n">
        <v>0.12</v>
      </c>
      <c r="X388" s="52" t="n">
        <v>0.055</v>
      </c>
      <c r="Y388" s="55" t="n">
        <v>0.12</v>
      </c>
      <c r="Z388" s="56"/>
      <c r="AA388" s="55" t="n">
        <v>0.04</v>
      </c>
      <c r="AB388" s="57" t="n">
        <v>202853.25</v>
      </c>
      <c r="AC388" s="44"/>
      <c r="AD388" s="44"/>
      <c r="AE388" s="44" t="n">
        <v>202853.25</v>
      </c>
      <c r="AF388" s="44" t="s">
        <v>69</v>
      </c>
      <c r="AG388" s="44" t="n">
        <v>0</v>
      </c>
      <c r="AH388" s="58" t="s">
        <v>20</v>
      </c>
      <c r="AI388" s="44" t="n">
        <v>0</v>
      </c>
      <c r="AJ388" s="44" t="s">
        <v>512</v>
      </c>
      <c r="AK388" s="44" t="s">
        <v>47</v>
      </c>
      <c r="AL388" s="44" t="s">
        <v>512</v>
      </c>
      <c r="AM388" s="44" t="n">
        <v>0</v>
      </c>
      <c r="AN388" s="44" t="s">
        <v>69</v>
      </c>
      <c r="AO388" s="44"/>
      <c r="AP388" s="44"/>
      <c r="AQ388" s="45" t="s">
        <v>522</v>
      </c>
      <c r="AR388" s="44" t="s">
        <v>1282</v>
      </c>
      <c r="AS388" s="44"/>
      <c r="AT388" s="44"/>
      <c r="AU388" s="44"/>
      <c r="AV388" s="44"/>
      <c r="AW388" s="44"/>
      <c r="AX388" s="44"/>
      <c r="AY388" s="44"/>
      <c r="AZ388" s="46"/>
    </row>
    <row r="389" customFormat="false" ht="18" hidden="false" customHeight="true" outlineLevel="0" collapsed="false">
      <c r="A389" s="47" t="s">
        <v>1507</v>
      </c>
      <c r="B389" s="48" t="s">
        <v>69</v>
      </c>
      <c r="C389" s="47" t="s">
        <v>1507</v>
      </c>
      <c r="D389" s="48" t="s">
        <v>693</v>
      </c>
      <c r="E389" s="48" t="s">
        <v>69</v>
      </c>
      <c r="F389" s="48" t="s">
        <v>1634</v>
      </c>
      <c r="G389" s="49" t="s">
        <v>1461</v>
      </c>
      <c r="H389" s="48" t="s">
        <v>1161</v>
      </c>
      <c r="I389" s="48" t="s">
        <v>1584</v>
      </c>
      <c r="J389" s="48" t="s">
        <v>24</v>
      </c>
      <c r="K389" s="48" t="s">
        <v>1158</v>
      </c>
      <c r="L389" s="48" t="s">
        <v>1158</v>
      </c>
      <c r="M389" s="48"/>
      <c r="N389" s="50" t="s">
        <v>1443</v>
      </c>
      <c r="O389" s="51" t="s">
        <v>1715</v>
      </c>
      <c r="P389" s="52" t="n">
        <v>1</v>
      </c>
      <c r="Q389" s="69"/>
      <c r="R389" s="52" t="s">
        <v>1513</v>
      </c>
      <c r="S389" s="52"/>
      <c r="T389" s="52"/>
      <c r="U389" s="53" t="n">
        <v>151950</v>
      </c>
      <c r="V389" s="54" t="n">
        <v>151950</v>
      </c>
      <c r="W389" s="55" t="n">
        <v>0.12</v>
      </c>
      <c r="X389" s="52" t="n">
        <v>0.055</v>
      </c>
      <c r="Y389" s="55" t="n">
        <v>0.12</v>
      </c>
      <c r="Z389" s="56"/>
      <c r="AA389" s="55" t="n">
        <v>0.04</v>
      </c>
      <c r="AB389" s="57" t="n">
        <v>202853.25</v>
      </c>
      <c r="AC389" s="44"/>
      <c r="AD389" s="44"/>
      <c r="AE389" s="44" t="n">
        <v>202853.25</v>
      </c>
      <c r="AF389" s="44" t="s">
        <v>69</v>
      </c>
      <c r="AG389" s="44" t="n">
        <v>0</v>
      </c>
      <c r="AH389" s="58" t="s">
        <v>24</v>
      </c>
      <c r="AI389" s="44" t="n">
        <v>0</v>
      </c>
      <c r="AJ389" s="44" t="s">
        <v>689</v>
      </c>
      <c r="AK389" s="44" t="s">
        <v>47</v>
      </c>
      <c r="AL389" s="44" t="s">
        <v>689</v>
      </c>
      <c r="AM389" s="44" t="n">
        <v>0</v>
      </c>
      <c r="AN389" s="44"/>
      <c r="AO389" s="44"/>
      <c r="AP389" s="44"/>
      <c r="AQ389" s="45" t="s">
        <v>707</v>
      </c>
      <c r="AR389" s="44" t="s">
        <v>1282</v>
      </c>
      <c r="AS389" s="44"/>
      <c r="AT389" s="44"/>
      <c r="AU389" s="44"/>
      <c r="AV389" s="44"/>
      <c r="AW389" s="44"/>
      <c r="AX389" s="44"/>
      <c r="AY389" s="44"/>
      <c r="AZ389" s="46"/>
    </row>
    <row r="390" customFormat="false" ht="18" hidden="false" customHeight="true" outlineLevel="0" collapsed="false">
      <c r="A390" s="47" t="n">
        <v>85321</v>
      </c>
      <c r="B390" s="48" t="s">
        <v>141</v>
      </c>
      <c r="C390" s="47" t="n">
        <v>85321</v>
      </c>
      <c r="D390" s="48" t="s">
        <v>142</v>
      </c>
      <c r="E390" s="48" t="s">
        <v>214</v>
      </c>
      <c r="F390" s="48" t="s">
        <v>215</v>
      </c>
      <c r="G390" s="49" t="s">
        <v>1471</v>
      </c>
      <c r="H390" s="48" t="s">
        <v>14</v>
      </c>
      <c r="I390" s="48" t="s">
        <v>1627</v>
      </c>
      <c r="J390" s="48" t="s">
        <v>1567</v>
      </c>
      <c r="K390" s="48" t="s">
        <v>67</v>
      </c>
      <c r="L390" s="48" t="s">
        <v>67</v>
      </c>
      <c r="M390" s="48"/>
      <c r="N390" s="50" t="s">
        <v>1443</v>
      </c>
      <c r="O390" s="51" t="s">
        <v>1715</v>
      </c>
      <c r="P390" s="52" t="n">
        <v>1</v>
      </c>
      <c r="Q390" s="68"/>
      <c r="R390" s="52" t="s">
        <v>1519</v>
      </c>
      <c r="S390" s="52"/>
      <c r="T390" s="52"/>
      <c r="U390" s="53" t="n">
        <v>212110</v>
      </c>
      <c r="V390" s="54" t="n">
        <v>195141.2</v>
      </c>
      <c r="W390" s="55" t="n">
        <v>0.15</v>
      </c>
      <c r="X390" s="52"/>
      <c r="Y390" s="55" t="n">
        <v>0.05</v>
      </c>
      <c r="Z390" s="56" t="n">
        <v>2910</v>
      </c>
      <c r="AA390" s="55" t="n">
        <v>0.03</v>
      </c>
      <c r="AB390" s="57" t="n">
        <v>242933.676</v>
      </c>
      <c r="AC390" s="44"/>
      <c r="AD390" s="44"/>
      <c r="AE390" s="44" t="n">
        <v>242933.676</v>
      </c>
      <c r="AF390" s="44" t="s">
        <v>53</v>
      </c>
      <c r="AG390" s="44" t="n">
        <v>0</v>
      </c>
      <c r="AH390" s="58" t="s">
        <v>14</v>
      </c>
      <c r="AI390" s="44" t="n">
        <v>0</v>
      </c>
      <c r="AJ390" s="44" t="s">
        <v>67</v>
      </c>
      <c r="AK390" s="44" t="s">
        <v>47</v>
      </c>
      <c r="AL390" s="44" t="s">
        <v>67</v>
      </c>
      <c r="AM390" s="44" t="n">
        <v>0</v>
      </c>
      <c r="AN390" s="44"/>
      <c r="AO390" s="44"/>
      <c r="AP390" s="44"/>
      <c r="AQ390" s="45" t="s">
        <v>140</v>
      </c>
      <c r="AR390" s="44" t="s">
        <v>1282</v>
      </c>
      <c r="AS390" s="44"/>
      <c r="AT390" s="44"/>
      <c r="AU390" s="44"/>
      <c r="AV390" s="44"/>
      <c r="AW390" s="44"/>
      <c r="AX390" s="44"/>
      <c r="AY390" s="44"/>
      <c r="AZ390" s="46"/>
    </row>
    <row r="391" customFormat="false" ht="18" hidden="false" customHeight="true" outlineLevel="0" collapsed="false">
      <c r="A391" s="47" t="n">
        <v>85137</v>
      </c>
      <c r="B391" s="48" t="s">
        <v>176</v>
      </c>
      <c r="C391" s="47" t="n">
        <v>85137</v>
      </c>
      <c r="D391" s="48" t="s">
        <v>57</v>
      </c>
      <c r="E391" s="48" t="s">
        <v>214</v>
      </c>
      <c r="F391" s="48" t="s">
        <v>215</v>
      </c>
      <c r="G391" s="49" t="s">
        <v>1471</v>
      </c>
      <c r="H391" s="48" t="s">
        <v>14</v>
      </c>
      <c r="I391" s="48" t="s">
        <v>1627</v>
      </c>
      <c r="J391" s="48" t="s">
        <v>1567</v>
      </c>
      <c r="K391" s="48" t="s">
        <v>1285</v>
      </c>
      <c r="L391" s="48" t="s">
        <v>1636</v>
      </c>
      <c r="M391" s="48"/>
      <c r="N391" s="50" t="s">
        <v>1443</v>
      </c>
      <c r="O391" s="51" t="s">
        <v>1715</v>
      </c>
      <c r="P391" s="52" t="n">
        <v>1</v>
      </c>
      <c r="Q391" s="51"/>
      <c r="R391" s="52" t="s">
        <v>1519</v>
      </c>
      <c r="S391" s="52"/>
      <c r="T391" s="52"/>
      <c r="U391" s="53" t="n">
        <v>196740</v>
      </c>
      <c r="V391" s="54" t="n">
        <v>196740</v>
      </c>
      <c r="W391" s="55" t="n">
        <v>0.12</v>
      </c>
      <c r="X391" s="52" t="n">
        <v>0.055</v>
      </c>
      <c r="Y391" s="55" t="n">
        <v>0.12</v>
      </c>
      <c r="Z391" s="56"/>
      <c r="AA391" s="55" t="n">
        <v>0.04</v>
      </c>
      <c r="AB391" s="57" t="n">
        <v>262647.9</v>
      </c>
      <c r="AC391" s="44"/>
      <c r="AD391" s="71"/>
      <c r="AE391" s="71" t="n">
        <v>262647.9</v>
      </c>
      <c r="AF391" s="71" t="s">
        <v>53</v>
      </c>
      <c r="AG391" s="71" t="n">
        <v>0</v>
      </c>
      <c r="AH391" s="58" t="s">
        <v>14</v>
      </c>
      <c r="AI391" s="44" t="n">
        <v>0</v>
      </c>
      <c r="AJ391" s="44" t="s">
        <v>160</v>
      </c>
      <c r="AK391" s="44" t="s">
        <v>47</v>
      </c>
      <c r="AL391" s="44" t="s">
        <v>160</v>
      </c>
      <c r="AM391" s="44" t="n">
        <v>0</v>
      </c>
      <c r="AN391" s="44"/>
      <c r="AO391" s="44"/>
      <c r="AP391" s="44"/>
      <c r="AQ391" s="45" t="s">
        <v>175</v>
      </c>
      <c r="AR391" s="44" t="s">
        <v>1282</v>
      </c>
      <c r="AS391" s="44"/>
      <c r="AT391" s="44"/>
      <c r="AU391" s="44"/>
      <c r="AV391" s="44"/>
      <c r="AW391" s="44"/>
      <c r="AX391" s="44"/>
      <c r="AY391" s="44"/>
      <c r="AZ391" s="46"/>
    </row>
    <row r="392" customFormat="false" ht="18" hidden="false" customHeight="true" outlineLevel="0" collapsed="false">
      <c r="A392" s="47" t="n">
        <v>94420</v>
      </c>
      <c r="B392" s="48" t="s">
        <v>178</v>
      </c>
      <c r="C392" s="47" t="n">
        <v>94420</v>
      </c>
      <c r="D392" s="48" t="s">
        <v>57</v>
      </c>
      <c r="E392" s="48" t="s">
        <v>214</v>
      </c>
      <c r="F392" s="48" t="s">
        <v>215</v>
      </c>
      <c r="G392" s="49" t="s">
        <v>1471</v>
      </c>
      <c r="H392" s="48" t="s">
        <v>14</v>
      </c>
      <c r="I392" s="48" t="s">
        <v>1627</v>
      </c>
      <c r="J392" s="48" t="s">
        <v>1567</v>
      </c>
      <c r="K392" s="48" t="s">
        <v>1285</v>
      </c>
      <c r="L392" s="48" t="s">
        <v>1636</v>
      </c>
      <c r="M392" s="48"/>
      <c r="N392" s="50" t="s">
        <v>1443</v>
      </c>
      <c r="O392" s="51" t="s">
        <v>1715</v>
      </c>
      <c r="P392" s="52" t="n">
        <v>1</v>
      </c>
      <c r="Q392" s="52"/>
      <c r="R392" s="52" t="s">
        <v>1519</v>
      </c>
      <c r="S392" s="52"/>
      <c r="T392" s="52"/>
      <c r="U392" s="53" t="n">
        <v>127740</v>
      </c>
      <c r="V392" s="54" t="n">
        <v>117520.8</v>
      </c>
      <c r="W392" s="55" t="n">
        <v>0.15</v>
      </c>
      <c r="X392" s="52"/>
      <c r="Y392" s="55" t="n">
        <v>0.05</v>
      </c>
      <c r="Z392" s="56" t="n">
        <v>2910</v>
      </c>
      <c r="AA392" s="55" t="n">
        <v>0.03</v>
      </c>
      <c r="AB392" s="57" t="n">
        <v>147460.584</v>
      </c>
      <c r="AC392" s="44"/>
      <c r="AD392" s="71"/>
      <c r="AE392" s="71" t="n">
        <v>147460.584</v>
      </c>
      <c r="AF392" s="71" t="s">
        <v>53</v>
      </c>
      <c r="AG392" s="71" t="n">
        <v>0</v>
      </c>
      <c r="AH392" s="58" t="s">
        <v>14</v>
      </c>
      <c r="AI392" s="44" t="n">
        <v>0</v>
      </c>
      <c r="AJ392" s="44" t="s">
        <v>160</v>
      </c>
      <c r="AK392" s="44" t="s">
        <v>47</v>
      </c>
      <c r="AL392" s="44" t="s">
        <v>160</v>
      </c>
      <c r="AM392" s="44" t="n">
        <v>0</v>
      </c>
      <c r="AN392" s="44"/>
      <c r="AO392" s="44"/>
      <c r="AP392" s="44"/>
      <c r="AQ392" s="45" t="s">
        <v>177</v>
      </c>
      <c r="AR392" s="44" t="s">
        <v>1282</v>
      </c>
      <c r="AS392" s="44"/>
      <c r="AT392" s="44"/>
      <c r="AU392" s="44"/>
      <c r="AV392" s="44"/>
      <c r="AW392" s="44"/>
      <c r="AX392" s="44"/>
      <c r="AY392" s="44"/>
      <c r="AZ392" s="46"/>
    </row>
    <row r="393" customFormat="false" ht="18" hidden="false" customHeight="true" outlineLevel="0" collapsed="false">
      <c r="A393" s="47" t="n">
        <v>114003</v>
      </c>
      <c r="B393" s="48" t="s">
        <v>130</v>
      </c>
      <c r="C393" s="47" t="n">
        <v>114003</v>
      </c>
      <c r="D393" s="48" t="s">
        <v>57</v>
      </c>
      <c r="E393" s="48" t="s">
        <v>214</v>
      </c>
      <c r="F393" s="48" t="s">
        <v>215</v>
      </c>
      <c r="G393" s="49" t="s">
        <v>1471</v>
      </c>
      <c r="H393" s="48" t="s">
        <v>14</v>
      </c>
      <c r="I393" s="48" t="s">
        <v>1627</v>
      </c>
      <c r="J393" s="48" t="s">
        <v>1567</v>
      </c>
      <c r="K393" s="48" t="s">
        <v>67</v>
      </c>
      <c r="L393" s="48" t="s">
        <v>54</v>
      </c>
      <c r="M393" s="48"/>
      <c r="N393" s="50" t="s">
        <v>1443</v>
      </c>
      <c r="O393" s="51" t="s">
        <v>1715</v>
      </c>
      <c r="P393" s="52" t="n">
        <v>1</v>
      </c>
      <c r="Q393" s="52"/>
      <c r="R393" s="52" t="s">
        <v>1519</v>
      </c>
      <c r="S393" s="52"/>
      <c r="T393" s="52"/>
      <c r="U393" s="53" t="n">
        <v>194190</v>
      </c>
      <c r="V393" s="54" t="n">
        <v>194190</v>
      </c>
      <c r="W393" s="55" t="n">
        <v>0.12</v>
      </c>
      <c r="X393" s="52" t="n">
        <v>0.055</v>
      </c>
      <c r="Y393" s="55" t="n">
        <v>0.12</v>
      </c>
      <c r="Z393" s="56"/>
      <c r="AA393" s="55" t="n">
        <v>0.04</v>
      </c>
      <c r="AB393" s="57" t="n">
        <v>259243.65</v>
      </c>
      <c r="AC393" s="44"/>
      <c r="AD393" s="71"/>
      <c r="AE393" s="71" t="n">
        <v>259243.65</v>
      </c>
      <c r="AF393" s="71" t="s">
        <v>53</v>
      </c>
      <c r="AG393" s="71" t="n">
        <v>0</v>
      </c>
      <c r="AH393" s="58" t="s">
        <v>14</v>
      </c>
      <c r="AI393" s="44" t="n">
        <v>0</v>
      </c>
      <c r="AJ393" s="44" t="s">
        <v>54</v>
      </c>
      <c r="AK393" s="44" t="s">
        <v>47</v>
      </c>
      <c r="AL393" s="44" t="s">
        <v>54</v>
      </c>
      <c r="AM393" s="44" t="n">
        <v>0</v>
      </c>
      <c r="AN393" s="44"/>
      <c r="AO393" s="44"/>
      <c r="AP393" s="44"/>
      <c r="AQ393" s="45" t="s">
        <v>129</v>
      </c>
      <c r="AR393" s="44" t="s">
        <v>1282</v>
      </c>
      <c r="AS393" s="44"/>
      <c r="AT393" s="44"/>
      <c r="AU393" s="44"/>
      <c r="AV393" s="44"/>
      <c r="AW393" s="44"/>
      <c r="AX393" s="44"/>
      <c r="AY393" s="44"/>
      <c r="AZ393" s="46"/>
    </row>
    <row r="394" customFormat="false" ht="18" hidden="false" customHeight="true" outlineLevel="0" collapsed="false">
      <c r="A394" s="47" t="s">
        <v>1507</v>
      </c>
      <c r="B394" s="48" t="s">
        <v>69</v>
      </c>
      <c r="C394" s="47" t="s">
        <v>1507</v>
      </c>
      <c r="D394" s="48" t="s">
        <v>123</v>
      </c>
      <c r="E394" s="48" t="s">
        <v>214</v>
      </c>
      <c r="F394" s="48" t="s">
        <v>215</v>
      </c>
      <c r="G394" s="49" t="s">
        <v>1471</v>
      </c>
      <c r="H394" s="48" t="s">
        <v>14</v>
      </c>
      <c r="I394" s="48" t="s">
        <v>1627</v>
      </c>
      <c r="J394" s="48" t="s">
        <v>1567</v>
      </c>
      <c r="K394" s="48" t="s">
        <v>67</v>
      </c>
      <c r="L394" s="48" t="s">
        <v>58</v>
      </c>
      <c r="M394" s="48"/>
      <c r="N394" s="50" t="s">
        <v>1443</v>
      </c>
      <c r="O394" s="51" t="s">
        <v>1715</v>
      </c>
      <c r="P394" s="52" t="n">
        <v>1</v>
      </c>
      <c r="Q394" s="51"/>
      <c r="R394" s="52" t="s">
        <v>1513</v>
      </c>
      <c r="S394" s="52"/>
      <c r="T394" s="52"/>
      <c r="U394" s="53" t="n">
        <v>173550</v>
      </c>
      <c r="V394" s="54" t="n">
        <v>173550</v>
      </c>
      <c r="W394" s="55" t="n">
        <v>0.12</v>
      </c>
      <c r="X394" s="52" t="n">
        <v>0.055</v>
      </c>
      <c r="Y394" s="55" t="n">
        <v>0.12</v>
      </c>
      <c r="Z394" s="56"/>
      <c r="AA394" s="55" t="n">
        <v>0.04</v>
      </c>
      <c r="AB394" s="57" t="n">
        <v>231689.25</v>
      </c>
      <c r="AC394" s="44"/>
      <c r="AD394" s="71"/>
      <c r="AE394" s="71" t="n">
        <v>231689.25</v>
      </c>
      <c r="AF394" s="71" t="s">
        <v>69</v>
      </c>
      <c r="AG394" s="71" t="n">
        <v>0</v>
      </c>
      <c r="AH394" s="58" t="s">
        <v>14</v>
      </c>
      <c r="AI394" s="44" t="n">
        <v>0</v>
      </c>
      <c r="AJ394" s="44" t="s">
        <v>58</v>
      </c>
      <c r="AK394" s="44" t="s">
        <v>47</v>
      </c>
      <c r="AL394" s="44" t="s">
        <v>58</v>
      </c>
      <c r="AM394" s="44" t="n">
        <v>0</v>
      </c>
      <c r="AN394" s="44"/>
      <c r="AO394" s="44"/>
      <c r="AP394" s="44"/>
      <c r="AQ394" s="45" t="s">
        <v>122</v>
      </c>
      <c r="AR394" s="44" t="s">
        <v>1282</v>
      </c>
      <c r="AS394" s="44"/>
      <c r="AT394" s="44"/>
      <c r="AU394" s="44"/>
      <c r="AV394" s="44"/>
      <c r="AW394" s="44"/>
      <c r="AX394" s="44"/>
      <c r="AY394" s="44"/>
      <c r="AZ394" s="46"/>
    </row>
    <row r="395" customFormat="false" ht="18" hidden="false" customHeight="true" outlineLevel="0" collapsed="false">
      <c r="A395" s="47" t="s">
        <v>1507</v>
      </c>
      <c r="B395" s="48" t="s">
        <v>69</v>
      </c>
      <c r="C395" s="47" t="s">
        <v>1507</v>
      </c>
      <c r="D395" s="48" t="s">
        <v>144</v>
      </c>
      <c r="E395" s="48" t="s">
        <v>214</v>
      </c>
      <c r="F395" s="48" t="s">
        <v>215</v>
      </c>
      <c r="G395" s="49" t="s">
        <v>1471</v>
      </c>
      <c r="H395" s="48" t="s">
        <v>14</v>
      </c>
      <c r="I395" s="48" t="s">
        <v>1627</v>
      </c>
      <c r="J395" s="48" t="s">
        <v>1567</v>
      </c>
      <c r="K395" s="48" t="s">
        <v>67</v>
      </c>
      <c r="L395" s="48" t="s">
        <v>67</v>
      </c>
      <c r="M395" s="48"/>
      <c r="N395" s="50" t="s">
        <v>1443</v>
      </c>
      <c r="O395" s="51" t="s">
        <v>1715</v>
      </c>
      <c r="P395" s="52" t="n">
        <v>1</v>
      </c>
      <c r="Q395" s="52"/>
      <c r="R395" s="52" t="s">
        <v>1513</v>
      </c>
      <c r="S395" s="52"/>
      <c r="T395" s="52"/>
      <c r="U395" s="53" t="n">
        <v>129659</v>
      </c>
      <c r="V395" s="54" t="n">
        <v>129659</v>
      </c>
      <c r="W395" s="55" t="n">
        <v>0.1</v>
      </c>
      <c r="X395" s="52" t="n">
        <v>0.055</v>
      </c>
      <c r="Y395" s="55" t="n">
        <v>0.12</v>
      </c>
      <c r="Z395" s="56"/>
      <c r="AA395" s="55" t="n">
        <v>0.04</v>
      </c>
      <c r="AB395" s="57" t="n">
        <v>170501.585</v>
      </c>
      <c r="AC395" s="44"/>
      <c r="AD395" s="71"/>
      <c r="AE395" s="71" t="n">
        <v>170501.585</v>
      </c>
      <c r="AF395" s="71" t="s">
        <v>69</v>
      </c>
      <c r="AG395" s="71" t="n">
        <v>0</v>
      </c>
      <c r="AH395" s="58" t="s">
        <v>14</v>
      </c>
      <c r="AI395" s="44" t="n">
        <v>0</v>
      </c>
      <c r="AJ395" s="44" t="s">
        <v>67</v>
      </c>
      <c r="AK395" s="44" t="s">
        <v>47</v>
      </c>
      <c r="AL395" s="44" t="s">
        <v>67</v>
      </c>
      <c r="AM395" s="44" t="n">
        <v>0</v>
      </c>
      <c r="AN395" s="44"/>
      <c r="AO395" s="44"/>
      <c r="AP395" s="44"/>
      <c r="AQ395" s="45" t="s">
        <v>143</v>
      </c>
      <c r="AR395" s="44" t="s">
        <v>1282</v>
      </c>
      <c r="AS395" s="44"/>
      <c r="AT395" s="44"/>
      <c r="AU395" s="44"/>
      <c r="AV395" s="44"/>
      <c r="AW395" s="44"/>
      <c r="AX395" s="44"/>
      <c r="AY395" s="44"/>
      <c r="AZ395" s="46"/>
    </row>
    <row r="396" customFormat="false" ht="18" hidden="false" customHeight="true" outlineLevel="0" collapsed="false">
      <c r="A396" s="47" t="s">
        <v>1507</v>
      </c>
      <c r="B396" s="48" t="s">
        <v>69</v>
      </c>
      <c r="C396" s="47" t="s">
        <v>1507</v>
      </c>
      <c r="D396" s="48" t="s">
        <v>77</v>
      </c>
      <c r="E396" s="48" t="s">
        <v>205</v>
      </c>
      <c r="F396" s="48" t="s">
        <v>1503</v>
      </c>
      <c r="G396" s="49" t="s">
        <v>1471</v>
      </c>
      <c r="H396" s="48" t="s">
        <v>14</v>
      </c>
      <c r="I396" s="48" t="s">
        <v>1504</v>
      </c>
      <c r="J396" s="48" t="s">
        <v>1567</v>
      </c>
      <c r="K396" s="48" t="s">
        <v>48</v>
      </c>
      <c r="L396" s="48" t="s">
        <v>48</v>
      </c>
      <c r="M396" s="48"/>
      <c r="N396" s="50" t="s">
        <v>1443</v>
      </c>
      <c r="O396" s="51" t="s">
        <v>1715</v>
      </c>
      <c r="P396" s="52" t="n">
        <v>1</v>
      </c>
      <c r="Q396" s="51"/>
      <c r="R396" s="52" t="s">
        <v>1507</v>
      </c>
      <c r="S396" s="52"/>
      <c r="T396" s="52"/>
      <c r="U396" s="53" t="n">
        <v>151950</v>
      </c>
      <c r="V396" s="54" t="n">
        <v>151950</v>
      </c>
      <c r="W396" s="55" t="n">
        <v>0.12</v>
      </c>
      <c r="X396" s="52" t="n">
        <v>0.055</v>
      </c>
      <c r="Y396" s="55" t="n">
        <v>0.12</v>
      </c>
      <c r="Z396" s="56"/>
      <c r="AA396" s="55" t="n">
        <v>0.04</v>
      </c>
      <c r="AB396" s="57" t="n">
        <v>202853.25</v>
      </c>
      <c r="AC396" s="44"/>
      <c r="AD396" s="71"/>
      <c r="AE396" s="71" t="n">
        <v>202853.25</v>
      </c>
      <c r="AF396" s="71" t="s">
        <v>69</v>
      </c>
      <c r="AG396" s="71" t="n">
        <v>0</v>
      </c>
      <c r="AH396" s="58" t="s">
        <v>14</v>
      </c>
      <c r="AI396" s="44" t="n">
        <v>0</v>
      </c>
      <c r="AJ396" s="44" t="s">
        <v>48</v>
      </c>
      <c r="AK396" s="44" t="s">
        <v>47</v>
      </c>
      <c r="AL396" s="44" t="s">
        <v>48</v>
      </c>
      <c r="AM396" s="44" t="n">
        <v>0</v>
      </c>
      <c r="AN396" s="44"/>
      <c r="AO396" s="44"/>
      <c r="AP396" s="44"/>
      <c r="AQ396" s="45" t="s">
        <v>76</v>
      </c>
      <c r="AR396" s="44" t="s">
        <v>1282</v>
      </c>
      <c r="AS396" s="44"/>
      <c r="AT396" s="44"/>
      <c r="AU396" s="44"/>
      <c r="AV396" s="44"/>
      <c r="AW396" s="44"/>
      <c r="AX396" s="44"/>
      <c r="AY396" s="44"/>
      <c r="AZ396" s="46"/>
    </row>
    <row r="397" customFormat="false" ht="18" hidden="false" customHeight="true" outlineLevel="0" collapsed="false">
      <c r="A397" s="47" t="s">
        <v>1507</v>
      </c>
      <c r="B397" s="48" t="s">
        <v>69</v>
      </c>
      <c r="C397" s="47" t="s">
        <v>1507</v>
      </c>
      <c r="D397" s="48" t="s">
        <v>77</v>
      </c>
      <c r="E397" s="48" t="s">
        <v>205</v>
      </c>
      <c r="F397" s="48" t="s">
        <v>1503</v>
      </c>
      <c r="G397" s="49" t="s">
        <v>1471</v>
      </c>
      <c r="H397" s="48" t="s">
        <v>14</v>
      </c>
      <c r="I397" s="48" t="s">
        <v>1504</v>
      </c>
      <c r="J397" s="48" t="s">
        <v>1567</v>
      </c>
      <c r="K397" s="48" t="s">
        <v>1156</v>
      </c>
      <c r="L397" s="48" t="s">
        <v>64</v>
      </c>
      <c r="M397" s="48"/>
      <c r="N397" s="50" t="s">
        <v>1443</v>
      </c>
      <c r="O397" s="51" t="s">
        <v>1715</v>
      </c>
      <c r="P397" s="52" t="n">
        <v>1</v>
      </c>
      <c r="Q397" s="51"/>
      <c r="R397" s="52" t="s">
        <v>1507</v>
      </c>
      <c r="S397" s="52"/>
      <c r="T397" s="52"/>
      <c r="U397" s="53" t="n">
        <v>151950</v>
      </c>
      <c r="V397" s="54" t="n">
        <v>151950</v>
      </c>
      <c r="W397" s="55" t="n">
        <v>0.12</v>
      </c>
      <c r="X397" s="52" t="n">
        <v>0.055</v>
      </c>
      <c r="Y397" s="55" t="n">
        <v>0.12</v>
      </c>
      <c r="Z397" s="56"/>
      <c r="AA397" s="55" t="n">
        <v>0.04</v>
      </c>
      <c r="AB397" s="57" t="n">
        <v>202853.25</v>
      </c>
      <c r="AC397" s="44"/>
      <c r="AD397" s="71"/>
      <c r="AE397" s="71" t="n">
        <v>202853.25</v>
      </c>
      <c r="AF397" s="71" t="s">
        <v>69</v>
      </c>
      <c r="AG397" s="71" t="n">
        <v>0</v>
      </c>
      <c r="AH397" s="58" t="s">
        <v>14</v>
      </c>
      <c r="AI397" s="44" t="n">
        <v>0</v>
      </c>
      <c r="AJ397" s="44" t="s">
        <v>64</v>
      </c>
      <c r="AK397" s="44" t="s">
        <v>47</v>
      </c>
      <c r="AL397" s="44" t="s">
        <v>64</v>
      </c>
      <c r="AM397" s="44" t="n">
        <v>0</v>
      </c>
      <c r="AN397" s="44"/>
      <c r="AO397" s="44"/>
      <c r="AP397" s="44"/>
      <c r="AQ397" s="45" t="s">
        <v>107</v>
      </c>
      <c r="AR397" s="44" t="s">
        <v>1282</v>
      </c>
      <c r="AS397" s="44"/>
      <c r="AT397" s="44"/>
      <c r="AU397" s="44"/>
      <c r="AV397" s="44"/>
      <c r="AW397" s="44"/>
      <c r="AX397" s="44"/>
      <c r="AY397" s="44"/>
      <c r="AZ397" s="46"/>
    </row>
    <row r="398" customFormat="false" ht="18" hidden="false" customHeight="true" outlineLevel="0" collapsed="false">
      <c r="A398" s="47" t="s">
        <v>1507</v>
      </c>
      <c r="B398" s="48" t="s">
        <v>69</v>
      </c>
      <c r="C398" s="47" t="s">
        <v>1507</v>
      </c>
      <c r="D398" s="48" t="s">
        <v>77</v>
      </c>
      <c r="E398" s="48" t="s">
        <v>205</v>
      </c>
      <c r="F398" s="48" t="s">
        <v>1503</v>
      </c>
      <c r="G398" s="49" t="s">
        <v>1471</v>
      </c>
      <c r="H398" s="48" t="s">
        <v>14</v>
      </c>
      <c r="I398" s="48" t="s">
        <v>1504</v>
      </c>
      <c r="J398" s="48" t="s">
        <v>1567</v>
      </c>
      <c r="K398" s="48" t="s">
        <v>67</v>
      </c>
      <c r="L398" s="48" t="s">
        <v>58</v>
      </c>
      <c r="M398" s="48"/>
      <c r="N398" s="50" t="s">
        <v>1443</v>
      </c>
      <c r="O398" s="51" t="s">
        <v>1715</v>
      </c>
      <c r="P398" s="52" t="n">
        <v>1</v>
      </c>
      <c r="Q398" s="51"/>
      <c r="R398" s="52" t="s">
        <v>1513</v>
      </c>
      <c r="S398" s="52"/>
      <c r="T398" s="52"/>
      <c r="U398" s="53" t="n">
        <v>129659</v>
      </c>
      <c r="V398" s="54" t="n">
        <v>129659</v>
      </c>
      <c r="W398" s="55" t="n">
        <v>0.1</v>
      </c>
      <c r="X398" s="52" t="n">
        <v>0.055</v>
      </c>
      <c r="Y398" s="55" t="n">
        <v>0.12</v>
      </c>
      <c r="Z398" s="56"/>
      <c r="AA398" s="55" t="n">
        <v>0.04</v>
      </c>
      <c r="AB398" s="57" t="n">
        <v>170501.585</v>
      </c>
      <c r="AC398" s="44"/>
      <c r="AD398" s="71"/>
      <c r="AE398" s="71" t="n">
        <v>170501.585</v>
      </c>
      <c r="AF398" s="71" t="s">
        <v>69</v>
      </c>
      <c r="AG398" s="71" t="n">
        <v>0</v>
      </c>
      <c r="AH398" s="58" t="s">
        <v>14</v>
      </c>
      <c r="AI398" s="44" t="n">
        <v>0</v>
      </c>
      <c r="AJ398" s="44" t="s">
        <v>58</v>
      </c>
      <c r="AK398" s="44" t="s">
        <v>47</v>
      </c>
      <c r="AL398" s="44" t="s">
        <v>58</v>
      </c>
      <c r="AM398" s="44" t="n">
        <v>0</v>
      </c>
      <c r="AN398" s="44"/>
      <c r="AO398" s="44"/>
      <c r="AP398" s="44"/>
      <c r="AQ398" s="45" t="s">
        <v>124</v>
      </c>
      <c r="AR398" s="44" t="s">
        <v>1282</v>
      </c>
      <c r="AS398" s="44"/>
      <c r="AT398" s="44"/>
      <c r="AU398" s="44"/>
      <c r="AV398" s="44"/>
      <c r="AW398" s="44"/>
      <c r="AX398" s="44"/>
      <c r="AY398" s="44"/>
      <c r="AZ398" s="46"/>
    </row>
    <row r="399" customFormat="false" ht="18" hidden="false" customHeight="true" outlineLevel="0" collapsed="false">
      <c r="A399" s="47" t="n">
        <v>98158</v>
      </c>
      <c r="B399" s="48" t="s">
        <v>109</v>
      </c>
      <c r="C399" s="47" t="n">
        <v>98158</v>
      </c>
      <c r="D399" s="48" t="s">
        <v>84</v>
      </c>
      <c r="E399" s="48" t="s">
        <v>205</v>
      </c>
      <c r="F399" s="48" t="s">
        <v>1503</v>
      </c>
      <c r="G399" s="49" t="s">
        <v>1471</v>
      </c>
      <c r="H399" s="48" t="s">
        <v>14</v>
      </c>
      <c r="I399" s="48" t="s">
        <v>1504</v>
      </c>
      <c r="J399" s="48" t="s">
        <v>1567</v>
      </c>
      <c r="K399" s="48" t="s">
        <v>1156</v>
      </c>
      <c r="L399" s="48" t="s">
        <v>64</v>
      </c>
      <c r="M399" s="48"/>
      <c r="N399" s="50" t="s">
        <v>1443</v>
      </c>
      <c r="O399" s="51" t="s">
        <v>1715</v>
      </c>
      <c r="P399" s="52" t="n">
        <v>1</v>
      </c>
      <c r="Q399" s="52"/>
      <c r="R399" s="52" t="s">
        <v>1519</v>
      </c>
      <c r="S399" s="52"/>
      <c r="T399" s="52"/>
      <c r="U399" s="53" t="n">
        <v>136670</v>
      </c>
      <c r="V399" s="54" t="n">
        <v>136670</v>
      </c>
      <c r="W399" s="55" t="n">
        <v>0.12</v>
      </c>
      <c r="X399" s="52" t="n">
        <v>0.055</v>
      </c>
      <c r="Y399" s="55" t="n">
        <v>0.12</v>
      </c>
      <c r="Z399" s="56"/>
      <c r="AA399" s="55" t="n">
        <v>0.04</v>
      </c>
      <c r="AB399" s="57" t="n">
        <v>182454.45</v>
      </c>
      <c r="AC399" s="44"/>
      <c r="AD399" s="71"/>
      <c r="AE399" s="71" t="n">
        <v>182454.45</v>
      </c>
      <c r="AF399" s="71" t="s">
        <v>53</v>
      </c>
      <c r="AG399" s="71" t="n">
        <v>0</v>
      </c>
      <c r="AH399" s="58" t="s">
        <v>14</v>
      </c>
      <c r="AI399" s="44" t="n">
        <v>0</v>
      </c>
      <c r="AJ399" s="44" t="s">
        <v>64</v>
      </c>
      <c r="AK399" s="44" t="s">
        <v>47</v>
      </c>
      <c r="AL399" s="44" t="s">
        <v>64</v>
      </c>
      <c r="AM399" s="44" t="n">
        <v>0</v>
      </c>
      <c r="AN399" s="44"/>
      <c r="AO399" s="44"/>
      <c r="AP399" s="44"/>
      <c r="AQ399" s="45" t="s">
        <v>108</v>
      </c>
      <c r="AR399" s="44" t="s">
        <v>1282</v>
      </c>
      <c r="AS399" s="44"/>
      <c r="AT399" s="44"/>
      <c r="AU399" s="44"/>
      <c r="AV399" s="44"/>
      <c r="AW399" s="44"/>
      <c r="AX399" s="44"/>
      <c r="AY399" s="44"/>
      <c r="AZ399" s="46"/>
    </row>
    <row r="400" customFormat="false" ht="18" hidden="false" customHeight="true" outlineLevel="0" collapsed="false">
      <c r="A400" s="47" t="n">
        <v>115831</v>
      </c>
      <c r="B400" s="48" t="s">
        <v>132</v>
      </c>
      <c r="C400" s="47" t="n">
        <v>115831</v>
      </c>
      <c r="D400" s="48" t="s">
        <v>133</v>
      </c>
      <c r="E400" s="48" t="s">
        <v>205</v>
      </c>
      <c r="F400" s="48" t="s">
        <v>1503</v>
      </c>
      <c r="G400" s="49" t="s">
        <v>1471</v>
      </c>
      <c r="H400" s="48" t="s">
        <v>14</v>
      </c>
      <c r="I400" s="48" t="s">
        <v>1504</v>
      </c>
      <c r="J400" s="48" t="s">
        <v>1567</v>
      </c>
      <c r="K400" s="48" t="s">
        <v>67</v>
      </c>
      <c r="L400" s="48" t="s">
        <v>54</v>
      </c>
      <c r="M400" s="48"/>
      <c r="N400" s="50" t="s">
        <v>1443</v>
      </c>
      <c r="O400" s="51" t="s">
        <v>1715</v>
      </c>
      <c r="P400" s="52" t="n">
        <v>1</v>
      </c>
      <c r="Q400" s="51"/>
      <c r="R400" s="52" t="s">
        <v>1519</v>
      </c>
      <c r="S400" s="52"/>
      <c r="T400" s="52"/>
      <c r="U400" s="53" t="n">
        <v>160000</v>
      </c>
      <c r="V400" s="54" t="n">
        <v>160000</v>
      </c>
      <c r="W400" s="55" t="n">
        <v>0.12</v>
      </c>
      <c r="X400" s="52" t="n">
        <v>0.055</v>
      </c>
      <c r="Y400" s="55" t="n">
        <v>0.12</v>
      </c>
      <c r="Z400" s="56"/>
      <c r="AA400" s="55" t="n">
        <v>0.04</v>
      </c>
      <c r="AB400" s="57" t="n">
        <v>213600</v>
      </c>
      <c r="AC400" s="44"/>
      <c r="AD400" s="71"/>
      <c r="AE400" s="71" t="n">
        <v>213600</v>
      </c>
      <c r="AF400" s="71" t="s">
        <v>53</v>
      </c>
      <c r="AG400" s="71" t="n">
        <v>0</v>
      </c>
      <c r="AH400" s="58" t="s">
        <v>14</v>
      </c>
      <c r="AI400" s="44" t="n">
        <v>0</v>
      </c>
      <c r="AJ400" s="44" t="s">
        <v>54</v>
      </c>
      <c r="AK400" s="44" t="s">
        <v>47</v>
      </c>
      <c r="AL400" s="44" t="s">
        <v>54</v>
      </c>
      <c r="AM400" s="44" t="n">
        <v>0</v>
      </c>
      <c r="AN400" s="44"/>
      <c r="AO400" s="44"/>
      <c r="AP400" s="44"/>
      <c r="AQ400" s="45" t="s">
        <v>131</v>
      </c>
      <c r="AR400" s="44" t="s">
        <v>1282</v>
      </c>
      <c r="AS400" s="44"/>
      <c r="AT400" s="44"/>
      <c r="AU400" s="44"/>
      <c r="AV400" s="44"/>
      <c r="AW400" s="44"/>
      <c r="AX400" s="44"/>
      <c r="AY400" s="44"/>
      <c r="AZ400" s="46"/>
    </row>
    <row r="401" customFormat="false" ht="18" hidden="false" customHeight="true" outlineLevel="0" collapsed="false">
      <c r="A401" s="47" t="n">
        <v>110197</v>
      </c>
      <c r="B401" s="48" t="s">
        <v>102</v>
      </c>
      <c r="C401" s="47" t="n">
        <v>110197</v>
      </c>
      <c r="D401" s="48" t="s">
        <v>103</v>
      </c>
      <c r="E401" s="48" t="s">
        <v>211</v>
      </c>
      <c r="F401" s="48" t="s">
        <v>212</v>
      </c>
      <c r="G401" s="49" t="s">
        <v>1471</v>
      </c>
      <c r="H401" s="48" t="s">
        <v>14</v>
      </c>
      <c r="I401" s="48" t="s">
        <v>1602</v>
      </c>
      <c r="J401" s="48" t="s">
        <v>1567</v>
      </c>
      <c r="K401" s="48" t="s">
        <v>67</v>
      </c>
      <c r="L401" s="48" t="s">
        <v>61</v>
      </c>
      <c r="M401" s="48"/>
      <c r="N401" s="50" t="s">
        <v>1443</v>
      </c>
      <c r="O401" s="51" t="s">
        <v>1715</v>
      </c>
      <c r="P401" s="52" t="n">
        <v>1</v>
      </c>
      <c r="Q401" s="51"/>
      <c r="R401" s="52" t="s">
        <v>1519</v>
      </c>
      <c r="S401" s="52"/>
      <c r="T401" s="52"/>
      <c r="U401" s="53" t="n">
        <v>154360</v>
      </c>
      <c r="V401" s="54" t="n">
        <v>154360</v>
      </c>
      <c r="W401" s="55" t="n">
        <v>0.12</v>
      </c>
      <c r="X401" s="52" t="n">
        <v>0.055</v>
      </c>
      <c r="Y401" s="55" t="n">
        <v>0.12</v>
      </c>
      <c r="Z401" s="56"/>
      <c r="AA401" s="55" t="n">
        <v>0.04</v>
      </c>
      <c r="AB401" s="57" t="n">
        <v>206070.6</v>
      </c>
      <c r="AC401" s="44"/>
      <c r="AD401" s="71"/>
      <c r="AE401" s="71" t="n">
        <v>206070.6</v>
      </c>
      <c r="AF401" s="71" t="s">
        <v>53</v>
      </c>
      <c r="AG401" s="71" t="n">
        <v>0</v>
      </c>
      <c r="AH401" s="58" t="s">
        <v>14</v>
      </c>
      <c r="AI401" s="44" t="n">
        <v>0</v>
      </c>
      <c r="AJ401" s="44" t="s">
        <v>61</v>
      </c>
      <c r="AK401" s="44" t="s">
        <v>47</v>
      </c>
      <c r="AL401" s="44" t="s">
        <v>61</v>
      </c>
      <c r="AM401" s="44" t="n">
        <v>0</v>
      </c>
      <c r="AN401" s="44"/>
      <c r="AO401" s="44"/>
      <c r="AP401" s="44"/>
      <c r="AQ401" s="45" t="s">
        <v>101</v>
      </c>
      <c r="AR401" s="44" t="s">
        <v>1282</v>
      </c>
      <c r="AS401" s="44"/>
      <c r="AT401" s="44"/>
      <c r="AU401" s="44"/>
      <c r="AV401" s="44"/>
      <c r="AW401" s="44"/>
      <c r="AX401" s="44"/>
      <c r="AY401" s="44"/>
      <c r="AZ401" s="46"/>
    </row>
    <row r="402" customFormat="false" ht="18" hidden="false" customHeight="true" outlineLevel="0" collapsed="false">
      <c r="A402" s="47" t="n">
        <v>91356</v>
      </c>
      <c r="B402" s="48" t="s">
        <v>111</v>
      </c>
      <c r="C402" s="47" t="n">
        <v>91356</v>
      </c>
      <c r="D402" s="48" t="s">
        <v>52</v>
      </c>
      <c r="E402" s="48" t="s">
        <v>211</v>
      </c>
      <c r="F402" s="48" t="s">
        <v>212</v>
      </c>
      <c r="G402" s="49" t="s">
        <v>1471</v>
      </c>
      <c r="H402" s="48" t="s">
        <v>14</v>
      </c>
      <c r="I402" s="48" t="s">
        <v>1602</v>
      </c>
      <c r="J402" s="48" t="s">
        <v>1567</v>
      </c>
      <c r="K402" s="48" t="s">
        <v>1156</v>
      </c>
      <c r="L402" s="48" t="s">
        <v>64</v>
      </c>
      <c r="M402" s="48"/>
      <c r="N402" s="50" t="s">
        <v>1443</v>
      </c>
      <c r="O402" s="51" t="s">
        <v>1715</v>
      </c>
      <c r="P402" s="52" t="n">
        <v>1</v>
      </c>
      <c r="Q402" s="51"/>
      <c r="R402" s="52" t="s">
        <v>1519</v>
      </c>
      <c r="S402" s="52"/>
      <c r="T402" s="52"/>
      <c r="U402" s="53" t="n">
        <v>115000</v>
      </c>
      <c r="V402" s="54" t="n">
        <v>105800</v>
      </c>
      <c r="W402" s="55" t="n">
        <v>0.15</v>
      </c>
      <c r="X402" s="52"/>
      <c r="Y402" s="55" t="n">
        <v>0.05</v>
      </c>
      <c r="Z402" s="56" t="n">
        <v>2910</v>
      </c>
      <c r="AA402" s="55" t="n">
        <v>0.03</v>
      </c>
      <c r="AB402" s="57" t="n">
        <v>133044</v>
      </c>
      <c r="AC402" s="44"/>
      <c r="AD402" s="71"/>
      <c r="AE402" s="71" t="n">
        <v>133044</v>
      </c>
      <c r="AF402" s="71" t="s">
        <v>53</v>
      </c>
      <c r="AG402" s="71" t="n">
        <v>0</v>
      </c>
      <c r="AH402" s="58" t="s">
        <v>14</v>
      </c>
      <c r="AI402" s="44" t="n">
        <v>0</v>
      </c>
      <c r="AJ402" s="44" t="s">
        <v>64</v>
      </c>
      <c r="AK402" s="44" t="s">
        <v>47</v>
      </c>
      <c r="AL402" s="44" t="s">
        <v>64</v>
      </c>
      <c r="AM402" s="44" t="n">
        <v>0</v>
      </c>
      <c r="AN402" s="44"/>
      <c r="AO402" s="44"/>
      <c r="AP402" s="44"/>
      <c r="AQ402" s="45" t="s">
        <v>110</v>
      </c>
      <c r="AR402" s="44" t="s">
        <v>1282</v>
      </c>
      <c r="AS402" s="44"/>
      <c r="AT402" s="44"/>
      <c r="AU402" s="44"/>
      <c r="AV402" s="44"/>
      <c r="AW402" s="44"/>
      <c r="AX402" s="44"/>
      <c r="AY402" s="44"/>
      <c r="AZ402" s="46"/>
    </row>
    <row r="403" customFormat="false" ht="18" hidden="false" customHeight="true" outlineLevel="0" collapsed="false">
      <c r="A403" s="47" t="n">
        <v>114616</v>
      </c>
      <c r="B403" s="48" t="s">
        <v>198</v>
      </c>
      <c r="C403" s="47" t="n">
        <v>114616</v>
      </c>
      <c r="D403" s="48" t="s">
        <v>57</v>
      </c>
      <c r="E403" s="48" t="s">
        <v>211</v>
      </c>
      <c r="F403" s="48" t="s">
        <v>212</v>
      </c>
      <c r="G403" s="49" t="s">
        <v>1471</v>
      </c>
      <c r="H403" s="48" t="s">
        <v>14</v>
      </c>
      <c r="I403" s="48" t="s">
        <v>1602</v>
      </c>
      <c r="J403" s="48" t="s">
        <v>1442</v>
      </c>
      <c r="K403" s="48" t="s">
        <v>36</v>
      </c>
      <c r="L403" s="48" t="s">
        <v>184</v>
      </c>
      <c r="M403" s="48"/>
      <c r="N403" s="50" t="s">
        <v>1443</v>
      </c>
      <c r="O403" s="51" t="s">
        <v>1715</v>
      </c>
      <c r="P403" s="52" t="n">
        <v>1</v>
      </c>
      <c r="Q403" s="52"/>
      <c r="R403" s="52" t="s">
        <v>1519</v>
      </c>
      <c r="S403" s="52"/>
      <c r="T403" s="52"/>
      <c r="U403" s="53" t="n">
        <v>185140</v>
      </c>
      <c r="V403" s="54" t="n">
        <v>185140</v>
      </c>
      <c r="W403" s="55" t="n">
        <v>0.12</v>
      </c>
      <c r="X403" s="52" t="n">
        <v>0.055</v>
      </c>
      <c r="Y403" s="55" t="n">
        <v>0.12</v>
      </c>
      <c r="Z403" s="56"/>
      <c r="AA403" s="55" t="n">
        <v>0.04</v>
      </c>
      <c r="AB403" s="57" t="n">
        <v>247161.9</v>
      </c>
      <c r="AC403" s="44"/>
      <c r="AD403" s="71"/>
      <c r="AE403" s="71" t="n">
        <v>247161.9</v>
      </c>
      <c r="AF403" s="71" t="s">
        <v>53</v>
      </c>
      <c r="AG403" s="71" t="n">
        <v>0</v>
      </c>
      <c r="AH403" s="58" t="s">
        <v>14</v>
      </c>
      <c r="AI403" s="44" t="n">
        <v>0</v>
      </c>
      <c r="AJ403" s="44" t="s">
        <v>184</v>
      </c>
      <c r="AK403" s="44" t="s">
        <v>47</v>
      </c>
      <c r="AL403" s="44" t="s">
        <v>184</v>
      </c>
      <c r="AM403" s="44" t="n">
        <v>1</v>
      </c>
      <c r="AN403" s="44"/>
      <c r="AO403" s="44"/>
      <c r="AP403" s="44"/>
      <c r="AQ403" s="45" t="s">
        <v>197</v>
      </c>
      <c r="AR403" s="44" t="s">
        <v>1282</v>
      </c>
      <c r="AS403" s="44"/>
      <c r="AT403" s="44"/>
      <c r="AU403" s="44"/>
      <c r="AV403" s="44"/>
      <c r="AW403" s="44"/>
      <c r="AX403" s="44"/>
      <c r="AY403" s="44"/>
      <c r="AZ403" s="46"/>
    </row>
    <row r="404" customFormat="false" ht="18" hidden="false" customHeight="true" outlineLevel="0" collapsed="false">
      <c r="A404" s="47" t="n">
        <v>106511</v>
      </c>
      <c r="B404" s="48" t="s">
        <v>1088</v>
      </c>
      <c r="C404" s="47" t="n">
        <v>106511</v>
      </c>
      <c r="D404" s="48" t="s">
        <v>1089</v>
      </c>
      <c r="E404" s="48" t="s">
        <v>1079</v>
      </c>
      <c r="F404" s="48" t="s">
        <v>1754</v>
      </c>
      <c r="G404" s="49" t="s">
        <v>1527</v>
      </c>
      <c r="H404" s="48" t="s">
        <v>1338</v>
      </c>
      <c r="I404" s="48" t="s">
        <v>1755</v>
      </c>
      <c r="J404" s="48" t="s">
        <v>1159</v>
      </c>
      <c r="K404" s="48" t="s">
        <v>1159</v>
      </c>
      <c r="L404" s="48" t="s">
        <v>1159</v>
      </c>
      <c r="M404" s="48"/>
      <c r="N404" s="50" t="s">
        <v>1443</v>
      </c>
      <c r="O404" s="51" t="s">
        <v>1715</v>
      </c>
      <c r="P404" s="52" t="n">
        <v>1</v>
      </c>
      <c r="Q404" s="51"/>
      <c r="R404" s="52" t="s">
        <v>1519</v>
      </c>
      <c r="S404" s="52"/>
      <c r="T404" s="52"/>
      <c r="U404" s="53" t="n">
        <v>170160</v>
      </c>
      <c r="V404" s="54" t="n">
        <v>170160</v>
      </c>
      <c r="W404" s="55" t="n">
        <v>0.12</v>
      </c>
      <c r="X404" s="52" t="n">
        <v>0.055</v>
      </c>
      <c r="Y404" s="55" t="n">
        <v>0.12</v>
      </c>
      <c r="Z404" s="56"/>
      <c r="AA404" s="55" t="n">
        <v>0.04</v>
      </c>
      <c r="AB404" s="57" t="n">
        <v>227163.6</v>
      </c>
      <c r="AC404" s="44"/>
      <c r="AD404" s="71"/>
      <c r="AE404" s="71" t="n">
        <v>227163.6</v>
      </c>
      <c r="AF404" s="71" t="s">
        <v>53</v>
      </c>
      <c r="AG404" s="71" t="n">
        <v>0</v>
      </c>
      <c r="AH404" s="58" t="s">
        <v>25</v>
      </c>
      <c r="AI404" s="44" t="n">
        <v>0</v>
      </c>
      <c r="AJ404" s="44" t="s">
        <v>1077</v>
      </c>
      <c r="AK404" s="44" t="s">
        <v>47</v>
      </c>
      <c r="AL404" s="44" t="s">
        <v>1077</v>
      </c>
      <c r="AM404" s="44" t="n">
        <v>0</v>
      </c>
      <c r="AN404" s="44"/>
      <c r="AO404" s="44"/>
      <c r="AP404" s="44"/>
      <c r="AQ404" s="45" t="s">
        <v>1087</v>
      </c>
      <c r="AR404" s="44" t="s">
        <v>1282</v>
      </c>
      <c r="AS404" s="44"/>
      <c r="AT404" s="44"/>
      <c r="AU404" s="44"/>
      <c r="AV404" s="44"/>
      <c r="AW404" s="44"/>
      <c r="AX404" s="44"/>
      <c r="AY404" s="44"/>
      <c r="AZ404" s="46"/>
    </row>
    <row r="405" customFormat="false" ht="18" hidden="false" customHeight="true" outlineLevel="0" collapsed="false">
      <c r="A405" s="47" t="n">
        <v>114383</v>
      </c>
      <c r="B405" s="48" t="s">
        <v>1091</v>
      </c>
      <c r="C405" s="47" t="n">
        <v>114383</v>
      </c>
      <c r="D405" s="48" t="s">
        <v>1092</v>
      </c>
      <c r="E405" s="48" t="s">
        <v>1079</v>
      </c>
      <c r="F405" s="48" t="s">
        <v>1754</v>
      </c>
      <c r="G405" s="49" t="s">
        <v>1527</v>
      </c>
      <c r="H405" s="48" t="s">
        <v>1338</v>
      </c>
      <c r="I405" s="48" t="s">
        <v>1159</v>
      </c>
      <c r="J405" s="48" t="s">
        <v>1159</v>
      </c>
      <c r="K405" s="48" t="s">
        <v>1159</v>
      </c>
      <c r="L405" s="48" t="s">
        <v>1159</v>
      </c>
      <c r="M405" s="48"/>
      <c r="N405" s="50" t="s">
        <v>1443</v>
      </c>
      <c r="O405" s="51" t="s">
        <v>1715</v>
      </c>
      <c r="P405" s="52" t="n">
        <v>1</v>
      </c>
      <c r="Q405" s="51"/>
      <c r="R405" s="52" t="s">
        <v>1519</v>
      </c>
      <c r="S405" s="52"/>
      <c r="T405" s="52"/>
      <c r="U405" s="53" t="n">
        <v>160000</v>
      </c>
      <c r="V405" s="54" t="n">
        <v>160000</v>
      </c>
      <c r="W405" s="55" t="n">
        <v>0.12</v>
      </c>
      <c r="X405" s="52" t="n">
        <v>0.055</v>
      </c>
      <c r="Y405" s="55" t="n">
        <v>0.12</v>
      </c>
      <c r="Z405" s="56"/>
      <c r="AA405" s="55" t="n">
        <v>0.04</v>
      </c>
      <c r="AB405" s="57" t="n">
        <v>213600</v>
      </c>
      <c r="AC405" s="44"/>
      <c r="AD405" s="71"/>
      <c r="AE405" s="71" t="n">
        <v>213600</v>
      </c>
      <c r="AF405" s="71" t="s">
        <v>53</v>
      </c>
      <c r="AG405" s="71" t="n">
        <v>0</v>
      </c>
      <c r="AH405" s="58" t="s">
        <v>25</v>
      </c>
      <c r="AI405" s="44" t="n">
        <v>0</v>
      </c>
      <c r="AJ405" s="44" t="s">
        <v>1077</v>
      </c>
      <c r="AK405" s="44" t="s">
        <v>47</v>
      </c>
      <c r="AL405" s="44" t="s">
        <v>1077</v>
      </c>
      <c r="AM405" s="44" t="n">
        <v>0</v>
      </c>
      <c r="AN405" s="44"/>
      <c r="AO405" s="44"/>
      <c r="AP405" s="44"/>
      <c r="AQ405" s="45" t="s">
        <v>1090</v>
      </c>
      <c r="AR405" s="44" t="s">
        <v>1282</v>
      </c>
      <c r="AS405" s="44"/>
      <c r="AT405" s="44"/>
      <c r="AU405" s="44"/>
      <c r="AV405" s="44"/>
      <c r="AW405" s="44"/>
      <c r="AX405" s="44"/>
      <c r="AY405" s="44"/>
      <c r="AZ405" s="46"/>
    </row>
    <row r="406" customFormat="false" ht="18" hidden="false" customHeight="true" outlineLevel="0" collapsed="false">
      <c r="A406" s="47" t="n">
        <v>113904</v>
      </c>
      <c r="B406" s="48" t="s">
        <v>473</v>
      </c>
      <c r="C406" s="47" t="n">
        <v>113904</v>
      </c>
      <c r="D406" s="48" t="s">
        <v>349</v>
      </c>
      <c r="E406" s="48" t="s">
        <v>475</v>
      </c>
      <c r="F406" s="48" t="s">
        <v>476</v>
      </c>
      <c r="G406" s="49" t="s">
        <v>1439</v>
      </c>
      <c r="H406" s="48" t="s">
        <v>1440</v>
      </c>
      <c r="I406" s="48" t="s">
        <v>1576</v>
      </c>
      <c r="J406" s="48" t="s">
        <v>1517</v>
      </c>
      <c r="K406" s="48" t="s">
        <v>1157</v>
      </c>
      <c r="L406" s="48" t="s">
        <v>461</v>
      </c>
      <c r="M406" s="48"/>
      <c r="N406" s="50" t="s">
        <v>1284</v>
      </c>
      <c r="O406" s="51" t="s">
        <v>1756</v>
      </c>
      <c r="P406" s="52" t="n">
        <v>1</v>
      </c>
      <c r="Q406" s="51"/>
      <c r="R406" s="52" t="s">
        <v>1519</v>
      </c>
      <c r="S406" s="52"/>
      <c r="T406" s="52"/>
      <c r="U406" s="53" t="n">
        <v>98480</v>
      </c>
      <c r="V406" s="54" t="n">
        <v>90601.6</v>
      </c>
      <c r="W406" s="55" t="n">
        <v>0.15</v>
      </c>
      <c r="X406" s="52"/>
      <c r="Y406" s="55" t="n">
        <v>0.05</v>
      </c>
      <c r="Z406" s="56" t="n">
        <v>2910</v>
      </c>
      <c r="AA406" s="55" t="n">
        <v>0.03</v>
      </c>
      <c r="AB406" s="57" t="n">
        <v>114349.968</v>
      </c>
      <c r="AC406" s="44"/>
      <c r="AD406" s="71"/>
      <c r="AE406" s="71" t="n">
        <v>114349.968</v>
      </c>
      <c r="AF406" s="71" t="s">
        <v>53</v>
      </c>
      <c r="AG406" s="71" t="n">
        <v>0</v>
      </c>
      <c r="AH406" s="58" t="s">
        <v>1439</v>
      </c>
      <c r="AI406" s="44" t="n">
        <v>0</v>
      </c>
      <c r="AJ406" s="44" t="s">
        <v>461</v>
      </c>
      <c r="AK406" s="44" t="s">
        <v>47</v>
      </c>
      <c r="AL406" s="44" t="s">
        <v>461</v>
      </c>
      <c r="AM406" s="44" t="n">
        <v>0</v>
      </c>
      <c r="AN406" s="44" t="s">
        <v>53</v>
      </c>
      <c r="AO406" s="44"/>
      <c r="AP406" s="44"/>
      <c r="AQ406" s="45" t="s">
        <v>472</v>
      </c>
      <c r="AR406" s="44" t="s">
        <v>1284</v>
      </c>
      <c r="AS406" s="44"/>
      <c r="AT406" s="44"/>
      <c r="AU406" s="44"/>
      <c r="AV406" s="44"/>
      <c r="AW406" s="44"/>
      <c r="AX406" s="44"/>
      <c r="AY406" s="44"/>
      <c r="AZ406" s="46"/>
    </row>
    <row r="407" customFormat="false" ht="18" hidden="false" customHeight="true" outlineLevel="0" collapsed="false">
      <c r="A407" s="47" t="n">
        <v>113590</v>
      </c>
      <c r="B407" s="48" t="s">
        <v>487</v>
      </c>
      <c r="C407" s="47" t="n">
        <v>113590</v>
      </c>
      <c r="D407" s="48" t="s">
        <v>77</v>
      </c>
      <c r="E407" s="48" t="s">
        <v>441</v>
      </c>
      <c r="F407" s="48" t="s">
        <v>1464</v>
      </c>
      <c r="G407" s="49" t="s">
        <v>1439</v>
      </c>
      <c r="H407" s="48" t="s">
        <v>1465</v>
      </c>
      <c r="I407" s="48" t="s">
        <v>1466</v>
      </c>
      <c r="J407" s="48" t="s">
        <v>1517</v>
      </c>
      <c r="K407" s="48" t="s">
        <v>464</v>
      </c>
      <c r="L407" s="48" t="s">
        <v>464</v>
      </c>
      <c r="M407" s="48"/>
      <c r="N407" s="50" t="s">
        <v>1284</v>
      </c>
      <c r="O407" s="51" t="s">
        <v>1756</v>
      </c>
      <c r="P407" s="52" t="n">
        <v>0.8</v>
      </c>
      <c r="Q407" s="52"/>
      <c r="R407" s="52" t="s">
        <v>1489</v>
      </c>
      <c r="S407" s="52"/>
      <c r="T407" s="52"/>
      <c r="U407" s="53" t="n">
        <v>128530</v>
      </c>
      <c r="V407" s="54" t="n">
        <v>118247.6</v>
      </c>
      <c r="W407" s="55" t="n">
        <v>0.15</v>
      </c>
      <c r="X407" s="52"/>
      <c r="Y407" s="55" t="n">
        <v>0.05</v>
      </c>
      <c r="Z407" s="56" t="n">
        <v>2910</v>
      </c>
      <c r="AA407" s="55" t="n">
        <v>0.03</v>
      </c>
      <c r="AB407" s="57" t="n">
        <v>148354.548</v>
      </c>
      <c r="AC407" s="44"/>
      <c r="AD407" s="71"/>
      <c r="AE407" s="71" t="n">
        <v>118683.6384</v>
      </c>
      <c r="AF407" s="71" t="s">
        <v>53</v>
      </c>
      <c r="AG407" s="71" t="n">
        <v>0</v>
      </c>
      <c r="AH407" s="58" t="s">
        <v>1439</v>
      </c>
      <c r="AI407" s="44" t="n">
        <v>0</v>
      </c>
      <c r="AJ407" s="44" t="s">
        <v>464</v>
      </c>
      <c r="AK407" s="44" t="s">
        <v>47</v>
      </c>
      <c r="AL407" s="44" t="s">
        <v>464</v>
      </c>
      <c r="AM407" s="44" t="n">
        <v>0</v>
      </c>
      <c r="AN407" s="44" t="s">
        <v>53</v>
      </c>
      <c r="AO407" s="44"/>
      <c r="AP407" s="44"/>
      <c r="AQ407" s="45" t="s">
        <v>486</v>
      </c>
      <c r="AR407" s="44" t="s">
        <v>1284</v>
      </c>
      <c r="AS407" s="44"/>
      <c r="AT407" s="44"/>
      <c r="AU407" s="44"/>
      <c r="AV407" s="44"/>
      <c r="AW407" s="44"/>
      <c r="AX407" s="44"/>
      <c r="AY407" s="44"/>
      <c r="AZ407" s="46"/>
    </row>
    <row r="408" customFormat="false" ht="18" hidden="false" customHeight="true" outlineLevel="0" collapsed="false">
      <c r="A408" s="47" t="n">
        <v>113614</v>
      </c>
      <c r="B408" s="48" t="s">
        <v>489</v>
      </c>
      <c r="C408" s="47" t="n">
        <v>113614</v>
      </c>
      <c r="D408" s="48" t="s">
        <v>77</v>
      </c>
      <c r="E408" s="48" t="s">
        <v>441</v>
      </c>
      <c r="F408" s="48" t="s">
        <v>1464</v>
      </c>
      <c r="G408" s="49" t="s">
        <v>1439</v>
      </c>
      <c r="H408" s="48" t="s">
        <v>1465</v>
      </c>
      <c r="I408" s="48" t="s">
        <v>1466</v>
      </c>
      <c r="J408" s="48" t="s">
        <v>1517</v>
      </c>
      <c r="K408" s="48" t="s">
        <v>464</v>
      </c>
      <c r="L408" s="48" t="s">
        <v>464</v>
      </c>
      <c r="M408" s="48"/>
      <c r="N408" s="50" t="s">
        <v>1284</v>
      </c>
      <c r="O408" s="51" t="s">
        <v>1756</v>
      </c>
      <c r="P408" s="52" t="n">
        <v>1</v>
      </c>
      <c r="Q408" s="51"/>
      <c r="R408" s="52" t="s">
        <v>1519</v>
      </c>
      <c r="S408" s="52"/>
      <c r="T408" s="52"/>
      <c r="U408" s="53" t="n">
        <v>133930</v>
      </c>
      <c r="V408" s="54" t="n">
        <v>123215.6</v>
      </c>
      <c r="W408" s="55" t="n">
        <v>0.15</v>
      </c>
      <c r="X408" s="52"/>
      <c r="Y408" s="55" t="n">
        <v>0.05</v>
      </c>
      <c r="Z408" s="56" t="n">
        <v>2910</v>
      </c>
      <c r="AA408" s="55" t="n">
        <v>0.03</v>
      </c>
      <c r="AB408" s="57" t="n">
        <v>154465.188</v>
      </c>
      <c r="AC408" s="44"/>
      <c r="AD408" s="71"/>
      <c r="AE408" s="71" t="n">
        <v>154465.188</v>
      </c>
      <c r="AF408" s="71" t="s">
        <v>53</v>
      </c>
      <c r="AG408" s="71" t="n">
        <v>0</v>
      </c>
      <c r="AH408" s="58" t="s">
        <v>1439</v>
      </c>
      <c r="AI408" s="44" t="n">
        <v>0</v>
      </c>
      <c r="AJ408" s="44" t="s">
        <v>464</v>
      </c>
      <c r="AK408" s="44" t="s">
        <v>47</v>
      </c>
      <c r="AL408" s="44" t="s">
        <v>464</v>
      </c>
      <c r="AM408" s="44" t="n">
        <v>0</v>
      </c>
      <c r="AN408" s="44" t="s">
        <v>53</v>
      </c>
      <c r="AO408" s="44"/>
      <c r="AP408" s="44"/>
      <c r="AQ408" s="45" t="s">
        <v>488</v>
      </c>
      <c r="AR408" s="44" t="s">
        <v>1284</v>
      </c>
      <c r="AS408" s="44"/>
      <c r="AT408" s="44"/>
      <c r="AU408" s="44"/>
      <c r="AV408" s="44"/>
      <c r="AW408" s="44"/>
      <c r="AX408" s="44"/>
      <c r="AY408" s="44"/>
      <c r="AZ408" s="46"/>
    </row>
    <row r="409" customFormat="false" ht="18" hidden="false" customHeight="true" outlineLevel="0" collapsed="false">
      <c r="A409" s="47" t="n">
        <v>107144</v>
      </c>
      <c r="B409" s="48" t="s">
        <v>438</v>
      </c>
      <c r="C409" s="47" t="n">
        <v>107144</v>
      </c>
      <c r="D409" s="48" t="s">
        <v>439</v>
      </c>
      <c r="E409" s="48" t="s">
        <v>378</v>
      </c>
      <c r="F409" s="48" t="s">
        <v>335</v>
      </c>
      <c r="G409" s="49" t="s">
        <v>1439</v>
      </c>
      <c r="H409" s="48" t="s">
        <v>1440</v>
      </c>
      <c r="I409" s="48" t="s">
        <v>1498</v>
      </c>
      <c r="J409" s="48" t="s">
        <v>18</v>
      </c>
      <c r="K409" s="48" t="s">
        <v>1150</v>
      </c>
      <c r="L409" s="48" t="s">
        <v>436</v>
      </c>
      <c r="M409" s="48"/>
      <c r="N409" s="50" t="s">
        <v>1443</v>
      </c>
      <c r="O409" s="51" t="s">
        <v>1756</v>
      </c>
      <c r="P409" s="52" t="n">
        <v>1</v>
      </c>
      <c r="Q409" s="51"/>
      <c r="R409" s="52" t="s">
        <v>1519</v>
      </c>
      <c r="S409" s="52"/>
      <c r="T409" s="52"/>
      <c r="U409" s="53" t="n">
        <v>104000</v>
      </c>
      <c r="V409" s="54" t="n">
        <v>104000</v>
      </c>
      <c r="W409" s="55" t="n">
        <v>0.1</v>
      </c>
      <c r="X409" s="52" t="n">
        <v>0.055</v>
      </c>
      <c r="Y409" s="55" t="n">
        <v>0.12</v>
      </c>
      <c r="Z409" s="56"/>
      <c r="AA409" s="55" t="n">
        <v>0.04</v>
      </c>
      <c r="AB409" s="57" t="n">
        <v>136760</v>
      </c>
      <c r="AC409" s="44"/>
      <c r="AD409" s="71"/>
      <c r="AE409" s="71" t="n">
        <v>136760</v>
      </c>
      <c r="AF409" s="71" t="s">
        <v>53</v>
      </c>
      <c r="AG409" s="71" t="n">
        <v>0</v>
      </c>
      <c r="AH409" s="58" t="s">
        <v>1439</v>
      </c>
      <c r="AI409" s="44" t="n">
        <v>0</v>
      </c>
      <c r="AJ409" s="44" t="s">
        <v>436</v>
      </c>
      <c r="AK409" s="44" t="s">
        <v>47</v>
      </c>
      <c r="AL409" s="44" t="s">
        <v>436</v>
      </c>
      <c r="AM409" s="44" t="n">
        <v>0</v>
      </c>
      <c r="AN409" s="44" t="s">
        <v>53</v>
      </c>
      <c r="AO409" s="44"/>
      <c r="AP409" s="44"/>
      <c r="AQ409" s="45" t="s">
        <v>437</v>
      </c>
      <c r="AR409" s="44" t="s">
        <v>1282</v>
      </c>
      <c r="AS409" s="44"/>
      <c r="AT409" s="44"/>
      <c r="AU409" s="44"/>
      <c r="AV409" s="44"/>
      <c r="AW409" s="44"/>
      <c r="AX409" s="44"/>
      <c r="AY409" s="44"/>
      <c r="AZ409" s="46"/>
    </row>
    <row r="410" customFormat="false" ht="18" hidden="false" customHeight="true" outlineLevel="0" collapsed="false">
      <c r="A410" s="47" t="n">
        <v>115607</v>
      </c>
      <c r="B410" s="48" t="s">
        <v>383</v>
      </c>
      <c r="C410" s="47" t="n">
        <v>115607</v>
      </c>
      <c r="D410" s="48" t="s">
        <v>324</v>
      </c>
      <c r="E410" s="48" t="s">
        <v>378</v>
      </c>
      <c r="F410" s="48" t="s">
        <v>335</v>
      </c>
      <c r="G410" s="49" t="s">
        <v>1439</v>
      </c>
      <c r="H410" s="48" t="s">
        <v>1440</v>
      </c>
      <c r="I410" s="48" t="s">
        <v>1498</v>
      </c>
      <c r="J410" s="48" t="s">
        <v>18</v>
      </c>
      <c r="K410" s="48" t="s">
        <v>1150</v>
      </c>
      <c r="L410" s="48" t="s">
        <v>318</v>
      </c>
      <c r="M410" s="48"/>
      <c r="N410" s="50" t="s">
        <v>1443</v>
      </c>
      <c r="O410" s="51" t="s">
        <v>1756</v>
      </c>
      <c r="P410" s="52" t="n">
        <v>1</v>
      </c>
      <c r="Q410" s="51"/>
      <c r="R410" s="52" t="s">
        <v>1519</v>
      </c>
      <c r="S410" s="52"/>
      <c r="T410" s="52"/>
      <c r="U410" s="53" t="n">
        <v>135000</v>
      </c>
      <c r="V410" s="54" t="n">
        <v>135000</v>
      </c>
      <c r="W410" s="55" t="n">
        <v>0.1</v>
      </c>
      <c r="X410" s="52" t="n">
        <v>0.055</v>
      </c>
      <c r="Y410" s="55" t="n">
        <v>0.12</v>
      </c>
      <c r="Z410" s="56"/>
      <c r="AA410" s="55" t="n">
        <v>0.04</v>
      </c>
      <c r="AB410" s="57" t="n">
        <v>177525</v>
      </c>
      <c r="AC410" s="44"/>
      <c r="AD410" s="71"/>
      <c r="AE410" s="71" t="n">
        <v>177525</v>
      </c>
      <c r="AF410" s="71" t="s">
        <v>53</v>
      </c>
      <c r="AG410" s="71" t="n">
        <v>0</v>
      </c>
      <c r="AH410" s="58" t="s">
        <v>1439</v>
      </c>
      <c r="AI410" s="44" t="n">
        <v>0</v>
      </c>
      <c r="AJ410" s="44" t="s">
        <v>318</v>
      </c>
      <c r="AK410" s="44" t="s">
        <v>47</v>
      </c>
      <c r="AL410" s="44" t="s">
        <v>318</v>
      </c>
      <c r="AM410" s="44" t="n">
        <v>0</v>
      </c>
      <c r="AN410" s="44" t="s">
        <v>53</v>
      </c>
      <c r="AO410" s="44"/>
      <c r="AP410" s="44"/>
      <c r="AQ410" s="45" t="s">
        <v>382</v>
      </c>
      <c r="AR410" s="44" t="s">
        <v>1282</v>
      </c>
      <c r="AS410" s="44"/>
      <c r="AT410" s="44"/>
      <c r="AU410" s="44"/>
      <c r="AV410" s="44"/>
      <c r="AW410" s="44"/>
      <c r="AX410" s="44"/>
      <c r="AY410" s="44"/>
      <c r="AZ410" s="46"/>
    </row>
    <row r="411" customFormat="false" ht="18" hidden="false" customHeight="true" outlineLevel="0" collapsed="false">
      <c r="A411" s="47" t="n">
        <v>113526</v>
      </c>
      <c r="B411" s="48" t="s">
        <v>491</v>
      </c>
      <c r="C411" s="47" t="n">
        <v>113526</v>
      </c>
      <c r="D411" s="48" t="s">
        <v>492</v>
      </c>
      <c r="E411" s="48" t="s">
        <v>448</v>
      </c>
      <c r="F411" s="48" t="s">
        <v>1644</v>
      </c>
      <c r="G411" s="49" t="s">
        <v>1439</v>
      </c>
      <c r="H411" s="48" t="s">
        <v>1465</v>
      </c>
      <c r="I411" s="48" t="s">
        <v>1571</v>
      </c>
      <c r="J411" s="48" t="s">
        <v>1517</v>
      </c>
      <c r="K411" s="48" t="s">
        <v>464</v>
      </c>
      <c r="L411" s="48" t="s">
        <v>464</v>
      </c>
      <c r="M411" s="48"/>
      <c r="N411" s="50" t="s">
        <v>1284</v>
      </c>
      <c r="O411" s="51" t="s">
        <v>1756</v>
      </c>
      <c r="P411" s="52" t="n">
        <v>1</v>
      </c>
      <c r="Q411" s="51"/>
      <c r="R411" s="52" t="s">
        <v>1519</v>
      </c>
      <c r="S411" s="52"/>
      <c r="T411" s="52"/>
      <c r="U411" s="53" t="n">
        <v>137040</v>
      </c>
      <c r="V411" s="54" t="n">
        <v>126076.8</v>
      </c>
      <c r="W411" s="55" t="n">
        <v>0.15</v>
      </c>
      <c r="X411" s="52"/>
      <c r="Y411" s="55" t="n">
        <v>0.05</v>
      </c>
      <c r="Z411" s="56" t="n">
        <v>2910</v>
      </c>
      <c r="AA411" s="55" t="n">
        <v>0.03</v>
      </c>
      <c r="AB411" s="57" t="n">
        <v>157984.464</v>
      </c>
      <c r="AC411" s="44"/>
      <c r="AD411" s="71"/>
      <c r="AE411" s="71" t="n">
        <v>157984.464</v>
      </c>
      <c r="AF411" s="71" t="s">
        <v>53</v>
      </c>
      <c r="AG411" s="71" t="n">
        <v>0</v>
      </c>
      <c r="AH411" s="58" t="s">
        <v>1439</v>
      </c>
      <c r="AI411" s="44" t="n">
        <v>0</v>
      </c>
      <c r="AJ411" s="44" t="s">
        <v>464</v>
      </c>
      <c r="AK411" s="44" t="s">
        <v>47</v>
      </c>
      <c r="AL411" s="44" t="s">
        <v>464</v>
      </c>
      <c r="AM411" s="44" t="n">
        <v>0</v>
      </c>
      <c r="AN411" s="44" t="s">
        <v>53</v>
      </c>
      <c r="AO411" s="44"/>
      <c r="AP411" s="44"/>
      <c r="AQ411" s="45" t="s">
        <v>490</v>
      </c>
      <c r="AR411" s="44" t="s">
        <v>1284</v>
      </c>
      <c r="AS411" s="44"/>
      <c r="AT411" s="44"/>
      <c r="AU411" s="44"/>
      <c r="AV411" s="44"/>
      <c r="AW411" s="44"/>
      <c r="AX411" s="44"/>
      <c r="AY411" s="44"/>
      <c r="AZ411" s="46"/>
    </row>
    <row r="412" customFormat="false" ht="18" hidden="false" customHeight="true" outlineLevel="0" collapsed="false">
      <c r="A412" s="47" t="n">
        <v>115807</v>
      </c>
      <c r="B412" s="48" t="s">
        <v>494</v>
      </c>
      <c r="C412" s="47" t="n">
        <v>115807</v>
      </c>
      <c r="D412" s="48" t="s">
        <v>492</v>
      </c>
      <c r="E412" s="48" t="s">
        <v>448</v>
      </c>
      <c r="F412" s="48" t="s">
        <v>1644</v>
      </c>
      <c r="G412" s="49" t="s">
        <v>1439</v>
      </c>
      <c r="H412" s="48" t="s">
        <v>1465</v>
      </c>
      <c r="I412" s="48" t="s">
        <v>1571</v>
      </c>
      <c r="J412" s="48" t="s">
        <v>1517</v>
      </c>
      <c r="K412" s="48" t="s">
        <v>464</v>
      </c>
      <c r="L412" s="48" t="s">
        <v>464</v>
      </c>
      <c r="M412" s="48"/>
      <c r="N412" s="50" t="s">
        <v>1284</v>
      </c>
      <c r="O412" s="51" t="s">
        <v>1756</v>
      </c>
      <c r="P412" s="52" t="n">
        <v>1</v>
      </c>
      <c r="Q412" s="51"/>
      <c r="R412" s="52" t="s">
        <v>1519</v>
      </c>
      <c r="S412" s="52"/>
      <c r="T412" s="52"/>
      <c r="U412" s="53" t="n">
        <v>119630</v>
      </c>
      <c r="V412" s="54" t="n">
        <v>110059.6</v>
      </c>
      <c r="W412" s="55" t="n">
        <v>0.15</v>
      </c>
      <c r="X412" s="52"/>
      <c r="Y412" s="55" t="n">
        <v>0.05</v>
      </c>
      <c r="Z412" s="56" t="n">
        <v>2911</v>
      </c>
      <c r="AA412" s="55" t="n">
        <v>0.03</v>
      </c>
      <c r="AB412" s="57" t="n">
        <v>138284.308</v>
      </c>
      <c r="AC412" s="44"/>
      <c r="AD412" s="71"/>
      <c r="AE412" s="71" t="n">
        <v>138284.308</v>
      </c>
      <c r="AF412" s="71" t="s">
        <v>53</v>
      </c>
      <c r="AG412" s="71" t="n">
        <v>0</v>
      </c>
      <c r="AH412" s="58" t="s">
        <v>1439</v>
      </c>
      <c r="AI412" s="44" t="n">
        <v>0</v>
      </c>
      <c r="AJ412" s="44" t="s">
        <v>464</v>
      </c>
      <c r="AK412" s="44" t="s">
        <v>47</v>
      </c>
      <c r="AL412" s="44" t="s">
        <v>464</v>
      </c>
      <c r="AM412" s="44" t="n">
        <v>0</v>
      </c>
      <c r="AN412" s="44" t="s">
        <v>53</v>
      </c>
      <c r="AO412" s="44"/>
      <c r="AP412" s="44"/>
      <c r="AQ412" s="45" t="s">
        <v>493</v>
      </c>
      <c r="AR412" s="44" t="s">
        <v>1284</v>
      </c>
      <c r="AS412" s="44"/>
      <c r="AT412" s="44"/>
      <c r="AU412" s="44"/>
      <c r="AV412" s="44"/>
      <c r="AW412" s="44"/>
      <c r="AX412" s="44"/>
      <c r="AY412" s="44"/>
      <c r="AZ412" s="46"/>
    </row>
    <row r="413" customFormat="false" ht="18" hidden="false" customHeight="true" outlineLevel="0" collapsed="false">
      <c r="A413" s="47" t="n">
        <v>117151</v>
      </c>
      <c r="B413" s="48" t="s">
        <v>496</v>
      </c>
      <c r="C413" s="47" t="n">
        <v>117151</v>
      </c>
      <c r="D413" s="48" t="s">
        <v>492</v>
      </c>
      <c r="E413" s="48" t="s">
        <v>448</v>
      </c>
      <c r="F413" s="48" t="s">
        <v>1644</v>
      </c>
      <c r="G413" s="49" t="s">
        <v>1439</v>
      </c>
      <c r="H413" s="48" t="s">
        <v>1465</v>
      </c>
      <c r="I413" s="48" t="s">
        <v>1571</v>
      </c>
      <c r="J413" s="48" t="s">
        <v>1517</v>
      </c>
      <c r="K413" s="48" t="s">
        <v>464</v>
      </c>
      <c r="L413" s="48" t="s">
        <v>464</v>
      </c>
      <c r="M413" s="48"/>
      <c r="N413" s="50" t="s">
        <v>1284</v>
      </c>
      <c r="O413" s="51" t="s">
        <v>1756</v>
      </c>
      <c r="P413" s="52" t="n">
        <v>1</v>
      </c>
      <c r="Q413" s="51"/>
      <c r="R413" s="52" t="s">
        <v>1519</v>
      </c>
      <c r="S413" s="52"/>
      <c r="T413" s="52"/>
      <c r="U413" s="53" t="n">
        <v>130000</v>
      </c>
      <c r="V413" s="54" t="n">
        <v>119600</v>
      </c>
      <c r="W413" s="55" t="n">
        <v>0.15</v>
      </c>
      <c r="X413" s="52"/>
      <c r="Y413" s="55" t="n">
        <v>0.05</v>
      </c>
      <c r="Z413" s="56" t="n">
        <v>2913</v>
      </c>
      <c r="AA413" s="55" t="n">
        <v>0.03</v>
      </c>
      <c r="AB413" s="57" t="n">
        <v>150021</v>
      </c>
      <c r="AC413" s="44"/>
      <c r="AD413" s="71"/>
      <c r="AE413" s="71" t="n">
        <v>150021</v>
      </c>
      <c r="AF413" s="71" t="s">
        <v>53</v>
      </c>
      <c r="AG413" s="71" t="n">
        <v>0</v>
      </c>
      <c r="AH413" s="58" t="s">
        <v>1439</v>
      </c>
      <c r="AI413" s="44" t="n">
        <v>0</v>
      </c>
      <c r="AJ413" s="44" t="s">
        <v>464</v>
      </c>
      <c r="AK413" s="44" t="s">
        <v>47</v>
      </c>
      <c r="AL413" s="44" t="s">
        <v>464</v>
      </c>
      <c r="AM413" s="44" t="n">
        <v>0</v>
      </c>
      <c r="AN413" s="44" t="s">
        <v>53</v>
      </c>
      <c r="AO413" s="44"/>
      <c r="AP413" s="44"/>
      <c r="AQ413" s="45" t="s">
        <v>495</v>
      </c>
      <c r="AR413" s="44" t="s">
        <v>1284</v>
      </c>
      <c r="AS413" s="44"/>
      <c r="AT413" s="44"/>
      <c r="AU413" s="44"/>
      <c r="AV413" s="44"/>
      <c r="AW413" s="44"/>
      <c r="AX413" s="44"/>
      <c r="AY413" s="44"/>
      <c r="AZ413" s="46"/>
    </row>
    <row r="414" customFormat="false" ht="18" hidden="false" customHeight="true" outlineLevel="0" collapsed="false">
      <c r="A414" s="47" t="n">
        <v>97357</v>
      </c>
      <c r="B414" s="48" t="s">
        <v>403</v>
      </c>
      <c r="C414" s="47" t="n">
        <v>97357</v>
      </c>
      <c r="D414" s="48" t="s">
        <v>404</v>
      </c>
      <c r="E414" s="48" t="s">
        <v>400</v>
      </c>
      <c r="F414" s="48" t="s">
        <v>1475</v>
      </c>
      <c r="G414" s="49" t="s">
        <v>1439</v>
      </c>
      <c r="H414" s="48" t="s">
        <v>1440</v>
      </c>
      <c r="I414" s="48" t="s">
        <v>1476</v>
      </c>
      <c r="J414" s="48" t="s">
        <v>18</v>
      </c>
      <c r="K414" s="48" t="s">
        <v>1150</v>
      </c>
      <c r="L414" s="48" t="s">
        <v>308</v>
      </c>
      <c r="M414" s="48"/>
      <c r="N414" s="50" t="s">
        <v>1443</v>
      </c>
      <c r="O414" s="51" t="s">
        <v>1756</v>
      </c>
      <c r="P414" s="52" t="n">
        <v>1</v>
      </c>
      <c r="Q414" s="51"/>
      <c r="R414" s="52" t="s">
        <v>1519</v>
      </c>
      <c r="S414" s="52"/>
      <c r="T414" s="52"/>
      <c r="U414" s="53" t="n">
        <v>126130</v>
      </c>
      <c r="V414" s="54" t="n">
        <v>126130</v>
      </c>
      <c r="W414" s="55" t="n">
        <v>0.1</v>
      </c>
      <c r="X414" s="52" t="n">
        <v>0.055</v>
      </c>
      <c r="Y414" s="55" t="n">
        <v>0.12</v>
      </c>
      <c r="Z414" s="56"/>
      <c r="AA414" s="55" t="n">
        <v>0.04</v>
      </c>
      <c r="AB414" s="57" t="n">
        <v>165860.95</v>
      </c>
      <c r="AC414" s="44"/>
      <c r="AD414" s="71"/>
      <c r="AE414" s="71" t="n">
        <v>165860.95</v>
      </c>
      <c r="AF414" s="71" t="s">
        <v>53</v>
      </c>
      <c r="AG414" s="71" t="n">
        <v>0</v>
      </c>
      <c r="AH414" s="58" t="s">
        <v>1439</v>
      </c>
      <c r="AI414" s="44" t="n">
        <v>0</v>
      </c>
      <c r="AJ414" s="44" t="s">
        <v>308</v>
      </c>
      <c r="AK414" s="44" t="s">
        <v>47</v>
      </c>
      <c r="AL414" s="44" t="s">
        <v>308</v>
      </c>
      <c r="AM414" s="44" t="n">
        <v>0</v>
      </c>
      <c r="AN414" s="44" t="s">
        <v>53</v>
      </c>
      <c r="AO414" s="44"/>
      <c r="AP414" s="44"/>
      <c r="AQ414" s="45" t="s">
        <v>402</v>
      </c>
      <c r="AR414" s="44" t="s">
        <v>1282</v>
      </c>
      <c r="AS414" s="44"/>
      <c r="AT414" s="44"/>
      <c r="AU414" s="44"/>
      <c r="AV414" s="44"/>
      <c r="AW414" s="44"/>
      <c r="AX414" s="44"/>
      <c r="AY414" s="44"/>
      <c r="AZ414" s="46"/>
    </row>
    <row r="415" customFormat="false" ht="18" hidden="false" customHeight="true" outlineLevel="0" collapsed="false">
      <c r="A415" s="47" t="n">
        <v>117426</v>
      </c>
      <c r="B415" s="48" t="s">
        <v>498</v>
      </c>
      <c r="C415" s="47" t="n">
        <v>117426</v>
      </c>
      <c r="D415" s="48" t="s">
        <v>86</v>
      </c>
      <c r="E415" s="48" t="s">
        <v>445</v>
      </c>
      <c r="F415" s="48" t="s">
        <v>1713</v>
      </c>
      <c r="G415" s="49" t="s">
        <v>1439</v>
      </c>
      <c r="H415" s="48" t="s">
        <v>1465</v>
      </c>
      <c r="I415" s="48" t="s">
        <v>1570</v>
      </c>
      <c r="J415" s="48" t="s">
        <v>1517</v>
      </c>
      <c r="K415" s="48" t="s">
        <v>464</v>
      </c>
      <c r="L415" s="48" t="s">
        <v>464</v>
      </c>
      <c r="M415" s="48"/>
      <c r="N415" s="50" t="s">
        <v>1284</v>
      </c>
      <c r="O415" s="51" t="s">
        <v>1756</v>
      </c>
      <c r="P415" s="52" t="n">
        <v>1</v>
      </c>
      <c r="Q415" s="51"/>
      <c r="R415" s="52" t="s">
        <v>1641</v>
      </c>
      <c r="S415" s="52"/>
      <c r="T415" s="52"/>
      <c r="U415" s="53" t="n">
        <v>135000</v>
      </c>
      <c r="V415" s="54" t="n">
        <v>124200</v>
      </c>
      <c r="W415" s="55" t="n">
        <v>0.15</v>
      </c>
      <c r="X415" s="52"/>
      <c r="Y415" s="55" t="n">
        <v>0.05</v>
      </c>
      <c r="Z415" s="56" t="n">
        <v>2914</v>
      </c>
      <c r="AA415" s="55" t="n">
        <v>0.03</v>
      </c>
      <c r="AB415" s="57" t="n">
        <v>155680</v>
      </c>
      <c r="AC415" s="44" t="s">
        <v>1757</v>
      </c>
      <c r="AD415" s="71"/>
      <c r="AE415" s="71" t="n">
        <v>155680</v>
      </c>
      <c r="AF415" s="71" t="s">
        <v>53</v>
      </c>
      <c r="AG415" s="71" t="n">
        <v>0</v>
      </c>
      <c r="AH415" s="58" t="s">
        <v>1439</v>
      </c>
      <c r="AI415" s="44" t="n">
        <v>0</v>
      </c>
      <c r="AJ415" s="44" t="s">
        <v>464</v>
      </c>
      <c r="AK415" s="44" t="s">
        <v>47</v>
      </c>
      <c r="AL415" s="44" t="s">
        <v>464</v>
      </c>
      <c r="AM415" s="44" t="n">
        <v>0</v>
      </c>
      <c r="AN415" s="44" t="s">
        <v>53</v>
      </c>
      <c r="AO415" s="44" t="s">
        <v>1757</v>
      </c>
      <c r="AP415" s="59" t="n">
        <v>46542</v>
      </c>
      <c r="AQ415" s="45" t="s">
        <v>497</v>
      </c>
      <c r="AR415" s="44" t="s">
        <v>1284</v>
      </c>
      <c r="AS415" s="44"/>
      <c r="AT415" s="44"/>
      <c r="AU415" s="44"/>
      <c r="AV415" s="44"/>
      <c r="AW415" s="44"/>
      <c r="AX415" s="44"/>
      <c r="AY415" s="44"/>
      <c r="AZ415" s="46"/>
    </row>
    <row r="416" customFormat="false" ht="18" hidden="false" customHeight="true" outlineLevel="0" collapsed="false">
      <c r="A416" s="47" t="n">
        <v>115809</v>
      </c>
      <c r="B416" s="48" t="s">
        <v>435</v>
      </c>
      <c r="C416" s="47" t="n">
        <v>115809</v>
      </c>
      <c r="D416" s="48" t="s">
        <v>86</v>
      </c>
      <c r="E416" s="48" t="s">
        <v>445</v>
      </c>
      <c r="F416" s="48" t="s">
        <v>1713</v>
      </c>
      <c r="G416" s="49" t="s">
        <v>1439</v>
      </c>
      <c r="H416" s="48" t="s">
        <v>1465</v>
      </c>
      <c r="I416" s="48" t="s">
        <v>1570</v>
      </c>
      <c r="J416" s="48" t="s">
        <v>1442</v>
      </c>
      <c r="K416" s="48" t="s">
        <v>36</v>
      </c>
      <c r="L416" s="48" t="s">
        <v>405</v>
      </c>
      <c r="M416" s="48"/>
      <c r="N416" s="50" t="s">
        <v>1284</v>
      </c>
      <c r="O416" s="51" t="s">
        <v>1756</v>
      </c>
      <c r="P416" s="52" t="n">
        <v>1</v>
      </c>
      <c r="Q416" s="51"/>
      <c r="R416" s="52" t="s">
        <v>1519</v>
      </c>
      <c r="S416" s="52"/>
      <c r="T416" s="52"/>
      <c r="U416" s="53" t="n">
        <v>120000</v>
      </c>
      <c r="V416" s="54" t="n">
        <v>110400</v>
      </c>
      <c r="W416" s="55" t="n">
        <v>0.15</v>
      </c>
      <c r="X416" s="52"/>
      <c r="Y416" s="55" t="n">
        <v>0.05</v>
      </c>
      <c r="Z416" s="56" t="n">
        <v>2912</v>
      </c>
      <c r="AA416" s="55" t="n">
        <v>0.03</v>
      </c>
      <c r="AB416" s="57" t="n">
        <v>138704</v>
      </c>
      <c r="AC416" s="44"/>
      <c r="AD416" s="71"/>
      <c r="AE416" s="71" t="n">
        <v>138704</v>
      </c>
      <c r="AF416" s="71" t="s">
        <v>53</v>
      </c>
      <c r="AG416" s="71" t="n">
        <v>0</v>
      </c>
      <c r="AH416" s="58" t="s">
        <v>1439</v>
      </c>
      <c r="AI416" s="44" t="n">
        <v>0</v>
      </c>
      <c r="AJ416" s="44" t="s">
        <v>405</v>
      </c>
      <c r="AK416" s="44" t="s">
        <v>47</v>
      </c>
      <c r="AL416" s="44" t="s">
        <v>405</v>
      </c>
      <c r="AM416" s="44" t="n">
        <v>1</v>
      </c>
      <c r="AN416" s="44" t="s">
        <v>53</v>
      </c>
      <c r="AO416" s="44"/>
      <c r="AP416" s="44"/>
      <c r="AQ416" s="45" t="s">
        <v>434</v>
      </c>
      <c r="AR416" s="44" t="s">
        <v>1284</v>
      </c>
      <c r="AS416" s="44"/>
      <c r="AT416" s="44"/>
      <c r="AU416" s="44"/>
      <c r="AV416" s="44"/>
      <c r="AW416" s="44"/>
      <c r="AX416" s="44"/>
      <c r="AY416" s="44"/>
      <c r="AZ416" s="46"/>
    </row>
    <row r="417" customFormat="false" ht="18" hidden="false" customHeight="true" outlineLevel="0" collapsed="false">
      <c r="A417" s="47" t="n">
        <v>14013</v>
      </c>
      <c r="B417" s="48" t="s">
        <v>538</v>
      </c>
      <c r="C417" s="47" t="n">
        <v>14013</v>
      </c>
      <c r="D417" s="48" t="s">
        <v>516</v>
      </c>
      <c r="E417" s="48" t="s">
        <v>610</v>
      </c>
      <c r="F417" s="48" t="s">
        <v>1648</v>
      </c>
      <c r="G417" s="49" t="s">
        <v>1461</v>
      </c>
      <c r="H417" s="48" t="s">
        <v>20</v>
      </c>
      <c r="I417" s="48" t="s">
        <v>1605</v>
      </c>
      <c r="J417" s="48" t="s">
        <v>20</v>
      </c>
      <c r="K417" s="48" t="s">
        <v>517</v>
      </c>
      <c r="L417" s="48" t="s">
        <v>517</v>
      </c>
      <c r="M417" s="48"/>
      <c r="N417" s="50" t="s">
        <v>1443</v>
      </c>
      <c r="O417" s="51" t="s">
        <v>1758</v>
      </c>
      <c r="P417" s="52" t="n">
        <v>1</v>
      </c>
      <c r="Q417" s="51"/>
      <c r="R417" s="52" t="s">
        <v>1519</v>
      </c>
      <c r="S417" s="52"/>
      <c r="T417" s="52"/>
      <c r="U417" s="53" t="n">
        <v>136890</v>
      </c>
      <c r="V417" s="54" t="n">
        <v>136890</v>
      </c>
      <c r="W417" s="55" t="n">
        <v>0.1</v>
      </c>
      <c r="X417" s="52" t="n">
        <v>0.055</v>
      </c>
      <c r="Y417" s="55" t="n">
        <v>0.12</v>
      </c>
      <c r="Z417" s="56"/>
      <c r="AA417" s="55" t="n">
        <v>0.04</v>
      </c>
      <c r="AB417" s="57" t="n">
        <v>180010.35</v>
      </c>
      <c r="AC417" s="44"/>
      <c r="AD417" s="71"/>
      <c r="AE417" s="71" t="n">
        <v>180010.35</v>
      </c>
      <c r="AF417" s="71" t="s">
        <v>53</v>
      </c>
      <c r="AG417" s="71" t="n">
        <v>0</v>
      </c>
      <c r="AH417" s="58" t="s">
        <v>20</v>
      </c>
      <c r="AI417" s="44" t="n">
        <v>0</v>
      </c>
      <c r="AJ417" s="44" t="s">
        <v>517</v>
      </c>
      <c r="AK417" s="44" t="s">
        <v>47</v>
      </c>
      <c r="AL417" s="44" t="s">
        <v>517</v>
      </c>
      <c r="AM417" s="44" t="n">
        <v>0</v>
      </c>
      <c r="AN417" s="44"/>
      <c r="AO417" s="44"/>
      <c r="AP417" s="44"/>
      <c r="AQ417" s="45" t="s">
        <v>537</v>
      </c>
      <c r="AR417" s="44" t="s">
        <v>1282</v>
      </c>
      <c r="AS417" s="44"/>
      <c r="AT417" s="44"/>
      <c r="AU417" s="44"/>
      <c r="AV417" s="44"/>
      <c r="AW417" s="44"/>
      <c r="AX417" s="44"/>
      <c r="AY417" s="44"/>
      <c r="AZ417" s="46"/>
    </row>
    <row r="418" customFormat="false" ht="18" hidden="false" customHeight="true" outlineLevel="0" collapsed="false">
      <c r="A418" s="47" t="n">
        <v>115836</v>
      </c>
      <c r="B418" s="48" t="s">
        <v>540</v>
      </c>
      <c r="C418" s="47" t="n">
        <v>115836</v>
      </c>
      <c r="D418" s="48" t="s">
        <v>541</v>
      </c>
      <c r="E418" s="48" t="s">
        <v>610</v>
      </c>
      <c r="F418" s="48" t="s">
        <v>1648</v>
      </c>
      <c r="G418" s="49" t="s">
        <v>1461</v>
      </c>
      <c r="H418" s="48" t="s">
        <v>20</v>
      </c>
      <c r="I418" s="48" t="s">
        <v>1605</v>
      </c>
      <c r="J418" s="48" t="s">
        <v>20</v>
      </c>
      <c r="K418" s="48" t="s">
        <v>517</v>
      </c>
      <c r="L418" s="48" t="s">
        <v>517</v>
      </c>
      <c r="M418" s="48"/>
      <c r="N418" s="50" t="s">
        <v>1759</v>
      </c>
      <c r="O418" s="51" t="s">
        <v>1758</v>
      </c>
      <c r="P418" s="52" t="n">
        <v>1</v>
      </c>
      <c r="Q418" s="51"/>
      <c r="R418" s="52" t="s">
        <v>1519</v>
      </c>
      <c r="S418" s="52"/>
      <c r="T418" s="52"/>
      <c r="U418" s="53" t="n">
        <v>92000</v>
      </c>
      <c r="V418" s="54" t="n">
        <v>140760</v>
      </c>
      <c r="W418" s="55" t="n">
        <v>0</v>
      </c>
      <c r="X418" s="52" t="n">
        <v>0</v>
      </c>
      <c r="Y418" s="55" t="n">
        <v>0</v>
      </c>
      <c r="Z418" s="56" t="n">
        <v>0</v>
      </c>
      <c r="AA418" s="55" t="n">
        <v>0.04</v>
      </c>
      <c r="AB418" s="57" t="n">
        <v>146390.4</v>
      </c>
      <c r="AC418" s="44"/>
      <c r="AD418" s="71"/>
      <c r="AE418" s="71" t="n">
        <v>146390.4</v>
      </c>
      <c r="AF418" s="71" t="s">
        <v>53</v>
      </c>
      <c r="AG418" s="71" t="n">
        <v>0</v>
      </c>
      <c r="AH418" s="58" t="s">
        <v>20</v>
      </c>
      <c r="AI418" s="44" t="n">
        <v>0</v>
      </c>
      <c r="AJ418" s="44" t="s">
        <v>517</v>
      </c>
      <c r="AK418" s="44" t="s">
        <v>47</v>
      </c>
      <c r="AL418" s="44" t="s">
        <v>517</v>
      </c>
      <c r="AM418" s="44" t="n">
        <v>0</v>
      </c>
      <c r="AN418" s="44"/>
      <c r="AO418" s="44"/>
      <c r="AP418" s="44"/>
      <c r="AQ418" s="45" t="s">
        <v>539</v>
      </c>
      <c r="AR418" s="44" t="s">
        <v>1282</v>
      </c>
      <c r="AS418" s="44"/>
      <c r="AT418" s="44"/>
      <c r="AU418" s="44"/>
      <c r="AV418" s="44"/>
      <c r="AW418" s="44"/>
      <c r="AX418" s="44"/>
      <c r="AY418" s="44"/>
      <c r="AZ418" s="46"/>
    </row>
    <row r="419" customFormat="false" ht="18" hidden="false" customHeight="true" outlineLevel="0" collapsed="false">
      <c r="A419" s="47" t="n">
        <v>11661</v>
      </c>
      <c r="B419" s="48" t="s">
        <v>543</v>
      </c>
      <c r="C419" s="47" t="n">
        <v>11661</v>
      </c>
      <c r="D419" s="48" t="s">
        <v>516</v>
      </c>
      <c r="E419" s="48" t="s">
        <v>610</v>
      </c>
      <c r="F419" s="48" t="s">
        <v>1648</v>
      </c>
      <c r="G419" s="49" t="s">
        <v>1461</v>
      </c>
      <c r="H419" s="48" t="s">
        <v>20</v>
      </c>
      <c r="I419" s="48" t="s">
        <v>1605</v>
      </c>
      <c r="J419" s="48" t="s">
        <v>20</v>
      </c>
      <c r="K419" s="48" t="s">
        <v>517</v>
      </c>
      <c r="L419" s="48" t="s">
        <v>517</v>
      </c>
      <c r="M419" s="48"/>
      <c r="N419" s="50" t="s">
        <v>1443</v>
      </c>
      <c r="O419" s="51" t="s">
        <v>1758</v>
      </c>
      <c r="P419" s="52" t="n">
        <v>1</v>
      </c>
      <c r="Q419" s="51"/>
      <c r="R419" s="52" t="s">
        <v>1519</v>
      </c>
      <c r="S419" s="52"/>
      <c r="T419" s="52"/>
      <c r="U419" s="53" t="n">
        <v>136860</v>
      </c>
      <c r="V419" s="54" t="n">
        <v>136860</v>
      </c>
      <c r="W419" s="55" t="n">
        <v>0.1</v>
      </c>
      <c r="X419" s="52" t="n">
        <v>0.055</v>
      </c>
      <c r="Y419" s="55" t="n">
        <v>0.12</v>
      </c>
      <c r="Z419" s="56"/>
      <c r="AA419" s="55" t="n">
        <v>0.04</v>
      </c>
      <c r="AB419" s="57" t="n">
        <v>179970.9</v>
      </c>
      <c r="AC419" s="44"/>
      <c r="AD419" s="71"/>
      <c r="AE419" s="71" t="n">
        <v>179970.9</v>
      </c>
      <c r="AF419" s="71" t="s">
        <v>53</v>
      </c>
      <c r="AG419" s="71" t="n">
        <v>0</v>
      </c>
      <c r="AH419" s="58" t="s">
        <v>20</v>
      </c>
      <c r="AI419" s="44" t="n">
        <v>0</v>
      </c>
      <c r="AJ419" s="44" t="s">
        <v>517</v>
      </c>
      <c r="AK419" s="44" t="s">
        <v>47</v>
      </c>
      <c r="AL419" s="44" t="s">
        <v>517</v>
      </c>
      <c r="AM419" s="44" t="n">
        <v>0</v>
      </c>
      <c r="AN419" s="44"/>
      <c r="AO419" s="44"/>
      <c r="AP419" s="44"/>
      <c r="AQ419" s="45" t="s">
        <v>542</v>
      </c>
      <c r="AR419" s="44" t="s">
        <v>1282</v>
      </c>
      <c r="AS419" s="44"/>
      <c r="AT419" s="44"/>
      <c r="AU419" s="44"/>
      <c r="AV419" s="44"/>
      <c r="AW419" s="44"/>
      <c r="AX419" s="44"/>
      <c r="AY419" s="44"/>
      <c r="AZ419" s="46"/>
    </row>
    <row r="420" customFormat="false" ht="18" hidden="false" customHeight="true" outlineLevel="0" collapsed="false">
      <c r="A420" s="47" t="n">
        <v>14920</v>
      </c>
      <c r="B420" s="48" t="s">
        <v>545</v>
      </c>
      <c r="C420" s="47" t="n">
        <v>14920</v>
      </c>
      <c r="D420" s="48" t="s">
        <v>546</v>
      </c>
      <c r="E420" s="48" t="s">
        <v>610</v>
      </c>
      <c r="F420" s="48" t="s">
        <v>1648</v>
      </c>
      <c r="G420" s="49" t="s">
        <v>1461</v>
      </c>
      <c r="H420" s="48" t="s">
        <v>20</v>
      </c>
      <c r="I420" s="48" t="s">
        <v>1605</v>
      </c>
      <c r="J420" s="48" t="s">
        <v>20</v>
      </c>
      <c r="K420" s="48" t="s">
        <v>517</v>
      </c>
      <c r="L420" s="48" t="s">
        <v>517</v>
      </c>
      <c r="M420" s="48"/>
      <c r="N420" s="50" t="s">
        <v>1549</v>
      </c>
      <c r="O420" s="51" t="s">
        <v>1758</v>
      </c>
      <c r="P420" s="52" t="n">
        <v>1</v>
      </c>
      <c r="Q420" s="51"/>
      <c r="R420" s="52" t="s">
        <v>1519</v>
      </c>
      <c r="S420" s="52"/>
      <c r="T420" s="52"/>
      <c r="U420" s="53" t="n">
        <v>126380</v>
      </c>
      <c r="V420" s="54" t="n">
        <v>152919.8</v>
      </c>
      <c r="W420" s="55" t="n">
        <v>0.18</v>
      </c>
      <c r="X420" s="52"/>
      <c r="Y420" s="55" t="n">
        <v>0.17</v>
      </c>
      <c r="Z420" s="56" t="n">
        <v>3310</v>
      </c>
      <c r="AA420" s="55" t="n">
        <v>0.045</v>
      </c>
      <c r="AB420" s="57" t="n">
        <v>216633.121</v>
      </c>
      <c r="AC420" s="44"/>
      <c r="AD420" s="71"/>
      <c r="AE420" s="71" t="n">
        <v>216633.121</v>
      </c>
      <c r="AF420" s="71" t="s">
        <v>53</v>
      </c>
      <c r="AG420" s="71" t="n">
        <v>0</v>
      </c>
      <c r="AH420" s="58" t="s">
        <v>20</v>
      </c>
      <c r="AI420" s="44" t="n">
        <v>0</v>
      </c>
      <c r="AJ420" s="44" t="s">
        <v>517</v>
      </c>
      <c r="AK420" s="44" t="s">
        <v>47</v>
      </c>
      <c r="AL420" s="44" t="s">
        <v>517</v>
      </c>
      <c r="AM420" s="44" t="n">
        <v>0</v>
      </c>
      <c r="AN420" s="44"/>
      <c r="AO420" s="44"/>
      <c r="AP420" s="44"/>
      <c r="AQ420" s="45" t="s">
        <v>544</v>
      </c>
      <c r="AR420" s="44" t="s">
        <v>1282</v>
      </c>
      <c r="AS420" s="44"/>
      <c r="AT420" s="44"/>
      <c r="AU420" s="44"/>
      <c r="AV420" s="44"/>
      <c r="AW420" s="44"/>
      <c r="AX420" s="44"/>
      <c r="AY420" s="44"/>
      <c r="AZ420" s="46"/>
    </row>
    <row r="421" customFormat="false" ht="18" hidden="false" customHeight="true" outlineLevel="0" collapsed="false">
      <c r="A421" s="47" t="n">
        <v>113530</v>
      </c>
      <c r="B421" s="48" t="s">
        <v>242</v>
      </c>
      <c r="C421" s="47" t="n">
        <v>113530</v>
      </c>
      <c r="D421" s="48" t="s">
        <v>97</v>
      </c>
      <c r="E421" s="48" t="s">
        <v>305</v>
      </c>
      <c r="F421" s="48" t="s">
        <v>1654</v>
      </c>
      <c r="G421" s="49" t="s">
        <v>1471</v>
      </c>
      <c r="H421" s="48" t="s">
        <v>1472</v>
      </c>
      <c r="I421" s="48" t="s">
        <v>1628</v>
      </c>
      <c r="J421" s="48" t="s">
        <v>1568</v>
      </c>
      <c r="K421" s="48" t="s">
        <v>19</v>
      </c>
      <c r="L421" s="48" t="s">
        <v>218</v>
      </c>
      <c r="M421" s="48"/>
      <c r="N421" s="50" t="s">
        <v>1284</v>
      </c>
      <c r="O421" s="51" t="s">
        <v>1758</v>
      </c>
      <c r="P421" s="52" t="n">
        <v>1</v>
      </c>
      <c r="Q421" s="51"/>
      <c r="R421" s="52" t="s">
        <v>1519</v>
      </c>
      <c r="S421" s="52"/>
      <c r="T421" s="52"/>
      <c r="U421" s="53" t="n">
        <v>118000</v>
      </c>
      <c r="V421" s="54" t="n">
        <v>108560</v>
      </c>
      <c r="W421" s="55" t="n">
        <v>0.15</v>
      </c>
      <c r="X421" s="52"/>
      <c r="Y421" s="55" t="n">
        <v>0.05</v>
      </c>
      <c r="Z421" s="56" t="n">
        <v>2910</v>
      </c>
      <c r="AA421" s="55" t="n">
        <v>0.03</v>
      </c>
      <c r="AB421" s="57" t="n">
        <v>136438.8</v>
      </c>
      <c r="AC421" s="44"/>
      <c r="AD421" s="71"/>
      <c r="AE421" s="71" t="n">
        <v>136438.8</v>
      </c>
      <c r="AF421" s="71" t="s">
        <v>53</v>
      </c>
      <c r="AG421" s="71" t="n">
        <v>0</v>
      </c>
      <c r="AH421" s="58" t="s">
        <v>16</v>
      </c>
      <c r="AI421" s="44" t="n">
        <v>0</v>
      </c>
      <c r="AJ421" s="44" t="s">
        <v>218</v>
      </c>
      <c r="AK421" s="44" t="s">
        <v>47</v>
      </c>
      <c r="AL421" s="44" t="s">
        <v>218</v>
      </c>
      <c r="AM421" s="44" t="n">
        <v>0</v>
      </c>
      <c r="AN421" s="44"/>
      <c r="AO421" s="44"/>
      <c r="AP421" s="44"/>
      <c r="AQ421" s="45" t="s">
        <v>241</v>
      </c>
      <c r="AR421" s="44" t="s">
        <v>1284</v>
      </c>
      <c r="AS421" s="44"/>
      <c r="AT421" s="44"/>
      <c r="AU421" s="44"/>
      <c r="AV421" s="44"/>
      <c r="AW421" s="44"/>
      <c r="AX421" s="44"/>
      <c r="AY421" s="44"/>
      <c r="AZ421" s="46"/>
    </row>
    <row r="422" customFormat="false" ht="18" hidden="false" customHeight="true" outlineLevel="0" collapsed="false">
      <c r="A422" s="47" t="n">
        <v>113608</v>
      </c>
      <c r="B422" s="48" t="s">
        <v>244</v>
      </c>
      <c r="C422" s="47" t="n">
        <v>113608</v>
      </c>
      <c r="D422" s="48" t="s">
        <v>245</v>
      </c>
      <c r="E422" s="48" t="s">
        <v>305</v>
      </c>
      <c r="F422" s="48" t="s">
        <v>1654</v>
      </c>
      <c r="G422" s="49" t="s">
        <v>1471</v>
      </c>
      <c r="H422" s="48" t="s">
        <v>1472</v>
      </c>
      <c r="I422" s="48" t="s">
        <v>1628</v>
      </c>
      <c r="J422" s="48" t="s">
        <v>1568</v>
      </c>
      <c r="K422" s="48" t="s">
        <v>19</v>
      </c>
      <c r="L422" s="48" t="s">
        <v>218</v>
      </c>
      <c r="M422" s="48"/>
      <c r="N422" s="50" t="s">
        <v>1284</v>
      </c>
      <c r="O422" s="51" t="s">
        <v>1758</v>
      </c>
      <c r="P422" s="52" t="n">
        <v>1</v>
      </c>
      <c r="Q422" s="51"/>
      <c r="R422" s="52" t="s">
        <v>1519</v>
      </c>
      <c r="S422" s="52"/>
      <c r="T422" s="52"/>
      <c r="U422" s="53" t="n">
        <v>133110</v>
      </c>
      <c r="V422" s="54" t="n">
        <v>133110</v>
      </c>
      <c r="W422" s="55" t="n">
        <v>0.1</v>
      </c>
      <c r="X422" s="52" t="n">
        <v>0.055</v>
      </c>
      <c r="Y422" s="55" t="n">
        <v>0.12</v>
      </c>
      <c r="Z422" s="56"/>
      <c r="AA422" s="55" t="n">
        <v>0.04</v>
      </c>
      <c r="AB422" s="57" t="n">
        <v>175039.65</v>
      </c>
      <c r="AC422" s="44"/>
      <c r="AD422" s="71"/>
      <c r="AE422" s="71" t="n">
        <v>175039.65</v>
      </c>
      <c r="AF422" s="71" t="s">
        <v>53</v>
      </c>
      <c r="AG422" s="71" t="n">
        <v>0</v>
      </c>
      <c r="AH422" s="58" t="s">
        <v>16</v>
      </c>
      <c r="AI422" s="44" t="n">
        <v>0</v>
      </c>
      <c r="AJ422" s="44" t="s">
        <v>218</v>
      </c>
      <c r="AK422" s="44" t="s">
        <v>47</v>
      </c>
      <c r="AL422" s="44" t="s">
        <v>218</v>
      </c>
      <c r="AM422" s="44" t="n">
        <v>0</v>
      </c>
      <c r="AN422" s="44"/>
      <c r="AO422" s="44"/>
      <c r="AP422" s="44"/>
      <c r="AQ422" s="45" t="s">
        <v>243</v>
      </c>
      <c r="AR422" s="44" t="s">
        <v>1284</v>
      </c>
      <c r="AS422" s="44"/>
      <c r="AT422" s="44"/>
      <c r="AU422" s="44"/>
      <c r="AV422" s="44"/>
      <c r="AW422" s="44"/>
      <c r="AX422" s="44"/>
      <c r="AY422" s="44"/>
      <c r="AZ422" s="46"/>
    </row>
    <row r="423" customFormat="false" ht="18" hidden="false" customHeight="true" outlineLevel="0" collapsed="false">
      <c r="A423" s="47" t="n">
        <v>113624</v>
      </c>
      <c r="B423" s="48" t="s">
        <v>247</v>
      </c>
      <c r="C423" s="47" t="n">
        <v>113624</v>
      </c>
      <c r="D423" s="48" t="s">
        <v>248</v>
      </c>
      <c r="E423" s="48" t="s">
        <v>305</v>
      </c>
      <c r="F423" s="48" t="s">
        <v>1654</v>
      </c>
      <c r="G423" s="49" t="s">
        <v>1471</v>
      </c>
      <c r="H423" s="48" t="s">
        <v>1472</v>
      </c>
      <c r="I423" s="48" t="s">
        <v>1628</v>
      </c>
      <c r="J423" s="48" t="s">
        <v>1568</v>
      </c>
      <c r="K423" s="48" t="s">
        <v>19</v>
      </c>
      <c r="L423" s="48" t="s">
        <v>218</v>
      </c>
      <c r="M423" s="48"/>
      <c r="N423" s="50" t="s">
        <v>1284</v>
      </c>
      <c r="O423" s="51" t="s">
        <v>1758</v>
      </c>
      <c r="P423" s="52" t="n">
        <v>1</v>
      </c>
      <c r="Q423" s="51"/>
      <c r="R423" s="52" t="s">
        <v>1519</v>
      </c>
      <c r="S423" s="52"/>
      <c r="T423" s="52"/>
      <c r="U423" s="53" t="n">
        <v>116710</v>
      </c>
      <c r="V423" s="54" t="n">
        <v>107373.2</v>
      </c>
      <c r="W423" s="55" t="n">
        <v>0.15</v>
      </c>
      <c r="X423" s="52"/>
      <c r="Y423" s="55" t="n">
        <v>0.05</v>
      </c>
      <c r="Z423" s="56" t="n">
        <v>2910</v>
      </c>
      <c r="AA423" s="55" t="n">
        <v>0.03</v>
      </c>
      <c r="AB423" s="57" t="n">
        <v>134979.036</v>
      </c>
      <c r="AC423" s="44"/>
      <c r="AD423" s="71"/>
      <c r="AE423" s="71" t="n">
        <v>134979.036</v>
      </c>
      <c r="AF423" s="71" t="s">
        <v>53</v>
      </c>
      <c r="AG423" s="71" t="n">
        <v>0</v>
      </c>
      <c r="AH423" s="58" t="s">
        <v>16</v>
      </c>
      <c r="AI423" s="44" t="n">
        <v>0</v>
      </c>
      <c r="AJ423" s="44" t="s">
        <v>218</v>
      </c>
      <c r="AK423" s="44" t="s">
        <v>47</v>
      </c>
      <c r="AL423" s="44" t="s">
        <v>218</v>
      </c>
      <c r="AM423" s="44" t="n">
        <v>0</v>
      </c>
      <c r="AN423" s="44"/>
      <c r="AO423" s="44"/>
      <c r="AP423" s="44"/>
      <c r="AQ423" s="45" t="s">
        <v>246</v>
      </c>
      <c r="AR423" s="44" t="s">
        <v>1284</v>
      </c>
      <c r="AS423" s="44"/>
      <c r="AT423" s="44"/>
      <c r="AU423" s="44"/>
      <c r="AV423" s="44"/>
      <c r="AW423" s="44"/>
      <c r="AX423" s="44"/>
      <c r="AY423" s="44"/>
      <c r="AZ423" s="46"/>
    </row>
    <row r="424" customFormat="false" ht="18" hidden="false" customHeight="true" outlineLevel="0" collapsed="false">
      <c r="A424" s="47" t="s">
        <v>1507</v>
      </c>
      <c r="B424" s="48" t="s">
        <v>69</v>
      </c>
      <c r="C424" s="47" t="s">
        <v>1507</v>
      </c>
      <c r="D424" s="48" t="s">
        <v>1760</v>
      </c>
      <c r="E424" s="48" t="s">
        <v>1677</v>
      </c>
      <c r="F424" s="48" t="s">
        <v>1590</v>
      </c>
      <c r="G424" s="49" t="s">
        <v>1527</v>
      </c>
      <c r="H424" s="48" t="s">
        <v>1251</v>
      </c>
      <c r="I424" s="48" t="s">
        <v>1159</v>
      </c>
      <c r="J424" s="48" t="s">
        <v>1159</v>
      </c>
      <c r="K424" s="48" t="s">
        <v>1159</v>
      </c>
      <c r="L424" s="48" t="s">
        <v>1159</v>
      </c>
      <c r="M424" s="48"/>
      <c r="N424" s="50" t="s">
        <v>1443</v>
      </c>
      <c r="O424" s="51" t="s">
        <v>1758</v>
      </c>
      <c r="P424" s="52" t="n">
        <v>1</v>
      </c>
      <c r="Q424" s="51"/>
      <c r="R424" s="52" t="s">
        <v>1513</v>
      </c>
      <c r="S424" s="52"/>
      <c r="T424" s="52"/>
      <c r="U424" s="53" t="n">
        <v>129650</v>
      </c>
      <c r="V424" s="54" t="n">
        <v>129650</v>
      </c>
      <c r="W424" s="55" t="n">
        <v>0.1</v>
      </c>
      <c r="X424" s="52" t="n">
        <v>0.055</v>
      </c>
      <c r="Y424" s="55" t="n">
        <v>0.12</v>
      </c>
      <c r="Z424" s="56"/>
      <c r="AA424" s="55" t="n">
        <v>0.04</v>
      </c>
      <c r="AB424" s="57" t="n">
        <v>170489.75</v>
      </c>
      <c r="AC424" s="44"/>
      <c r="AD424" s="71"/>
      <c r="AE424" s="71" t="n">
        <v>170489.75</v>
      </c>
      <c r="AF424" s="71" t="s">
        <v>69</v>
      </c>
      <c r="AG424" s="71" t="n">
        <v>0</v>
      </c>
      <c r="AH424" s="58" t="s">
        <v>27</v>
      </c>
      <c r="AI424" s="44" t="n">
        <v>0</v>
      </c>
      <c r="AJ424" s="44" t="s">
        <v>1251</v>
      </c>
      <c r="AK424" s="44" t="s">
        <v>47</v>
      </c>
      <c r="AL424" s="44" t="s">
        <v>1251</v>
      </c>
      <c r="AM424" s="44" t="n">
        <v>0</v>
      </c>
      <c r="AN424" s="44"/>
      <c r="AO424" s="44"/>
      <c r="AP424" s="44"/>
      <c r="AQ424" s="45" t="s">
        <v>1354</v>
      </c>
      <c r="AR424" s="44" t="s">
        <v>1282</v>
      </c>
      <c r="AS424" s="44"/>
      <c r="AT424" s="44"/>
      <c r="AU424" s="44"/>
      <c r="AV424" s="44"/>
      <c r="AW424" s="44"/>
      <c r="AX424" s="44"/>
      <c r="AY424" s="44"/>
      <c r="AZ424" s="46"/>
    </row>
    <row r="425" customFormat="false" ht="18" hidden="false" customHeight="true" outlineLevel="0" collapsed="false">
      <c r="A425" s="47" t="s">
        <v>1507</v>
      </c>
      <c r="B425" s="48" t="s">
        <v>69</v>
      </c>
      <c r="C425" s="47" t="s">
        <v>1507</v>
      </c>
      <c r="D425" s="48" t="s">
        <v>80</v>
      </c>
      <c r="E425" s="48" t="s">
        <v>804</v>
      </c>
      <c r="F425" s="48" t="s">
        <v>1656</v>
      </c>
      <c r="G425" s="49" t="s">
        <v>30</v>
      </c>
      <c r="H425" s="48" t="s">
        <v>1297</v>
      </c>
      <c r="I425" s="48" t="s">
        <v>1637</v>
      </c>
      <c r="J425" s="48" t="s">
        <v>26</v>
      </c>
      <c r="K425" s="48" t="s">
        <v>26</v>
      </c>
      <c r="L425" s="48" t="s">
        <v>26</v>
      </c>
      <c r="M425" s="48"/>
      <c r="N425" s="50" t="s">
        <v>1443</v>
      </c>
      <c r="O425" s="51" t="s">
        <v>1758</v>
      </c>
      <c r="P425" s="52" t="n">
        <v>1</v>
      </c>
      <c r="Q425" s="51"/>
      <c r="R425" s="52" t="s">
        <v>1513</v>
      </c>
      <c r="S425" s="52"/>
      <c r="T425" s="52"/>
      <c r="U425" s="53" t="n">
        <v>129650</v>
      </c>
      <c r="V425" s="54" t="n">
        <v>129650</v>
      </c>
      <c r="W425" s="55" t="n">
        <v>0.1</v>
      </c>
      <c r="X425" s="52" t="n">
        <v>0.055</v>
      </c>
      <c r="Y425" s="55" t="n">
        <v>0.12</v>
      </c>
      <c r="Z425" s="56"/>
      <c r="AA425" s="55" t="n">
        <v>0.04</v>
      </c>
      <c r="AB425" s="57" t="n">
        <v>170489.75</v>
      </c>
      <c r="AC425" s="44"/>
      <c r="AD425" s="71"/>
      <c r="AE425" s="71" t="n">
        <v>170489.75</v>
      </c>
      <c r="AF425" s="71" t="s">
        <v>69</v>
      </c>
      <c r="AG425" s="71" t="n">
        <v>0</v>
      </c>
      <c r="AH425" s="58" t="s">
        <v>26</v>
      </c>
      <c r="AI425" s="44" t="n">
        <v>0</v>
      </c>
      <c r="AJ425" s="44" t="s">
        <v>26</v>
      </c>
      <c r="AK425" s="44" t="s">
        <v>47</v>
      </c>
      <c r="AL425" s="44" t="s">
        <v>26</v>
      </c>
      <c r="AM425" s="44" t="n">
        <v>0</v>
      </c>
      <c r="AN425" s="44"/>
      <c r="AO425" s="44"/>
      <c r="AP425" s="44"/>
      <c r="AQ425" s="45" t="s">
        <v>786</v>
      </c>
      <c r="AR425" s="44" t="s">
        <v>1282</v>
      </c>
      <c r="AS425" s="44"/>
      <c r="AT425" s="44"/>
      <c r="AU425" s="44"/>
      <c r="AV425" s="44"/>
      <c r="AW425" s="44"/>
      <c r="AX425" s="44"/>
      <c r="AY425" s="44"/>
      <c r="AZ425" s="46"/>
    </row>
    <row r="426" customFormat="false" ht="18" hidden="false" customHeight="true" outlineLevel="0" collapsed="false">
      <c r="A426" s="47" t="s">
        <v>1507</v>
      </c>
      <c r="B426" s="48" t="s">
        <v>69</v>
      </c>
      <c r="C426" s="47" t="s">
        <v>1507</v>
      </c>
      <c r="D426" s="48" t="s">
        <v>80</v>
      </c>
      <c r="E426" s="48" t="s">
        <v>804</v>
      </c>
      <c r="F426" s="48" t="s">
        <v>1656</v>
      </c>
      <c r="G426" s="49" t="s">
        <v>30</v>
      </c>
      <c r="H426" s="48" t="s">
        <v>1297</v>
      </c>
      <c r="I426" s="48" t="s">
        <v>1637</v>
      </c>
      <c r="J426" s="48" t="s">
        <v>26</v>
      </c>
      <c r="K426" s="48" t="s">
        <v>26</v>
      </c>
      <c r="L426" s="48" t="s">
        <v>769</v>
      </c>
      <c r="M426" s="48"/>
      <c r="N426" s="50" t="s">
        <v>1443</v>
      </c>
      <c r="O426" s="51" t="s">
        <v>1758</v>
      </c>
      <c r="P426" s="52" t="n">
        <v>1</v>
      </c>
      <c r="Q426" s="51"/>
      <c r="R426" s="52" t="s">
        <v>1513</v>
      </c>
      <c r="S426" s="52"/>
      <c r="T426" s="52"/>
      <c r="U426" s="53" t="n">
        <v>129650</v>
      </c>
      <c r="V426" s="54" t="n">
        <v>129650</v>
      </c>
      <c r="W426" s="55" t="n">
        <v>0.1</v>
      </c>
      <c r="X426" s="52" t="n">
        <v>0.055</v>
      </c>
      <c r="Y426" s="55" t="n">
        <v>0.12</v>
      </c>
      <c r="Z426" s="56"/>
      <c r="AA426" s="55" t="n">
        <v>0.04</v>
      </c>
      <c r="AB426" s="57" t="n">
        <v>170489.75</v>
      </c>
      <c r="AC426" s="44"/>
      <c r="AD426" s="71"/>
      <c r="AE426" s="71" t="n">
        <v>170489.75</v>
      </c>
      <c r="AF426" s="71" t="s">
        <v>69</v>
      </c>
      <c r="AG426" s="71" t="n">
        <v>0</v>
      </c>
      <c r="AH426" s="58" t="s">
        <v>26</v>
      </c>
      <c r="AI426" s="44" t="n">
        <v>0</v>
      </c>
      <c r="AJ426" s="44" t="s">
        <v>769</v>
      </c>
      <c r="AK426" s="44" t="s">
        <v>47</v>
      </c>
      <c r="AL426" s="44" t="s">
        <v>769</v>
      </c>
      <c r="AM426" s="44" t="n">
        <v>0</v>
      </c>
      <c r="AN426" s="44"/>
      <c r="AO426" s="44"/>
      <c r="AP426" s="44"/>
      <c r="AQ426" s="45" t="s">
        <v>792</v>
      </c>
      <c r="AR426" s="44" t="s">
        <v>1282</v>
      </c>
      <c r="AS426" s="44"/>
      <c r="AT426" s="44"/>
      <c r="AU426" s="44"/>
      <c r="AV426" s="44"/>
      <c r="AW426" s="44"/>
      <c r="AX426" s="44"/>
      <c r="AY426" s="44"/>
      <c r="AZ426" s="46"/>
    </row>
    <row r="427" customFormat="false" ht="18" hidden="false" customHeight="true" outlineLevel="0" collapsed="false">
      <c r="A427" s="47" t="s">
        <v>1507</v>
      </c>
      <c r="B427" s="48" t="s">
        <v>69</v>
      </c>
      <c r="C427" s="47" t="s">
        <v>1507</v>
      </c>
      <c r="D427" s="48" t="s">
        <v>794</v>
      </c>
      <c r="E427" s="48" t="s">
        <v>804</v>
      </c>
      <c r="F427" s="48" t="s">
        <v>1656</v>
      </c>
      <c r="G427" s="49" t="s">
        <v>30</v>
      </c>
      <c r="H427" s="48" t="s">
        <v>1297</v>
      </c>
      <c r="I427" s="48" t="s">
        <v>1637</v>
      </c>
      <c r="J427" s="48" t="s">
        <v>26</v>
      </c>
      <c r="K427" s="48" t="s">
        <v>26</v>
      </c>
      <c r="L427" s="48" t="s">
        <v>769</v>
      </c>
      <c r="M427" s="48"/>
      <c r="N427" s="50" t="s">
        <v>1443</v>
      </c>
      <c r="O427" s="51" t="s">
        <v>1758</v>
      </c>
      <c r="P427" s="52" t="n">
        <v>1</v>
      </c>
      <c r="Q427" s="51"/>
      <c r="R427" s="52" t="s">
        <v>1513</v>
      </c>
      <c r="S427" s="52"/>
      <c r="T427" s="52"/>
      <c r="U427" s="53" t="n">
        <v>136860</v>
      </c>
      <c r="V427" s="54" t="n">
        <v>136860</v>
      </c>
      <c r="W427" s="55" t="n">
        <v>0.1</v>
      </c>
      <c r="X427" s="52" t="n">
        <v>0.055</v>
      </c>
      <c r="Y427" s="55" t="n">
        <v>0.12</v>
      </c>
      <c r="Z427" s="56"/>
      <c r="AA427" s="55" t="n">
        <v>0.04</v>
      </c>
      <c r="AB427" s="57" t="n">
        <v>179970.9</v>
      </c>
      <c r="AC427" s="44"/>
      <c r="AD427" s="71"/>
      <c r="AE427" s="71" t="n">
        <v>179970.9</v>
      </c>
      <c r="AF427" s="71" t="s">
        <v>69</v>
      </c>
      <c r="AG427" s="71" t="n">
        <v>0</v>
      </c>
      <c r="AH427" s="58" t="s">
        <v>26</v>
      </c>
      <c r="AI427" s="44" t="n">
        <v>0</v>
      </c>
      <c r="AJ427" s="44" t="s">
        <v>769</v>
      </c>
      <c r="AK427" s="44" t="s">
        <v>47</v>
      </c>
      <c r="AL427" s="44" t="s">
        <v>769</v>
      </c>
      <c r="AM427" s="44" t="n">
        <v>0</v>
      </c>
      <c r="AN427" s="44"/>
      <c r="AO427" s="44"/>
      <c r="AP427" s="44"/>
      <c r="AQ427" s="45" t="s">
        <v>793</v>
      </c>
      <c r="AR427" s="44" t="s">
        <v>1282</v>
      </c>
      <c r="AS427" s="44"/>
      <c r="AT427" s="44"/>
      <c r="AU427" s="44"/>
      <c r="AV427" s="44"/>
      <c r="AW427" s="44"/>
      <c r="AX427" s="44"/>
      <c r="AY427" s="44"/>
      <c r="AZ427" s="46"/>
    </row>
    <row r="428" customFormat="false" ht="18" hidden="false" customHeight="true" outlineLevel="0" collapsed="false">
      <c r="A428" s="47" t="s">
        <v>1507</v>
      </c>
      <c r="B428" s="48" t="s">
        <v>69</v>
      </c>
      <c r="C428" s="47" t="s">
        <v>1507</v>
      </c>
      <c r="D428" s="48" t="s">
        <v>80</v>
      </c>
      <c r="E428" s="48" t="s">
        <v>979</v>
      </c>
      <c r="F428" s="48" t="s">
        <v>980</v>
      </c>
      <c r="G428" s="49" t="s">
        <v>1531</v>
      </c>
      <c r="H428" s="48" t="s">
        <v>1151</v>
      </c>
      <c r="I428" s="48" t="s">
        <v>1532</v>
      </c>
      <c r="J428" s="48" t="s">
        <v>31</v>
      </c>
      <c r="K428" s="48" t="s">
        <v>1151</v>
      </c>
      <c r="L428" s="48" t="s">
        <v>1597</v>
      </c>
      <c r="M428" s="48"/>
      <c r="N428" s="50" t="s">
        <v>1443</v>
      </c>
      <c r="O428" s="51" t="s">
        <v>1758</v>
      </c>
      <c r="P428" s="52" t="n">
        <v>1</v>
      </c>
      <c r="Q428" s="51"/>
      <c r="R428" s="52" t="s">
        <v>1513</v>
      </c>
      <c r="S428" s="52"/>
      <c r="T428" s="52"/>
      <c r="U428" s="53" t="n">
        <v>129650</v>
      </c>
      <c r="V428" s="54" t="n">
        <v>129650</v>
      </c>
      <c r="W428" s="55" t="n">
        <v>0.1</v>
      </c>
      <c r="X428" s="52" t="n">
        <v>0.055</v>
      </c>
      <c r="Y428" s="55" t="n">
        <v>0.12</v>
      </c>
      <c r="Z428" s="56"/>
      <c r="AA428" s="55" t="n">
        <v>0.04</v>
      </c>
      <c r="AB428" s="57" t="n">
        <v>170489.75</v>
      </c>
      <c r="AC428" s="44"/>
      <c r="AD428" s="71"/>
      <c r="AE428" s="71" t="n">
        <v>170489.75</v>
      </c>
      <c r="AF428" s="71" t="s">
        <v>69</v>
      </c>
      <c r="AG428" s="71" t="n">
        <v>0</v>
      </c>
      <c r="AH428" s="58" t="s">
        <v>31</v>
      </c>
      <c r="AI428" s="44" t="n">
        <v>0</v>
      </c>
      <c r="AJ428" s="44" t="s">
        <v>970</v>
      </c>
      <c r="AK428" s="44" t="s">
        <v>47</v>
      </c>
      <c r="AL428" s="44" t="s">
        <v>970</v>
      </c>
      <c r="AM428" s="44" t="n">
        <v>0</v>
      </c>
      <c r="AN428" s="44"/>
      <c r="AO428" s="44"/>
      <c r="AP428" s="44"/>
      <c r="AQ428" s="45" t="s">
        <v>988</v>
      </c>
      <c r="AR428" s="44" t="s">
        <v>1282</v>
      </c>
      <c r="AS428" s="44"/>
      <c r="AT428" s="44"/>
      <c r="AU428" s="44"/>
      <c r="AV428" s="44"/>
      <c r="AW428" s="44"/>
      <c r="AX428" s="44"/>
      <c r="AY428" s="44"/>
      <c r="AZ428" s="46"/>
    </row>
    <row r="429" customFormat="false" ht="18" hidden="false" customHeight="true" outlineLevel="0" collapsed="false">
      <c r="A429" s="47" t="n">
        <v>115490</v>
      </c>
      <c r="B429" s="48" t="s">
        <v>1761</v>
      </c>
      <c r="C429" s="47" t="n">
        <v>115490</v>
      </c>
      <c r="D429" s="48" t="s">
        <v>1724</v>
      </c>
      <c r="E429" s="48" t="s">
        <v>1589</v>
      </c>
      <c r="F429" s="48"/>
      <c r="G429" s="49" t="s">
        <v>1527</v>
      </c>
      <c r="H429" s="48" t="s">
        <v>1322</v>
      </c>
      <c r="I429" s="48" t="s">
        <v>1159</v>
      </c>
      <c r="J429" s="48" t="s">
        <v>1159</v>
      </c>
      <c r="K429" s="48" t="s">
        <v>1159</v>
      </c>
      <c r="L429" s="48" t="s">
        <v>1159</v>
      </c>
      <c r="M429" s="48"/>
      <c r="N429" s="50" t="s">
        <v>1284</v>
      </c>
      <c r="O429" s="51" t="s">
        <v>1758</v>
      </c>
      <c r="P429" s="52" t="n">
        <v>1</v>
      </c>
      <c r="Q429" s="51"/>
      <c r="R429" s="52" t="s">
        <v>1519</v>
      </c>
      <c r="S429" s="52"/>
      <c r="T429" s="52"/>
      <c r="U429" s="53" t="n">
        <v>113930</v>
      </c>
      <c r="V429" s="54" t="n">
        <v>104815.6</v>
      </c>
      <c r="W429" s="55" t="n">
        <v>0.15</v>
      </c>
      <c r="X429" s="52"/>
      <c r="Y429" s="55" t="n">
        <v>0.05</v>
      </c>
      <c r="Z429" s="56" t="n">
        <v>2910</v>
      </c>
      <c r="AA429" s="55" t="n">
        <v>0.03</v>
      </c>
      <c r="AB429" s="57" t="n">
        <v>131833.188</v>
      </c>
      <c r="AC429" s="44"/>
      <c r="AD429" s="71"/>
      <c r="AE429" s="71" t="n">
        <v>131833.188</v>
      </c>
      <c r="AF429" s="71" t="s">
        <v>53</v>
      </c>
      <c r="AG429" s="71" t="n">
        <v>0</v>
      </c>
      <c r="AH429" s="58" t="s">
        <v>32</v>
      </c>
      <c r="AI429" s="44" t="n">
        <v>0</v>
      </c>
      <c r="AJ429" s="44" t="s">
        <v>1322</v>
      </c>
      <c r="AK429" s="44" t="s">
        <v>47</v>
      </c>
      <c r="AL429" s="44" t="s">
        <v>1322</v>
      </c>
      <c r="AM429" s="44" t="n">
        <v>0</v>
      </c>
      <c r="AN429" s="44"/>
      <c r="AO429" s="44"/>
      <c r="AP429" s="44"/>
      <c r="AQ429" s="45" t="s">
        <v>1326</v>
      </c>
      <c r="AR429" s="44" t="s">
        <v>1284</v>
      </c>
      <c r="AS429" s="44"/>
      <c r="AT429" s="44"/>
      <c r="AU429" s="44"/>
      <c r="AV429" s="44"/>
      <c r="AW429" s="44"/>
      <c r="AX429" s="44"/>
      <c r="AY429" s="44"/>
      <c r="AZ429" s="46"/>
    </row>
    <row r="430" customFormat="false" ht="18" hidden="false" customHeight="true" outlineLevel="0" collapsed="false">
      <c r="A430" s="47" t="n">
        <v>105799</v>
      </c>
      <c r="B430" s="48" t="s">
        <v>632</v>
      </c>
      <c r="C430" s="47" t="n">
        <v>105799</v>
      </c>
      <c r="D430" s="48" t="s">
        <v>633</v>
      </c>
      <c r="E430" s="48" t="s">
        <v>687</v>
      </c>
      <c r="F430" s="48" t="s">
        <v>685</v>
      </c>
      <c r="G430" s="49" t="s">
        <v>1461</v>
      </c>
      <c r="H430" s="48" t="s">
        <v>1562</v>
      </c>
      <c r="I430" s="48" t="s">
        <v>1599</v>
      </c>
      <c r="J430" s="48" t="s">
        <v>1562</v>
      </c>
      <c r="K430" s="48" t="s">
        <v>613</v>
      </c>
      <c r="L430" s="48" t="s">
        <v>613</v>
      </c>
      <c r="M430" s="48"/>
      <c r="N430" s="50" t="s">
        <v>1443</v>
      </c>
      <c r="O430" s="51" t="s">
        <v>1758</v>
      </c>
      <c r="P430" s="52" t="n">
        <v>1</v>
      </c>
      <c r="Q430" s="51"/>
      <c r="R430" s="52" t="s">
        <v>1519</v>
      </c>
      <c r="S430" s="52"/>
      <c r="T430" s="52"/>
      <c r="U430" s="53" t="n">
        <v>144720</v>
      </c>
      <c r="V430" s="54" t="n">
        <v>144720</v>
      </c>
      <c r="W430" s="55" t="n">
        <v>0.1</v>
      </c>
      <c r="X430" s="52" t="n">
        <v>0.055</v>
      </c>
      <c r="Y430" s="55" t="n">
        <v>0.12</v>
      </c>
      <c r="Z430" s="56"/>
      <c r="AA430" s="55" t="n">
        <v>0.04</v>
      </c>
      <c r="AB430" s="57" t="n">
        <v>190306.8</v>
      </c>
      <c r="AC430" s="44"/>
      <c r="AD430" s="71"/>
      <c r="AE430" s="71" t="n">
        <v>190306.8</v>
      </c>
      <c r="AF430" s="71" t="s">
        <v>53</v>
      </c>
      <c r="AG430" s="71" t="n">
        <v>0</v>
      </c>
      <c r="AH430" s="58" t="s">
        <v>22</v>
      </c>
      <c r="AI430" s="44" t="n">
        <v>0</v>
      </c>
      <c r="AJ430" s="44" t="s">
        <v>613</v>
      </c>
      <c r="AK430" s="44" t="s">
        <v>47</v>
      </c>
      <c r="AL430" s="44" t="s">
        <v>613</v>
      </c>
      <c r="AM430" s="44" t="n">
        <v>0</v>
      </c>
      <c r="AN430" s="44"/>
      <c r="AO430" s="44"/>
      <c r="AP430" s="44"/>
      <c r="AQ430" s="45" t="s">
        <v>631</v>
      </c>
      <c r="AR430" s="44" t="s">
        <v>1282</v>
      </c>
      <c r="AS430" s="44"/>
      <c r="AT430" s="44"/>
      <c r="AU430" s="44"/>
      <c r="AV430" s="44"/>
      <c r="AW430" s="44"/>
      <c r="AX430" s="44"/>
      <c r="AY430" s="44"/>
      <c r="AZ430" s="46"/>
    </row>
    <row r="431" customFormat="false" ht="18" hidden="false" customHeight="true" outlineLevel="0" collapsed="false">
      <c r="A431" s="47" t="n">
        <v>113606</v>
      </c>
      <c r="B431" s="48" t="s">
        <v>635</v>
      </c>
      <c r="C431" s="47" t="n">
        <v>113606</v>
      </c>
      <c r="D431" s="48" t="s">
        <v>636</v>
      </c>
      <c r="E431" s="48" t="s">
        <v>687</v>
      </c>
      <c r="F431" s="48" t="s">
        <v>685</v>
      </c>
      <c r="G431" s="49" t="s">
        <v>1461</v>
      </c>
      <c r="H431" s="48" t="s">
        <v>1562</v>
      </c>
      <c r="I431" s="48" t="s">
        <v>1599</v>
      </c>
      <c r="J431" s="48" t="s">
        <v>1562</v>
      </c>
      <c r="K431" s="48" t="s">
        <v>613</v>
      </c>
      <c r="L431" s="48" t="s">
        <v>613</v>
      </c>
      <c r="M431" s="48"/>
      <c r="N431" s="50" t="s">
        <v>1284</v>
      </c>
      <c r="O431" s="51" t="s">
        <v>1758</v>
      </c>
      <c r="P431" s="52" t="n">
        <v>1</v>
      </c>
      <c r="Q431" s="51"/>
      <c r="R431" s="52" t="s">
        <v>1519</v>
      </c>
      <c r="S431" s="52"/>
      <c r="T431" s="52"/>
      <c r="U431" s="53" t="n">
        <v>142200</v>
      </c>
      <c r="V431" s="54" t="n">
        <v>130824</v>
      </c>
      <c r="W431" s="55" t="n">
        <v>0.15</v>
      </c>
      <c r="X431" s="52"/>
      <c r="Y431" s="55" t="n">
        <v>0.05</v>
      </c>
      <c r="Z431" s="56" t="n">
        <v>2910</v>
      </c>
      <c r="AA431" s="55" t="n">
        <v>0.03</v>
      </c>
      <c r="AB431" s="57" t="n">
        <v>163823.52</v>
      </c>
      <c r="AC431" s="44"/>
      <c r="AD431" s="71"/>
      <c r="AE431" s="71" t="n">
        <v>163823.52</v>
      </c>
      <c r="AF431" s="71" t="s">
        <v>53</v>
      </c>
      <c r="AG431" s="71" t="n">
        <v>0</v>
      </c>
      <c r="AH431" s="58" t="s">
        <v>22</v>
      </c>
      <c r="AI431" s="44" t="n">
        <v>0</v>
      </c>
      <c r="AJ431" s="44" t="s">
        <v>613</v>
      </c>
      <c r="AK431" s="44" t="s">
        <v>47</v>
      </c>
      <c r="AL431" s="44" t="s">
        <v>613</v>
      </c>
      <c r="AM431" s="44" t="n">
        <v>0</v>
      </c>
      <c r="AN431" s="44"/>
      <c r="AO431" s="44"/>
      <c r="AP431" s="44"/>
      <c r="AQ431" s="45" t="s">
        <v>634</v>
      </c>
      <c r="AR431" s="44" t="s">
        <v>1284</v>
      </c>
      <c r="AS431" s="44"/>
      <c r="AT431" s="44"/>
      <c r="AU431" s="44"/>
      <c r="AV431" s="44"/>
      <c r="AW431" s="44"/>
      <c r="AX431" s="44"/>
      <c r="AY431" s="44"/>
      <c r="AZ431" s="46"/>
    </row>
    <row r="432" customFormat="false" ht="18" hidden="false" customHeight="true" outlineLevel="0" collapsed="false">
      <c r="A432" s="47" t="n">
        <v>113501</v>
      </c>
      <c r="B432" s="48" t="s">
        <v>265</v>
      </c>
      <c r="C432" s="47" t="n">
        <v>113501</v>
      </c>
      <c r="D432" s="48" t="s">
        <v>266</v>
      </c>
      <c r="E432" s="48" t="s">
        <v>299</v>
      </c>
      <c r="F432" s="48" t="s">
        <v>300</v>
      </c>
      <c r="G432" s="49" t="s">
        <v>1471</v>
      </c>
      <c r="H432" s="48" t="s">
        <v>1472</v>
      </c>
      <c r="I432" s="48" t="s">
        <v>1620</v>
      </c>
      <c r="J432" s="48" t="s">
        <v>1568</v>
      </c>
      <c r="K432" s="48" t="s">
        <v>19</v>
      </c>
      <c r="L432" s="48" t="s">
        <v>1655</v>
      </c>
      <c r="M432" s="48"/>
      <c r="N432" s="50" t="s">
        <v>1284</v>
      </c>
      <c r="O432" s="51" t="s">
        <v>1758</v>
      </c>
      <c r="P432" s="52" t="n">
        <v>1</v>
      </c>
      <c r="Q432" s="51"/>
      <c r="R432" s="52" t="s">
        <v>1519</v>
      </c>
      <c r="S432" s="52"/>
      <c r="T432" s="52"/>
      <c r="U432" s="53" t="n">
        <v>123710</v>
      </c>
      <c r="V432" s="54" t="n">
        <v>113813.2</v>
      </c>
      <c r="W432" s="55" t="n">
        <v>0.15</v>
      </c>
      <c r="X432" s="52"/>
      <c r="Y432" s="55" t="n">
        <v>0.05</v>
      </c>
      <c r="Z432" s="56" t="n">
        <v>2910</v>
      </c>
      <c r="AA432" s="55" t="n">
        <v>0.03</v>
      </c>
      <c r="AB432" s="57" t="n">
        <v>142900.236</v>
      </c>
      <c r="AC432" s="44"/>
      <c r="AD432" s="71"/>
      <c r="AE432" s="71" t="n">
        <v>142900.236</v>
      </c>
      <c r="AF432" s="71" t="s">
        <v>53</v>
      </c>
      <c r="AG432" s="71" t="n">
        <v>0</v>
      </c>
      <c r="AH432" s="58" t="s">
        <v>16</v>
      </c>
      <c r="AI432" s="44" t="n">
        <v>0</v>
      </c>
      <c r="AJ432" s="44" t="s">
        <v>224</v>
      </c>
      <c r="AK432" s="44" t="s">
        <v>47</v>
      </c>
      <c r="AL432" s="44" t="s">
        <v>224</v>
      </c>
      <c r="AM432" s="44" t="n">
        <v>0</v>
      </c>
      <c r="AN432" s="44"/>
      <c r="AO432" s="44"/>
      <c r="AP432" s="44"/>
      <c r="AQ432" s="45" t="s">
        <v>264</v>
      </c>
      <c r="AR432" s="44" t="s">
        <v>1284</v>
      </c>
      <c r="AS432" s="44"/>
      <c r="AT432" s="44"/>
      <c r="AU432" s="44"/>
      <c r="AV432" s="44"/>
      <c r="AW432" s="44"/>
      <c r="AX432" s="44"/>
      <c r="AY432" s="44"/>
      <c r="AZ432" s="46"/>
    </row>
    <row r="433" customFormat="false" ht="18" hidden="false" customHeight="true" outlineLevel="0" collapsed="false">
      <c r="A433" s="47" t="n">
        <v>113556</v>
      </c>
      <c r="B433" s="48" t="s">
        <v>284</v>
      </c>
      <c r="C433" s="47" t="n">
        <v>113556</v>
      </c>
      <c r="D433" s="48" t="s">
        <v>269</v>
      </c>
      <c r="E433" s="48" t="s">
        <v>299</v>
      </c>
      <c r="F433" s="48" t="s">
        <v>300</v>
      </c>
      <c r="G433" s="49" t="s">
        <v>1471</v>
      </c>
      <c r="H433" s="48" t="s">
        <v>1472</v>
      </c>
      <c r="I433" s="48" t="s">
        <v>1620</v>
      </c>
      <c r="J433" s="48" t="s">
        <v>1568</v>
      </c>
      <c r="K433" s="48" t="s">
        <v>220</v>
      </c>
      <c r="L433" s="48" t="s">
        <v>220</v>
      </c>
      <c r="M433" s="48"/>
      <c r="N433" s="50" t="s">
        <v>1284</v>
      </c>
      <c r="O433" s="51" t="s">
        <v>1758</v>
      </c>
      <c r="P433" s="52" t="n">
        <v>1</v>
      </c>
      <c r="Q433" s="51"/>
      <c r="R433" s="52" t="s">
        <v>1519</v>
      </c>
      <c r="S433" s="52"/>
      <c r="T433" s="52"/>
      <c r="U433" s="53" t="n">
        <v>93640</v>
      </c>
      <c r="V433" s="54" t="n">
        <v>86148.8</v>
      </c>
      <c r="W433" s="55" t="n">
        <v>0.1</v>
      </c>
      <c r="X433" s="52"/>
      <c r="Y433" s="55" t="n">
        <v>0.05</v>
      </c>
      <c r="Z433" s="56" t="n">
        <v>2910</v>
      </c>
      <c r="AA433" s="55" t="n">
        <v>0.03</v>
      </c>
      <c r="AB433" s="57" t="n">
        <v>104565.584</v>
      </c>
      <c r="AC433" s="44"/>
      <c r="AD433" s="71"/>
      <c r="AE433" s="71" t="n">
        <v>104565.584</v>
      </c>
      <c r="AF433" s="71" t="s">
        <v>53</v>
      </c>
      <c r="AG433" s="71" t="n">
        <v>0</v>
      </c>
      <c r="AH433" s="58" t="s">
        <v>16</v>
      </c>
      <c r="AI433" s="44" t="n">
        <v>0</v>
      </c>
      <c r="AJ433" s="44" t="s">
        <v>220</v>
      </c>
      <c r="AK433" s="44" t="s">
        <v>47</v>
      </c>
      <c r="AL433" s="44" t="s">
        <v>220</v>
      </c>
      <c r="AM433" s="44" t="n">
        <v>0</v>
      </c>
      <c r="AN433" s="44"/>
      <c r="AO433" s="44"/>
      <c r="AP433" s="44"/>
      <c r="AQ433" s="45" t="s">
        <v>283</v>
      </c>
      <c r="AR433" s="44" t="s">
        <v>1284</v>
      </c>
      <c r="AS433" s="44"/>
      <c r="AT433" s="44"/>
      <c r="AU433" s="44"/>
      <c r="AV433" s="44"/>
      <c r="AW433" s="44"/>
      <c r="AX433" s="44"/>
      <c r="AY433" s="44"/>
      <c r="AZ433" s="46"/>
    </row>
    <row r="434" customFormat="false" ht="18" hidden="false" customHeight="true" outlineLevel="0" collapsed="false">
      <c r="A434" s="47" t="n">
        <v>113584</v>
      </c>
      <c r="B434" s="48" t="s">
        <v>268</v>
      </c>
      <c r="C434" s="47" t="n">
        <v>113584</v>
      </c>
      <c r="D434" s="48" t="s">
        <v>269</v>
      </c>
      <c r="E434" s="48" t="s">
        <v>299</v>
      </c>
      <c r="F434" s="48" t="s">
        <v>300</v>
      </c>
      <c r="G434" s="49" t="s">
        <v>1471</v>
      </c>
      <c r="H434" s="48" t="s">
        <v>1472</v>
      </c>
      <c r="I434" s="48" t="s">
        <v>1620</v>
      </c>
      <c r="J434" s="48" t="s">
        <v>1568</v>
      </c>
      <c r="K434" s="48" t="s">
        <v>19</v>
      </c>
      <c r="L434" s="48" t="s">
        <v>1655</v>
      </c>
      <c r="M434" s="48"/>
      <c r="N434" s="50" t="s">
        <v>1284</v>
      </c>
      <c r="O434" s="51" t="s">
        <v>1758</v>
      </c>
      <c r="P434" s="52" t="n">
        <v>1</v>
      </c>
      <c r="Q434" s="51"/>
      <c r="R434" s="52" t="s">
        <v>1519</v>
      </c>
      <c r="S434" s="52"/>
      <c r="T434" s="52"/>
      <c r="U434" s="53" t="n">
        <v>173620</v>
      </c>
      <c r="V434" s="54" t="n">
        <v>159730.4</v>
      </c>
      <c r="W434" s="55" t="n">
        <v>0.15</v>
      </c>
      <c r="X434" s="52"/>
      <c r="Y434" s="55" t="n">
        <v>0.05</v>
      </c>
      <c r="Z434" s="56" t="n">
        <v>2910</v>
      </c>
      <c r="AA434" s="55" t="n">
        <v>0.03</v>
      </c>
      <c r="AB434" s="57" t="n">
        <v>199378.392</v>
      </c>
      <c r="AC434" s="44"/>
      <c r="AD434" s="71"/>
      <c r="AE434" s="71" t="n">
        <v>199378.392</v>
      </c>
      <c r="AF434" s="71" t="s">
        <v>53</v>
      </c>
      <c r="AG434" s="71" t="n">
        <v>0</v>
      </c>
      <c r="AH434" s="58" t="s">
        <v>16</v>
      </c>
      <c r="AI434" s="44" t="n">
        <v>0</v>
      </c>
      <c r="AJ434" s="44" t="s">
        <v>224</v>
      </c>
      <c r="AK434" s="44" t="s">
        <v>47</v>
      </c>
      <c r="AL434" s="44" t="s">
        <v>224</v>
      </c>
      <c r="AM434" s="44" t="n">
        <v>0</v>
      </c>
      <c r="AN434" s="44"/>
      <c r="AO434" s="44"/>
      <c r="AP434" s="44"/>
      <c r="AQ434" s="45" t="s">
        <v>267</v>
      </c>
      <c r="AR434" s="44" t="s">
        <v>1284</v>
      </c>
      <c r="AS434" s="44"/>
      <c r="AT434" s="44"/>
      <c r="AU434" s="44"/>
      <c r="AV434" s="44"/>
      <c r="AW434" s="44"/>
      <c r="AX434" s="44"/>
      <c r="AY434" s="44"/>
      <c r="AZ434" s="46"/>
    </row>
    <row r="435" customFormat="false" ht="18" hidden="false" customHeight="true" outlineLevel="0" collapsed="false">
      <c r="A435" s="47" t="s">
        <v>1507</v>
      </c>
      <c r="B435" s="48" t="s">
        <v>69</v>
      </c>
      <c r="C435" s="47" t="s">
        <v>1507</v>
      </c>
      <c r="D435" s="48" t="s">
        <v>80</v>
      </c>
      <c r="E435" s="48" t="s">
        <v>299</v>
      </c>
      <c r="F435" s="48" t="s">
        <v>300</v>
      </c>
      <c r="G435" s="49" t="s">
        <v>1471</v>
      </c>
      <c r="H435" s="48" t="s">
        <v>1472</v>
      </c>
      <c r="I435" s="48" t="s">
        <v>1620</v>
      </c>
      <c r="J435" s="48" t="s">
        <v>1568</v>
      </c>
      <c r="K435" s="48" t="s">
        <v>220</v>
      </c>
      <c r="L435" s="48" t="s">
        <v>220</v>
      </c>
      <c r="M435" s="48"/>
      <c r="N435" s="50" t="s">
        <v>1443</v>
      </c>
      <c r="O435" s="51" t="s">
        <v>1758</v>
      </c>
      <c r="P435" s="52" t="n">
        <v>1</v>
      </c>
      <c r="Q435" s="51"/>
      <c r="R435" s="52" t="s">
        <v>1513</v>
      </c>
      <c r="S435" s="52"/>
      <c r="T435" s="52"/>
      <c r="U435" s="53" t="n">
        <v>203550</v>
      </c>
      <c r="V435" s="54" t="n">
        <v>203550</v>
      </c>
      <c r="W435" s="55" t="n">
        <v>0.14</v>
      </c>
      <c r="X435" s="52" t="n">
        <v>0.055</v>
      </c>
      <c r="Y435" s="55" t="n">
        <v>0.12</v>
      </c>
      <c r="Z435" s="56"/>
      <c r="AA435" s="55" t="n">
        <v>0.04</v>
      </c>
      <c r="AB435" s="57" t="n">
        <v>275810.25</v>
      </c>
      <c r="AC435" s="44"/>
      <c r="AD435" s="71"/>
      <c r="AE435" s="71" t="n">
        <v>275810.25</v>
      </c>
      <c r="AF435" s="71" t="s">
        <v>69</v>
      </c>
      <c r="AG435" s="71" t="n">
        <v>0</v>
      </c>
      <c r="AH435" s="58" t="s">
        <v>16</v>
      </c>
      <c r="AI435" s="44" t="n">
        <v>0</v>
      </c>
      <c r="AJ435" s="44" t="s">
        <v>220</v>
      </c>
      <c r="AK435" s="44" t="s">
        <v>47</v>
      </c>
      <c r="AL435" s="44" t="s">
        <v>220</v>
      </c>
      <c r="AM435" s="44" t="n">
        <v>0</v>
      </c>
      <c r="AN435" s="44"/>
      <c r="AO435" s="44"/>
      <c r="AP435" s="44"/>
      <c r="AQ435" s="45" t="s">
        <v>285</v>
      </c>
      <c r="AR435" s="44" t="s">
        <v>1282</v>
      </c>
      <c r="AS435" s="44"/>
      <c r="AT435" s="44"/>
      <c r="AU435" s="44"/>
      <c r="AV435" s="44"/>
      <c r="AW435" s="44"/>
      <c r="AX435" s="44"/>
      <c r="AY435" s="44"/>
      <c r="AZ435" s="46"/>
    </row>
    <row r="436" customFormat="false" ht="18" hidden="false" customHeight="true" outlineLevel="0" collapsed="false">
      <c r="A436" s="47" t="n">
        <v>8445</v>
      </c>
      <c r="B436" s="48" t="s">
        <v>146</v>
      </c>
      <c r="C436" s="47" t="n">
        <v>8445</v>
      </c>
      <c r="D436" s="48" t="s">
        <v>147</v>
      </c>
      <c r="E436" s="48" t="s">
        <v>138</v>
      </c>
      <c r="F436" s="48" t="s">
        <v>1762</v>
      </c>
      <c r="G436" s="49" t="s">
        <v>1471</v>
      </c>
      <c r="H436" s="48" t="s">
        <v>14</v>
      </c>
      <c r="I436" s="48" t="s">
        <v>1602</v>
      </c>
      <c r="J436" s="48" t="s">
        <v>1567</v>
      </c>
      <c r="K436" s="48" t="s">
        <v>67</v>
      </c>
      <c r="L436" s="48" t="s">
        <v>67</v>
      </c>
      <c r="M436" s="48"/>
      <c r="N436" s="50" t="s">
        <v>1443</v>
      </c>
      <c r="O436" s="51" t="s">
        <v>1758</v>
      </c>
      <c r="P436" s="52" t="n">
        <v>1</v>
      </c>
      <c r="Q436" s="51"/>
      <c r="R436" s="52" t="s">
        <v>1519</v>
      </c>
      <c r="S436" s="52"/>
      <c r="T436" s="52"/>
      <c r="U436" s="53" t="n">
        <v>127270</v>
      </c>
      <c r="V436" s="54" t="n">
        <v>127270</v>
      </c>
      <c r="W436" s="55" t="n">
        <v>0.1</v>
      </c>
      <c r="X436" s="52" t="n">
        <v>0.055</v>
      </c>
      <c r="Y436" s="55" t="n">
        <v>0.12</v>
      </c>
      <c r="Z436" s="56"/>
      <c r="AA436" s="55" t="n">
        <v>0.04</v>
      </c>
      <c r="AB436" s="57" t="n">
        <v>167360.05</v>
      </c>
      <c r="AC436" s="44"/>
      <c r="AD436" s="71"/>
      <c r="AE436" s="71" t="n">
        <v>167360.05</v>
      </c>
      <c r="AF436" s="71" t="s">
        <v>53</v>
      </c>
      <c r="AG436" s="71" t="n">
        <v>0</v>
      </c>
      <c r="AH436" s="58" t="s">
        <v>14</v>
      </c>
      <c r="AI436" s="44" t="n">
        <v>0</v>
      </c>
      <c r="AJ436" s="44" t="s">
        <v>67</v>
      </c>
      <c r="AK436" s="44" t="s">
        <v>47</v>
      </c>
      <c r="AL436" s="44" t="s">
        <v>67</v>
      </c>
      <c r="AM436" s="44" t="n">
        <v>0</v>
      </c>
      <c r="AN436" s="44"/>
      <c r="AO436" s="44"/>
      <c r="AP436" s="44"/>
      <c r="AQ436" s="45" t="s">
        <v>145</v>
      </c>
      <c r="AR436" s="44" t="s">
        <v>1282</v>
      </c>
      <c r="AS436" s="44"/>
      <c r="AT436" s="44"/>
      <c r="AU436" s="44"/>
      <c r="AV436" s="44"/>
      <c r="AW436" s="44"/>
      <c r="AX436" s="44"/>
      <c r="AY436" s="44"/>
      <c r="AZ436" s="46"/>
    </row>
    <row r="437" customFormat="false" ht="18" hidden="false" customHeight="true" outlineLevel="0" collapsed="false">
      <c r="A437" s="47" t="n">
        <v>109974</v>
      </c>
      <c r="B437" s="48" t="s">
        <v>149</v>
      </c>
      <c r="C437" s="47" t="n">
        <v>109974</v>
      </c>
      <c r="D437" s="48" t="s">
        <v>150</v>
      </c>
      <c r="E437" s="48" t="s">
        <v>138</v>
      </c>
      <c r="F437" s="48" t="s">
        <v>1762</v>
      </c>
      <c r="G437" s="49" t="s">
        <v>1471</v>
      </c>
      <c r="H437" s="48" t="s">
        <v>14</v>
      </c>
      <c r="I437" s="48" t="s">
        <v>1602</v>
      </c>
      <c r="J437" s="48" t="s">
        <v>1567</v>
      </c>
      <c r="K437" s="48" t="s">
        <v>67</v>
      </c>
      <c r="L437" s="48" t="s">
        <v>67</v>
      </c>
      <c r="M437" s="48"/>
      <c r="N437" s="50" t="s">
        <v>1443</v>
      </c>
      <c r="O437" s="51" t="s">
        <v>1758</v>
      </c>
      <c r="P437" s="52" t="n">
        <v>1</v>
      </c>
      <c r="Q437" s="51"/>
      <c r="R437" s="52" t="s">
        <v>1519</v>
      </c>
      <c r="S437" s="52"/>
      <c r="T437" s="52"/>
      <c r="U437" s="53" t="n">
        <v>165470</v>
      </c>
      <c r="V437" s="54" t="n">
        <v>152232.4</v>
      </c>
      <c r="W437" s="55" t="n">
        <v>0.15</v>
      </c>
      <c r="X437" s="52"/>
      <c r="Y437" s="55" t="n">
        <v>0.05</v>
      </c>
      <c r="Z437" s="56" t="n">
        <v>2910</v>
      </c>
      <c r="AA437" s="55" t="n">
        <v>0.03</v>
      </c>
      <c r="AB437" s="57" t="n">
        <v>190155.852</v>
      </c>
      <c r="AC437" s="44"/>
      <c r="AD437" s="71"/>
      <c r="AE437" s="71" t="n">
        <v>190155.852</v>
      </c>
      <c r="AF437" s="71" t="s">
        <v>53</v>
      </c>
      <c r="AG437" s="71" t="n">
        <v>0</v>
      </c>
      <c r="AH437" s="58" t="s">
        <v>14</v>
      </c>
      <c r="AI437" s="44" t="n">
        <v>0</v>
      </c>
      <c r="AJ437" s="44" t="s">
        <v>67</v>
      </c>
      <c r="AK437" s="44" t="s">
        <v>47</v>
      </c>
      <c r="AL437" s="44" t="s">
        <v>67</v>
      </c>
      <c r="AM437" s="44" t="n">
        <v>0</v>
      </c>
      <c r="AN437" s="44"/>
      <c r="AO437" s="44"/>
      <c r="AP437" s="44"/>
      <c r="AQ437" s="45" t="s">
        <v>148</v>
      </c>
      <c r="AR437" s="44" t="s">
        <v>1282</v>
      </c>
      <c r="AS437" s="44"/>
      <c r="AT437" s="44"/>
      <c r="AU437" s="44"/>
      <c r="AV437" s="44"/>
      <c r="AW437" s="44"/>
      <c r="AX437" s="44"/>
      <c r="AY437" s="44"/>
      <c r="AZ437" s="46"/>
    </row>
    <row r="438" customFormat="false" ht="18" hidden="false" customHeight="true" outlineLevel="0" collapsed="false">
      <c r="A438" s="47" t="n">
        <v>85136</v>
      </c>
      <c r="B438" s="48" t="s">
        <v>152</v>
      </c>
      <c r="C438" s="47" t="n">
        <v>85136</v>
      </c>
      <c r="D438" s="48" t="s">
        <v>153</v>
      </c>
      <c r="E438" s="48" t="s">
        <v>138</v>
      </c>
      <c r="F438" s="48" t="s">
        <v>1762</v>
      </c>
      <c r="G438" s="49" t="s">
        <v>1471</v>
      </c>
      <c r="H438" s="48" t="s">
        <v>14</v>
      </c>
      <c r="I438" s="48" t="s">
        <v>1602</v>
      </c>
      <c r="J438" s="48" t="s">
        <v>1567</v>
      </c>
      <c r="K438" s="48" t="s">
        <v>67</v>
      </c>
      <c r="L438" s="48" t="s">
        <v>67</v>
      </c>
      <c r="M438" s="48"/>
      <c r="N438" s="50" t="s">
        <v>1443</v>
      </c>
      <c r="O438" s="51" t="s">
        <v>1758</v>
      </c>
      <c r="P438" s="52" t="n">
        <v>1</v>
      </c>
      <c r="Q438" s="51"/>
      <c r="R438" s="52" t="s">
        <v>1507</v>
      </c>
      <c r="S438" s="52"/>
      <c r="T438" s="52"/>
      <c r="U438" s="53" t="n">
        <v>151950</v>
      </c>
      <c r="V438" s="54" t="n">
        <v>151950</v>
      </c>
      <c r="W438" s="55" t="n">
        <v>0.12</v>
      </c>
      <c r="X438" s="52" t="n">
        <v>0.055</v>
      </c>
      <c r="Y438" s="55" t="n">
        <v>0.12</v>
      </c>
      <c r="Z438" s="56"/>
      <c r="AA438" s="55" t="n">
        <v>0.04</v>
      </c>
      <c r="AB438" s="57" t="n">
        <v>202853.25</v>
      </c>
      <c r="AC438" s="44"/>
      <c r="AD438" s="71"/>
      <c r="AE438" s="71" t="n">
        <v>202853.25</v>
      </c>
      <c r="AF438" s="71" t="s">
        <v>53</v>
      </c>
      <c r="AG438" s="71" t="n">
        <v>0</v>
      </c>
      <c r="AH438" s="58" t="s">
        <v>14</v>
      </c>
      <c r="AI438" s="44" t="n">
        <v>0</v>
      </c>
      <c r="AJ438" s="44" t="s">
        <v>67</v>
      </c>
      <c r="AK438" s="44" t="s">
        <v>47</v>
      </c>
      <c r="AL438" s="44" t="s">
        <v>67</v>
      </c>
      <c r="AM438" s="44" t="n">
        <v>0</v>
      </c>
      <c r="AN438" s="44"/>
      <c r="AO438" s="44"/>
      <c r="AP438" s="44"/>
      <c r="AQ438" s="45" t="s">
        <v>151</v>
      </c>
      <c r="AR438" s="44" t="s">
        <v>1282</v>
      </c>
      <c r="AS438" s="44"/>
      <c r="AT438" s="44"/>
      <c r="AU438" s="44"/>
      <c r="AV438" s="44"/>
      <c r="AW438" s="44"/>
      <c r="AX438" s="44"/>
      <c r="AY438" s="44"/>
      <c r="AZ438" s="46"/>
    </row>
    <row r="439" customFormat="false" ht="18" hidden="false" customHeight="true" outlineLevel="0" collapsed="false">
      <c r="A439" s="47" t="n">
        <v>4534</v>
      </c>
      <c r="B439" s="48" t="s">
        <v>155</v>
      </c>
      <c r="C439" s="47" t="n">
        <v>4534</v>
      </c>
      <c r="D439" s="48" t="s">
        <v>156</v>
      </c>
      <c r="E439" s="48" t="s">
        <v>1763</v>
      </c>
      <c r="F439" s="48" t="s">
        <v>1762</v>
      </c>
      <c r="G439" s="49" t="s">
        <v>1471</v>
      </c>
      <c r="H439" s="48" t="s">
        <v>14</v>
      </c>
      <c r="I439" s="48" t="s">
        <v>1602</v>
      </c>
      <c r="J439" s="48" t="s">
        <v>1567</v>
      </c>
      <c r="K439" s="48" t="s">
        <v>67</v>
      </c>
      <c r="L439" s="48" t="s">
        <v>67</v>
      </c>
      <c r="M439" s="48"/>
      <c r="N439" s="50" t="s">
        <v>1443</v>
      </c>
      <c r="O439" s="51" t="s">
        <v>1758</v>
      </c>
      <c r="P439" s="52" t="n">
        <v>1</v>
      </c>
      <c r="Q439" s="51"/>
      <c r="R439" s="52" t="s">
        <v>1519</v>
      </c>
      <c r="S439" s="52"/>
      <c r="T439" s="52"/>
      <c r="U439" s="53" t="n">
        <v>124740</v>
      </c>
      <c r="V439" s="54" t="n">
        <v>124740</v>
      </c>
      <c r="W439" s="55" t="n">
        <v>0.1</v>
      </c>
      <c r="X439" s="52" t="n">
        <v>0.055</v>
      </c>
      <c r="Y439" s="55" t="n">
        <v>0.12</v>
      </c>
      <c r="Z439" s="56"/>
      <c r="AA439" s="55" t="n">
        <v>0.04</v>
      </c>
      <c r="AB439" s="57" t="n">
        <v>164033.1</v>
      </c>
      <c r="AC439" s="44"/>
      <c r="AD439" s="71"/>
      <c r="AE439" s="71" t="n">
        <v>164033.1</v>
      </c>
      <c r="AF439" s="71" t="s">
        <v>53</v>
      </c>
      <c r="AG439" s="71" t="n">
        <v>0</v>
      </c>
      <c r="AH439" s="58" t="s">
        <v>14</v>
      </c>
      <c r="AI439" s="44" t="n">
        <v>0</v>
      </c>
      <c r="AJ439" s="44" t="s">
        <v>67</v>
      </c>
      <c r="AK439" s="44" t="s">
        <v>47</v>
      </c>
      <c r="AL439" s="44" t="s">
        <v>67</v>
      </c>
      <c r="AM439" s="44" t="n">
        <v>0</v>
      </c>
      <c r="AN439" s="44"/>
      <c r="AO439" s="44"/>
      <c r="AP439" s="44"/>
      <c r="AQ439" s="45" t="s">
        <v>154</v>
      </c>
      <c r="AR439" s="44" t="s">
        <v>1282</v>
      </c>
      <c r="AS439" s="44"/>
      <c r="AT439" s="44"/>
      <c r="AU439" s="44"/>
      <c r="AV439" s="44"/>
      <c r="AW439" s="44"/>
      <c r="AX439" s="44"/>
      <c r="AY439" s="44"/>
      <c r="AZ439" s="46"/>
    </row>
    <row r="440" customFormat="false" ht="18" hidden="false" customHeight="true" outlineLevel="0" collapsed="false">
      <c r="A440" s="47" t="n">
        <v>90097</v>
      </c>
      <c r="B440" s="48" t="s">
        <v>158</v>
      </c>
      <c r="C440" s="47" t="n">
        <v>90097</v>
      </c>
      <c r="D440" s="48" t="s">
        <v>159</v>
      </c>
      <c r="E440" s="48" t="s">
        <v>1763</v>
      </c>
      <c r="F440" s="48" t="s">
        <v>1762</v>
      </c>
      <c r="G440" s="49" t="s">
        <v>1471</v>
      </c>
      <c r="H440" s="48" t="s">
        <v>14</v>
      </c>
      <c r="I440" s="48" t="s">
        <v>1602</v>
      </c>
      <c r="J440" s="48" t="s">
        <v>1567</v>
      </c>
      <c r="K440" s="48" t="s">
        <v>67</v>
      </c>
      <c r="L440" s="48" t="s">
        <v>67</v>
      </c>
      <c r="M440" s="48"/>
      <c r="N440" s="50" t="s">
        <v>1443</v>
      </c>
      <c r="O440" s="51" t="s">
        <v>1758</v>
      </c>
      <c r="P440" s="52" t="n">
        <v>1</v>
      </c>
      <c r="Q440" s="51"/>
      <c r="R440" s="52" t="s">
        <v>1519</v>
      </c>
      <c r="S440" s="52"/>
      <c r="T440" s="52"/>
      <c r="U440" s="53" t="n">
        <v>160460</v>
      </c>
      <c r="V440" s="54" t="n">
        <v>160460</v>
      </c>
      <c r="W440" s="55" t="n">
        <v>0.12</v>
      </c>
      <c r="X440" s="52" t="n">
        <v>0.055</v>
      </c>
      <c r="Y440" s="55" t="n">
        <v>0.12</v>
      </c>
      <c r="Z440" s="56"/>
      <c r="AA440" s="55" t="n">
        <v>0.04</v>
      </c>
      <c r="AB440" s="57" t="n">
        <v>214214.1</v>
      </c>
      <c r="AC440" s="44"/>
      <c r="AD440" s="71"/>
      <c r="AE440" s="71" t="n">
        <v>214214.1</v>
      </c>
      <c r="AF440" s="71" t="s">
        <v>53</v>
      </c>
      <c r="AG440" s="71" t="n">
        <v>0</v>
      </c>
      <c r="AH440" s="58" t="s">
        <v>14</v>
      </c>
      <c r="AI440" s="44" t="n">
        <v>0</v>
      </c>
      <c r="AJ440" s="44" t="s">
        <v>67</v>
      </c>
      <c r="AK440" s="44" t="s">
        <v>47</v>
      </c>
      <c r="AL440" s="44" t="s">
        <v>67</v>
      </c>
      <c r="AM440" s="44" t="n">
        <v>0</v>
      </c>
      <c r="AN440" s="44"/>
      <c r="AO440" s="44"/>
      <c r="AP440" s="44"/>
      <c r="AQ440" s="45" t="s">
        <v>157</v>
      </c>
      <c r="AR440" s="44" t="s">
        <v>1282</v>
      </c>
      <c r="AS440" s="44"/>
      <c r="AT440" s="44"/>
      <c r="AU440" s="44"/>
      <c r="AV440" s="44"/>
      <c r="AW440" s="44"/>
      <c r="AX440" s="44"/>
      <c r="AY440" s="44"/>
      <c r="AZ440" s="46"/>
    </row>
    <row r="441" customFormat="false" ht="18" hidden="false" customHeight="true" outlineLevel="0" collapsed="false">
      <c r="A441" s="47" t="n">
        <v>92699</v>
      </c>
      <c r="B441" s="48" t="s">
        <v>745</v>
      </c>
      <c r="C441" s="47" t="n">
        <v>92699</v>
      </c>
      <c r="D441" s="48" t="s">
        <v>746</v>
      </c>
      <c r="E441" s="48" t="s">
        <v>752</v>
      </c>
      <c r="F441" s="48" t="s">
        <v>1764</v>
      </c>
      <c r="G441" s="49" t="s">
        <v>1461</v>
      </c>
      <c r="H441" s="48" t="s">
        <v>1161</v>
      </c>
      <c r="I441" s="48" t="s">
        <v>1462</v>
      </c>
      <c r="J441" s="48" t="s">
        <v>24</v>
      </c>
      <c r="K441" s="48" t="s">
        <v>1161</v>
      </c>
      <c r="L441" s="48" t="s">
        <v>1765</v>
      </c>
      <c r="M441" s="48"/>
      <c r="N441" s="50" t="s">
        <v>1443</v>
      </c>
      <c r="O441" s="51" t="s">
        <v>1758</v>
      </c>
      <c r="P441" s="52" t="n">
        <v>1</v>
      </c>
      <c r="Q441" s="51"/>
      <c r="R441" s="52" t="s">
        <v>1519</v>
      </c>
      <c r="S441" s="52"/>
      <c r="T441" s="52"/>
      <c r="U441" s="53" t="n">
        <v>123906</v>
      </c>
      <c r="V441" s="54" t="n">
        <v>123906</v>
      </c>
      <c r="W441" s="55" t="n">
        <v>0.1</v>
      </c>
      <c r="X441" s="52" t="n">
        <v>0.055</v>
      </c>
      <c r="Y441" s="55" t="n">
        <v>0.12</v>
      </c>
      <c r="Z441" s="56"/>
      <c r="AA441" s="55" t="n">
        <v>0.04</v>
      </c>
      <c r="AB441" s="57" t="n">
        <v>162936.39</v>
      </c>
      <c r="AC441" s="44"/>
      <c r="AD441" s="71"/>
      <c r="AE441" s="71" t="n">
        <v>162936.39</v>
      </c>
      <c r="AF441" s="71" t="s">
        <v>53</v>
      </c>
      <c r="AG441" s="71" t="n">
        <v>0</v>
      </c>
      <c r="AH441" s="58" t="s">
        <v>24</v>
      </c>
      <c r="AI441" s="44" t="n">
        <v>0</v>
      </c>
      <c r="AJ441" s="44" t="s">
        <v>690</v>
      </c>
      <c r="AK441" s="44" t="s">
        <v>47</v>
      </c>
      <c r="AL441" s="44" t="s">
        <v>690</v>
      </c>
      <c r="AM441" s="44" t="n">
        <v>0</v>
      </c>
      <c r="AN441" s="44"/>
      <c r="AO441" s="44"/>
      <c r="AP441" s="44"/>
      <c r="AQ441" s="45" t="s">
        <v>744</v>
      </c>
      <c r="AR441" s="44" t="s">
        <v>1282</v>
      </c>
      <c r="AS441" s="44"/>
      <c r="AT441" s="44"/>
      <c r="AU441" s="44"/>
      <c r="AV441" s="44"/>
      <c r="AW441" s="44"/>
      <c r="AX441" s="44"/>
      <c r="AY441" s="44"/>
      <c r="AZ441" s="46"/>
    </row>
    <row r="442" customFormat="false" ht="18" hidden="false" customHeight="true" outlineLevel="0" collapsed="false">
      <c r="A442" s="47" t="n">
        <v>92697</v>
      </c>
      <c r="B442" s="48" t="s">
        <v>748</v>
      </c>
      <c r="C442" s="47" t="n">
        <v>92697</v>
      </c>
      <c r="D442" s="48" t="s">
        <v>746</v>
      </c>
      <c r="E442" s="48" t="s">
        <v>752</v>
      </c>
      <c r="F442" s="48" t="s">
        <v>1764</v>
      </c>
      <c r="G442" s="49" t="s">
        <v>1461</v>
      </c>
      <c r="H442" s="48" t="s">
        <v>1161</v>
      </c>
      <c r="I442" s="48" t="s">
        <v>1462</v>
      </c>
      <c r="J442" s="48" t="s">
        <v>24</v>
      </c>
      <c r="K442" s="48" t="s">
        <v>1161</v>
      </c>
      <c r="L442" s="48" t="s">
        <v>1765</v>
      </c>
      <c r="M442" s="48"/>
      <c r="N442" s="50" t="s">
        <v>1443</v>
      </c>
      <c r="O442" s="51" t="s">
        <v>1758</v>
      </c>
      <c r="P442" s="52" t="n">
        <v>1</v>
      </c>
      <c r="Q442" s="51"/>
      <c r="R442" s="52" t="s">
        <v>1519</v>
      </c>
      <c r="S442" s="52"/>
      <c r="T442" s="52"/>
      <c r="U442" s="53" t="n">
        <v>116880</v>
      </c>
      <c r="V442" s="54" t="n">
        <v>116880</v>
      </c>
      <c r="W442" s="55" t="n">
        <v>0.1</v>
      </c>
      <c r="X442" s="52" t="n">
        <v>0.055</v>
      </c>
      <c r="Y442" s="55" t="n">
        <v>0.12</v>
      </c>
      <c r="Z442" s="56"/>
      <c r="AA442" s="55" t="n">
        <v>0.04</v>
      </c>
      <c r="AB442" s="57" t="n">
        <v>153697.2</v>
      </c>
      <c r="AC442" s="44"/>
      <c r="AD442" s="71"/>
      <c r="AE442" s="71" t="n">
        <v>153697.2</v>
      </c>
      <c r="AF442" s="71" t="s">
        <v>53</v>
      </c>
      <c r="AG442" s="71" t="n">
        <v>0</v>
      </c>
      <c r="AH442" s="58" t="s">
        <v>24</v>
      </c>
      <c r="AI442" s="44" t="n">
        <v>0</v>
      </c>
      <c r="AJ442" s="44" t="s">
        <v>690</v>
      </c>
      <c r="AK442" s="44" t="s">
        <v>47</v>
      </c>
      <c r="AL442" s="44" t="s">
        <v>690</v>
      </c>
      <c r="AM442" s="44" t="n">
        <v>0</v>
      </c>
      <c r="AN442" s="44"/>
      <c r="AO442" s="44"/>
      <c r="AP442" s="44"/>
      <c r="AQ442" s="45" t="s">
        <v>747</v>
      </c>
      <c r="AR442" s="44" t="s">
        <v>1282</v>
      </c>
      <c r="AS442" s="44"/>
      <c r="AT442" s="44"/>
      <c r="AU442" s="44"/>
      <c r="AV442" s="44"/>
      <c r="AW442" s="44"/>
      <c r="AX442" s="44"/>
      <c r="AY442" s="44"/>
      <c r="AZ442" s="46"/>
    </row>
    <row r="443" customFormat="false" ht="18" hidden="false" customHeight="true" outlineLevel="0" collapsed="false">
      <c r="A443" s="47" t="n">
        <v>109362</v>
      </c>
      <c r="B443" s="48" t="s">
        <v>750</v>
      </c>
      <c r="C443" s="47" t="n">
        <v>109362</v>
      </c>
      <c r="D443" s="48" t="s">
        <v>746</v>
      </c>
      <c r="E443" s="48" t="s">
        <v>752</v>
      </c>
      <c r="F443" s="48" t="s">
        <v>1764</v>
      </c>
      <c r="G443" s="49" t="s">
        <v>1461</v>
      </c>
      <c r="H443" s="48" t="s">
        <v>1161</v>
      </c>
      <c r="I443" s="48" t="s">
        <v>1462</v>
      </c>
      <c r="J443" s="48" t="s">
        <v>24</v>
      </c>
      <c r="K443" s="48" t="s">
        <v>1161</v>
      </c>
      <c r="L443" s="48" t="s">
        <v>1765</v>
      </c>
      <c r="M443" s="48"/>
      <c r="N443" s="50" t="s">
        <v>1443</v>
      </c>
      <c r="O443" s="51" t="s">
        <v>1758</v>
      </c>
      <c r="P443" s="52" t="n">
        <v>1</v>
      </c>
      <c r="Q443" s="51"/>
      <c r="R443" s="52" t="s">
        <v>1519</v>
      </c>
      <c r="S443" s="52"/>
      <c r="T443" s="52"/>
      <c r="U443" s="53" t="n">
        <v>111580</v>
      </c>
      <c r="V443" s="54" t="n">
        <v>111580</v>
      </c>
      <c r="W443" s="55" t="n">
        <v>0.1</v>
      </c>
      <c r="X443" s="52" t="n">
        <v>0.055</v>
      </c>
      <c r="Y443" s="55" t="n">
        <v>0.12</v>
      </c>
      <c r="Z443" s="56"/>
      <c r="AA443" s="55" t="n">
        <v>0.04</v>
      </c>
      <c r="AB443" s="57" t="n">
        <v>146727.7</v>
      </c>
      <c r="AC443" s="44"/>
      <c r="AD443" s="71"/>
      <c r="AE443" s="71" t="n">
        <v>146727.7</v>
      </c>
      <c r="AF443" s="71" t="s">
        <v>53</v>
      </c>
      <c r="AG443" s="71" t="n">
        <v>0</v>
      </c>
      <c r="AH443" s="58" t="s">
        <v>24</v>
      </c>
      <c r="AI443" s="44" t="n">
        <v>0</v>
      </c>
      <c r="AJ443" s="44" t="s">
        <v>690</v>
      </c>
      <c r="AK443" s="44" t="s">
        <v>47</v>
      </c>
      <c r="AL443" s="44" t="s">
        <v>690</v>
      </c>
      <c r="AM443" s="44" t="n">
        <v>0</v>
      </c>
      <c r="AN443" s="44"/>
      <c r="AO443" s="44"/>
      <c r="AP443" s="44"/>
      <c r="AQ443" s="45" t="s">
        <v>749</v>
      </c>
      <c r="AR443" s="44" t="s">
        <v>1282</v>
      </c>
      <c r="AS443" s="44"/>
      <c r="AT443" s="44"/>
      <c r="AU443" s="44"/>
      <c r="AV443" s="44"/>
      <c r="AW443" s="44"/>
      <c r="AX443" s="44"/>
      <c r="AY443" s="44"/>
      <c r="AZ443" s="46"/>
    </row>
    <row r="444" customFormat="false" ht="18" hidden="false" customHeight="true" outlineLevel="0" collapsed="false">
      <c r="A444" s="47" t="n">
        <v>113511</v>
      </c>
      <c r="B444" s="48" t="s">
        <v>654</v>
      </c>
      <c r="C444" s="47" t="n">
        <v>113511</v>
      </c>
      <c r="D444" s="48" t="s">
        <v>655</v>
      </c>
      <c r="E444" s="48" t="s">
        <v>684</v>
      </c>
      <c r="F444" s="48" t="s">
        <v>685</v>
      </c>
      <c r="G444" s="49" t="s">
        <v>1461</v>
      </c>
      <c r="H444" s="48" t="s">
        <v>1562</v>
      </c>
      <c r="I444" s="48" t="s">
        <v>1598</v>
      </c>
      <c r="J444" s="48" t="s">
        <v>1562</v>
      </c>
      <c r="K444" s="48" t="s">
        <v>1152</v>
      </c>
      <c r="L444" s="48" t="s">
        <v>614</v>
      </c>
      <c r="M444" s="48"/>
      <c r="N444" s="50" t="s">
        <v>1284</v>
      </c>
      <c r="O444" s="51" t="s">
        <v>1758</v>
      </c>
      <c r="P444" s="52" t="n">
        <v>1</v>
      </c>
      <c r="Q444" s="52"/>
      <c r="R444" s="52" t="s">
        <v>1519</v>
      </c>
      <c r="S444" s="52"/>
      <c r="T444" s="52"/>
      <c r="U444" s="53" t="n">
        <v>133080</v>
      </c>
      <c r="V444" s="54" t="n">
        <v>122433.6</v>
      </c>
      <c r="W444" s="55" t="n">
        <v>0.15</v>
      </c>
      <c r="X444" s="52"/>
      <c r="Y444" s="55" t="n">
        <v>0.05</v>
      </c>
      <c r="Z444" s="56" t="n">
        <v>2910</v>
      </c>
      <c r="AA444" s="55" t="n">
        <v>0.03</v>
      </c>
      <c r="AB444" s="57" t="n">
        <v>153503.328</v>
      </c>
      <c r="AC444" s="44"/>
      <c r="AD444" s="71"/>
      <c r="AE444" s="71" t="n">
        <v>153503.328</v>
      </c>
      <c r="AF444" s="71" t="s">
        <v>53</v>
      </c>
      <c r="AG444" s="71" t="n">
        <v>0</v>
      </c>
      <c r="AH444" s="58" t="s">
        <v>22</v>
      </c>
      <c r="AI444" s="44" t="n">
        <v>0</v>
      </c>
      <c r="AJ444" s="44" t="s">
        <v>614</v>
      </c>
      <c r="AK444" s="44" t="s">
        <v>47</v>
      </c>
      <c r="AL444" s="44" t="s">
        <v>614</v>
      </c>
      <c r="AM444" s="44" t="n">
        <v>0</v>
      </c>
      <c r="AN444" s="44"/>
      <c r="AO444" s="44"/>
      <c r="AP444" s="44"/>
      <c r="AQ444" s="45" t="s">
        <v>653</v>
      </c>
      <c r="AR444" s="44" t="s">
        <v>1284</v>
      </c>
      <c r="AS444" s="44"/>
      <c r="AT444" s="44"/>
      <c r="AU444" s="44"/>
      <c r="AV444" s="44"/>
      <c r="AW444" s="44"/>
      <c r="AX444" s="44"/>
      <c r="AY444" s="44"/>
      <c r="AZ444" s="46"/>
    </row>
    <row r="445" customFormat="false" ht="18" hidden="false" customHeight="true" outlineLevel="0" collapsed="false">
      <c r="A445" s="47" t="n">
        <v>102576</v>
      </c>
      <c r="B445" s="48" t="s">
        <v>752</v>
      </c>
      <c r="C445" s="47" t="n">
        <v>102576</v>
      </c>
      <c r="D445" s="48" t="s">
        <v>753</v>
      </c>
      <c r="E445" s="48" t="s">
        <v>730</v>
      </c>
      <c r="F445" s="48" t="s">
        <v>1460</v>
      </c>
      <c r="G445" s="49" t="s">
        <v>1461</v>
      </c>
      <c r="H445" s="48" t="s">
        <v>1161</v>
      </c>
      <c r="I445" s="48" t="s">
        <v>1462</v>
      </c>
      <c r="J445" s="48" t="s">
        <v>24</v>
      </c>
      <c r="K445" s="48" t="s">
        <v>1161</v>
      </c>
      <c r="L445" s="48" t="s">
        <v>1765</v>
      </c>
      <c r="M445" s="48"/>
      <c r="N445" s="50" t="s">
        <v>1443</v>
      </c>
      <c r="O445" s="51" t="s">
        <v>1758</v>
      </c>
      <c r="P445" s="52" t="n">
        <v>1</v>
      </c>
      <c r="Q445" s="52"/>
      <c r="R445" s="52" t="s">
        <v>1519</v>
      </c>
      <c r="S445" s="52"/>
      <c r="T445" s="52"/>
      <c r="U445" s="53" t="n">
        <v>130260</v>
      </c>
      <c r="V445" s="54" t="n">
        <v>130260</v>
      </c>
      <c r="W445" s="55" t="n">
        <v>0.1</v>
      </c>
      <c r="X445" s="52" t="n">
        <v>0.055</v>
      </c>
      <c r="Y445" s="55" t="n">
        <v>0.12</v>
      </c>
      <c r="Z445" s="56"/>
      <c r="AA445" s="55" t="n">
        <v>0.04</v>
      </c>
      <c r="AB445" s="57" t="n">
        <v>171291.9</v>
      </c>
      <c r="AC445" s="44"/>
      <c r="AD445" s="71"/>
      <c r="AE445" s="71" t="n">
        <v>171291.9</v>
      </c>
      <c r="AF445" s="71" t="s">
        <v>53</v>
      </c>
      <c r="AG445" s="71" t="n">
        <v>0</v>
      </c>
      <c r="AH445" s="58" t="s">
        <v>24</v>
      </c>
      <c r="AI445" s="44" t="n">
        <v>0</v>
      </c>
      <c r="AJ445" s="44" t="s">
        <v>690</v>
      </c>
      <c r="AK445" s="44" t="s">
        <v>47</v>
      </c>
      <c r="AL445" s="44" t="s">
        <v>690</v>
      </c>
      <c r="AM445" s="44" t="n">
        <v>0</v>
      </c>
      <c r="AN445" s="44"/>
      <c r="AO445" s="44"/>
      <c r="AP445" s="44"/>
      <c r="AQ445" s="45" t="s">
        <v>751</v>
      </c>
      <c r="AR445" s="44" t="s">
        <v>1282</v>
      </c>
      <c r="AS445" s="44"/>
      <c r="AT445" s="44"/>
      <c r="AU445" s="44"/>
      <c r="AV445" s="44"/>
      <c r="AW445" s="44"/>
      <c r="AX445" s="44"/>
      <c r="AY445" s="44"/>
      <c r="AZ445" s="46"/>
    </row>
    <row r="446" customFormat="false" ht="18" hidden="false" customHeight="true" outlineLevel="0" collapsed="false">
      <c r="A446" s="47" t="n">
        <v>110040</v>
      </c>
      <c r="B446" s="48" t="s">
        <v>742</v>
      </c>
      <c r="C446" s="47" t="n">
        <v>110040</v>
      </c>
      <c r="D446" s="48" t="s">
        <v>526</v>
      </c>
      <c r="E446" s="48" t="s">
        <v>730</v>
      </c>
      <c r="F446" s="48" t="s">
        <v>1460</v>
      </c>
      <c r="G446" s="49" t="s">
        <v>1461</v>
      </c>
      <c r="H446" s="48" t="s">
        <v>1161</v>
      </c>
      <c r="I446" s="48" t="s">
        <v>1462</v>
      </c>
      <c r="J446" s="48" t="s">
        <v>24</v>
      </c>
      <c r="K446" s="48" t="s">
        <v>1155</v>
      </c>
      <c r="L446" s="48" t="s">
        <v>696</v>
      </c>
      <c r="M446" s="48"/>
      <c r="N446" s="50" t="s">
        <v>1443</v>
      </c>
      <c r="O446" s="51" t="s">
        <v>1758</v>
      </c>
      <c r="P446" s="52" t="n">
        <v>1</v>
      </c>
      <c r="Q446" s="52"/>
      <c r="R446" s="52" t="s">
        <v>1519</v>
      </c>
      <c r="S446" s="52"/>
      <c r="T446" s="52"/>
      <c r="U446" s="53" t="n">
        <v>110000</v>
      </c>
      <c r="V446" s="54" t="n">
        <v>110000</v>
      </c>
      <c r="W446" s="55" t="n">
        <v>0.1</v>
      </c>
      <c r="X446" s="52" t="n">
        <v>0.055</v>
      </c>
      <c r="Y446" s="55" t="n">
        <v>0.12</v>
      </c>
      <c r="Z446" s="56"/>
      <c r="AA446" s="55" t="n">
        <v>0.04</v>
      </c>
      <c r="AB446" s="57" t="n">
        <v>144650</v>
      </c>
      <c r="AC446" s="44"/>
      <c r="AD446" s="71"/>
      <c r="AE446" s="71" t="n">
        <v>144650</v>
      </c>
      <c r="AF446" s="71" t="s">
        <v>53</v>
      </c>
      <c r="AG446" s="71" t="n">
        <v>0</v>
      </c>
      <c r="AH446" s="58" t="s">
        <v>24</v>
      </c>
      <c r="AI446" s="44" t="n">
        <v>0</v>
      </c>
      <c r="AJ446" s="44" t="s">
        <v>696</v>
      </c>
      <c r="AK446" s="44" t="s">
        <v>47</v>
      </c>
      <c r="AL446" s="44" t="s">
        <v>696</v>
      </c>
      <c r="AM446" s="44" t="n">
        <v>0</v>
      </c>
      <c r="AN446" s="44"/>
      <c r="AO446" s="44"/>
      <c r="AP446" s="44"/>
      <c r="AQ446" s="45" t="s">
        <v>741</v>
      </c>
      <c r="AR446" s="44" t="s">
        <v>1282</v>
      </c>
      <c r="AS446" s="44"/>
      <c r="AT446" s="44"/>
      <c r="AU446" s="44"/>
      <c r="AV446" s="44"/>
      <c r="AW446" s="44"/>
      <c r="AX446" s="44"/>
      <c r="AY446" s="44"/>
      <c r="AZ446" s="46"/>
    </row>
    <row r="447" customFormat="false" ht="18" hidden="false" customHeight="true" outlineLevel="0" collapsed="false">
      <c r="A447" s="47" t="s">
        <v>1507</v>
      </c>
      <c r="B447" s="48" t="s">
        <v>69</v>
      </c>
      <c r="C447" s="47" t="s">
        <v>1507</v>
      </c>
      <c r="D447" s="48" t="s">
        <v>80</v>
      </c>
      <c r="E447" s="48" t="s">
        <v>730</v>
      </c>
      <c r="F447" s="48" t="s">
        <v>1460</v>
      </c>
      <c r="G447" s="49" t="s">
        <v>1461</v>
      </c>
      <c r="H447" s="48" t="s">
        <v>1161</v>
      </c>
      <c r="I447" s="48" t="s">
        <v>1462</v>
      </c>
      <c r="J447" s="48" t="s">
        <v>24</v>
      </c>
      <c r="K447" s="48" t="s">
        <v>1155</v>
      </c>
      <c r="L447" s="48" t="s">
        <v>696</v>
      </c>
      <c r="M447" s="48"/>
      <c r="N447" s="50" t="s">
        <v>1443</v>
      </c>
      <c r="O447" s="51" t="s">
        <v>1758</v>
      </c>
      <c r="P447" s="52" t="n">
        <v>1</v>
      </c>
      <c r="Q447" s="51"/>
      <c r="R447" s="52" t="s">
        <v>1513</v>
      </c>
      <c r="S447" s="52"/>
      <c r="T447" s="52"/>
      <c r="U447" s="53" t="n">
        <v>129650</v>
      </c>
      <c r="V447" s="54" t="n">
        <v>129650</v>
      </c>
      <c r="W447" s="55" t="n">
        <v>0.1</v>
      </c>
      <c r="X447" s="52" t="n">
        <v>0.055</v>
      </c>
      <c r="Y447" s="55" t="n">
        <v>0.12</v>
      </c>
      <c r="Z447" s="56"/>
      <c r="AA447" s="55" t="n">
        <v>0.04</v>
      </c>
      <c r="AB447" s="57" t="n">
        <v>170489.75</v>
      </c>
      <c r="AC447" s="44"/>
      <c r="AD447" s="71"/>
      <c r="AE447" s="71" t="n">
        <v>170489.75</v>
      </c>
      <c r="AF447" s="71" t="s">
        <v>69</v>
      </c>
      <c r="AG447" s="71" t="n">
        <v>0</v>
      </c>
      <c r="AH447" s="58" t="s">
        <v>24</v>
      </c>
      <c r="AI447" s="44" t="n">
        <v>0</v>
      </c>
      <c r="AJ447" s="44" t="s">
        <v>696</v>
      </c>
      <c r="AK447" s="44" t="s">
        <v>47</v>
      </c>
      <c r="AL447" s="44" t="s">
        <v>696</v>
      </c>
      <c r="AM447" s="44" t="n">
        <v>0</v>
      </c>
      <c r="AN447" s="44"/>
      <c r="AO447" s="44"/>
      <c r="AP447" s="44"/>
      <c r="AQ447" s="45" t="s">
        <v>743</v>
      </c>
      <c r="AR447" s="44" t="s">
        <v>1282</v>
      </c>
      <c r="AS447" s="44"/>
      <c r="AT447" s="44"/>
      <c r="AU447" s="44"/>
      <c r="AV447" s="44"/>
      <c r="AW447" s="44"/>
      <c r="AX447" s="44"/>
      <c r="AY447" s="44"/>
      <c r="AZ447" s="46"/>
    </row>
    <row r="448" customFormat="false" ht="18" hidden="false" customHeight="true" outlineLevel="0" collapsed="false">
      <c r="A448" s="47" t="n">
        <v>116241</v>
      </c>
      <c r="B448" s="48" t="s">
        <v>1074</v>
      </c>
      <c r="C448" s="47" t="n">
        <v>116241</v>
      </c>
      <c r="D448" s="48" t="s">
        <v>1072</v>
      </c>
      <c r="E448" s="48" t="s">
        <v>1068</v>
      </c>
      <c r="F448" s="48" t="s">
        <v>1766</v>
      </c>
      <c r="G448" s="49" t="s">
        <v>1527</v>
      </c>
      <c r="H448" s="48" t="s">
        <v>1338</v>
      </c>
      <c r="I448" s="48" t="s">
        <v>1159</v>
      </c>
      <c r="J448" s="48" t="s">
        <v>1159</v>
      </c>
      <c r="K448" s="48" t="s">
        <v>1159</v>
      </c>
      <c r="L448" s="48" t="s">
        <v>1159</v>
      </c>
      <c r="M448" s="48"/>
      <c r="N448" s="50" t="s">
        <v>1443</v>
      </c>
      <c r="O448" s="51" t="s">
        <v>1758</v>
      </c>
      <c r="P448" s="52" t="n">
        <v>1</v>
      </c>
      <c r="Q448" s="51"/>
      <c r="R448" s="52" t="s">
        <v>1519</v>
      </c>
      <c r="S448" s="52"/>
      <c r="T448" s="52"/>
      <c r="U448" s="53" t="n">
        <v>145000</v>
      </c>
      <c r="V448" s="54" t="n">
        <v>145000</v>
      </c>
      <c r="W448" s="55" t="n">
        <v>0.1</v>
      </c>
      <c r="X448" s="52" t="n">
        <v>0.055</v>
      </c>
      <c r="Y448" s="55" t="n">
        <v>0.12</v>
      </c>
      <c r="Z448" s="56"/>
      <c r="AA448" s="55" t="n">
        <v>0.04</v>
      </c>
      <c r="AB448" s="57" t="n">
        <v>190675</v>
      </c>
      <c r="AC448" s="44"/>
      <c r="AD448" s="71"/>
      <c r="AE448" s="71" t="n">
        <v>190675</v>
      </c>
      <c r="AF448" s="71" t="s">
        <v>53</v>
      </c>
      <c r="AG448" s="71" t="n">
        <v>0</v>
      </c>
      <c r="AH448" s="58" t="s">
        <v>25</v>
      </c>
      <c r="AI448" s="44" t="n">
        <v>0</v>
      </c>
      <c r="AJ448" s="44" t="s">
        <v>1066</v>
      </c>
      <c r="AK448" s="44" t="s">
        <v>47</v>
      </c>
      <c r="AL448" s="44" t="s">
        <v>1066</v>
      </c>
      <c r="AM448" s="44" t="n">
        <v>0</v>
      </c>
      <c r="AN448" s="44"/>
      <c r="AO448" s="44"/>
      <c r="AP448" s="44"/>
      <c r="AQ448" s="45" t="s">
        <v>1073</v>
      </c>
      <c r="AR448" s="44" t="s">
        <v>1282</v>
      </c>
      <c r="AS448" s="44"/>
      <c r="AT448" s="44"/>
      <c r="AU448" s="44"/>
      <c r="AV448" s="44"/>
      <c r="AW448" s="44"/>
      <c r="AX448" s="44"/>
      <c r="AY448" s="44"/>
      <c r="AZ448" s="46"/>
    </row>
    <row r="449" customFormat="false" ht="18" hidden="false" customHeight="true" outlineLevel="0" collapsed="false">
      <c r="A449" s="47" t="n">
        <v>86962</v>
      </c>
      <c r="B449" s="48" t="s">
        <v>1076</v>
      </c>
      <c r="C449" s="47" t="n">
        <v>86962</v>
      </c>
      <c r="D449" s="48" t="s">
        <v>1072</v>
      </c>
      <c r="E449" s="48" t="s">
        <v>1068</v>
      </c>
      <c r="F449" s="48" t="s">
        <v>1668</v>
      </c>
      <c r="G449" s="49" t="s">
        <v>1527</v>
      </c>
      <c r="H449" s="48" t="s">
        <v>1338</v>
      </c>
      <c r="I449" s="48" t="s">
        <v>1767</v>
      </c>
      <c r="J449" s="48" t="s">
        <v>1159</v>
      </c>
      <c r="K449" s="48" t="s">
        <v>1159</v>
      </c>
      <c r="L449" s="48" t="s">
        <v>1159</v>
      </c>
      <c r="M449" s="48"/>
      <c r="N449" s="50" t="s">
        <v>1443</v>
      </c>
      <c r="O449" s="51" t="s">
        <v>1758</v>
      </c>
      <c r="P449" s="52" t="n">
        <v>1</v>
      </c>
      <c r="Q449" s="52"/>
      <c r="R449" s="52" t="s">
        <v>1519</v>
      </c>
      <c r="S449" s="52"/>
      <c r="T449" s="52"/>
      <c r="U449" s="53" t="n">
        <v>131660</v>
      </c>
      <c r="V449" s="54" t="n">
        <v>131660</v>
      </c>
      <c r="W449" s="55" t="n">
        <v>0.1</v>
      </c>
      <c r="X449" s="52" t="n">
        <v>0.055</v>
      </c>
      <c r="Y449" s="55" t="n">
        <v>0.12</v>
      </c>
      <c r="Z449" s="56"/>
      <c r="AA449" s="55" t="n">
        <v>0.04</v>
      </c>
      <c r="AB449" s="57" t="n">
        <v>173132.9</v>
      </c>
      <c r="AC449" s="44"/>
      <c r="AD449" s="71"/>
      <c r="AE449" s="71" t="n">
        <v>173132.9</v>
      </c>
      <c r="AF449" s="71" t="s">
        <v>53</v>
      </c>
      <c r="AG449" s="71" t="n">
        <v>0</v>
      </c>
      <c r="AH449" s="58" t="s">
        <v>25</v>
      </c>
      <c r="AI449" s="44" t="n">
        <v>0</v>
      </c>
      <c r="AJ449" s="44" t="s">
        <v>1066</v>
      </c>
      <c r="AK449" s="44" t="s">
        <v>47</v>
      </c>
      <c r="AL449" s="44" t="s">
        <v>1066</v>
      </c>
      <c r="AM449" s="44" t="n">
        <v>0</v>
      </c>
      <c r="AN449" s="44"/>
      <c r="AO449" s="44"/>
      <c r="AP449" s="44"/>
      <c r="AQ449" s="45" t="s">
        <v>1075</v>
      </c>
      <c r="AR449" s="44" t="s">
        <v>1282</v>
      </c>
      <c r="AS449" s="44"/>
      <c r="AT449" s="44"/>
      <c r="AU449" s="44"/>
      <c r="AV449" s="44"/>
      <c r="AW449" s="44"/>
      <c r="AX449" s="44"/>
      <c r="AY449" s="44"/>
      <c r="AZ449" s="46"/>
    </row>
    <row r="450" customFormat="false" ht="18" hidden="false" customHeight="true" outlineLevel="0" collapsed="false">
      <c r="A450" s="47" t="n">
        <v>113540</v>
      </c>
      <c r="B450" s="48" t="s">
        <v>881</v>
      </c>
      <c r="C450" s="47" t="n">
        <v>113540</v>
      </c>
      <c r="D450" s="48" t="s">
        <v>882</v>
      </c>
      <c r="E450" s="48" t="s">
        <v>861</v>
      </c>
      <c r="F450" s="48" t="s">
        <v>862</v>
      </c>
      <c r="G450" s="49" t="s">
        <v>30</v>
      </c>
      <c r="H450" s="48" t="s">
        <v>1619</v>
      </c>
      <c r="I450" s="48" t="s">
        <v>1691</v>
      </c>
      <c r="J450" s="48" t="s">
        <v>1149</v>
      </c>
      <c r="K450" s="48" t="s">
        <v>1149</v>
      </c>
      <c r="L450" s="48" t="s">
        <v>846</v>
      </c>
      <c r="M450" s="48"/>
      <c r="N450" s="50" t="s">
        <v>1284</v>
      </c>
      <c r="O450" s="51" t="s">
        <v>1758</v>
      </c>
      <c r="P450" s="52" t="n">
        <v>1</v>
      </c>
      <c r="Q450" s="52"/>
      <c r="R450" s="52" t="s">
        <v>1519</v>
      </c>
      <c r="S450" s="52"/>
      <c r="T450" s="52"/>
      <c r="U450" s="53" t="n">
        <v>115679</v>
      </c>
      <c r="V450" s="54" t="n">
        <v>106424.68</v>
      </c>
      <c r="W450" s="55" t="n">
        <v>0.15</v>
      </c>
      <c r="X450" s="52"/>
      <c r="Y450" s="55" t="n">
        <v>0.05</v>
      </c>
      <c r="Z450" s="56" t="n">
        <v>2910</v>
      </c>
      <c r="AA450" s="55" t="n">
        <v>0.03</v>
      </c>
      <c r="AB450" s="57" t="n">
        <v>133812.3564</v>
      </c>
      <c r="AC450" s="44"/>
      <c r="AD450" s="71"/>
      <c r="AE450" s="71" t="n">
        <v>133812.3564</v>
      </c>
      <c r="AF450" s="71" t="s">
        <v>53</v>
      </c>
      <c r="AG450" s="71" t="n">
        <v>0</v>
      </c>
      <c r="AH450" s="58" t="s">
        <v>30</v>
      </c>
      <c r="AI450" s="44" t="n">
        <v>0</v>
      </c>
      <c r="AJ450" s="44" t="s">
        <v>846</v>
      </c>
      <c r="AK450" s="44" t="s">
        <v>47</v>
      </c>
      <c r="AL450" s="44" t="s">
        <v>846</v>
      </c>
      <c r="AM450" s="44" t="n">
        <v>0</v>
      </c>
      <c r="AN450" s="44"/>
      <c r="AO450" s="44"/>
      <c r="AP450" s="44"/>
      <c r="AQ450" s="45" t="s">
        <v>880</v>
      </c>
      <c r="AR450" s="44" t="s">
        <v>1284</v>
      </c>
      <c r="AS450" s="44"/>
      <c r="AT450" s="44"/>
      <c r="AU450" s="44"/>
      <c r="AV450" s="44"/>
      <c r="AW450" s="44"/>
      <c r="AX450" s="44"/>
      <c r="AY450" s="44"/>
      <c r="AZ450" s="46"/>
    </row>
    <row r="451" customFormat="false" ht="18" hidden="false" customHeight="true" outlineLevel="0" collapsed="false">
      <c r="A451" s="47" t="n">
        <v>107048</v>
      </c>
      <c r="B451" s="48" t="s">
        <v>998</v>
      </c>
      <c r="C451" s="47" t="n">
        <v>107048</v>
      </c>
      <c r="D451" s="48" t="s">
        <v>996</v>
      </c>
      <c r="E451" s="48" t="s">
        <v>1064</v>
      </c>
      <c r="F451" s="48" t="s">
        <v>1662</v>
      </c>
      <c r="G451" s="49" t="s">
        <v>1531</v>
      </c>
      <c r="H451" s="48" t="s">
        <v>1151</v>
      </c>
      <c r="I451" s="48" t="s">
        <v>974</v>
      </c>
      <c r="J451" s="48" t="s">
        <v>31</v>
      </c>
      <c r="K451" s="48" t="s">
        <v>1151</v>
      </c>
      <c r="L451" s="48" t="s">
        <v>974</v>
      </c>
      <c r="M451" s="48"/>
      <c r="N451" s="50" t="s">
        <v>1443</v>
      </c>
      <c r="O451" s="51" t="s">
        <v>1758</v>
      </c>
      <c r="P451" s="52" t="n">
        <v>1</v>
      </c>
      <c r="Q451" s="52"/>
      <c r="R451" s="52" t="s">
        <v>1641</v>
      </c>
      <c r="S451" s="52"/>
      <c r="T451" s="52"/>
      <c r="U451" s="53" t="n">
        <v>138000</v>
      </c>
      <c r="V451" s="54" t="n">
        <v>138000</v>
      </c>
      <c r="W451" s="55" t="n">
        <v>0.1</v>
      </c>
      <c r="X451" s="52" t="n">
        <v>0.055</v>
      </c>
      <c r="Y451" s="55" t="n">
        <v>0.12</v>
      </c>
      <c r="Z451" s="56"/>
      <c r="AA451" s="55" t="n">
        <v>0.04</v>
      </c>
      <c r="AB451" s="57" t="n">
        <v>181470</v>
      </c>
      <c r="AC451" s="44"/>
      <c r="AD451" s="71"/>
      <c r="AE451" s="71" t="n">
        <v>181470</v>
      </c>
      <c r="AF451" s="71" t="s">
        <v>53</v>
      </c>
      <c r="AG451" s="71" t="n">
        <v>0</v>
      </c>
      <c r="AH451" s="58" t="s">
        <v>31</v>
      </c>
      <c r="AI451" s="44" t="n">
        <v>0</v>
      </c>
      <c r="AJ451" s="44" t="s">
        <v>974</v>
      </c>
      <c r="AK451" s="44" t="s">
        <v>47</v>
      </c>
      <c r="AL451" s="44" t="s">
        <v>974</v>
      </c>
      <c r="AM451" s="44" t="n">
        <v>0</v>
      </c>
      <c r="AN451" s="44"/>
      <c r="AO451" s="44"/>
      <c r="AP451" s="44"/>
      <c r="AQ451" s="45" t="s">
        <v>997</v>
      </c>
      <c r="AR451" s="44" t="s">
        <v>1282</v>
      </c>
      <c r="AS451" s="44"/>
      <c r="AT451" s="44"/>
      <c r="AU451" s="44"/>
      <c r="AV451" s="44"/>
      <c r="AW451" s="44"/>
      <c r="AX451" s="44"/>
      <c r="AY451" s="44"/>
      <c r="AZ451" s="46"/>
    </row>
    <row r="452" customFormat="false" ht="18" hidden="false" customHeight="true" outlineLevel="0" collapsed="false">
      <c r="A452" s="47" t="n">
        <v>101539</v>
      </c>
      <c r="B452" s="48" t="s">
        <v>725</v>
      </c>
      <c r="C452" s="47" t="n">
        <v>101539</v>
      </c>
      <c r="D452" s="48" t="s">
        <v>57</v>
      </c>
      <c r="E452" s="48" t="s">
        <v>765</v>
      </c>
      <c r="F452" s="48" t="s">
        <v>1663</v>
      </c>
      <c r="G452" s="49" t="s">
        <v>1461</v>
      </c>
      <c r="H452" s="48" t="s">
        <v>1161</v>
      </c>
      <c r="I452" s="48" t="s">
        <v>1161</v>
      </c>
      <c r="J452" s="48" t="s">
        <v>24</v>
      </c>
      <c r="K452" s="48" t="s">
        <v>1153</v>
      </c>
      <c r="L452" s="48" t="s">
        <v>699</v>
      </c>
      <c r="M452" s="48"/>
      <c r="N452" s="50" t="s">
        <v>1443</v>
      </c>
      <c r="O452" s="51" t="s">
        <v>1758</v>
      </c>
      <c r="P452" s="52" t="n">
        <v>1</v>
      </c>
      <c r="Q452" s="52"/>
      <c r="R452" s="52" t="s">
        <v>1519</v>
      </c>
      <c r="S452" s="52"/>
      <c r="T452" s="52"/>
      <c r="U452" s="53" t="n">
        <v>127110</v>
      </c>
      <c r="V452" s="54" t="n">
        <v>127110</v>
      </c>
      <c r="W452" s="55" t="n">
        <v>0.1</v>
      </c>
      <c r="X452" s="52" t="n">
        <v>0.055</v>
      </c>
      <c r="Y452" s="55" t="n">
        <v>0.12</v>
      </c>
      <c r="Z452" s="56"/>
      <c r="AA452" s="55" t="n">
        <v>0.04</v>
      </c>
      <c r="AB452" s="57" t="n">
        <v>167149.65</v>
      </c>
      <c r="AC452" s="44"/>
      <c r="AD452" s="71"/>
      <c r="AE452" s="71" t="n">
        <v>167149.65</v>
      </c>
      <c r="AF452" s="71" t="s">
        <v>53</v>
      </c>
      <c r="AG452" s="71" t="n">
        <v>0</v>
      </c>
      <c r="AH452" s="58" t="s">
        <v>24</v>
      </c>
      <c r="AI452" s="44" t="n">
        <v>0</v>
      </c>
      <c r="AJ452" s="44" t="s">
        <v>699</v>
      </c>
      <c r="AK452" s="44" t="s">
        <v>47</v>
      </c>
      <c r="AL452" s="44" t="s">
        <v>699</v>
      </c>
      <c r="AM452" s="44" t="n">
        <v>0</v>
      </c>
      <c r="AN452" s="44"/>
      <c r="AO452" s="44"/>
      <c r="AP452" s="44"/>
      <c r="AQ452" s="45" t="s">
        <v>724</v>
      </c>
      <c r="AR452" s="44" t="s">
        <v>1282</v>
      </c>
      <c r="AS452" s="44"/>
      <c r="AT452" s="44"/>
      <c r="AU452" s="44"/>
      <c r="AV452" s="44"/>
      <c r="AW452" s="44"/>
      <c r="AX452" s="44"/>
      <c r="AY452" s="44"/>
      <c r="AZ452" s="46"/>
    </row>
    <row r="453" customFormat="false" ht="18" hidden="false" customHeight="true" outlineLevel="0" collapsed="false">
      <c r="A453" s="47" t="s">
        <v>1507</v>
      </c>
      <c r="B453" s="48" t="s">
        <v>69</v>
      </c>
      <c r="C453" s="47" t="s">
        <v>1507</v>
      </c>
      <c r="D453" s="48" t="s">
        <v>80</v>
      </c>
      <c r="E453" s="48" t="s">
        <v>765</v>
      </c>
      <c r="F453" s="48" t="s">
        <v>1663</v>
      </c>
      <c r="G453" s="49" t="s">
        <v>1461</v>
      </c>
      <c r="H453" s="48" t="s">
        <v>1161</v>
      </c>
      <c r="I453" s="48" t="s">
        <v>1583</v>
      </c>
      <c r="J453" s="48" t="s">
        <v>24</v>
      </c>
      <c r="K453" s="48" t="s">
        <v>1153</v>
      </c>
      <c r="L453" s="48" t="s">
        <v>699</v>
      </c>
      <c r="M453" s="48"/>
      <c r="N453" s="50" t="s">
        <v>1443</v>
      </c>
      <c r="O453" s="51" t="s">
        <v>1758</v>
      </c>
      <c r="P453" s="52" t="n">
        <v>1</v>
      </c>
      <c r="Q453" s="52"/>
      <c r="R453" s="52" t="s">
        <v>1513</v>
      </c>
      <c r="S453" s="52"/>
      <c r="T453" s="52"/>
      <c r="U453" s="53" t="n">
        <v>129650</v>
      </c>
      <c r="V453" s="54" t="n">
        <v>129650</v>
      </c>
      <c r="W453" s="55" t="n">
        <v>0.1</v>
      </c>
      <c r="X453" s="52" t="n">
        <v>0.055</v>
      </c>
      <c r="Y453" s="55" t="n">
        <v>0.12</v>
      </c>
      <c r="Z453" s="56"/>
      <c r="AA453" s="55" t="n">
        <v>0.04</v>
      </c>
      <c r="AB453" s="57" t="n">
        <v>170489.75</v>
      </c>
      <c r="AC453" s="44"/>
      <c r="AD453" s="71"/>
      <c r="AE453" s="71" t="n">
        <v>170489.75</v>
      </c>
      <c r="AF453" s="71" t="s">
        <v>69</v>
      </c>
      <c r="AG453" s="71" t="n">
        <v>0</v>
      </c>
      <c r="AH453" s="58" t="s">
        <v>24</v>
      </c>
      <c r="AI453" s="44" t="n">
        <v>0</v>
      </c>
      <c r="AJ453" s="44" t="s">
        <v>699</v>
      </c>
      <c r="AK453" s="44" t="s">
        <v>47</v>
      </c>
      <c r="AL453" s="44" t="s">
        <v>699</v>
      </c>
      <c r="AM453" s="44" t="n">
        <v>0</v>
      </c>
      <c r="AN453" s="44"/>
      <c r="AO453" s="44"/>
      <c r="AP453" s="44"/>
      <c r="AQ453" s="45" t="s">
        <v>726</v>
      </c>
      <c r="AR453" s="44" t="s">
        <v>1282</v>
      </c>
      <c r="AS453" s="44"/>
      <c r="AT453" s="44"/>
      <c r="AU453" s="44"/>
      <c r="AV453" s="44"/>
      <c r="AW453" s="44"/>
      <c r="AX453" s="44"/>
      <c r="AY453" s="44"/>
      <c r="AZ453" s="46"/>
    </row>
    <row r="454" customFormat="false" ht="18" hidden="false" customHeight="true" outlineLevel="0" collapsed="false">
      <c r="A454" s="47" t="n">
        <v>104555</v>
      </c>
      <c r="B454" s="48" t="s">
        <v>1768</v>
      </c>
      <c r="C454" s="47" t="n">
        <v>104555</v>
      </c>
      <c r="D454" s="48" t="s">
        <v>1769</v>
      </c>
      <c r="E454" s="48" t="s">
        <v>1770</v>
      </c>
      <c r="F454" s="48"/>
      <c r="G454" s="49" t="s">
        <v>1527</v>
      </c>
      <c r="H454" s="48" t="s">
        <v>1251</v>
      </c>
      <c r="I454" s="48" t="s">
        <v>1159</v>
      </c>
      <c r="J454" s="48" t="s">
        <v>1159</v>
      </c>
      <c r="K454" s="48" t="s">
        <v>1159</v>
      </c>
      <c r="L454" s="48" t="s">
        <v>1159</v>
      </c>
      <c r="M454" s="48"/>
      <c r="N454" s="50" t="s">
        <v>1443</v>
      </c>
      <c r="O454" s="51" t="s">
        <v>1758</v>
      </c>
      <c r="P454" s="52" t="n">
        <v>1</v>
      </c>
      <c r="Q454" s="51"/>
      <c r="R454" s="52" t="s">
        <v>1519</v>
      </c>
      <c r="S454" s="52"/>
      <c r="T454" s="52"/>
      <c r="U454" s="53" t="n">
        <v>131640</v>
      </c>
      <c r="V454" s="54" t="n">
        <v>131640</v>
      </c>
      <c r="W454" s="55" t="n">
        <v>0.1</v>
      </c>
      <c r="X454" s="52" t="n">
        <v>0.055</v>
      </c>
      <c r="Y454" s="55" t="n">
        <v>0.12</v>
      </c>
      <c r="Z454" s="56"/>
      <c r="AA454" s="55" t="n">
        <v>0.04</v>
      </c>
      <c r="AB454" s="57" t="n">
        <v>173106.6</v>
      </c>
      <c r="AC454" s="44"/>
      <c r="AD454" s="71"/>
      <c r="AE454" s="71" t="n">
        <v>173106.6</v>
      </c>
      <c r="AF454" s="71" t="s">
        <v>53</v>
      </c>
      <c r="AG454" s="71" t="n">
        <v>0</v>
      </c>
      <c r="AH454" s="58" t="s">
        <v>27</v>
      </c>
      <c r="AI454" s="44" t="n">
        <v>0</v>
      </c>
      <c r="AJ454" s="44" t="s">
        <v>1251</v>
      </c>
      <c r="AK454" s="44" t="s">
        <v>47</v>
      </c>
      <c r="AL454" s="44" t="s">
        <v>1251</v>
      </c>
      <c r="AM454" s="44" t="n">
        <v>0</v>
      </c>
      <c r="AN454" s="44"/>
      <c r="AO454" s="44"/>
      <c r="AP454" s="44"/>
      <c r="AQ454" s="45" t="s">
        <v>1355</v>
      </c>
      <c r="AR454" s="44" t="s">
        <v>1282</v>
      </c>
      <c r="AS454" s="44"/>
      <c r="AT454" s="44"/>
      <c r="AU454" s="44"/>
      <c r="AV454" s="44"/>
      <c r="AW454" s="44"/>
      <c r="AX454" s="44"/>
      <c r="AY454" s="44"/>
      <c r="AZ454" s="46"/>
    </row>
    <row r="455" customFormat="false" ht="18" hidden="false" customHeight="true" outlineLevel="0" collapsed="false">
      <c r="A455" s="47" t="n">
        <v>113515</v>
      </c>
      <c r="B455" s="48" t="s">
        <v>222</v>
      </c>
      <c r="C455" s="47" t="n">
        <v>113515</v>
      </c>
      <c r="D455" s="48" t="s">
        <v>223</v>
      </c>
      <c r="E455" s="48" t="s">
        <v>1470</v>
      </c>
      <c r="F455" s="48" t="s">
        <v>303</v>
      </c>
      <c r="G455" s="49" t="s">
        <v>1471</v>
      </c>
      <c r="H455" s="48" t="s">
        <v>1472</v>
      </c>
      <c r="I455" s="48" t="s">
        <v>1473</v>
      </c>
      <c r="J455" s="48" t="s">
        <v>1568</v>
      </c>
      <c r="K455" s="48" t="s">
        <v>1160</v>
      </c>
      <c r="L455" s="48" t="s">
        <v>1698</v>
      </c>
      <c r="M455" s="48"/>
      <c r="N455" s="50" t="s">
        <v>1284</v>
      </c>
      <c r="O455" s="51" t="s">
        <v>1758</v>
      </c>
      <c r="P455" s="52" t="n">
        <v>1</v>
      </c>
      <c r="Q455" s="52"/>
      <c r="R455" s="52" t="s">
        <v>1519</v>
      </c>
      <c r="S455" s="52"/>
      <c r="T455" s="52"/>
      <c r="U455" s="53" t="n">
        <v>121830</v>
      </c>
      <c r="V455" s="54" t="n">
        <v>112083.6</v>
      </c>
      <c r="W455" s="55" t="n">
        <v>0.15</v>
      </c>
      <c r="X455" s="52"/>
      <c r="Y455" s="55" t="n">
        <v>0.05</v>
      </c>
      <c r="Z455" s="56" t="n">
        <v>2910</v>
      </c>
      <c r="AA455" s="55" t="n">
        <v>0.03</v>
      </c>
      <c r="AB455" s="57" t="n">
        <v>140772.828</v>
      </c>
      <c r="AC455" s="44"/>
      <c r="AD455" s="71"/>
      <c r="AE455" s="71" t="n">
        <v>140772.828</v>
      </c>
      <c r="AF455" s="71" t="s">
        <v>53</v>
      </c>
      <c r="AG455" s="71" t="n">
        <v>0</v>
      </c>
      <c r="AH455" s="58" t="s">
        <v>16</v>
      </c>
      <c r="AI455" s="44" t="n">
        <v>0</v>
      </c>
      <c r="AJ455" s="44" t="s">
        <v>216</v>
      </c>
      <c r="AK455" s="44" t="s">
        <v>47</v>
      </c>
      <c r="AL455" s="44" t="s">
        <v>216</v>
      </c>
      <c r="AM455" s="44" t="n">
        <v>0</v>
      </c>
      <c r="AN455" s="44"/>
      <c r="AO455" s="44"/>
      <c r="AP455" s="44"/>
      <c r="AQ455" s="45" t="s">
        <v>221</v>
      </c>
      <c r="AR455" s="44" t="s">
        <v>1284</v>
      </c>
      <c r="AS455" s="44"/>
      <c r="AT455" s="44"/>
      <c r="AU455" s="44"/>
      <c r="AV455" s="44"/>
      <c r="AW455" s="44"/>
      <c r="AX455" s="44"/>
      <c r="AY455" s="44"/>
      <c r="AZ455" s="46"/>
    </row>
    <row r="456" customFormat="false" ht="18" hidden="false" customHeight="true" outlineLevel="0" collapsed="false">
      <c r="A456" s="47" t="n">
        <v>113523</v>
      </c>
      <c r="B456" s="48" t="s">
        <v>226</v>
      </c>
      <c r="C456" s="47" t="n">
        <v>113523</v>
      </c>
      <c r="D456" s="48" t="s">
        <v>89</v>
      </c>
      <c r="E456" s="48" t="s">
        <v>1470</v>
      </c>
      <c r="F456" s="48" t="s">
        <v>303</v>
      </c>
      <c r="G456" s="49" t="s">
        <v>1471</v>
      </c>
      <c r="H456" s="48" t="s">
        <v>1472</v>
      </c>
      <c r="I456" s="48" t="s">
        <v>1473</v>
      </c>
      <c r="J456" s="48" t="s">
        <v>1568</v>
      </c>
      <c r="K456" s="48" t="s">
        <v>1160</v>
      </c>
      <c r="L456" s="48" t="s">
        <v>1698</v>
      </c>
      <c r="M456" s="48"/>
      <c r="N456" s="50" t="s">
        <v>1284</v>
      </c>
      <c r="O456" s="51" t="s">
        <v>1758</v>
      </c>
      <c r="P456" s="52" t="n">
        <v>1</v>
      </c>
      <c r="Q456" s="52"/>
      <c r="R456" s="52" t="s">
        <v>1519</v>
      </c>
      <c r="S456" s="52"/>
      <c r="T456" s="52"/>
      <c r="U456" s="53" t="n">
        <v>135000</v>
      </c>
      <c r="V456" s="54" t="n">
        <v>124200</v>
      </c>
      <c r="W456" s="55" t="n">
        <v>0.15</v>
      </c>
      <c r="X456" s="52"/>
      <c r="Y456" s="55" t="n">
        <v>0.05</v>
      </c>
      <c r="Z456" s="56" t="n">
        <v>2910</v>
      </c>
      <c r="AA456" s="55" t="n">
        <v>0.03</v>
      </c>
      <c r="AB456" s="57" t="n">
        <v>155676</v>
      </c>
      <c r="AC456" s="44"/>
      <c r="AD456" s="71"/>
      <c r="AE456" s="71" t="n">
        <v>155676</v>
      </c>
      <c r="AF456" s="71" t="s">
        <v>53</v>
      </c>
      <c r="AG456" s="71" t="n">
        <v>0</v>
      </c>
      <c r="AH456" s="58" t="s">
        <v>16</v>
      </c>
      <c r="AI456" s="44" t="n">
        <v>0</v>
      </c>
      <c r="AJ456" s="44" t="s">
        <v>216</v>
      </c>
      <c r="AK456" s="44" t="s">
        <v>47</v>
      </c>
      <c r="AL456" s="44" t="s">
        <v>216</v>
      </c>
      <c r="AM456" s="44" t="n">
        <v>0</v>
      </c>
      <c r="AN456" s="44"/>
      <c r="AO456" s="44"/>
      <c r="AP456" s="44"/>
      <c r="AQ456" s="45" t="s">
        <v>225</v>
      </c>
      <c r="AR456" s="44" t="s">
        <v>1284</v>
      </c>
      <c r="AS456" s="44"/>
      <c r="AT456" s="44"/>
      <c r="AU456" s="44"/>
      <c r="AV456" s="44"/>
      <c r="AW456" s="44"/>
      <c r="AX456" s="44"/>
      <c r="AY456" s="44"/>
      <c r="AZ456" s="46"/>
    </row>
    <row r="457" customFormat="false" ht="18" hidden="false" customHeight="true" outlineLevel="0" collapsed="false">
      <c r="A457" s="47" t="n">
        <v>115821</v>
      </c>
      <c r="B457" s="48" t="s">
        <v>228</v>
      </c>
      <c r="C457" s="47" t="n">
        <v>115821</v>
      </c>
      <c r="D457" s="48" t="s">
        <v>86</v>
      </c>
      <c r="E457" s="48" t="s">
        <v>1470</v>
      </c>
      <c r="F457" s="48" t="s">
        <v>303</v>
      </c>
      <c r="G457" s="49" t="s">
        <v>1471</v>
      </c>
      <c r="H457" s="48" t="s">
        <v>1472</v>
      </c>
      <c r="I457" s="48" t="s">
        <v>1473</v>
      </c>
      <c r="J457" s="48" t="s">
        <v>1568</v>
      </c>
      <c r="K457" s="48" t="s">
        <v>1160</v>
      </c>
      <c r="L457" s="48" t="s">
        <v>1698</v>
      </c>
      <c r="M457" s="48"/>
      <c r="N457" s="50" t="s">
        <v>1284</v>
      </c>
      <c r="O457" s="51" t="s">
        <v>1758</v>
      </c>
      <c r="P457" s="52" t="n">
        <v>1</v>
      </c>
      <c r="Q457" s="51"/>
      <c r="R457" s="52" t="s">
        <v>1519</v>
      </c>
      <c r="S457" s="52"/>
      <c r="T457" s="52"/>
      <c r="U457" s="53" t="n">
        <v>125250</v>
      </c>
      <c r="V457" s="54" t="n">
        <v>115230</v>
      </c>
      <c r="W457" s="55" t="n">
        <v>0.15</v>
      </c>
      <c r="X457" s="52"/>
      <c r="Y457" s="55" t="n">
        <v>0.05</v>
      </c>
      <c r="Z457" s="56" t="n">
        <v>2910</v>
      </c>
      <c r="AA457" s="55" t="n">
        <v>0.03</v>
      </c>
      <c r="AB457" s="57" t="n">
        <v>144642.9</v>
      </c>
      <c r="AC457" s="44"/>
      <c r="AD457" s="71"/>
      <c r="AE457" s="71" t="n">
        <v>144642.9</v>
      </c>
      <c r="AF457" s="71" t="s">
        <v>53</v>
      </c>
      <c r="AG457" s="71" t="n">
        <v>0</v>
      </c>
      <c r="AH457" s="58" t="s">
        <v>16</v>
      </c>
      <c r="AI457" s="44" t="n">
        <v>0</v>
      </c>
      <c r="AJ457" s="44" t="s">
        <v>216</v>
      </c>
      <c r="AK457" s="44" t="s">
        <v>47</v>
      </c>
      <c r="AL457" s="44" t="s">
        <v>216</v>
      </c>
      <c r="AM457" s="44" t="n">
        <v>0</v>
      </c>
      <c r="AN457" s="44"/>
      <c r="AO457" s="44"/>
      <c r="AP457" s="44"/>
      <c r="AQ457" s="45" t="s">
        <v>227</v>
      </c>
      <c r="AR457" s="44" t="s">
        <v>1284</v>
      </c>
      <c r="AS457" s="44"/>
      <c r="AT457" s="44"/>
      <c r="AU457" s="44"/>
      <c r="AV457" s="44"/>
      <c r="AW457" s="44"/>
      <c r="AX457" s="44"/>
      <c r="AY457" s="44"/>
      <c r="AZ457" s="46"/>
    </row>
    <row r="458" customFormat="false" ht="18" hidden="false" customHeight="true" outlineLevel="0" collapsed="false">
      <c r="A458" s="47" t="n">
        <v>113589</v>
      </c>
      <c r="B458" s="48" t="s">
        <v>230</v>
      </c>
      <c r="C458" s="47" t="n">
        <v>113589</v>
      </c>
      <c r="D458" s="48" t="s">
        <v>86</v>
      </c>
      <c r="E458" s="48" t="s">
        <v>1470</v>
      </c>
      <c r="F458" s="48" t="s">
        <v>303</v>
      </c>
      <c r="G458" s="49" t="s">
        <v>1471</v>
      </c>
      <c r="H458" s="48" t="s">
        <v>1472</v>
      </c>
      <c r="I458" s="48" t="s">
        <v>1473</v>
      </c>
      <c r="J458" s="48" t="s">
        <v>1568</v>
      </c>
      <c r="K458" s="48" t="s">
        <v>1160</v>
      </c>
      <c r="L458" s="48" t="s">
        <v>1698</v>
      </c>
      <c r="M458" s="48"/>
      <c r="N458" s="50" t="s">
        <v>1284</v>
      </c>
      <c r="O458" s="51" t="s">
        <v>1758</v>
      </c>
      <c r="P458" s="52" t="n">
        <v>1</v>
      </c>
      <c r="Q458" s="51"/>
      <c r="R458" s="52" t="s">
        <v>1519</v>
      </c>
      <c r="S458" s="52"/>
      <c r="T458" s="52"/>
      <c r="U458" s="53" t="n">
        <v>81890</v>
      </c>
      <c r="V458" s="54" t="n">
        <v>75338.8</v>
      </c>
      <c r="W458" s="55" t="n">
        <v>0.1</v>
      </c>
      <c r="X458" s="52"/>
      <c r="Y458" s="55" t="n">
        <v>0.05</v>
      </c>
      <c r="Z458" s="56" t="n">
        <v>2910</v>
      </c>
      <c r="AA458" s="55" t="n">
        <v>0.03</v>
      </c>
      <c r="AB458" s="57" t="n">
        <v>91809.784</v>
      </c>
      <c r="AC458" s="44"/>
      <c r="AD458" s="71"/>
      <c r="AE458" s="71" t="n">
        <v>91809.784</v>
      </c>
      <c r="AF458" s="71" t="s">
        <v>53</v>
      </c>
      <c r="AG458" s="71" t="n">
        <v>0</v>
      </c>
      <c r="AH458" s="58" t="s">
        <v>16</v>
      </c>
      <c r="AI458" s="44" t="n">
        <v>0</v>
      </c>
      <c r="AJ458" s="44" t="s">
        <v>216</v>
      </c>
      <c r="AK458" s="44" t="s">
        <v>47</v>
      </c>
      <c r="AL458" s="44" t="s">
        <v>216</v>
      </c>
      <c r="AM458" s="44" t="n">
        <v>0</v>
      </c>
      <c r="AN458" s="44"/>
      <c r="AO458" s="44"/>
      <c r="AP458" s="44"/>
      <c r="AQ458" s="45" t="s">
        <v>229</v>
      </c>
      <c r="AR458" s="44" t="s">
        <v>1284</v>
      </c>
      <c r="AS458" s="44"/>
      <c r="AT458" s="44"/>
      <c r="AU458" s="44"/>
      <c r="AV458" s="44"/>
      <c r="AW458" s="44"/>
      <c r="AX458" s="44"/>
      <c r="AY458" s="44"/>
      <c r="AZ458" s="46"/>
    </row>
    <row r="459" customFormat="false" ht="18" hidden="false" customHeight="true" outlineLevel="0" collapsed="false">
      <c r="A459" s="47" t="n">
        <v>108013</v>
      </c>
      <c r="B459" s="48" t="s">
        <v>1771</v>
      </c>
      <c r="C459" s="47" t="n">
        <v>108013</v>
      </c>
      <c r="D459" s="48" t="s">
        <v>541</v>
      </c>
      <c r="E459" s="48" t="s">
        <v>1718</v>
      </c>
      <c r="F459" s="48" t="s">
        <v>1772</v>
      </c>
      <c r="G459" s="49" t="s">
        <v>1527</v>
      </c>
      <c r="H459" s="48" t="s">
        <v>1251</v>
      </c>
      <c r="I459" s="48" t="s">
        <v>1773</v>
      </c>
      <c r="J459" s="48" t="s">
        <v>1159</v>
      </c>
      <c r="K459" s="48" t="s">
        <v>1159</v>
      </c>
      <c r="L459" s="48" t="s">
        <v>1159</v>
      </c>
      <c r="M459" s="48"/>
      <c r="N459" s="50" t="s">
        <v>1443</v>
      </c>
      <c r="O459" s="51" t="s">
        <v>1758</v>
      </c>
      <c r="P459" s="52" t="n">
        <v>1</v>
      </c>
      <c r="Q459" s="52"/>
      <c r="R459" s="52" t="s">
        <v>1519</v>
      </c>
      <c r="S459" s="52"/>
      <c r="T459" s="52"/>
      <c r="U459" s="53" t="n">
        <v>123300</v>
      </c>
      <c r="V459" s="54" t="n">
        <v>123300</v>
      </c>
      <c r="W459" s="55" t="n">
        <v>0.1</v>
      </c>
      <c r="X459" s="52" t="n">
        <v>0.055</v>
      </c>
      <c r="Y459" s="55" t="n">
        <v>0.12</v>
      </c>
      <c r="Z459" s="56"/>
      <c r="AA459" s="55" t="n">
        <v>0.04</v>
      </c>
      <c r="AB459" s="57" t="n">
        <v>162139.5</v>
      </c>
      <c r="AC459" s="44"/>
      <c r="AD459" s="71"/>
      <c r="AE459" s="71" t="n">
        <v>162139.5</v>
      </c>
      <c r="AF459" s="71" t="s">
        <v>53</v>
      </c>
      <c r="AG459" s="71" t="n">
        <v>0</v>
      </c>
      <c r="AH459" s="58" t="s">
        <v>27</v>
      </c>
      <c r="AI459" s="44" t="n">
        <v>0</v>
      </c>
      <c r="AJ459" s="44" t="s">
        <v>1251</v>
      </c>
      <c r="AK459" s="44" t="s">
        <v>47</v>
      </c>
      <c r="AL459" s="44" t="s">
        <v>1251</v>
      </c>
      <c r="AM459" s="44" t="n">
        <v>0</v>
      </c>
      <c r="AN459" s="44"/>
      <c r="AO459" s="44"/>
      <c r="AP459" s="44"/>
      <c r="AQ459" s="45" t="s">
        <v>1356</v>
      </c>
      <c r="AR459" s="44" t="s">
        <v>1282</v>
      </c>
      <c r="AS459" s="44"/>
      <c r="AT459" s="44"/>
      <c r="AU459" s="44"/>
      <c r="AV459" s="44"/>
      <c r="AW459" s="44"/>
      <c r="AX459" s="44"/>
      <c r="AY459" s="44"/>
      <c r="AZ459" s="46"/>
    </row>
    <row r="460" customFormat="false" ht="18" hidden="false" customHeight="true" outlineLevel="0" collapsed="false">
      <c r="A460" s="47" t="n">
        <v>108727</v>
      </c>
      <c r="B460" s="48" t="s">
        <v>1774</v>
      </c>
      <c r="C460" s="47" t="n">
        <v>108727</v>
      </c>
      <c r="D460" s="48" t="s">
        <v>541</v>
      </c>
      <c r="E460" s="48" t="s">
        <v>1718</v>
      </c>
      <c r="F460" s="48" t="s">
        <v>1772</v>
      </c>
      <c r="G460" s="49" t="s">
        <v>1527</v>
      </c>
      <c r="H460" s="48" t="s">
        <v>1251</v>
      </c>
      <c r="I460" s="48" t="s">
        <v>1159</v>
      </c>
      <c r="J460" s="48" t="s">
        <v>1159</v>
      </c>
      <c r="K460" s="48" t="s">
        <v>1159</v>
      </c>
      <c r="L460" s="48" t="s">
        <v>1159</v>
      </c>
      <c r="M460" s="48"/>
      <c r="N460" s="50" t="s">
        <v>1443</v>
      </c>
      <c r="O460" s="51" t="s">
        <v>1758</v>
      </c>
      <c r="P460" s="52" t="n">
        <v>1</v>
      </c>
      <c r="Q460" s="51"/>
      <c r="R460" s="52" t="s">
        <v>1519</v>
      </c>
      <c r="S460" s="52"/>
      <c r="T460" s="52"/>
      <c r="U460" s="53" t="n">
        <v>111700</v>
      </c>
      <c r="V460" s="54" t="n">
        <v>111700</v>
      </c>
      <c r="W460" s="55" t="n">
        <v>0.1</v>
      </c>
      <c r="X460" s="52" t="n">
        <v>0.055</v>
      </c>
      <c r="Y460" s="55" t="n">
        <v>0.12</v>
      </c>
      <c r="Z460" s="56"/>
      <c r="AA460" s="55" t="n">
        <v>0.04</v>
      </c>
      <c r="AB460" s="57" t="n">
        <v>146885.5</v>
      </c>
      <c r="AC460" s="44"/>
      <c r="AD460" s="71"/>
      <c r="AE460" s="71" t="n">
        <v>146885.5</v>
      </c>
      <c r="AF460" s="71" t="s">
        <v>53</v>
      </c>
      <c r="AG460" s="71" t="n">
        <v>0</v>
      </c>
      <c r="AH460" s="58" t="s">
        <v>27</v>
      </c>
      <c r="AI460" s="44" t="n">
        <v>0</v>
      </c>
      <c r="AJ460" s="44" t="s">
        <v>1251</v>
      </c>
      <c r="AK460" s="44" t="s">
        <v>47</v>
      </c>
      <c r="AL460" s="44" t="s">
        <v>1251</v>
      </c>
      <c r="AM460" s="44" t="n">
        <v>0</v>
      </c>
      <c r="AN460" s="44"/>
      <c r="AO460" s="44"/>
      <c r="AP460" s="44"/>
      <c r="AQ460" s="45" t="s">
        <v>1357</v>
      </c>
      <c r="AR460" s="44" t="s">
        <v>1282</v>
      </c>
      <c r="AS460" s="44"/>
      <c r="AT460" s="44"/>
      <c r="AU460" s="44"/>
      <c r="AV460" s="44"/>
      <c r="AW460" s="44"/>
      <c r="AX460" s="44"/>
      <c r="AY460" s="44"/>
      <c r="AZ460" s="46"/>
    </row>
    <row r="461" customFormat="false" ht="18" hidden="false" customHeight="true" outlineLevel="0" collapsed="false">
      <c r="A461" s="47" t="n">
        <v>113520</v>
      </c>
      <c r="B461" s="48" t="s">
        <v>934</v>
      </c>
      <c r="C461" s="47" t="n">
        <v>113520</v>
      </c>
      <c r="D461" s="48" t="s">
        <v>935</v>
      </c>
      <c r="E461" s="48" t="s">
        <v>961</v>
      </c>
      <c r="F461" s="48" t="s">
        <v>1617</v>
      </c>
      <c r="G461" s="49" t="s">
        <v>30</v>
      </c>
      <c r="H461" s="48" t="s">
        <v>1479</v>
      </c>
      <c r="I461" s="48" t="s">
        <v>851</v>
      </c>
      <c r="J461" s="48" t="s">
        <v>1149</v>
      </c>
      <c r="K461" s="48" t="s">
        <v>1149</v>
      </c>
      <c r="L461" s="48" t="s">
        <v>851</v>
      </c>
      <c r="M461" s="48"/>
      <c r="N461" s="50" t="s">
        <v>1284</v>
      </c>
      <c r="O461" s="51" t="s">
        <v>1758</v>
      </c>
      <c r="P461" s="52" t="n">
        <v>1</v>
      </c>
      <c r="Q461" s="52"/>
      <c r="R461" s="52" t="s">
        <v>1519</v>
      </c>
      <c r="S461" s="52"/>
      <c r="T461" s="52"/>
      <c r="U461" s="53" t="n">
        <v>117530</v>
      </c>
      <c r="V461" s="54" t="n">
        <v>108127.6</v>
      </c>
      <c r="W461" s="55" t="n">
        <v>0.15</v>
      </c>
      <c r="X461" s="52"/>
      <c r="Y461" s="55" t="n">
        <v>0.05</v>
      </c>
      <c r="Z461" s="56" t="n">
        <v>2910</v>
      </c>
      <c r="AA461" s="55" t="n">
        <v>0.03</v>
      </c>
      <c r="AB461" s="57" t="n">
        <v>135906.948</v>
      </c>
      <c r="AC461" s="44"/>
      <c r="AD461" s="71"/>
      <c r="AE461" s="71" t="n">
        <v>135906.948</v>
      </c>
      <c r="AF461" s="71" t="s">
        <v>53</v>
      </c>
      <c r="AG461" s="71" t="n">
        <v>0</v>
      </c>
      <c r="AH461" s="58" t="s">
        <v>30</v>
      </c>
      <c r="AI461" s="44" t="n">
        <v>0</v>
      </c>
      <c r="AJ461" s="44" t="s">
        <v>851</v>
      </c>
      <c r="AK461" s="44" t="s">
        <v>47</v>
      </c>
      <c r="AL461" s="44" t="s">
        <v>851</v>
      </c>
      <c r="AM461" s="44" t="n">
        <v>0</v>
      </c>
      <c r="AN461" s="44"/>
      <c r="AO461" s="44"/>
      <c r="AP461" s="44"/>
      <c r="AQ461" s="45" t="s">
        <v>933</v>
      </c>
      <c r="AR461" s="44" t="s">
        <v>1284</v>
      </c>
      <c r="AS461" s="44"/>
      <c r="AT461" s="44"/>
      <c r="AU461" s="44"/>
      <c r="AV461" s="44"/>
      <c r="AW461" s="44"/>
      <c r="AX461" s="44"/>
      <c r="AY461" s="44"/>
      <c r="AZ461" s="46"/>
    </row>
    <row r="462" customFormat="false" ht="18" hidden="false" customHeight="true" outlineLevel="0" collapsed="false">
      <c r="A462" s="47" t="n">
        <v>113605</v>
      </c>
      <c r="B462" s="48" t="s">
        <v>937</v>
      </c>
      <c r="C462" s="47" t="n">
        <v>113605</v>
      </c>
      <c r="D462" s="48" t="s">
        <v>935</v>
      </c>
      <c r="E462" s="48" t="s">
        <v>961</v>
      </c>
      <c r="F462" s="48" t="s">
        <v>1617</v>
      </c>
      <c r="G462" s="49" t="s">
        <v>30</v>
      </c>
      <c r="H462" s="48" t="s">
        <v>1479</v>
      </c>
      <c r="I462" s="48" t="s">
        <v>851</v>
      </c>
      <c r="J462" s="48" t="s">
        <v>1149</v>
      </c>
      <c r="K462" s="48" t="s">
        <v>1149</v>
      </c>
      <c r="L462" s="48" t="s">
        <v>851</v>
      </c>
      <c r="M462" s="48"/>
      <c r="N462" s="50" t="s">
        <v>1284</v>
      </c>
      <c r="O462" s="51" t="s">
        <v>1758</v>
      </c>
      <c r="P462" s="52" t="n">
        <v>1</v>
      </c>
      <c r="Q462" s="51"/>
      <c r="R462" s="52" t="s">
        <v>1519</v>
      </c>
      <c r="S462" s="52"/>
      <c r="T462" s="52"/>
      <c r="U462" s="53" t="n">
        <v>124390</v>
      </c>
      <c r="V462" s="54" t="n">
        <v>114438.8</v>
      </c>
      <c r="W462" s="55" t="n">
        <v>0.15</v>
      </c>
      <c r="X462" s="52"/>
      <c r="Y462" s="55" t="n">
        <v>0.05</v>
      </c>
      <c r="Z462" s="56" t="n">
        <v>2910</v>
      </c>
      <c r="AA462" s="55" t="n">
        <v>0.03</v>
      </c>
      <c r="AB462" s="57" t="n">
        <v>143669.724</v>
      </c>
      <c r="AC462" s="44"/>
      <c r="AD462" s="71"/>
      <c r="AE462" s="71" t="n">
        <v>143669.724</v>
      </c>
      <c r="AF462" s="71" t="s">
        <v>53</v>
      </c>
      <c r="AG462" s="71" t="n">
        <v>0</v>
      </c>
      <c r="AH462" s="58" t="s">
        <v>30</v>
      </c>
      <c r="AI462" s="44" t="n">
        <v>0</v>
      </c>
      <c r="AJ462" s="44" t="s">
        <v>851</v>
      </c>
      <c r="AK462" s="44" t="s">
        <v>47</v>
      </c>
      <c r="AL462" s="44" t="s">
        <v>851</v>
      </c>
      <c r="AM462" s="44" t="n">
        <v>0</v>
      </c>
      <c r="AN462" s="44"/>
      <c r="AO462" s="44"/>
      <c r="AP462" s="44"/>
      <c r="AQ462" s="45" t="s">
        <v>936</v>
      </c>
      <c r="AR462" s="44" t="s">
        <v>1284</v>
      </c>
      <c r="AS462" s="44"/>
      <c r="AT462" s="44"/>
      <c r="AU462" s="44"/>
      <c r="AV462" s="44"/>
      <c r="AW462" s="44"/>
      <c r="AX462" s="44"/>
      <c r="AY462" s="44"/>
      <c r="AZ462" s="46"/>
    </row>
    <row r="463" customFormat="false" ht="18" hidden="false" customHeight="true" outlineLevel="0" collapsed="false">
      <c r="A463" s="47" t="s">
        <v>1507</v>
      </c>
      <c r="B463" s="48" t="s">
        <v>822</v>
      </c>
      <c r="C463" s="47" t="s">
        <v>1507</v>
      </c>
      <c r="D463" s="48" t="s">
        <v>80</v>
      </c>
      <c r="E463" s="48" t="s">
        <v>976</v>
      </c>
      <c r="F463" s="48" t="s">
        <v>1731</v>
      </c>
      <c r="G463" s="49" t="s">
        <v>1531</v>
      </c>
      <c r="H463" s="48" t="s">
        <v>1151</v>
      </c>
      <c r="I463" s="48" t="s">
        <v>1532</v>
      </c>
      <c r="J463" s="48" t="s">
        <v>31</v>
      </c>
      <c r="K463" s="48" t="s">
        <v>36</v>
      </c>
      <c r="L463" s="48" t="s">
        <v>1597</v>
      </c>
      <c r="M463" s="48"/>
      <c r="N463" s="50" t="s">
        <v>1443</v>
      </c>
      <c r="O463" s="51" t="s">
        <v>1758</v>
      </c>
      <c r="P463" s="52" t="n">
        <v>1</v>
      </c>
      <c r="Q463" s="51"/>
      <c r="R463" s="52" t="s">
        <v>1513</v>
      </c>
      <c r="S463" s="52"/>
      <c r="T463" s="52"/>
      <c r="U463" s="53" t="n">
        <v>129650</v>
      </c>
      <c r="V463" s="54" t="n">
        <v>129650</v>
      </c>
      <c r="W463" s="55" t="n">
        <v>0.1</v>
      </c>
      <c r="X463" s="52" t="n">
        <v>0.055</v>
      </c>
      <c r="Y463" s="55" t="n">
        <v>0.12</v>
      </c>
      <c r="Z463" s="56"/>
      <c r="AA463" s="55" t="n">
        <v>0.04</v>
      </c>
      <c r="AB463" s="57" t="n">
        <v>170489.75</v>
      </c>
      <c r="AC463" s="44"/>
      <c r="AD463" s="71"/>
      <c r="AE463" s="71" t="n">
        <v>170489.75</v>
      </c>
      <c r="AF463" s="71" t="s">
        <v>69</v>
      </c>
      <c r="AG463" s="71" t="n">
        <v>0</v>
      </c>
      <c r="AH463" s="58" t="s">
        <v>31</v>
      </c>
      <c r="AI463" s="44" t="n">
        <v>0</v>
      </c>
      <c r="AJ463" s="44" t="s">
        <v>970</v>
      </c>
      <c r="AK463" s="44" t="s">
        <v>47</v>
      </c>
      <c r="AL463" s="44" t="s">
        <v>1032</v>
      </c>
      <c r="AM463" s="44" t="n">
        <v>1</v>
      </c>
      <c r="AN463" s="44"/>
      <c r="AO463" s="44"/>
      <c r="AP463" s="44"/>
      <c r="AQ463" s="45" t="s">
        <v>1051</v>
      </c>
      <c r="AR463" s="44" t="s">
        <v>1282</v>
      </c>
      <c r="AS463" s="44"/>
      <c r="AT463" s="44"/>
      <c r="AU463" s="44"/>
      <c r="AV463" s="44"/>
      <c r="AW463" s="44"/>
      <c r="AX463" s="44"/>
      <c r="AY463" s="44"/>
      <c r="AZ463" s="46"/>
    </row>
    <row r="464" customFormat="false" ht="18" hidden="false" customHeight="true" outlineLevel="0" collapsed="false">
      <c r="A464" s="47" t="s">
        <v>1507</v>
      </c>
      <c r="B464" s="48" t="s">
        <v>1743</v>
      </c>
      <c r="C464" s="47" t="s">
        <v>1507</v>
      </c>
      <c r="D464" s="48" t="s">
        <v>1775</v>
      </c>
      <c r="E464" s="48" t="s">
        <v>1632</v>
      </c>
      <c r="F464" s="48" t="s">
        <v>1595</v>
      </c>
      <c r="G464" s="49" t="s">
        <v>1511</v>
      </c>
      <c r="H464" s="48" t="s">
        <v>1253</v>
      </c>
      <c r="I464" s="48" t="s">
        <v>1159</v>
      </c>
      <c r="J464" s="48" t="s">
        <v>1159</v>
      </c>
      <c r="K464" s="48" t="s">
        <v>1159</v>
      </c>
      <c r="L464" s="48" t="s">
        <v>1159</v>
      </c>
      <c r="M464" s="48"/>
      <c r="N464" s="50" t="s">
        <v>1443</v>
      </c>
      <c r="O464" s="51" t="s">
        <v>1758</v>
      </c>
      <c r="P464" s="52" t="n">
        <v>1</v>
      </c>
      <c r="Q464" s="52"/>
      <c r="R464" s="52" t="s">
        <v>1513</v>
      </c>
      <c r="S464" s="52"/>
      <c r="T464" s="52"/>
      <c r="U464" s="53" t="n">
        <v>129650</v>
      </c>
      <c r="V464" s="54" t="n">
        <v>129650</v>
      </c>
      <c r="W464" s="55" t="n">
        <v>0.1</v>
      </c>
      <c r="X464" s="52" t="n">
        <v>0.055</v>
      </c>
      <c r="Y464" s="55" t="n">
        <v>0.12</v>
      </c>
      <c r="Z464" s="56"/>
      <c r="AA464" s="55" t="n">
        <v>0.04</v>
      </c>
      <c r="AB464" s="57" t="n">
        <v>170489.75</v>
      </c>
      <c r="AC464" s="44"/>
      <c r="AD464" s="71"/>
      <c r="AE464" s="71" t="n">
        <v>170489.75</v>
      </c>
      <c r="AF464" s="71" t="s">
        <v>69</v>
      </c>
      <c r="AG464" s="71" t="n">
        <v>0</v>
      </c>
      <c r="AH464" s="58" t="s">
        <v>1514</v>
      </c>
      <c r="AI464" s="44" t="n">
        <v>0</v>
      </c>
      <c r="AJ464" s="44" t="s">
        <v>1253</v>
      </c>
      <c r="AK464" s="44" t="s">
        <v>47</v>
      </c>
      <c r="AL464" s="44" t="s">
        <v>1253</v>
      </c>
      <c r="AM464" s="44" t="n">
        <v>0</v>
      </c>
      <c r="AN464" s="44"/>
      <c r="AO464" s="44"/>
      <c r="AP464" s="44"/>
      <c r="AQ464" s="45" t="s">
        <v>1380</v>
      </c>
      <c r="AR464" s="44" t="s">
        <v>1282</v>
      </c>
      <c r="AS464" s="44"/>
      <c r="AT464" s="44"/>
      <c r="AU464" s="44"/>
      <c r="AV464" s="44"/>
      <c r="AW464" s="44"/>
      <c r="AX464" s="44"/>
      <c r="AY464" s="44"/>
      <c r="AZ464" s="46"/>
    </row>
    <row r="465" customFormat="false" ht="18" hidden="false" customHeight="true" outlineLevel="0" collapsed="false">
      <c r="A465" s="47" t="n">
        <v>5607</v>
      </c>
      <c r="B465" s="48" t="s">
        <v>1776</v>
      </c>
      <c r="C465" s="47" t="n">
        <v>5607</v>
      </c>
      <c r="D465" s="48" t="s">
        <v>1777</v>
      </c>
      <c r="E465" s="48" t="s">
        <v>1704</v>
      </c>
      <c r="F465" s="48" t="s">
        <v>1778</v>
      </c>
      <c r="G465" s="49" t="s">
        <v>1511</v>
      </c>
      <c r="H465" s="48" t="s">
        <v>1253</v>
      </c>
      <c r="I465" s="48" t="s">
        <v>1159</v>
      </c>
      <c r="J465" s="48" t="s">
        <v>1159</v>
      </c>
      <c r="K465" s="48" t="s">
        <v>1159</v>
      </c>
      <c r="L465" s="48" t="s">
        <v>1159</v>
      </c>
      <c r="M465" s="48"/>
      <c r="N465" s="50" t="s">
        <v>1443</v>
      </c>
      <c r="O465" s="51" t="s">
        <v>1758</v>
      </c>
      <c r="P465" s="52" t="n">
        <v>1</v>
      </c>
      <c r="Q465" s="52"/>
      <c r="R465" s="52" t="s">
        <v>1519</v>
      </c>
      <c r="S465" s="52"/>
      <c r="T465" s="52"/>
      <c r="U465" s="53" t="n">
        <v>136360</v>
      </c>
      <c r="V465" s="54" t="n">
        <v>136360</v>
      </c>
      <c r="W465" s="55" t="n">
        <v>0.1</v>
      </c>
      <c r="X465" s="52" t="n">
        <v>0.055</v>
      </c>
      <c r="Y465" s="55" t="n">
        <v>0.12</v>
      </c>
      <c r="Z465" s="56"/>
      <c r="AA465" s="55" t="n">
        <v>0.04</v>
      </c>
      <c r="AB465" s="57" t="n">
        <v>179313.4</v>
      </c>
      <c r="AC465" s="44"/>
      <c r="AD465" s="71"/>
      <c r="AE465" s="71" t="n">
        <v>179313.4</v>
      </c>
      <c r="AF465" s="71" t="s">
        <v>53</v>
      </c>
      <c r="AG465" s="71" t="n">
        <v>0</v>
      </c>
      <c r="AH465" s="58" t="s">
        <v>1514</v>
      </c>
      <c r="AI465" s="44" t="n">
        <v>0</v>
      </c>
      <c r="AJ465" s="44" t="s">
        <v>1253</v>
      </c>
      <c r="AK465" s="44" t="s">
        <v>47</v>
      </c>
      <c r="AL465" s="44" t="s">
        <v>1253</v>
      </c>
      <c r="AM465" s="44" t="n">
        <v>0</v>
      </c>
      <c r="AN465" s="44"/>
      <c r="AO465" s="44"/>
      <c r="AP465" s="44"/>
      <c r="AQ465" s="45" t="s">
        <v>1381</v>
      </c>
      <c r="AR465" s="44" t="s">
        <v>1282</v>
      </c>
      <c r="AS465" s="44"/>
      <c r="AT465" s="44"/>
      <c r="AU465" s="44"/>
      <c r="AV465" s="44"/>
      <c r="AW465" s="44"/>
      <c r="AX465" s="44"/>
      <c r="AY465" s="44"/>
      <c r="AZ465" s="46"/>
    </row>
    <row r="466" customFormat="false" ht="18" hidden="false" customHeight="true" outlineLevel="0" collapsed="false">
      <c r="A466" s="47" t="n">
        <v>113596</v>
      </c>
      <c r="B466" s="48" t="s">
        <v>898</v>
      </c>
      <c r="C466" s="47" t="n">
        <v>113596</v>
      </c>
      <c r="D466" s="48" t="s">
        <v>80</v>
      </c>
      <c r="E466" s="48" t="s">
        <v>963</v>
      </c>
      <c r="F466" s="48" t="s">
        <v>964</v>
      </c>
      <c r="G466" s="49" t="s">
        <v>30</v>
      </c>
      <c r="H466" s="48" t="s">
        <v>1619</v>
      </c>
      <c r="I466" s="48" t="s">
        <v>847</v>
      </c>
      <c r="J466" s="48" t="s">
        <v>1149</v>
      </c>
      <c r="K466" s="48" t="s">
        <v>1149</v>
      </c>
      <c r="L466" s="48" t="s">
        <v>847</v>
      </c>
      <c r="M466" s="48"/>
      <c r="N466" s="50" t="s">
        <v>1284</v>
      </c>
      <c r="O466" s="51" t="s">
        <v>1758</v>
      </c>
      <c r="P466" s="52" t="n">
        <v>1</v>
      </c>
      <c r="Q466" s="51"/>
      <c r="R466" s="52" t="s">
        <v>1519</v>
      </c>
      <c r="S466" s="52"/>
      <c r="T466" s="52"/>
      <c r="U466" s="53" t="n">
        <v>115830</v>
      </c>
      <c r="V466" s="54" t="n">
        <v>106563.6</v>
      </c>
      <c r="W466" s="55" t="n">
        <v>0.15</v>
      </c>
      <c r="X466" s="52"/>
      <c r="Y466" s="55" t="n">
        <v>0.05</v>
      </c>
      <c r="Z466" s="56" t="n">
        <v>2910</v>
      </c>
      <c r="AA466" s="55" t="n">
        <v>0.03</v>
      </c>
      <c r="AB466" s="57" t="n">
        <v>133983.228</v>
      </c>
      <c r="AC466" s="44"/>
      <c r="AD466" s="71"/>
      <c r="AE466" s="71" t="n">
        <v>133983.228</v>
      </c>
      <c r="AF466" s="71" t="s">
        <v>53</v>
      </c>
      <c r="AG466" s="71" t="n">
        <v>0</v>
      </c>
      <c r="AH466" s="58" t="s">
        <v>30</v>
      </c>
      <c r="AI466" s="44" t="n">
        <v>0</v>
      </c>
      <c r="AJ466" s="44" t="s">
        <v>847</v>
      </c>
      <c r="AK466" s="44" t="s">
        <v>47</v>
      </c>
      <c r="AL466" s="44" t="s">
        <v>847</v>
      </c>
      <c r="AM466" s="44" t="n">
        <v>0</v>
      </c>
      <c r="AN466" s="44"/>
      <c r="AO466" s="44"/>
      <c r="AP466" s="44"/>
      <c r="AQ466" s="45" t="s">
        <v>897</v>
      </c>
      <c r="AR466" s="44" t="s">
        <v>1284</v>
      </c>
      <c r="AS466" s="44"/>
      <c r="AT466" s="44"/>
      <c r="AU466" s="44"/>
      <c r="AV466" s="44"/>
      <c r="AW466" s="44"/>
      <c r="AX466" s="44"/>
      <c r="AY466" s="44"/>
      <c r="AZ466" s="46"/>
    </row>
    <row r="467" customFormat="false" ht="18" hidden="false" customHeight="true" outlineLevel="0" collapsed="false">
      <c r="A467" s="47" t="n">
        <v>113576</v>
      </c>
      <c r="B467" s="48" t="s">
        <v>1779</v>
      </c>
      <c r="C467" s="47" t="n">
        <v>113576</v>
      </c>
      <c r="D467" s="48" t="s">
        <v>1745</v>
      </c>
      <c r="E467" s="48" t="s">
        <v>1592</v>
      </c>
      <c r="F467" s="48"/>
      <c r="G467" s="49" t="s">
        <v>1527</v>
      </c>
      <c r="H467" s="48" t="s">
        <v>1332</v>
      </c>
      <c r="I467" s="48" t="s">
        <v>1159</v>
      </c>
      <c r="J467" s="48" t="s">
        <v>1159</v>
      </c>
      <c r="K467" s="48" t="s">
        <v>1159</v>
      </c>
      <c r="L467" s="48" t="s">
        <v>1159</v>
      </c>
      <c r="M467" s="48"/>
      <c r="N467" s="50" t="s">
        <v>1284</v>
      </c>
      <c r="O467" s="51" t="s">
        <v>1758</v>
      </c>
      <c r="P467" s="52" t="n">
        <v>0.8</v>
      </c>
      <c r="Q467" s="51"/>
      <c r="R467" s="52" t="s">
        <v>1489</v>
      </c>
      <c r="S467" s="52"/>
      <c r="T467" s="52"/>
      <c r="U467" s="53" t="n">
        <v>128040</v>
      </c>
      <c r="V467" s="54" t="n">
        <v>117796.8</v>
      </c>
      <c r="W467" s="55" t="n">
        <v>0.15</v>
      </c>
      <c r="X467" s="52"/>
      <c r="Y467" s="55" t="n">
        <v>0.05</v>
      </c>
      <c r="Z467" s="56" t="n">
        <v>2910</v>
      </c>
      <c r="AA467" s="55" t="n">
        <v>0.03</v>
      </c>
      <c r="AB467" s="57" t="n">
        <v>147800.064</v>
      </c>
      <c r="AC467" s="44"/>
      <c r="AD467" s="71"/>
      <c r="AE467" s="71" t="n">
        <v>118240.0512</v>
      </c>
      <c r="AF467" s="71" t="s">
        <v>53</v>
      </c>
      <c r="AG467" s="71" t="n">
        <v>0</v>
      </c>
      <c r="AH467" s="58" t="s">
        <v>32</v>
      </c>
      <c r="AI467" s="44" t="n">
        <v>0</v>
      </c>
      <c r="AJ467" s="44" t="s">
        <v>1332</v>
      </c>
      <c r="AK467" s="44" t="s">
        <v>47</v>
      </c>
      <c r="AL467" s="44" t="s">
        <v>1332</v>
      </c>
      <c r="AM467" s="44" t="n">
        <v>0</v>
      </c>
      <c r="AN467" s="44"/>
      <c r="AO467" s="44"/>
      <c r="AP467" s="44"/>
      <c r="AQ467" s="45" t="s">
        <v>1336</v>
      </c>
      <c r="AR467" s="44" t="s">
        <v>1284</v>
      </c>
      <c r="AS467" s="44"/>
      <c r="AT467" s="44"/>
      <c r="AU467" s="44"/>
      <c r="AV467" s="44"/>
      <c r="AW467" s="44"/>
      <c r="AX467" s="44"/>
      <c r="AY467" s="44"/>
      <c r="AZ467" s="46"/>
    </row>
    <row r="468" customFormat="false" ht="18" hidden="false" customHeight="true" outlineLevel="0" collapsed="false">
      <c r="A468" s="47" t="s">
        <v>1507</v>
      </c>
      <c r="B468" s="48" t="s">
        <v>69</v>
      </c>
      <c r="C468" s="47" t="s">
        <v>1507</v>
      </c>
      <c r="D468" s="48" t="s">
        <v>80</v>
      </c>
      <c r="E468" s="48" t="s">
        <v>208</v>
      </c>
      <c r="F468" s="48" t="s">
        <v>1747</v>
      </c>
      <c r="G468" s="49" t="s">
        <v>1471</v>
      </c>
      <c r="H468" s="48" t="s">
        <v>14</v>
      </c>
      <c r="I468" s="48" t="s">
        <v>1601</v>
      </c>
      <c r="J468" s="48" t="s">
        <v>1567</v>
      </c>
      <c r="K468" s="48" t="s">
        <v>48</v>
      </c>
      <c r="L468" s="48" t="s">
        <v>48</v>
      </c>
      <c r="M468" s="48"/>
      <c r="N468" s="50" t="s">
        <v>1443</v>
      </c>
      <c r="O468" s="51" t="s">
        <v>1758</v>
      </c>
      <c r="P468" s="52" t="n">
        <v>1</v>
      </c>
      <c r="Q468" s="52"/>
      <c r="R468" s="52" t="s">
        <v>1513</v>
      </c>
      <c r="S468" s="52"/>
      <c r="T468" s="52"/>
      <c r="U468" s="53" t="n">
        <v>129659</v>
      </c>
      <c r="V468" s="54" t="n">
        <v>129659</v>
      </c>
      <c r="W468" s="55" t="n">
        <v>0.1</v>
      </c>
      <c r="X468" s="52" t="n">
        <v>0.055</v>
      </c>
      <c r="Y468" s="55" t="n">
        <v>0.12</v>
      </c>
      <c r="Z468" s="56"/>
      <c r="AA468" s="55" t="n">
        <v>0.04</v>
      </c>
      <c r="AB468" s="57" t="n">
        <v>170501.585</v>
      </c>
      <c r="AC468" s="44"/>
      <c r="AD468" s="71"/>
      <c r="AE468" s="71" t="n">
        <v>170501.585</v>
      </c>
      <c r="AF468" s="71" t="s">
        <v>69</v>
      </c>
      <c r="AG468" s="71" t="n">
        <v>0</v>
      </c>
      <c r="AH468" s="58" t="s">
        <v>14</v>
      </c>
      <c r="AI468" s="44" t="n">
        <v>0</v>
      </c>
      <c r="AJ468" s="44" t="s">
        <v>48</v>
      </c>
      <c r="AK468" s="44" t="s">
        <v>47</v>
      </c>
      <c r="AL468" s="44" t="s">
        <v>48</v>
      </c>
      <c r="AM468" s="44" t="n">
        <v>0</v>
      </c>
      <c r="AN468" s="44"/>
      <c r="AO468" s="44"/>
      <c r="AP468" s="44"/>
      <c r="AQ468" s="45" t="s">
        <v>79</v>
      </c>
      <c r="AR468" s="44" t="s">
        <v>1282</v>
      </c>
      <c r="AS468" s="44"/>
      <c r="AT468" s="44"/>
      <c r="AU468" s="44"/>
      <c r="AV468" s="44"/>
      <c r="AW468" s="44"/>
      <c r="AX468" s="44"/>
      <c r="AY468" s="44"/>
      <c r="AZ468" s="46"/>
    </row>
    <row r="469" customFormat="false" ht="18" hidden="false" customHeight="true" outlineLevel="0" collapsed="false">
      <c r="A469" s="47" t="s">
        <v>1507</v>
      </c>
      <c r="B469" s="48" t="s">
        <v>69</v>
      </c>
      <c r="C469" s="47" t="s">
        <v>1507</v>
      </c>
      <c r="D469" s="48" t="s">
        <v>57</v>
      </c>
      <c r="E469" s="48" t="s">
        <v>208</v>
      </c>
      <c r="F469" s="48" t="s">
        <v>1747</v>
      </c>
      <c r="G469" s="49" t="s">
        <v>1471</v>
      </c>
      <c r="H469" s="48" t="s">
        <v>14</v>
      </c>
      <c r="I469" s="48" t="s">
        <v>1601</v>
      </c>
      <c r="J469" s="48" t="s">
        <v>1567</v>
      </c>
      <c r="K469" s="48" t="s">
        <v>48</v>
      </c>
      <c r="L469" s="48" t="s">
        <v>48</v>
      </c>
      <c r="M469" s="48"/>
      <c r="N469" s="50" t="s">
        <v>1443</v>
      </c>
      <c r="O469" s="51" t="s">
        <v>1758</v>
      </c>
      <c r="P469" s="52" t="n">
        <v>1</v>
      </c>
      <c r="Q469" s="51"/>
      <c r="R469" s="52" t="s">
        <v>1507</v>
      </c>
      <c r="S469" s="52"/>
      <c r="T469" s="52"/>
      <c r="U469" s="53" t="n">
        <v>151000</v>
      </c>
      <c r="V469" s="54" t="n">
        <v>151000</v>
      </c>
      <c r="W469" s="55" t="n">
        <v>0.12</v>
      </c>
      <c r="X469" s="52" t="n">
        <v>0.055</v>
      </c>
      <c r="Y469" s="55" t="n">
        <v>0.12</v>
      </c>
      <c r="Z469" s="56"/>
      <c r="AA469" s="55" t="n">
        <v>0.04</v>
      </c>
      <c r="AB469" s="57" t="n">
        <v>201585</v>
      </c>
      <c r="AC469" s="44"/>
      <c r="AD469" s="71"/>
      <c r="AE469" s="71" t="n">
        <v>201585</v>
      </c>
      <c r="AF469" s="71" t="s">
        <v>69</v>
      </c>
      <c r="AG469" s="71" t="n">
        <v>0</v>
      </c>
      <c r="AH469" s="58" t="s">
        <v>14</v>
      </c>
      <c r="AI469" s="44" t="n">
        <v>0</v>
      </c>
      <c r="AJ469" s="44" t="s">
        <v>48</v>
      </c>
      <c r="AK469" s="44" t="s">
        <v>47</v>
      </c>
      <c r="AL469" s="44" t="s">
        <v>48</v>
      </c>
      <c r="AM469" s="44" t="n">
        <v>0</v>
      </c>
      <c r="AN469" s="44"/>
      <c r="AO469" s="44"/>
      <c r="AP469" s="44"/>
      <c r="AQ469" s="45" t="s">
        <v>81</v>
      </c>
      <c r="AR469" s="44" t="s">
        <v>1282</v>
      </c>
      <c r="AS469" s="44"/>
      <c r="AT469" s="44"/>
      <c r="AU469" s="44"/>
      <c r="AV469" s="44"/>
      <c r="AW469" s="44"/>
      <c r="AX469" s="44"/>
      <c r="AY469" s="44"/>
      <c r="AZ469" s="46"/>
    </row>
    <row r="470" customFormat="false" ht="18" hidden="false" customHeight="true" outlineLevel="0" collapsed="false">
      <c r="A470" s="47" t="n">
        <v>113546</v>
      </c>
      <c r="B470" s="48" t="s">
        <v>1780</v>
      </c>
      <c r="C470" s="47" t="n">
        <v>113546</v>
      </c>
      <c r="D470" s="48" t="s">
        <v>1781</v>
      </c>
      <c r="E470" s="48" t="s">
        <v>69</v>
      </c>
      <c r="F470" s="48" t="s">
        <v>1508</v>
      </c>
      <c r="G470" s="49" t="s">
        <v>1511</v>
      </c>
      <c r="H470" s="48" t="s">
        <v>1255</v>
      </c>
      <c r="I470" s="48" t="s">
        <v>1159</v>
      </c>
      <c r="J470" s="48" t="s">
        <v>1159</v>
      </c>
      <c r="K470" s="48" t="s">
        <v>1159</v>
      </c>
      <c r="L470" s="48" t="s">
        <v>1159</v>
      </c>
      <c r="M470" s="48"/>
      <c r="N470" s="50" t="s">
        <v>1284</v>
      </c>
      <c r="O470" s="51" t="s">
        <v>1758</v>
      </c>
      <c r="P470" s="52" t="n">
        <v>1</v>
      </c>
      <c r="Q470" s="51"/>
      <c r="R470" s="52" t="s">
        <v>1519</v>
      </c>
      <c r="S470" s="52"/>
      <c r="T470" s="52"/>
      <c r="U470" s="53" t="n">
        <v>130870</v>
      </c>
      <c r="V470" s="54" t="n">
        <v>120400.4</v>
      </c>
      <c r="W470" s="55" t="n">
        <v>0.15</v>
      </c>
      <c r="X470" s="52"/>
      <c r="Y470" s="55" t="n">
        <v>0.05</v>
      </c>
      <c r="Z470" s="56" t="n">
        <v>2910</v>
      </c>
      <c r="AA470" s="55" t="n">
        <v>0.03</v>
      </c>
      <c r="AB470" s="57" t="n">
        <v>151002.492</v>
      </c>
      <c r="AC470" s="44"/>
      <c r="AD470" s="71"/>
      <c r="AE470" s="71" t="n">
        <v>151002.492</v>
      </c>
      <c r="AF470" s="71" t="s">
        <v>53</v>
      </c>
      <c r="AG470" s="71" t="n">
        <v>0</v>
      </c>
      <c r="AH470" s="58" t="s">
        <v>1514</v>
      </c>
      <c r="AI470" s="44" t="n">
        <v>0</v>
      </c>
      <c r="AJ470" s="44" t="s">
        <v>1255</v>
      </c>
      <c r="AK470" s="44" t="s">
        <v>47</v>
      </c>
      <c r="AL470" s="44" t="s">
        <v>1255</v>
      </c>
      <c r="AM470" s="44" t="n">
        <v>0</v>
      </c>
      <c r="AN470" s="44"/>
      <c r="AO470" s="44"/>
      <c r="AP470" s="44"/>
      <c r="AQ470" s="45" t="s">
        <v>1388</v>
      </c>
      <c r="AR470" s="44" t="s">
        <v>1284</v>
      </c>
      <c r="AS470" s="44"/>
      <c r="AT470" s="44"/>
      <c r="AU470" s="44"/>
      <c r="AV470" s="44"/>
      <c r="AW470" s="44"/>
      <c r="AX470" s="44"/>
      <c r="AY470" s="44"/>
      <c r="AZ470" s="46"/>
    </row>
    <row r="471" customFormat="false" ht="18" hidden="false" customHeight="true" outlineLevel="0" collapsed="false">
      <c r="A471" s="47" t="n">
        <v>90096</v>
      </c>
      <c r="B471" s="48" t="s">
        <v>1782</v>
      </c>
      <c r="C471" s="47" t="n">
        <v>90096</v>
      </c>
      <c r="D471" s="48" t="s">
        <v>1783</v>
      </c>
      <c r="E471" s="48" t="s">
        <v>69</v>
      </c>
      <c r="F471" s="48" t="s">
        <v>1677</v>
      </c>
      <c r="G471" s="49" t="s">
        <v>1527</v>
      </c>
      <c r="H471" s="48" t="s">
        <v>1251</v>
      </c>
      <c r="I471" s="48" t="s">
        <v>1159</v>
      </c>
      <c r="J471" s="48" t="s">
        <v>1159</v>
      </c>
      <c r="K471" s="48" t="s">
        <v>1159</v>
      </c>
      <c r="L471" s="48" t="s">
        <v>1159</v>
      </c>
      <c r="M471" s="48"/>
      <c r="N471" s="50" t="s">
        <v>1443</v>
      </c>
      <c r="O471" s="51" t="s">
        <v>1758</v>
      </c>
      <c r="P471" s="52" t="n">
        <v>1</v>
      </c>
      <c r="Q471" s="51"/>
      <c r="R471" s="52" t="s">
        <v>1519</v>
      </c>
      <c r="S471" s="52"/>
      <c r="T471" s="52"/>
      <c r="U471" s="53" t="n">
        <v>137620</v>
      </c>
      <c r="V471" s="54" t="n">
        <v>137620</v>
      </c>
      <c r="W471" s="55" t="n">
        <v>0.1</v>
      </c>
      <c r="X471" s="52" t="n">
        <v>0.055</v>
      </c>
      <c r="Y471" s="55" t="n">
        <v>0.12</v>
      </c>
      <c r="Z471" s="56"/>
      <c r="AA471" s="55" t="n">
        <v>0.04</v>
      </c>
      <c r="AB471" s="57" t="n">
        <v>180970.3</v>
      </c>
      <c r="AC471" s="44"/>
      <c r="AD471" s="71"/>
      <c r="AE471" s="71" t="n">
        <v>180970.3</v>
      </c>
      <c r="AF471" s="71" t="s">
        <v>53</v>
      </c>
      <c r="AG471" s="71" t="n">
        <v>0</v>
      </c>
      <c r="AH471" s="58" t="s">
        <v>27</v>
      </c>
      <c r="AI471" s="44" t="n">
        <v>0</v>
      </c>
      <c r="AJ471" s="44" t="s">
        <v>1251</v>
      </c>
      <c r="AK471" s="44" t="s">
        <v>47</v>
      </c>
      <c r="AL471" s="44" t="s">
        <v>1251</v>
      </c>
      <c r="AM471" s="44" t="n">
        <v>0</v>
      </c>
      <c r="AN471" s="44"/>
      <c r="AO471" s="44"/>
      <c r="AP471" s="44"/>
      <c r="AQ471" s="45" t="s">
        <v>1358</v>
      </c>
      <c r="AR471" s="44" t="s">
        <v>1282</v>
      </c>
      <c r="AS471" s="44"/>
      <c r="AT471" s="44"/>
      <c r="AU471" s="44"/>
      <c r="AV471" s="44"/>
      <c r="AW471" s="44"/>
      <c r="AX471" s="44"/>
      <c r="AY471" s="44"/>
      <c r="AZ471" s="46"/>
    </row>
    <row r="472" customFormat="false" ht="18" hidden="false" customHeight="true" outlineLevel="0" collapsed="false">
      <c r="A472" s="47" t="n">
        <v>113570</v>
      </c>
      <c r="B472" s="48" t="s">
        <v>657</v>
      </c>
      <c r="C472" s="47" t="n">
        <v>113570</v>
      </c>
      <c r="D472" s="48" t="s">
        <v>133</v>
      </c>
      <c r="E472" s="48" t="s">
        <v>69</v>
      </c>
      <c r="F472" s="48" t="s">
        <v>203</v>
      </c>
      <c r="G472" s="49" t="s">
        <v>1461</v>
      </c>
      <c r="H472" s="48" t="s">
        <v>1562</v>
      </c>
      <c r="I472" s="48" t="s">
        <v>1693</v>
      </c>
      <c r="J472" s="48" t="s">
        <v>1562</v>
      </c>
      <c r="K472" s="48" t="s">
        <v>1152</v>
      </c>
      <c r="L472" s="48" t="s">
        <v>614</v>
      </c>
      <c r="M472" s="48"/>
      <c r="N472" s="50" t="s">
        <v>1284</v>
      </c>
      <c r="O472" s="51" t="s">
        <v>1758</v>
      </c>
      <c r="P472" s="52" t="n">
        <v>1</v>
      </c>
      <c r="Q472" s="51"/>
      <c r="R472" s="52" t="s">
        <v>1519</v>
      </c>
      <c r="S472" s="52"/>
      <c r="T472" s="52"/>
      <c r="U472" s="53" t="n">
        <v>137720</v>
      </c>
      <c r="V472" s="54" t="n">
        <v>126702.4</v>
      </c>
      <c r="W472" s="55" t="n">
        <v>0.15</v>
      </c>
      <c r="X472" s="52"/>
      <c r="Y472" s="55" t="n">
        <v>0.05</v>
      </c>
      <c r="Z472" s="56" t="n">
        <v>2910</v>
      </c>
      <c r="AA472" s="55" t="n">
        <v>0.03</v>
      </c>
      <c r="AB472" s="57" t="n">
        <v>158753.952</v>
      </c>
      <c r="AC472" s="44"/>
      <c r="AD472" s="71"/>
      <c r="AE472" s="71" t="n">
        <v>158753.952</v>
      </c>
      <c r="AF472" s="71" t="s">
        <v>53</v>
      </c>
      <c r="AG472" s="71" t="n">
        <v>0</v>
      </c>
      <c r="AH472" s="58" t="s">
        <v>22</v>
      </c>
      <c r="AI472" s="44" t="n">
        <v>0</v>
      </c>
      <c r="AJ472" s="44" t="s">
        <v>614</v>
      </c>
      <c r="AK472" s="44" t="s">
        <v>47</v>
      </c>
      <c r="AL472" s="44" t="s">
        <v>614</v>
      </c>
      <c r="AM472" s="44" t="n">
        <v>0</v>
      </c>
      <c r="AN472" s="44"/>
      <c r="AO472" s="44"/>
      <c r="AP472" s="44"/>
      <c r="AQ472" s="45" t="s">
        <v>656</v>
      </c>
      <c r="AR472" s="44" t="s">
        <v>1284</v>
      </c>
      <c r="AS472" s="44"/>
      <c r="AT472" s="44"/>
      <c r="AU472" s="44"/>
      <c r="AV472" s="44"/>
      <c r="AW472" s="44"/>
      <c r="AX472" s="44"/>
      <c r="AY472" s="44"/>
      <c r="AZ472" s="46"/>
    </row>
    <row r="473" customFormat="false" ht="18" hidden="false" customHeight="true" outlineLevel="0" collapsed="false">
      <c r="A473" s="47" t="n">
        <v>113512</v>
      </c>
      <c r="B473" s="48" t="s">
        <v>287</v>
      </c>
      <c r="C473" s="47" t="n">
        <v>113512</v>
      </c>
      <c r="D473" s="48" t="s">
        <v>133</v>
      </c>
      <c r="E473" s="48" t="s">
        <v>69</v>
      </c>
      <c r="F473" s="48" t="s">
        <v>1696</v>
      </c>
      <c r="G473" s="49" t="s">
        <v>1471</v>
      </c>
      <c r="H473" s="48" t="s">
        <v>1472</v>
      </c>
      <c r="I473" s="48" t="s">
        <v>1629</v>
      </c>
      <c r="J473" s="48" t="s">
        <v>1568</v>
      </c>
      <c r="K473" s="48" t="s">
        <v>220</v>
      </c>
      <c r="L473" s="48" t="s">
        <v>220</v>
      </c>
      <c r="M473" s="48"/>
      <c r="N473" s="50" t="s">
        <v>1284</v>
      </c>
      <c r="O473" s="51" t="s">
        <v>1758</v>
      </c>
      <c r="P473" s="52" t="n">
        <v>1</v>
      </c>
      <c r="Q473" s="51"/>
      <c r="R473" s="52" t="s">
        <v>1519</v>
      </c>
      <c r="S473" s="52"/>
      <c r="T473" s="52"/>
      <c r="U473" s="53" t="n">
        <v>133320</v>
      </c>
      <c r="V473" s="54" t="n">
        <v>122654.4</v>
      </c>
      <c r="W473" s="55" t="n">
        <v>0.15</v>
      </c>
      <c r="X473" s="52"/>
      <c r="Y473" s="55" t="n">
        <v>0.05</v>
      </c>
      <c r="Z473" s="56" t="n">
        <v>2910</v>
      </c>
      <c r="AA473" s="55" t="n">
        <v>0.03</v>
      </c>
      <c r="AB473" s="57" t="n">
        <v>153774.912</v>
      </c>
      <c r="AC473" s="44"/>
      <c r="AD473" s="71"/>
      <c r="AE473" s="71" t="n">
        <v>153774.912</v>
      </c>
      <c r="AF473" s="71" t="s">
        <v>53</v>
      </c>
      <c r="AG473" s="71" t="n">
        <v>0</v>
      </c>
      <c r="AH473" s="58" t="s">
        <v>16</v>
      </c>
      <c r="AI473" s="44" t="n">
        <v>0</v>
      </c>
      <c r="AJ473" s="44" t="s">
        <v>220</v>
      </c>
      <c r="AK473" s="44" t="s">
        <v>47</v>
      </c>
      <c r="AL473" s="44" t="s">
        <v>220</v>
      </c>
      <c r="AM473" s="44" t="n">
        <v>0</v>
      </c>
      <c r="AN473" s="44"/>
      <c r="AO473" s="44"/>
      <c r="AP473" s="44"/>
      <c r="AQ473" s="45" t="s">
        <v>286</v>
      </c>
      <c r="AR473" s="44" t="s">
        <v>1284</v>
      </c>
      <c r="AS473" s="44"/>
      <c r="AT473" s="44"/>
      <c r="AU473" s="44"/>
      <c r="AV473" s="44"/>
      <c r="AW473" s="44"/>
      <c r="AX473" s="44"/>
      <c r="AY473" s="44"/>
      <c r="AZ473" s="46"/>
    </row>
    <row r="474" customFormat="false" ht="18" hidden="false" customHeight="true" outlineLevel="0" collapsed="false">
      <c r="A474" s="47" t="s">
        <v>1507</v>
      </c>
      <c r="B474" s="48" t="s">
        <v>69</v>
      </c>
      <c r="C474" s="47" t="s">
        <v>1507</v>
      </c>
      <c r="D474" s="48" t="s">
        <v>1784</v>
      </c>
      <c r="E474" s="48" t="s">
        <v>69</v>
      </c>
      <c r="F474" s="48" t="s">
        <v>1753</v>
      </c>
      <c r="G474" s="49" t="s">
        <v>1531</v>
      </c>
      <c r="H474" s="48" t="s">
        <v>1248</v>
      </c>
      <c r="I474" s="48" t="s">
        <v>1248</v>
      </c>
      <c r="J474" s="48"/>
      <c r="K474" s="48"/>
      <c r="L474" s="48"/>
      <c r="M474" s="48"/>
      <c r="N474" s="50" t="s">
        <v>1443</v>
      </c>
      <c r="O474" s="51" t="s">
        <v>1758</v>
      </c>
      <c r="P474" s="52" t="n">
        <v>1</v>
      </c>
      <c r="Q474" s="51"/>
      <c r="R474" s="52" t="s">
        <v>1507</v>
      </c>
      <c r="S474" s="52"/>
      <c r="T474" s="52"/>
      <c r="U474" s="53" t="n">
        <v>129650</v>
      </c>
      <c r="V474" s="54" t="n">
        <v>129650</v>
      </c>
      <c r="W474" s="55" t="n">
        <v>0.1</v>
      </c>
      <c r="X474" s="52" t="n">
        <v>0.055</v>
      </c>
      <c r="Y474" s="55" t="n">
        <v>0.12</v>
      </c>
      <c r="Z474" s="56"/>
      <c r="AA474" s="55" t="n">
        <v>0.04</v>
      </c>
      <c r="AB474" s="57" t="n">
        <v>170489.75</v>
      </c>
      <c r="AC474" s="44"/>
      <c r="AD474" s="71"/>
      <c r="AE474" s="71" t="n">
        <v>170489.75</v>
      </c>
      <c r="AF474" s="71" t="s">
        <v>69</v>
      </c>
      <c r="AG474" s="71" t="n">
        <v>0</v>
      </c>
      <c r="AH474" s="58" t="s">
        <v>1536</v>
      </c>
      <c r="AI474" s="44" t="n">
        <v>0</v>
      </c>
      <c r="AJ474" s="44" t="s">
        <v>1248</v>
      </c>
      <c r="AK474" s="44" t="s">
        <v>47</v>
      </c>
      <c r="AL474" s="44" t="s">
        <v>1248</v>
      </c>
      <c r="AM474" s="44" t="n">
        <v>0</v>
      </c>
      <c r="AN474" s="44"/>
      <c r="AO474" s="44"/>
      <c r="AP474" s="44"/>
      <c r="AQ474" s="45" t="s">
        <v>1318</v>
      </c>
      <c r="AR474" s="44" t="s">
        <v>1282</v>
      </c>
      <c r="AS474" s="44"/>
      <c r="AT474" s="44"/>
      <c r="AU474" s="44"/>
      <c r="AV474" s="44"/>
      <c r="AW474" s="44"/>
      <c r="AX474" s="44"/>
      <c r="AY474" s="44"/>
      <c r="AZ474" s="46"/>
    </row>
    <row r="475" customFormat="false" ht="18" hidden="false" customHeight="true" outlineLevel="0" collapsed="false">
      <c r="A475" s="47" t="s">
        <v>1507</v>
      </c>
      <c r="B475" s="48" t="s">
        <v>69</v>
      </c>
      <c r="C475" s="47" t="s">
        <v>1507</v>
      </c>
      <c r="D475" s="48" t="s">
        <v>1785</v>
      </c>
      <c r="E475" s="48" t="s">
        <v>69</v>
      </c>
      <c r="F475" s="48" t="s">
        <v>1625</v>
      </c>
      <c r="G475" s="49" t="s">
        <v>1531</v>
      </c>
      <c r="H475" s="48" t="s">
        <v>1248</v>
      </c>
      <c r="I475" s="48" t="s">
        <v>1248</v>
      </c>
      <c r="J475" s="48"/>
      <c r="K475" s="48"/>
      <c r="L475" s="48"/>
      <c r="M475" s="48"/>
      <c r="N475" s="50" t="s">
        <v>1443</v>
      </c>
      <c r="O475" s="51" t="s">
        <v>1758</v>
      </c>
      <c r="P475" s="52" t="n">
        <v>1</v>
      </c>
      <c r="Q475" s="51"/>
      <c r="R475" s="52" t="s">
        <v>1513</v>
      </c>
      <c r="S475" s="52"/>
      <c r="T475" s="52"/>
      <c r="U475" s="53" t="n">
        <v>129650</v>
      </c>
      <c r="V475" s="54" t="n">
        <v>129650</v>
      </c>
      <c r="W475" s="55" t="n">
        <v>0.1</v>
      </c>
      <c r="X475" s="52" t="n">
        <v>0.055</v>
      </c>
      <c r="Y475" s="55" t="n">
        <v>0.12</v>
      </c>
      <c r="Z475" s="56"/>
      <c r="AA475" s="55" t="n">
        <v>0.04</v>
      </c>
      <c r="AB475" s="57" t="n">
        <v>170489.75</v>
      </c>
      <c r="AC475" s="44"/>
      <c r="AD475" s="44"/>
      <c r="AE475" s="44" t="n">
        <v>170489.75</v>
      </c>
      <c r="AF475" s="44" t="s">
        <v>69</v>
      </c>
      <c r="AG475" s="44" t="n">
        <v>0</v>
      </c>
      <c r="AH475" s="58" t="s">
        <v>1536</v>
      </c>
      <c r="AI475" s="44" t="n">
        <v>0</v>
      </c>
      <c r="AJ475" s="44" t="s">
        <v>1248</v>
      </c>
      <c r="AK475" s="44" t="s">
        <v>47</v>
      </c>
      <c r="AL475" s="44" t="s">
        <v>1248</v>
      </c>
      <c r="AM475" s="44" t="n">
        <v>0</v>
      </c>
      <c r="AN475" s="44"/>
      <c r="AO475" s="44"/>
      <c r="AP475" s="44"/>
      <c r="AQ475" s="45" t="s">
        <v>1319</v>
      </c>
      <c r="AR475" s="44" t="s">
        <v>1282</v>
      </c>
      <c r="AS475" s="44"/>
      <c r="AT475" s="44"/>
      <c r="AU475" s="44"/>
      <c r="AV475" s="44"/>
      <c r="AW475" s="44"/>
      <c r="AX475" s="44"/>
      <c r="AY475" s="44"/>
      <c r="AZ475" s="46"/>
    </row>
    <row r="476" customFormat="false" ht="18" hidden="false" customHeight="true" outlineLevel="0" collapsed="false">
      <c r="A476" s="47" t="n">
        <v>113382</v>
      </c>
      <c r="B476" s="48" t="s">
        <v>1786</v>
      </c>
      <c r="C476" s="47" t="n">
        <v>113382</v>
      </c>
      <c r="D476" s="48" t="s">
        <v>1787</v>
      </c>
      <c r="E476" s="48" t="s">
        <v>69</v>
      </c>
      <c r="F476" s="48" t="s">
        <v>1770</v>
      </c>
      <c r="G476" s="49" t="s">
        <v>1527</v>
      </c>
      <c r="H476" s="48" t="s">
        <v>1251</v>
      </c>
      <c r="I476" s="48" t="s">
        <v>1159</v>
      </c>
      <c r="J476" s="48" t="s">
        <v>1159</v>
      </c>
      <c r="K476" s="48" t="s">
        <v>1159</v>
      </c>
      <c r="L476" s="48" t="s">
        <v>1159</v>
      </c>
      <c r="M476" s="48"/>
      <c r="N476" s="50" t="s">
        <v>1443</v>
      </c>
      <c r="O476" s="51" t="s">
        <v>1758</v>
      </c>
      <c r="P476" s="52" t="n">
        <v>1</v>
      </c>
      <c r="Q476" s="52"/>
      <c r="R476" s="52" t="s">
        <v>1519</v>
      </c>
      <c r="S476" s="52"/>
      <c r="T476" s="52"/>
      <c r="U476" s="53" t="n">
        <v>105710</v>
      </c>
      <c r="V476" s="54" t="n">
        <v>105710</v>
      </c>
      <c r="W476" s="55" t="n">
        <v>0.1</v>
      </c>
      <c r="X476" s="52" t="n">
        <v>0.055</v>
      </c>
      <c r="Y476" s="55" t="n">
        <v>0.12</v>
      </c>
      <c r="Z476" s="56"/>
      <c r="AA476" s="55" t="n">
        <v>0.04</v>
      </c>
      <c r="AB476" s="57" t="n">
        <v>139008.65</v>
      </c>
      <c r="AC476" s="44"/>
      <c r="AD476" s="44"/>
      <c r="AE476" s="44" t="n">
        <v>139008.65</v>
      </c>
      <c r="AF476" s="44" t="s">
        <v>53</v>
      </c>
      <c r="AG476" s="44" t="n">
        <v>0</v>
      </c>
      <c r="AH476" s="58" t="s">
        <v>27</v>
      </c>
      <c r="AI476" s="44" t="n">
        <v>0</v>
      </c>
      <c r="AJ476" s="44" t="s">
        <v>1251</v>
      </c>
      <c r="AK476" s="44" t="s">
        <v>47</v>
      </c>
      <c r="AL476" s="44" t="s">
        <v>1251</v>
      </c>
      <c r="AM476" s="44" t="n">
        <v>0</v>
      </c>
      <c r="AN476" s="44"/>
      <c r="AO476" s="44"/>
      <c r="AP476" s="44"/>
      <c r="AQ476" s="45" t="s">
        <v>1359</v>
      </c>
      <c r="AR476" s="44" t="s">
        <v>1282</v>
      </c>
      <c r="AS476" s="44"/>
      <c r="AT476" s="44"/>
      <c r="AU476" s="44"/>
      <c r="AV476" s="44"/>
      <c r="AW476" s="44"/>
      <c r="AX476" s="44"/>
      <c r="AY476" s="44"/>
      <c r="AZ476" s="46"/>
    </row>
    <row r="477" customFormat="false" ht="18" hidden="false" customHeight="true" outlineLevel="0" collapsed="false">
      <c r="A477" s="47" t="n">
        <v>84413</v>
      </c>
      <c r="B477" s="48" t="s">
        <v>180</v>
      </c>
      <c r="C477" s="47" t="n">
        <v>84413</v>
      </c>
      <c r="D477" s="48" t="s">
        <v>80</v>
      </c>
      <c r="E477" s="48" t="s">
        <v>69</v>
      </c>
      <c r="F477" s="48" t="s">
        <v>118</v>
      </c>
      <c r="G477" s="49" t="s">
        <v>1471</v>
      </c>
      <c r="H477" s="48" t="s">
        <v>14</v>
      </c>
      <c r="I477" s="48" t="s">
        <v>1627</v>
      </c>
      <c r="J477" s="48" t="s">
        <v>1567</v>
      </c>
      <c r="K477" s="48" t="s">
        <v>1285</v>
      </c>
      <c r="L477" s="48" t="s">
        <v>1636</v>
      </c>
      <c r="M477" s="48"/>
      <c r="N477" s="50" t="s">
        <v>1443</v>
      </c>
      <c r="O477" s="51" t="s">
        <v>1758</v>
      </c>
      <c r="P477" s="52" t="n">
        <v>1</v>
      </c>
      <c r="Q477" s="51"/>
      <c r="R477" s="52" t="s">
        <v>1519</v>
      </c>
      <c r="S477" s="52"/>
      <c r="T477" s="52"/>
      <c r="U477" s="53" t="n">
        <v>145340</v>
      </c>
      <c r="V477" s="54" t="n">
        <v>145340</v>
      </c>
      <c r="W477" s="55" t="n">
        <v>0.12</v>
      </c>
      <c r="X477" s="52" t="n">
        <v>0.055</v>
      </c>
      <c r="Y477" s="55" t="n">
        <v>0.12</v>
      </c>
      <c r="Z477" s="56"/>
      <c r="AA477" s="55" t="n">
        <v>0.04</v>
      </c>
      <c r="AB477" s="57" t="n">
        <v>194028.9</v>
      </c>
      <c r="AC477" s="44"/>
      <c r="AD477" s="44"/>
      <c r="AE477" s="44" t="n">
        <v>194028.9</v>
      </c>
      <c r="AF477" s="44" t="s">
        <v>53</v>
      </c>
      <c r="AG477" s="44" t="n">
        <v>0</v>
      </c>
      <c r="AH477" s="58" t="s">
        <v>14</v>
      </c>
      <c r="AI477" s="44" t="n">
        <v>0</v>
      </c>
      <c r="AJ477" s="44" t="s">
        <v>160</v>
      </c>
      <c r="AK477" s="44" t="s">
        <v>47</v>
      </c>
      <c r="AL477" s="44" t="s">
        <v>160</v>
      </c>
      <c r="AM477" s="44" t="n">
        <v>0</v>
      </c>
      <c r="AN477" s="44"/>
      <c r="AO477" s="44"/>
      <c r="AP477" s="44"/>
      <c r="AQ477" s="45" t="s">
        <v>179</v>
      </c>
      <c r="AR477" s="44" t="s">
        <v>1282</v>
      </c>
      <c r="AS477" s="44"/>
      <c r="AT477" s="44"/>
      <c r="AU477" s="44"/>
      <c r="AV477" s="44"/>
      <c r="AW477" s="44"/>
      <c r="AX477" s="44"/>
      <c r="AY477" s="44"/>
      <c r="AZ477" s="46"/>
    </row>
    <row r="478" customFormat="false" ht="18" hidden="false" customHeight="true" outlineLevel="0" collapsed="false">
      <c r="A478" s="47" t="s">
        <v>1507</v>
      </c>
      <c r="B478" s="48" t="s">
        <v>69</v>
      </c>
      <c r="C478" s="47" t="s">
        <v>1507</v>
      </c>
      <c r="D478" s="48" t="s">
        <v>80</v>
      </c>
      <c r="E478" s="48" t="s">
        <v>69</v>
      </c>
      <c r="F478" s="48" t="s">
        <v>118</v>
      </c>
      <c r="G478" s="49" t="s">
        <v>1471</v>
      </c>
      <c r="H478" s="48" t="s">
        <v>14</v>
      </c>
      <c r="I478" s="48" t="s">
        <v>1627</v>
      </c>
      <c r="J478" s="48" t="s">
        <v>1567</v>
      </c>
      <c r="K478" s="48" t="s">
        <v>67</v>
      </c>
      <c r="L478" s="48" t="s">
        <v>58</v>
      </c>
      <c r="M478" s="48"/>
      <c r="N478" s="50" t="s">
        <v>1443</v>
      </c>
      <c r="O478" s="51" t="s">
        <v>1758</v>
      </c>
      <c r="P478" s="52" t="n">
        <v>1</v>
      </c>
      <c r="Q478" s="52"/>
      <c r="R478" s="52" t="s">
        <v>1513</v>
      </c>
      <c r="S478" s="52"/>
      <c r="T478" s="52"/>
      <c r="U478" s="53" t="n">
        <v>129650</v>
      </c>
      <c r="V478" s="54" t="n">
        <v>129650</v>
      </c>
      <c r="W478" s="55" t="n">
        <v>0.1</v>
      </c>
      <c r="X478" s="52" t="n">
        <v>0.055</v>
      </c>
      <c r="Y478" s="55" t="n">
        <v>0.12</v>
      </c>
      <c r="Z478" s="56"/>
      <c r="AA478" s="55" t="n">
        <v>0.04</v>
      </c>
      <c r="AB478" s="57" t="n">
        <v>170489.75</v>
      </c>
      <c r="AC478" s="44"/>
      <c r="AD478" s="44"/>
      <c r="AE478" s="44" t="n">
        <v>170489.75</v>
      </c>
      <c r="AF478" s="44" t="s">
        <v>69</v>
      </c>
      <c r="AG478" s="44" t="n">
        <v>0</v>
      </c>
      <c r="AH478" s="58" t="s">
        <v>14</v>
      </c>
      <c r="AI478" s="44" t="n">
        <v>0</v>
      </c>
      <c r="AJ478" s="44" t="s">
        <v>58</v>
      </c>
      <c r="AK478" s="44" t="s">
        <v>47</v>
      </c>
      <c r="AL478" s="44" t="s">
        <v>58</v>
      </c>
      <c r="AM478" s="44" t="n">
        <v>0</v>
      </c>
      <c r="AN478" s="44"/>
      <c r="AO478" s="44"/>
      <c r="AP478" s="44"/>
      <c r="AQ478" s="45" t="s">
        <v>125</v>
      </c>
      <c r="AR478" s="44" t="s">
        <v>1282</v>
      </c>
      <c r="AS478" s="44"/>
      <c r="AT478" s="44"/>
      <c r="AU478" s="44"/>
      <c r="AV478" s="44"/>
      <c r="AW478" s="44"/>
      <c r="AX478" s="44"/>
      <c r="AY478" s="44"/>
      <c r="AZ478" s="46"/>
    </row>
    <row r="479" customFormat="false" ht="18" hidden="false" customHeight="true" outlineLevel="0" collapsed="false">
      <c r="A479" s="47" t="s">
        <v>1507</v>
      </c>
      <c r="B479" s="48" t="s">
        <v>69</v>
      </c>
      <c r="C479" s="47" t="s">
        <v>1507</v>
      </c>
      <c r="D479" s="48" t="s">
        <v>80</v>
      </c>
      <c r="E479" s="48" t="s">
        <v>69</v>
      </c>
      <c r="F479" s="48" t="s">
        <v>118</v>
      </c>
      <c r="G479" s="49" t="s">
        <v>1471</v>
      </c>
      <c r="H479" s="48" t="s">
        <v>14</v>
      </c>
      <c r="I479" s="48" t="s">
        <v>1627</v>
      </c>
      <c r="J479" s="48" t="s">
        <v>1567</v>
      </c>
      <c r="K479" s="48" t="s">
        <v>67</v>
      </c>
      <c r="L479" s="48" t="s">
        <v>58</v>
      </c>
      <c r="M479" s="48"/>
      <c r="N479" s="50" t="s">
        <v>1443</v>
      </c>
      <c r="O479" s="51" t="s">
        <v>1758</v>
      </c>
      <c r="P479" s="52" t="n">
        <v>1</v>
      </c>
      <c r="Q479" s="52"/>
      <c r="R479" s="52" t="s">
        <v>1513</v>
      </c>
      <c r="S479" s="52"/>
      <c r="T479" s="52"/>
      <c r="U479" s="53" t="n">
        <v>129650</v>
      </c>
      <c r="V479" s="54" t="n">
        <v>129650</v>
      </c>
      <c r="W479" s="55" t="n">
        <v>0.1</v>
      </c>
      <c r="X479" s="52" t="n">
        <v>0.055</v>
      </c>
      <c r="Y479" s="55" t="n">
        <v>0.12</v>
      </c>
      <c r="Z479" s="56"/>
      <c r="AA479" s="55" t="n">
        <v>0.04</v>
      </c>
      <c r="AB479" s="57" t="n">
        <v>170489.75</v>
      </c>
      <c r="AC479" s="44"/>
      <c r="AD479" s="44"/>
      <c r="AE479" s="44" t="n">
        <v>170489.75</v>
      </c>
      <c r="AF479" s="44" t="s">
        <v>69</v>
      </c>
      <c r="AG479" s="44" t="n">
        <v>0</v>
      </c>
      <c r="AH479" s="58" t="s">
        <v>14</v>
      </c>
      <c r="AI479" s="44" t="n">
        <v>0</v>
      </c>
      <c r="AJ479" s="44" t="s">
        <v>58</v>
      </c>
      <c r="AK479" s="44" t="s">
        <v>47</v>
      </c>
      <c r="AL479" s="44" t="s">
        <v>58</v>
      </c>
      <c r="AM479" s="44" t="n">
        <v>0</v>
      </c>
      <c r="AN479" s="44"/>
      <c r="AO479" s="44"/>
      <c r="AP479" s="44"/>
      <c r="AQ479" s="45" t="s">
        <v>126</v>
      </c>
      <c r="AR479" s="44" t="s">
        <v>1282</v>
      </c>
      <c r="AS479" s="44"/>
      <c r="AT479" s="44"/>
      <c r="AU479" s="44"/>
      <c r="AV479" s="44"/>
      <c r="AW479" s="44"/>
      <c r="AX479" s="44"/>
      <c r="AY479" s="44"/>
      <c r="AZ479" s="46"/>
    </row>
    <row r="480" customFormat="false" ht="18" hidden="false" customHeight="true" outlineLevel="0" collapsed="false">
      <c r="A480" s="47" t="s">
        <v>1507</v>
      </c>
      <c r="B480" s="48" t="s">
        <v>69</v>
      </c>
      <c r="C480" s="47" t="s">
        <v>1507</v>
      </c>
      <c r="D480" s="48" t="s">
        <v>80</v>
      </c>
      <c r="E480" s="48" t="s">
        <v>69</v>
      </c>
      <c r="F480" s="48" t="s">
        <v>118</v>
      </c>
      <c r="G480" s="49" t="s">
        <v>1471</v>
      </c>
      <c r="H480" s="48" t="s">
        <v>14</v>
      </c>
      <c r="I480" s="48" t="s">
        <v>1627</v>
      </c>
      <c r="J480" s="48" t="s">
        <v>1567</v>
      </c>
      <c r="K480" s="48" t="s">
        <v>67</v>
      </c>
      <c r="L480" s="48" t="s">
        <v>58</v>
      </c>
      <c r="M480" s="48"/>
      <c r="N480" s="50" t="s">
        <v>1443</v>
      </c>
      <c r="O480" s="51" t="s">
        <v>1758</v>
      </c>
      <c r="P480" s="52" t="n">
        <v>1</v>
      </c>
      <c r="Q480" s="52"/>
      <c r="R480" s="52" t="s">
        <v>1513</v>
      </c>
      <c r="S480" s="52"/>
      <c r="T480" s="52"/>
      <c r="U480" s="53" t="n">
        <v>151950</v>
      </c>
      <c r="V480" s="54" t="n">
        <v>151950</v>
      </c>
      <c r="W480" s="55" t="n">
        <v>0.12</v>
      </c>
      <c r="X480" s="52" t="n">
        <v>0.055</v>
      </c>
      <c r="Y480" s="55" t="n">
        <v>0.12</v>
      </c>
      <c r="Z480" s="56"/>
      <c r="AA480" s="55" t="n">
        <v>0.04</v>
      </c>
      <c r="AB480" s="57" t="n">
        <v>202853.25</v>
      </c>
      <c r="AC480" s="44"/>
      <c r="AD480" s="44"/>
      <c r="AE480" s="44" t="n">
        <v>202853.25</v>
      </c>
      <c r="AF480" s="44" t="s">
        <v>69</v>
      </c>
      <c r="AG480" s="44" t="n">
        <v>0</v>
      </c>
      <c r="AH480" s="58" t="s">
        <v>14</v>
      </c>
      <c r="AI480" s="44" t="n">
        <v>0</v>
      </c>
      <c r="AJ480" s="44" t="s">
        <v>58</v>
      </c>
      <c r="AK480" s="44" t="s">
        <v>47</v>
      </c>
      <c r="AL480" s="44" t="s">
        <v>58</v>
      </c>
      <c r="AM480" s="44" t="n">
        <v>0</v>
      </c>
      <c r="AN480" s="44"/>
      <c r="AO480" s="44"/>
      <c r="AP480" s="44"/>
      <c r="AQ480" s="45" t="s">
        <v>127</v>
      </c>
      <c r="AR480" s="44" t="s">
        <v>1282</v>
      </c>
      <c r="AS480" s="44"/>
      <c r="AT480" s="44"/>
      <c r="AU480" s="44"/>
      <c r="AV480" s="44"/>
      <c r="AW480" s="44"/>
      <c r="AX480" s="44"/>
      <c r="AY480" s="44"/>
      <c r="AZ480" s="46"/>
    </row>
    <row r="481" customFormat="false" ht="18" hidden="false" customHeight="true" outlineLevel="0" collapsed="false">
      <c r="A481" s="47" t="n">
        <v>115827</v>
      </c>
      <c r="B481" s="48" t="s">
        <v>1788</v>
      </c>
      <c r="C481" s="47" t="n">
        <v>115827</v>
      </c>
      <c r="D481" s="48" t="s">
        <v>1789</v>
      </c>
      <c r="E481" s="48" t="s">
        <v>69</v>
      </c>
      <c r="F481" s="48" t="s">
        <v>1772</v>
      </c>
      <c r="G481" s="49" t="s">
        <v>1511</v>
      </c>
      <c r="H481" s="48" t="s">
        <v>1253</v>
      </c>
      <c r="I481" s="48" t="s">
        <v>1159</v>
      </c>
      <c r="J481" s="48" t="s">
        <v>1159</v>
      </c>
      <c r="K481" s="48" t="s">
        <v>1159</v>
      </c>
      <c r="L481" s="48" t="s">
        <v>1159</v>
      </c>
      <c r="M481" s="48"/>
      <c r="N481" s="50" t="s">
        <v>1284</v>
      </c>
      <c r="O481" s="51" t="s">
        <v>1758</v>
      </c>
      <c r="P481" s="52" t="n">
        <v>1</v>
      </c>
      <c r="Q481" s="51"/>
      <c r="R481" s="52" t="s">
        <v>1519</v>
      </c>
      <c r="S481" s="52"/>
      <c r="T481" s="52"/>
      <c r="U481" s="53" t="n">
        <v>128000</v>
      </c>
      <c r="V481" s="54" t="n">
        <v>117760</v>
      </c>
      <c r="W481" s="55" t="n">
        <v>0.15</v>
      </c>
      <c r="X481" s="52"/>
      <c r="Y481" s="55" t="n">
        <v>0.05</v>
      </c>
      <c r="Z481" s="56" t="n">
        <v>2910</v>
      </c>
      <c r="AA481" s="55" t="n">
        <v>0.03</v>
      </c>
      <c r="AB481" s="57" t="n">
        <v>147754.8</v>
      </c>
      <c r="AC481" s="44"/>
      <c r="AD481" s="44"/>
      <c r="AE481" s="44" t="n">
        <v>147754.8</v>
      </c>
      <c r="AF481" s="44" t="s">
        <v>53</v>
      </c>
      <c r="AG481" s="44" t="n">
        <v>0</v>
      </c>
      <c r="AH481" s="58" t="s">
        <v>1514</v>
      </c>
      <c r="AI481" s="44" t="n">
        <v>0</v>
      </c>
      <c r="AJ481" s="44" t="s">
        <v>1253</v>
      </c>
      <c r="AK481" s="44" t="s">
        <v>47</v>
      </c>
      <c r="AL481" s="44" t="s">
        <v>1253</v>
      </c>
      <c r="AM481" s="44" t="n">
        <v>0</v>
      </c>
      <c r="AN481" s="44"/>
      <c r="AO481" s="44"/>
      <c r="AP481" s="44"/>
      <c r="AQ481" s="45" t="s">
        <v>1382</v>
      </c>
      <c r="AR481" s="44" t="s">
        <v>1284</v>
      </c>
      <c r="AS481" s="44"/>
      <c r="AT481" s="44"/>
      <c r="AU481" s="44"/>
      <c r="AV481" s="44"/>
      <c r="AW481" s="44"/>
      <c r="AX481" s="44"/>
      <c r="AY481" s="44"/>
      <c r="AZ481" s="46"/>
    </row>
    <row r="482" customFormat="false" ht="18" hidden="false" customHeight="true" outlineLevel="0" collapsed="false">
      <c r="A482" s="47" t="s">
        <v>1507</v>
      </c>
      <c r="B482" s="48" t="s">
        <v>69</v>
      </c>
      <c r="C482" s="47" t="s">
        <v>1507</v>
      </c>
      <c r="D482" s="48" t="s">
        <v>1789</v>
      </c>
      <c r="E482" s="48" t="s">
        <v>69</v>
      </c>
      <c r="F482" s="48" t="s">
        <v>1772</v>
      </c>
      <c r="G482" s="49" t="s">
        <v>1511</v>
      </c>
      <c r="H482" s="48" t="s">
        <v>1253</v>
      </c>
      <c r="I482" s="48" t="s">
        <v>1159</v>
      </c>
      <c r="J482" s="48" t="s">
        <v>1159</v>
      </c>
      <c r="K482" s="48" t="s">
        <v>1159</v>
      </c>
      <c r="L482" s="48" t="s">
        <v>1159</v>
      </c>
      <c r="M482" s="48"/>
      <c r="N482" s="50" t="s">
        <v>1284</v>
      </c>
      <c r="O482" s="51" t="s">
        <v>1758</v>
      </c>
      <c r="P482" s="52" t="n">
        <v>1</v>
      </c>
      <c r="Q482" s="51"/>
      <c r="R482" s="52" t="s">
        <v>1513</v>
      </c>
      <c r="S482" s="52"/>
      <c r="T482" s="52"/>
      <c r="U482" s="53" t="n">
        <v>131550</v>
      </c>
      <c r="V482" s="54" t="n">
        <v>121026</v>
      </c>
      <c r="W482" s="55" t="n">
        <v>0.15</v>
      </c>
      <c r="X482" s="52"/>
      <c r="Y482" s="55" t="n">
        <v>0.05</v>
      </c>
      <c r="Z482" s="56" t="n">
        <v>2910</v>
      </c>
      <c r="AA482" s="55" t="n">
        <v>0.03</v>
      </c>
      <c r="AB482" s="57" t="n">
        <v>151771.98</v>
      </c>
      <c r="AC482" s="44"/>
      <c r="AD482" s="44"/>
      <c r="AE482" s="44" t="n">
        <v>151771.98</v>
      </c>
      <c r="AF482" s="44" t="s">
        <v>69</v>
      </c>
      <c r="AG482" s="44" t="n">
        <v>0</v>
      </c>
      <c r="AH482" s="58" t="s">
        <v>1514</v>
      </c>
      <c r="AI482" s="44" t="n">
        <v>0</v>
      </c>
      <c r="AJ482" s="44" t="s">
        <v>1253</v>
      </c>
      <c r="AK482" s="44" t="s">
        <v>47</v>
      </c>
      <c r="AL482" s="44" t="s">
        <v>1253</v>
      </c>
      <c r="AM482" s="44" t="n">
        <v>0</v>
      </c>
      <c r="AN482" s="44"/>
      <c r="AO482" s="44"/>
      <c r="AP482" s="44"/>
      <c r="AQ482" s="45" t="s">
        <v>1383</v>
      </c>
      <c r="AR482" s="44" t="s">
        <v>1284</v>
      </c>
      <c r="AS482" s="44"/>
      <c r="AT482" s="44"/>
      <c r="AU482" s="44"/>
      <c r="AV482" s="44"/>
      <c r="AW482" s="44"/>
      <c r="AX482" s="44"/>
      <c r="AY482" s="44"/>
      <c r="AZ482" s="46"/>
    </row>
    <row r="483" customFormat="false" ht="18" hidden="false" customHeight="true" outlineLevel="0" collapsed="false">
      <c r="A483" s="47" t="n">
        <v>115512</v>
      </c>
      <c r="B483" s="48" t="s">
        <v>920</v>
      </c>
      <c r="C483" s="47" t="n">
        <v>115512</v>
      </c>
      <c r="D483" s="48" t="s">
        <v>918</v>
      </c>
      <c r="E483" s="48" t="s">
        <v>69</v>
      </c>
      <c r="F483" s="48" t="s">
        <v>907</v>
      </c>
      <c r="G483" s="49" t="s">
        <v>30</v>
      </c>
      <c r="H483" s="48" t="s">
        <v>1479</v>
      </c>
      <c r="I483" s="48" t="s">
        <v>1674</v>
      </c>
      <c r="J483" s="48" t="s">
        <v>1149</v>
      </c>
      <c r="K483" s="48" t="s">
        <v>1149</v>
      </c>
      <c r="L483" s="48" t="s">
        <v>1674</v>
      </c>
      <c r="M483" s="48"/>
      <c r="N483" s="50" t="s">
        <v>1284</v>
      </c>
      <c r="O483" s="51" t="s">
        <v>1758</v>
      </c>
      <c r="P483" s="52" t="n">
        <v>1</v>
      </c>
      <c r="Q483" s="52"/>
      <c r="R483" s="52" t="s">
        <v>1519</v>
      </c>
      <c r="S483" s="52"/>
      <c r="T483" s="52"/>
      <c r="U483" s="53" t="n">
        <v>120800</v>
      </c>
      <c r="V483" s="54" t="n">
        <v>111136</v>
      </c>
      <c r="W483" s="55" t="n">
        <v>0.15</v>
      </c>
      <c r="X483" s="52"/>
      <c r="Y483" s="55" t="n">
        <v>0.05</v>
      </c>
      <c r="Z483" s="56" t="n">
        <v>2910</v>
      </c>
      <c r="AA483" s="55" t="n">
        <v>0.03</v>
      </c>
      <c r="AB483" s="57" t="n">
        <v>139607.28</v>
      </c>
      <c r="AC483" s="44"/>
      <c r="AD483" s="44"/>
      <c r="AE483" s="44" t="n">
        <v>139607.28</v>
      </c>
      <c r="AF483" s="44" t="s">
        <v>53</v>
      </c>
      <c r="AG483" s="44" t="n">
        <v>0</v>
      </c>
      <c r="AH483" s="58" t="s">
        <v>30</v>
      </c>
      <c r="AI483" s="44" t="n">
        <v>0</v>
      </c>
      <c r="AJ483" s="44" t="s">
        <v>854</v>
      </c>
      <c r="AK483" s="44" t="s">
        <v>47</v>
      </c>
      <c r="AL483" s="44" t="s">
        <v>854</v>
      </c>
      <c r="AM483" s="44" t="n">
        <v>0</v>
      </c>
      <c r="AN483" s="44"/>
      <c r="AO483" s="44"/>
      <c r="AP483" s="44"/>
      <c r="AQ483" s="45" t="s">
        <v>919</v>
      </c>
      <c r="AR483" s="44" t="s">
        <v>1284</v>
      </c>
      <c r="AS483" s="44"/>
      <c r="AT483" s="44"/>
      <c r="AU483" s="44"/>
      <c r="AV483" s="44"/>
      <c r="AW483" s="44"/>
      <c r="AX483" s="44"/>
      <c r="AY483" s="44"/>
      <c r="AZ483" s="46"/>
    </row>
    <row r="484" customFormat="false" ht="18" hidden="false" customHeight="true" outlineLevel="0" collapsed="false">
      <c r="A484" s="47" t="n">
        <v>115520</v>
      </c>
      <c r="B484" s="48" t="s">
        <v>598</v>
      </c>
      <c r="C484" s="47" t="n">
        <v>115520</v>
      </c>
      <c r="D484" s="48" t="s">
        <v>599</v>
      </c>
      <c r="E484" s="48" t="s">
        <v>69</v>
      </c>
      <c r="F484" s="48" t="s">
        <v>300</v>
      </c>
      <c r="G484" s="49" t="s">
        <v>1461</v>
      </c>
      <c r="H484" s="48" t="s">
        <v>20</v>
      </c>
      <c r="I484" s="48" t="s">
        <v>1706</v>
      </c>
      <c r="J484" s="48" t="s">
        <v>20</v>
      </c>
      <c r="K484" s="48" t="s">
        <v>569</v>
      </c>
      <c r="L484" s="48" t="s">
        <v>569</v>
      </c>
      <c r="M484" s="48"/>
      <c r="N484" s="50" t="s">
        <v>1284</v>
      </c>
      <c r="O484" s="51" t="s">
        <v>1758</v>
      </c>
      <c r="P484" s="52" t="n">
        <v>1</v>
      </c>
      <c r="Q484" s="52"/>
      <c r="R484" s="52" t="s">
        <v>1519</v>
      </c>
      <c r="S484" s="52"/>
      <c r="T484" s="52"/>
      <c r="U484" s="53" t="n">
        <v>135720</v>
      </c>
      <c r="V484" s="54" t="n">
        <v>124862.4</v>
      </c>
      <c r="W484" s="55" t="n">
        <v>0.15</v>
      </c>
      <c r="X484" s="52"/>
      <c r="Y484" s="55" t="n">
        <v>0.05</v>
      </c>
      <c r="Z484" s="56" t="n">
        <v>2910</v>
      </c>
      <c r="AA484" s="55" t="n">
        <v>0.03</v>
      </c>
      <c r="AB484" s="57" t="n">
        <v>156490.752</v>
      </c>
      <c r="AC484" s="44"/>
      <c r="AD484" s="44"/>
      <c r="AE484" s="44" t="n">
        <v>156490.752</v>
      </c>
      <c r="AF484" s="44" t="s">
        <v>53</v>
      </c>
      <c r="AG484" s="44" t="n">
        <v>0</v>
      </c>
      <c r="AH484" s="58" t="s">
        <v>20</v>
      </c>
      <c r="AI484" s="44" t="n">
        <v>0</v>
      </c>
      <c r="AJ484" s="44" t="s">
        <v>569</v>
      </c>
      <c r="AK484" s="44" t="s">
        <v>47</v>
      </c>
      <c r="AL484" s="44" t="s">
        <v>569</v>
      </c>
      <c r="AM484" s="44" t="n">
        <v>0</v>
      </c>
      <c r="AN484" s="44"/>
      <c r="AO484" s="44"/>
      <c r="AP484" s="44"/>
      <c r="AQ484" s="45" t="s">
        <v>597</v>
      </c>
      <c r="AR484" s="44" t="s">
        <v>1284</v>
      </c>
      <c r="AS484" s="44"/>
      <c r="AT484" s="44"/>
      <c r="AU484" s="44"/>
      <c r="AV484" s="44"/>
      <c r="AW484" s="44"/>
      <c r="AX484" s="44"/>
      <c r="AY484" s="44"/>
      <c r="AZ484" s="46"/>
    </row>
    <row r="485" customFormat="false" ht="18" hidden="false" customHeight="true" outlineLevel="0" collapsed="false">
      <c r="A485" s="47" t="s">
        <v>1507</v>
      </c>
      <c r="B485" s="48" t="s">
        <v>69</v>
      </c>
      <c r="C485" s="47" t="s">
        <v>1507</v>
      </c>
      <c r="D485" s="48" t="s">
        <v>80</v>
      </c>
      <c r="E485" s="48" t="s">
        <v>69</v>
      </c>
      <c r="F485" s="48" t="s">
        <v>300</v>
      </c>
      <c r="G485" s="49" t="s">
        <v>1461</v>
      </c>
      <c r="H485" s="48" t="s">
        <v>20</v>
      </c>
      <c r="I485" s="48" t="s">
        <v>1706</v>
      </c>
      <c r="J485" s="48" t="s">
        <v>20</v>
      </c>
      <c r="K485" s="48" t="s">
        <v>517</v>
      </c>
      <c r="L485" s="48" t="s">
        <v>517</v>
      </c>
      <c r="M485" s="48"/>
      <c r="N485" s="50" t="s">
        <v>1443</v>
      </c>
      <c r="O485" s="51" t="s">
        <v>1758</v>
      </c>
      <c r="P485" s="52" t="n">
        <v>1</v>
      </c>
      <c r="Q485" s="52"/>
      <c r="R485" s="52" t="s">
        <v>1513</v>
      </c>
      <c r="S485" s="52"/>
      <c r="T485" s="52"/>
      <c r="U485" s="53" t="n">
        <v>129650</v>
      </c>
      <c r="V485" s="54" t="n">
        <v>129650</v>
      </c>
      <c r="W485" s="55" t="n">
        <v>0.1</v>
      </c>
      <c r="X485" s="52" t="n">
        <v>0.055</v>
      </c>
      <c r="Y485" s="55" t="n">
        <v>0.12</v>
      </c>
      <c r="Z485" s="56"/>
      <c r="AA485" s="55" t="n">
        <v>0.04</v>
      </c>
      <c r="AB485" s="57" t="n">
        <v>170489.75</v>
      </c>
      <c r="AC485" s="44"/>
      <c r="AD485" s="44"/>
      <c r="AE485" s="44" t="n">
        <v>170489.75</v>
      </c>
      <c r="AF485" s="44" t="s">
        <v>69</v>
      </c>
      <c r="AG485" s="44" t="n">
        <v>0</v>
      </c>
      <c r="AH485" s="58" t="s">
        <v>20</v>
      </c>
      <c r="AI485" s="44" t="n">
        <v>0</v>
      </c>
      <c r="AJ485" s="44" t="s">
        <v>517</v>
      </c>
      <c r="AK485" s="44" t="s">
        <v>47</v>
      </c>
      <c r="AL485" s="44" t="s">
        <v>517</v>
      </c>
      <c r="AM485" s="44" t="n">
        <v>0</v>
      </c>
      <c r="AN485" s="44"/>
      <c r="AO485" s="44"/>
      <c r="AP485" s="44"/>
      <c r="AQ485" s="45" t="s">
        <v>547</v>
      </c>
      <c r="AR485" s="44" t="s">
        <v>1282</v>
      </c>
      <c r="AS485" s="44"/>
      <c r="AT485" s="44"/>
      <c r="AU485" s="44"/>
      <c r="AV485" s="44"/>
      <c r="AW485" s="44"/>
      <c r="AX485" s="44"/>
      <c r="AY485" s="44"/>
      <c r="AZ485" s="46"/>
    </row>
    <row r="486" customFormat="false" ht="18" hidden="false" customHeight="true" outlineLevel="0" collapsed="false">
      <c r="A486" s="47" t="s">
        <v>1507</v>
      </c>
      <c r="B486" s="48" t="s">
        <v>69</v>
      </c>
      <c r="C486" s="47" t="s">
        <v>1507</v>
      </c>
      <c r="D486" s="48" t="s">
        <v>57</v>
      </c>
      <c r="E486" s="48" t="s">
        <v>214</v>
      </c>
      <c r="F486" s="48" t="s">
        <v>215</v>
      </c>
      <c r="G486" s="49" t="s">
        <v>1471</v>
      </c>
      <c r="H486" s="48" t="s">
        <v>14</v>
      </c>
      <c r="I486" s="48" t="s">
        <v>1627</v>
      </c>
      <c r="J486" s="48" t="s">
        <v>1567</v>
      </c>
      <c r="K486" s="48" t="s">
        <v>67</v>
      </c>
      <c r="L486" s="48" t="s">
        <v>54</v>
      </c>
      <c r="M486" s="48"/>
      <c r="N486" s="50" t="s">
        <v>1443</v>
      </c>
      <c r="O486" s="51" t="s">
        <v>1758</v>
      </c>
      <c r="P486" s="52" t="n">
        <v>1</v>
      </c>
      <c r="Q486" s="52"/>
      <c r="R486" s="52" t="s">
        <v>1513</v>
      </c>
      <c r="S486" s="52"/>
      <c r="T486" s="52"/>
      <c r="U486" s="53" t="n">
        <v>129659</v>
      </c>
      <c r="V486" s="54" t="n">
        <v>129659</v>
      </c>
      <c r="W486" s="55" t="n">
        <v>0.1</v>
      </c>
      <c r="X486" s="52" t="n">
        <v>0.055</v>
      </c>
      <c r="Y486" s="55" t="n">
        <v>0.12</v>
      </c>
      <c r="Z486" s="56"/>
      <c r="AA486" s="55" t="n">
        <v>0.04</v>
      </c>
      <c r="AB486" s="57" t="n">
        <v>170501.585</v>
      </c>
      <c r="AC486" s="44"/>
      <c r="AD486" s="44"/>
      <c r="AE486" s="44" t="n">
        <v>170501.585</v>
      </c>
      <c r="AF486" s="44" t="s">
        <v>69</v>
      </c>
      <c r="AG486" s="44" t="n">
        <v>0</v>
      </c>
      <c r="AH486" s="58" t="s">
        <v>14</v>
      </c>
      <c r="AI486" s="44" t="n">
        <v>0</v>
      </c>
      <c r="AJ486" s="44" t="s">
        <v>54</v>
      </c>
      <c r="AK486" s="44" t="s">
        <v>47</v>
      </c>
      <c r="AL486" s="44" t="s">
        <v>54</v>
      </c>
      <c r="AM486" s="44" t="n">
        <v>0</v>
      </c>
      <c r="AN486" s="44"/>
      <c r="AO486" s="44"/>
      <c r="AP486" s="44"/>
      <c r="AQ486" s="45" t="s">
        <v>134</v>
      </c>
      <c r="AR486" s="44" t="s">
        <v>1282</v>
      </c>
      <c r="AS486" s="44"/>
      <c r="AT486" s="44"/>
      <c r="AU486" s="44"/>
      <c r="AV486" s="44"/>
      <c r="AW486" s="44"/>
      <c r="AX486" s="44"/>
      <c r="AY486" s="44"/>
      <c r="AZ486" s="46"/>
    </row>
    <row r="487" customFormat="false" ht="18" hidden="false" customHeight="true" outlineLevel="0" collapsed="false">
      <c r="A487" s="47" t="s">
        <v>1507</v>
      </c>
      <c r="B487" s="48" t="s">
        <v>69</v>
      </c>
      <c r="C487" s="47" t="s">
        <v>1507</v>
      </c>
      <c r="D487" s="48" t="s">
        <v>57</v>
      </c>
      <c r="E487" s="48" t="s">
        <v>214</v>
      </c>
      <c r="F487" s="48" t="s">
        <v>215</v>
      </c>
      <c r="G487" s="49" t="s">
        <v>1471</v>
      </c>
      <c r="H487" s="48" t="s">
        <v>14</v>
      </c>
      <c r="I487" s="48" t="s">
        <v>1627</v>
      </c>
      <c r="J487" s="48" t="s">
        <v>1567</v>
      </c>
      <c r="K487" s="48" t="s">
        <v>67</v>
      </c>
      <c r="L487" s="48" t="s">
        <v>58</v>
      </c>
      <c r="M487" s="48"/>
      <c r="N487" s="50" t="s">
        <v>1443</v>
      </c>
      <c r="O487" s="51" t="s">
        <v>1758</v>
      </c>
      <c r="P487" s="52" t="n">
        <v>1</v>
      </c>
      <c r="Q487" s="52"/>
      <c r="R487" s="52" t="s">
        <v>1507</v>
      </c>
      <c r="S487" s="52"/>
      <c r="T487" s="52"/>
      <c r="U487" s="53" t="n">
        <v>151950</v>
      </c>
      <c r="V487" s="54" t="n">
        <v>151950</v>
      </c>
      <c r="W487" s="55" t="n">
        <v>0.12</v>
      </c>
      <c r="X487" s="52" t="n">
        <v>0.055</v>
      </c>
      <c r="Y487" s="55" t="n">
        <v>0.12</v>
      </c>
      <c r="Z487" s="56"/>
      <c r="AA487" s="55" t="n">
        <v>0.04</v>
      </c>
      <c r="AB487" s="57" t="n">
        <v>202853.25</v>
      </c>
      <c r="AC487" s="44"/>
      <c r="AD487" s="44"/>
      <c r="AE487" s="44" t="n">
        <v>202853.25</v>
      </c>
      <c r="AF487" s="44" t="s">
        <v>69</v>
      </c>
      <c r="AG487" s="44" t="n">
        <v>0</v>
      </c>
      <c r="AH487" s="58" t="s">
        <v>14</v>
      </c>
      <c r="AI487" s="44" t="n">
        <v>0</v>
      </c>
      <c r="AJ487" s="44" t="s">
        <v>58</v>
      </c>
      <c r="AK487" s="44" t="s">
        <v>47</v>
      </c>
      <c r="AL487" s="44" t="s">
        <v>58</v>
      </c>
      <c r="AM487" s="44" t="n">
        <v>0</v>
      </c>
      <c r="AN487" s="44"/>
      <c r="AO487" s="44"/>
      <c r="AP487" s="44"/>
      <c r="AQ487" s="45" t="s">
        <v>128</v>
      </c>
      <c r="AR487" s="44" t="s">
        <v>1282</v>
      </c>
      <c r="AS487" s="44"/>
      <c r="AT487" s="44"/>
      <c r="AU487" s="44"/>
      <c r="AV487" s="44"/>
      <c r="AW487" s="44"/>
      <c r="AX487" s="44"/>
      <c r="AY487" s="44"/>
      <c r="AZ487" s="46"/>
    </row>
    <row r="488" customFormat="false" ht="18" hidden="false" customHeight="true" outlineLevel="0" collapsed="false">
      <c r="A488" s="47" t="n">
        <v>110388</v>
      </c>
      <c r="B488" s="48" t="s">
        <v>113</v>
      </c>
      <c r="C488" s="47" t="n">
        <v>110388</v>
      </c>
      <c r="D488" s="48" t="s">
        <v>80</v>
      </c>
      <c r="E488" s="48" t="s">
        <v>211</v>
      </c>
      <c r="F488" s="48" t="s">
        <v>212</v>
      </c>
      <c r="G488" s="49" t="s">
        <v>1471</v>
      </c>
      <c r="H488" s="48" t="s">
        <v>14</v>
      </c>
      <c r="I488" s="48" t="s">
        <v>1602</v>
      </c>
      <c r="J488" s="48" t="s">
        <v>1567</v>
      </c>
      <c r="K488" s="48" t="s">
        <v>1156</v>
      </c>
      <c r="L488" s="48" t="s">
        <v>64</v>
      </c>
      <c r="M488" s="48"/>
      <c r="N488" s="50" t="s">
        <v>1443</v>
      </c>
      <c r="O488" s="51" t="s">
        <v>1758</v>
      </c>
      <c r="P488" s="52" t="n">
        <v>1</v>
      </c>
      <c r="Q488" s="51"/>
      <c r="R488" s="52" t="s">
        <v>1519</v>
      </c>
      <c r="S488" s="52"/>
      <c r="T488" s="52"/>
      <c r="U488" s="53" t="n">
        <v>120030</v>
      </c>
      <c r="V488" s="54" t="n">
        <v>120030</v>
      </c>
      <c r="W488" s="55" t="n">
        <v>0.1</v>
      </c>
      <c r="X488" s="52" t="n">
        <v>0.055</v>
      </c>
      <c r="Y488" s="55" t="n">
        <v>0.12</v>
      </c>
      <c r="Z488" s="56"/>
      <c r="AA488" s="55" t="n">
        <v>0.04</v>
      </c>
      <c r="AB488" s="57" t="n">
        <v>157839.45</v>
      </c>
      <c r="AC488" s="44"/>
      <c r="AD488" s="44"/>
      <c r="AE488" s="44" t="n">
        <v>157839.45</v>
      </c>
      <c r="AF488" s="44" t="s">
        <v>53</v>
      </c>
      <c r="AG488" s="44" t="n">
        <v>0</v>
      </c>
      <c r="AH488" s="58" t="s">
        <v>14</v>
      </c>
      <c r="AI488" s="44" t="n">
        <v>0</v>
      </c>
      <c r="AJ488" s="44" t="s">
        <v>64</v>
      </c>
      <c r="AK488" s="44" t="s">
        <v>47</v>
      </c>
      <c r="AL488" s="44" t="s">
        <v>64</v>
      </c>
      <c r="AM488" s="44" t="n">
        <v>0</v>
      </c>
      <c r="AN488" s="44"/>
      <c r="AO488" s="44"/>
      <c r="AP488" s="44"/>
      <c r="AQ488" s="45" t="s">
        <v>112</v>
      </c>
      <c r="AR488" s="44" t="s">
        <v>1282</v>
      </c>
      <c r="AS488" s="44"/>
      <c r="AT488" s="44"/>
      <c r="AU488" s="44"/>
      <c r="AV488" s="44"/>
      <c r="AW488" s="44"/>
      <c r="AX488" s="44"/>
      <c r="AY488" s="44"/>
      <c r="AZ488" s="46"/>
    </row>
    <row r="489" customFormat="false" ht="18" hidden="false" customHeight="true" outlineLevel="0" collapsed="false">
      <c r="A489" s="47" t="n">
        <v>107164</v>
      </c>
      <c r="B489" s="48" t="s">
        <v>115</v>
      </c>
      <c r="C489" s="47" t="n">
        <v>107164</v>
      </c>
      <c r="D489" s="48" t="s">
        <v>57</v>
      </c>
      <c r="E489" s="48" t="s">
        <v>211</v>
      </c>
      <c r="F489" s="48" t="s">
        <v>212</v>
      </c>
      <c r="G489" s="49" t="s">
        <v>1471</v>
      </c>
      <c r="H489" s="48" t="s">
        <v>14</v>
      </c>
      <c r="I489" s="48" t="s">
        <v>1602</v>
      </c>
      <c r="J489" s="48" t="s">
        <v>1567</v>
      </c>
      <c r="K489" s="48" t="s">
        <v>1156</v>
      </c>
      <c r="L489" s="48" t="s">
        <v>64</v>
      </c>
      <c r="M489" s="48"/>
      <c r="N489" s="50" t="s">
        <v>1443</v>
      </c>
      <c r="O489" s="51" t="s">
        <v>1758</v>
      </c>
      <c r="P489" s="52" t="n">
        <v>1</v>
      </c>
      <c r="Q489" s="72"/>
      <c r="R489" s="52" t="s">
        <v>1519</v>
      </c>
      <c r="S489" s="52"/>
      <c r="T489" s="52"/>
      <c r="U489" s="53" t="n">
        <v>154420</v>
      </c>
      <c r="V489" s="54" t="n">
        <v>154420</v>
      </c>
      <c r="W489" s="55" t="n">
        <v>0.12</v>
      </c>
      <c r="X489" s="52" t="n">
        <v>0.055</v>
      </c>
      <c r="Y489" s="55" t="n">
        <v>0.12</v>
      </c>
      <c r="Z489" s="56"/>
      <c r="AA489" s="55" t="n">
        <v>0.04</v>
      </c>
      <c r="AB489" s="57" t="n">
        <v>206150.7</v>
      </c>
      <c r="AC489" s="44"/>
      <c r="AD489" s="44"/>
      <c r="AE489" s="44" t="n">
        <v>206150.7</v>
      </c>
      <c r="AF489" s="44" t="s">
        <v>53</v>
      </c>
      <c r="AG489" s="44" t="n">
        <v>0</v>
      </c>
      <c r="AH489" s="58" t="s">
        <v>14</v>
      </c>
      <c r="AI489" s="44" t="n">
        <v>0</v>
      </c>
      <c r="AJ489" s="44" t="s">
        <v>64</v>
      </c>
      <c r="AK489" s="44" t="s">
        <v>47</v>
      </c>
      <c r="AL489" s="44" t="s">
        <v>64</v>
      </c>
      <c r="AM489" s="44" t="n">
        <v>0</v>
      </c>
      <c r="AN489" s="44"/>
      <c r="AO489" s="44"/>
      <c r="AP489" s="44"/>
      <c r="AQ489" s="45" t="s">
        <v>114</v>
      </c>
      <c r="AR489" s="44" t="s">
        <v>1282</v>
      </c>
      <c r="AS489" s="44"/>
      <c r="AT489" s="73"/>
      <c r="AU489" s="74"/>
      <c r="AV489" s="73"/>
      <c r="AW489" s="44"/>
      <c r="AX489" s="44"/>
      <c r="AY489" s="44"/>
      <c r="AZ489" s="46"/>
    </row>
    <row r="490" customFormat="false" ht="18" hidden="false" customHeight="true" outlineLevel="0" collapsed="false">
      <c r="A490" s="47" t="s">
        <v>1507</v>
      </c>
      <c r="B490" s="48" t="s">
        <v>69</v>
      </c>
      <c r="C490" s="47" t="s">
        <v>1507</v>
      </c>
      <c r="D490" s="48" t="s">
        <v>57</v>
      </c>
      <c r="E490" s="48" t="s">
        <v>211</v>
      </c>
      <c r="F490" s="48" t="s">
        <v>212</v>
      </c>
      <c r="G490" s="49" t="s">
        <v>1471</v>
      </c>
      <c r="H490" s="48" t="s">
        <v>14</v>
      </c>
      <c r="I490" s="48" t="s">
        <v>1602</v>
      </c>
      <c r="J490" s="48" t="s">
        <v>1567</v>
      </c>
      <c r="K490" s="48" t="s">
        <v>1156</v>
      </c>
      <c r="L490" s="48" t="s">
        <v>64</v>
      </c>
      <c r="M490" s="48"/>
      <c r="N490" s="50" t="s">
        <v>1443</v>
      </c>
      <c r="O490" s="51" t="s">
        <v>1758</v>
      </c>
      <c r="P490" s="52" t="n">
        <v>1</v>
      </c>
      <c r="Q490" s="52"/>
      <c r="R490" s="52" t="s">
        <v>1507</v>
      </c>
      <c r="S490" s="52"/>
      <c r="T490" s="52"/>
      <c r="U490" s="53" t="n">
        <v>173550</v>
      </c>
      <c r="V490" s="54" t="n">
        <v>173550</v>
      </c>
      <c r="W490" s="55" t="n">
        <v>0.12</v>
      </c>
      <c r="X490" s="52" t="n">
        <v>0.055</v>
      </c>
      <c r="Y490" s="55" t="n">
        <v>0.12</v>
      </c>
      <c r="Z490" s="56"/>
      <c r="AA490" s="55" t="n">
        <v>0.04</v>
      </c>
      <c r="AB490" s="57" t="n">
        <v>231689.25</v>
      </c>
      <c r="AC490" s="44"/>
      <c r="AD490" s="44"/>
      <c r="AE490" s="44" t="n">
        <v>231689.25</v>
      </c>
      <c r="AF490" s="44" t="s">
        <v>69</v>
      </c>
      <c r="AG490" s="44" t="n">
        <v>0</v>
      </c>
      <c r="AH490" s="58" t="s">
        <v>14</v>
      </c>
      <c r="AI490" s="44" t="n">
        <v>0</v>
      </c>
      <c r="AJ490" s="44" t="s">
        <v>64</v>
      </c>
      <c r="AK490" s="44" t="s">
        <v>47</v>
      </c>
      <c r="AL490" s="44" t="s">
        <v>64</v>
      </c>
      <c r="AM490" s="44" t="n">
        <v>0</v>
      </c>
      <c r="AN490" s="44"/>
      <c r="AO490" s="44"/>
      <c r="AP490" s="44"/>
      <c r="AQ490" s="45" t="s">
        <v>116</v>
      </c>
      <c r="AR490" s="44" t="s">
        <v>1282</v>
      </c>
      <c r="AS490" s="44"/>
      <c r="AT490" s="44"/>
      <c r="AU490" s="44"/>
      <c r="AV490" s="44"/>
      <c r="AW490" s="44"/>
      <c r="AX490" s="44"/>
      <c r="AY490" s="44"/>
      <c r="AZ490" s="46"/>
    </row>
    <row r="491" customFormat="false" ht="18" hidden="false" customHeight="true" outlineLevel="0" collapsed="false">
      <c r="A491" s="47" t="n">
        <v>98015</v>
      </c>
      <c r="B491" s="48" t="s">
        <v>348</v>
      </c>
      <c r="C491" s="47" t="n">
        <v>98015</v>
      </c>
      <c r="D491" s="48" t="s">
        <v>349</v>
      </c>
      <c r="E491" s="48" t="s">
        <v>475</v>
      </c>
      <c r="F491" s="48" t="s">
        <v>476</v>
      </c>
      <c r="G491" s="49" t="s">
        <v>1439</v>
      </c>
      <c r="H491" s="48" t="s">
        <v>1440</v>
      </c>
      <c r="I491" s="48" t="s">
        <v>1576</v>
      </c>
      <c r="J491" s="48" t="s">
        <v>18</v>
      </c>
      <c r="K491" s="48" t="s">
        <v>1150</v>
      </c>
      <c r="L491" s="48" t="s">
        <v>307</v>
      </c>
      <c r="M491" s="48"/>
      <c r="N491" s="50" t="s">
        <v>1443</v>
      </c>
      <c r="O491" s="51" t="s">
        <v>1790</v>
      </c>
      <c r="P491" s="52" t="n">
        <v>1</v>
      </c>
      <c r="Q491" s="51"/>
      <c r="R491" s="52" t="s">
        <v>1519</v>
      </c>
      <c r="S491" s="52"/>
      <c r="T491" s="52"/>
      <c r="U491" s="53" t="n">
        <v>111380</v>
      </c>
      <c r="V491" s="54" t="n">
        <v>111380</v>
      </c>
      <c r="W491" s="55" t="n">
        <v>0.1</v>
      </c>
      <c r="X491" s="52" t="n">
        <v>0.055</v>
      </c>
      <c r="Y491" s="55" t="n">
        <v>0.12</v>
      </c>
      <c r="Z491" s="56"/>
      <c r="AA491" s="55" t="n">
        <v>0.04</v>
      </c>
      <c r="AB491" s="57" t="n">
        <v>146464.7</v>
      </c>
      <c r="AC491" s="44"/>
      <c r="AD491" s="44"/>
      <c r="AE491" s="75" t="n">
        <v>146464.7</v>
      </c>
      <c r="AF491" s="75" t="s">
        <v>53</v>
      </c>
      <c r="AG491" s="75" t="n">
        <v>0</v>
      </c>
      <c r="AH491" s="58" t="s">
        <v>1439</v>
      </c>
      <c r="AI491" s="75" t="n">
        <v>0</v>
      </c>
      <c r="AJ491" s="75" t="s">
        <v>307</v>
      </c>
      <c r="AK491" s="75" t="s">
        <v>47</v>
      </c>
      <c r="AL491" s="75" t="s">
        <v>307</v>
      </c>
      <c r="AM491" s="75" t="n">
        <v>0</v>
      </c>
      <c r="AN491" s="75" t="s">
        <v>53</v>
      </c>
      <c r="AO491" s="44"/>
      <c r="AP491" s="44"/>
      <c r="AQ491" s="45" t="s">
        <v>347</v>
      </c>
      <c r="AR491" s="44" t="s">
        <v>1282</v>
      </c>
      <c r="AS491" s="44"/>
      <c r="AT491" s="44"/>
      <c r="AU491" s="44"/>
      <c r="AV491" s="44"/>
      <c r="AW491" s="44"/>
      <c r="AX491" s="44"/>
      <c r="AY491" s="44"/>
      <c r="AZ491" s="46"/>
    </row>
    <row r="492" customFormat="false" ht="18" hidden="false" customHeight="true" outlineLevel="0" collapsed="false">
      <c r="A492" s="47" t="n">
        <v>113567</v>
      </c>
      <c r="B492" s="48" t="s">
        <v>500</v>
      </c>
      <c r="C492" s="47" t="n">
        <v>113567</v>
      </c>
      <c r="D492" s="48" t="s">
        <v>501</v>
      </c>
      <c r="E492" s="48" t="s">
        <v>448</v>
      </c>
      <c r="F492" s="48" t="s">
        <v>1644</v>
      </c>
      <c r="G492" s="49" t="s">
        <v>1439</v>
      </c>
      <c r="H492" s="48" t="s">
        <v>1465</v>
      </c>
      <c r="I492" s="48" t="s">
        <v>1571</v>
      </c>
      <c r="J492" s="48" t="s">
        <v>1517</v>
      </c>
      <c r="K492" s="48" t="s">
        <v>464</v>
      </c>
      <c r="L492" s="48" t="s">
        <v>464</v>
      </c>
      <c r="M492" s="48"/>
      <c r="N492" s="50" t="s">
        <v>1284</v>
      </c>
      <c r="O492" s="51" t="s">
        <v>1790</v>
      </c>
      <c r="P492" s="52" t="n">
        <v>1</v>
      </c>
      <c r="Q492" s="51"/>
      <c r="R492" s="52" t="s">
        <v>1519</v>
      </c>
      <c r="S492" s="52"/>
      <c r="T492" s="52"/>
      <c r="U492" s="53" t="n">
        <v>96140</v>
      </c>
      <c r="V492" s="54" t="n">
        <v>88448.8</v>
      </c>
      <c r="W492" s="55" t="n">
        <v>0.1</v>
      </c>
      <c r="X492" s="52"/>
      <c r="Y492" s="55" t="n">
        <v>0.05</v>
      </c>
      <c r="Z492" s="56" t="n">
        <v>2910</v>
      </c>
      <c r="AA492" s="55" t="n">
        <v>0.03</v>
      </c>
      <c r="AB492" s="57" t="n">
        <v>107279.584</v>
      </c>
      <c r="AC492" s="44"/>
      <c r="AD492" s="44"/>
      <c r="AE492" s="44" t="n">
        <v>107279.584</v>
      </c>
      <c r="AF492" s="44" t="s">
        <v>53</v>
      </c>
      <c r="AG492" s="44" t="n">
        <v>0</v>
      </c>
      <c r="AH492" s="58" t="s">
        <v>1439</v>
      </c>
      <c r="AI492" s="44" t="n">
        <v>0</v>
      </c>
      <c r="AJ492" s="44" t="s">
        <v>464</v>
      </c>
      <c r="AK492" s="44" t="s">
        <v>47</v>
      </c>
      <c r="AL492" s="44" t="s">
        <v>464</v>
      </c>
      <c r="AM492" s="44" t="n">
        <v>0</v>
      </c>
      <c r="AN492" s="44" t="s">
        <v>53</v>
      </c>
      <c r="AO492" s="44"/>
      <c r="AP492" s="44"/>
      <c r="AQ492" s="45" t="s">
        <v>499</v>
      </c>
      <c r="AR492" s="44" t="s">
        <v>1284</v>
      </c>
      <c r="AS492" s="44"/>
      <c r="AT492" s="44"/>
      <c r="AU492" s="44"/>
      <c r="AV492" s="44"/>
      <c r="AW492" s="44"/>
      <c r="AX492" s="44"/>
      <c r="AY492" s="44"/>
      <c r="AZ492" s="46"/>
    </row>
    <row r="493" customFormat="false" ht="18" hidden="false" customHeight="true" outlineLevel="0" collapsed="false">
      <c r="A493" s="47" t="n">
        <v>117173</v>
      </c>
      <c r="B493" s="48" t="s">
        <v>385</v>
      </c>
      <c r="C493" s="47" t="n">
        <v>117173</v>
      </c>
      <c r="D493" s="48" t="s">
        <v>80</v>
      </c>
      <c r="E493" s="48" t="s">
        <v>451</v>
      </c>
      <c r="F493" s="48" t="s">
        <v>1482</v>
      </c>
      <c r="G493" s="49" t="s">
        <v>1439</v>
      </c>
      <c r="H493" s="48" t="s">
        <v>1440</v>
      </c>
      <c r="I493" s="48" t="s">
        <v>1483</v>
      </c>
      <c r="J493" s="48" t="s">
        <v>18</v>
      </c>
      <c r="K493" s="48" t="s">
        <v>1150</v>
      </c>
      <c r="L493" s="48" t="s">
        <v>318</v>
      </c>
      <c r="M493" s="48"/>
      <c r="N493" s="50" t="s">
        <v>1443</v>
      </c>
      <c r="O493" s="51" t="s">
        <v>1790</v>
      </c>
      <c r="P493" s="52" t="n">
        <v>1</v>
      </c>
      <c r="Q493" s="51"/>
      <c r="R493" s="52" t="s">
        <v>1519</v>
      </c>
      <c r="S493" s="52"/>
      <c r="T493" s="52"/>
      <c r="U493" s="53" t="n">
        <v>119900</v>
      </c>
      <c r="V493" s="54" t="n">
        <v>126350</v>
      </c>
      <c r="W493" s="55" t="n">
        <v>0.1</v>
      </c>
      <c r="X493" s="52" t="n">
        <v>0.055</v>
      </c>
      <c r="Y493" s="55" t="n">
        <v>0.12</v>
      </c>
      <c r="Z493" s="56"/>
      <c r="AA493" s="55" t="n">
        <v>0.04</v>
      </c>
      <c r="AB493" s="57" t="n">
        <v>146465.7</v>
      </c>
      <c r="AC493" s="44"/>
      <c r="AD493" s="44"/>
      <c r="AE493" s="44" t="n">
        <v>146465.7</v>
      </c>
      <c r="AF493" s="44" t="s">
        <v>53</v>
      </c>
      <c r="AG493" s="44" t="n">
        <v>0</v>
      </c>
      <c r="AH493" s="58" t="s">
        <v>1439</v>
      </c>
      <c r="AI493" s="44" t="n">
        <v>0</v>
      </c>
      <c r="AJ493" s="44" t="s">
        <v>318</v>
      </c>
      <c r="AK493" s="44" t="s">
        <v>47</v>
      </c>
      <c r="AL493" s="44" t="s">
        <v>318</v>
      </c>
      <c r="AM493" s="44" t="n">
        <v>0</v>
      </c>
      <c r="AN493" s="44" t="s">
        <v>53</v>
      </c>
      <c r="AO493" s="44"/>
      <c r="AP493" s="44"/>
      <c r="AQ493" s="45" t="s">
        <v>384</v>
      </c>
      <c r="AR493" s="44" t="s">
        <v>1282</v>
      </c>
      <c r="AS493" s="44"/>
      <c r="AT493" s="44"/>
      <c r="AU493" s="44"/>
      <c r="AV493" s="44"/>
      <c r="AW493" s="44"/>
      <c r="AX493" s="44"/>
      <c r="AY493" s="44"/>
      <c r="AZ493" s="46"/>
    </row>
    <row r="494" customFormat="false" ht="18" hidden="false" customHeight="true" outlineLevel="0" collapsed="false">
      <c r="A494" s="47" t="n">
        <v>113522</v>
      </c>
      <c r="B494" s="48" t="s">
        <v>250</v>
      </c>
      <c r="C494" s="47" t="n">
        <v>113522</v>
      </c>
      <c r="D494" s="48" t="s">
        <v>251</v>
      </c>
      <c r="E494" s="48" t="s">
        <v>305</v>
      </c>
      <c r="F494" s="48" t="s">
        <v>1654</v>
      </c>
      <c r="G494" s="49" t="s">
        <v>1471</v>
      </c>
      <c r="H494" s="48" t="s">
        <v>1472</v>
      </c>
      <c r="I494" s="48" t="s">
        <v>1628</v>
      </c>
      <c r="J494" s="48" t="s">
        <v>1568</v>
      </c>
      <c r="K494" s="48" t="s">
        <v>19</v>
      </c>
      <c r="L494" s="48" t="s">
        <v>218</v>
      </c>
      <c r="M494" s="48"/>
      <c r="N494" s="50" t="s">
        <v>1284</v>
      </c>
      <c r="O494" s="51" t="s">
        <v>1791</v>
      </c>
      <c r="P494" s="52" t="n">
        <v>1</v>
      </c>
      <c r="Q494" s="51"/>
      <c r="R494" s="52" t="s">
        <v>1519</v>
      </c>
      <c r="S494" s="52"/>
      <c r="T494" s="52"/>
      <c r="U494" s="53" t="n">
        <v>96110</v>
      </c>
      <c r="V494" s="54" t="n">
        <v>88421.2</v>
      </c>
      <c r="W494" s="55" t="n">
        <v>0.1</v>
      </c>
      <c r="X494" s="52"/>
      <c r="Y494" s="55" t="n">
        <v>0.05</v>
      </c>
      <c r="Z494" s="56" t="n">
        <v>2910</v>
      </c>
      <c r="AA494" s="55" t="n">
        <v>0.03</v>
      </c>
      <c r="AB494" s="57" t="n">
        <v>107247.016</v>
      </c>
      <c r="AC494" s="44"/>
      <c r="AD494" s="44"/>
      <c r="AE494" s="44" t="n">
        <v>107247.016</v>
      </c>
      <c r="AF494" s="44" t="s">
        <v>53</v>
      </c>
      <c r="AG494" s="44" t="n">
        <v>0</v>
      </c>
      <c r="AH494" s="58" t="s">
        <v>16</v>
      </c>
      <c r="AI494" s="44" t="n">
        <v>0</v>
      </c>
      <c r="AJ494" s="44" t="s">
        <v>218</v>
      </c>
      <c r="AK494" s="44" t="s">
        <v>47</v>
      </c>
      <c r="AL494" s="44" t="s">
        <v>218</v>
      </c>
      <c r="AM494" s="44" t="n">
        <v>0</v>
      </c>
      <c r="AN494" s="44"/>
      <c r="AO494" s="44"/>
      <c r="AP494" s="44"/>
      <c r="AQ494" s="45" t="s">
        <v>249</v>
      </c>
      <c r="AR494" s="44" t="s">
        <v>1284</v>
      </c>
      <c r="AS494" s="44"/>
      <c r="AT494" s="44"/>
      <c r="AU494" s="44"/>
      <c r="AV494" s="44"/>
      <c r="AW494" s="44"/>
      <c r="AX494" s="44"/>
      <c r="AY494" s="44"/>
      <c r="AZ494" s="46"/>
    </row>
    <row r="495" customFormat="false" ht="18" hidden="false" customHeight="true" outlineLevel="0" collapsed="false">
      <c r="A495" s="47" t="n">
        <v>14100</v>
      </c>
      <c r="B495" s="48" t="s">
        <v>638</v>
      </c>
      <c r="C495" s="47" t="n">
        <v>14100</v>
      </c>
      <c r="D495" s="48" t="s">
        <v>80</v>
      </c>
      <c r="E495" s="48" t="s">
        <v>687</v>
      </c>
      <c r="F495" s="48" t="s">
        <v>685</v>
      </c>
      <c r="G495" s="49" t="s">
        <v>1461</v>
      </c>
      <c r="H495" s="48" t="s">
        <v>1562</v>
      </c>
      <c r="I495" s="48" t="s">
        <v>1599</v>
      </c>
      <c r="J495" s="48" t="s">
        <v>1562</v>
      </c>
      <c r="K495" s="48" t="s">
        <v>613</v>
      </c>
      <c r="L495" s="48" t="s">
        <v>613</v>
      </c>
      <c r="M495" s="48"/>
      <c r="N495" s="50" t="s">
        <v>1443</v>
      </c>
      <c r="O495" s="51" t="s">
        <v>1791</v>
      </c>
      <c r="P495" s="52" t="n">
        <v>1</v>
      </c>
      <c r="Q495" s="51"/>
      <c r="R495" s="52" t="s">
        <v>1519</v>
      </c>
      <c r="S495" s="52"/>
      <c r="T495" s="52"/>
      <c r="U495" s="53" t="n">
        <v>113430</v>
      </c>
      <c r="V495" s="54" t="n">
        <v>113430</v>
      </c>
      <c r="W495" s="55" t="n">
        <v>0.1</v>
      </c>
      <c r="X495" s="52" t="n">
        <v>0.055</v>
      </c>
      <c r="Y495" s="55" t="n">
        <v>0.12</v>
      </c>
      <c r="Z495" s="56"/>
      <c r="AA495" s="55" t="n">
        <v>0.04</v>
      </c>
      <c r="AB495" s="57" t="n">
        <v>149160.45</v>
      </c>
      <c r="AC495" s="44"/>
      <c r="AD495" s="44"/>
      <c r="AE495" s="44" t="n">
        <v>149160.45</v>
      </c>
      <c r="AF495" s="44" t="s">
        <v>53</v>
      </c>
      <c r="AG495" s="44" t="n">
        <v>0</v>
      </c>
      <c r="AH495" s="58" t="s">
        <v>22</v>
      </c>
      <c r="AI495" s="44" t="n">
        <v>0</v>
      </c>
      <c r="AJ495" s="44" t="s">
        <v>613</v>
      </c>
      <c r="AK495" s="44" t="s">
        <v>47</v>
      </c>
      <c r="AL495" s="44" t="s">
        <v>613</v>
      </c>
      <c r="AM495" s="44" t="n">
        <v>0</v>
      </c>
      <c r="AN495" s="44"/>
      <c r="AO495" s="44"/>
      <c r="AP495" s="44"/>
      <c r="AQ495" s="45" t="s">
        <v>637</v>
      </c>
      <c r="AR495" s="44" t="s">
        <v>1282</v>
      </c>
      <c r="AS495" s="44"/>
      <c r="AT495" s="44"/>
      <c r="AU495" s="44"/>
      <c r="AV495" s="44"/>
      <c r="AW495" s="44"/>
      <c r="AX495" s="44"/>
      <c r="AY495" s="44"/>
      <c r="AZ495" s="46"/>
    </row>
    <row r="496" customFormat="false" ht="18" hidden="false" customHeight="true" outlineLevel="0" collapsed="false">
      <c r="A496" s="47" t="n">
        <v>101157</v>
      </c>
      <c r="B496" s="48" t="s">
        <v>640</v>
      </c>
      <c r="C496" s="47" t="n">
        <v>101157</v>
      </c>
      <c r="D496" s="48" t="s">
        <v>633</v>
      </c>
      <c r="E496" s="48" t="s">
        <v>687</v>
      </c>
      <c r="F496" s="48" t="s">
        <v>685</v>
      </c>
      <c r="G496" s="49" t="s">
        <v>1461</v>
      </c>
      <c r="H496" s="48" t="s">
        <v>1562</v>
      </c>
      <c r="I496" s="48" t="s">
        <v>1599</v>
      </c>
      <c r="J496" s="48" t="s">
        <v>1562</v>
      </c>
      <c r="K496" s="48" t="s">
        <v>613</v>
      </c>
      <c r="L496" s="48" t="s">
        <v>613</v>
      </c>
      <c r="M496" s="48"/>
      <c r="N496" s="50" t="s">
        <v>1443</v>
      </c>
      <c r="O496" s="51" t="s">
        <v>1791</v>
      </c>
      <c r="P496" s="52" t="n">
        <v>1</v>
      </c>
      <c r="Q496" s="51"/>
      <c r="R496" s="52" t="s">
        <v>1519</v>
      </c>
      <c r="S496" s="52"/>
      <c r="T496" s="52"/>
      <c r="U496" s="53" t="n">
        <v>104570</v>
      </c>
      <c r="V496" s="54" t="n">
        <v>104570</v>
      </c>
      <c r="W496" s="55" t="n">
        <v>0.1</v>
      </c>
      <c r="X496" s="52" t="n">
        <v>0.055</v>
      </c>
      <c r="Y496" s="55" t="n">
        <v>0.12</v>
      </c>
      <c r="Z496" s="56"/>
      <c r="AA496" s="55" t="n">
        <v>0.04</v>
      </c>
      <c r="AB496" s="57" t="n">
        <v>137509.55</v>
      </c>
      <c r="AC496" s="44"/>
      <c r="AD496" s="44"/>
      <c r="AE496" s="44" t="n">
        <v>137509.55</v>
      </c>
      <c r="AF496" s="44" t="s">
        <v>53</v>
      </c>
      <c r="AG496" s="44" t="n">
        <v>0</v>
      </c>
      <c r="AH496" s="58" t="s">
        <v>22</v>
      </c>
      <c r="AI496" s="44" t="n">
        <v>0</v>
      </c>
      <c r="AJ496" s="44" t="s">
        <v>613</v>
      </c>
      <c r="AK496" s="44" t="s">
        <v>47</v>
      </c>
      <c r="AL496" s="44" t="s">
        <v>613</v>
      </c>
      <c r="AM496" s="44" t="n">
        <v>0</v>
      </c>
      <c r="AN496" s="44"/>
      <c r="AO496" s="44"/>
      <c r="AP496" s="44"/>
      <c r="AQ496" s="45" t="s">
        <v>639</v>
      </c>
      <c r="AR496" s="44" t="s">
        <v>1282</v>
      </c>
      <c r="AS496" s="44"/>
      <c r="AT496" s="44"/>
      <c r="AU496" s="44"/>
      <c r="AV496" s="44"/>
      <c r="AW496" s="44"/>
      <c r="AX496" s="44"/>
      <c r="AY496" s="44"/>
      <c r="AZ496" s="46"/>
    </row>
    <row r="497" customFormat="false" ht="18" hidden="false" customHeight="true" outlineLevel="0" collapsed="false">
      <c r="A497" s="47" t="n">
        <v>110204</v>
      </c>
      <c r="B497" s="48" t="s">
        <v>1792</v>
      </c>
      <c r="C497" s="47" t="n">
        <v>110204</v>
      </c>
      <c r="D497" s="48" t="s">
        <v>549</v>
      </c>
      <c r="E497" s="48" t="s">
        <v>1718</v>
      </c>
      <c r="F497" s="48" t="s">
        <v>1772</v>
      </c>
      <c r="G497" s="49" t="s">
        <v>1527</v>
      </c>
      <c r="H497" s="48" t="s">
        <v>1251</v>
      </c>
      <c r="I497" s="48" t="s">
        <v>1159</v>
      </c>
      <c r="J497" s="48" t="s">
        <v>1159</v>
      </c>
      <c r="K497" s="48" t="s">
        <v>1159</v>
      </c>
      <c r="L497" s="48" t="s">
        <v>1159</v>
      </c>
      <c r="M497" s="48"/>
      <c r="N497" s="50" t="s">
        <v>1443</v>
      </c>
      <c r="O497" s="51" t="s">
        <v>1791</v>
      </c>
      <c r="P497" s="52" t="n">
        <v>1</v>
      </c>
      <c r="Q497" s="51"/>
      <c r="R497" s="52" t="s">
        <v>1519</v>
      </c>
      <c r="S497" s="52"/>
      <c r="T497" s="52"/>
      <c r="U497" s="53" t="n">
        <v>88100</v>
      </c>
      <c r="V497" s="54" t="n">
        <v>88100</v>
      </c>
      <c r="W497" s="55" t="n">
        <v>0.1</v>
      </c>
      <c r="X497" s="52" t="n">
        <v>0.055</v>
      </c>
      <c r="Y497" s="55" t="n">
        <v>0.12</v>
      </c>
      <c r="Z497" s="56"/>
      <c r="AA497" s="55" t="n">
        <v>0.04</v>
      </c>
      <c r="AB497" s="57" t="n">
        <v>115851.5</v>
      </c>
      <c r="AC497" s="44"/>
      <c r="AD497" s="44"/>
      <c r="AE497" s="44" t="n">
        <v>115851.5</v>
      </c>
      <c r="AF497" s="44" t="s">
        <v>53</v>
      </c>
      <c r="AG497" s="44" t="n">
        <v>0</v>
      </c>
      <c r="AH497" s="58" t="s">
        <v>27</v>
      </c>
      <c r="AI497" s="44" t="n">
        <v>0</v>
      </c>
      <c r="AJ497" s="44" t="s">
        <v>1251</v>
      </c>
      <c r="AK497" s="44" t="s">
        <v>47</v>
      </c>
      <c r="AL497" s="44" t="s">
        <v>1251</v>
      </c>
      <c r="AM497" s="44" t="n">
        <v>0</v>
      </c>
      <c r="AN497" s="44"/>
      <c r="AO497" s="44"/>
      <c r="AP497" s="44"/>
      <c r="AQ497" s="45" t="s">
        <v>1360</v>
      </c>
      <c r="AR497" s="44" t="s">
        <v>1282</v>
      </c>
      <c r="AS497" s="44"/>
      <c r="AT497" s="44"/>
      <c r="AU497" s="44"/>
      <c r="AV497" s="44"/>
      <c r="AW497" s="44"/>
      <c r="AX497" s="44"/>
      <c r="AY497" s="44"/>
      <c r="AZ497" s="46"/>
    </row>
    <row r="498" customFormat="false" ht="18" hidden="false" customHeight="true" outlineLevel="0" collapsed="false">
      <c r="A498" s="47" t="n">
        <v>104050</v>
      </c>
      <c r="B498" s="48" t="s">
        <v>105</v>
      </c>
      <c r="C498" s="47" t="n">
        <v>104050</v>
      </c>
      <c r="D498" s="48" t="s">
        <v>106</v>
      </c>
      <c r="E498" s="48" t="s">
        <v>93</v>
      </c>
      <c r="F498" s="48" t="s">
        <v>94</v>
      </c>
      <c r="G498" s="49" t="s">
        <v>1471</v>
      </c>
      <c r="H498" s="48" t="s">
        <v>14</v>
      </c>
      <c r="I498" s="48" t="s">
        <v>1602</v>
      </c>
      <c r="J498" s="48" t="s">
        <v>1567</v>
      </c>
      <c r="K498" s="48" t="s">
        <v>67</v>
      </c>
      <c r="L498" s="48" t="s">
        <v>61</v>
      </c>
      <c r="M498" s="48"/>
      <c r="N498" s="50" t="s">
        <v>1443</v>
      </c>
      <c r="O498" s="51" t="s">
        <v>1791</v>
      </c>
      <c r="P498" s="52" t="n">
        <v>1</v>
      </c>
      <c r="Q498" s="51"/>
      <c r="R498" s="52" t="s">
        <v>1519</v>
      </c>
      <c r="S498" s="52"/>
      <c r="T498" s="52"/>
      <c r="U498" s="53" t="n">
        <v>110700</v>
      </c>
      <c r="V498" s="54" t="n">
        <v>110700</v>
      </c>
      <c r="W498" s="55" t="n">
        <v>0.1</v>
      </c>
      <c r="X498" s="52" t="n">
        <v>0.055</v>
      </c>
      <c r="Y498" s="55" t="n">
        <v>0.12</v>
      </c>
      <c r="Z498" s="56"/>
      <c r="AA498" s="55" t="n">
        <v>0.04</v>
      </c>
      <c r="AB498" s="57" t="n">
        <v>145570.5</v>
      </c>
      <c r="AC498" s="44"/>
      <c r="AD498" s="44"/>
      <c r="AE498" s="44" t="n">
        <v>145570.5</v>
      </c>
      <c r="AF498" s="44" t="s">
        <v>53</v>
      </c>
      <c r="AG498" s="44" t="n">
        <v>0</v>
      </c>
      <c r="AH498" s="58" t="s">
        <v>14</v>
      </c>
      <c r="AI498" s="44" t="n">
        <v>0</v>
      </c>
      <c r="AJ498" s="44" t="s">
        <v>61</v>
      </c>
      <c r="AK498" s="44" t="s">
        <v>47</v>
      </c>
      <c r="AL498" s="44" t="s">
        <v>61</v>
      </c>
      <c r="AM498" s="44" t="n">
        <v>0</v>
      </c>
      <c r="AN498" s="44"/>
      <c r="AO498" s="44"/>
      <c r="AP498" s="44"/>
      <c r="AQ498" s="45" t="s">
        <v>104</v>
      </c>
      <c r="AR498" s="44" t="s">
        <v>1282</v>
      </c>
      <c r="AS498" s="44"/>
      <c r="AT498" s="44"/>
      <c r="AU498" s="44"/>
      <c r="AV498" s="44"/>
      <c r="AW498" s="44"/>
      <c r="AX498" s="44"/>
      <c r="AY498" s="44"/>
      <c r="AZ498" s="46"/>
    </row>
    <row r="499" customFormat="false" ht="18" hidden="false" customHeight="true" outlineLevel="0" collapsed="false">
      <c r="A499" s="47" t="n">
        <v>12992</v>
      </c>
      <c r="B499" s="48" t="s">
        <v>1793</v>
      </c>
      <c r="C499" s="47" t="n">
        <v>12992</v>
      </c>
      <c r="D499" s="48" t="s">
        <v>1794</v>
      </c>
      <c r="E499" s="48" t="s">
        <v>1704</v>
      </c>
      <c r="F499" s="48" t="s">
        <v>1778</v>
      </c>
      <c r="G499" s="49" t="s">
        <v>1511</v>
      </c>
      <c r="H499" s="48" t="s">
        <v>1253</v>
      </c>
      <c r="I499" s="48" t="s">
        <v>1159</v>
      </c>
      <c r="J499" s="48" t="s">
        <v>1159</v>
      </c>
      <c r="K499" s="48" t="s">
        <v>1159</v>
      </c>
      <c r="L499" s="48" t="s">
        <v>1159</v>
      </c>
      <c r="M499" s="48"/>
      <c r="N499" s="50" t="s">
        <v>1443</v>
      </c>
      <c r="O499" s="51" t="s">
        <v>1791</v>
      </c>
      <c r="P499" s="52" t="n">
        <v>1</v>
      </c>
      <c r="Q499" s="51"/>
      <c r="R499" s="52" t="s">
        <v>1519</v>
      </c>
      <c r="S499" s="52"/>
      <c r="T499" s="52"/>
      <c r="U499" s="53" t="n">
        <v>112310</v>
      </c>
      <c r="V499" s="54" t="n">
        <v>112310</v>
      </c>
      <c r="W499" s="55" t="n">
        <v>0.1</v>
      </c>
      <c r="X499" s="52" t="n">
        <v>0.055</v>
      </c>
      <c r="Y499" s="55" t="n">
        <v>0.12</v>
      </c>
      <c r="Z499" s="56"/>
      <c r="AA499" s="55" t="n">
        <v>0.04</v>
      </c>
      <c r="AB499" s="57" t="n">
        <v>147687.65</v>
      </c>
      <c r="AC499" s="44"/>
      <c r="AD499" s="44"/>
      <c r="AE499" s="44" t="n">
        <v>147687.65</v>
      </c>
      <c r="AF499" s="44" t="s">
        <v>53</v>
      </c>
      <c r="AG499" s="44" t="n">
        <v>0</v>
      </c>
      <c r="AH499" s="58" t="s">
        <v>1514</v>
      </c>
      <c r="AI499" s="44" t="n">
        <v>0</v>
      </c>
      <c r="AJ499" s="44" t="s">
        <v>1253</v>
      </c>
      <c r="AK499" s="44" t="s">
        <v>47</v>
      </c>
      <c r="AL499" s="44" t="s">
        <v>1253</v>
      </c>
      <c r="AM499" s="44" t="n">
        <v>0</v>
      </c>
      <c r="AN499" s="44"/>
      <c r="AO499" s="44"/>
      <c r="AP499" s="44"/>
      <c r="AQ499" s="45" t="s">
        <v>1384</v>
      </c>
      <c r="AR499" s="44" t="s">
        <v>1282</v>
      </c>
      <c r="AS499" s="44"/>
      <c r="AT499" s="44"/>
      <c r="AU499" s="44"/>
      <c r="AV499" s="44"/>
      <c r="AW499" s="44"/>
      <c r="AX499" s="44"/>
      <c r="AY499" s="44"/>
      <c r="AZ499" s="46"/>
    </row>
    <row r="500" customFormat="false" ht="18" hidden="false" customHeight="true" outlineLevel="0" collapsed="false">
      <c r="A500" s="47" t="n">
        <v>97847</v>
      </c>
      <c r="B500" s="48" t="s">
        <v>136</v>
      </c>
      <c r="C500" s="47" t="n">
        <v>97847</v>
      </c>
      <c r="D500" s="48" t="s">
        <v>80</v>
      </c>
      <c r="E500" s="48" t="s">
        <v>69</v>
      </c>
      <c r="F500" s="48" t="s">
        <v>118</v>
      </c>
      <c r="G500" s="49" t="s">
        <v>1471</v>
      </c>
      <c r="H500" s="48" t="s">
        <v>14</v>
      </c>
      <c r="I500" s="48" t="s">
        <v>1627</v>
      </c>
      <c r="J500" s="48" t="s">
        <v>1567</v>
      </c>
      <c r="K500" s="48" t="s">
        <v>67</v>
      </c>
      <c r="L500" s="48" t="s">
        <v>54</v>
      </c>
      <c r="M500" s="48"/>
      <c r="N500" s="50" t="s">
        <v>1443</v>
      </c>
      <c r="O500" s="51" t="s">
        <v>1791</v>
      </c>
      <c r="P500" s="52" t="n">
        <v>1</v>
      </c>
      <c r="Q500" s="51"/>
      <c r="R500" s="52" t="s">
        <v>1519</v>
      </c>
      <c r="S500" s="52"/>
      <c r="T500" s="52"/>
      <c r="U500" s="53" t="n">
        <v>111090</v>
      </c>
      <c r="V500" s="54" t="n">
        <v>111090</v>
      </c>
      <c r="W500" s="55" t="n">
        <v>0.1</v>
      </c>
      <c r="X500" s="52" t="n">
        <v>0.055</v>
      </c>
      <c r="Y500" s="55" t="n">
        <v>0.12</v>
      </c>
      <c r="Z500" s="56"/>
      <c r="AA500" s="55" t="n">
        <v>0.04</v>
      </c>
      <c r="AB500" s="57" t="n">
        <v>146083.35</v>
      </c>
      <c r="AC500" s="44"/>
      <c r="AD500" s="44"/>
      <c r="AE500" s="44" t="n">
        <v>146083.35</v>
      </c>
      <c r="AF500" s="44" t="s">
        <v>53</v>
      </c>
      <c r="AG500" s="44" t="n">
        <v>0</v>
      </c>
      <c r="AH500" s="58" t="s">
        <v>14</v>
      </c>
      <c r="AI500" s="44" t="n">
        <v>0</v>
      </c>
      <c r="AJ500" s="44" t="s">
        <v>54</v>
      </c>
      <c r="AK500" s="44" t="s">
        <v>47</v>
      </c>
      <c r="AL500" s="44" t="s">
        <v>54</v>
      </c>
      <c r="AM500" s="44" t="n">
        <v>0</v>
      </c>
      <c r="AN500" s="44"/>
      <c r="AO500" s="44"/>
      <c r="AP500" s="44"/>
      <c r="AQ500" s="45" t="s">
        <v>135</v>
      </c>
      <c r="AR500" s="44" t="s">
        <v>1282</v>
      </c>
      <c r="AS500" s="44"/>
      <c r="AT500" s="44"/>
      <c r="AU500" s="44"/>
      <c r="AV500" s="44"/>
      <c r="AW500" s="44"/>
      <c r="AX500" s="44"/>
      <c r="AY500" s="44"/>
      <c r="AZ500" s="46"/>
    </row>
    <row r="501" customFormat="false" ht="18" hidden="false" customHeight="true" outlineLevel="0" collapsed="false">
      <c r="A501" s="47" t="n">
        <v>113783</v>
      </c>
      <c r="B501" s="48" t="s">
        <v>182</v>
      </c>
      <c r="C501" s="47" t="n">
        <v>113783</v>
      </c>
      <c r="D501" s="48" t="s">
        <v>183</v>
      </c>
      <c r="E501" s="48" t="s">
        <v>205</v>
      </c>
      <c r="F501" s="48" t="s">
        <v>1503</v>
      </c>
      <c r="G501" s="49" t="s">
        <v>1471</v>
      </c>
      <c r="H501" s="48" t="s">
        <v>14</v>
      </c>
      <c r="I501" s="48" t="s">
        <v>1504</v>
      </c>
      <c r="J501" s="48" t="s">
        <v>1567</v>
      </c>
      <c r="K501" s="48" t="s">
        <v>1285</v>
      </c>
      <c r="L501" s="48" t="s">
        <v>1636</v>
      </c>
      <c r="M501" s="48"/>
      <c r="N501" s="50" t="s">
        <v>1443</v>
      </c>
      <c r="O501" s="51" t="s">
        <v>1791</v>
      </c>
      <c r="P501" s="52" t="n">
        <v>1</v>
      </c>
      <c r="Q501" s="51"/>
      <c r="R501" s="52" t="s">
        <v>1519</v>
      </c>
      <c r="S501" s="52"/>
      <c r="T501" s="52"/>
      <c r="U501" s="53" t="n">
        <v>173230</v>
      </c>
      <c r="V501" s="54" t="n">
        <v>159371.6</v>
      </c>
      <c r="W501" s="55" t="n">
        <v>0.15</v>
      </c>
      <c r="X501" s="52"/>
      <c r="Y501" s="55" t="n">
        <v>0.05</v>
      </c>
      <c r="Z501" s="56" t="n">
        <v>2910</v>
      </c>
      <c r="AA501" s="55" t="n">
        <v>0.03</v>
      </c>
      <c r="AB501" s="57" t="n">
        <v>198937.068</v>
      </c>
      <c r="AC501" s="44"/>
      <c r="AD501" s="44"/>
      <c r="AE501" s="44" t="n">
        <v>198937.068</v>
      </c>
      <c r="AF501" s="44" t="s">
        <v>53</v>
      </c>
      <c r="AG501" s="44" t="n">
        <v>0</v>
      </c>
      <c r="AH501" s="58" t="s">
        <v>14</v>
      </c>
      <c r="AI501" s="44" t="n">
        <v>0</v>
      </c>
      <c r="AJ501" s="44" t="s">
        <v>160</v>
      </c>
      <c r="AK501" s="44" t="s">
        <v>47</v>
      </c>
      <c r="AL501" s="44" t="s">
        <v>160</v>
      </c>
      <c r="AM501" s="44" t="n">
        <v>0</v>
      </c>
      <c r="AN501" s="44"/>
      <c r="AO501" s="44"/>
      <c r="AP501" s="44"/>
      <c r="AQ501" s="45" t="s">
        <v>181</v>
      </c>
      <c r="AR501" s="44" t="s">
        <v>1282</v>
      </c>
      <c r="AS501" s="44"/>
      <c r="AT501" s="44"/>
      <c r="AU501" s="44"/>
      <c r="AV501" s="44"/>
      <c r="AW501" s="44"/>
      <c r="AX501" s="44"/>
      <c r="AY501" s="44"/>
      <c r="AZ501" s="46"/>
    </row>
    <row r="502" customFormat="false" ht="18" hidden="false" customHeight="true" outlineLevel="0" collapsed="false">
      <c r="A502" s="47" t="n">
        <v>113564</v>
      </c>
      <c r="B502" s="48" t="s">
        <v>503</v>
      </c>
      <c r="C502" s="47" t="n">
        <v>113564</v>
      </c>
      <c r="D502" s="48" t="s">
        <v>504</v>
      </c>
      <c r="E502" s="48" t="s">
        <v>448</v>
      </c>
      <c r="F502" s="48" t="s">
        <v>1644</v>
      </c>
      <c r="G502" s="49" t="s">
        <v>1439</v>
      </c>
      <c r="H502" s="48" t="s">
        <v>1465</v>
      </c>
      <c r="I502" s="48" t="s">
        <v>1571</v>
      </c>
      <c r="J502" s="48" t="s">
        <v>1517</v>
      </c>
      <c r="K502" s="48" t="s">
        <v>464</v>
      </c>
      <c r="L502" s="48" t="s">
        <v>464</v>
      </c>
      <c r="M502" s="48"/>
      <c r="N502" s="50" t="s">
        <v>1284</v>
      </c>
      <c r="O502" s="51" t="s">
        <v>1795</v>
      </c>
      <c r="P502" s="52" t="n">
        <v>1</v>
      </c>
      <c r="Q502" s="51"/>
      <c r="R502" s="52" t="s">
        <v>1519</v>
      </c>
      <c r="S502" s="52"/>
      <c r="T502" s="52"/>
      <c r="U502" s="53" t="n">
        <v>94080</v>
      </c>
      <c r="V502" s="54" t="n">
        <v>86553.6</v>
      </c>
      <c r="W502" s="55" t="n">
        <v>0.1</v>
      </c>
      <c r="X502" s="52"/>
      <c r="Y502" s="55" t="n">
        <v>0.05</v>
      </c>
      <c r="Z502" s="56" t="n">
        <v>2910</v>
      </c>
      <c r="AA502" s="55" t="n">
        <v>0.03</v>
      </c>
      <c r="AB502" s="57" t="n">
        <v>105043.248</v>
      </c>
      <c r="AC502" s="44"/>
      <c r="AD502" s="44"/>
      <c r="AE502" s="44" t="n">
        <v>105043.248</v>
      </c>
      <c r="AF502" s="44" t="s">
        <v>53</v>
      </c>
      <c r="AG502" s="44" t="n">
        <v>0</v>
      </c>
      <c r="AH502" s="58" t="s">
        <v>1439</v>
      </c>
      <c r="AI502" s="44" t="n">
        <v>0</v>
      </c>
      <c r="AJ502" s="44" t="s">
        <v>464</v>
      </c>
      <c r="AK502" s="44" t="s">
        <v>47</v>
      </c>
      <c r="AL502" s="44" t="s">
        <v>464</v>
      </c>
      <c r="AM502" s="44" t="n">
        <v>0</v>
      </c>
      <c r="AN502" s="44" t="s">
        <v>53</v>
      </c>
      <c r="AO502" s="44"/>
      <c r="AP502" s="44"/>
      <c r="AQ502" s="45" t="s">
        <v>502</v>
      </c>
      <c r="AR502" s="44" t="s">
        <v>1284</v>
      </c>
      <c r="AS502" s="44"/>
      <c r="AT502" s="44"/>
      <c r="AU502" s="44"/>
      <c r="AV502" s="44"/>
      <c r="AW502" s="44"/>
      <c r="AX502" s="44"/>
      <c r="AY502" s="44"/>
      <c r="AZ502" s="46"/>
    </row>
    <row r="503" customFormat="false" ht="18" hidden="false" customHeight="true" outlineLevel="0" collapsed="false">
      <c r="A503" s="47" t="n">
        <v>113560</v>
      </c>
      <c r="B503" s="48" t="s">
        <v>506</v>
      </c>
      <c r="C503" s="47" t="n">
        <v>113560</v>
      </c>
      <c r="D503" s="48" t="s">
        <v>507</v>
      </c>
      <c r="E503" s="48" t="s">
        <v>445</v>
      </c>
      <c r="F503" s="48" t="s">
        <v>1713</v>
      </c>
      <c r="G503" s="49" t="s">
        <v>1439</v>
      </c>
      <c r="H503" s="48" t="s">
        <v>1465</v>
      </c>
      <c r="I503" s="48" t="s">
        <v>1570</v>
      </c>
      <c r="J503" s="48" t="s">
        <v>1517</v>
      </c>
      <c r="K503" s="48" t="s">
        <v>464</v>
      </c>
      <c r="L503" s="48" t="s">
        <v>464</v>
      </c>
      <c r="M503" s="48"/>
      <c r="N503" s="50" t="s">
        <v>1284</v>
      </c>
      <c r="O503" s="51" t="s">
        <v>1795</v>
      </c>
      <c r="P503" s="52" t="n">
        <v>1</v>
      </c>
      <c r="Q503" s="51"/>
      <c r="R503" s="52" t="s">
        <v>1519</v>
      </c>
      <c r="S503" s="52"/>
      <c r="T503" s="52"/>
      <c r="U503" s="53" t="n">
        <v>95440</v>
      </c>
      <c r="V503" s="54" t="n">
        <v>87804.8</v>
      </c>
      <c r="W503" s="55" t="n">
        <v>0.1</v>
      </c>
      <c r="X503" s="52"/>
      <c r="Y503" s="55" t="n">
        <v>0.05</v>
      </c>
      <c r="Z503" s="56" t="n">
        <v>2910</v>
      </c>
      <c r="AA503" s="55" t="n">
        <v>0.03</v>
      </c>
      <c r="AB503" s="57" t="n">
        <v>106519.664</v>
      </c>
      <c r="AC503" s="44"/>
      <c r="AD503" s="44"/>
      <c r="AE503" s="44" t="n">
        <v>106519.664</v>
      </c>
      <c r="AF503" s="44" t="s">
        <v>53</v>
      </c>
      <c r="AG503" s="44" t="n">
        <v>0</v>
      </c>
      <c r="AH503" s="58" t="s">
        <v>1439</v>
      </c>
      <c r="AI503" s="44" t="n">
        <v>0</v>
      </c>
      <c r="AJ503" s="44" t="s">
        <v>464</v>
      </c>
      <c r="AK503" s="44" t="s">
        <v>47</v>
      </c>
      <c r="AL503" s="44" t="s">
        <v>464</v>
      </c>
      <c r="AM503" s="44" t="n">
        <v>0</v>
      </c>
      <c r="AN503" s="44" t="s">
        <v>53</v>
      </c>
      <c r="AO503" s="44"/>
      <c r="AP503" s="44"/>
      <c r="AQ503" s="45" t="s">
        <v>505</v>
      </c>
      <c r="AR503" s="44" t="s">
        <v>1284</v>
      </c>
      <c r="AS503" s="44"/>
      <c r="AT503" s="44"/>
      <c r="AU503" s="44"/>
      <c r="AV503" s="44"/>
      <c r="AW503" s="44"/>
      <c r="AX503" s="44"/>
      <c r="AY503" s="44"/>
      <c r="AZ503" s="46"/>
    </row>
    <row r="504" customFormat="false" ht="18" hidden="false" customHeight="true" outlineLevel="0" collapsed="false">
      <c r="A504" s="47" t="n">
        <v>113611</v>
      </c>
      <c r="B504" s="48" t="s">
        <v>509</v>
      </c>
      <c r="C504" s="47" t="n">
        <v>113611</v>
      </c>
      <c r="D504" s="48" t="s">
        <v>510</v>
      </c>
      <c r="E504" s="48" t="s">
        <v>445</v>
      </c>
      <c r="F504" s="48" t="s">
        <v>1713</v>
      </c>
      <c r="G504" s="49" t="s">
        <v>1439</v>
      </c>
      <c r="H504" s="48" t="s">
        <v>1465</v>
      </c>
      <c r="I504" s="48" t="s">
        <v>1570</v>
      </c>
      <c r="J504" s="48" t="s">
        <v>1517</v>
      </c>
      <c r="K504" s="48" t="s">
        <v>464</v>
      </c>
      <c r="L504" s="48" t="s">
        <v>464</v>
      </c>
      <c r="M504" s="48"/>
      <c r="N504" s="50" t="s">
        <v>1284</v>
      </c>
      <c r="O504" s="51" t="s">
        <v>1795</v>
      </c>
      <c r="P504" s="52" t="n">
        <v>1</v>
      </c>
      <c r="Q504" s="51"/>
      <c r="R504" s="52" t="s">
        <v>1519</v>
      </c>
      <c r="S504" s="52"/>
      <c r="T504" s="52"/>
      <c r="U504" s="53" t="n">
        <v>93900</v>
      </c>
      <c r="V504" s="54" t="n">
        <v>86388</v>
      </c>
      <c r="W504" s="55" t="n">
        <v>0.1</v>
      </c>
      <c r="X504" s="52"/>
      <c r="Y504" s="55" t="n">
        <v>0.05</v>
      </c>
      <c r="Z504" s="56" t="n">
        <v>2910</v>
      </c>
      <c r="AA504" s="55" t="n">
        <v>0.03</v>
      </c>
      <c r="AB504" s="57" t="n">
        <v>104847.84</v>
      </c>
      <c r="AC504" s="44"/>
      <c r="AD504" s="44"/>
      <c r="AE504" s="44" t="n">
        <v>104847.84</v>
      </c>
      <c r="AF504" s="44" t="s">
        <v>53</v>
      </c>
      <c r="AG504" s="44" t="n">
        <v>0</v>
      </c>
      <c r="AH504" s="58" t="s">
        <v>1439</v>
      </c>
      <c r="AI504" s="44" t="n">
        <v>0</v>
      </c>
      <c r="AJ504" s="44" t="s">
        <v>464</v>
      </c>
      <c r="AK504" s="44" t="s">
        <v>47</v>
      </c>
      <c r="AL504" s="44" t="s">
        <v>464</v>
      </c>
      <c r="AM504" s="44" t="n">
        <v>0</v>
      </c>
      <c r="AN504" s="44" t="s">
        <v>53</v>
      </c>
      <c r="AO504" s="44"/>
      <c r="AP504" s="44"/>
      <c r="AQ504" s="45" t="s">
        <v>508</v>
      </c>
      <c r="AR504" s="44" t="s">
        <v>1284</v>
      </c>
      <c r="AS504" s="44"/>
      <c r="AT504" s="44"/>
      <c r="AU504" s="44"/>
      <c r="AV504" s="44"/>
      <c r="AW504" s="44"/>
      <c r="AX504" s="44"/>
      <c r="AY504" s="44"/>
      <c r="AZ504" s="46"/>
    </row>
    <row r="505" customFormat="false" ht="18" hidden="false" customHeight="true" outlineLevel="0" collapsed="false">
      <c r="A505" s="47" t="s">
        <v>1507</v>
      </c>
      <c r="B505" s="48" t="s">
        <v>69</v>
      </c>
      <c r="C505" s="47" t="s">
        <v>1507</v>
      </c>
      <c r="D505" s="48" t="s">
        <v>549</v>
      </c>
      <c r="E505" s="48" t="s">
        <v>610</v>
      </c>
      <c r="F505" s="48" t="s">
        <v>1648</v>
      </c>
      <c r="G505" s="49" t="s">
        <v>1461</v>
      </c>
      <c r="H505" s="48" t="s">
        <v>20</v>
      </c>
      <c r="I505" s="48" t="s">
        <v>1605</v>
      </c>
      <c r="J505" s="48" t="s">
        <v>20</v>
      </c>
      <c r="K505" s="48" t="s">
        <v>517</v>
      </c>
      <c r="L505" s="48" t="s">
        <v>517</v>
      </c>
      <c r="M505" s="48"/>
      <c r="N505" s="50" t="s">
        <v>1443</v>
      </c>
      <c r="O505" s="51" t="s">
        <v>1796</v>
      </c>
      <c r="P505" s="52" t="n">
        <v>1</v>
      </c>
      <c r="Q505" s="51"/>
      <c r="R505" s="52" t="s">
        <v>1513</v>
      </c>
      <c r="S505" s="52"/>
      <c r="T505" s="52"/>
      <c r="U505" s="53" t="n">
        <v>94650</v>
      </c>
      <c r="V505" s="54" t="n">
        <v>94650</v>
      </c>
      <c r="W505" s="55" t="n">
        <v>0.08</v>
      </c>
      <c r="X505" s="52" t="n">
        <v>0.055</v>
      </c>
      <c r="Y505" s="55" t="n">
        <v>0.12</v>
      </c>
      <c r="Z505" s="56"/>
      <c r="AA505" s="55" t="n">
        <v>0.04</v>
      </c>
      <c r="AB505" s="57" t="n">
        <v>122571.75</v>
      </c>
      <c r="AC505" s="44"/>
      <c r="AD505" s="44"/>
      <c r="AE505" s="44" t="n">
        <v>122571.75</v>
      </c>
      <c r="AF505" s="44" t="s">
        <v>69</v>
      </c>
      <c r="AG505" s="44" t="n">
        <v>0</v>
      </c>
      <c r="AH505" s="58" t="s">
        <v>20</v>
      </c>
      <c r="AI505" s="44" t="n">
        <v>0</v>
      </c>
      <c r="AJ505" s="44" t="s">
        <v>517</v>
      </c>
      <c r="AK505" s="44" t="s">
        <v>47</v>
      </c>
      <c r="AL505" s="44" t="s">
        <v>517</v>
      </c>
      <c r="AM505" s="44" t="n">
        <v>0</v>
      </c>
      <c r="AN505" s="44"/>
      <c r="AO505" s="44"/>
      <c r="AP505" s="44"/>
      <c r="AQ505" s="45" t="s">
        <v>548</v>
      </c>
      <c r="AR505" s="44" t="s">
        <v>1282</v>
      </c>
      <c r="AS505" s="44"/>
      <c r="AT505" s="44"/>
      <c r="AU505" s="44"/>
      <c r="AV505" s="44"/>
      <c r="AW505" s="44"/>
      <c r="AX505" s="44"/>
      <c r="AY505" s="44"/>
      <c r="AZ505" s="46"/>
    </row>
    <row r="506" customFormat="false" ht="18" hidden="false" customHeight="true" outlineLevel="0" collapsed="false">
      <c r="A506" s="47" t="n">
        <v>113502</v>
      </c>
      <c r="B506" s="48" t="s">
        <v>253</v>
      </c>
      <c r="C506" s="47" t="n">
        <v>113502</v>
      </c>
      <c r="D506" s="48" t="s">
        <v>251</v>
      </c>
      <c r="E506" s="48" t="s">
        <v>305</v>
      </c>
      <c r="F506" s="48" t="s">
        <v>1654</v>
      </c>
      <c r="G506" s="49" t="s">
        <v>1471</v>
      </c>
      <c r="H506" s="48" t="s">
        <v>1472</v>
      </c>
      <c r="I506" s="48" t="s">
        <v>1628</v>
      </c>
      <c r="J506" s="48" t="s">
        <v>1568</v>
      </c>
      <c r="K506" s="48" t="s">
        <v>19</v>
      </c>
      <c r="L506" s="48" t="s">
        <v>218</v>
      </c>
      <c r="M506" s="48"/>
      <c r="N506" s="50" t="s">
        <v>1284</v>
      </c>
      <c r="O506" s="51" t="s">
        <v>1796</v>
      </c>
      <c r="P506" s="52" t="n">
        <v>1</v>
      </c>
      <c r="Q506" s="52"/>
      <c r="R506" s="52" t="s">
        <v>1519</v>
      </c>
      <c r="S506" s="52"/>
      <c r="T506" s="52"/>
      <c r="U506" s="53" t="n">
        <v>86540</v>
      </c>
      <c r="V506" s="54" t="n">
        <v>79616.8</v>
      </c>
      <c r="W506" s="55" t="n">
        <v>0.1</v>
      </c>
      <c r="X506" s="52"/>
      <c r="Y506" s="55" t="n">
        <v>0.05</v>
      </c>
      <c r="Z506" s="56" t="n">
        <v>2910</v>
      </c>
      <c r="AA506" s="55" t="n">
        <v>0.03</v>
      </c>
      <c r="AB506" s="57" t="n">
        <v>96857.824</v>
      </c>
      <c r="AC506" s="44"/>
      <c r="AD506" s="44"/>
      <c r="AE506" s="44" t="n">
        <v>96857.824</v>
      </c>
      <c r="AF506" s="44" t="s">
        <v>53</v>
      </c>
      <c r="AG506" s="44" t="n">
        <v>0</v>
      </c>
      <c r="AH506" s="58" t="s">
        <v>16</v>
      </c>
      <c r="AI506" s="44" t="n">
        <v>0</v>
      </c>
      <c r="AJ506" s="44" t="s">
        <v>218</v>
      </c>
      <c r="AK506" s="44" t="s">
        <v>47</v>
      </c>
      <c r="AL506" s="44" t="s">
        <v>218</v>
      </c>
      <c r="AM506" s="44" t="n">
        <v>0</v>
      </c>
      <c r="AN506" s="44"/>
      <c r="AO506" s="44"/>
      <c r="AP506" s="44"/>
      <c r="AQ506" s="45" t="s">
        <v>252</v>
      </c>
      <c r="AR506" s="44" t="s">
        <v>1284</v>
      </c>
      <c r="AS506" s="44"/>
      <c r="AT506" s="44"/>
      <c r="AU506" s="44"/>
      <c r="AV506" s="44"/>
      <c r="AW506" s="44"/>
      <c r="AX506" s="44"/>
      <c r="AY506" s="44"/>
      <c r="AZ506" s="46"/>
    </row>
    <row r="507" customFormat="false" ht="18" hidden="false" customHeight="true" outlineLevel="0" collapsed="false">
      <c r="A507" s="47" t="n">
        <v>113305</v>
      </c>
      <c r="B507" s="48" t="s">
        <v>642</v>
      </c>
      <c r="C507" s="47" t="n">
        <v>113305</v>
      </c>
      <c r="D507" s="48" t="s">
        <v>643</v>
      </c>
      <c r="E507" s="48" t="s">
        <v>687</v>
      </c>
      <c r="F507" s="48" t="s">
        <v>685</v>
      </c>
      <c r="G507" s="49" t="s">
        <v>1461</v>
      </c>
      <c r="H507" s="48" t="s">
        <v>1562</v>
      </c>
      <c r="I507" s="48" t="s">
        <v>1599</v>
      </c>
      <c r="J507" s="48" t="s">
        <v>1562</v>
      </c>
      <c r="K507" s="48" t="s">
        <v>613</v>
      </c>
      <c r="L507" s="48" t="s">
        <v>613</v>
      </c>
      <c r="M507" s="48"/>
      <c r="N507" s="50" t="s">
        <v>1284</v>
      </c>
      <c r="O507" s="51" t="s">
        <v>1796</v>
      </c>
      <c r="P507" s="52" t="n">
        <v>1</v>
      </c>
      <c r="Q507" s="51"/>
      <c r="R507" s="52" t="s">
        <v>1519</v>
      </c>
      <c r="S507" s="52"/>
      <c r="T507" s="52"/>
      <c r="U507" s="53" t="n">
        <v>77500</v>
      </c>
      <c r="V507" s="54" t="n">
        <v>71300</v>
      </c>
      <c r="W507" s="55" t="n">
        <v>0.1</v>
      </c>
      <c r="X507" s="52"/>
      <c r="Y507" s="55" t="n">
        <v>0.05</v>
      </c>
      <c r="Z507" s="56" t="n">
        <v>2910</v>
      </c>
      <c r="AA507" s="55" t="n">
        <v>0.03</v>
      </c>
      <c r="AB507" s="57" t="n">
        <v>87044</v>
      </c>
      <c r="AC507" s="44"/>
      <c r="AD507" s="44"/>
      <c r="AE507" s="44" t="n">
        <v>87044</v>
      </c>
      <c r="AF507" s="44" t="s">
        <v>53</v>
      </c>
      <c r="AG507" s="44" t="n">
        <v>0</v>
      </c>
      <c r="AH507" s="58" t="s">
        <v>22</v>
      </c>
      <c r="AI507" s="44" t="n">
        <v>0</v>
      </c>
      <c r="AJ507" s="44" t="s">
        <v>613</v>
      </c>
      <c r="AK507" s="44" t="s">
        <v>47</v>
      </c>
      <c r="AL507" s="44" t="s">
        <v>613</v>
      </c>
      <c r="AM507" s="44" t="n">
        <v>0</v>
      </c>
      <c r="AN507" s="44"/>
      <c r="AO507" s="44"/>
      <c r="AP507" s="44"/>
      <c r="AQ507" s="45" t="s">
        <v>641</v>
      </c>
      <c r="AR507" s="44" t="s">
        <v>1284</v>
      </c>
      <c r="AS507" s="44"/>
      <c r="AT507" s="44"/>
      <c r="AU507" s="44"/>
      <c r="AV507" s="44"/>
      <c r="AW507" s="44"/>
      <c r="AX507" s="44"/>
      <c r="AY507" s="44"/>
      <c r="AZ507" s="46"/>
    </row>
    <row r="508" customFormat="false" ht="18" hidden="false" customHeight="true" outlineLevel="0" collapsed="false">
      <c r="A508" s="47" t="n">
        <v>114366</v>
      </c>
      <c r="B508" s="48" t="s">
        <v>645</v>
      </c>
      <c r="C508" s="47" t="n">
        <v>114366</v>
      </c>
      <c r="D508" s="48" t="s">
        <v>646</v>
      </c>
      <c r="E508" s="48" t="s">
        <v>687</v>
      </c>
      <c r="F508" s="48" t="s">
        <v>685</v>
      </c>
      <c r="G508" s="49" t="s">
        <v>1461</v>
      </c>
      <c r="H508" s="48" t="s">
        <v>1562</v>
      </c>
      <c r="I508" s="48" t="s">
        <v>1599</v>
      </c>
      <c r="J508" s="48" t="s">
        <v>1562</v>
      </c>
      <c r="K508" s="48" t="s">
        <v>613</v>
      </c>
      <c r="L508" s="48" t="s">
        <v>613</v>
      </c>
      <c r="M508" s="48"/>
      <c r="N508" s="50" t="s">
        <v>1443</v>
      </c>
      <c r="O508" s="51" t="s">
        <v>1796</v>
      </c>
      <c r="P508" s="52" t="n">
        <v>1</v>
      </c>
      <c r="Q508" s="51"/>
      <c r="R508" s="52" t="s">
        <v>1519</v>
      </c>
      <c r="S508" s="52"/>
      <c r="T508" s="52"/>
      <c r="U508" s="53" t="n">
        <v>85000</v>
      </c>
      <c r="V508" s="54" t="n">
        <v>85000</v>
      </c>
      <c r="W508" s="55" t="n">
        <v>0.08</v>
      </c>
      <c r="X508" s="52" t="n">
        <v>0.055</v>
      </c>
      <c r="Y508" s="55" t="n">
        <v>0.12</v>
      </c>
      <c r="Z508" s="56"/>
      <c r="AA508" s="55" t="n">
        <v>0.04</v>
      </c>
      <c r="AB508" s="57" t="n">
        <v>110075</v>
      </c>
      <c r="AC508" s="44"/>
      <c r="AD508" s="44"/>
      <c r="AE508" s="44" t="n">
        <v>110075</v>
      </c>
      <c r="AF508" s="44" t="s">
        <v>53</v>
      </c>
      <c r="AG508" s="44" t="n">
        <v>0</v>
      </c>
      <c r="AH508" s="58" t="s">
        <v>22</v>
      </c>
      <c r="AI508" s="44" t="n">
        <v>0</v>
      </c>
      <c r="AJ508" s="44" t="s">
        <v>613</v>
      </c>
      <c r="AK508" s="44" t="s">
        <v>47</v>
      </c>
      <c r="AL508" s="44" t="s">
        <v>613</v>
      </c>
      <c r="AM508" s="44" t="n">
        <v>0</v>
      </c>
      <c r="AN508" s="44"/>
      <c r="AO508" s="44"/>
      <c r="AP508" s="44"/>
      <c r="AQ508" s="45" t="s">
        <v>644</v>
      </c>
      <c r="AR508" s="44" t="s">
        <v>1282</v>
      </c>
      <c r="AS508" s="44"/>
      <c r="AT508" s="44"/>
      <c r="AU508" s="44"/>
      <c r="AV508" s="44"/>
      <c r="AW508" s="44"/>
      <c r="AX508" s="44"/>
      <c r="AY508" s="44"/>
      <c r="AZ508" s="46"/>
    </row>
    <row r="509" customFormat="false" ht="18" hidden="false" customHeight="true" outlineLevel="0" collapsed="false">
      <c r="A509" s="47" t="n">
        <v>115819</v>
      </c>
      <c r="B509" s="48" t="s">
        <v>289</v>
      </c>
      <c r="C509" s="47" t="n">
        <v>115819</v>
      </c>
      <c r="D509" s="48" t="s">
        <v>290</v>
      </c>
      <c r="E509" s="48" t="s">
        <v>299</v>
      </c>
      <c r="F509" s="48" t="s">
        <v>300</v>
      </c>
      <c r="G509" s="49" t="s">
        <v>1471</v>
      </c>
      <c r="H509" s="48" t="s">
        <v>1472</v>
      </c>
      <c r="I509" s="48" t="s">
        <v>1620</v>
      </c>
      <c r="J509" s="48" t="s">
        <v>1568</v>
      </c>
      <c r="K509" s="48" t="s">
        <v>220</v>
      </c>
      <c r="L509" s="48" t="s">
        <v>220</v>
      </c>
      <c r="M509" s="48"/>
      <c r="N509" s="50" t="s">
        <v>1284</v>
      </c>
      <c r="O509" s="51" t="s">
        <v>1796</v>
      </c>
      <c r="P509" s="52" t="n">
        <v>1</v>
      </c>
      <c r="Q509" s="51"/>
      <c r="R509" s="52" t="s">
        <v>1519</v>
      </c>
      <c r="S509" s="52"/>
      <c r="T509" s="52"/>
      <c r="U509" s="53" t="n">
        <v>132710</v>
      </c>
      <c r="V509" s="54" t="n">
        <v>132710</v>
      </c>
      <c r="W509" s="55" t="n">
        <v>0.1</v>
      </c>
      <c r="X509" s="52" t="n">
        <v>0.055</v>
      </c>
      <c r="Y509" s="55" t="n">
        <v>0.12</v>
      </c>
      <c r="Z509" s="56"/>
      <c r="AA509" s="55" t="n">
        <v>0.04</v>
      </c>
      <c r="AB509" s="57" t="n">
        <v>174513.65</v>
      </c>
      <c r="AC509" s="44"/>
      <c r="AD509" s="44"/>
      <c r="AE509" s="44" t="n">
        <v>174513.65</v>
      </c>
      <c r="AF509" s="44" t="s">
        <v>53</v>
      </c>
      <c r="AG509" s="44" t="n">
        <v>0</v>
      </c>
      <c r="AH509" s="58" t="s">
        <v>16</v>
      </c>
      <c r="AI509" s="44" t="n">
        <v>0</v>
      </c>
      <c r="AJ509" s="44" t="s">
        <v>220</v>
      </c>
      <c r="AK509" s="44" t="s">
        <v>47</v>
      </c>
      <c r="AL509" s="44" t="s">
        <v>220</v>
      </c>
      <c r="AM509" s="44" t="n">
        <v>0</v>
      </c>
      <c r="AN509" s="44"/>
      <c r="AO509" s="44"/>
      <c r="AP509" s="44"/>
      <c r="AQ509" s="45" t="s">
        <v>288</v>
      </c>
      <c r="AR509" s="44" t="s">
        <v>1284</v>
      </c>
      <c r="AS509" s="44"/>
      <c r="AT509" s="44"/>
      <c r="AU509" s="44"/>
      <c r="AV509" s="44"/>
      <c r="AW509" s="44"/>
      <c r="AX509" s="44"/>
      <c r="AY509" s="44"/>
      <c r="AZ509" s="46"/>
    </row>
    <row r="510" customFormat="false" ht="18" hidden="false" customHeight="true" outlineLevel="0" collapsed="false">
      <c r="A510" s="47" t="n">
        <v>113558</v>
      </c>
      <c r="B510" s="48" t="s">
        <v>292</v>
      </c>
      <c r="C510" s="47" t="n">
        <v>113558</v>
      </c>
      <c r="D510" s="48" t="s">
        <v>263</v>
      </c>
      <c r="E510" s="48" t="s">
        <v>299</v>
      </c>
      <c r="F510" s="48" t="s">
        <v>300</v>
      </c>
      <c r="G510" s="49" t="s">
        <v>1471</v>
      </c>
      <c r="H510" s="48" t="s">
        <v>1472</v>
      </c>
      <c r="I510" s="48" t="s">
        <v>1620</v>
      </c>
      <c r="J510" s="48" t="s">
        <v>1568</v>
      </c>
      <c r="K510" s="48" t="s">
        <v>220</v>
      </c>
      <c r="L510" s="48" t="s">
        <v>220</v>
      </c>
      <c r="M510" s="48"/>
      <c r="N510" s="50" t="s">
        <v>1284</v>
      </c>
      <c r="O510" s="51" t="s">
        <v>1796</v>
      </c>
      <c r="P510" s="52" t="n">
        <v>1</v>
      </c>
      <c r="Q510" s="51"/>
      <c r="R510" s="52" t="s">
        <v>1519</v>
      </c>
      <c r="S510" s="52"/>
      <c r="T510" s="52"/>
      <c r="U510" s="53" t="n">
        <v>142360</v>
      </c>
      <c r="V510" s="54" t="n">
        <v>142360</v>
      </c>
      <c r="W510" s="55" t="n">
        <v>0.12</v>
      </c>
      <c r="X510" s="52" t="n">
        <v>0.055</v>
      </c>
      <c r="Y510" s="55" t="n">
        <v>0.12</v>
      </c>
      <c r="Z510" s="56"/>
      <c r="AA510" s="55" t="n">
        <v>0.04</v>
      </c>
      <c r="AB510" s="57" t="n">
        <v>190050.6</v>
      </c>
      <c r="AC510" s="44"/>
      <c r="AD510" s="44"/>
      <c r="AE510" s="44" t="n">
        <v>190050.6</v>
      </c>
      <c r="AF510" s="44" t="s">
        <v>53</v>
      </c>
      <c r="AG510" s="44" t="n">
        <v>0</v>
      </c>
      <c r="AH510" s="58" t="s">
        <v>16</v>
      </c>
      <c r="AI510" s="44" t="n">
        <v>0</v>
      </c>
      <c r="AJ510" s="44" t="s">
        <v>220</v>
      </c>
      <c r="AK510" s="44" t="s">
        <v>47</v>
      </c>
      <c r="AL510" s="44" t="s">
        <v>220</v>
      </c>
      <c r="AM510" s="44" t="n">
        <v>0</v>
      </c>
      <c r="AN510" s="44"/>
      <c r="AO510" s="44"/>
      <c r="AP510" s="44"/>
      <c r="AQ510" s="45" t="s">
        <v>291</v>
      </c>
      <c r="AR510" s="44" t="s">
        <v>1284</v>
      </c>
      <c r="AS510" s="44"/>
      <c r="AT510" s="44"/>
      <c r="AU510" s="44"/>
      <c r="AV510" s="44"/>
      <c r="AW510" s="44"/>
      <c r="AX510" s="44"/>
      <c r="AY510" s="44"/>
      <c r="AZ510" s="46"/>
    </row>
    <row r="511" customFormat="false" ht="18" hidden="false" customHeight="true" outlineLevel="0" collapsed="false">
      <c r="A511" s="47" t="n">
        <v>113561</v>
      </c>
      <c r="B511" s="48" t="s">
        <v>659</v>
      </c>
      <c r="C511" s="47" t="n">
        <v>113561</v>
      </c>
      <c r="D511" s="48" t="s">
        <v>523</v>
      </c>
      <c r="E511" s="48" t="s">
        <v>684</v>
      </c>
      <c r="F511" s="48" t="s">
        <v>685</v>
      </c>
      <c r="G511" s="49" t="s">
        <v>1461</v>
      </c>
      <c r="H511" s="48" t="s">
        <v>1562</v>
      </c>
      <c r="I511" s="48" t="s">
        <v>1598</v>
      </c>
      <c r="J511" s="48" t="s">
        <v>1562</v>
      </c>
      <c r="K511" s="48" t="s">
        <v>1152</v>
      </c>
      <c r="L511" s="48" t="s">
        <v>614</v>
      </c>
      <c r="M511" s="48"/>
      <c r="N511" s="50" t="s">
        <v>1284</v>
      </c>
      <c r="O511" s="51" t="s">
        <v>1796</v>
      </c>
      <c r="P511" s="52" t="n">
        <v>1</v>
      </c>
      <c r="Q511" s="51"/>
      <c r="R511" s="52" t="s">
        <v>1519</v>
      </c>
      <c r="S511" s="52"/>
      <c r="T511" s="52"/>
      <c r="U511" s="53" t="n">
        <v>90970</v>
      </c>
      <c r="V511" s="54" t="n">
        <v>83692.4</v>
      </c>
      <c r="W511" s="55" t="n">
        <v>0.1</v>
      </c>
      <c r="X511" s="52"/>
      <c r="Y511" s="55" t="n">
        <v>0.05</v>
      </c>
      <c r="Z511" s="56" t="n">
        <v>2910</v>
      </c>
      <c r="AA511" s="55" t="n">
        <v>0.03</v>
      </c>
      <c r="AB511" s="57" t="n">
        <v>101667.032</v>
      </c>
      <c r="AC511" s="44"/>
      <c r="AD511" s="44"/>
      <c r="AE511" s="44" t="n">
        <v>101667.032</v>
      </c>
      <c r="AF511" s="44" t="s">
        <v>53</v>
      </c>
      <c r="AG511" s="44" t="n">
        <v>0</v>
      </c>
      <c r="AH511" s="58" t="s">
        <v>22</v>
      </c>
      <c r="AI511" s="44" t="n">
        <v>0</v>
      </c>
      <c r="AJ511" s="44" t="s">
        <v>614</v>
      </c>
      <c r="AK511" s="44" t="s">
        <v>47</v>
      </c>
      <c r="AL511" s="44" t="s">
        <v>614</v>
      </c>
      <c r="AM511" s="44" t="n">
        <v>0</v>
      </c>
      <c r="AN511" s="44"/>
      <c r="AO511" s="44"/>
      <c r="AP511" s="44"/>
      <c r="AQ511" s="45" t="s">
        <v>658</v>
      </c>
      <c r="AR511" s="44" t="s">
        <v>1284</v>
      </c>
      <c r="AS511" s="44"/>
      <c r="AT511" s="44"/>
      <c r="AU511" s="44"/>
      <c r="AV511" s="44"/>
      <c r="AW511" s="44"/>
      <c r="AX511" s="44"/>
      <c r="AY511" s="44"/>
      <c r="AZ511" s="46"/>
    </row>
    <row r="512" customFormat="false" ht="18" hidden="false" customHeight="true" outlineLevel="0" collapsed="false">
      <c r="A512" s="47" t="n">
        <v>113572</v>
      </c>
      <c r="B512" s="48" t="s">
        <v>819</v>
      </c>
      <c r="C512" s="47" t="n">
        <v>113572</v>
      </c>
      <c r="D512" s="48" t="s">
        <v>820</v>
      </c>
      <c r="E512" s="48" t="s">
        <v>814</v>
      </c>
      <c r="F512" s="48" t="s">
        <v>1670</v>
      </c>
      <c r="G512" s="49" t="s">
        <v>30</v>
      </c>
      <c r="H512" s="48" t="s">
        <v>1297</v>
      </c>
      <c r="I512" s="48" t="s">
        <v>1638</v>
      </c>
      <c r="J512" s="48" t="s">
        <v>28</v>
      </c>
      <c r="K512" s="48" t="s">
        <v>806</v>
      </c>
      <c r="L512" s="48" t="s">
        <v>806</v>
      </c>
      <c r="M512" s="48"/>
      <c r="N512" s="50" t="s">
        <v>1284</v>
      </c>
      <c r="O512" s="51" t="s">
        <v>1796</v>
      </c>
      <c r="P512" s="52" t="n">
        <v>1</v>
      </c>
      <c r="Q512" s="51"/>
      <c r="R512" s="52" t="s">
        <v>1519</v>
      </c>
      <c r="S512" s="52"/>
      <c r="T512" s="52"/>
      <c r="U512" s="53" t="n">
        <v>96270</v>
      </c>
      <c r="V512" s="54" t="n">
        <v>88568.4</v>
      </c>
      <c r="W512" s="55" t="n">
        <v>0.1</v>
      </c>
      <c r="X512" s="52"/>
      <c r="Y512" s="55" t="n">
        <v>0.05</v>
      </c>
      <c r="Z512" s="56" t="n">
        <v>2910</v>
      </c>
      <c r="AA512" s="55" t="n">
        <v>0.03</v>
      </c>
      <c r="AB512" s="57" t="n">
        <v>107420.712</v>
      </c>
      <c r="AC512" s="44"/>
      <c r="AD512" s="44"/>
      <c r="AE512" s="44" t="n">
        <v>107420.712</v>
      </c>
      <c r="AF512" s="44" t="s">
        <v>53</v>
      </c>
      <c r="AG512" s="44" t="n">
        <v>0</v>
      </c>
      <c r="AH512" s="58" t="s">
        <v>28</v>
      </c>
      <c r="AI512" s="44" t="n">
        <v>0</v>
      </c>
      <c r="AJ512" s="44" t="s">
        <v>806</v>
      </c>
      <c r="AK512" s="44" t="s">
        <v>47</v>
      </c>
      <c r="AL512" s="44" t="s">
        <v>806</v>
      </c>
      <c r="AM512" s="44" t="n">
        <v>0</v>
      </c>
      <c r="AN512" s="44"/>
      <c r="AO512" s="44"/>
      <c r="AP512" s="44"/>
      <c r="AQ512" s="45" t="s">
        <v>818</v>
      </c>
      <c r="AR512" s="44" t="s">
        <v>1284</v>
      </c>
      <c r="AS512" s="44"/>
      <c r="AT512" s="44"/>
      <c r="AU512" s="44"/>
      <c r="AV512" s="44"/>
      <c r="AW512" s="44"/>
      <c r="AX512" s="44"/>
      <c r="AY512" s="44"/>
      <c r="AZ512" s="46"/>
    </row>
    <row r="513" customFormat="false" ht="18" hidden="false" customHeight="true" outlineLevel="0" collapsed="false">
      <c r="A513" s="47" t="n">
        <v>114354</v>
      </c>
      <c r="B513" s="48" t="s">
        <v>1797</v>
      </c>
      <c r="C513" s="47" t="n">
        <v>114354</v>
      </c>
      <c r="D513" s="48" t="s">
        <v>646</v>
      </c>
      <c r="E513" s="48" t="s">
        <v>1716</v>
      </c>
      <c r="F513" s="48" t="s">
        <v>1526</v>
      </c>
      <c r="G513" s="49" t="s">
        <v>1527</v>
      </c>
      <c r="H513" s="48" t="s">
        <v>1251</v>
      </c>
      <c r="I513" s="48" t="s">
        <v>1159</v>
      </c>
      <c r="J513" s="48" t="s">
        <v>1159</v>
      </c>
      <c r="K513" s="48" t="s">
        <v>1159</v>
      </c>
      <c r="L513" s="48" t="s">
        <v>1159</v>
      </c>
      <c r="M513" s="48"/>
      <c r="N513" s="50" t="s">
        <v>1443</v>
      </c>
      <c r="O513" s="51" t="s">
        <v>1796</v>
      </c>
      <c r="P513" s="52" t="n">
        <v>1</v>
      </c>
      <c r="Q513" s="51"/>
      <c r="R513" s="52" t="s">
        <v>1519</v>
      </c>
      <c r="S513" s="52"/>
      <c r="T513" s="52"/>
      <c r="U513" s="53" t="n">
        <v>85000</v>
      </c>
      <c r="V513" s="54" t="n">
        <v>85000</v>
      </c>
      <c r="W513" s="55" t="n">
        <v>0.08</v>
      </c>
      <c r="X513" s="52" t="n">
        <v>0.055</v>
      </c>
      <c r="Y513" s="55" t="n">
        <v>0.12</v>
      </c>
      <c r="Z513" s="56"/>
      <c r="AA513" s="55" t="n">
        <v>0.04</v>
      </c>
      <c r="AB513" s="57" t="n">
        <v>110075</v>
      </c>
      <c r="AC513" s="44"/>
      <c r="AD513" s="44"/>
      <c r="AE513" s="44" t="n">
        <v>110075</v>
      </c>
      <c r="AF513" s="44" t="s">
        <v>53</v>
      </c>
      <c r="AG513" s="44" t="n">
        <v>0</v>
      </c>
      <c r="AH513" s="58" t="s">
        <v>27</v>
      </c>
      <c r="AI513" s="44" t="n">
        <v>0</v>
      </c>
      <c r="AJ513" s="44" t="s">
        <v>1251</v>
      </c>
      <c r="AK513" s="44" t="s">
        <v>47</v>
      </c>
      <c r="AL513" s="44" t="s">
        <v>1251</v>
      </c>
      <c r="AM513" s="44" t="n">
        <v>0</v>
      </c>
      <c r="AN513" s="44"/>
      <c r="AO513" s="44"/>
      <c r="AP513" s="44"/>
      <c r="AQ513" s="45" t="s">
        <v>1361</v>
      </c>
      <c r="AR513" s="44" t="s">
        <v>1282</v>
      </c>
      <c r="AS513" s="44"/>
      <c r="AT513" s="44"/>
      <c r="AU513" s="44"/>
      <c r="AV513" s="44"/>
      <c r="AW513" s="44"/>
      <c r="AX513" s="44"/>
      <c r="AY513" s="44"/>
      <c r="AZ513" s="46"/>
    </row>
    <row r="514" customFormat="false" ht="18" hidden="false" customHeight="true" outlineLevel="0" collapsed="false">
      <c r="A514" s="47" t="n">
        <v>113591</v>
      </c>
      <c r="B514" s="48" t="s">
        <v>232</v>
      </c>
      <c r="C514" s="47" t="n">
        <v>113591</v>
      </c>
      <c r="D514" s="48" t="s">
        <v>89</v>
      </c>
      <c r="E514" s="48" t="s">
        <v>1470</v>
      </c>
      <c r="F514" s="48" t="s">
        <v>303</v>
      </c>
      <c r="G514" s="49" t="s">
        <v>1471</v>
      </c>
      <c r="H514" s="48" t="s">
        <v>1472</v>
      </c>
      <c r="I514" s="48" t="s">
        <v>1473</v>
      </c>
      <c r="J514" s="48" t="s">
        <v>1568</v>
      </c>
      <c r="K514" s="48" t="s">
        <v>1160</v>
      </c>
      <c r="L514" s="48" t="s">
        <v>1698</v>
      </c>
      <c r="M514" s="48"/>
      <c r="N514" s="50" t="s">
        <v>1284</v>
      </c>
      <c r="O514" s="51" t="s">
        <v>1796</v>
      </c>
      <c r="P514" s="52" t="n">
        <v>1</v>
      </c>
      <c r="Q514" s="51"/>
      <c r="R514" s="52" t="s">
        <v>1519</v>
      </c>
      <c r="S514" s="52"/>
      <c r="T514" s="52"/>
      <c r="U514" s="53" t="n">
        <v>159010</v>
      </c>
      <c r="V514" s="54" t="n">
        <v>159010</v>
      </c>
      <c r="W514" s="55" t="n">
        <v>0.12</v>
      </c>
      <c r="X514" s="52" t="n">
        <v>0.055</v>
      </c>
      <c r="Y514" s="55" t="n">
        <v>0.12</v>
      </c>
      <c r="Z514" s="56"/>
      <c r="AA514" s="55" t="n">
        <v>0.04</v>
      </c>
      <c r="AB514" s="57" t="n">
        <v>212278.35</v>
      </c>
      <c r="AC514" s="44"/>
      <c r="AD514" s="44"/>
      <c r="AE514" s="44" t="n">
        <v>212278.35</v>
      </c>
      <c r="AF514" s="44" t="s">
        <v>53</v>
      </c>
      <c r="AG514" s="44" t="n">
        <v>0</v>
      </c>
      <c r="AH514" s="58" t="s">
        <v>16</v>
      </c>
      <c r="AI514" s="44" t="n">
        <v>0</v>
      </c>
      <c r="AJ514" s="44" t="s">
        <v>216</v>
      </c>
      <c r="AK514" s="44" t="s">
        <v>47</v>
      </c>
      <c r="AL514" s="44" t="s">
        <v>216</v>
      </c>
      <c r="AM514" s="44" t="n">
        <v>0</v>
      </c>
      <c r="AN514" s="44"/>
      <c r="AO514" s="44"/>
      <c r="AP514" s="44"/>
      <c r="AQ514" s="45" t="s">
        <v>231</v>
      </c>
      <c r="AR514" s="44" t="s">
        <v>1284</v>
      </c>
      <c r="AS514" s="44"/>
      <c r="AT514" s="44"/>
      <c r="AU514" s="44"/>
      <c r="AV514" s="44"/>
      <c r="AW514" s="44"/>
      <c r="AX514" s="44"/>
      <c r="AY514" s="44"/>
      <c r="AZ514" s="46"/>
    </row>
    <row r="515" customFormat="false" ht="18" hidden="false" customHeight="true" outlineLevel="0" collapsed="false">
      <c r="A515" s="47" t="n">
        <v>117353</v>
      </c>
      <c r="B515" s="48" t="s">
        <v>1798</v>
      </c>
      <c r="C515" s="47" t="n">
        <v>117353</v>
      </c>
      <c r="D515" s="48" t="s">
        <v>549</v>
      </c>
      <c r="E515" s="48" t="s">
        <v>1718</v>
      </c>
      <c r="F515" s="48" t="s">
        <v>1772</v>
      </c>
      <c r="G515" s="49" t="s">
        <v>1527</v>
      </c>
      <c r="H515" s="48" t="s">
        <v>1251</v>
      </c>
      <c r="I515" s="48" t="s">
        <v>1159</v>
      </c>
      <c r="J515" s="48" t="s">
        <v>1159</v>
      </c>
      <c r="K515" s="48" t="s">
        <v>1159</v>
      </c>
      <c r="L515" s="48" t="s">
        <v>1159</v>
      </c>
      <c r="M515" s="48"/>
      <c r="N515" s="50" t="s">
        <v>1284</v>
      </c>
      <c r="O515" s="51" t="s">
        <v>1796</v>
      </c>
      <c r="P515" s="52" t="n">
        <v>1</v>
      </c>
      <c r="Q515" s="51"/>
      <c r="R515" s="52" t="s">
        <v>1641</v>
      </c>
      <c r="S515" s="52"/>
      <c r="T515" s="52"/>
      <c r="U515" s="53" t="n">
        <v>80000</v>
      </c>
      <c r="V515" s="54" t="n">
        <v>73600</v>
      </c>
      <c r="W515" s="55" t="n">
        <v>0.1</v>
      </c>
      <c r="X515" s="52"/>
      <c r="Y515" s="55" t="n">
        <v>0.05</v>
      </c>
      <c r="Z515" s="56" t="n">
        <v>2910</v>
      </c>
      <c r="AA515" s="55" t="n">
        <v>0.03</v>
      </c>
      <c r="AB515" s="57" t="n">
        <v>89758</v>
      </c>
      <c r="AC515" s="44"/>
      <c r="AD515" s="44"/>
      <c r="AE515" s="44" t="n">
        <v>89758</v>
      </c>
      <c r="AF515" s="44" t="s">
        <v>53</v>
      </c>
      <c r="AG515" s="44" t="n">
        <v>0</v>
      </c>
      <c r="AH515" s="58" t="s">
        <v>27</v>
      </c>
      <c r="AI515" s="44" t="n">
        <v>0</v>
      </c>
      <c r="AJ515" s="44" t="s">
        <v>1251</v>
      </c>
      <c r="AK515" s="44" t="s">
        <v>47</v>
      </c>
      <c r="AL515" s="44" t="s">
        <v>1251</v>
      </c>
      <c r="AM515" s="44" t="n">
        <v>0</v>
      </c>
      <c r="AN515" s="44"/>
      <c r="AO515" s="44"/>
      <c r="AP515" s="44"/>
      <c r="AQ515" s="45" t="s">
        <v>1362</v>
      </c>
      <c r="AR515" s="44" t="s">
        <v>1284</v>
      </c>
      <c r="AS515" s="44"/>
      <c r="AT515" s="44"/>
      <c r="AU515" s="44"/>
      <c r="AV515" s="44"/>
      <c r="AW515" s="44"/>
      <c r="AX515" s="44"/>
      <c r="AY515" s="44"/>
      <c r="AZ515" s="46"/>
    </row>
    <row r="516" customFormat="false" ht="18" hidden="false" customHeight="true" outlineLevel="0" collapsed="false">
      <c r="A516" s="47" t="n">
        <v>113569</v>
      </c>
      <c r="B516" s="48" t="s">
        <v>1799</v>
      </c>
      <c r="C516" s="47" t="n">
        <v>113569</v>
      </c>
      <c r="D516" s="48" t="s">
        <v>549</v>
      </c>
      <c r="E516" s="48" t="s">
        <v>1718</v>
      </c>
      <c r="F516" s="48" t="s">
        <v>1772</v>
      </c>
      <c r="G516" s="49" t="s">
        <v>1527</v>
      </c>
      <c r="H516" s="48" t="s">
        <v>1251</v>
      </c>
      <c r="I516" s="48" t="s">
        <v>1159</v>
      </c>
      <c r="J516" s="48" t="s">
        <v>1159</v>
      </c>
      <c r="K516" s="48" t="s">
        <v>1159</v>
      </c>
      <c r="L516" s="48" t="s">
        <v>1159</v>
      </c>
      <c r="M516" s="48"/>
      <c r="N516" s="50" t="s">
        <v>1284</v>
      </c>
      <c r="O516" s="51" t="s">
        <v>1796</v>
      </c>
      <c r="P516" s="52" t="n">
        <v>1</v>
      </c>
      <c r="Q516" s="51"/>
      <c r="R516" s="52" t="s">
        <v>1519</v>
      </c>
      <c r="S516" s="52"/>
      <c r="T516" s="52"/>
      <c r="U516" s="53" t="n">
        <v>86890</v>
      </c>
      <c r="V516" s="54" t="n">
        <v>79938.8</v>
      </c>
      <c r="W516" s="55" t="n">
        <v>0.1</v>
      </c>
      <c r="X516" s="52"/>
      <c r="Y516" s="55" t="n">
        <v>0.05</v>
      </c>
      <c r="Z516" s="56" t="n">
        <v>2910</v>
      </c>
      <c r="AA516" s="55" t="n">
        <v>0.03</v>
      </c>
      <c r="AB516" s="57" t="n">
        <v>97237.784</v>
      </c>
      <c r="AC516" s="44"/>
      <c r="AD516" s="44"/>
      <c r="AE516" s="44" t="n">
        <v>97237.784</v>
      </c>
      <c r="AF516" s="44" t="s">
        <v>53</v>
      </c>
      <c r="AG516" s="44" t="n">
        <v>0</v>
      </c>
      <c r="AH516" s="58" t="s">
        <v>27</v>
      </c>
      <c r="AI516" s="44" t="n">
        <v>0</v>
      </c>
      <c r="AJ516" s="44" t="s">
        <v>1251</v>
      </c>
      <c r="AK516" s="44" t="s">
        <v>47</v>
      </c>
      <c r="AL516" s="44" t="s">
        <v>1251</v>
      </c>
      <c r="AM516" s="44" t="n">
        <v>0</v>
      </c>
      <c r="AN516" s="44"/>
      <c r="AO516" s="44"/>
      <c r="AP516" s="44"/>
      <c r="AQ516" s="45" t="s">
        <v>1368</v>
      </c>
      <c r="AR516" s="44" t="s">
        <v>1284</v>
      </c>
      <c r="AS516" s="44"/>
      <c r="AT516" s="44"/>
      <c r="AU516" s="44"/>
      <c r="AV516" s="44"/>
      <c r="AW516" s="44"/>
      <c r="AX516" s="44"/>
      <c r="AY516" s="44"/>
      <c r="AZ516" s="46"/>
    </row>
    <row r="517" customFormat="false" ht="18" hidden="false" customHeight="true" outlineLevel="0" collapsed="false">
      <c r="A517" s="47" t="s">
        <v>1507</v>
      </c>
      <c r="B517" s="48" t="s">
        <v>1800</v>
      </c>
      <c r="C517" s="47" t="s">
        <v>1507</v>
      </c>
      <c r="D517" s="48" t="s">
        <v>549</v>
      </c>
      <c r="E517" s="48" t="s">
        <v>1718</v>
      </c>
      <c r="F517" s="48"/>
      <c r="G517" s="49" t="s">
        <v>1527</v>
      </c>
      <c r="H517" s="48" t="s">
        <v>1251</v>
      </c>
      <c r="I517" s="48" t="s">
        <v>1159</v>
      </c>
      <c r="J517" s="48" t="s">
        <v>1159</v>
      </c>
      <c r="K517" s="48" t="s">
        <v>1159</v>
      </c>
      <c r="L517" s="48" t="s">
        <v>1159</v>
      </c>
      <c r="M517" s="48"/>
      <c r="N517" s="50" t="s">
        <v>1443</v>
      </c>
      <c r="O517" s="51" t="s">
        <v>1796</v>
      </c>
      <c r="P517" s="52" t="n">
        <v>1</v>
      </c>
      <c r="Q517" s="51"/>
      <c r="R517" s="52" t="s">
        <v>1513</v>
      </c>
      <c r="S517" s="52"/>
      <c r="T517" s="52"/>
      <c r="U517" s="53" t="n">
        <v>94650</v>
      </c>
      <c r="V517" s="54" t="n">
        <v>94650</v>
      </c>
      <c r="W517" s="55" t="n">
        <v>0.08</v>
      </c>
      <c r="X517" s="52" t="n">
        <v>0.055</v>
      </c>
      <c r="Y517" s="55" t="n">
        <v>0.12</v>
      </c>
      <c r="Z517" s="56"/>
      <c r="AA517" s="55" t="n">
        <v>0.04</v>
      </c>
      <c r="AB517" s="57" t="n">
        <v>122571.75</v>
      </c>
      <c r="AC517" s="44"/>
      <c r="AD517" s="44"/>
      <c r="AE517" s="44" t="n">
        <v>122571.75</v>
      </c>
      <c r="AF517" s="44" t="s">
        <v>69</v>
      </c>
      <c r="AG517" s="44" t="n">
        <v>0</v>
      </c>
      <c r="AH517" s="58" t="s">
        <v>27</v>
      </c>
      <c r="AI517" s="44" t="n">
        <v>0</v>
      </c>
      <c r="AJ517" s="44" t="s">
        <v>1251</v>
      </c>
      <c r="AK517" s="44" t="s">
        <v>47</v>
      </c>
      <c r="AL517" s="44" t="s">
        <v>1251</v>
      </c>
      <c r="AM517" s="44" t="n">
        <v>0</v>
      </c>
      <c r="AN517" s="44"/>
      <c r="AO517" s="44"/>
      <c r="AP517" s="44"/>
      <c r="AQ517" s="45" t="s">
        <v>1369</v>
      </c>
      <c r="AR517" s="44" t="s">
        <v>1282</v>
      </c>
      <c r="AS517" s="44"/>
      <c r="AT517" s="44"/>
      <c r="AU517" s="44"/>
      <c r="AV517" s="44"/>
      <c r="AW517" s="44"/>
      <c r="AX517" s="44"/>
      <c r="AY517" s="44"/>
      <c r="AZ517" s="46"/>
    </row>
    <row r="518" customFormat="false" ht="18" hidden="false" customHeight="true" outlineLevel="0" collapsed="false">
      <c r="A518" s="47" t="n">
        <v>113503</v>
      </c>
      <c r="B518" s="48" t="s">
        <v>271</v>
      </c>
      <c r="C518" s="47" t="n">
        <v>113503</v>
      </c>
      <c r="D518" s="48" t="s">
        <v>77</v>
      </c>
      <c r="E518" s="48" t="s">
        <v>69</v>
      </c>
      <c r="F518" s="48" t="s">
        <v>1696</v>
      </c>
      <c r="G518" s="49" t="s">
        <v>1471</v>
      </c>
      <c r="H518" s="48" t="s">
        <v>1472</v>
      </c>
      <c r="I518" s="48" t="s">
        <v>1629</v>
      </c>
      <c r="J518" s="48" t="s">
        <v>1568</v>
      </c>
      <c r="K518" s="48" t="s">
        <v>19</v>
      </c>
      <c r="L518" s="48" t="s">
        <v>1655</v>
      </c>
      <c r="M518" s="48"/>
      <c r="N518" s="50" t="s">
        <v>1284</v>
      </c>
      <c r="O518" s="51" t="s">
        <v>1796</v>
      </c>
      <c r="P518" s="52" t="n">
        <v>1</v>
      </c>
      <c r="Q518" s="51"/>
      <c r="R518" s="52" t="s">
        <v>1519</v>
      </c>
      <c r="S518" s="52"/>
      <c r="T518" s="52"/>
      <c r="U518" s="53" t="n">
        <v>100900</v>
      </c>
      <c r="V518" s="54" t="n">
        <v>92828</v>
      </c>
      <c r="W518" s="55" t="n">
        <v>0.1</v>
      </c>
      <c r="X518" s="52"/>
      <c r="Y518" s="55" t="n">
        <v>0.05</v>
      </c>
      <c r="Z518" s="56" t="n">
        <v>2910</v>
      </c>
      <c r="AA518" s="55" t="n">
        <v>0.03</v>
      </c>
      <c r="AB518" s="57" t="n">
        <v>112447.04</v>
      </c>
      <c r="AC518" s="44"/>
      <c r="AD518" s="44"/>
      <c r="AE518" s="44" t="n">
        <v>112447.04</v>
      </c>
      <c r="AF518" s="44" t="s">
        <v>53</v>
      </c>
      <c r="AG518" s="44" t="n">
        <v>0</v>
      </c>
      <c r="AH518" s="58" t="s">
        <v>16</v>
      </c>
      <c r="AI518" s="44" t="n">
        <v>0</v>
      </c>
      <c r="AJ518" s="44" t="s">
        <v>224</v>
      </c>
      <c r="AK518" s="44" t="s">
        <v>47</v>
      </c>
      <c r="AL518" s="44" t="s">
        <v>224</v>
      </c>
      <c r="AM518" s="44" t="n">
        <v>0</v>
      </c>
      <c r="AN518" s="44"/>
      <c r="AO518" s="44"/>
      <c r="AP518" s="44"/>
      <c r="AQ518" s="45" t="s">
        <v>270</v>
      </c>
      <c r="AR518" s="44" t="s">
        <v>1284</v>
      </c>
      <c r="AS518" s="44"/>
      <c r="AT518" s="44"/>
      <c r="AU518" s="44"/>
      <c r="AV518" s="44"/>
      <c r="AW518" s="44"/>
      <c r="AX518" s="44"/>
      <c r="AY518" s="44"/>
      <c r="AZ518" s="46"/>
    </row>
    <row r="519" customFormat="false" ht="18" hidden="false" customHeight="true" outlineLevel="0" collapsed="false">
      <c r="A519" s="47" t="n">
        <v>113505</v>
      </c>
      <c r="B519" s="48" t="s">
        <v>601</v>
      </c>
      <c r="C519" s="47" t="n">
        <v>113505</v>
      </c>
      <c r="D519" s="48" t="s">
        <v>523</v>
      </c>
      <c r="E519" s="48" t="s">
        <v>69</v>
      </c>
      <c r="F519" s="48" t="s">
        <v>300</v>
      </c>
      <c r="G519" s="49" t="s">
        <v>1461</v>
      </c>
      <c r="H519" s="48" t="s">
        <v>20</v>
      </c>
      <c r="I519" s="48" t="s">
        <v>1706</v>
      </c>
      <c r="J519" s="48" t="s">
        <v>20</v>
      </c>
      <c r="K519" s="48" t="s">
        <v>569</v>
      </c>
      <c r="L519" s="48" t="s">
        <v>569</v>
      </c>
      <c r="M519" s="48"/>
      <c r="N519" s="50" t="s">
        <v>1284</v>
      </c>
      <c r="O519" s="51" t="s">
        <v>1796</v>
      </c>
      <c r="P519" s="52" t="n">
        <v>1</v>
      </c>
      <c r="Q519" s="51"/>
      <c r="R519" s="52" t="s">
        <v>1519</v>
      </c>
      <c r="S519" s="52"/>
      <c r="T519" s="52"/>
      <c r="U519" s="53" t="n">
        <v>90760</v>
      </c>
      <c r="V519" s="54" t="n">
        <v>83499.2</v>
      </c>
      <c r="W519" s="55" t="n">
        <v>0.1</v>
      </c>
      <c r="X519" s="52"/>
      <c r="Y519" s="55" t="n">
        <v>0.05</v>
      </c>
      <c r="Z519" s="56" t="n">
        <v>2910</v>
      </c>
      <c r="AA519" s="55" t="n">
        <v>0.03</v>
      </c>
      <c r="AB519" s="57" t="n">
        <v>101439.056</v>
      </c>
      <c r="AC519" s="44"/>
      <c r="AD519" s="44"/>
      <c r="AE519" s="44" t="n">
        <v>101439.056</v>
      </c>
      <c r="AF519" s="44" t="s">
        <v>53</v>
      </c>
      <c r="AG519" s="44" t="n">
        <v>0</v>
      </c>
      <c r="AH519" s="58" t="s">
        <v>20</v>
      </c>
      <c r="AI519" s="44" t="n">
        <v>0</v>
      </c>
      <c r="AJ519" s="44" t="s">
        <v>569</v>
      </c>
      <c r="AK519" s="44" t="s">
        <v>47</v>
      </c>
      <c r="AL519" s="44" t="s">
        <v>569</v>
      </c>
      <c r="AM519" s="44" t="n">
        <v>0</v>
      </c>
      <c r="AN519" s="44"/>
      <c r="AO519" s="44"/>
      <c r="AP519" s="44"/>
      <c r="AQ519" s="45" t="s">
        <v>600</v>
      </c>
      <c r="AR519" s="44" t="s">
        <v>1284</v>
      </c>
      <c r="AS519" s="44"/>
      <c r="AT519" s="44"/>
      <c r="AU519" s="44"/>
      <c r="AV519" s="44"/>
      <c r="AW519" s="44"/>
      <c r="AX519" s="44"/>
      <c r="AY519" s="44"/>
      <c r="AZ519" s="46"/>
    </row>
    <row r="520" customFormat="false" ht="18" hidden="false" customHeight="true" outlineLevel="0" collapsed="false">
      <c r="A520" s="47" t="n">
        <v>116998</v>
      </c>
      <c r="B520" s="48" t="s">
        <v>294</v>
      </c>
      <c r="C520" s="47" t="n">
        <v>116998</v>
      </c>
      <c r="D520" s="48" t="s">
        <v>290</v>
      </c>
      <c r="E520" s="48" t="s">
        <v>299</v>
      </c>
      <c r="F520" s="48" t="s">
        <v>300</v>
      </c>
      <c r="G520" s="49" t="s">
        <v>1471</v>
      </c>
      <c r="H520" s="48" t="s">
        <v>1472</v>
      </c>
      <c r="I520" s="48" t="s">
        <v>1620</v>
      </c>
      <c r="J520" s="48" t="s">
        <v>1568</v>
      </c>
      <c r="K520" s="48" t="s">
        <v>220</v>
      </c>
      <c r="L520" s="48" t="s">
        <v>220</v>
      </c>
      <c r="M520" s="48"/>
      <c r="N520" s="50" t="s">
        <v>1284</v>
      </c>
      <c r="O520" s="51" t="s">
        <v>1801</v>
      </c>
      <c r="P520" s="52" t="n">
        <v>1</v>
      </c>
      <c r="Q520" s="51"/>
      <c r="R520" s="52" t="s">
        <v>1519</v>
      </c>
      <c r="S520" s="52"/>
      <c r="T520" s="52"/>
      <c r="U520" s="53" t="n">
        <v>105000</v>
      </c>
      <c r="V520" s="54" t="n">
        <v>96600</v>
      </c>
      <c r="W520" s="55" t="n">
        <v>0.1</v>
      </c>
      <c r="X520" s="52"/>
      <c r="Y520" s="55" t="n">
        <v>0.05</v>
      </c>
      <c r="Z520" s="56" t="n">
        <v>2910</v>
      </c>
      <c r="AA520" s="55" t="n">
        <v>0.03</v>
      </c>
      <c r="AB520" s="57" t="n">
        <v>116898</v>
      </c>
      <c r="AC520" s="44"/>
      <c r="AD520" s="44"/>
      <c r="AE520" s="44" t="n">
        <v>116898</v>
      </c>
      <c r="AF520" s="44" t="s">
        <v>53</v>
      </c>
      <c r="AG520" s="44" t="n">
        <v>0</v>
      </c>
      <c r="AH520" s="58" t="s">
        <v>16</v>
      </c>
      <c r="AI520" s="44" t="n">
        <v>0</v>
      </c>
      <c r="AJ520" s="44" t="s">
        <v>220</v>
      </c>
      <c r="AK520" s="44" t="s">
        <v>47</v>
      </c>
      <c r="AL520" s="44" t="s">
        <v>220</v>
      </c>
      <c r="AM520" s="44" t="n">
        <v>0</v>
      </c>
      <c r="AN520" s="44"/>
      <c r="AO520" s="44"/>
      <c r="AP520" s="44"/>
      <c r="AQ520" s="45" t="s">
        <v>293</v>
      </c>
      <c r="AR520" s="44" t="s">
        <v>1284</v>
      </c>
      <c r="AS520" s="44"/>
      <c r="AT520" s="44"/>
      <c r="AU520" s="44"/>
      <c r="AV520" s="44"/>
      <c r="AW520" s="44"/>
      <c r="AX520" s="44"/>
      <c r="AY520" s="44"/>
      <c r="AZ520" s="46"/>
    </row>
    <row r="521" customFormat="false" ht="18" hidden="false" customHeight="true" outlineLevel="0" collapsed="false">
      <c r="A521" s="47" t="n">
        <v>115816</v>
      </c>
      <c r="B521" s="48" t="s">
        <v>273</v>
      </c>
      <c r="C521" s="47" t="n">
        <v>115816</v>
      </c>
      <c r="D521" s="48" t="s">
        <v>274</v>
      </c>
      <c r="E521" s="48" t="s">
        <v>299</v>
      </c>
      <c r="F521" s="48" t="s">
        <v>300</v>
      </c>
      <c r="G521" s="49" t="s">
        <v>1471</v>
      </c>
      <c r="H521" s="48" t="s">
        <v>1472</v>
      </c>
      <c r="I521" s="48" t="s">
        <v>1620</v>
      </c>
      <c r="J521" s="48" t="s">
        <v>1568</v>
      </c>
      <c r="K521" s="48" t="s">
        <v>19</v>
      </c>
      <c r="L521" s="48" t="s">
        <v>1655</v>
      </c>
      <c r="M521" s="48"/>
      <c r="N521" s="50" t="s">
        <v>1284</v>
      </c>
      <c r="O521" s="51" t="s">
        <v>1801</v>
      </c>
      <c r="P521" s="52" t="n">
        <v>1</v>
      </c>
      <c r="Q521" s="51"/>
      <c r="R521" s="52" t="s">
        <v>1519</v>
      </c>
      <c r="S521" s="52"/>
      <c r="T521" s="52"/>
      <c r="U521" s="53" t="n">
        <v>310000</v>
      </c>
      <c r="V521" s="54" t="n">
        <v>310000</v>
      </c>
      <c r="W521" s="55" t="n">
        <v>0.2</v>
      </c>
      <c r="X521" s="52" t="n">
        <v>0.055</v>
      </c>
      <c r="Y521" s="55" t="n">
        <v>0.12</v>
      </c>
      <c r="Z521" s="56"/>
      <c r="AA521" s="55" t="n">
        <v>0.04</v>
      </c>
      <c r="AB521" s="57" t="n">
        <v>438650</v>
      </c>
      <c r="AC521" s="44"/>
      <c r="AD521" s="44"/>
      <c r="AE521" s="44" t="n">
        <v>438650</v>
      </c>
      <c r="AF521" s="44" t="s">
        <v>53</v>
      </c>
      <c r="AG521" s="44" t="n">
        <v>0</v>
      </c>
      <c r="AH521" s="58" t="s">
        <v>16</v>
      </c>
      <c r="AI521" s="44" t="n">
        <v>0</v>
      </c>
      <c r="AJ521" s="44" t="s">
        <v>224</v>
      </c>
      <c r="AK521" s="44" t="s">
        <v>47</v>
      </c>
      <c r="AL521" s="44" t="s">
        <v>224</v>
      </c>
      <c r="AM521" s="44" t="n">
        <v>0</v>
      </c>
      <c r="AN521" s="44"/>
      <c r="AO521" s="44"/>
      <c r="AP521" s="44"/>
      <c r="AQ521" s="45" t="s">
        <v>272</v>
      </c>
      <c r="AR521" s="44" t="s">
        <v>1284</v>
      </c>
      <c r="AS521" s="44"/>
      <c r="AT521" s="44"/>
      <c r="AU521" s="44"/>
      <c r="AV521" s="44"/>
      <c r="AW521" s="44"/>
      <c r="AX521" s="44"/>
      <c r="AY521" s="44"/>
      <c r="AZ521" s="46"/>
    </row>
    <row r="522" customFormat="false" ht="18" hidden="false" customHeight="true" outlineLevel="0" collapsed="false">
      <c r="A522" s="47" t="n">
        <v>113333</v>
      </c>
      <c r="B522" s="48" t="s">
        <v>755</v>
      </c>
      <c r="C522" s="47" t="n">
        <v>113333</v>
      </c>
      <c r="D522" s="48" t="s">
        <v>746</v>
      </c>
      <c r="E522" s="48" t="s">
        <v>752</v>
      </c>
      <c r="F522" s="48" t="s">
        <v>1764</v>
      </c>
      <c r="G522" s="49" t="s">
        <v>1461</v>
      </c>
      <c r="H522" s="48" t="s">
        <v>1161</v>
      </c>
      <c r="I522" s="48" t="s">
        <v>1462</v>
      </c>
      <c r="J522" s="48" t="s">
        <v>24</v>
      </c>
      <c r="K522" s="48" t="s">
        <v>1161</v>
      </c>
      <c r="L522" s="48" t="s">
        <v>1765</v>
      </c>
      <c r="M522" s="48"/>
      <c r="N522" s="50" t="s">
        <v>1443</v>
      </c>
      <c r="O522" s="51" t="s">
        <v>1801</v>
      </c>
      <c r="P522" s="52" t="n">
        <v>1</v>
      </c>
      <c r="Q522" s="51"/>
      <c r="R522" s="52" t="s">
        <v>1519</v>
      </c>
      <c r="S522" s="52"/>
      <c r="T522" s="52"/>
      <c r="U522" s="53" t="n">
        <v>82380</v>
      </c>
      <c r="V522" s="54" t="n">
        <v>82380</v>
      </c>
      <c r="W522" s="55" t="n">
        <v>0.08</v>
      </c>
      <c r="X522" s="52" t="n">
        <v>0.055</v>
      </c>
      <c r="Y522" s="55" t="n">
        <v>0.12</v>
      </c>
      <c r="Z522" s="56"/>
      <c r="AA522" s="55" t="n">
        <v>0.04</v>
      </c>
      <c r="AB522" s="57" t="n">
        <v>106682.1</v>
      </c>
      <c r="AC522" s="44"/>
      <c r="AD522" s="44"/>
      <c r="AE522" s="44" t="n">
        <v>106682.1</v>
      </c>
      <c r="AF522" s="44" t="s">
        <v>53</v>
      </c>
      <c r="AG522" s="44" t="n">
        <v>0</v>
      </c>
      <c r="AH522" s="58" t="s">
        <v>24</v>
      </c>
      <c r="AI522" s="44" t="n">
        <v>0</v>
      </c>
      <c r="AJ522" s="44" t="s">
        <v>690</v>
      </c>
      <c r="AK522" s="44" t="s">
        <v>47</v>
      </c>
      <c r="AL522" s="44" t="s">
        <v>690</v>
      </c>
      <c r="AM522" s="44" t="n">
        <v>0</v>
      </c>
      <c r="AN522" s="44"/>
      <c r="AO522" s="44"/>
      <c r="AP522" s="44"/>
      <c r="AQ522" s="45" t="s">
        <v>754</v>
      </c>
      <c r="AR522" s="44" t="s">
        <v>1282</v>
      </c>
      <c r="AS522" s="44"/>
      <c r="AT522" s="44"/>
      <c r="AU522" s="44"/>
      <c r="AV522" s="44"/>
      <c r="AW522" s="44"/>
      <c r="AX522" s="44"/>
      <c r="AY522" s="44"/>
      <c r="AZ522" s="46"/>
    </row>
    <row r="523" customFormat="false" ht="18" hidden="false" customHeight="true" outlineLevel="0" collapsed="false">
      <c r="A523" s="47" t="n">
        <v>115516</v>
      </c>
      <c r="B523" s="48" t="s">
        <v>676</v>
      </c>
      <c r="C523" s="47" t="n">
        <v>115516</v>
      </c>
      <c r="D523" s="48" t="s">
        <v>677</v>
      </c>
      <c r="E523" s="48" t="s">
        <v>684</v>
      </c>
      <c r="F523" s="48" t="s">
        <v>685</v>
      </c>
      <c r="G523" s="49" t="s">
        <v>1461</v>
      </c>
      <c r="H523" s="48" t="s">
        <v>1562</v>
      </c>
      <c r="I523" s="48" t="s">
        <v>1598</v>
      </c>
      <c r="J523" s="48" t="s">
        <v>1562</v>
      </c>
      <c r="K523" s="48" t="s">
        <v>1152</v>
      </c>
      <c r="L523" s="48" t="s">
        <v>436</v>
      </c>
      <c r="M523" s="48"/>
      <c r="N523" s="50" t="s">
        <v>1284</v>
      </c>
      <c r="O523" s="51" t="s">
        <v>1801</v>
      </c>
      <c r="P523" s="52" t="n">
        <v>1</v>
      </c>
      <c r="Q523" s="51"/>
      <c r="R523" s="52" t="s">
        <v>1519</v>
      </c>
      <c r="S523" s="52"/>
      <c r="T523" s="52"/>
      <c r="U523" s="53" t="n">
        <v>77860</v>
      </c>
      <c r="V523" s="54" t="n">
        <v>71631.2</v>
      </c>
      <c r="W523" s="55" t="n">
        <v>0.1</v>
      </c>
      <c r="X523" s="52"/>
      <c r="Y523" s="55" t="n">
        <v>0.05</v>
      </c>
      <c r="Z523" s="56" t="n">
        <v>2910</v>
      </c>
      <c r="AA523" s="55" t="n">
        <v>0.03</v>
      </c>
      <c r="AB523" s="57" t="n">
        <v>87434.816</v>
      </c>
      <c r="AC523" s="44"/>
      <c r="AD523" s="44"/>
      <c r="AE523" s="44" t="n">
        <v>87434.816</v>
      </c>
      <c r="AF523" s="44" t="s">
        <v>53</v>
      </c>
      <c r="AG523" s="44" t="n">
        <v>0</v>
      </c>
      <c r="AH523" s="58" t="s">
        <v>22</v>
      </c>
      <c r="AI523" s="44" t="n">
        <v>0</v>
      </c>
      <c r="AJ523" s="44" t="s">
        <v>436</v>
      </c>
      <c r="AK523" s="44" t="s">
        <v>47</v>
      </c>
      <c r="AL523" s="44" t="s">
        <v>436</v>
      </c>
      <c r="AM523" s="44" t="n">
        <v>0</v>
      </c>
      <c r="AN523" s="44"/>
      <c r="AO523" s="44"/>
      <c r="AP523" s="44"/>
      <c r="AQ523" s="45" t="s">
        <v>675</v>
      </c>
      <c r="AR523" s="44" t="s">
        <v>1284</v>
      </c>
      <c r="AS523" s="44"/>
      <c r="AT523" s="44"/>
      <c r="AU523" s="44"/>
      <c r="AV523" s="44"/>
      <c r="AW523" s="44"/>
      <c r="AX523" s="44"/>
      <c r="AY523" s="44"/>
      <c r="AZ523" s="46"/>
    </row>
    <row r="524" customFormat="false" ht="18" hidden="false" customHeight="true" outlineLevel="0" collapsed="false">
      <c r="A524" s="47" t="n">
        <v>113924</v>
      </c>
      <c r="B524" s="48" t="s">
        <v>603</v>
      </c>
      <c r="C524" s="47" t="n">
        <v>113924</v>
      </c>
      <c r="D524" s="48" t="s">
        <v>604</v>
      </c>
      <c r="E524" s="48" t="s">
        <v>69</v>
      </c>
      <c r="F524" s="48" t="s">
        <v>300</v>
      </c>
      <c r="G524" s="49" t="s">
        <v>1461</v>
      </c>
      <c r="H524" s="48" t="s">
        <v>20</v>
      </c>
      <c r="I524" s="48" t="s">
        <v>1706</v>
      </c>
      <c r="J524" s="48" t="s">
        <v>20</v>
      </c>
      <c r="K524" s="48" t="s">
        <v>569</v>
      </c>
      <c r="L524" s="48" t="s">
        <v>569</v>
      </c>
      <c r="M524" s="48"/>
      <c r="N524" s="50" t="s">
        <v>1284</v>
      </c>
      <c r="O524" s="51" t="s">
        <v>1801</v>
      </c>
      <c r="P524" s="52" t="n">
        <v>1</v>
      </c>
      <c r="Q524" s="52"/>
      <c r="R524" s="52" t="s">
        <v>1519</v>
      </c>
      <c r="S524" s="52"/>
      <c r="T524" s="52"/>
      <c r="U524" s="53" t="n">
        <v>75170</v>
      </c>
      <c r="V524" s="54" t="n">
        <v>69156.4</v>
      </c>
      <c r="W524" s="55" t="n">
        <v>0.1</v>
      </c>
      <c r="X524" s="52"/>
      <c r="Y524" s="55" t="n">
        <v>0.05</v>
      </c>
      <c r="Z524" s="56" t="n">
        <v>2910</v>
      </c>
      <c r="AA524" s="55" t="n">
        <v>0.03</v>
      </c>
      <c r="AB524" s="57" t="n">
        <v>84514.552</v>
      </c>
      <c r="AC524" s="44"/>
      <c r="AD524" s="44"/>
      <c r="AE524" s="44" t="n">
        <v>84514.552</v>
      </c>
      <c r="AF524" s="44" t="s">
        <v>53</v>
      </c>
      <c r="AG524" s="44" t="n">
        <v>0</v>
      </c>
      <c r="AH524" s="58" t="s">
        <v>20</v>
      </c>
      <c r="AI524" s="44" t="n">
        <v>0</v>
      </c>
      <c r="AJ524" s="44" t="s">
        <v>569</v>
      </c>
      <c r="AK524" s="44" t="s">
        <v>47</v>
      </c>
      <c r="AL524" s="44" t="s">
        <v>569</v>
      </c>
      <c r="AM524" s="44" t="n">
        <v>0</v>
      </c>
      <c r="AN524" s="44"/>
      <c r="AO524" s="44"/>
      <c r="AP524" s="44"/>
      <c r="AQ524" s="45" t="s">
        <v>602</v>
      </c>
      <c r="AR524" s="44" t="s">
        <v>1284</v>
      </c>
      <c r="AS524" s="44"/>
      <c r="AT524" s="44"/>
      <c r="AU524" s="44"/>
      <c r="AV524" s="44"/>
      <c r="AW524" s="44"/>
      <c r="AX524" s="44"/>
      <c r="AY524" s="44"/>
      <c r="AZ524" s="46"/>
    </row>
    <row r="525" customFormat="false" ht="18" hidden="false" customHeight="true" outlineLevel="0" collapsed="false">
      <c r="A525" s="47" t="s">
        <v>1437</v>
      </c>
      <c r="B525" s="48" t="s">
        <v>567</v>
      </c>
      <c r="C525" s="47" t="s">
        <v>1437</v>
      </c>
      <c r="D525" s="48" t="s">
        <v>568</v>
      </c>
      <c r="E525" s="48" t="s">
        <v>69</v>
      </c>
      <c r="F525" s="48" t="s">
        <v>303</v>
      </c>
      <c r="G525" s="49" t="s">
        <v>1461</v>
      </c>
      <c r="H525" s="48" t="s">
        <v>20</v>
      </c>
      <c r="I525" s="48" t="s">
        <v>1607</v>
      </c>
      <c r="J525" s="48" t="s">
        <v>20</v>
      </c>
      <c r="K525" s="48" t="s">
        <v>517</v>
      </c>
      <c r="L525" s="48" t="s">
        <v>513</v>
      </c>
      <c r="M525" s="48"/>
      <c r="N525" s="50" t="s">
        <v>1549</v>
      </c>
      <c r="O525" s="51" t="n">
        <v>0</v>
      </c>
      <c r="P525" s="52" t="n">
        <v>1</v>
      </c>
      <c r="Q525" s="52"/>
      <c r="R525" s="52" t="s">
        <v>1481</v>
      </c>
      <c r="S525" s="52" t="e">
        <f aca="false">#N/A</f>
        <v>#N/A</v>
      </c>
      <c r="T525" s="52" t="n">
        <v>1200</v>
      </c>
      <c r="U525" s="53" t="n">
        <v>0</v>
      </c>
      <c r="V525" s="54"/>
      <c r="W525" s="55"/>
      <c r="X525" s="52"/>
      <c r="Y525" s="55"/>
      <c r="Z525" s="56"/>
      <c r="AA525" s="55"/>
      <c r="AB525" s="57" t="n">
        <v>266400</v>
      </c>
      <c r="AC525" s="44"/>
      <c r="AD525" s="44"/>
      <c r="AE525" s="44" t="n">
        <v>266400</v>
      </c>
      <c r="AF525" s="44" t="s">
        <v>53</v>
      </c>
      <c r="AG525" s="44" t="n">
        <v>0</v>
      </c>
      <c r="AH525" s="58" t="s">
        <v>20</v>
      </c>
      <c r="AI525" s="44" t="n">
        <v>0</v>
      </c>
      <c r="AJ525" s="44" t="s">
        <v>513</v>
      </c>
      <c r="AK525" s="44" t="s">
        <v>47</v>
      </c>
      <c r="AL525" s="44" t="s">
        <v>513</v>
      </c>
      <c r="AM525" s="44" t="n">
        <v>0</v>
      </c>
      <c r="AN525" s="44"/>
      <c r="AO525" s="44"/>
      <c r="AP525" s="44"/>
      <c r="AQ525" s="45" t="s">
        <v>566</v>
      </c>
      <c r="AR525" s="44" t="s">
        <v>1282</v>
      </c>
      <c r="AS525" s="44"/>
      <c r="AT525" s="44"/>
      <c r="AU525" s="44"/>
      <c r="AV525" s="44"/>
      <c r="AW525" s="44"/>
      <c r="AX525" s="44"/>
      <c r="AY525" s="44"/>
      <c r="AZ525" s="46"/>
    </row>
    <row r="526" customFormat="false" ht="18" hidden="false" customHeight="true" outlineLevel="0" collapsed="false">
      <c r="A526" s="47" t="n">
        <v>116027</v>
      </c>
      <c r="B526" s="48" t="s">
        <v>922</v>
      </c>
      <c r="C526" s="47" t="n">
        <v>116027</v>
      </c>
      <c r="D526" s="48" t="s">
        <v>913</v>
      </c>
      <c r="E526" s="48" t="s">
        <v>966</v>
      </c>
      <c r="F526" s="48" t="s">
        <v>1478</v>
      </c>
      <c r="G526" s="49" t="s">
        <v>30</v>
      </c>
      <c r="H526" s="48" t="s">
        <v>1619</v>
      </c>
      <c r="I526" s="48" t="s">
        <v>1480</v>
      </c>
      <c r="J526" s="48" t="s">
        <v>1149</v>
      </c>
      <c r="K526" s="48" t="s">
        <v>1149</v>
      </c>
      <c r="L526" s="48" t="s">
        <v>1674</v>
      </c>
      <c r="M526" s="48"/>
      <c r="N526" s="50" t="s">
        <v>1284</v>
      </c>
      <c r="O526" s="51"/>
      <c r="P526" s="52" t="n">
        <v>1</v>
      </c>
      <c r="Q526" s="44"/>
      <c r="R526" s="52" t="s">
        <v>1519</v>
      </c>
      <c r="S526" s="52"/>
      <c r="T526" s="52"/>
      <c r="U526" s="53" t="n">
        <v>150000</v>
      </c>
      <c r="V526" s="54" t="n">
        <v>163043.47826087</v>
      </c>
      <c r="W526" s="55" t="n">
        <v>0.15</v>
      </c>
      <c r="X526" s="52"/>
      <c r="Y526" s="55" t="n">
        <v>0.05</v>
      </c>
      <c r="Z526" s="56" t="n">
        <v>2910</v>
      </c>
      <c r="AA526" s="55" t="n">
        <v>0.03</v>
      </c>
      <c r="AB526" s="57" t="n">
        <v>165990.163043478</v>
      </c>
      <c r="AC526" s="44"/>
      <c r="AD526" s="44"/>
      <c r="AE526" s="44" t="n">
        <v>165990.163043478</v>
      </c>
      <c r="AF526" s="44" t="s">
        <v>53</v>
      </c>
      <c r="AG526" s="44" t="n">
        <v>0</v>
      </c>
      <c r="AH526" s="58" t="s">
        <v>30</v>
      </c>
      <c r="AI526" s="44" t="n">
        <v>0</v>
      </c>
      <c r="AJ526" s="44" t="s">
        <v>854</v>
      </c>
      <c r="AK526" s="44" t="s">
        <v>47</v>
      </c>
      <c r="AL526" s="44" t="s">
        <v>854</v>
      </c>
      <c r="AM526" s="44" t="n">
        <v>0</v>
      </c>
      <c r="AN526" s="44"/>
      <c r="AO526" s="44"/>
      <c r="AP526" s="44"/>
      <c r="AQ526" s="45" t="s">
        <v>921</v>
      </c>
      <c r="AR526" s="44" t="s">
        <v>1284</v>
      </c>
      <c r="AS526" s="44"/>
      <c r="AT526" s="44"/>
      <c r="AU526" s="44"/>
      <c r="AV526" s="44"/>
      <c r="AW526" s="44"/>
      <c r="AX526" s="44"/>
      <c r="AY526" s="44"/>
      <c r="AZ526" s="46"/>
    </row>
    <row r="527" customFormat="false" ht="18" hidden="false" customHeight="true" outlineLevel="0" collapsed="false">
      <c r="A527" s="47" t="s">
        <v>1507</v>
      </c>
      <c r="B527" s="48" t="s">
        <v>822</v>
      </c>
      <c r="C527" s="47" t="s">
        <v>1507</v>
      </c>
      <c r="D527" s="48" t="s">
        <v>52</v>
      </c>
      <c r="E527" s="48" t="s">
        <v>822</v>
      </c>
      <c r="F527" s="48" t="s">
        <v>817</v>
      </c>
      <c r="G527" s="49" t="s">
        <v>30</v>
      </c>
      <c r="H527" s="48" t="s">
        <v>1297</v>
      </c>
      <c r="I527" s="48" t="s">
        <v>1639</v>
      </c>
      <c r="J527" s="48" t="s">
        <v>28</v>
      </c>
      <c r="K527" s="48" t="s">
        <v>806</v>
      </c>
      <c r="L527" s="48" t="s">
        <v>806</v>
      </c>
      <c r="M527" s="48"/>
      <c r="N527" s="50" t="s">
        <v>1443</v>
      </c>
      <c r="O527" s="51"/>
      <c r="P527" s="52" t="n">
        <v>0.5</v>
      </c>
      <c r="Q527" s="44"/>
      <c r="R527" s="52"/>
      <c r="S527" s="52"/>
      <c r="T527" s="52"/>
      <c r="U527" s="53" t="n">
        <v>173550</v>
      </c>
      <c r="V527" s="54" t="n">
        <v>173550</v>
      </c>
      <c r="W527" s="55" t="n">
        <v>0.12</v>
      </c>
      <c r="X527" s="52" t="n">
        <v>0.055</v>
      </c>
      <c r="Y527" s="55" t="n">
        <v>0.12</v>
      </c>
      <c r="Z527" s="56"/>
      <c r="AA527" s="55" t="n">
        <v>0.04</v>
      </c>
      <c r="AB527" s="57" t="n">
        <v>115844.625</v>
      </c>
      <c r="AC527" s="44"/>
      <c r="AD527" s="44"/>
      <c r="AE527" s="44" t="n">
        <v>57922.3125</v>
      </c>
      <c r="AF527" s="44" t="s">
        <v>69</v>
      </c>
      <c r="AG527" s="44" t="n">
        <v>0</v>
      </c>
      <c r="AH527" s="58" t="s">
        <v>28</v>
      </c>
      <c r="AI527" s="44" t="n">
        <v>0</v>
      </c>
      <c r="AJ527" s="44" t="s">
        <v>806</v>
      </c>
      <c r="AK527" s="44" t="s">
        <v>47</v>
      </c>
      <c r="AL527" s="44" t="s">
        <v>806</v>
      </c>
      <c r="AM527" s="44" t="n">
        <v>0</v>
      </c>
      <c r="AN527" s="44" t="s">
        <v>69</v>
      </c>
      <c r="AO527" s="44" t="s">
        <v>1645</v>
      </c>
      <c r="AP527" s="44"/>
      <c r="AQ527" s="45" t="s">
        <v>821</v>
      </c>
      <c r="AR527" s="44" t="s">
        <v>1282</v>
      </c>
      <c r="AS527" s="44"/>
      <c r="AT527" s="44"/>
      <c r="AU527" s="44"/>
      <c r="AV527" s="44"/>
      <c r="AW527" s="44"/>
      <c r="AX527" s="44"/>
      <c r="AY527" s="44"/>
      <c r="AZ527" s="46"/>
    </row>
    <row r="528" customFormat="false" ht="18" hidden="false" customHeight="true" outlineLevel="0" collapsed="false">
      <c r="A528" s="76" t="s">
        <v>1802</v>
      </c>
      <c r="B528" s="44" t="s">
        <v>1014</v>
      </c>
      <c r="C528" s="44" t="s">
        <v>1802</v>
      </c>
      <c r="D528" s="44" t="s">
        <v>1015</v>
      </c>
      <c r="E528" s="44"/>
      <c r="F528" s="44"/>
      <c r="G528" s="44" t="s">
        <v>1531</v>
      </c>
      <c r="H528" s="44" t="s">
        <v>1151</v>
      </c>
      <c r="I528" s="44" t="s">
        <v>971</v>
      </c>
      <c r="J528" s="44" t="s">
        <v>31</v>
      </c>
      <c r="K528" s="44" t="s">
        <v>1151</v>
      </c>
      <c r="L528" s="44" t="s">
        <v>971</v>
      </c>
      <c r="M528" s="44"/>
      <c r="N528" s="77" t="s">
        <v>1443</v>
      </c>
      <c r="O528" s="44"/>
      <c r="P528" s="77" t="n">
        <v>1</v>
      </c>
      <c r="Q528" s="44"/>
      <c r="R528" s="77" t="s">
        <v>1519</v>
      </c>
      <c r="S528" s="44"/>
      <c r="T528" s="44"/>
      <c r="U528" s="44"/>
      <c r="V528" s="44"/>
      <c r="W528" s="44"/>
      <c r="X528" s="44"/>
      <c r="Y528" s="44"/>
      <c r="Z528" s="44"/>
      <c r="AA528" s="44"/>
      <c r="AB528" s="78" t="n">
        <v>64444.4444444444</v>
      </c>
      <c r="AC528" s="44"/>
      <c r="AD528" s="44"/>
      <c r="AE528" s="44" t="n">
        <v>64444.4444444444</v>
      </c>
      <c r="AF528" s="44" t="s">
        <v>53</v>
      </c>
      <c r="AG528" s="44" t="n">
        <v>0</v>
      </c>
      <c r="AH528" s="58" t="s">
        <v>31</v>
      </c>
      <c r="AI528" s="44" t="n">
        <v>0</v>
      </c>
      <c r="AJ528" s="44" t="s">
        <v>971</v>
      </c>
      <c r="AK528" s="44" t="s">
        <v>47</v>
      </c>
      <c r="AL528" s="44" t="s">
        <v>971</v>
      </c>
      <c r="AM528" s="44" t="n">
        <v>0</v>
      </c>
      <c r="AN528" s="44"/>
      <c r="AO528" s="44"/>
      <c r="AP528" s="44"/>
      <c r="AQ528" s="44" t="s">
        <v>1013</v>
      </c>
      <c r="AR528" s="44" t="s">
        <v>1282</v>
      </c>
      <c r="AS528" s="44"/>
      <c r="AT528" s="44"/>
      <c r="AU528" s="44"/>
      <c r="AV528" s="44"/>
      <c r="AW528" s="44"/>
      <c r="AX528" s="44"/>
      <c r="AY528" s="44"/>
      <c r="AZ528" s="46"/>
    </row>
    <row r="529" customFormat="false" ht="18" hidden="false" customHeight="true" outlineLevel="0" collapsed="false">
      <c r="A529" s="76" t="s">
        <v>1803</v>
      </c>
      <c r="B529" s="44" t="s">
        <v>1017</v>
      </c>
      <c r="C529" s="44" t="s">
        <v>1803</v>
      </c>
      <c r="D529" s="44" t="s">
        <v>1015</v>
      </c>
      <c r="E529" s="44"/>
      <c r="F529" s="44"/>
      <c r="G529" s="44" t="s">
        <v>1531</v>
      </c>
      <c r="H529" s="44" t="s">
        <v>1151</v>
      </c>
      <c r="I529" s="44" t="s">
        <v>971</v>
      </c>
      <c r="J529" s="44" t="s">
        <v>31</v>
      </c>
      <c r="K529" s="44" t="s">
        <v>1151</v>
      </c>
      <c r="L529" s="44" t="s">
        <v>971</v>
      </c>
      <c r="M529" s="44"/>
      <c r="N529" s="77" t="s">
        <v>1443</v>
      </c>
      <c r="O529" s="44"/>
      <c r="P529" s="77" t="n">
        <v>1</v>
      </c>
      <c r="Q529" s="44"/>
      <c r="R529" s="77" t="s">
        <v>1519</v>
      </c>
      <c r="S529" s="44"/>
      <c r="T529" s="44"/>
      <c r="U529" s="44"/>
      <c r="V529" s="44"/>
      <c r="W529" s="44"/>
      <c r="X529" s="44"/>
      <c r="Y529" s="44"/>
      <c r="Z529" s="44"/>
      <c r="AA529" s="44"/>
      <c r="AB529" s="78" t="n">
        <v>64444.4444444444</v>
      </c>
      <c r="AC529" s="44"/>
      <c r="AD529" s="44"/>
      <c r="AE529" s="44" t="n">
        <v>64444.4444444444</v>
      </c>
      <c r="AF529" s="44" t="s">
        <v>53</v>
      </c>
      <c r="AG529" s="44" t="n">
        <v>0</v>
      </c>
      <c r="AH529" s="58" t="s">
        <v>31</v>
      </c>
      <c r="AI529" s="44" t="n">
        <v>0</v>
      </c>
      <c r="AJ529" s="44" t="s">
        <v>971</v>
      </c>
      <c r="AK529" s="44" t="s">
        <v>47</v>
      </c>
      <c r="AL529" s="44" t="s">
        <v>971</v>
      </c>
      <c r="AM529" s="44" t="n">
        <v>0</v>
      </c>
      <c r="AN529" s="44"/>
      <c r="AO529" s="44"/>
      <c r="AP529" s="44"/>
      <c r="AQ529" s="44" t="s">
        <v>1016</v>
      </c>
      <c r="AR529" s="44" t="s">
        <v>1282</v>
      </c>
      <c r="AS529" s="44"/>
      <c r="AT529" s="44"/>
      <c r="AU529" s="44"/>
      <c r="AV529" s="44"/>
      <c r="AW529" s="44"/>
      <c r="AX529" s="44"/>
      <c r="AY529" s="44"/>
      <c r="AZ529" s="46"/>
    </row>
    <row r="530" customFormat="false" ht="18" hidden="false" customHeight="true" outlineLevel="0" collapsed="false">
      <c r="A530" s="76" t="s">
        <v>1804</v>
      </c>
      <c r="B530" s="44" t="s">
        <v>1019</v>
      </c>
      <c r="C530" s="44" t="s">
        <v>1804</v>
      </c>
      <c r="D530" s="44" t="s">
        <v>1015</v>
      </c>
      <c r="E530" s="44"/>
      <c r="F530" s="44"/>
      <c r="G530" s="44" t="s">
        <v>1531</v>
      </c>
      <c r="H530" s="44" t="s">
        <v>1151</v>
      </c>
      <c r="I530" s="44" t="s">
        <v>971</v>
      </c>
      <c r="J530" s="44" t="s">
        <v>31</v>
      </c>
      <c r="K530" s="44" t="s">
        <v>1151</v>
      </c>
      <c r="L530" s="44" t="s">
        <v>971</v>
      </c>
      <c r="M530" s="44"/>
      <c r="N530" s="77" t="s">
        <v>1443</v>
      </c>
      <c r="O530" s="44"/>
      <c r="P530" s="77" t="n">
        <v>1</v>
      </c>
      <c r="Q530" s="44"/>
      <c r="R530" s="77" t="s">
        <v>1519</v>
      </c>
      <c r="S530" s="44"/>
      <c r="T530" s="44"/>
      <c r="U530" s="44"/>
      <c r="V530" s="44"/>
      <c r="W530" s="44"/>
      <c r="X530" s="44"/>
      <c r="Y530" s="44"/>
      <c r="Z530" s="44"/>
      <c r="AA530" s="44"/>
      <c r="AB530" s="78" t="n">
        <v>64444.4444444444</v>
      </c>
      <c r="AC530" s="44"/>
      <c r="AD530" s="44"/>
      <c r="AE530" s="44" t="n">
        <v>64444.4444444444</v>
      </c>
      <c r="AF530" s="44" t="s">
        <v>53</v>
      </c>
      <c r="AG530" s="44" t="n">
        <v>0</v>
      </c>
      <c r="AH530" s="58" t="s">
        <v>31</v>
      </c>
      <c r="AI530" s="44" t="n">
        <v>0</v>
      </c>
      <c r="AJ530" s="44" t="s">
        <v>971</v>
      </c>
      <c r="AK530" s="44" t="s">
        <v>47</v>
      </c>
      <c r="AL530" s="44" t="s">
        <v>971</v>
      </c>
      <c r="AM530" s="44" t="n">
        <v>0</v>
      </c>
      <c r="AN530" s="44"/>
      <c r="AO530" s="44"/>
      <c r="AP530" s="44"/>
      <c r="AQ530" s="44" t="s">
        <v>1018</v>
      </c>
      <c r="AR530" s="44" t="s">
        <v>1282</v>
      </c>
      <c r="AS530" s="44"/>
      <c r="AT530" s="44"/>
      <c r="AU530" s="44"/>
      <c r="AV530" s="44"/>
      <c r="AW530" s="44"/>
      <c r="AX530" s="44"/>
      <c r="AY530" s="44"/>
      <c r="AZ530" s="46"/>
    </row>
    <row r="531" customFormat="false" ht="18" hidden="false" customHeight="true" outlineLevel="0" collapsed="false">
      <c r="A531" s="76" t="s">
        <v>1805</v>
      </c>
      <c r="B531" s="44" t="s">
        <v>1021</v>
      </c>
      <c r="C531" s="44" t="s">
        <v>1805</v>
      </c>
      <c r="D531" s="44" t="s">
        <v>1015</v>
      </c>
      <c r="E531" s="44"/>
      <c r="F531" s="44"/>
      <c r="G531" s="44" t="s">
        <v>1531</v>
      </c>
      <c r="H531" s="44" t="s">
        <v>1151</v>
      </c>
      <c r="I531" s="44" t="s">
        <v>971</v>
      </c>
      <c r="J531" s="44" t="s">
        <v>31</v>
      </c>
      <c r="K531" s="44" t="s">
        <v>1151</v>
      </c>
      <c r="L531" s="44" t="s">
        <v>971</v>
      </c>
      <c r="M531" s="44"/>
      <c r="N531" s="77" t="s">
        <v>1443</v>
      </c>
      <c r="O531" s="44"/>
      <c r="P531" s="77" t="n">
        <v>1</v>
      </c>
      <c r="Q531" s="44"/>
      <c r="R531" s="77" t="s">
        <v>1519</v>
      </c>
      <c r="S531" s="44"/>
      <c r="T531" s="44"/>
      <c r="U531" s="44"/>
      <c r="V531" s="44"/>
      <c r="W531" s="44"/>
      <c r="X531" s="44"/>
      <c r="Y531" s="44"/>
      <c r="Z531" s="44"/>
      <c r="AA531" s="44"/>
      <c r="AB531" s="78" t="n">
        <v>64444.4444444444</v>
      </c>
      <c r="AC531" s="44"/>
      <c r="AD531" s="44"/>
      <c r="AE531" s="44" t="n">
        <v>64444.4444444444</v>
      </c>
      <c r="AF531" s="44" t="s">
        <v>53</v>
      </c>
      <c r="AG531" s="44" t="n">
        <v>0</v>
      </c>
      <c r="AH531" s="58" t="s">
        <v>31</v>
      </c>
      <c r="AI531" s="44" t="n">
        <v>0</v>
      </c>
      <c r="AJ531" s="44" t="s">
        <v>971</v>
      </c>
      <c r="AK531" s="44" t="s">
        <v>47</v>
      </c>
      <c r="AL531" s="44" t="s">
        <v>971</v>
      </c>
      <c r="AM531" s="44" t="n">
        <v>0</v>
      </c>
      <c r="AN531" s="44"/>
      <c r="AO531" s="44"/>
      <c r="AP531" s="44"/>
      <c r="AQ531" s="44" t="s">
        <v>1020</v>
      </c>
      <c r="AR531" s="44" t="s">
        <v>1282</v>
      </c>
      <c r="AS531" s="44"/>
      <c r="AT531" s="44"/>
      <c r="AU531" s="44"/>
      <c r="AV531" s="44"/>
      <c r="AW531" s="44"/>
      <c r="AX531" s="44"/>
      <c r="AY531" s="44"/>
      <c r="AZ531" s="46"/>
    </row>
    <row r="532" customFormat="false" ht="18" hidden="false" customHeight="true" outlineLevel="0" collapsed="false">
      <c r="A532" s="76" t="s">
        <v>1806</v>
      </c>
      <c r="B532" s="44" t="s">
        <v>1023</v>
      </c>
      <c r="C532" s="44" t="s">
        <v>1806</v>
      </c>
      <c r="D532" s="44" t="s">
        <v>1015</v>
      </c>
      <c r="E532" s="44"/>
      <c r="F532" s="44"/>
      <c r="G532" s="44" t="s">
        <v>1531</v>
      </c>
      <c r="H532" s="44" t="s">
        <v>1151</v>
      </c>
      <c r="I532" s="44" t="s">
        <v>971</v>
      </c>
      <c r="J532" s="44" t="s">
        <v>31</v>
      </c>
      <c r="K532" s="44" t="s">
        <v>1151</v>
      </c>
      <c r="L532" s="44" t="s">
        <v>971</v>
      </c>
      <c r="M532" s="44"/>
      <c r="N532" s="77" t="s">
        <v>1443</v>
      </c>
      <c r="O532" s="44"/>
      <c r="P532" s="77" t="n">
        <v>1</v>
      </c>
      <c r="Q532" s="44"/>
      <c r="R532" s="77" t="s">
        <v>1519</v>
      </c>
      <c r="S532" s="44"/>
      <c r="T532" s="44"/>
      <c r="U532" s="44"/>
      <c r="V532" s="44"/>
      <c r="W532" s="44"/>
      <c r="X532" s="44"/>
      <c r="Y532" s="44"/>
      <c r="Z532" s="44"/>
      <c r="AA532" s="44"/>
      <c r="AB532" s="78" t="n">
        <v>64444.4444444444</v>
      </c>
      <c r="AC532" s="44"/>
      <c r="AD532" s="44"/>
      <c r="AE532" s="44" t="n">
        <v>64444.4444444444</v>
      </c>
      <c r="AF532" s="44" t="s">
        <v>53</v>
      </c>
      <c r="AG532" s="44" t="n">
        <v>0</v>
      </c>
      <c r="AH532" s="58" t="s">
        <v>31</v>
      </c>
      <c r="AI532" s="44" t="n">
        <v>0</v>
      </c>
      <c r="AJ532" s="44" t="s">
        <v>971</v>
      </c>
      <c r="AK532" s="44" t="s">
        <v>47</v>
      </c>
      <c r="AL532" s="44" t="s">
        <v>971</v>
      </c>
      <c r="AM532" s="44" t="n">
        <v>0</v>
      </c>
      <c r="AN532" s="44"/>
      <c r="AO532" s="44"/>
      <c r="AP532" s="44"/>
      <c r="AQ532" s="44" t="s">
        <v>1022</v>
      </c>
      <c r="AR532" s="44" t="s">
        <v>1282</v>
      </c>
      <c r="AS532" s="44"/>
      <c r="AT532" s="44"/>
      <c r="AU532" s="44"/>
      <c r="AV532" s="44"/>
      <c r="AW532" s="44"/>
      <c r="AX532" s="44"/>
      <c r="AY532" s="44"/>
      <c r="AZ532" s="44"/>
    </row>
    <row r="533" customFormat="false" ht="18" hidden="false" customHeight="true" outlineLevel="0" collapsed="false">
      <c r="A533" s="76" t="s">
        <v>1807</v>
      </c>
      <c r="B533" s="44" t="s">
        <v>1025</v>
      </c>
      <c r="C533" s="44" t="s">
        <v>1807</v>
      </c>
      <c r="D533" s="44" t="s">
        <v>1015</v>
      </c>
      <c r="E533" s="44"/>
      <c r="F533" s="44"/>
      <c r="G533" s="44" t="s">
        <v>1531</v>
      </c>
      <c r="H533" s="44" t="s">
        <v>1151</v>
      </c>
      <c r="I533" s="44" t="s">
        <v>971</v>
      </c>
      <c r="J533" s="44" t="s">
        <v>31</v>
      </c>
      <c r="K533" s="44" t="s">
        <v>1151</v>
      </c>
      <c r="L533" s="44" t="s">
        <v>971</v>
      </c>
      <c r="M533" s="44"/>
      <c r="N533" s="77" t="s">
        <v>1443</v>
      </c>
      <c r="O533" s="44"/>
      <c r="P533" s="77" t="n">
        <v>1</v>
      </c>
      <c r="Q533" s="44"/>
      <c r="R533" s="77" t="s">
        <v>1519</v>
      </c>
      <c r="S533" s="44"/>
      <c r="T533" s="44"/>
      <c r="U533" s="44"/>
      <c r="V533" s="44"/>
      <c r="W533" s="44"/>
      <c r="X533" s="44"/>
      <c r="Y533" s="44"/>
      <c r="Z533" s="44"/>
      <c r="AA533" s="44"/>
      <c r="AB533" s="78" t="n">
        <v>64444.4444444444</v>
      </c>
      <c r="AC533" s="44"/>
      <c r="AD533" s="44"/>
      <c r="AE533" s="44" t="n">
        <v>64444.4444444444</v>
      </c>
      <c r="AF533" s="44" t="s">
        <v>53</v>
      </c>
      <c r="AG533" s="44" t="n">
        <v>0</v>
      </c>
      <c r="AH533" s="58" t="s">
        <v>31</v>
      </c>
      <c r="AI533" s="44" t="n">
        <v>0</v>
      </c>
      <c r="AJ533" s="44" t="s">
        <v>971</v>
      </c>
      <c r="AK533" s="44" t="s">
        <v>47</v>
      </c>
      <c r="AL533" s="44" t="s">
        <v>971</v>
      </c>
      <c r="AM533" s="44" t="n">
        <v>0</v>
      </c>
      <c r="AN533" s="44"/>
      <c r="AO533" s="44"/>
      <c r="AP533" s="44"/>
      <c r="AQ533" s="44" t="s">
        <v>1024</v>
      </c>
      <c r="AR533" s="44" t="s">
        <v>1282</v>
      </c>
      <c r="AS533" s="44"/>
      <c r="AT533" s="44"/>
      <c r="AU533" s="44"/>
      <c r="AV533" s="44"/>
      <c r="AW533" s="44"/>
      <c r="AX533" s="44"/>
      <c r="AY533" s="44"/>
      <c r="AZ533" s="44"/>
    </row>
    <row r="534" customFormat="false" ht="18" hidden="false" customHeight="true" outlineLevel="0" collapsed="false">
      <c r="A534" s="76" t="s">
        <v>1808</v>
      </c>
      <c r="B534" s="44" t="s">
        <v>1027</v>
      </c>
      <c r="C534" s="44" t="s">
        <v>1808</v>
      </c>
      <c r="D534" s="44" t="s">
        <v>1015</v>
      </c>
      <c r="E534" s="44"/>
      <c r="F534" s="44"/>
      <c r="G534" s="44" t="s">
        <v>1531</v>
      </c>
      <c r="H534" s="44" t="s">
        <v>1151</v>
      </c>
      <c r="I534" s="44" t="s">
        <v>971</v>
      </c>
      <c r="J534" s="44" t="s">
        <v>31</v>
      </c>
      <c r="K534" s="44" t="s">
        <v>1151</v>
      </c>
      <c r="L534" s="44" t="s">
        <v>971</v>
      </c>
      <c r="M534" s="44"/>
      <c r="N534" s="77" t="s">
        <v>1443</v>
      </c>
      <c r="O534" s="44"/>
      <c r="P534" s="77" t="n">
        <v>1</v>
      </c>
      <c r="Q534" s="44"/>
      <c r="R534" s="77" t="s">
        <v>1519</v>
      </c>
      <c r="S534" s="44"/>
      <c r="T534" s="44"/>
      <c r="U534" s="44"/>
      <c r="V534" s="44"/>
      <c r="W534" s="44"/>
      <c r="X534" s="44"/>
      <c r="Y534" s="44"/>
      <c r="Z534" s="44"/>
      <c r="AA534" s="44"/>
      <c r="AB534" s="78" t="n">
        <v>64444.4444444444</v>
      </c>
      <c r="AC534" s="44"/>
      <c r="AD534" s="44"/>
      <c r="AE534" s="44" t="n">
        <v>64444.4444444444</v>
      </c>
      <c r="AF534" s="44" t="s">
        <v>53</v>
      </c>
      <c r="AG534" s="44" t="n">
        <v>0</v>
      </c>
      <c r="AH534" s="58" t="s">
        <v>31</v>
      </c>
      <c r="AI534" s="44" t="n">
        <v>0</v>
      </c>
      <c r="AJ534" s="44" t="s">
        <v>971</v>
      </c>
      <c r="AK534" s="44" t="s">
        <v>47</v>
      </c>
      <c r="AL534" s="44" t="s">
        <v>971</v>
      </c>
      <c r="AM534" s="44" t="n">
        <v>0</v>
      </c>
      <c r="AN534" s="44"/>
      <c r="AO534" s="44"/>
      <c r="AP534" s="44"/>
      <c r="AQ534" s="44" t="s">
        <v>1026</v>
      </c>
      <c r="AR534" s="44" t="s">
        <v>1282</v>
      </c>
      <c r="AS534" s="44"/>
      <c r="AT534" s="44"/>
      <c r="AU534" s="44"/>
      <c r="AV534" s="44"/>
      <c r="AW534" s="44"/>
      <c r="AX534" s="44"/>
      <c r="AY534" s="44"/>
      <c r="AZ534" s="44"/>
    </row>
    <row r="535" customFormat="false" ht="57.75" hidden="false" customHeight="true" outlineLevel="0" collapsed="false">
      <c r="A535" s="76" t="s">
        <v>1809</v>
      </c>
      <c r="B535" s="44" t="s">
        <v>1029</v>
      </c>
      <c r="C535" s="44" t="s">
        <v>1809</v>
      </c>
      <c r="D535" s="44" t="s">
        <v>1015</v>
      </c>
      <c r="E535" s="44"/>
      <c r="F535" s="44"/>
      <c r="G535" s="44" t="s">
        <v>1531</v>
      </c>
      <c r="H535" s="44" t="s">
        <v>1151</v>
      </c>
      <c r="I535" s="44" t="s">
        <v>971</v>
      </c>
      <c r="J535" s="44" t="s">
        <v>31</v>
      </c>
      <c r="K535" s="44" t="s">
        <v>1151</v>
      </c>
      <c r="L535" s="44" t="s">
        <v>971</v>
      </c>
      <c r="M535" s="44"/>
      <c r="N535" s="77" t="s">
        <v>1443</v>
      </c>
      <c r="O535" s="44"/>
      <c r="P535" s="77" t="n">
        <v>1</v>
      </c>
      <c r="Q535" s="44"/>
      <c r="R535" s="77" t="s">
        <v>1519</v>
      </c>
      <c r="S535" s="44"/>
      <c r="T535" s="44"/>
      <c r="U535" s="44"/>
      <c r="V535" s="44"/>
      <c r="W535" s="44"/>
      <c r="X535" s="44"/>
      <c r="Y535" s="44"/>
      <c r="Z535" s="44"/>
      <c r="AA535" s="44"/>
      <c r="AB535" s="78" t="n">
        <v>64444.4444444444</v>
      </c>
      <c r="AC535" s="44"/>
      <c r="AD535" s="44"/>
      <c r="AE535" s="44" t="n">
        <v>64444.4444444444</v>
      </c>
      <c r="AF535" s="44" t="s">
        <v>53</v>
      </c>
      <c r="AG535" s="44" t="n">
        <v>0</v>
      </c>
      <c r="AH535" s="58" t="s">
        <v>31</v>
      </c>
      <c r="AI535" s="44" t="n">
        <v>0</v>
      </c>
      <c r="AJ535" s="44" t="s">
        <v>971</v>
      </c>
      <c r="AK535" s="44" t="s">
        <v>47</v>
      </c>
      <c r="AL535" s="44" t="s">
        <v>971</v>
      </c>
      <c r="AM535" s="44" t="n">
        <v>0</v>
      </c>
      <c r="AN535" s="44"/>
      <c r="AO535" s="44"/>
      <c r="AP535" s="44"/>
      <c r="AQ535" s="44" t="s">
        <v>1028</v>
      </c>
      <c r="AR535" s="44" t="s">
        <v>1282</v>
      </c>
      <c r="AS535" s="44"/>
      <c r="AT535" s="44"/>
      <c r="AU535" s="44"/>
      <c r="AV535" s="44"/>
      <c r="AW535" s="44"/>
      <c r="AX535" s="44"/>
      <c r="AY535" s="44"/>
      <c r="AZ535" s="44"/>
    </row>
    <row r="536" customFormat="false" ht="57.75" hidden="false" customHeight="true" outlineLevel="0" collapsed="false">
      <c r="A536" s="76" t="s">
        <v>1810</v>
      </c>
      <c r="B536" s="44" t="s">
        <v>1031</v>
      </c>
      <c r="C536" s="44" t="s">
        <v>1810</v>
      </c>
      <c r="D536" s="44" t="s">
        <v>1015</v>
      </c>
      <c r="E536" s="44"/>
      <c r="F536" s="44"/>
      <c r="G536" s="44" t="s">
        <v>1531</v>
      </c>
      <c r="H536" s="44" t="s">
        <v>1151</v>
      </c>
      <c r="I536" s="44" t="s">
        <v>971</v>
      </c>
      <c r="J536" s="44" t="s">
        <v>31</v>
      </c>
      <c r="K536" s="44" t="s">
        <v>1151</v>
      </c>
      <c r="L536" s="44" t="s">
        <v>971</v>
      </c>
      <c r="M536" s="44"/>
      <c r="N536" s="77" t="s">
        <v>1443</v>
      </c>
      <c r="O536" s="44"/>
      <c r="P536" s="77" t="n">
        <v>1</v>
      </c>
      <c r="Q536" s="44"/>
      <c r="R536" s="77" t="s">
        <v>1519</v>
      </c>
      <c r="S536" s="44"/>
      <c r="T536" s="44"/>
      <c r="U536" s="44"/>
      <c r="V536" s="44"/>
      <c r="W536" s="44"/>
      <c r="X536" s="44"/>
      <c r="Y536" s="44"/>
      <c r="Z536" s="44"/>
      <c r="AA536" s="44"/>
      <c r="AB536" s="78" t="n">
        <v>64444.4444444444</v>
      </c>
      <c r="AC536" s="44"/>
      <c r="AD536" s="44"/>
      <c r="AE536" s="44" t="n">
        <v>64444.4444444444</v>
      </c>
      <c r="AF536" s="44" t="s">
        <v>53</v>
      </c>
      <c r="AG536" s="44" t="n">
        <v>0</v>
      </c>
      <c r="AH536" s="58" t="s">
        <v>31</v>
      </c>
      <c r="AI536" s="44" t="n">
        <v>0</v>
      </c>
      <c r="AJ536" s="44" t="s">
        <v>971</v>
      </c>
      <c r="AK536" s="44" t="s">
        <v>47</v>
      </c>
      <c r="AL536" s="44" t="s">
        <v>971</v>
      </c>
      <c r="AM536" s="44" t="n">
        <v>0</v>
      </c>
      <c r="AN536" s="44"/>
      <c r="AO536" s="44"/>
      <c r="AP536" s="44"/>
      <c r="AQ536" s="44" t="s">
        <v>1030</v>
      </c>
      <c r="AR536" s="44" t="s">
        <v>1282</v>
      </c>
      <c r="AS536" s="44"/>
      <c r="AT536" s="44"/>
      <c r="AU536" s="44"/>
      <c r="AV536" s="44"/>
      <c r="AW536" s="44"/>
      <c r="AX536" s="44"/>
      <c r="AY536" s="44"/>
      <c r="AZ536" s="44"/>
    </row>
    <row r="537" customFormat="false" ht="43.5" hidden="false" customHeight="true" outlineLevel="0" collapsed="false">
      <c r="A537" s="76" t="s">
        <v>1811</v>
      </c>
      <c r="B537" s="44" t="s">
        <v>69</v>
      </c>
      <c r="C537" s="44" t="s">
        <v>1811</v>
      </c>
      <c r="D537" s="44" t="s">
        <v>1812</v>
      </c>
      <c r="E537" s="79" t="s">
        <v>1082</v>
      </c>
      <c r="F537" s="44"/>
      <c r="G537" s="44" t="s">
        <v>1527</v>
      </c>
      <c r="H537" s="44" t="s">
        <v>1338</v>
      </c>
      <c r="I537" s="44"/>
      <c r="J537" s="44" t="s">
        <v>1159</v>
      </c>
      <c r="K537" s="44" t="s">
        <v>1159</v>
      </c>
      <c r="L537" s="44" t="s">
        <v>1338</v>
      </c>
      <c r="M537" s="44"/>
      <c r="N537" s="77" t="s">
        <v>1443</v>
      </c>
      <c r="O537" s="77" t="s">
        <v>1715</v>
      </c>
      <c r="P537" s="77" t="n">
        <v>1</v>
      </c>
      <c r="Q537" s="77" t="s">
        <v>1507</v>
      </c>
      <c r="R537" s="77" t="s">
        <v>1519</v>
      </c>
      <c r="S537" s="44"/>
      <c r="T537" s="44"/>
      <c r="U537" s="44"/>
      <c r="V537" s="44"/>
      <c r="W537" s="44"/>
      <c r="X537" s="44"/>
      <c r="Y537" s="44"/>
      <c r="Z537" s="44"/>
      <c r="AA537" s="44"/>
      <c r="AB537" s="78" t="n">
        <v>213600</v>
      </c>
      <c r="AC537" s="44"/>
      <c r="AD537" s="44"/>
      <c r="AE537" s="44" t="n">
        <v>213600</v>
      </c>
      <c r="AF537" s="44" t="s">
        <v>69</v>
      </c>
      <c r="AG537" s="44" t="n">
        <v>0</v>
      </c>
      <c r="AH537" s="58" t="s">
        <v>32</v>
      </c>
      <c r="AI537" s="44" t="n">
        <v>0</v>
      </c>
      <c r="AJ537" s="44" t="s">
        <v>1338</v>
      </c>
      <c r="AK537" s="44" t="s">
        <v>47</v>
      </c>
      <c r="AL537" s="44" t="s">
        <v>1338</v>
      </c>
      <c r="AM537" s="44" t="n">
        <v>0</v>
      </c>
      <c r="AN537" s="44"/>
      <c r="AO537" s="44"/>
      <c r="AP537" s="44"/>
      <c r="AQ537" s="45" t="s">
        <v>1339</v>
      </c>
      <c r="AR537" s="44" t="s">
        <v>1282</v>
      </c>
      <c r="AS537" s="44"/>
      <c r="AT537" s="44"/>
      <c r="AU537" s="44"/>
      <c r="AV537" s="44"/>
      <c r="AW537" s="44"/>
      <c r="AX537" s="44"/>
      <c r="AY537" s="44"/>
      <c r="AZ537" s="44"/>
    </row>
    <row r="538" customFormat="false" ht="57.75" hidden="false" customHeight="true" outlineLevel="0" collapsed="false">
      <c r="A538" s="76" t="s">
        <v>1813</v>
      </c>
      <c r="B538" s="44" t="s">
        <v>69</v>
      </c>
      <c r="C538" s="44" t="s">
        <v>1813</v>
      </c>
      <c r="D538" s="44" t="s">
        <v>1814</v>
      </c>
      <c r="E538" s="79" t="s">
        <v>1608</v>
      </c>
      <c r="F538" s="44"/>
      <c r="G538" s="44" t="s">
        <v>1527</v>
      </c>
      <c r="H538" s="44" t="s">
        <v>1251</v>
      </c>
      <c r="I538" s="44"/>
      <c r="J538" s="44" t="s">
        <v>1159</v>
      </c>
      <c r="K538" s="44" t="s">
        <v>1159</v>
      </c>
      <c r="L538" s="44" t="s">
        <v>1251</v>
      </c>
      <c r="M538" s="44"/>
      <c r="N538" s="77" t="s">
        <v>1443</v>
      </c>
      <c r="O538" s="77" t="s">
        <v>1758</v>
      </c>
      <c r="P538" s="77" t="n">
        <v>1</v>
      </c>
      <c r="Q538" s="77" t="s">
        <v>1507</v>
      </c>
      <c r="R538" s="77" t="s">
        <v>1519</v>
      </c>
      <c r="S538" s="44"/>
      <c r="T538" s="44"/>
      <c r="U538" s="44"/>
      <c r="V538" s="44"/>
      <c r="W538" s="44"/>
      <c r="X538" s="44"/>
      <c r="Y538" s="44"/>
      <c r="Z538" s="44"/>
      <c r="AA538" s="44"/>
      <c r="AB538" s="78" t="n">
        <v>170489.75</v>
      </c>
      <c r="AC538" s="44"/>
      <c r="AD538" s="44"/>
      <c r="AE538" s="44" t="n">
        <v>170489.75</v>
      </c>
      <c r="AF538" s="44" t="s">
        <v>69</v>
      </c>
      <c r="AG538" s="44" t="n">
        <v>0</v>
      </c>
      <c r="AH538" s="58" t="s">
        <v>27</v>
      </c>
      <c r="AI538" s="44" t="n">
        <v>0</v>
      </c>
      <c r="AJ538" s="44" t="s">
        <v>1251</v>
      </c>
      <c r="AK538" s="44" t="s">
        <v>47</v>
      </c>
      <c r="AL538" s="44" t="s">
        <v>1251</v>
      </c>
      <c r="AM538" s="44" t="n">
        <v>0</v>
      </c>
      <c r="AN538" s="44"/>
      <c r="AO538" s="44"/>
      <c r="AP538" s="44"/>
      <c r="AQ538" s="45" t="s">
        <v>1363</v>
      </c>
      <c r="AR538" s="44" t="s">
        <v>1282</v>
      </c>
      <c r="AS538" s="44"/>
      <c r="AT538" s="44"/>
      <c r="AU538" s="44"/>
      <c r="AV538" s="44"/>
      <c r="AW538" s="44"/>
      <c r="AX538" s="44"/>
      <c r="AY538" s="44"/>
      <c r="AZ538" s="44"/>
    </row>
    <row r="539" customFormat="false" ht="57.75" hidden="false" customHeight="true" outlineLevel="0" collapsed="false">
      <c r="A539" s="76" t="s">
        <v>1815</v>
      </c>
      <c r="B539" s="44" t="s">
        <v>69</v>
      </c>
      <c r="C539" s="44" t="s">
        <v>1815</v>
      </c>
      <c r="D539" s="44" t="s">
        <v>1814</v>
      </c>
      <c r="E539" s="79" t="s">
        <v>1608</v>
      </c>
      <c r="F539" s="44"/>
      <c r="G539" s="44" t="s">
        <v>1527</v>
      </c>
      <c r="H539" s="44" t="s">
        <v>1251</v>
      </c>
      <c r="I539" s="44"/>
      <c r="J539" s="44" t="s">
        <v>1159</v>
      </c>
      <c r="K539" s="44" t="s">
        <v>1159</v>
      </c>
      <c r="L539" s="44" t="s">
        <v>1251</v>
      </c>
      <c r="M539" s="44"/>
      <c r="N539" s="77" t="s">
        <v>1443</v>
      </c>
      <c r="O539" s="77" t="s">
        <v>1758</v>
      </c>
      <c r="P539" s="77" t="n">
        <v>1</v>
      </c>
      <c r="Q539" s="77" t="s">
        <v>1507</v>
      </c>
      <c r="R539" s="77" t="s">
        <v>1519</v>
      </c>
      <c r="S539" s="44"/>
      <c r="T539" s="44"/>
      <c r="U539" s="44"/>
      <c r="V539" s="44"/>
      <c r="W539" s="44"/>
      <c r="X539" s="44"/>
      <c r="Y539" s="44"/>
      <c r="Z539" s="44"/>
      <c r="AA539" s="44"/>
      <c r="AB539" s="78" t="n">
        <v>170489.75</v>
      </c>
      <c r="AC539" s="44"/>
      <c r="AD539" s="44"/>
      <c r="AE539" s="44" t="n">
        <v>170489.75</v>
      </c>
      <c r="AF539" s="44" t="s">
        <v>69</v>
      </c>
      <c r="AG539" s="44" t="n">
        <v>0</v>
      </c>
      <c r="AH539" s="58" t="s">
        <v>27</v>
      </c>
      <c r="AI539" s="44" t="n">
        <v>0</v>
      </c>
      <c r="AJ539" s="44" t="s">
        <v>1251</v>
      </c>
      <c r="AK539" s="44" t="s">
        <v>47</v>
      </c>
      <c r="AL539" s="44" t="s">
        <v>1251</v>
      </c>
      <c r="AM539" s="44" t="n">
        <v>0</v>
      </c>
      <c r="AN539" s="44"/>
      <c r="AO539" s="44"/>
      <c r="AP539" s="44"/>
      <c r="AQ539" s="45" t="s">
        <v>1365</v>
      </c>
      <c r="AR539" s="44" t="s">
        <v>1282</v>
      </c>
      <c r="AS539" s="44"/>
      <c r="AT539" s="44"/>
      <c r="AU539" s="44"/>
      <c r="AV539" s="44"/>
      <c r="AW539" s="44"/>
      <c r="AX539" s="44"/>
      <c r="AY539" s="44"/>
      <c r="AZ539" s="44"/>
    </row>
    <row r="540" customFormat="false" ht="43.5" hidden="false" customHeight="true" outlineLevel="0" collapsed="false">
      <c r="A540" s="76" t="s">
        <v>1816</v>
      </c>
      <c r="B540" s="44" t="s">
        <v>69</v>
      </c>
      <c r="C540" s="44" t="s">
        <v>1816</v>
      </c>
      <c r="D540" s="44" t="s">
        <v>1817</v>
      </c>
      <c r="E540" s="79" t="s">
        <v>1585</v>
      </c>
      <c r="F540" s="44"/>
      <c r="G540" s="44" t="s">
        <v>1527</v>
      </c>
      <c r="H540" s="44" t="s">
        <v>1328</v>
      </c>
      <c r="I540" s="44"/>
      <c r="J540" s="44" t="s">
        <v>1159</v>
      </c>
      <c r="K540" s="44" t="s">
        <v>1159</v>
      </c>
      <c r="L540" s="44" t="s">
        <v>1328</v>
      </c>
      <c r="M540" s="44"/>
      <c r="N540" s="77" t="s">
        <v>1443</v>
      </c>
      <c r="O540" s="77" t="s">
        <v>1758</v>
      </c>
      <c r="P540" s="77" t="n">
        <v>1</v>
      </c>
      <c r="Q540" s="77" t="s">
        <v>1507</v>
      </c>
      <c r="R540" s="77" t="s">
        <v>1519</v>
      </c>
      <c r="S540" s="44"/>
      <c r="T540" s="44"/>
      <c r="U540" s="44"/>
      <c r="V540" s="44"/>
      <c r="W540" s="44"/>
      <c r="X540" s="44"/>
      <c r="Y540" s="44"/>
      <c r="Z540" s="44"/>
      <c r="AA540" s="44"/>
      <c r="AB540" s="78" t="n">
        <v>170489.75</v>
      </c>
      <c r="AC540" s="44"/>
      <c r="AD540" s="44"/>
      <c r="AE540" s="44" t="n">
        <v>170489.75</v>
      </c>
      <c r="AF540" s="44" t="s">
        <v>69</v>
      </c>
      <c r="AG540" s="44" t="n">
        <v>0</v>
      </c>
      <c r="AH540" s="58" t="s">
        <v>32</v>
      </c>
      <c r="AI540" s="44" t="n">
        <v>0</v>
      </c>
      <c r="AJ540" s="44" t="s">
        <v>1328</v>
      </c>
      <c r="AK540" s="44" t="s">
        <v>47</v>
      </c>
      <c r="AL540" s="44" t="s">
        <v>1328</v>
      </c>
      <c r="AM540" s="44" t="n">
        <v>0</v>
      </c>
      <c r="AN540" s="44"/>
      <c r="AO540" s="44"/>
      <c r="AP540" s="44"/>
      <c r="AQ540" s="80" t="s">
        <v>1329</v>
      </c>
      <c r="AR540" s="44" t="s">
        <v>1282</v>
      </c>
      <c r="AS540" s="44"/>
      <c r="AT540" s="44"/>
      <c r="AU540" s="44"/>
      <c r="AV540" s="44"/>
      <c r="AW540" s="44"/>
      <c r="AX540" s="44"/>
      <c r="AY540" s="44"/>
      <c r="AZ540" s="44"/>
    </row>
    <row r="541" customFormat="false" ht="57.75" hidden="false" customHeight="true" outlineLevel="0" collapsed="false">
      <c r="A541" s="76" t="s">
        <v>1818</v>
      </c>
      <c r="B541" s="44" t="s">
        <v>69</v>
      </c>
      <c r="C541" s="44" t="s">
        <v>1818</v>
      </c>
      <c r="D541" s="44" t="s">
        <v>549</v>
      </c>
      <c r="E541" s="79" t="s">
        <v>1718</v>
      </c>
      <c r="F541" s="44"/>
      <c r="G541" s="44" t="s">
        <v>1527</v>
      </c>
      <c r="H541" s="44" t="s">
        <v>1251</v>
      </c>
      <c r="I541" s="44"/>
      <c r="J541" s="44" t="s">
        <v>1159</v>
      </c>
      <c r="K541" s="44" t="s">
        <v>1159</v>
      </c>
      <c r="L541" s="44" t="s">
        <v>1251</v>
      </c>
      <c r="M541" s="44"/>
      <c r="N541" s="77" t="s">
        <v>1443</v>
      </c>
      <c r="O541" s="77" t="s">
        <v>1796</v>
      </c>
      <c r="P541" s="77" t="n">
        <v>1</v>
      </c>
      <c r="Q541" s="77" t="s">
        <v>1507</v>
      </c>
      <c r="R541" s="77" t="s">
        <v>1519</v>
      </c>
      <c r="S541" s="44"/>
      <c r="T541" s="44"/>
      <c r="U541" s="44"/>
      <c r="V541" s="44"/>
      <c r="W541" s="44"/>
      <c r="X541" s="44"/>
      <c r="Y541" s="44"/>
      <c r="Z541" s="44"/>
      <c r="AA541" s="44"/>
      <c r="AB541" s="78" t="n">
        <v>122571.75</v>
      </c>
      <c r="AC541" s="44"/>
      <c r="AD541" s="44"/>
      <c r="AE541" s="44" t="n">
        <v>122571.75</v>
      </c>
      <c r="AF541" s="44" t="s">
        <v>69</v>
      </c>
      <c r="AG541" s="44" t="n">
        <v>0</v>
      </c>
      <c r="AH541" s="58" t="s">
        <v>27</v>
      </c>
      <c r="AI541" s="44" t="n">
        <v>0</v>
      </c>
      <c r="AJ541" s="44" t="s">
        <v>1251</v>
      </c>
      <c r="AK541" s="44" t="s">
        <v>47</v>
      </c>
      <c r="AL541" s="44" t="s">
        <v>1251</v>
      </c>
      <c r="AM541" s="44" t="n">
        <v>0</v>
      </c>
      <c r="AN541" s="44"/>
      <c r="AO541" s="44"/>
      <c r="AP541" s="44"/>
      <c r="AQ541" s="80" t="s">
        <v>1366</v>
      </c>
      <c r="AR541" s="44" t="s">
        <v>1282</v>
      </c>
      <c r="AS541" s="44"/>
      <c r="AT541" s="44"/>
      <c r="AU541" s="44"/>
      <c r="AV541" s="44"/>
      <c r="AW541" s="44"/>
      <c r="AX541" s="44"/>
      <c r="AY541" s="44"/>
      <c r="AZ541" s="4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  <col collapsed="false" customWidth="true" hidden="false" outlineLevel="0" max="26" min="26" style="0" width="32.54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</row>
    <row r="2" customFormat="false" ht="21" hidden="false" customHeight="true" outlineLevel="0" collapsed="false">
      <c r="A2" s="44"/>
      <c r="B2" s="81" t="s">
        <v>1819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</row>
    <row r="3" customFormat="false" ht="15" hidden="false" customHeight="false" outlineLevel="0" collapsed="false">
      <c r="A3" s="44"/>
      <c r="B3" s="82" t="s">
        <v>1165</v>
      </c>
      <c r="C3" s="60" t="s">
        <v>14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</row>
    <row r="4" customFormat="false" ht="18.75" hidden="false" customHeight="true" outlineLevel="0" collapsed="false">
      <c r="A4" s="44"/>
      <c r="B4" s="83" t="s">
        <v>1820</v>
      </c>
      <c r="C4" s="84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44"/>
      <c r="V4" s="44"/>
      <c r="W4" s="86" t="s">
        <v>1821</v>
      </c>
      <c r="X4" s="87"/>
      <c r="Y4" s="88"/>
    </row>
    <row r="5" customFormat="false" ht="51.75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89" t="s">
        <v>1822</v>
      </c>
      <c r="X5" s="90" t="n">
        <v>5.5</v>
      </c>
      <c r="Y5" s="88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1" t="s">
        <v>1835</v>
      </c>
      <c r="S6" s="92" t="s">
        <v>1836</v>
      </c>
      <c r="T6" s="91" t="s">
        <v>1837</v>
      </c>
      <c r="U6" s="93" t="s">
        <v>1189</v>
      </c>
      <c r="V6" s="44"/>
      <c r="W6" s="94" t="s">
        <v>1838</v>
      </c>
      <c r="X6" s="95" t="n">
        <v>5.5</v>
      </c>
      <c r="Y6" s="88"/>
    </row>
    <row r="7" customFormat="false" ht="14.25" hidden="false" customHeight="true" outlineLevel="0" collapsed="false">
      <c r="A7" s="44"/>
      <c r="B7" s="96" t="s">
        <v>1164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44"/>
      <c r="V7" s="44"/>
      <c r="W7" s="97" t="s">
        <v>1839</v>
      </c>
      <c r="X7" s="95" t="n">
        <v>0</v>
      </c>
      <c r="Y7" s="88"/>
    </row>
    <row r="8" customFormat="false" ht="14.25" hidden="false" customHeight="true" outlineLevel="0" collapsed="false">
      <c r="A8" s="44"/>
      <c r="B8" s="98" t="s">
        <v>48</v>
      </c>
      <c r="C8" s="98" t="s">
        <v>1840</v>
      </c>
      <c r="D8" s="98" t="s">
        <v>1841</v>
      </c>
      <c r="E8" s="99" t="n">
        <v>9</v>
      </c>
      <c r="F8" s="100" t="n">
        <v>11</v>
      </c>
      <c r="G8" s="99" t="n">
        <v>11</v>
      </c>
      <c r="H8" s="100" t="n">
        <v>7</v>
      </c>
      <c r="I8" s="100" t="n">
        <v>4</v>
      </c>
      <c r="J8" s="100" t="n">
        <v>1</v>
      </c>
      <c r="K8" s="100" t="n">
        <v>2</v>
      </c>
      <c r="L8" s="100" t="n">
        <v>1</v>
      </c>
      <c r="M8" s="100" t="n">
        <v>10</v>
      </c>
      <c r="N8" s="101" t="n">
        <v>2.1</v>
      </c>
      <c r="O8" s="101" t="n">
        <v>2.097921857</v>
      </c>
      <c r="P8" s="101" t="n">
        <v>0</v>
      </c>
      <c r="Q8" s="101" t="n">
        <v>2.097921857</v>
      </c>
      <c r="R8" s="101" t="n">
        <v>-0.002078</v>
      </c>
      <c r="S8" s="101" t="n">
        <v>1.690473806</v>
      </c>
      <c r="T8" s="101" t="n">
        <v>-0.409526</v>
      </c>
      <c r="U8" s="102" t="n">
        <v>0.2</v>
      </c>
      <c r="V8" s="44"/>
      <c r="W8" s="103" t="s">
        <v>1842</v>
      </c>
      <c r="X8" s="104" t="n">
        <v>0.6245</v>
      </c>
      <c r="Y8" s="88"/>
    </row>
    <row r="9" customFormat="false" ht="14.25" hidden="false" customHeight="true" outlineLevel="0" collapsed="false">
      <c r="A9" s="44"/>
      <c r="B9" s="98" t="s">
        <v>49</v>
      </c>
      <c r="C9" s="98" t="s">
        <v>1843</v>
      </c>
      <c r="D9" s="98" t="s">
        <v>1841</v>
      </c>
      <c r="E9" s="99" t="n">
        <v>7.5</v>
      </c>
      <c r="F9" s="100" t="n">
        <v>6</v>
      </c>
      <c r="G9" s="99" t="n">
        <v>6</v>
      </c>
      <c r="H9" s="100" t="n">
        <v>0</v>
      </c>
      <c r="I9" s="100" t="n">
        <v>6</v>
      </c>
      <c r="J9" s="100" t="n">
        <v>0</v>
      </c>
      <c r="K9" s="100" t="n">
        <v>6</v>
      </c>
      <c r="L9" s="100" t="n">
        <v>0</v>
      </c>
      <c r="M9" s="100" t="n">
        <v>6</v>
      </c>
      <c r="N9" s="101" t="n">
        <v>0.68</v>
      </c>
      <c r="O9" s="101" t="n">
        <v>1.21232375</v>
      </c>
      <c r="P9" s="101" t="n">
        <v>0</v>
      </c>
      <c r="Q9" s="101" t="n">
        <v>1.21232375</v>
      </c>
      <c r="R9" s="101" t="n">
        <v>0.532324</v>
      </c>
      <c r="S9" s="101" t="n">
        <v>0.4849295</v>
      </c>
      <c r="T9" s="101" t="n">
        <v>-0.195071</v>
      </c>
      <c r="U9" s="102" t="n">
        <v>0.9</v>
      </c>
      <c r="V9" s="44"/>
      <c r="W9" s="105" t="s">
        <v>1844</v>
      </c>
      <c r="X9" s="106" t="n">
        <v>0</v>
      </c>
      <c r="Y9" s="88"/>
    </row>
    <row r="10" customFormat="false" ht="14.25" hidden="false" customHeight="true" outlineLevel="0" collapsed="false">
      <c r="A10" s="44"/>
      <c r="B10" s="98" t="s">
        <v>61</v>
      </c>
      <c r="C10" s="98" t="s">
        <v>1845</v>
      </c>
      <c r="D10" s="98" t="s">
        <v>1846</v>
      </c>
      <c r="E10" s="99" t="n">
        <v>4</v>
      </c>
      <c r="F10" s="100" t="n">
        <v>5</v>
      </c>
      <c r="G10" s="99" t="n">
        <v>5</v>
      </c>
      <c r="H10" s="100" t="n">
        <v>5</v>
      </c>
      <c r="I10" s="100" t="n">
        <v>0</v>
      </c>
      <c r="J10" s="100" t="n">
        <v>0</v>
      </c>
      <c r="K10" s="100" t="n">
        <v>0</v>
      </c>
      <c r="L10" s="100" t="n">
        <v>0</v>
      </c>
      <c r="M10" s="100" t="n">
        <v>5</v>
      </c>
      <c r="N10" s="101" t="n">
        <v>0.8</v>
      </c>
      <c r="O10" s="101" t="n">
        <v>0.893835732</v>
      </c>
      <c r="P10" s="101" t="n">
        <v>0</v>
      </c>
      <c r="Q10" s="101" t="n">
        <v>0.893835732</v>
      </c>
      <c r="R10" s="101" t="n">
        <v>0.093836</v>
      </c>
      <c r="S10" s="101" t="n">
        <v>0.893835732</v>
      </c>
      <c r="T10" s="101" t="n">
        <v>0.093836</v>
      </c>
      <c r="U10" s="102" t="n">
        <v>0.2</v>
      </c>
      <c r="V10" s="44"/>
      <c r="W10" s="107" t="s">
        <v>1847</v>
      </c>
      <c r="X10" s="108" t="n">
        <v>0.6245</v>
      </c>
      <c r="Y10" s="88"/>
    </row>
    <row r="11" customFormat="false" ht="14.25" hidden="false" customHeight="true" outlineLevel="0" collapsed="false">
      <c r="A11" s="44"/>
      <c r="B11" s="98" t="s">
        <v>64</v>
      </c>
      <c r="C11" s="98" t="s">
        <v>1840</v>
      </c>
      <c r="D11" s="98" t="s">
        <v>1846</v>
      </c>
      <c r="E11" s="99" t="n">
        <v>6</v>
      </c>
      <c r="F11" s="100" t="n">
        <v>6</v>
      </c>
      <c r="G11" s="99" t="n">
        <v>6</v>
      </c>
      <c r="H11" s="100" t="n">
        <v>4</v>
      </c>
      <c r="I11" s="100" t="n">
        <v>2</v>
      </c>
      <c r="J11" s="100" t="n">
        <v>2</v>
      </c>
      <c r="K11" s="100" t="n">
        <v>0</v>
      </c>
      <c r="L11" s="100" t="n">
        <v>0</v>
      </c>
      <c r="M11" s="100" t="n">
        <v>6</v>
      </c>
      <c r="N11" s="101" t="n">
        <v>1.4</v>
      </c>
      <c r="O11" s="101" t="n">
        <v>1.1140311</v>
      </c>
      <c r="P11" s="101" t="n">
        <v>0</v>
      </c>
      <c r="Q11" s="101" t="n">
        <v>1.1140311</v>
      </c>
      <c r="R11" s="101" t="n">
        <v>-0.285969</v>
      </c>
      <c r="S11" s="101" t="n">
        <v>1.1140311</v>
      </c>
      <c r="T11" s="101" t="n">
        <v>-0.285969</v>
      </c>
      <c r="U11" s="102" t="n">
        <v>0.2</v>
      </c>
      <c r="V11" s="44"/>
      <c r="W11" s="88"/>
      <c r="X11" s="88"/>
      <c r="Y11" s="88"/>
    </row>
    <row r="12" customFormat="false" ht="14.25" hidden="false" customHeight="true" outlineLevel="0" collapsed="false">
      <c r="A12" s="44"/>
      <c r="B12" s="98" t="s">
        <v>58</v>
      </c>
      <c r="C12" s="98" t="s">
        <v>1840</v>
      </c>
      <c r="D12" s="98" t="s">
        <v>1841</v>
      </c>
      <c r="E12" s="99" t="n">
        <v>9</v>
      </c>
      <c r="F12" s="100" t="n">
        <v>8</v>
      </c>
      <c r="G12" s="99" t="n">
        <v>8</v>
      </c>
      <c r="H12" s="100" t="n">
        <v>0</v>
      </c>
      <c r="I12" s="100" t="n">
        <v>8</v>
      </c>
      <c r="J12" s="100" t="n">
        <v>3</v>
      </c>
      <c r="K12" s="100" t="n">
        <v>5</v>
      </c>
      <c r="L12" s="100" t="n">
        <v>0</v>
      </c>
      <c r="M12" s="100" t="n">
        <v>8</v>
      </c>
      <c r="N12" s="101" t="n">
        <v>2.1</v>
      </c>
      <c r="O12" s="101" t="n">
        <v>1.576223685</v>
      </c>
      <c r="P12" s="101" t="n">
        <v>0</v>
      </c>
      <c r="Q12" s="101" t="n">
        <v>1.576223685</v>
      </c>
      <c r="R12" s="101" t="n">
        <v>-0.523776</v>
      </c>
      <c r="S12" s="101" t="n">
        <v>0.87190453875</v>
      </c>
      <c r="T12" s="101" t="n">
        <v>-1.228095</v>
      </c>
      <c r="U12" s="102" t="n">
        <v>0.65</v>
      </c>
      <c r="V12" s="44"/>
      <c r="W12" s="86" t="s">
        <v>1848</v>
      </c>
      <c r="X12" s="109"/>
      <c r="Y12" s="109"/>
    </row>
    <row r="13" customFormat="false" ht="14.25" hidden="false" customHeight="true" outlineLevel="0" collapsed="false">
      <c r="A13" s="44"/>
      <c r="B13" s="98" t="s">
        <v>54</v>
      </c>
      <c r="C13" s="98" t="s">
        <v>1840</v>
      </c>
      <c r="D13" s="98" t="s">
        <v>1846</v>
      </c>
      <c r="E13" s="99" t="n">
        <v>6</v>
      </c>
      <c r="F13" s="100" t="n">
        <v>4</v>
      </c>
      <c r="G13" s="99" t="n">
        <v>4</v>
      </c>
      <c r="H13" s="100" t="n">
        <v>3</v>
      </c>
      <c r="I13" s="100" t="n">
        <v>1</v>
      </c>
      <c r="J13" s="100" t="n">
        <v>1</v>
      </c>
      <c r="K13" s="100" t="n">
        <v>0</v>
      </c>
      <c r="L13" s="100" t="n">
        <v>0</v>
      </c>
      <c r="M13" s="100" t="n">
        <v>4</v>
      </c>
      <c r="N13" s="101" t="n">
        <v>1.4</v>
      </c>
      <c r="O13" s="101" t="n">
        <v>0.789428585</v>
      </c>
      <c r="P13" s="101" t="n">
        <v>0</v>
      </c>
      <c r="Q13" s="101" t="n">
        <v>0.789428585</v>
      </c>
      <c r="R13" s="101" t="n">
        <v>-0.610571</v>
      </c>
      <c r="S13" s="101" t="n">
        <v>0.789428585</v>
      </c>
      <c r="T13" s="101" t="n">
        <v>-0.610571</v>
      </c>
      <c r="U13" s="102" t="n">
        <v>0.15</v>
      </c>
      <c r="V13" s="44"/>
      <c r="W13" s="110" t="s">
        <v>1849</v>
      </c>
      <c r="X13" s="110" t="s">
        <v>1264</v>
      </c>
      <c r="Y13" s="111" t="s">
        <v>1850</v>
      </c>
    </row>
    <row r="14" customFormat="false" ht="14.25" hidden="false" customHeight="true" outlineLevel="0" collapsed="false">
      <c r="A14" s="44"/>
      <c r="B14" s="98" t="s">
        <v>67</v>
      </c>
      <c r="C14" s="98" t="s">
        <v>1845</v>
      </c>
      <c r="D14" s="98" t="s">
        <v>1841</v>
      </c>
      <c r="E14" s="99" t="n">
        <v>6</v>
      </c>
      <c r="F14" s="100" t="n">
        <v>8</v>
      </c>
      <c r="G14" s="99" t="n">
        <v>8</v>
      </c>
      <c r="H14" s="100" t="n">
        <v>7</v>
      </c>
      <c r="I14" s="100" t="n">
        <v>1</v>
      </c>
      <c r="J14" s="100" t="n">
        <v>1</v>
      </c>
      <c r="K14" s="100" t="n">
        <v>0</v>
      </c>
      <c r="L14" s="100" t="n">
        <v>0</v>
      </c>
      <c r="M14" s="100" t="n">
        <v>8</v>
      </c>
      <c r="N14" s="101" t="n">
        <v>1.4</v>
      </c>
      <c r="O14" s="101" t="n">
        <v>1.429759453</v>
      </c>
      <c r="P14" s="101" t="n">
        <v>0</v>
      </c>
      <c r="Q14" s="101" t="n">
        <v>1.429759453</v>
      </c>
      <c r="R14" s="101" t="n">
        <v>0.029759</v>
      </c>
      <c r="S14" s="101" t="n">
        <v>1.429759453</v>
      </c>
      <c r="T14" s="101" t="n">
        <v>0.029759</v>
      </c>
      <c r="U14" s="102" t="n">
        <v>1</v>
      </c>
      <c r="V14" s="44"/>
      <c r="W14" s="112" t="s">
        <v>1851</v>
      </c>
      <c r="X14" s="90" t="n">
        <v>13.9</v>
      </c>
      <c r="Y14" s="113" t="n">
        <v>0</v>
      </c>
    </row>
    <row r="15" customFormat="false" ht="14.25" hidden="false" customHeight="true" outlineLevel="0" collapsed="false">
      <c r="A15" s="44"/>
      <c r="B15" s="114" t="s">
        <v>1852</v>
      </c>
      <c r="C15" s="114"/>
      <c r="D15" s="114"/>
      <c r="E15" s="115" t="n">
        <v>47.5</v>
      </c>
      <c r="F15" s="116" t="n">
        <v>48</v>
      </c>
      <c r="G15" s="115" t="n">
        <v>48</v>
      </c>
      <c r="H15" s="116" t="n">
        <v>26</v>
      </c>
      <c r="I15" s="116" t="n">
        <v>22</v>
      </c>
      <c r="J15" s="116" t="n">
        <v>8</v>
      </c>
      <c r="K15" s="116" t="n">
        <v>13</v>
      </c>
      <c r="L15" s="116" t="n">
        <v>1</v>
      </c>
      <c r="M15" s="116" t="n">
        <v>47</v>
      </c>
      <c r="N15" s="117" t="n">
        <v>9.88</v>
      </c>
      <c r="O15" s="117" t="n">
        <v>9.113524162</v>
      </c>
      <c r="P15" s="117" t="n">
        <v>0</v>
      </c>
      <c r="Q15" s="117" t="n">
        <v>9.113524162</v>
      </c>
      <c r="R15" s="117" t="n">
        <v>-0.766476</v>
      </c>
      <c r="S15" s="117" t="n">
        <v>7.27436271475</v>
      </c>
      <c r="T15" s="117" t="n">
        <v>-2.605637</v>
      </c>
      <c r="U15" s="44"/>
      <c r="V15" s="44"/>
      <c r="W15" s="112" t="s">
        <v>1853</v>
      </c>
      <c r="X15" s="90" t="n">
        <v>1.3</v>
      </c>
      <c r="Y15" s="118" t="n">
        <v>0</v>
      </c>
    </row>
    <row r="16" customFormat="false" ht="14.25" hidden="false" customHeight="true" outlineLevel="0" collapsed="false">
      <c r="A16" s="44"/>
      <c r="B16" s="96" t="s">
        <v>1854</v>
      </c>
      <c r="C16" s="96"/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44"/>
      <c r="V16" s="44"/>
      <c r="W16" s="112" t="s">
        <v>1855</v>
      </c>
      <c r="X16" s="90" t="n">
        <v>11.8</v>
      </c>
      <c r="Y16" s="118" t="n">
        <v>5.26</v>
      </c>
    </row>
    <row r="17" customFormat="false" ht="14.25" hidden="false" customHeight="true" outlineLevel="0" collapsed="false">
      <c r="A17" s="44"/>
      <c r="B17" s="98" t="s">
        <v>160</v>
      </c>
      <c r="C17" s="98" t="s">
        <v>1856</v>
      </c>
      <c r="D17" s="98"/>
      <c r="E17" s="99"/>
      <c r="F17" s="100" t="n">
        <v>10</v>
      </c>
      <c r="G17" s="99" t="n">
        <v>10</v>
      </c>
      <c r="H17" s="100" t="n">
        <v>10</v>
      </c>
      <c r="I17" s="100" t="n">
        <v>0</v>
      </c>
      <c r="J17" s="100" t="n">
        <v>0</v>
      </c>
      <c r="K17" s="100" t="n">
        <v>0</v>
      </c>
      <c r="L17" s="100" t="n">
        <v>0</v>
      </c>
      <c r="M17" s="100" t="n">
        <v>10</v>
      </c>
      <c r="N17" s="101" t="n">
        <v>1.404089</v>
      </c>
      <c r="O17" s="101" t="n">
        <v>2.115029718</v>
      </c>
      <c r="P17" s="101" t="n">
        <v>1.404</v>
      </c>
      <c r="Q17" s="101" t="n">
        <v>0.711029718</v>
      </c>
      <c r="R17" s="101" t="n">
        <v>0.710941</v>
      </c>
      <c r="S17" s="101" t="n">
        <v>2.115029718</v>
      </c>
      <c r="T17" s="101" t="n">
        <v>0.710941</v>
      </c>
      <c r="U17" s="102" t="n">
        <v>0</v>
      </c>
      <c r="V17" s="44"/>
      <c r="W17" s="112" t="s">
        <v>1857</v>
      </c>
      <c r="X17" s="90" t="n">
        <v>6.8</v>
      </c>
      <c r="Y17" s="90" t="n">
        <v>1.404089</v>
      </c>
    </row>
    <row r="18" customFormat="false" ht="14.25" hidden="false" customHeight="true" outlineLevel="0" collapsed="false">
      <c r="A18" s="44"/>
      <c r="B18" s="98" t="s">
        <v>184</v>
      </c>
      <c r="C18" s="98" t="s">
        <v>1856</v>
      </c>
      <c r="D18" s="98"/>
      <c r="E18" s="99"/>
      <c r="F18" s="100" t="n">
        <v>6</v>
      </c>
      <c r="G18" s="99" t="n">
        <v>5.8</v>
      </c>
      <c r="H18" s="100" t="n">
        <v>6</v>
      </c>
      <c r="I18" s="100" t="n">
        <v>0</v>
      </c>
      <c r="J18" s="100" t="n">
        <v>0</v>
      </c>
      <c r="K18" s="100" t="n">
        <v>0</v>
      </c>
      <c r="L18" s="100" t="n">
        <v>0</v>
      </c>
      <c r="M18" s="100" t="n">
        <v>6</v>
      </c>
      <c r="N18" s="101" t="n">
        <v>1.1822355812</v>
      </c>
      <c r="O18" s="101" t="n">
        <v>1.1822355812</v>
      </c>
      <c r="P18" s="101" t="n">
        <v>1.1822355812</v>
      </c>
      <c r="Q18" s="101" t="n">
        <v>0</v>
      </c>
      <c r="R18" s="101" t="n">
        <v>0</v>
      </c>
      <c r="S18" s="101" t="n">
        <v>1.1822355812</v>
      </c>
      <c r="T18" s="101" t="n">
        <v>0</v>
      </c>
      <c r="U18" s="102" t="n">
        <v>0</v>
      </c>
      <c r="V18" s="44"/>
      <c r="W18" s="112" t="s">
        <v>1858</v>
      </c>
      <c r="X18" s="90"/>
      <c r="Y18" s="90" t="n">
        <v>1.1822355812</v>
      </c>
    </row>
    <row r="19" customFormat="false" ht="14.25" hidden="false" customHeight="true" outlineLevel="0" collapsed="false">
      <c r="A19" s="44"/>
      <c r="B19" s="114" t="s">
        <v>1859</v>
      </c>
      <c r="C19" s="114"/>
      <c r="D19" s="114"/>
      <c r="E19" s="115" t="n">
        <v>0</v>
      </c>
      <c r="F19" s="116" t="n">
        <v>16</v>
      </c>
      <c r="G19" s="115" t="n">
        <v>15.8</v>
      </c>
      <c r="H19" s="116" t="n">
        <v>16</v>
      </c>
      <c r="I19" s="116" t="n">
        <v>0</v>
      </c>
      <c r="J19" s="116" t="n">
        <v>0</v>
      </c>
      <c r="K19" s="116" t="n">
        <v>0</v>
      </c>
      <c r="L19" s="116" t="n">
        <v>0</v>
      </c>
      <c r="M19" s="116" t="n">
        <v>16</v>
      </c>
      <c r="N19" s="117" t="n">
        <v>2.5863245812</v>
      </c>
      <c r="O19" s="117" t="n">
        <v>3.2972652992</v>
      </c>
      <c r="P19" s="117" t="n">
        <v>2.5862355812</v>
      </c>
      <c r="Q19" s="117" t="n">
        <v>0.711029718</v>
      </c>
      <c r="R19" s="117" t="n">
        <v>0.710941</v>
      </c>
      <c r="S19" s="117" t="n">
        <v>3.2972652992</v>
      </c>
      <c r="T19" s="117" t="n">
        <v>0.710941</v>
      </c>
      <c r="U19" s="44"/>
      <c r="V19" s="44"/>
      <c r="W19" s="112" t="s">
        <v>1860</v>
      </c>
      <c r="X19" s="90"/>
      <c r="Y19" s="90" t="n">
        <v>7.8463245812</v>
      </c>
    </row>
    <row r="20" customFormat="false" ht="14.25" hidden="false" customHeight="true" outlineLevel="0" collapsed="false">
      <c r="A20" s="44"/>
      <c r="B20" s="96" t="s">
        <v>1861</v>
      </c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44"/>
      <c r="V20" s="44"/>
      <c r="W20" s="112" t="s">
        <v>1862</v>
      </c>
      <c r="X20" s="90"/>
      <c r="Y20" s="90" t="n">
        <v>8.0193245812</v>
      </c>
    </row>
    <row r="21" customFormat="false" ht="14.25" hidden="false" customHeight="true" outlineLevel="0" collapsed="false">
      <c r="A21" s="44"/>
      <c r="B21" s="98" t="s">
        <v>199</v>
      </c>
      <c r="C21" s="98"/>
      <c r="D21" s="98"/>
      <c r="E21" s="99" t="n">
        <v>0.5</v>
      </c>
      <c r="F21" s="100" t="n">
        <v>1</v>
      </c>
      <c r="G21" s="99" t="n">
        <v>1</v>
      </c>
      <c r="H21" s="100" t="n">
        <v>1</v>
      </c>
      <c r="I21" s="100" t="n">
        <v>0</v>
      </c>
      <c r="J21" s="100" t="n">
        <v>0</v>
      </c>
      <c r="K21" s="100" t="n">
        <v>0</v>
      </c>
      <c r="L21" s="100" t="n">
        <v>0</v>
      </c>
      <c r="M21" s="100" t="n">
        <v>1</v>
      </c>
      <c r="N21" s="101" t="n">
        <v>0.1375</v>
      </c>
      <c r="O21" s="101" t="n">
        <v>0.18603225</v>
      </c>
      <c r="P21" s="101" t="n">
        <v>0</v>
      </c>
      <c r="Q21" s="101" t="n">
        <v>0.18603225</v>
      </c>
      <c r="R21" s="101" t="n">
        <v>0.048532</v>
      </c>
      <c r="S21" s="101" t="n">
        <v>0.18603225</v>
      </c>
      <c r="T21" s="101" t="n">
        <v>0.048532</v>
      </c>
      <c r="U21" s="44"/>
      <c r="V21" s="44"/>
      <c r="W21" s="112" t="s">
        <v>1863</v>
      </c>
      <c r="X21" s="90"/>
      <c r="Y21" s="119" t="n">
        <v>0.173</v>
      </c>
    </row>
    <row r="22" customFormat="false" ht="14.25" hidden="false" customHeight="true" outlineLevel="0" collapsed="false">
      <c r="A22" s="44"/>
      <c r="B22" s="98" t="s">
        <v>203</v>
      </c>
      <c r="C22" s="98"/>
      <c r="D22" s="98"/>
      <c r="E22" s="99" t="n">
        <v>1.2</v>
      </c>
      <c r="F22" s="100" t="n">
        <v>1</v>
      </c>
      <c r="G22" s="99" t="n">
        <v>0.7</v>
      </c>
      <c r="H22" s="100" t="n">
        <v>1</v>
      </c>
      <c r="I22" s="100" t="n">
        <v>0</v>
      </c>
      <c r="J22" s="100" t="n">
        <v>0</v>
      </c>
      <c r="K22" s="100" t="n">
        <v>0</v>
      </c>
      <c r="L22" s="100" t="n">
        <v>0</v>
      </c>
      <c r="M22" s="100" t="n">
        <v>1</v>
      </c>
      <c r="N22" s="101" t="n">
        <v>0.336</v>
      </c>
      <c r="O22" s="101" t="n">
        <v>0.212056145</v>
      </c>
      <c r="P22" s="101" t="n">
        <v>0</v>
      </c>
      <c r="Q22" s="101" t="n">
        <v>0.212056145</v>
      </c>
      <c r="R22" s="101" t="n">
        <v>-0.123944</v>
      </c>
      <c r="S22" s="101" t="n">
        <v>0.212056145</v>
      </c>
      <c r="T22" s="101" t="n">
        <v>-0.123944</v>
      </c>
      <c r="U22" s="44"/>
      <c r="V22" s="44"/>
      <c r="W22" s="44"/>
      <c r="X22" s="44"/>
      <c r="Y22" s="44"/>
    </row>
    <row r="23" customFormat="false" ht="14.25" hidden="false" customHeight="true" outlineLevel="0" collapsed="false">
      <c r="A23" s="44"/>
      <c r="B23" s="98" t="s">
        <v>206</v>
      </c>
      <c r="C23" s="98"/>
      <c r="D23" s="98"/>
      <c r="E23" s="99" t="n">
        <v>1.2</v>
      </c>
      <c r="F23" s="100" t="n">
        <v>3</v>
      </c>
      <c r="G23" s="99" t="n">
        <v>3</v>
      </c>
      <c r="H23" s="100" t="n">
        <v>3</v>
      </c>
      <c r="I23" s="100" t="n">
        <v>0</v>
      </c>
      <c r="J23" s="100" t="n">
        <v>0</v>
      </c>
      <c r="K23" s="100" t="n">
        <v>0</v>
      </c>
      <c r="L23" s="100" t="n">
        <v>0</v>
      </c>
      <c r="M23" s="100" t="n">
        <v>3</v>
      </c>
      <c r="N23" s="101" t="n">
        <v>0.324</v>
      </c>
      <c r="O23" s="101" t="n">
        <v>0.766646363</v>
      </c>
      <c r="P23" s="101" t="n">
        <v>0</v>
      </c>
      <c r="Q23" s="101" t="n">
        <v>0.766646363</v>
      </c>
      <c r="R23" s="101" t="n">
        <v>0.442646</v>
      </c>
      <c r="S23" s="101" t="n">
        <v>0.766646363</v>
      </c>
      <c r="T23" s="101" t="n">
        <v>0.442646</v>
      </c>
      <c r="U23" s="44"/>
      <c r="V23" s="44"/>
      <c r="W23" s="44"/>
      <c r="X23" s="44"/>
      <c r="Y23" s="44"/>
    </row>
    <row r="24" customFormat="false" ht="14.25" hidden="false" customHeight="true" outlineLevel="0" collapsed="false">
      <c r="A24" s="44"/>
      <c r="B24" s="114" t="s">
        <v>1864</v>
      </c>
      <c r="C24" s="114"/>
      <c r="D24" s="114"/>
      <c r="E24" s="115" t="n">
        <v>2.9</v>
      </c>
      <c r="F24" s="116" t="n">
        <v>5</v>
      </c>
      <c r="G24" s="115" t="n">
        <v>4.7</v>
      </c>
      <c r="H24" s="116" t="n">
        <v>5</v>
      </c>
      <c r="I24" s="116" t="n">
        <v>0</v>
      </c>
      <c r="J24" s="116" t="n">
        <v>0</v>
      </c>
      <c r="K24" s="116" t="n">
        <v>0</v>
      </c>
      <c r="L24" s="116" t="n">
        <v>0</v>
      </c>
      <c r="M24" s="116" t="n">
        <v>5</v>
      </c>
      <c r="N24" s="117" t="n">
        <v>0.7975</v>
      </c>
      <c r="O24" s="117" t="n">
        <v>1.164734758</v>
      </c>
      <c r="P24" s="117" t="n">
        <v>0</v>
      </c>
      <c r="Q24" s="117" t="n">
        <v>1.164734758</v>
      </c>
      <c r="R24" s="117" t="n">
        <v>0.367235</v>
      </c>
      <c r="S24" s="117" t="n">
        <v>1.164734758</v>
      </c>
      <c r="T24" s="117" t="n">
        <v>0.367235</v>
      </c>
      <c r="U24" s="44"/>
      <c r="V24" s="44"/>
      <c r="W24" s="44"/>
      <c r="X24" s="44"/>
      <c r="Y24" s="44"/>
    </row>
    <row r="25" customFormat="false" ht="14.25" hidden="false" customHeight="true" outlineLevel="0" collapsed="false">
      <c r="A25" s="44"/>
      <c r="B25" s="120" t="s">
        <v>1865</v>
      </c>
      <c r="C25" s="44"/>
      <c r="D25" s="121"/>
      <c r="E25" s="99" t="n">
        <v>1.8</v>
      </c>
      <c r="F25" s="121"/>
      <c r="G25" s="121"/>
      <c r="H25" s="121"/>
      <c r="I25" s="121"/>
      <c r="J25" s="121"/>
      <c r="K25" s="121"/>
      <c r="L25" s="121"/>
      <c r="M25" s="121"/>
      <c r="N25" s="101" t="n">
        <v>0.88</v>
      </c>
      <c r="O25" s="121"/>
      <c r="P25" s="121"/>
      <c r="Q25" s="121"/>
      <c r="R25" s="121"/>
      <c r="S25" s="121"/>
      <c r="T25" s="121"/>
      <c r="U25" s="44"/>
      <c r="V25" s="44"/>
      <c r="W25" s="44"/>
      <c r="X25" s="44"/>
      <c r="Y25" s="44"/>
    </row>
    <row r="26" customFormat="false" ht="14.25" hidden="false" customHeight="true" outlineLevel="0" collapsed="false">
      <c r="A26" s="44"/>
      <c r="B26" s="120" t="s">
        <v>1866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</row>
    <row r="27" customFormat="false" ht="14.25" hidden="false" customHeight="true" outlineLevel="0" collapsed="false">
      <c r="A27" s="44"/>
      <c r="B27" s="122" t="s">
        <v>1867</v>
      </c>
      <c r="C27" s="122"/>
      <c r="D27" s="122"/>
      <c r="E27" s="123" t="n">
        <v>52.2</v>
      </c>
      <c r="F27" s="124" t="n">
        <v>69</v>
      </c>
      <c r="G27" s="123" t="n">
        <v>68.5</v>
      </c>
      <c r="H27" s="124" t="n">
        <v>47</v>
      </c>
      <c r="I27" s="124" t="n">
        <v>22</v>
      </c>
      <c r="J27" s="124" t="n">
        <v>8</v>
      </c>
      <c r="K27" s="124" t="n">
        <v>13</v>
      </c>
      <c r="L27" s="124" t="n">
        <v>1</v>
      </c>
      <c r="M27" s="124" t="n">
        <v>68</v>
      </c>
      <c r="N27" s="125" t="n">
        <v>14.1438245812</v>
      </c>
      <c r="O27" s="125" t="n">
        <v>13.5755242192</v>
      </c>
      <c r="P27" s="125" t="n">
        <v>2.5862355812</v>
      </c>
      <c r="Q27" s="125" t="n">
        <v>10.989288638</v>
      </c>
      <c r="R27" s="125" t="n">
        <v>-0.5683</v>
      </c>
      <c r="S27" s="125" t="n">
        <v>11.73636277195</v>
      </c>
      <c r="T27" s="125" t="n">
        <v>-2.407462</v>
      </c>
      <c r="U27" s="44"/>
      <c r="V27" s="44"/>
      <c r="W27" s="44"/>
      <c r="X27" s="44"/>
      <c r="Y27" s="44"/>
    </row>
    <row r="28" customFormat="false" ht="15" hidden="false" customHeight="false" outlineLevel="0" collapsed="false">
      <c r="A28" s="44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</row>
    <row r="29" customFormat="false" ht="14.25" hidden="false" customHeight="true" outlineLevel="0" collapsed="false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</row>
    <row r="30" customFormat="false" ht="14.25" hidden="false" customHeight="true" outlineLevel="0" collapsed="false">
      <c r="A30" s="44"/>
      <c r="B30" s="83" t="s">
        <v>1868</v>
      </c>
      <c r="C30" s="85"/>
      <c r="D30" s="85"/>
      <c r="E30" s="85"/>
      <c r="F30" s="85"/>
      <c r="G30" s="85"/>
      <c r="H30" s="98" t="s">
        <v>1869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</row>
    <row r="31" customFormat="false" ht="18.75" hidden="false" customHeight="true" outlineLevel="0" collapsed="false">
      <c r="A31" s="126" t="s">
        <v>39</v>
      </c>
      <c r="B31" s="91" t="s">
        <v>40</v>
      </c>
      <c r="C31" s="91" t="s">
        <v>41</v>
      </c>
      <c r="D31" s="91" t="s">
        <v>42</v>
      </c>
      <c r="E31" s="127" t="s">
        <v>43</v>
      </c>
      <c r="F31" s="91" t="s">
        <v>44</v>
      </c>
      <c r="G31" s="128" t="s">
        <v>45</v>
      </c>
      <c r="H31" s="127" t="s">
        <v>1870</v>
      </c>
      <c r="I31" s="129" t="s">
        <v>1871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</row>
    <row r="32" customFormat="false" ht="33.75" hidden="false" customHeight="true" outlineLevel="0" collapsed="false">
      <c r="A32" s="44"/>
      <c r="B32" s="96" t="s">
        <v>48</v>
      </c>
      <c r="C32" s="96" t="s">
        <v>1872</v>
      </c>
      <c r="D32" s="96"/>
      <c r="E32" s="96"/>
      <c r="F32" s="130"/>
      <c r="G32" s="131" t="n">
        <v>2097921.857</v>
      </c>
      <c r="H32" s="131" t="n">
        <v>1690473.806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</row>
    <row r="33" customFormat="false" ht="14.25" hidden="false" customHeight="true" outlineLevel="0" collapsed="false">
      <c r="A33" s="132" t="s">
        <v>50</v>
      </c>
      <c r="B33" s="98" t="s">
        <v>51</v>
      </c>
      <c r="C33" s="98" t="s">
        <v>52</v>
      </c>
      <c r="D33" s="98" t="s">
        <v>53</v>
      </c>
      <c r="E33" s="133" t="s">
        <v>53</v>
      </c>
      <c r="F33" s="134"/>
      <c r="G33" s="100" t="n">
        <v>243637.5</v>
      </c>
      <c r="H33" s="100" t="n">
        <v>243637.5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</row>
    <row r="34" customFormat="false" ht="14.25" hidden="false" customHeight="true" outlineLevel="0" collapsed="false">
      <c r="A34" s="132" t="s">
        <v>55</v>
      </c>
      <c r="B34" s="98" t="s">
        <v>56</v>
      </c>
      <c r="C34" s="98" t="s">
        <v>57</v>
      </c>
      <c r="D34" s="98" t="s">
        <v>53</v>
      </c>
      <c r="E34" s="133" t="s">
        <v>53</v>
      </c>
      <c r="F34" s="134"/>
      <c r="G34" s="100" t="n">
        <v>176565.05</v>
      </c>
      <c r="H34" s="100" t="n">
        <v>176565.05</v>
      </c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</row>
    <row r="35" customFormat="false" ht="14.25" hidden="false" customHeight="true" outlineLevel="0" collapsed="false">
      <c r="A35" s="132" t="s">
        <v>59</v>
      </c>
      <c r="B35" s="98" t="s">
        <v>60</v>
      </c>
      <c r="C35" s="98" t="s">
        <v>57</v>
      </c>
      <c r="D35" s="98" t="s">
        <v>53</v>
      </c>
      <c r="E35" s="133" t="s">
        <v>53</v>
      </c>
      <c r="F35" s="134"/>
      <c r="G35" s="100" t="n">
        <v>134367.972</v>
      </c>
      <c r="H35" s="100" t="n">
        <v>134367.972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</row>
    <row r="36" customFormat="false" ht="14.25" hidden="false" customHeight="true" outlineLevel="0" collapsed="false">
      <c r="A36" s="132" t="s">
        <v>62</v>
      </c>
      <c r="B36" s="98" t="s">
        <v>63</v>
      </c>
      <c r="C36" s="98" t="s">
        <v>57</v>
      </c>
      <c r="D36" s="98" t="s">
        <v>53</v>
      </c>
      <c r="E36" s="133" t="s">
        <v>53</v>
      </c>
      <c r="F36" s="134"/>
      <c r="G36" s="100" t="n">
        <v>162060.6</v>
      </c>
      <c r="H36" s="100" t="n">
        <v>162060.6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</row>
    <row r="37" customFormat="false" ht="14.25" hidden="false" customHeight="true" outlineLevel="0" collapsed="false">
      <c r="A37" s="132" t="s">
        <v>65</v>
      </c>
      <c r="B37" s="98" t="s">
        <v>66</v>
      </c>
      <c r="C37" s="98" t="s">
        <v>57</v>
      </c>
      <c r="D37" s="98" t="s">
        <v>53</v>
      </c>
      <c r="E37" s="133" t="s">
        <v>53</v>
      </c>
      <c r="F37" s="134"/>
      <c r="G37" s="100" t="n">
        <v>203213.7</v>
      </c>
      <c r="H37" s="100" t="n">
        <v>203213.7</v>
      </c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</row>
    <row r="38" customFormat="false" ht="14.25" hidden="false" customHeight="true" outlineLevel="0" collapsed="false">
      <c r="A38" s="132" t="s">
        <v>68</v>
      </c>
      <c r="B38" s="98" t="s">
        <v>69</v>
      </c>
      <c r="C38" s="98" t="s">
        <v>70</v>
      </c>
      <c r="D38" s="98" t="s">
        <v>69</v>
      </c>
      <c r="E38" s="133" t="s">
        <v>71</v>
      </c>
      <c r="F38" s="134"/>
      <c r="G38" s="100" t="n">
        <v>170489.75</v>
      </c>
      <c r="H38" s="100" t="n">
        <v>68195.9</v>
      </c>
      <c r="I38" s="135" t="s">
        <v>1873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</row>
    <row r="39" customFormat="false" ht="14.25" hidden="false" customHeight="true" outlineLevel="0" collapsed="false">
      <c r="A39" s="132" t="s">
        <v>72</v>
      </c>
      <c r="B39" s="98" t="s">
        <v>73</v>
      </c>
      <c r="C39" s="98" t="s">
        <v>57</v>
      </c>
      <c r="D39" s="98" t="s">
        <v>53</v>
      </c>
      <c r="E39" s="133" t="s">
        <v>53</v>
      </c>
      <c r="F39" s="134"/>
      <c r="G39" s="100" t="n">
        <v>193575</v>
      </c>
      <c r="H39" s="100" t="n">
        <v>193575</v>
      </c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</row>
    <row r="40" customFormat="false" ht="14.25" hidden="false" customHeight="true" outlineLevel="0" collapsed="false">
      <c r="A40" s="132" t="s">
        <v>74</v>
      </c>
      <c r="B40" s="98" t="s">
        <v>75</v>
      </c>
      <c r="C40" s="98" t="s">
        <v>57</v>
      </c>
      <c r="D40" s="98" t="s">
        <v>53</v>
      </c>
      <c r="E40" s="133" t="s">
        <v>53</v>
      </c>
      <c r="F40" s="134"/>
      <c r="G40" s="100" t="n">
        <v>239072.45</v>
      </c>
      <c r="H40" s="100" t="n">
        <v>239072.45</v>
      </c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</row>
    <row r="41" customFormat="false" ht="14.25" hidden="false" customHeight="true" outlineLevel="0" collapsed="false">
      <c r="A41" s="132" t="s">
        <v>76</v>
      </c>
      <c r="B41" s="98" t="s">
        <v>69</v>
      </c>
      <c r="C41" s="98" t="s">
        <v>77</v>
      </c>
      <c r="D41" s="98" t="s">
        <v>69</v>
      </c>
      <c r="E41" s="133" t="s">
        <v>78</v>
      </c>
      <c r="F41" s="134"/>
      <c r="G41" s="100" t="n">
        <v>202853.25</v>
      </c>
      <c r="H41" s="100" t="n">
        <v>0</v>
      </c>
      <c r="I41" s="135" t="s">
        <v>1874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</row>
    <row r="42" customFormat="false" ht="14.25" hidden="false" customHeight="true" outlineLevel="0" collapsed="false">
      <c r="A42" s="132" t="s">
        <v>79</v>
      </c>
      <c r="B42" s="98" t="s">
        <v>69</v>
      </c>
      <c r="C42" s="98" t="s">
        <v>80</v>
      </c>
      <c r="D42" s="98" t="s">
        <v>69</v>
      </c>
      <c r="E42" s="133" t="s">
        <v>71</v>
      </c>
      <c r="F42" s="134"/>
      <c r="G42" s="100" t="n">
        <v>170501.585</v>
      </c>
      <c r="H42" s="100" t="n">
        <v>68200.634</v>
      </c>
      <c r="I42" s="135" t="s">
        <v>1875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</row>
    <row r="43" customFormat="false" ht="14.25" hidden="false" customHeight="true" outlineLevel="0" collapsed="false">
      <c r="A43" s="132" t="s">
        <v>81</v>
      </c>
      <c r="B43" s="98" t="s">
        <v>69</v>
      </c>
      <c r="C43" s="98" t="s">
        <v>57</v>
      </c>
      <c r="D43" s="98" t="s">
        <v>69</v>
      </c>
      <c r="E43" s="133" t="s">
        <v>82</v>
      </c>
      <c r="F43" s="134"/>
      <c r="G43" s="100" t="n">
        <v>201585</v>
      </c>
      <c r="H43" s="100" t="n">
        <v>201585</v>
      </c>
      <c r="I43" s="135" t="s">
        <v>1873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</row>
    <row r="44" customFormat="false" ht="14.25" hidden="false" customHeight="true" outlineLevel="0" collapsed="false">
      <c r="A44" s="44"/>
      <c r="B44" s="96" t="s">
        <v>160</v>
      </c>
      <c r="C44" s="96" t="s">
        <v>1876</v>
      </c>
      <c r="D44" s="96"/>
      <c r="E44" s="96"/>
      <c r="F44" s="96"/>
      <c r="G44" s="131" t="n">
        <v>2115029.718</v>
      </c>
      <c r="H44" s="131" t="n">
        <v>2115029.718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</row>
    <row r="45" customFormat="false" ht="14.25" hidden="false" customHeight="true" outlineLevel="0" collapsed="false">
      <c r="A45" s="132" t="s">
        <v>161</v>
      </c>
      <c r="B45" s="98" t="s">
        <v>162</v>
      </c>
      <c r="C45" s="98" t="s">
        <v>163</v>
      </c>
      <c r="D45" s="98" t="s">
        <v>53</v>
      </c>
      <c r="E45" s="133" t="s">
        <v>53</v>
      </c>
      <c r="F45" s="134"/>
      <c r="G45" s="100" t="n">
        <v>202026.336</v>
      </c>
      <c r="H45" s="100" t="n">
        <v>202026.336</v>
      </c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</row>
    <row r="46" customFormat="false" ht="14.25" hidden="false" customHeight="true" outlineLevel="0" collapsed="false">
      <c r="A46" s="132" t="s">
        <v>164</v>
      </c>
      <c r="B46" s="98" t="s">
        <v>165</v>
      </c>
      <c r="C46" s="98" t="s">
        <v>84</v>
      </c>
      <c r="D46" s="98" t="s">
        <v>53</v>
      </c>
      <c r="E46" s="133" t="s">
        <v>53</v>
      </c>
      <c r="F46" s="134"/>
      <c r="G46" s="100" t="n">
        <v>253142.7</v>
      </c>
      <c r="H46" s="100" t="n">
        <v>253142.7</v>
      </c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</row>
    <row r="47" customFormat="false" ht="14.25" hidden="false" customHeight="true" outlineLevel="0" collapsed="false">
      <c r="A47" s="132" t="s">
        <v>166</v>
      </c>
      <c r="B47" s="98" t="s">
        <v>167</v>
      </c>
      <c r="C47" s="98" t="s">
        <v>84</v>
      </c>
      <c r="D47" s="98" t="s">
        <v>53</v>
      </c>
      <c r="E47" s="133" t="s">
        <v>53</v>
      </c>
      <c r="F47" s="134"/>
      <c r="G47" s="100" t="n">
        <v>247455.6</v>
      </c>
      <c r="H47" s="100" t="n">
        <v>247455.6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</row>
    <row r="48" customFormat="false" ht="14.25" hidden="false" customHeight="true" outlineLevel="0" collapsed="false">
      <c r="A48" s="132" t="s">
        <v>168</v>
      </c>
      <c r="B48" s="98" t="s">
        <v>169</v>
      </c>
      <c r="C48" s="98" t="s">
        <v>84</v>
      </c>
      <c r="D48" s="98" t="s">
        <v>53</v>
      </c>
      <c r="E48" s="133" t="s">
        <v>53</v>
      </c>
      <c r="F48" s="134"/>
      <c r="G48" s="100" t="n">
        <v>237654.03</v>
      </c>
      <c r="H48" s="100" t="n">
        <v>237654.03</v>
      </c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</row>
    <row r="49" customFormat="false" ht="14.25" hidden="false" customHeight="true" outlineLevel="0" collapsed="false">
      <c r="A49" s="132" t="s">
        <v>170</v>
      </c>
      <c r="B49" s="98" t="s">
        <v>171</v>
      </c>
      <c r="C49" s="98" t="s">
        <v>84</v>
      </c>
      <c r="D49" s="98" t="s">
        <v>53</v>
      </c>
      <c r="E49" s="133" t="s">
        <v>53</v>
      </c>
      <c r="F49" s="134"/>
      <c r="G49" s="100" t="n">
        <v>161334</v>
      </c>
      <c r="H49" s="100" t="n">
        <v>161334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</row>
    <row r="50" customFormat="false" ht="14.25" hidden="false" customHeight="true" outlineLevel="0" collapsed="false">
      <c r="A50" s="132" t="s">
        <v>172</v>
      </c>
      <c r="B50" s="98" t="s">
        <v>173</v>
      </c>
      <c r="C50" s="98" t="s">
        <v>174</v>
      </c>
      <c r="D50" s="98" t="s">
        <v>53</v>
      </c>
      <c r="E50" s="133" t="s">
        <v>53</v>
      </c>
      <c r="F50" s="134"/>
      <c r="G50" s="100" t="n">
        <v>210342.6</v>
      </c>
      <c r="H50" s="100" t="n">
        <v>210342.6</v>
      </c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</row>
    <row r="51" customFormat="false" ht="14.25" hidden="false" customHeight="true" outlineLevel="0" collapsed="false">
      <c r="A51" s="132" t="s">
        <v>175</v>
      </c>
      <c r="B51" s="98" t="s">
        <v>176</v>
      </c>
      <c r="C51" s="98" t="s">
        <v>57</v>
      </c>
      <c r="D51" s="98" t="s">
        <v>53</v>
      </c>
      <c r="E51" s="133" t="s">
        <v>53</v>
      </c>
      <c r="F51" s="134"/>
      <c r="G51" s="100" t="n">
        <v>262647.9</v>
      </c>
      <c r="H51" s="100" t="n">
        <v>262647.9</v>
      </c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</row>
    <row r="52" customFormat="false" ht="14.25" hidden="false" customHeight="true" outlineLevel="0" collapsed="false">
      <c r="A52" s="132" t="s">
        <v>177</v>
      </c>
      <c r="B52" s="98" t="s">
        <v>178</v>
      </c>
      <c r="C52" s="98" t="s">
        <v>57</v>
      </c>
      <c r="D52" s="98" t="s">
        <v>53</v>
      </c>
      <c r="E52" s="133" t="s">
        <v>53</v>
      </c>
      <c r="F52" s="134"/>
      <c r="G52" s="100" t="n">
        <v>147460.584</v>
      </c>
      <c r="H52" s="100" t="n">
        <v>147460.584</v>
      </c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</row>
    <row r="53" customFormat="false" ht="14.25" hidden="false" customHeight="true" outlineLevel="0" collapsed="false">
      <c r="A53" s="132" t="s">
        <v>179</v>
      </c>
      <c r="B53" s="98" t="s">
        <v>180</v>
      </c>
      <c r="C53" s="98" t="s">
        <v>80</v>
      </c>
      <c r="D53" s="98" t="s">
        <v>53</v>
      </c>
      <c r="E53" s="133" t="s">
        <v>53</v>
      </c>
      <c r="F53" s="134"/>
      <c r="G53" s="100" t="n">
        <v>194028.9</v>
      </c>
      <c r="H53" s="100" t="n">
        <v>194028.9</v>
      </c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</row>
    <row r="54" customFormat="false" ht="14.25" hidden="false" customHeight="true" outlineLevel="0" collapsed="false">
      <c r="A54" s="132" t="s">
        <v>181</v>
      </c>
      <c r="B54" s="98" t="s">
        <v>182</v>
      </c>
      <c r="C54" s="98" t="s">
        <v>183</v>
      </c>
      <c r="D54" s="98" t="s">
        <v>53</v>
      </c>
      <c r="E54" s="133" t="s">
        <v>53</v>
      </c>
      <c r="F54" s="134"/>
      <c r="G54" s="100" t="n">
        <v>198937.068</v>
      </c>
      <c r="H54" s="100" t="n">
        <v>198937.068</v>
      </c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</row>
    <row r="55" customFormat="false" ht="14.25" hidden="false" customHeight="true" outlineLevel="0" collapsed="false">
      <c r="A55" s="44"/>
      <c r="B55" s="96" t="s">
        <v>49</v>
      </c>
      <c r="C55" s="96" t="s">
        <v>1877</v>
      </c>
      <c r="D55" s="96"/>
      <c r="E55" s="96"/>
      <c r="F55" s="96"/>
      <c r="G55" s="131" t="n">
        <v>1212323.75</v>
      </c>
      <c r="H55" s="131" t="n">
        <v>484929.5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</row>
    <row r="56" customFormat="false" ht="14.25" hidden="false" customHeight="true" outlineLevel="0" collapsed="false">
      <c r="A56" s="132" t="s">
        <v>83</v>
      </c>
      <c r="B56" s="98" t="s">
        <v>69</v>
      </c>
      <c r="C56" s="98" t="s">
        <v>84</v>
      </c>
      <c r="D56" s="98" t="s">
        <v>69</v>
      </c>
      <c r="E56" s="133" t="s">
        <v>71</v>
      </c>
      <c r="F56" s="134"/>
      <c r="G56" s="100" t="n">
        <v>202853.25</v>
      </c>
      <c r="H56" s="100" t="n">
        <v>81141.3</v>
      </c>
      <c r="I56" s="135" t="s">
        <v>1878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</row>
    <row r="57" customFormat="false" ht="14.25" hidden="false" customHeight="true" outlineLevel="0" collapsed="false">
      <c r="A57" s="132" t="s">
        <v>85</v>
      </c>
      <c r="B57" s="98" t="s">
        <v>69</v>
      </c>
      <c r="C57" s="98" t="s">
        <v>86</v>
      </c>
      <c r="D57" s="98" t="s">
        <v>69</v>
      </c>
      <c r="E57" s="133" t="s">
        <v>71</v>
      </c>
      <c r="F57" s="134"/>
      <c r="G57" s="100" t="n">
        <v>201585</v>
      </c>
      <c r="H57" s="100" t="n">
        <v>80634</v>
      </c>
      <c r="I57" s="135" t="s">
        <v>1878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</row>
    <row r="58" customFormat="false" ht="14.25" hidden="false" customHeight="true" outlineLevel="0" collapsed="false">
      <c r="A58" s="132" t="s">
        <v>87</v>
      </c>
      <c r="B58" s="98" t="s">
        <v>69</v>
      </c>
      <c r="C58" s="98" t="s">
        <v>86</v>
      </c>
      <c r="D58" s="98" t="s">
        <v>69</v>
      </c>
      <c r="E58" s="133" t="s">
        <v>71</v>
      </c>
      <c r="F58" s="134"/>
      <c r="G58" s="100" t="n">
        <v>231689.25</v>
      </c>
      <c r="H58" s="100" t="n">
        <v>92675.7</v>
      </c>
      <c r="I58" s="135" t="s">
        <v>1878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</row>
    <row r="59" customFormat="false" ht="14.25" hidden="false" customHeight="true" outlineLevel="0" collapsed="false">
      <c r="A59" s="132" t="s">
        <v>88</v>
      </c>
      <c r="B59" s="98" t="s">
        <v>69</v>
      </c>
      <c r="C59" s="98" t="s">
        <v>89</v>
      </c>
      <c r="D59" s="98" t="s">
        <v>69</v>
      </c>
      <c r="E59" s="133" t="s">
        <v>71</v>
      </c>
      <c r="F59" s="134"/>
      <c r="G59" s="100" t="n">
        <v>202853.25</v>
      </c>
      <c r="H59" s="100" t="n">
        <v>81141.3</v>
      </c>
      <c r="I59" s="135" t="s">
        <v>1878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</row>
    <row r="60" customFormat="false" ht="14.25" hidden="false" customHeight="true" outlineLevel="0" collapsed="false">
      <c r="A60" s="132" t="s">
        <v>90</v>
      </c>
      <c r="B60" s="98" t="s">
        <v>69</v>
      </c>
      <c r="C60" s="98" t="s">
        <v>89</v>
      </c>
      <c r="D60" s="98" t="s">
        <v>69</v>
      </c>
      <c r="E60" s="133" t="s">
        <v>71</v>
      </c>
      <c r="F60" s="134"/>
      <c r="G60" s="100" t="n">
        <v>202853.25</v>
      </c>
      <c r="H60" s="100" t="n">
        <v>81141.3</v>
      </c>
      <c r="I60" s="135" t="s">
        <v>1878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</row>
    <row r="61" customFormat="false" ht="14.25" hidden="false" customHeight="true" outlineLevel="0" collapsed="false">
      <c r="A61" s="132" t="s">
        <v>91</v>
      </c>
      <c r="B61" s="98" t="s">
        <v>69</v>
      </c>
      <c r="C61" s="98" t="s">
        <v>89</v>
      </c>
      <c r="D61" s="98" t="s">
        <v>69</v>
      </c>
      <c r="E61" s="133" t="s">
        <v>71</v>
      </c>
      <c r="F61" s="134"/>
      <c r="G61" s="100" t="n">
        <v>170489.75</v>
      </c>
      <c r="H61" s="100" t="n">
        <v>68195.9</v>
      </c>
      <c r="I61" s="135" t="s">
        <v>1878</v>
      </c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</row>
    <row r="62" customFormat="false" ht="14.25" hidden="false" customHeight="true" outlineLevel="0" collapsed="false">
      <c r="A62" s="44"/>
      <c r="B62" s="96" t="s">
        <v>61</v>
      </c>
      <c r="C62" s="96" t="s">
        <v>1879</v>
      </c>
      <c r="D62" s="96"/>
      <c r="E62" s="96"/>
      <c r="F62" s="96"/>
      <c r="G62" s="131" t="n">
        <v>893835.732</v>
      </c>
      <c r="H62" s="131" t="n">
        <v>893835.732</v>
      </c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</row>
    <row r="63" customFormat="false" ht="14.25" hidden="false" customHeight="true" outlineLevel="0" collapsed="false">
      <c r="A63" s="132" t="s">
        <v>92</v>
      </c>
      <c r="B63" s="98" t="s">
        <v>93</v>
      </c>
      <c r="C63" s="98" t="s">
        <v>94</v>
      </c>
      <c r="D63" s="98" t="s">
        <v>53</v>
      </c>
      <c r="E63" s="133" t="s">
        <v>53</v>
      </c>
      <c r="F63" s="134"/>
      <c r="G63" s="100" t="n">
        <v>136461.432</v>
      </c>
      <c r="H63" s="100" t="n">
        <v>136461.432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</row>
    <row r="64" customFormat="false" ht="14.25" hidden="false" customHeight="true" outlineLevel="0" collapsed="false">
      <c r="A64" s="132" t="s">
        <v>95</v>
      </c>
      <c r="B64" s="98" t="s">
        <v>96</v>
      </c>
      <c r="C64" s="98" t="s">
        <v>97</v>
      </c>
      <c r="D64" s="98" t="s">
        <v>53</v>
      </c>
      <c r="E64" s="133" t="s">
        <v>53</v>
      </c>
      <c r="F64" s="134"/>
      <c r="G64" s="100" t="n">
        <v>200250</v>
      </c>
      <c r="H64" s="100" t="n">
        <v>200250</v>
      </c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</row>
    <row r="65" customFormat="false" ht="14.25" hidden="false" customHeight="true" outlineLevel="0" collapsed="false">
      <c r="A65" s="132" t="s">
        <v>98</v>
      </c>
      <c r="B65" s="98" t="s">
        <v>99</v>
      </c>
      <c r="C65" s="98" t="s">
        <v>100</v>
      </c>
      <c r="D65" s="98" t="s">
        <v>53</v>
      </c>
      <c r="E65" s="133" t="s">
        <v>53</v>
      </c>
      <c r="F65" s="134"/>
      <c r="G65" s="100" t="n">
        <v>205483.2</v>
      </c>
      <c r="H65" s="100" t="n">
        <v>205483.2</v>
      </c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</row>
    <row r="66" customFormat="false" ht="14.25" hidden="false" customHeight="true" outlineLevel="0" collapsed="false">
      <c r="A66" s="132" t="s">
        <v>101</v>
      </c>
      <c r="B66" s="98" t="s">
        <v>102</v>
      </c>
      <c r="C66" s="98" t="s">
        <v>103</v>
      </c>
      <c r="D66" s="98" t="s">
        <v>53</v>
      </c>
      <c r="E66" s="133" t="s">
        <v>53</v>
      </c>
      <c r="F66" s="134"/>
      <c r="G66" s="100" t="n">
        <v>206070.6</v>
      </c>
      <c r="H66" s="100" t="n">
        <v>206070.6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</row>
    <row r="67" customFormat="false" ht="14.25" hidden="false" customHeight="true" outlineLevel="0" collapsed="false">
      <c r="A67" s="132" t="s">
        <v>104</v>
      </c>
      <c r="B67" s="98" t="s">
        <v>105</v>
      </c>
      <c r="C67" s="98" t="s">
        <v>106</v>
      </c>
      <c r="D67" s="98" t="s">
        <v>53</v>
      </c>
      <c r="E67" s="133" t="s">
        <v>53</v>
      </c>
      <c r="F67" s="134"/>
      <c r="G67" s="100" t="n">
        <v>145570.5</v>
      </c>
      <c r="H67" s="100" t="n">
        <v>145570.5</v>
      </c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</row>
    <row r="68" customFormat="false" ht="14.25" hidden="false" customHeight="true" outlineLevel="0" collapsed="false">
      <c r="A68" s="44"/>
      <c r="B68" s="96" t="s">
        <v>184</v>
      </c>
      <c r="C68" s="96" t="s">
        <v>1877</v>
      </c>
      <c r="D68" s="96"/>
      <c r="E68" s="96"/>
      <c r="F68" s="96"/>
      <c r="G68" s="131" t="n">
        <v>1182235.5812</v>
      </c>
      <c r="H68" s="131" t="n">
        <v>1182235.5812</v>
      </c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</row>
    <row r="69" customFormat="false" ht="14.25" hidden="false" customHeight="true" outlineLevel="0" collapsed="false">
      <c r="A69" s="132" t="s">
        <v>185</v>
      </c>
      <c r="B69" s="98" t="s">
        <v>186</v>
      </c>
      <c r="C69" s="98" t="s">
        <v>77</v>
      </c>
      <c r="D69" s="98" t="s">
        <v>53</v>
      </c>
      <c r="E69" s="133" t="s">
        <v>53</v>
      </c>
      <c r="F69" s="134"/>
      <c r="G69" s="100" t="n">
        <v>222000</v>
      </c>
      <c r="H69" s="100" t="n">
        <v>222000</v>
      </c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</row>
    <row r="70" customFormat="false" ht="14.25" hidden="false" customHeight="true" outlineLevel="0" collapsed="false">
      <c r="A70" s="132" t="s">
        <v>187</v>
      </c>
      <c r="B70" s="98" t="s">
        <v>188</v>
      </c>
      <c r="C70" s="98" t="s">
        <v>189</v>
      </c>
      <c r="D70" s="98" t="s">
        <v>53</v>
      </c>
      <c r="E70" s="133" t="s">
        <v>53</v>
      </c>
      <c r="F70" s="134"/>
      <c r="G70" s="100" t="n">
        <v>155538.2</v>
      </c>
      <c r="H70" s="100" t="n">
        <v>155538.2</v>
      </c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</row>
    <row r="71" customFormat="false" ht="14.25" hidden="false" customHeight="true" outlineLevel="0" collapsed="false">
      <c r="A71" s="132" t="s">
        <v>190</v>
      </c>
      <c r="B71" s="98" t="s">
        <v>191</v>
      </c>
      <c r="C71" s="98" t="s">
        <v>192</v>
      </c>
      <c r="D71" s="98" t="s">
        <v>53</v>
      </c>
      <c r="E71" s="133" t="s">
        <v>53</v>
      </c>
      <c r="F71" s="134"/>
      <c r="G71" s="100" t="n">
        <v>156488.1312</v>
      </c>
      <c r="H71" s="100" t="n">
        <v>156488.1312</v>
      </c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</row>
    <row r="72" customFormat="false" ht="14.25" hidden="false" customHeight="true" outlineLevel="0" collapsed="false">
      <c r="A72" s="132" t="s">
        <v>193</v>
      </c>
      <c r="B72" s="98" t="s">
        <v>194</v>
      </c>
      <c r="C72" s="98" t="s">
        <v>52</v>
      </c>
      <c r="D72" s="98" t="s">
        <v>53</v>
      </c>
      <c r="E72" s="133" t="s">
        <v>53</v>
      </c>
      <c r="F72" s="134"/>
      <c r="G72" s="100" t="n">
        <v>133500</v>
      </c>
      <c r="H72" s="100" t="n">
        <v>133500</v>
      </c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</row>
    <row r="73" customFormat="false" ht="14.25" hidden="false" customHeight="true" outlineLevel="0" collapsed="false">
      <c r="A73" s="132" t="s">
        <v>195</v>
      </c>
      <c r="B73" s="98" t="s">
        <v>196</v>
      </c>
      <c r="C73" s="98" t="s">
        <v>52</v>
      </c>
      <c r="D73" s="98" t="s">
        <v>53</v>
      </c>
      <c r="E73" s="133" t="s">
        <v>53</v>
      </c>
      <c r="F73" s="134"/>
      <c r="G73" s="100" t="n">
        <v>267547.35</v>
      </c>
      <c r="H73" s="100" t="n">
        <v>267547.35</v>
      </c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</row>
    <row r="74" customFormat="false" ht="14.25" hidden="false" customHeight="true" outlineLevel="0" collapsed="false">
      <c r="A74" s="132" t="s">
        <v>197</v>
      </c>
      <c r="B74" s="98" t="s">
        <v>198</v>
      </c>
      <c r="C74" s="98" t="s">
        <v>57</v>
      </c>
      <c r="D74" s="98" t="s">
        <v>53</v>
      </c>
      <c r="E74" s="133" t="s">
        <v>53</v>
      </c>
      <c r="F74" s="134"/>
      <c r="G74" s="100" t="n">
        <v>247161.9</v>
      </c>
      <c r="H74" s="100" t="n">
        <v>247161.9</v>
      </c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</row>
    <row r="75" customFormat="false" ht="14.25" hidden="false" customHeight="true" outlineLevel="0" collapsed="false">
      <c r="A75" s="44"/>
      <c r="B75" s="96" t="s">
        <v>64</v>
      </c>
      <c r="C75" s="96" t="s">
        <v>1877</v>
      </c>
      <c r="D75" s="96"/>
      <c r="E75" s="96"/>
      <c r="F75" s="96"/>
      <c r="G75" s="131" t="n">
        <v>1114031.1</v>
      </c>
      <c r="H75" s="131" t="n">
        <v>1114031.1</v>
      </c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</row>
    <row r="76" customFormat="false" ht="14.25" hidden="false" customHeight="true" outlineLevel="0" collapsed="false">
      <c r="A76" s="132" t="s">
        <v>107</v>
      </c>
      <c r="B76" s="98" t="s">
        <v>69</v>
      </c>
      <c r="C76" s="98" t="s">
        <v>77</v>
      </c>
      <c r="D76" s="98" t="s">
        <v>69</v>
      </c>
      <c r="E76" s="133" t="s">
        <v>82</v>
      </c>
      <c r="F76" s="134"/>
      <c r="G76" s="100" t="n">
        <v>202853.25</v>
      </c>
      <c r="H76" s="100" t="n">
        <v>202853.25</v>
      </c>
      <c r="I76" s="135" t="s">
        <v>1873</v>
      </c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</row>
    <row r="77" customFormat="false" ht="14.25" hidden="false" customHeight="true" outlineLevel="0" collapsed="false">
      <c r="A77" s="132" t="s">
        <v>108</v>
      </c>
      <c r="B77" s="98" t="s">
        <v>109</v>
      </c>
      <c r="C77" s="98" t="s">
        <v>84</v>
      </c>
      <c r="D77" s="98" t="s">
        <v>53</v>
      </c>
      <c r="E77" s="133" t="s">
        <v>53</v>
      </c>
      <c r="F77" s="134"/>
      <c r="G77" s="100" t="n">
        <v>182454.45</v>
      </c>
      <c r="H77" s="100" t="n">
        <v>182454.45</v>
      </c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</row>
    <row r="78" customFormat="false" ht="14.25" hidden="false" customHeight="true" outlineLevel="0" collapsed="false">
      <c r="A78" s="132" t="s">
        <v>110</v>
      </c>
      <c r="B78" s="98" t="s">
        <v>111</v>
      </c>
      <c r="C78" s="98" t="s">
        <v>52</v>
      </c>
      <c r="D78" s="98" t="s">
        <v>53</v>
      </c>
      <c r="E78" s="133" t="s">
        <v>53</v>
      </c>
      <c r="F78" s="134"/>
      <c r="G78" s="100" t="n">
        <v>133044</v>
      </c>
      <c r="H78" s="100" t="n">
        <v>133044</v>
      </c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</row>
    <row r="79" customFormat="false" ht="14.25" hidden="false" customHeight="true" outlineLevel="0" collapsed="false">
      <c r="A79" s="132" t="s">
        <v>112</v>
      </c>
      <c r="B79" s="98" t="s">
        <v>113</v>
      </c>
      <c r="C79" s="98" t="s">
        <v>80</v>
      </c>
      <c r="D79" s="98" t="s">
        <v>53</v>
      </c>
      <c r="E79" s="133" t="s">
        <v>53</v>
      </c>
      <c r="F79" s="134"/>
      <c r="G79" s="100" t="n">
        <v>157839.45</v>
      </c>
      <c r="H79" s="100" t="n">
        <v>157839.45</v>
      </c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</row>
    <row r="80" customFormat="false" ht="14.25" hidden="false" customHeight="true" outlineLevel="0" collapsed="false">
      <c r="A80" s="132" t="s">
        <v>114</v>
      </c>
      <c r="B80" s="98" t="s">
        <v>115</v>
      </c>
      <c r="C80" s="98" t="s">
        <v>57</v>
      </c>
      <c r="D80" s="98" t="s">
        <v>53</v>
      </c>
      <c r="E80" s="133" t="s">
        <v>53</v>
      </c>
      <c r="F80" s="134"/>
      <c r="G80" s="100" t="n">
        <v>206150.7</v>
      </c>
      <c r="H80" s="100" t="n">
        <v>206150.7</v>
      </c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</row>
    <row r="81" customFormat="false" ht="14.25" hidden="false" customHeight="true" outlineLevel="0" collapsed="false">
      <c r="A81" s="132" t="s">
        <v>116</v>
      </c>
      <c r="B81" s="98" t="s">
        <v>69</v>
      </c>
      <c r="C81" s="98" t="s">
        <v>57</v>
      </c>
      <c r="D81" s="98" t="s">
        <v>69</v>
      </c>
      <c r="E81" s="133" t="s">
        <v>82</v>
      </c>
      <c r="F81" s="134"/>
      <c r="G81" s="100" t="n">
        <v>231689.25</v>
      </c>
      <c r="H81" s="100" t="n">
        <v>231689.25</v>
      </c>
      <c r="I81" s="135" t="s">
        <v>1873</v>
      </c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</row>
    <row r="82" customFormat="false" ht="14.25" hidden="false" customHeight="true" outlineLevel="0" collapsed="false">
      <c r="A82" s="44"/>
      <c r="B82" s="96" t="s">
        <v>58</v>
      </c>
      <c r="C82" s="96" t="s">
        <v>1880</v>
      </c>
      <c r="D82" s="96"/>
      <c r="E82" s="96"/>
      <c r="F82" s="96"/>
      <c r="G82" s="131" t="n">
        <v>1576223.685</v>
      </c>
      <c r="H82" s="131" t="n">
        <v>871904.53875</v>
      </c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</row>
    <row r="83" customFormat="false" ht="14.25" hidden="false" customHeight="true" outlineLevel="0" collapsed="false">
      <c r="A83" s="132" t="s">
        <v>117</v>
      </c>
      <c r="B83" s="98" t="s">
        <v>69</v>
      </c>
      <c r="C83" s="98" t="s">
        <v>118</v>
      </c>
      <c r="D83" s="98" t="s">
        <v>69</v>
      </c>
      <c r="E83" s="133" t="s">
        <v>82</v>
      </c>
      <c r="F83" s="134"/>
      <c r="G83" s="100" t="n">
        <v>224493.6</v>
      </c>
      <c r="H83" s="100" t="n">
        <v>224493.6</v>
      </c>
      <c r="I83" s="135" t="s">
        <v>1873</v>
      </c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</row>
    <row r="84" customFormat="false" ht="14.25" hidden="false" customHeight="true" outlineLevel="0" collapsed="false">
      <c r="A84" s="132" t="s">
        <v>119</v>
      </c>
      <c r="B84" s="98" t="s">
        <v>69</v>
      </c>
      <c r="C84" s="98" t="s">
        <v>120</v>
      </c>
      <c r="D84" s="98" t="s">
        <v>69</v>
      </c>
      <c r="E84" s="133" t="s">
        <v>71</v>
      </c>
      <c r="F84" s="134" t="s">
        <v>121</v>
      </c>
      <c r="G84" s="100" t="n">
        <v>202853.25</v>
      </c>
      <c r="H84" s="100" t="n">
        <v>60855.975</v>
      </c>
      <c r="I84" s="135" t="s">
        <v>1881</v>
      </c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</row>
    <row r="85" customFormat="false" ht="14.25" hidden="false" customHeight="true" outlineLevel="0" collapsed="false">
      <c r="A85" s="132" t="s">
        <v>122</v>
      </c>
      <c r="B85" s="98" t="s">
        <v>69</v>
      </c>
      <c r="C85" s="98" t="s">
        <v>123</v>
      </c>
      <c r="D85" s="98" t="s">
        <v>69</v>
      </c>
      <c r="E85" s="133" t="s">
        <v>71</v>
      </c>
      <c r="F85" s="134"/>
      <c r="G85" s="100" t="n">
        <v>231689.25</v>
      </c>
      <c r="H85" s="100" t="n">
        <v>92675.7</v>
      </c>
      <c r="I85" s="135" t="s">
        <v>1873</v>
      </c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</row>
    <row r="86" customFormat="false" ht="14.25" hidden="false" customHeight="true" outlineLevel="0" collapsed="false">
      <c r="A86" s="132" t="s">
        <v>124</v>
      </c>
      <c r="B86" s="98" t="s">
        <v>69</v>
      </c>
      <c r="C86" s="98" t="s">
        <v>77</v>
      </c>
      <c r="D86" s="98" t="s">
        <v>69</v>
      </c>
      <c r="E86" s="133" t="s">
        <v>82</v>
      </c>
      <c r="F86" s="134" t="s">
        <v>121</v>
      </c>
      <c r="G86" s="100" t="n">
        <v>170501.585</v>
      </c>
      <c r="H86" s="100" t="n">
        <v>127876.18875</v>
      </c>
      <c r="I86" s="135" t="s">
        <v>1882</v>
      </c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</row>
    <row r="87" customFormat="false" ht="14.25" hidden="false" customHeight="true" outlineLevel="0" collapsed="false">
      <c r="A87" s="132" t="s">
        <v>125</v>
      </c>
      <c r="B87" s="98" t="s">
        <v>69</v>
      </c>
      <c r="C87" s="98" t="s">
        <v>80</v>
      </c>
      <c r="D87" s="98" t="s">
        <v>69</v>
      </c>
      <c r="E87" s="133" t="s">
        <v>71</v>
      </c>
      <c r="F87" s="134" t="s">
        <v>121</v>
      </c>
      <c r="G87" s="100" t="n">
        <v>170489.75</v>
      </c>
      <c r="H87" s="100" t="n">
        <v>51146.925</v>
      </c>
      <c r="I87" s="135" t="s">
        <v>1881</v>
      </c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</row>
    <row r="88" customFormat="false" ht="14.25" hidden="false" customHeight="true" outlineLevel="0" collapsed="false">
      <c r="A88" s="132" t="s">
        <v>126</v>
      </c>
      <c r="B88" s="98" t="s">
        <v>69</v>
      </c>
      <c r="C88" s="98" t="s">
        <v>80</v>
      </c>
      <c r="D88" s="98" t="s">
        <v>69</v>
      </c>
      <c r="E88" s="133" t="s">
        <v>71</v>
      </c>
      <c r="F88" s="134" t="s">
        <v>121</v>
      </c>
      <c r="G88" s="100" t="n">
        <v>170489.75</v>
      </c>
      <c r="H88" s="100" t="n">
        <v>51146.925</v>
      </c>
      <c r="I88" s="135" t="s">
        <v>1881</v>
      </c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</row>
    <row r="89" customFormat="false" ht="14.25" hidden="false" customHeight="true" outlineLevel="0" collapsed="false">
      <c r="A89" s="132" t="s">
        <v>127</v>
      </c>
      <c r="B89" s="98" t="s">
        <v>69</v>
      </c>
      <c r="C89" s="98" t="s">
        <v>80</v>
      </c>
      <c r="D89" s="98" t="s">
        <v>69</v>
      </c>
      <c r="E89" s="133" t="s">
        <v>71</v>
      </c>
      <c r="F89" s="134" t="s">
        <v>121</v>
      </c>
      <c r="G89" s="100" t="n">
        <v>202853.25</v>
      </c>
      <c r="H89" s="100" t="n">
        <v>60855.975</v>
      </c>
      <c r="I89" s="135" t="s">
        <v>1881</v>
      </c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</row>
    <row r="90" customFormat="false" ht="14.25" hidden="false" customHeight="true" outlineLevel="0" collapsed="false">
      <c r="A90" s="132" t="s">
        <v>128</v>
      </c>
      <c r="B90" s="98" t="s">
        <v>69</v>
      </c>
      <c r="C90" s="98" t="s">
        <v>57</v>
      </c>
      <c r="D90" s="98" t="s">
        <v>69</v>
      </c>
      <c r="E90" s="133" t="s">
        <v>82</v>
      </c>
      <c r="F90" s="134"/>
      <c r="G90" s="100" t="n">
        <v>202853.25</v>
      </c>
      <c r="H90" s="100" t="n">
        <v>202853.25</v>
      </c>
      <c r="I90" s="135" t="s">
        <v>1873</v>
      </c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</row>
    <row r="91" customFormat="false" ht="14.25" hidden="false" customHeight="true" outlineLevel="0" collapsed="false">
      <c r="A91" s="44"/>
      <c r="B91" s="96" t="s">
        <v>54</v>
      </c>
      <c r="C91" s="96" t="s">
        <v>1883</v>
      </c>
      <c r="D91" s="96"/>
      <c r="E91" s="96"/>
      <c r="F91" s="96"/>
      <c r="G91" s="131" t="n">
        <v>789428.585</v>
      </c>
      <c r="H91" s="131" t="n">
        <v>789428.585</v>
      </c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</row>
    <row r="92" customFormat="false" ht="14.25" hidden="false" customHeight="true" outlineLevel="0" collapsed="false">
      <c r="A92" s="132" t="s">
        <v>129</v>
      </c>
      <c r="B92" s="98" t="s">
        <v>130</v>
      </c>
      <c r="C92" s="98" t="s">
        <v>57</v>
      </c>
      <c r="D92" s="98" t="s">
        <v>53</v>
      </c>
      <c r="E92" s="133" t="s">
        <v>53</v>
      </c>
      <c r="F92" s="134"/>
      <c r="G92" s="100" t="n">
        <v>259243.65</v>
      </c>
      <c r="H92" s="100" t="n">
        <v>259243.65</v>
      </c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</row>
    <row r="93" customFormat="false" ht="14.25" hidden="false" customHeight="true" outlineLevel="0" collapsed="false">
      <c r="A93" s="132" t="s">
        <v>131</v>
      </c>
      <c r="B93" s="98" t="s">
        <v>132</v>
      </c>
      <c r="C93" s="98" t="s">
        <v>133</v>
      </c>
      <c r="D93" s="98" t="s">
        <v>53</v>
      </c>
      <c r="E93" s="133" t="s">
        <v>53</v>
      </c>
      <c r="F93" s="134"/>
      <c r="G93" s="100" t="n">
        <v>213600</v>
      </c>
      <c r="H93" s="100" t="n">
        <v>213600</v>
      </c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</row>
    <row r="94" customFormat="false" ht="14.25" hidden="false" customHeight="true" outlineLevel="0" collapsed="false">
      <c r="A94" s="132" t="s">
        <v>134</v>
      </c>
      <c r="B94" s="98" t="s">
        <v>69</v>
      </c>
      <c r="C94" s="98" t="s">
        <v>57</v>
      </c>
      <c r="D94" s="98" t="s">
        <v>69</v>
      </c>
      <c r="E94" s="133" t="s">
        <v>82</v>
      </c>
      <c r="F94" s="134"/>
      <c r="G94" s="100" t="n">
        <v>170501.585</v>
      </c>
      <c r="H94" s="100" t="n">
        <v>170501.585</v>
      </c>
      <c r="I94" s="135" t="s">
        <v>1873</v>
      </c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</row>
    <row r="95" customFormat="false" ht="14.25" hidden="false" customHeight="true" outlineLevel="0" collapsed="false">
      <c r="A95" s="132" t="s">
        <v>135</v>
      </c>
      <c r="B95" s="98" t="s">
        <v>136</v>
      </c>
      <c r="C95" s="98" t="s">
        <v>80</v>
      </c>
      <c r="D95" s="98" t="s">
        <v>53</v>
      </c>
      <c r="E95" s="133" t="s">
        <v>53</v>
      </c>
      <c r="F95" s="134"/>
      <c r="G95" s="100" t="n">
        <v>146083.35</v>
      </c>
      <c r="H95" s="100" t="n">
        <v>146083.35</v>
      </c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</row>
    <row r="96" customFormat="false" ht="14.25" hidden="false" customHeight="true" outlineLevel="0" collapsed="false">
      <c r="A96" s="44"/>
      <c r="B96" s="96" t="s">
        <v>67</v>
      </c>
      <c r="C96" s="96" t="s">
        <v>1880</v>
      </c>
      <c r="D96" s="96"/>
      <c r="E96" s="96"/>
      <c r="F96" s="96"/>
      <c r="G96" s="131" t="n">
        <v>1429759.453</v>
      </c>
      <c r="H96" s="131" t="n">
        <v>1429759.453</v>
      </c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</row>
    <row r="97" customFormat="false" ht="14.25" hidden="false" customHeight="true" outlineLevel="0" collapsed="false">
      <c r="A97" s="132" t="s">
        <v>137</v>
      </c>
      <c r="B97" s="98" t="s">
        <v>138</v>
      </c>
      <c r="C97" s="98" t="s">
        <v>139</v>
      </c>
      <c r="D97" s="98" t="s">
        <v>53</v>
      </c>
      <c r="E97" s="133" t="s">
        <v>53</v>
      </c>
      <c r="F97" s="134"/>
      <c r="G97" s="100" t="n">
        <v>77707.84</v>
      </c>
      <c r="H97" s="100" t="n">
        <v>77707.84</v>
      </c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</row>
    <row r="98" customFormat="false" ht="14.25" hidden="false" customHeight="true" outlineLevel="0" collapsed="false">
      <c r="A98" s="132" t="s">
        <v>140</v>
      </c>
      <c r="B98" s="98" t="s">
        <v>141</v>
      </c>
      <c r="C98" s="98" t="s">
        <v>142</v>
      </c>
      <c r="D98" s="98" t="s">
        <v>53</v>
      </c>
      <c r="E98" s="133" t="s">
        <v>53</v>
      </c>
      <c r="F98" s="134"/>
      <c r="G98" s="100" t="n">
        <v>242933.676</v>
      </c>
      <c r="H98" s="100" t="n">
        <v>242933.676</v>
      </c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</row>
    <row r="99" customFormat="false" ht="14.25" hidden="false" customHeight="true" outlineLevel="0" collapsed="false">
      <c r="A99" s="132" t="s">
        <v>143</v>
      </c>
      <c r="B99" s="98" t="s">
        <v>69</v>
      </c>
      <c r="C99" s="98" t="s">
        <v>144</v>
      </c>
      <c r="D99" s="98" t="s">
        <v>69</v>
      </c>
      <c r="E99" s="133" t="s">
        <v>82</v>
      </c>
      <c r="F99" s="134"/>
      <c r="G99" s="100" t="n">
        <v>170501.585</v>
      </c>
      <c r="H99" s="100" t="n">
        <v>170501.585</v>
      </c>
      <c r="I99" s="135" t="s">
        <v>1873</v>
      </c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</row>
    <row r="100" customFormat="false" ht="14.25" hidden="false" customHeight="true" outlineLevel="0" collapsed="false">
      <c r="A100" s="132" t="s">
        <v>145</v>
      </c>
      <c r="B100" s="98" t="s">
        <v>146</v>
      </c>
      <c r="C100" s="98" t="s">
        <v>147</v>
      </c>
      <c r="D100" s="98" t="s">
        <v>53</v>
      </c>
      <c r="E100" s="133" t="s">
        <v>53</v>
      </c>
      <c r="F100" s="134"/>
      <c r="G100" s="100" t="n">
        <v>167360.05</v>
      </c>
      <c r="H100" s="100" t="n">
        <v>167360.05</v>
      </c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</row>
    <row r="101" customFormat="false" ht="14.25" hidden="false" customHeight="true" outlineLevel="0" collapsed="false">
      <c r="A101" s="132" t="s">
        <v>148</v>
      </c>
      <c r="B101" s="98" t="s">
        <v>149</v>
      </c>
      <c r="C101" s="98" t="s">
        <v>150</v>
      </c>
      <c r="D101" s="98" t="s">
        <v>53</v>
      </c>
      <c r="E101" s="133" t="s">
        <v>53</v>
      </c>
      <c r="F101" s="134"/>
      <c r="G101" s="100" t="n">
        <v>190155.852</v>
      </c>
      <c r="H101" s="100" t="n">
        <v>190155.852</v>
      </c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</row>
    <row r="102" customFormat="false" ht="14.25" hidden="false" customHeight="true" outlineLevel="0" collapsed="false">
      <c r="A102" s="132" t="s">
        <v>151</v>
      </c>
      <c r="B102" s="98" t="s">
        <v>152</v>
      </c>
      <c r="C102" s="98" t="s">
        <v>153</v>
      </c>
      <c r="D102" s="98" t="s">
        <v>53</v>
      </c>
      <c r="E102" s="133" t="s">
        <v>53</v>
      </c>
      <c r="F102" s="134"/>
      <c r="G102" s="100" t="n">
        <v>202853.25</v>
      </c>
      <c r="H102" s="100" t="n">
        <v>202853.25</v>
      </c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</row>
    <row r="103" customFormat="false" ht="14.25" hidden="false" customHeight="true" outlineLevel="0" collapsed="false">
      <c r="A103" s="132" t="s">
        <v>154</v>
      </c>
      <c r="B103" s="98" t="s">
        <v>155</v>
      </c>
      <c r="C103" s="98" t="s">
        <v>156</v>
      </c>
      <c r="D103" s="98" t="s">
        <v>53</v>
      </c>
      <c r="E103" s="133" t="s">
        <v>53</v>
      </c>
      <c r="F103" s="134"/>
      <c r="G103" s="100" t="n">
        <v>164033.1</v>
      </c>
      <c r="H103" s="100" t="n">
        <v>164033.1</v>
      </c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</row>
    <row r="104" customFormat="false" ht="14.25" hidden="false" customHeight="true" outlineLevel="0" collapsed="false">
      <c r="A104" s="132" t="s">
        <v>157</v>
      </c>
      <c r="B104" s="98" t="s">
        <v>158</v>
      </c>
      <c r="C104" s="98" t="s">
        <v>159</v>
      </c>
      <c r="D104" s="98" t="s">
        <v>53</v>
      </c>
      <c r="E104" s="133" t="s">
        <v>53</v>
      </c>
      <c r="F104" s="134"/>
      <c r="G104" s="100" t="n">
        <v>214214.1</v>
      </c>
      <c r="H104" s="100" t="n">
        <v>214214.1</v>
      </c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</row>
    <row r="105" customFormat="false" ht="14.25" hidden="false" customHeight="true" outlineLevel="0" collapsed="false">
      <c r="A105" s="44"/>
      <c r="B105" s="96" t="s">
        <v>199</v>
      </c>
      <c r="C105" s="96" t="s">
        <v>1884</v>
      </c>
      <c r="D105" s="96"/>
      <c r="E105" s="96"/>
      <c r="F105" s="96"/>
      <c r="G105" s="131" t="n">
        <v>186032.25</v>
      </c>
      <c r="H105" s="131" t="n">
        <v>186032.25</v>
      </c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</row>
    <row r="106" customFormat="false" ht="14.25" hidden="false" customHeight="true" outlineLevel="0" collapsed="false">
      <c r="A106" s="132" t="s">
        <v>200</v>
      </c>
      <c r="B106" s="98" t="s">
        <v>201</v>
      </c>
      <c r="C106" s="98" t="s">
        <v>202</v>
      </c>
      <c r="D106" s="98" t="s">
        <v>53</v>
      </c>
      <c r="E106" s="133" t="s">
        <v>53</v>
      </c>
      <c r="F106" s="134"/>
      <c r="G106" s="100" t="n">
        <v>186032.25</v>
      </c>
      <c r="H106" s="100" t="n">
        <v>186032.25</v>
      </c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</row>
    <row r="107" customFormat="false" ht="14.25" hidden="false" customHeight="true" outlineLevel="0" collapsed="false">
      <c r="A107" s="44"/>
      <c r="B107" s="96" t="s">
        <v>203</v>
      </c>
      <c r="C107" s="96" t="s">
        <v>1884</v>
      </c>
      <c r="D107" s="96"/>
      <c r="E107" s="96"/>
      <c r="F107" s="96"/>
      <c r="G107" s="131" t="n">
        <v>212056.145</v>
      </c>
      <c r="H107" s="131" t="n">
        <v>212056.145</v>
      </c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</row>
    <row r="108" customFormat="false" ht="14.25" hidden="false" customHeight="true" outlineLevel="0" collapsed="false">
      <c r="A108" s="132" t="s">
        <v>204</v>
      </c>
      <c r="B108" s="98" t="s">
        <v>205</v>
      </c>
      <c r="C108" s="98" t="s">
        <v>203</v>
      </c>
      <c r="D108" s="98" t="s">
        <v>53</v>
      </c>
      <c r="E108" s="133" t="s">
        <v>53</v>
      </c>
      <c r="F108" s="134"/>
      <c r="G108" s="100" t="n">
        <v>212056.145</v>
      </c>
      <c r="H108" s="100" t="n">
        <v>212056.145</v>
      </c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</row>
    <row r="109" customFormat="false" ht="14.25" hidden="false" customHeight="true" outlineLevel="0" collapsed="false">
      <c r="A109" s="44"/>
      <c r="B109" s="96" t="s">
        <v>206</v>
      </c>
      <c r="C109" s="96" t="s">
        <v>1885</v>
      </c>
      <c r="D109" s="96"/>
      <c r="E109" s="96"/>
      <c r="F109" s="96"/>
      <c r="G109" s="131" t="n">
        <v>766646.363</v>
      </c>
      <c r="H109" s="131" t="n">
        <v>0.01</v>
      </c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</row>
    <row r="110" customFormat="false" ht="14.25" hidden="false" customHeight="true" outlineLevel="0" collapsed="false">
      <c r="A110" s="132" t="s">
        <v>207</v>
      </c>
      <c r="B110" s="98" t="s">
        <v>208</v>
      </c>
      <c r="C110" s="98" t="s">
        <v>209</v>
      </c>
      <c r="D110" s="98" t="s">
        <v>53</v>
      </c>
      <c r="E110" s="133" t="s">
        <v>53</v>
      </c>
      <c r="F110" s="134"/>
      <c r="G110" s="100" t="n">
        <v>224341.488</v>
      </c>
      <c r="H110" s="100" t="n">
        <v>224341.488</v>
      </c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</row>
    <row r="111" customFormat="false" ht="14.25" hidden="false" customHeight="true" outlineLevel="0" collapsed="false">
      <c r="A111" s="132" t="s">
        <v>210</v>
      </c>
      <c r="B111" s="98" t="s">
        <v>211</v>
      </c>
      <c r="C111" s="98" t="s">
        <v>212</v>
      </c>
      <c r="D111" s="98" t="s">
        <v>53</v>
      </c>
      <c r="E111" s="133" t="s">
        <v>53</v>
      </c>
      <c r="F111" s="134"/>
      <c r="G111" s="100" t="n">
        <v>284550</v>
      </c>
      <c r="H111" s="100" t="n">
        <v>284550</v>
      </c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</row>
    <row r="112" customFormat="false" ht="14.25" hidden="false" customHeight="true" outlineLevel="0" collapsed="false">
      <c r="A112" s="132" t="s">
        <v>213</v>
      </c>
      <c r="B112" s="98" t="s">
        <v>214</v>
      </c>
      <c r="C112" s="98" t="s">
        <v>215</v>
      </c>
      <c r="D112" s="98" t="s">
        <v>53</v>
      </c>
      <c r="E112" s="133" t="s">
        <v>53</v>
      </c>
      <c r="F112" s="134"/>
      <c r="G112" s="100" t="n">
        <v>257754.875</v>
      </c>
      <c r="H112" s="100" t="n">
        <v>257754.875</v>
      </c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</row>
    <row r="113" customFormat="false" ht="15" hidden="false" customHeight="false" outlineLevel="0" collapsed="false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</row>
    <row r="114" customFormat="false" ht="14.25" hidden="false" customHeight="true" outlineLevel="0" collapsed="false">
      <c r="A114" s="44"/>
      <c r="B114" s="126" t="s">
        <v>1886</v>
      </c>
      <c r="C114" s="44"/>
      <c r="D114" s="44"/>
      <c r="E114" s="44"/>
      <c r="F114" s="44"/>
      <c r="G114" s="44"/>
      <c r="H114" s="44"/>
      <c r="I114" s="44"/>
      <c r="J114" s="44"/>
      <c r="K114" s="136" t="n">
        <v>8</v>
      </c>
      <c r="L114" s="136" t="n">
        <v>13</v>
      </c>
      <c r="M114" s="136" t="n">
        <v>1</v>
      </c>
      <c r="N114" s="136" t="n">
        <v>0</v>
      </c>
      <c r="O114" s="136" t="n">
        <v>0</v>
      </c>
      <c r="P114" s="44"/>
      <c r="Q114" s="44"/>
      <c r="R114" s="44"/>
      <c r="S114" s="44"/>
      <c r="T114" s="44"/>
      <c r="U114" s="44"/>
      <c r="V114" s="44"/>
      <c r="W114" s="44"/>
      <c r="X114" s="44"/>
      <c r="Y114" s="4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0" min="10" style="0" width="11.27"/>
    <col collapsed="false" customWidth="true" hidden="false" outlineLevel="0" max="12" min="12" style="0" width="14.45"/>
    <col collapsed="false" customWidth="true" hidden="false" outlineLevel="0" max="13" min="13" style="0" width="10.1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</row>
    <row r="2" customFormat="false" ht="21" hidden="false" customHeight="true" outlineLevel="0" collapsed="false">
      <c r="A2" s="44"/>
      <c r="B2" s="81" t="s">
        <v>1887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</row>
    <row r="3" customFormat="false" ht="14.25" hidden="false" customHeight="true" outlineLevel="0" collapsed="false">
      <c r="A3" s="44"/>
      <c r="B3" s="82" t="s">
        <v>1165</v>
      </c>
      <c r="C3" s="73" t="s">
        <v>1439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</row>
    <row r="4" customFormat="false" ht="18.75" hidden="false" customHeight="true" outlineLevel="0" collapsed="false">
      <c r="A4" s="44"/>
      <c r="B4" s="83" t="s">
        <v>1888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44"/>
      <c r="V4" s="44"/>
      <c r="W4" s="86" t="s">
        <v>1821</v>
      </c>
      <c r="X4" s="87"/>
      <c r="Y4" s="44"/>
    </row>
    <row r="5" customFormat="false" ht="6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89" t="s">
        <v>1822</v>
      </c>
      <c r="X5" s="90" t="n">
        <v>6.5</v>
      </c>
      <c r="Y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1" t="s">
        <v>1835</v>
      </c>
      <c r="S6" s="92" t="s">
        <v>1836</v>
      </c>
      <c r="T6" s="91" t="s">
        <v>1837</v>
      </c>
      <c r="U6" s="93" t="s">
        <v>1189</v>
      </c>
      <c r="V6" s="44"/>
      <c r="W6" s="137" t="s">
        <v>1838</v>
      </c>
      <c r="X6" s="138" t="n">
        <v>2.5</v>
      </c>
      <c r="Y6" s="44"/>
    </row>
    <row r="7" customFormat="false" ht="14.25" hidden="false" customHeight="true" outlineLevel="0" collapsed="false">
      <c r="A7" s="44"/>
      <c r="B7" s="96" t="s">
        <v>1164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44"/>
      <c r="V7" s="44"/>
      <c r="W7" s="139" t="s">
        <v>1839</v>
      </c>
      <c r="X7" s="138" t="n">
        <v>4</v>
      </c>
      <c r="Y7" s="44"/>
    </row>
    <row r="8" customFormat="false" ht="14.25" hidden="false" customHeight="true" outlineLevel="0" collapsed="false">
      <c r="A8" s="44"/>
      <c r="B8" s="98" t="s">
        <v>307</v>
      </c>
      <c r="C8" s="98" t="s">
        <v>1889</v>
      </c>
      <c r="D8" s="98" t="s">
        <v>1890</v>
      </c>
      <c r="E8" s="99" t="n">
        <v>12</v>
      </c>
      <c r="F8" s="100" t="n">
        <v>14</v>
      </c>
      <c r="G8" s="99" t="n">
        <v>14</v>
      </c>
      <c r="H8" s="100" t="n">
        <v>14</v>
      </c>
      <c r="I8" s="100" t="n">
        <v>0</v>
      </c>
      <c r="J8" s="100" t="n">
        <v>0</v>
      </c>
      <c r="K8" s="100" t="n">
        <v>5</v>
      </c>
      <c r="L8" s="100" t="n">
        <v>4</v>
      </c>
      <c r="M8" s="100" t="n">
        <v>10</v>
      </c>
      <c r="N8" s="101" t="n">
        <v>2.8</v>
      </c>
      <c r="O8" s="101" t="n">
        <v>3.1812982994</v>
      </c>
      <c r="P8" s="101" t="n">
        <v>0</v>
      </c>
      <c r="Q8" s="101" t="n">
        <v>3.1812982994</v>
      </c>
      <c r="R8" s="101" t="n">
        <v>0.381298</v>
      </c>
      <c r="S8" s="101" t="n">
        <v>1.71465316976</v>
      </c>
      <c r="T8" s="101" t="n">
        <v>-1.085347</v>
      </c>
      <c r="U8" s="102" t="n">
        <v>0.15</v>
      </c>
      <c r="V8" s="44"/>
      <c r="W8" s="140" t="s">
        <v>1842</v>
      </c>
      <c r="X8" s="141" t="n">
        <v>-0.34625</v>
      </c>
      <c r="Y8" s="44"/>
    </row>
    <row r="9" customFormat="false" ht="14.25" hidden="false" customHeight="true" outlineLevel="0" collapsed="false">
      <c r="A9" s="44"/>
      <c r="B9" s="98" t="s">
        <v>315</v>
      </c>
      <c r="C9" s="98" t="s">
        <v>1889</v>
      </c>
      <c r="D9" s="98" t="s">
        <v>1841</v>
      </c>
      <c r="E9" s="99" t="n">
        <v>8.5</v>
      </c>
      <c r="F9" s="100" t="n">
        <v>8</v>
      </c>
      <c r="G9" s="99" t="n">
        <v>7.8</v>
      </c>
      <c r="H9" s="100" t="n">
        <v>3</v>
      </c>
      <c r="I9" s="100" t="n">
        <v>5</v>
      </c>
      <c r="J9" s="100" t="n">
        <v>3</v>
      </c>
      <c r="K9" s="100" t="n">
        <v>2</v>
      </c>
      <c r="L9" s="100" t="n">
        <v>0</v>
      </c>
      <c r="M9" s="100" t="n">
        <v>8</v>
      </c>
      <c r="N9" s="101" t="n">
        <v>1.9</v>
      </c>
      <c r="O9" s="101" t="n">
        <v>1.2880052784</v>
      </c>
      <c r="P9" s="101" t="n">
        <v>0</v>
      </c>
      <c r="Q9" s="101" t="n">
        <v>1.2880052784</v>
      </c>
      <c r="R9" s="101" t="n">
        <v>-0.611995</v>
      </c>
      <c r="S9" s="101" t="n">
        <v>1.1906103534</v>
      </c>
      <c r="T9" s="101" t="n">
        <v>-0.70939</v>
      </c>
      <c r="U9" s="102" t="n">
        <v>0.2</v>
      </c>
      <c r="V9" s="44"/>
      <c r="W9" s="140" t="s">
        <v>1844</v>
      </c>
      <c r="X9" s="141" t="n">
        <v>0.19375</v>
      </c>
      <c r="Y9" s="44"/>
    </row>
    <row r="10" customFormat="false" ht="14.25" hidden="false" customHeight="true" outlineLevel="0" collapsed="false">
      <c r="A10" s="44"/>
      <c r="B10" s="98" t="s">
        <v>318</v>
      </c>
      <c r="C10" s="98" t="s">
        <v>1889</v>
      </c>
      <c r="D10" s="98" t="s">
        <v>1841</v>
      </c>
      <c r="E10" s="99" t="n">
        <v>8.5</v>
      </c>
      <c r="F10" s="100" t="n">
        <v>9</v>
      </c>
      <c r="G10" s="99" t="n">
        <v>9</v>
      </c>
      <c r="H10" s="100" t="n">
        <v>9</v>
      </c>
      <c r="I10" s="100" t="n">
        <v>0</v>
      </c>
      <c r="J10" s="100" t="n">
        <v>0</v>
      </c>
      <c r="K10" s="100" t="n">
        <v>5</v>
      </c>
      <c r="L10" s="100" t="n">
        <v>1</v>
      </c>
      <c r="M10" s="100" t="n">
        <v>8</v>
      </c>
      <c r="N10" s="101" t="n">
        <v>1.9</v>
      </c>
      <c r="O10" s="101" t="n">
        <v>2.1301056</v>
      </c>
      <c r="P10" s="101" t="n">
        <v>0</v>
      </c>
      <c r="Q10" s="101" t="n">
        <v>2.1301056</v>
      </c>
      <c r="R10" s="101" t="n">
        <v>0.230106</v>
      </c>
      <c r="S10" s="101" t="n">
        <v>1.25752971</v>
      </c>
      <c r="T10" s="101" t="n">
        <v>-0.64247</v>
      </c>
      <c r="U10" s="102" t="n">
        <v>0.15</v>
      </c>
      <c r="V10" s="44"/>
      <c r="W10" s="142" t="s">
        <v>1847</v>
      </c>
      <c r="X10" s="143" t="n">
        <v>-0.1525</v>
      </c>
      <c r="Y10" s="44"/>
    </row>
    <row r="11" customFormat="false" ht="14.25" hidden="false" customHeight="true" outlineLevel="0" collapsed="false">
      <c r="A11" s="44"/>
      <c r="B11" s="98" t="s">
        <v>311</v>
      </c>
      <c r="C11" s="98" t="s">
        <v>1891</v>
      </c>
      <c r="D11" s="98" t="s">
        <v>1846</v>
      </c>
      <c r="E11" s="99" t="n">
        <v>4.5</v>
      </c>
      <c r="F11" s="100" t="n">
        <v>3</v>
      </c>
      <c r="G11" s="99" t="n">
        <v>3</v>
      </c>
      <c r="H11" s="100" t="n">
        <v>2</v>
      </c>
      <c r="I11" s="100" t="n">
        <v>1</v>
      </c>
      <c r="J11" s="100" t="n">
        <v>1</v>
      </c>
      <c r="K11" s="100" t="n">
        <v>0</v>
      </c>
      <c r="L11" s="100" t="n">
        <v>0</v>
      </c>
      <c r="M11" s="100" t="n">
        <v>3</v>
      </c>
      <c r="N11" s="101" t="n">
        <v>0.8</v>
      </c>
      <c r="O11" s="101" t="n">
        <v>0.72928725</v>
      </c>
      <c r="P11" s="101" t="n">
        <v>0</v>
      </c>
      <c r="Q11" s="101" t="n">
        <v>0.72928725</v>
      </c>
      <c r="R11" s="101" t="n">
        <v>-0.070713</v>
      </c>
      <c r="S11" s="101" t="n">
        <v>0.72928725</v>
      </c>
      <c r="T11" s="101" t="n">
        <v>-0.070713</v>
      </c>
      <c r="U11" s="102" t="n">
        <v>0</v>
      </c>
      <c r="V11" s="44"/>
      <c r="W11" s="44"/>
      <c r="X11" s="44"/>
      <c r="Y11" s="44"/>
    </row>
    <row r="12" customFormat="false" ht="14.25" hidden="false" customHeight="true" outlineLevel="0" collapsed="false">
      <c r="A12" s="44"/>
      <c r="B12" s="98" t="s">
        <v>308</v>
      </c>
      <c r="C12" s="98" t="s">
        <v>1845</v>
      </c>
      <c r="D12" s="98" t="s">
        <v>1841</v>
      </c>
      <c r="E12" s="99" t="n">
        <v>6</v>
      </c>
      <c r="F12" s="100" t="n">
        <v>6</v>
      </c>
      <c r="G12" s="99" t="n">
        <v>6</v>
      </c>
      <c r="H12" s="100" t="n">
        <v>3</v>
      </c>
      <c r="I12" s="100" t="n">
        <v>3</v>
      </c>
      <c r="J12" s="100" t="n">
        <v>0</v>
      </c>
      <c r="K12" s="100" t="n">
        <v>4</v>
      </c>
      <c r="L12" s="100" t="n">
        <v>0</v>
      </c>
      <c r="M12" s="100" t="n">
        <v>6</v>
      </c>
      <c r="N12" s="101" t="n">
        <v>0.56</v>
      </c>
      <c r="O12" s="101" t="n">
        <v>0.71668945</v>
      </c>
      <c r="P12" s="101" t="n">
        <v>0</v>
      </c>
      <c r="Q12" s="101" t="n">
        <v>0.71668945</v>
      </c>
      <c r="R12" s="101" t="n">
        <v>0.156689</v>
      </c>
      <c r="S12" s="101" t="n">
        <v>0.71668945</v>
      </c>
      <c r="T12" s="101" t="n">
        <v>0.156689</v>
      </c>
      <c r="U12" s="102" t="n">
        <v>1</v>
      </c>
      <c r="V12" s="44"/>
      <c r="W12" s="144" t="s">
        <v>1848</v>
      </c>
      <c r="X12" s="144"/>
      <c r="Y12" s="144"/>
    </row>
    <row r="13" customFormat="false" ht="14.25" hidden="false" customHeight="true" outlineLevel="0" collapsed="false">
      <c r="A13" s="44"/>
      <c r="B13" s="98" t="s">
        <v>461</v>
      </c>
      <c r="C13" s="98" t="s">
        <v>1889</v>
      </c>
      <c r="D13" s="98" t="s">
        <v>1846</v>
      </c>
      <c r="E13" s="99" t="n">
        <v>5.5</v>
      </c>
      <c r="F13" s="100" t="n">
        <v>6</v>
      </c>
      <c r="G13" s="99" t="n">
        <v>6</v>
      </c>
      <c r="H13" s="100" t="n">
        <v>6</v>
      </c>
      <c r="I13" s="100" t="n">
        <v>0</v>
      </c>
      <c r="J13" s="100" t="n">
        <v>0</v>
      </c>
      <c r="K13" s="100" t="n">
        <v>0</v>
      </c>
      <c r="L13" s="100" t="n">
        <v>0</v>
      </c>
      <c r="M13" s="100" t="n">
        <v>6</v>
      </c>
      <c r="N13" s="101" t="n">
        <v>1.3</v>
      </c>
      <c r="O13" s="101" t="n">
        <v>1.03293116</v>
      </c>
      <c r="P13" s="101" t="n">
        <v>0</v>
      </c>
      <c r="Q13" s="101" t="n">
        <v>1.03293116</v>
      </c>
      <c r="R13" s="101" t="n">
        <v>-0.267069</v>
      </c>
      <c r="S13" s="101" t="n">
        <v>1.03293116</v>
      </c>
      <c r="T13" s="101" t="n">
        <v>-0.267069</v>
      </c>
      <c r="U13" s="102" t="n">
        <v>0.7</v>
      </c>
      <c r="V13" s="44"/>
      <c r="W13" s="110" t="s">
        <v>1849</v>
      </c>
      <c r="X13" s="110" t="s">
        <v>1264</v>
      </c>
      <c r="Y13" s="111" t="s">
        <v>1850</v>
      </c>
    </row>
    <row r="14" customFormat="false" ht="14.25" hidden="false" customHeight="true" outlineLevel="0" collapsed="false">
      <c r="A14" s="44"/>
      <c r="B14" s="98" t="s">
        <v>464</v>
      </c>
      <c r="C14" s="98" t="s">
        <v>1889</v>
      </c>
      <c r="D14" s="98" t="s">
        <v>1890</v>
      </c>
      <c r="E14" s="99" t="n">
        <v>12</v>
      </c>
      <c r="F14" s="100" t="n">
        <v>15</v>
      </c>
      <c r="G14" s="99" t="n">
        <v>14.6</v>
      </c>
      <c r="H14" s="100" t="n">
        <v>14</v>
      </c>
      <c r="I14" s="100" t="n">
        <v>1</v>
      </c>
      <c r="J14" s="100" t="n">
        <v>1</v>
      </c>
      <c r="K14" s="100" t="n">
        <v>0</v>
      </c>
      <c r="L14" s="100" t="n">
        <v>0</v>
      </c>
      <c r="M14" s="100" t="n">
        <v>15</v>
      </c>
      <c r="N14" s="101" t="n">
        <v>2.8</v>
      </c>
      <c r="O14" s="101" t="n">
        <v>2.22711556832</v>
      </c>
      <c r="P14" s="101" t="n">
        <v>0</v>
      </c>
      <c r="Q14" s="101" t="n">
        <v>2.22711556832</v>
      </c>
      <c r="R14" s="101" t="n">
        <v>-0.572884</v>
      </c>
      <c r="S14" s="101" t="n">
        <v>2.22711556832</v>
      </c>
      <c r="T14" s="101" t="n">
        <v>-0.572884</v>
      </c>
      <c r="U14" s="102" t="n">
        <v>0.7</v>
      </c>
      <c r="V14" s="44"/>
      <c r="W14" s="112" t="s">
        <v>1892</v>
      </c>
      <c r="X14" s="90" t="n">
        <v>1.7</v>
      </c>
      <c r="Y14" s="113" t="n">
        <v>0</v>
      </c>
    </row>
    <row r="15" customFormat="false" ht="14.25" hidden="false" customHeight="true" outlineLevel="0" collapsed="false">
      <c r="A15" s="44"/>
      <c r="B15" s="114" t="s">
        <v>1852</v>
      </c>
      <c r="C15" s="114"/>
      <c r="D15" s="114"/>
      <c r="E15" s="115" t="n">
        <v>57</v>
      </c>
      <c r="F15" s="116" t="n">
        <v>61</v>
      </c>
      <c r="G15" s="115" t="n">
        <v>60.4</v>
      </c>
      <c r="H15" s="116" t="n">
        <v>51</v>
      </c>
      <c r="I15" s="116" t="n">
        <v>10</v>
      </c>
      <c r="J15" s="116" t="n">
        <v>5</v>
      </c>
      <c r="K15" s="116" t="n">
        <v>16</v>
      </c>
      <c r="L15" s="116" t="n">
        <v>5</v>
      </c>
      <c r="M15" s="116" t="n">
        <v>56</v>
      </c>
      <c r="N15" s="117" t="n">
        <v>12.06</v>
      </c>
      <c r="O15" s="117" t="n">
        <v>11.30543260612</v>
      </c>
      <c r="P15" s="117" t="n">
        <v>0</v>
      </c>
      <c r="Q15" s="117" t="n">
        <v>11.30543260612</v>
      </c>
      <c r="R15" s="117" t="n">
        <v>-0.754567</v>
      </c>
      <c r="S15" s="117" t="n">
        <v>8.86881666148</v>
      </c>
      <c r="T15" s="117" t="n">
        <v>-3.191183</v>
      </c>
      <c r="U15" s="44"/>
      <c r="V15" s="44"/>
      <c r="W15" s="112" t="s">
        <v>1853</v>
      </c>
      <c r="X15" s="90" t="n">
        <v>0</v>
      </c>
      <c r="Y15" s="118" t="n">
        <v>0</v>
      </c>
    </row>
    <row r="16" customFormat="false" ht="14.25" hidden="false" customHeight="true" outlineLevel="0" collapsed="false">
      <c r="A16" s="44"/>
      <c r="B16" s="96" t="s">
        <v>1854</v>
      </c>
      <c r="C16" s="96"/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44"/>
      <c r="V16" s="44"/>
      <c r="W16" s="112" t="s">
        <v>1893</v>
      </c>
      <c r="X16" s="90" t="n">
        <v>5</v>
      </c>
      <c r="Y16" s="118" t="n">
        <v>5</v>
      </c>
    </row>
    <row r="17" customFormat="false" ht="14.25" hidden="false" customHeight="true" outlineLevel="0" collapsed="false">
      <c r="A17" s="44"/>
      <c r="B17" s="98" t="s">
        <v>405</v>
      </c>
      <c r="C17" s="98" t="s">
        <v>1856</v>
      </c>
      <c r="D17" s="98"/>
      <c r="E17" s="99"/>
      <c r="F17" s="100" t="n">
        <v>13</v>
      </c>
      <c r="G17" s="99" t="n">
        <v>13</v>
      </c>
      <c r="H17" s="100" t="n">
        <v>12</v>
      </c>
      <c r="I17" s="100" t="n">
        <v>1</v>
      </c>
      <c r="J17" s="100" t="n">
        <v>1</v>
      </c>
      <c r="K17" s="100" t="n">
        <v>0</v>
      </c>
      <c r="L17" s="100" t="n">
        <v>1</v>
      </c>
      <c r="M17" s="100" t="n">
        <v>12</v>
      </c>
      <c r="N17" s="101" t="n">
        <v>2.85985905</v>
      </c>
      <c r="O17" s="101" t="n">
        <v>2.85985905</v>
      </c>
      <c r="P17" s="101" t="n">
        <v>2.85985905</v>
      </c>
      <c r="Q17" s="101" t="n">
        <v>0</v>
      </c>
      <c r="R17" s="101" t="n">
        <v>0</v>
      </c>
      <c r="S17" s="101" t="n">
        <v>2.6618652</v>
      </c>
      <c r="T17" s="101" t="n">
        <v>-0.197994</v>
      </c>
      <c r="U17" s="102" t="n">
        <v>0</v>
      </c>
      <c r="V17" s="44"/>
      <c r="W17" s="112" t="s">
        <v>1894</v>
      </c>
      <c r="X17" s="90"/>
      <c r="Y17" s="90" t="n">
        <v>2.85985905</v>
      </c>
    </row>
    <row r="18" customFormat="false" ht="14.25" hidden="false" customHeight="true" outlineLevel="0" collapsed="false">
      <c r="A18" s="44"/>
      <c r="B18" s="98" t="s">
        <v>1574</v>
      </c>
      <c r="C18" s="98" t="s">
        <v>1856</v>
      </c>
      <c r="D18" s="98"/>
      <c r="E18" s="99"/>
      <c r="F18" s="100" t="n">
        <v>0</v>
      </c>
      <c r="G18" s="99" t="n">
        <v>0</v>
      </c>
      <c r="H18" s="100" t="n">
        <v>0</v>
      </c>
      <c r="I18" s="100" t="n">
        <v>0</v>
      </c>
      <c r="J18" s="100" t="n">
        <v>0</v>
      </c>
      <c r="K18" s="100" t="n">
        <v>0</v>
      </c>
      <c r="L18" s="100" t="n">
        <v>0</v>
      </c>
      <c r="M18" s="100" t="n">
        <v>0</v>
      </c>
      <c r="N18" s="101" t="n">
        <v>0</v>
      </c>
      <c r="O18" s="101" t="n">
        <v>0</v>
      </c>
      <c r="P18" s="101" t="n">
        <v>0</v>
      </c>
      <c r="Q18" s="101" t="n">
        <v>0</v>
      </c>
      <c r="R18" s="101" t="n">
        <v>0</v>
      </c>
      <c r="S18" s="101" t="n">
        <v>0</v>
      </c>
      <c r="T18" s="101" t="n">
        <v>0</v>
      </c>
      <c r="U18" s="102" t="n">
        <v>0</v>
      </c>
      <c r="V18" s="44"/>
      <c r="W18" s="112" t="s">
        <v>1895</v>
      </c>
      <c r="X18" s="90" t="n">
        <v>4.5</v>
      </c>
      <c r="Y18" s="118" t="n">
        <v>4.5</v>
      </c>
    </row>
    <row r="19" customFormat="false" ht="14.25" hidden="false" customHeight="true" outlineLevel="0" collapsed="false">
      <c r="A19" s="44"/>
      <c r="B19" s="96" t="s">
        <v>1896</v>
      </c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44"/>
      <c r="V19" s="44"/>
      <c r="W19" s="112" t="s">
        <v>1897</v>
      </c>
      <c r="X19" s="90"/>
      <c r="Y19" s="118"/>
    </row>
    <row r="20" customFormat="false" ht="14.25" hidden="false" customHeight="true" outlineLevel="0" collapsed="false">
      <c r="A20" s="44"/>
      <c r="B20" s="98" t="s">
        <v>436</v>
      </c>
      <c r="C20" s="98" t="s">
        <v>1898</v>
      </c>
      <c r="D20" s="98"/>
      <c r="E20" s="99"/>
      <c r="F20" s="100" t="n">
        <v>1</v>
      </c>
      <c r="G20" s="99" t="n">
        <v>1</v>
      </c>
      <c r="H20" s="100" t="n">
        <v>1</v>
      </c>
      <c r="I20" s="100" t="n">
        <v>0</v>
      </c>
      <c r="J20" s="100" t="n">
        <v>0</v>
      </c>
      <c r="K20" s="100" t="n">
        <v>1</v>
      </c>
      <c r="L20" s="100" t="n">
        <v>0</v>
      </c>
      <c r="M20" s="100" t="n">
        <v>1</v>
      </c>
      <c r="N20" s="101"/>
      <c r="O20" s="101" t="n">
        <v>0.13676</v>
      </c>
      <c r="P20" s="101" t="n">
        <v>0</v>
      </c>
      <c r="Q20" s="101" t="n">
        <v>0.13676</v>
      </c>
      <c r="R20" s="101"/>
      <c r="S20" s="101" t="n">
        <v>0.054704</v>
      </c>
      <c r="T20" s="101"/>
      <c r="U20" s="44"/>
      <c r="V20" s="44"/>
      <c r="W20" s="112" t="s">
        <v>1899</v>
      </c>
      <c r="X20" s="90"/>
      <c r="Y20" s="118"/>
    </row>
    <row r="21" customFormat="false" ht="14.25" hidden="false" customHeight="true" outlineLevel="0" collapsed="false">
      <c r="A21" s="44"/>
      <c r="B21" s="114" t="s">
        <v>1900</v>
      </c>
      <c r="C21" s="114"/>
      <c r="D21" s="114"/>
      <c r="E21" s="115" t="n">
        <v>0</v>
      </c>
      <c r="F21" s="116" t="n">
        <v>1</v>
      </c>
      <c r="G21" s="115" t="n">
        <v>1</v>
      </c>
      <c r="H21" s="116" t="n">
        <v>1</v>
      </c>
      <c r="I21" s="116" t="n">
        <v>0</v>
      </c>
      <c r="J21" s="116" t="n">
        <v>0</v>
      </c>
      <c r="K21" s="116" t="n">
        <v>1</v>
      </c>
      <c r="L21" s="116" t="n">
        <v>0</v>
      </c>
      <c r="M21" s="116" t="n">
        <v>1</v>
      </c>
      <c r="N21" s="117"/>
      <c r="O21" s="117" t="n">
        <v>0.13676</v>
      </c>
      <c r="P21" s="117" t="n">
        <v>0</v>
      </c>
      <c r="Q21" s="117" t="n">
        <v>0.13676</v>
      </c>
      <c r="R21" s="117"/>
      <c r="S21" s="117" t="n">
        <v>0.054704</v>
      </c>
      <c r="T21" s="117"/>
      <c r="U21" s="44"/>
      <c r="V21" s="44"/>
      <c r="W21" s="112" t="s">
        <v>1901</v>
      </c>
      <c r="X21" s="90"/>
      <c r="Y21" s="118"/>
    </row>
    <row r="22" customFormat="false" ht="14.25" hidden="false" customHeight="true" outlineLevel="0" collapsed="false">
      <c r="A22" s="44"/>
      <c r="B22" s="96" t="s">
        <v>1861</v>
      </c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44"/>
      <c r="V22" s="44"/>
      <c r="W22" s="112" t="s">
        <v>1902</v>
      </c>
      <c r="X22" s="90"/>
      <c r="Y22" s="118"/>
    </row>
    <row r="23" customFormat="false" ht="14.25" hidden="false" customHeight="true" outlineLevel="0" collapsed="false">
      <c r="A23" s="44"/>
      <c r="B23" s="98" t="s">
        <v>199</v>
      </c>
      <c r="C23" s="98"/>
      <c r="D23" s="98"/>
      <c r="E23" s="99" t="n">
        <v>0.5</v>
      </c>
      <c r="F23" s="100" t="n">
        <v>2</v>
      </c>
      <c r="G23" s="99" t="n">
        <v>2</v>
      </c>
      <c r="H23" s="100" t="n">
        <v>2</v>
      </c>
      <c r="I23" s="100" t="n">
        <v>0</v>
      </c>
      <c r="J23" s="100" t="n">
        <v>0</v>
      </c>
      <c r="K23" s="100" t="n">
        <v>0</v>
      </c>
      <c r="L23" s="100" t="n">
        <v>0</v>
      </c>
      <c r="M23" s="100" t="n">
        <v>2</v>
      </c>
      <c r="N23" s="101" t="n">
        <v>0.1375</v>
      </c>
      <c r="O23" s="101" t="n">
        <v>0.575460448</v>
      </c>
      <c r="P23" s="101" t="n">
        <v>0</v>
      </c>
      <c r="Q23" s="101" t="n">
        <v>0.575460448</v>
      </c>
      <c r="R23" s="101" t="n">
        <v>0.43796</v>
      </c>
      <c r="S23" s="101" t="n">
        <v>0.575460448</v>
      </c>
      <c r="T23" s="101" t="n">
        <v>0.43796</v>
      </c>
      <c r="U23" s="44"/>
      <c r="V23" s="44"/>
      <c r="W23" s="112" t="s">
        <v>1903</v>
      </c>
      <c r="X23" s="90" t="n">
        <v>0</v>
      </c>
      <c r="Y23" s="118" t="n">
        <v>0</v>
      </c>
    </row>
    <row r="24" customFormat="false" ht="14.25" hidden="false" customHeight="true" outlineLevel="0" collapsed="false">
      <c r="A24" s="44"/>
      <c r="B24" s="98" t="s">
        <v>203</v>
      </c>
      <c r="C24" s="98"/>
      <c r="D24" s="98"/>
      <c r="E24" s="99" t="n">
        <v>0.9</v>
      </c>
      <c r="F24" s="100" t="n">
        <v>2</v>
      </c>
      <c r="G24" s="99" t="n">
        <v>2</v>
      </c>
      <c r="H24" s="100" t="n">
        <v>2</v>
      </c>
      <c r="I24" s="100" t="n">
        <v>0</v>
      </c>
      <c r="J24" s="100" t="n">
        <v>0</v>
      </c>
      <c r="K24" s="100" t="n">
        <v>0</v>
      </c>
      <c r="L24" s="100" t="n">
        <v>0</v>
      </c>
      <c r="M24" s="100" t="n">
        <v>2</v>
      </c>
      <c r="N24" s="101" t="n">
        <v>0.252</v>
      </c>
      <c r="O24" s="101" t="n">
        <v>0.526923808</v>
      </c>
      <c r="P24" s="101" t="n">
        <v>0</v>
      </c>
      <c r="Q24" s="101" t="n">
        <v>0.526923808</v>
      </c>
      <c r="R24" s="101" t="n">
        <v>0.274924</v>
      </c>
      <c r="S24" s="101" t="n">
        <v>0.526923808</v>
      </c>
      <c r="T24" s="101" t="n">
        <v>0.274924</v>
      </c>
      <c r="U24" s="44"/>
      <c r="V24" s="44"/>
      <c r="W24" s="145" t="s">
        <v>1860</v>
      </c>
      <c r="X24" s="44"/>
      <c r="Y24" s="146" t="n">
        <v>12.35985905</v>
      </c>
    </row>
    <row r="25" customFormat="false" ht="14.25" hidden="false" customHeight="true" outlineLevel="0" collapsed="false">
      <c r="A25" s="44"/>
      <c r="B25" s="98" t="s">
        <v>206</v>
      </c>
      <c r="C25" s="98"/>
      <c r="D25" s="98"/>
      <c r="E25" s="99" t="n">
        <v>0.9</v>
      </c>
      <c r="F25" s="100" t="n">
        <v>4</v>
      </c>
      <c r="G25" s="99" t="n">
        <v>4</v>
      </c>
      <c r="H25" s="100" t="n">
        <v>3</v>
      </c>
      <c r="I25" s="100" t="n">
        <v>1</v>
      </c>
      <c r="J25" s="100" t="n">
        <v>1</v>
      </c>
      <c r="K25" s="100" t="n">
        <v>0</v>
      </c>
      <c r="L25" s="100" t="n">
        <v>0</v>
      </c>
      <c r="M25" s="100" t="n">
        <v>4</v>
      </c>
      <c r="N25" s="101" t="n">
        <v>0.243</v>
      </c>
      <c r="O25" s="101" t="n">
        <v>1.03687509</v>
      </c>
      <c r="P25" s="101" t="n">
        <v>0</v>
      </c>
      <c r="Q25" s="101" t="n">
        <v>1.03687509</v>
      </c>
      <c r="R25" s="101" t="n">
        <v>0.793875</v>
      </c>
      <c r="S25" s="101" t="n">
        <v>1.03687509</v>
      </c>
      <c r="T25" s="101" t="n">
        <v>0.793875</v>
      </c>
      <c r="U25" s="44"/>
      <c r="V25" s="44"/>
      <c r="W25" s="112" t="s">
        <v>1862</v>
      </c>
      <c r="X25" s="44"/>
      <c r="Y25" s="147" t="n">
        <v>10.40485905</v>
      </c>
    </row>
    <row r="26" customFormat="false" ht="14.25" hidden="false" customHeight="true" outlineLevel="0" collapsed="false">
      <c r="A26" s="44"/>
      <c r="B26" s="98"/>
      <c r="C26" s="98"/>
      <c r="D26" s="98"/>
      <c r="E26" s="99"/>
      <c r="F26" s="100"/>
      <c r="G26" s="99"/>
      <c r="H26" s="100"/>
      <c r="I26" s="100"/>
      <c r="J26" s="100"/>
      <c r="K26" s="100"/>
      <c r="L26" s="100"/>
      <c r="M26" s="100"/>
      <c r="N26" s="101"/>
      <c r="O26" s="101"/>
      <c r="P26" s="101"/>
      <c r="Q26" s="101"/>
      <c r="R26" s="101"/>
      <c r="S26" s="101"/>
      <c r="T26" s="101"/>
      <c r="U26" s="44"/>
      <c r="V26" s="44"/>
      <c r="W26" s="148" t="s">
        <v>1863</v>
      </c>
      <c r="X26" s="148"/>
      <c r="Y26" s="146" t="n">
        <v>-1.955</v>
      </c>
    </row>
    <row r="27" customFormat="false" ht="14.25" hidden="false" customHeight="true" outlineLevel="0" collapsed="false">
      <c r="A27" s="44"/>
      <c r="B27" s="114" t="s">
        <v>1864</v>
      </c>
      <c r="C27" s="114"/>
      <c r="D27" s="114"/>
      <c r="E27" s="115" t="n">
        <v>2.3</v>
      </c>
      <c r="F27" s="116" t="n">
        <v>8</v>
      </c>
      <c r="G27" s="115" t="n">
        <v>8</v>
      </c>
      <c r="H27" s="116" t="n">
        <v>7</v>
      </c>
      <c r="I27" s="116" t="n">
        <v>1</v>
      </c>
      <c r="J27" s="116" t="n">
        <v>1</v>
      </c>
      <c r="K27" s="116" t="n">
        <v>0</v>
      </c>
      <c r="L27" s="116" t="n">
        <v>0</v>
      </c>
      <c r="M27" s="116" t="n">
        <v>8</v>
      </c>
      <c r="N27" s="117" t="n">
        <v>0.6325</v>
      </c>
      <c r="O27" s="117" t="n">
        <v>2.139259346</v>
      </c>
      <c r="P27" s="117" t="n">
        <v>0</v>
      </c>
      <c r="Q27" s="117" t="n">
        <v>2.139259346</v>
      </c>
      <c r="R27" s="117"/>
      <c r="S27" s="117" t="n">
        <v>2.139259346</v>
      </c>
      <c r="T27" s="117"/>
      <c r="U27" s="44"/>
      <c r="V27" s="44"/>
      <c r="W27" s="44"/>
      <c r="X27" s="44"/>
      <c r="Y27" s="44"/>
    </row>
    <row r="28" customFormat="false" ht="14.25" hidden="false" customHeight="true" outlineLevel="0" collapsed="false">
      <c r="A28" s="44"/>
      <c r="B28" s="120" t="s">
        <v>1865</v>
      </c>
      <c r="C28" s="44"/>
      <c r="D28" s="121"/>
      <c r="E28" s="99" t="n">
        <v>1.8</v>
      </c>
      <c r="F28" s="121"/>
      <c r="G28" s="121"/>
      <c r="H28" s="121"/>
      <c r="I28" s="121"/>
      <c r="J28" s="121"/>
      <c r="K28" s="121"/>
      <c r="L28" s="121"/>
      <c r="M28" s="121"/>
      <c r="N28" s="101" t="n">
        <v>0.88</v>
      </c>
      <c r="O28" s="121"/>
      <c r="P28" s="121"/>
      <c r="Q28" s="121"/>
      <c r="R28" s="121"/>
      <c r="S28" s="121"/>
      <c r="T28" s="121"/>
      <c r="U28" s="44"/>
      <c r="V28" s="44"/>
      <c r="W28" s="44"/>
      <c r="X28" s="44"/>
      <c r="Y28" s="44"/>
    </row>
    <row r="29" customFormat="false" ht="14.25" hidden="false" customHeight="true" outlineLevel="0" collapsed="false">
      <c r="A29" s="44"/>
      <c r="B29" s="120" t="s">
        <v>1866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</row>
    <row r="30" customFormat="false" ht="14.25" hidden="false" customHeight="true" outlineLevel="0" collapsed="false">
      <c r="A30" s="44"/>
      <c r="B30" s="122" t="s">
        <v>1867</v>
      </c>
      <c r="C30" s="122"/>
      <c r="D30" s="122"/>
      <c r="E30" s="123" t="n">
        <v>61.1</v>
      </c>
      <c r="F30" s="124" t="n">
        <v>83</v>
      </c>
      <c r="G30" s="123" t="n">
        <v>82.4</v>
      </c>
      <c r="H30" s="124" t="n">
        <v>71</v>
      </c>
      <c r="I30" s="124" t="n">
        <v>12</v>
      </c>
      <c r="J30" s="124" t="n">
        <v>7</v>
      </c>
      <c r="K30" s="124" t="n">
        <v>17</v>
      </c>
      <c r="L30" s="124" t="n">
        <v>6</v>
      </c>
      <c r="M30" s="124" t="n">
        <v>77</v>
      </c>
      <c r="N30" s="125" t="n">
        <v>16.43235905</v>
      </c>
      <c r="O30" s="125" t="n">
        <v>16.44131100212</v>
      </c>
      <c r="P30" s="125" t="n">
        <v>2.85985905</v>
      </c>
      <c r="Q30" s="125" t="n">
        <v>13.58145195212</v>
      </c>
      <c r="R30" s="125" t="n">
        <v>0.008952</v>
      </c>
      <c r="S30" s="125" t="n">
        <v>13.72464520748</v>
      </c>
      <c r="T30" s="125" t="n">
        <v>-2.707714</v>
      </c>
      <c r="U30" s="44"/>
      <c r="V30" s="44"/>
      <c r="W30" s="44"/>
      <c r="X30" s="44"/>
      <c r="Y30" s="44"/>
    </row>
    <row r="31" customFormat="false" ht="14.25" hidden="false" customHeight="true" outlineLevel="0" collapsed="false">
      <c r="A31" s="44"/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</row>
    <row r="32" customFormat="false" ht="18.75" hidden="false" customHeight="true" outlineLevel="0" collapsed="false">
      <c r="A32" s="44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</row>
    <row r="33" customFormat="false" ht="33.75" hidden="false" customHeight="true" outlineLevel="0" collapsed="false">
      <c r="A33" s="44"/>
      <c r="B33" s="83" t="s">
        <v>1904</v>
      </c>
      <c r="C33" s="85"/>
      <c r="D33" s="85"/>
      <c r="E33" s="85"/>
      <c r="F33" s="85"/>
      <c r="G33" s="85"/>
      <c r="H33" s="98" t="s">
        <v>1869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</row>
    <row r="34" customFormat="false" ht="27.75" hidden="false" customHeight="true" outlineLevel="0" collapsed="false">
      <c r="A34" s="126" t="s">
        <v>39</v>
      </c>
      <c r="B34" s="91" t="s">
        <v>40</v>
      </c>
      <c r="C34" s="91" t="s">
        <v>41</v>
      </c>
      <c r="D34" s="91" t="s">
        <v>42</v>
      </c>
      <c r="E34" s="127" t="s">
        <v>43</v>
      </c>
      <c r="F34" s="91" t="s">
        <v>44</v>
      </c>
      <c r="G34" s="128" t="s">
        <v>45</v>
      </c>
      <c r="H34" s="91" t="s">
        <v>1870</v>
      </c>
      <c r="I34" s="44"/>
      <c r="J34" s="149" t="s">
        <v>1871</v>
      </c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</row>
    <row r="35" customFormat="false" ht="14.25" hidden="false" customHeight="true" outlineLevel="0" collapsed="false">
      <c r="A35" s="44"/>
      <c r="B35" s="96" t="s">
        <v>307</v>
      </c>
      <c r="C35" s="96" t="s">
        <v>1905</v>
      </c>
      <c r="D35" s="96"/>
      <c r="E35" s="96"/>
      <c r="F35" s="130"/>
      <c r="G35" s="131" t="n">
        <v>3181298.2994</v>
      </c>
      <c r="H35" s="131" t="n">
        <v>1714653.16976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</row>
    <row r="36" customFormat="false" ht="14.25" hidden="false" customHeight="true" outlineLevel="0" collapsed="false">
      <c r="A36" s="132" t="s">
        <v>309</v>
      </c>
      <c r="B36" s="98" t="s">
        <v>310</v>
      </c>
      <c r="C36" s="98" t="s">
        <v>174</v>
      </c>
      <c r="D36" s="98" t="s">
        <v>53</v>
      </c>
      <c r="E36" s="133" t="s">
        <v>53</v>
      </c>
      <c r="F36" s="134"/>
      <c r="G36" s="100" t="n">
        <v>259074</v>
      </c>
      <c r="H36" s="100" t="n">
        <v>259074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</row>
    <row r="37" customFormat="false" ht="14.25" hidden="false" customHeight="true" outlineLevel="0" collapsed="false">
      <c r="A37" s="132" t="s">
        <v>312</v>
      </c>
      <c r="B37" s="98" t="s">
        <v>313</v>
      </c>
      <c r="C37" s="98" t="s">
        <v>314</v>
      </c>
      <c r="D37" s="98" t="s">
        <v>53</v>
      </c>
      <c r="E37" s="133" t="s">
        <v>78</v>
      </c>
      <c r="F37" s="134"/>
      <c r="G37" s="100" t="n">
        <v>190920</v>
      </c>
      <c r="H37" s="100" t="n">
        <v>0</v>
      </c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</row>
    <row r="38" customFormat="false" ht="14.25" hidden="false" customHeight="true" outlineLevel="0" collapsed="false">
      <c r="A38" s="132" t="s">
        <v>316</v>
      </c>
      <c r="B38" s="98" t="s">
        <v>317</v>
      </c>
      <c r="C38" s="98" t="s">
        <v>80</v>
      </c>
      <c r="D38" s="98" t="s">
        <v>53</v>
      </c>
      <c r="E38" s="133" t="s">
        <v>71</v>
      </c>
      <c r="F38" s="134"/>
      <c r="G38" s="100" t="n">
        <v>179198.4</v>
      </c>
      <c r="H38" s="100" t="n">
        <v>71679.36</v>
      </c>
      <c r="I38" s="44"/>
      <c r="J38" s="44"/>
      <c r="K38" s="44"/>
      <c r="L38" s="44" t="s">
        <v>1906</v>
      </c>
      <c r="M38" s="44" t="s">
        <v>1907</v>
      </c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</row>
    <row r="39" customFormat="false" ht="14.25" hidden="false" customHeight="true" outlineLevel="0" collapsed="false">
      <c r="A39" s="132" t="s">
        <v>319</v>
      </c>
      <c r="B39" s="98" t="s">
        <v>320</v>
      </c>
      <c r="C39" s="98" t="s">
        <v>321</v>
      </c>
      <c r="D39" s="98" t="s">
        <v>53</v>
      </c>
      <c r="E39" s="133" t="s">
        <v>71</v>
      </c>
      <c r="F39" s="134"/>
      <c r="G39" s="100" t="n">
        <v>278166</v>
      </c>
      <c r="H39" s="100" t="n">
        <v>111266.4</v>
      </c>
      <c r="I39" s="44"/>
      <c r="J39" s="44"/>
      <c r="K39" s="44"/>
      <c r="L39" s="44" t="s">
        <v>1908</v>
      </c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</row>
    <row r="40" customFormat="false" ht="14.25" hidden="false" customHeight="true" outlineLevel="0" collapsed="false">
      <c r="A40" s="132" t="s">
        <v>322</v>
      </c>
      <c r="B40" s="98" t="s">
        <v>323</v>
      </c>
      <c r="C40" s="98" t="s">
        <v>324</v>
      </c>
      <c r="D40" s="98" t="s">
        <v>53</v>
      </c>
      <c r="E40" s="133" t="s">
        <v>71</v>
      </c>
      <c r="F40" s="134"/>
      <c r="G40" s="100" t="n">
        <v>270524.2494</v>
      </c>
      <c r="H40" s="100" t="n">
        <v>108209.69976</v>
      </c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</row>
    <row r="41" customFormat="false" ht="14.25" hidden="false" customHeight="true" outlineLevel="0" collapsed="false">
      <c r="A41" s="132" t="s">
        <v>325</v>
      </c>
      <c r="B41" s="98" t="s">
        <v>326</v>
      </c>
      <c r="C41" s="98" t="s">
        <v>84</v>
      </c>
      <c r="D41" s="98" t="s">
        <v>53</v>
      </c>
      <c r="E41" s="133" t="s">
        <v>53</v>
      </c>
      <c r="F41" s="134"/>
      <c r="G41" s="100" t="n">
        <v>254958.3</v>
      </c>
      <c r="H41" s="100" t="n">
        <v>254958.3</v>
      </c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</row>
    <row r="42" customFormat="false" ht="14.25" hidden="false" customHeight="true" outlineLevel="0" collapsed="false">
      <c r="A42" s="132" t="s">
        <v>327</v>
      </c>
      <c r="B42" s="98" t="s">
        <v>328</v>
      </c>
      <c r="C42" s="98" t="s">
        <v>329</v>
      </c>
      <c r="D42" s="98" t="s">
        <v>53</v>
      </c>
      <c r="E42" s="133" t="s">
        <v>53</v>
      </c>
      <c r="F42" s="134"/>
      <c r="G42" s="100" t="n">
        <v>235333.8</v>
      </c>
      <c r="H42" s="100" t="n">
        <v>235333.8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</row>
    <row r="43" customFormat="false" ht="14.25" hidden="false" customHeight="true" outlineLevel="0" collapsed="false">
      <c r="A43" s="132" t="s">
        <v>330</v>
      </c>
      <c r="B43" s="98" t="s">
        <v>331</v>
      </c>
      <c r="C43" s="98" t="s">
        <v>332</v>
      </c>
      <c r="D43" s="98" t="s">
        <v>53</v>
      </c>
      <c r="E43" s="133" t="s">
        <v>53</v>
      </c>
      <c r="F43" s="134"/>
      <c r="G43" s="100" t="n">
        <v>240302</v>
      </c>
      <c r="H43" s="100" t="n">
        <v>240302</v>
      </c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</row>
    <row r="44" customFormat="false" ht="14.25" hidden="false" customHeight="true" outlineLevel="0" collapsed="false">
      <c r="A44" s="132" t="s">
        <v>333</v>
      </c>
      <c r="B44" s="98" t="s">
        <v>334</v>
      </c>
      <c r="C44" s="98" t="s">
        <v>335</v>
      </c>
      <c r="D44" s="98" t="s">
        <v>53</v>
      </c>
      <c r="E44" s="133" t="s">
        <v>53</v>
      </c>
      <c r="F44" s="134"/>
      <c r="G44" s="100" t="n">
        <v>260204.85</v>
      </c>
      <c r="H44" s="100" t="n">
        <v>260204.85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</row>
    <row r="45" customFormat="false" ht="14.25" hidden="false" customHeight="true" outlineLevel="0" collapsed="false">
      <c r="A45" s="132" t="s">
        <v>336</v>
      </c>
      <c r="B45" s="98" t="s">
        <v>337</v>
      </c>
      <c r="C45" s="98" t="s">
        <v>338</v>
      </c>
      <c r="D45" s="98" t="s">
        <v>53</v>
      </c>
      <c r="E45" s="133" t="s">
        <v>71</v>
      </c>
      <c r="F45" s="134"/>
      <c r="G45" s="100" t="n">
        <v>216043.05</v>
      </c>
      <c r="H45" s="100" t="n">
        <v>86417.22</v>
      </c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</row>
    <row r="46" customFormat="false" ht="14.25" hidden="false" customHeight="true" outlineLevel="0" collapsed="false">
      <c r="A46" s="132" t="s">
        <v>339</v>
      </c>
      <c r="B46" s="98" t="s">
        <v>340</v>
      </c>
      <c r="C46" s="98" t="s">
        <v>269</v>
      </c>
      <c r="D46" s="98" t="s">
        <v>53</v>
      </c>
      <c r="E46" s="133" t="s">
        <v>71</v>
      </c>
      <c r="F46" s="134"/>
      <c r="G46" s="100" t="n">
        <v>218018.85</v>
      </c>
      <c r="H46" s="100" t="n">
        <v>87207.54</v>
      </c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</row>
    <row r="47" customFormat="false" ht="14.25" hidden="false" customHeight="true" outlineLevel="0" collapsed="false">
      <c r="A47" s="132" t="s">
        <v>341</v>
      </c>
      <c r="B47" s="98" t="s">
        <v>342</v>
      </c>
      <c r="C47" s="98" t="s">
        <v>343</v>
      </c>
      <c r="D47" s="98" t="s">
        <v>53</v>
      </c>
      <c r="E47" s="133" t="s">
        <v>78</v>
      </c>
      <c r="F47" s="134"/>
      <c r="G47" s="100" t="n">
        <v>216046.05</v>
      </c>
      <c r="H47" s="100" t="n">
        <v>0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</row>
    <row r="48" customFormat="false" ht="14.25" hidden="false" customHeight="true" outlineLevel="0" collapsed="false">
      <c r="A48" s="132" t="s">
        <v>344</v>
      </c>
      <c r="B48" s="98" t="s">
        <v>345</v>
      </c>
      <c r="C48" s="98" t="s">
        <v>346</v>
      </c>
      <c r="D48" s="98" t="s">
        <v>53</v>
      </c>
      <c r="E48" s="133" t="s">
        <v>78</v>
      </c>
      <c r="F48" s="134"/>
      <c r="G48" s="100" t="n">
        <v>216044.05</v>
      </c>
      <c r="H48" s="100" t="n">
        <v>0</v>
      </c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</row>
    <row r="49" customFormat="false" ht="14.25" hidden="false" customHeight="true" outlineLevel="0" collapsed="false">
      <c r="A49" s="132" t="s">
        <v>347</v>
      </c>
      <c r="B49" s="98" t="s">
        <v>348</v>
      </c>
      <c r="C49" s="98" t="s">
        <v>349</v>
      </c>
      <c r="D49" s="98" t="s">
        <v>53</v>
      </c>
      <c r="E49" s="133" t="s">
        <v>78</v>
      </c>
      <c r="F49" s="134"/>
      <c r="G49" s="100" t="n">
        <v>146464.7</v>
      </c>
      <c r="H49" s="100" t="n">
        <v>0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</row>
    <row r="50" customFormat="false" ht="14.25" hidden="false" customHeight="true" outlineLevel="0" collapsed="false">
      <c r="A50" s="44"/>
      <c r="B50" s="150" t="s">
        <v>315</v>
      </c>
      <c r="C50" s="150" t="s">
        <v>1880</v>
      </c>
      <c r="D50" s="150"/>
      <c r="E50" s="150"/>
      <c r="F50" s="150"/>
      <c r="G50" s="151" t="n">
        <v>1288005.2784</v>
      </c>
      <c r="H50" s="151" t="n">
        <v>1190610.3534</v>
      </c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</row>
    <row r="51" customFormat="false" ht="14.25" hidden="false" customHeight="true" outlineLevel="0" collapsed="false">
      <c r="A51" s="132" t="s">
        <v>350</v>
      </c>
      <c r="B51" s="120" t="s">
        <v>69</v>
      </c>
      <c r="C51" s="120" t="s">
        <v>351</v>
      </c>
      <c r="D51" s="120" t="s">
        <v>69</v>
      </c>
      <c r="E51" s="152" t="s">
        <v>71</v>
      </c>
      <c r="F51" s="153"/>
      <c r="G51" s="154" t="n">
        <v>73260</v>
      </c>
      <c r="H51" s="154" t="n">
        <v>73260</v>
      </c>
      <c r="I51" s="44"/>
      <c r="J51" s="135" t="s">
        <v>1878</v>
      </c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</row>
    <row r="52" customFormat="false" ht="14.25" hidden="false" customHeight="true" outlineLevel="0" collapsed="false">
      <c r="A52" s="132" t="s">
        <v>352</v>
      </c>
      <c r="B52" s="98" t="s">
        <v>69</v>
      </c>
      <c r="C52" s="98" t="s">
        <v>353</v>
      </c>
      <c r="D52" s="98" t="s">
        <v>69</v>
      </c>
      <c r="E52" s="133" t="s">
        <v>71</v>
      </c>
      <c r="F52" s="134"/>
      <c r="G52" s="100" t="n">
        <v>73260</v>
      </c>
      <c r="H52" s="100" t="n">
        <v>73260</v>
      </c>
      <c r="I52" s="44"/>
      <c r="J52" s="135" t="s">
        <v>1878</v>
      </c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</row>
    <row r="53" customFormat="false" ht="14.25" hidden="false" customHeight="true" outlineLevel="0" collapsed="false">
      <c r="A53" s="132" t="s">
        <v>354</v>
      </c>
      <c r="B53" s="98" t="s">
        <v>355</v>
      </c>
      <c r="C53" s="98" t="s">
        <v>356</v>
      </c>
      <c r="D53" s="98" t="s">
        <v>53</v>
      </c>
      <c r="E53" s="133" t="s">
        <v>53</v>
      </c>
      <c r="F53" s="134"/>
      <c r="G53" s="100" t="n">
        <v>155347.4784</v>
      </c>
      <c r="H53" s="100" t="n">
        <v>155347.4784</v>
      </c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</row>
    <row r="54" customFormat="false" ht="14.25" hidden="false" customHeight="true" outlineLevel="0" collapsed="false">
      <c r="A54" s="132" t="s">
        <v>357</v>
      </c>
      <c r="B54" s="98" t="s">
        <v>358</v>
      </c>
      <c r="C54" s="98" t="s">
        <v>359</v>
      </c>
      <c r="D54" s="98" t="s">
        <v>53</v>
      </c>
      <c r="E54" s="133" t="s">
        <v>53</v>
      </c>
      <c r="F54" s="134"/>
      <c r="G54" s="100" t="n">
        <v>206978.4</v>
      </c>
      <c r="H54" s="100" t="n">
        <v>206978.4</v>
      </c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</row>
    <row r="55" customFormat="false" ht="14.25" hidden="false" customHeight="true" outlineLevel="0" collapsed="false">
      <c r="A55" s="132" t="s">
        <v>360</v>
      </c>
      <c r="B55" s="98" t="s">
        <v>361</v>
      </c>
      <c r="C55" s="98" t="s">
        <v>86</v>
      </c>
      <c r="D55" s="98" t="s">
        <v>53</v>
      </c>
      <c r="E55" s="133" t="s">
        <v>53</v>
      </c>
      <c r="F55" s="134"/>
      <c r="G55" s="100" t="n">
        <v>194789.85</v>
      </c>
      <c r="H55" s="100" t="n">
        <v>194789.85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</row>
    <row r="56" customFormat="false" ht="14.25" hidden="false" customHeight="true" outlineLevel="0" collapsed="false">
      <c r="A56" s="132" t="s">
        <v>362</v>
      </c>
      <c r="B56" s="98" t="s">
        <v>69</v>
      </c>
      <c r="C56" s="98" t="s">
        <v>86</v>
      </c>
      <c r="D56" s="98" t="s">
        <v>69</v>
      </c>
      <c r="E56" s="133" t="s">
        <v>82</v>
      </c>
      <c r="F56" s="134" t="s">
        <v>121</v>
      </c>
      <c r="G56" s="100" t="n">
        <v>194789.85</v>
      </c>
      <c r="H56" s="100" t="n">
        <v>146092.3875</v>
      </c>
      <c r="I56" s="44"/>
      <c r="J56" s="135" t="s">
        <v>1909</v>
      </c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</row>
    <row r="57" customFormat="false" ht="14.25" hidden="false" customHeight="true" outlineLevel="0" collapsed="false">
      <c r="A57" s="132" t="s">
        <v>363</v>
      </c>
      <c r="B57" s="98" t="s">
        <v>69</v>
      </c>
      <c r="C57" s="98" t="s">
        <v>364</v>
      </c>
      <c r="D57" s="98" t="s">
        <v>69</v>
      </c>
      <c r="E57" s="133" t="s">
        <v>82</v>
      </c>
      <c r="F57" s="134" t="s">
        <v>121</v>
      </c>
      <c r="G57" s="100" t="n">
        <v>194789.85</v>
      </c>
      <c r="H57" s="100" t="n">
        <v>146092.3875</v>
      </c>
      <c r="I57" s="44"/>
      <c r="J57" s="135" t="s">
        <v>1909</v>
      </c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</row>
    <row r="58" customFormat="false" ht="14.25" hidden="false" customHeight="true" outlineLevel="0" collapsed="false">
      <c r="A58" s="132" t="s">
        <v>365</v>
      </c>
      <c r="B58" s="98" t="s">
        <v>69</v>
      </c>
      <c r="C58" s="98" t="s">
        <v>366</v>
      </c>
      <c r="D58" s="98" t="s">
        <v>69</v>
      </c>
      <c r="E58" s="133" t="s">
        <v>82</v>
      </c>
      <c r="F58" s="134"/>
      <c r="G58" s="100" t="n">
        <v>194789.85</v>
      </c>
      <c r="H58" s="100" t="n">
        <v>194789.85</v>
      </c>
      <c r="I58" s="44"/>
      <c r="J58" s="135" t="s">
        <v>1873</v>
      </c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</row>
    <row r="59" customFormat="false" ht="14.25" hidden="false" customHeight="true" outlineLevel="0" collapsed="false">
      <c r="A59" s="44"/>
      <c r="B59" s="150" t="s">
        <v>318</v>
      </c>
      <c r="C59" s="150" t="s">
        <v>1910</v>
      </c>
      <c r="D59" s="150"/>
      <c r="E59" s="150"/>
      <c r="F59" s="150"/>
      <c r="G59" s="151" t="n">
        <v>2130105.6</v>
      </c>
      <c r="H59" s="151" t="n">
        <v>1257529.71</v>
      </c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</row>
    <row r="60" customFormat="false" ht="14.25" hidden="false" customHeight="true" outlineLevel="0" collapsed="false">
      <c r="A60" s="155" t="s">
        <v>367</v>
      </c>
      <c r="B60" s="120" t="s">
        <v>368</v>
      </c>
      <c r="C60" s="120" t="s">
        <v>174</v>
      </c>
      <c r="D60" s="120" t="s">
        <v>53</v>
      </c>
      <c r="E60" s="152" t="s">
        <v>53</v>
      </c>
      <c r="F60" s="153"/>
      <c r="G60" s="154" t="n">
        <v>272882.4</v>
      </c>
      <c r="H60" s="154" t="n">
        <v>272882.4</v>
      </c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</row>
    <row r="61" customFormat="false" ht="14.25" hidden="false" customHeight="true" outlineLevel="0" collapsed="false">
      <c r="A61" s="132" t="s">
        <v>369</v>
      </c>
      <c r="B61" s="98" t="s">
        <v>370</v>
      </c>
      <c r="C61" s="98" t="s">
        <v>52</v>
      </c>
      <c r="D61" s="98" t="s">
        <v>53</v>
      </c>
      <c r="E61" s="133" t="s">
        <v>53</v>
      </c>
      <c r="F61" s="134"/>
      <c r="G61" s="100" t="n">
        <v>321900</v>
      </c>
      <c r="H61" s="100" t="n">
        <v>321900</v>
      </c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</row>
    <row r="62" customFormat="false" ht="14.25" hidden="false" customHeight="true" outlineLevel="0" collapsed="false">
      <c r="A62" s="132" t="s">
        <v>371</v>
      </c>
      <c r="B62" s="98" t="s">
        <v>372</v>
      </c>
      <c r="C62" s="98" t="s">
        <v>52</v>
      </c>
      <c r="D62" s="98" t="s">
        <v>53</v>
      </c>
      <c r="E62" s="133" t="s">
        <v>78</v>
      </c>
      <c r="F62" s="134"/>
      <c r="G62" s="100" t="n">
        <v>243090.15</v>
      </c>
      <c r="H62" s="100" t="n">
        <v>0</v>
      </c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</row>
    <row r="63" customFormat="false" ht="14.25" hidden="false" customHeight="true" outlineLevel="0" collapsed="false">
      <c r="A63" s="132" t="s">
        <v>373</v>
      </c>
      <c r="B63" s="98" t="s">
        <v>374</v>
      </c>
      <c r="C63" s="98" t="s">
        <v>324</v>
      </c>
      <c r="D63" s="98" t="s">
        <v>53</v>
      </c>
      <c r="E63" s="133" t="s">
        <v>71</v>
      </c>
      <c r="F63" s="134"/>
      <c r="G63" s="100" t="n">
        <v>277500</v>
      </c>
      <c r="H63" s="100" t="n">
        <v>111000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</row>
    <row r="64" customFormat="false" ht="14.25" hidden="false" customHeight="true" outlineLevel="0" collapsed="false">
      <c r="A64" s="132" t="s">
        <v>375</v>
      </c>
      <c r="B64" s="98" t="s">
        <v>376</v>
      </c>
      <c r="C64" s="98" t="s">
        <v>84</v>
      </c>
      <c r="D64" s="98" t="s">
        <v>53</v>
      </c>
      <c r="E64" s="133" t="s">
        <v>53</v>
      </c>
      <c r="F64" s="134"/>
      <c r="G64" s="100" t="n">
        <v>243090.15</v>
      </c>
      <c r="H64" s="100" t="n">
        <v>243090.15</v>
      </c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</row>
    <row r="65" customFormat="false" ht="14.25" hidden="false" customHeight="true" outlineLevel="0" collapsed="false">
      <c r="A65" s="132" t="s">
        <v>377</v>
      </c>
      <c r="B65" s="98" t="s">
        <v>378</v>
      </c>
      <c r="C65" s="98" t="s">
        <v>335</v>
      </c>
      <c r="D65" s="98" t="s">
        <v>53</v>
      </c>
      <c r="E65" s="133" t="s">
        <v>71</v>
      </c>
      <c r="F65" s="134"/>
      <c r="G65" s="100" t="n">
        <v>240300</v>
      </c>
      <c r="H65" s="100" t="n">
        <v>96120</v>
      </c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</row>
    <row r="66" customFormat="false" ht="14.25" hidden="false" customHeight="true" outlineLevel="0" collapsed="false">
      <c r="A66" s="132" t="s">
        <v>379</v>
      </c>
      <c r="B66" s="98" t="s">
        <v>380</v>
      </c>
      <c r="C66" s="98" t="s">
        <v>381</v>
      </c>
      <c r="D66" s="98" t="s">
        <v>53</v>
      </c>
      <c r="E66" s="133" t="s">
        <v>71</v>
      </c>
      <c r="F66" s="134"/>
      <c r="G66" s="100" t="n">
        <v>207352.2</v>
      </c>
      <c r="H66" s="100" t="n">
        <v>82940.88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</row>
    <row r="67" customFormat="false" ht="14.25" hidden="false" customHeight="true" outlineLevel="0" collapsed="false">
      <c r="A67" s="132" t="s">
        <v>382</v>
      </c>
      <c r="B67" s="98" t="s">
        <v>383</v>
      </c>
      <c r="C67" s="98" t="s">
        <v>324</v>
      </c>
      <c r="D67" s="98" t="s">
        <v>53</v>
      </c>
      <c r="E67" s="133" t="s">
        <v>71</v>
      </c>
      <c r="F67" s="134"/>
      <c r="G67" s="100" t="n">
        <v>177525</v>
      </c>
      <c r="H67" s="100" t="n">
        <v>71010</v>
      </c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</row>
    <row r="68" customFormat="false" ht="14.25" hidden="false" customHeight="true" outlineLevel="0" collapsed="false">
      <c r="A68" s="132" t="s">
        <v>384</v>
      </c>
      <c r="B68" s="98" t="s">
        <v>385</v>
      </c>
      <c r="C68" s="98" t="s">
        <v>80</v>
      </c>
      <c r="D68" s="98" t="s">
        <v>53</v>
      </c>
      <c r="E68" s="133" t="s">
        <v>71</v>
      </c>
      <c r="F68" s="134"/>
      <c r="G68" s="100" t="n">
        <v>146465.7</v>
      </c>
      <c r="H68" s="100" t="n">
        <v>58586.28</v>
      </c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</row>
    <row r="69" customFormat="false" ht="14.25" hidden="false" customHeight="true" outlineLevel="0" collapsed="false">
      <c r="A69" s="44"/>
      <c r="B69" s="150" t="s">
        <v>311</v>
      </c>
      <c r="C69" s="150" t="s">
        <v>1885</v>
      </c>
      <c r="D69" s="150"/>
      <c r="E69" s="150"/>
      <c r="F69" s="150"/>
      <c r="G69" s="151" t="n">
        <v>729287.25</v>
      </c>
      <c r="H69" s="151" t="n">
        <v>729287.25</v>
      </c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</row>
    <row r="70" customFormat="false" ht="14.25" hidden="false" customHeight="true" outlineLevel="0" collapsed="false">
      <c r="A70" s="155" t="s">
        <v>386</v>
      </c>
      <c r="B70" s="120" t="s">
        <v>387</v>
      </c>
      <c r="C70" s="120" t="s">
        <v>388</v>
      </c>
      <c r="D70" s="120" t="s">
        <v>53</v>
      </c>
      <c r="E70" s="152" t="s">
        <v>53</v>
      </c>
      <c r="F70" s="153"/>
      <c r="G70" s="154" t="n">
        <v>194789.85</v>
      </c>
      <c r="H70" s="154" t="n">
        <v>194789.85</v>
      </c>
      <c r="I70" s="44"/>
      <c r="J70" s="135" t="s">
        <v>53</v>
      </c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</row>
    <row r="71" customFormat="false" ht="14.25" hidden="false" customHeight="true" outlineLevel="0" collapsed="false">
      <c r="A71" s="132" t="s">
        <v>389</v>
      </c>
      <c r="B71" s="98" t="s">
        <v>69</v>
      </c>
      <c r="C71" s="98" t="n">
        <v>0.01</v>
      </c>
      <c r="D71" s="98" t="s">
        <v>69</v>
      </c>
      <c r="E71" s="133" t="s">
        <v>82</v>
      </c>
      <c r="F71" s="134"/>
      <c r="G71" s="100" t="n">
        <v>194789.85</v>
      </c>
      <c r="H71" s="100" t="n">
        <v>194789.85</v>
      </c>
      <c r="I71" s="44"/>
      <c r="J71" s="135" t="s">
        <v>1873</v>
      </c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</row>
    <row r="72" customFormat="false" ht="14.25" hidden="false" customHeight="true" outlineLevel="0" collapsed="false">
      <c r="A72" s="155" t="s">
        <v>390</v>
      </c>
      <c r="B72" s="120" t="s">
        <v>391</v>
      </c>
      <c r="C72" s="120" t="s">
        <v>392</v>
      </c>
      <c r="D72" s="120" t="s">
        <v>53</v>
      </c>
      <c r="E72" s="152" t="s">
        <v>53</v>
      </c>
      <c r="F72" s="153"/>
      <c r="G72" s="154" t="n">
        <v>339707.55</v>
      </c>
      <c r="H72" s="154" t="n">
        <v>339707.55</v>
      </c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</row>
    <row r="73" customFormat="false" ht="14.25" hidden="false" customHeight="true" outlineLevel="0" collapsed="false">
      <c r="A73" s="44"/>
      <c r="B73" s="150" t="s">
        <v>308</v>
      </c>
      <c r="C73" s="150" t="s">
        <v>1877</v>
      </c>
      <c r="D73" s="150"/>
      <c r="E73" s="150"/>
      <c r="F73" s="150"/>
      <c r="G73" s="151" t="n">
        <v>716689.45</v>
      </c>
      <c r="H73" s="151" t="n">
        <v>716689.45</v>
      </c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</row>
    <row r="74" customFormat="false" ht="14.25" hidden="false" customHeight="true" outlineLevel="0" collapsed="false">
      <c r="A74" s="132" t="s">
        <v>393</v>
      </c>
      <c r="B74" s="120" t="s">
        <v>394</v>
      </c>
      <c r="C74" s="120" t="s">
        <v>395</v>
      </c>
      <c r="D74" s="120" t="s">
        <v>53</v>
      </c>
      <c r="E74" s="152" t="s">
        <v>71</v>
      </c>
      <c r="F74" s="153"/>
      <c r="G74" s="154" t="n">
        <v>73260</v>
      </c>
      <c r="H74" s="154" t="n">
        <v>73260</v>
      </c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</row>
    <row r="75" customFormat="false" ht="14.25" hidden="false" customHeight="true" outlineLevel="0" collapsed="false">
      <c r="A75" s="132" t="s">
        <v>396</v>
      </c>
      <c r="B75" s="98" t="s">
        <v>69</v>
      </c>
      <c r="C75" s="98" t="s">
        <v>395</v>
      </c>
      <c r="D75" s="98" t="s">
        <v>69</v>
      </c>
      <c r="E75" s="133" t="s">
        <v>71</v>
      </c>
      <c r="F75" s="134"/>
      <c r="G75" s="100" t="n">
        <v>73260</v>
      </c>
      <c r="H75" s="100" t="n">
        <v>73260</v>
      </c>
      <c r="I75" s="44"/>
      <c r="J75" s="135" t="s">
        <v>1878</v>
      </c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</row>
    <row r="76" customFormat="false" ht="14.25" hidden="false" customHeight="true" outlineLevel="0" collapsed="false">
      <c r="A76" s="132" t="s">
        <v>397</v>
      </c>
      <c r="B76" s="98" t="s">
        <v>69</v>
      </c>
      <c r="C76" s="98" t="s">
        <v>395</v>
      </c>
      <c r="D76" s="98" t="s">
        <v>69</v>
      </c>
      <c r="E76" s="133" t="s">
        <v>71</v>
      </c>
      <c r="F76" s="134"/>
      <c r="G76" s="100" t="n">
        <v>73260</v>
      </c>
      <c r="H76" s="100" t="n">
        <v>73260</v>
      </c>
      <c r="I76" s="44"/>
      <c r="J76" s="135" t="s">
        <v>1878</v>
      </c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</row>
    <row r="77" customFormat="false" ht="14.25" hidden="false" customHeight="true" outlineLevel="0" collapsed="false">
      <c r="A77" s="132" t="s">
        <v>398</v>
      </c>
      <c r="B77" s="98" t="s">
        <v>69</v>
      </c>
      <c r="C77" s="98" t="s">
        <v>351</v>
      </c>
      <c r="D77" s="98" t="s">
        <v>69</v>
      </c>
      <c r="E77" s="133" t="s">
        <v>71</v>
      </c>
      <c r="F77" s="134"/>
      <c r="G77" s="100" t="n">
        <v>73260</v>
      </c>
      <c r="H77" s="100" t="n">
        <v>73260</v>
      </c>
      <c r="I77" s="44"/>
      <c r="J77" s="135" t="s">
        <v>1878</v>
      </c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</row>
    <row r="78" customFormat="false" ht="14.25" hidden="false" customHeight="true" outlineLevel="0" collapsed="false">
      <c r="A78" s="132" t="s">
        <v>399</v>
      </c>
      <c r="B78" s="98" t="s">
        <v>400</v>
      </c>
      <c r="C78" s="98" t="s">
        <v>401</v>
      </c>
      <c r="D78" s="98" t="s">
        <v>53</v>
      </c>
      <c r="E78" s="133" t="s">
        <v>53</v>
      </c>
      <c r="F78" s="134"/>
      <c r="G78" s="100" t="n">
        <v>257788.5</v>
      </c>
      <c r="H78" s="100" t="n">
        <v>257788.5</v>
      </c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</row>
    <row r="79" customFormat="false" ht="14.25" hidden="false" customHeight="true" outlineLevel="0" collapsed="false">
      <c r="A79" s="155" t="s">
        <v>402</v>
      </c>
      <c r="B79" s="120" t="s">
        <v>403</v>
      </c>
      <c r="C79" s="120" t="s">
        <v>404</v>
      </c>
      <c r="D79" s="120" t="s">
        <v>53</v>
      </c>
      <c r="E79" s="152" t="s">
        <v>53</v>
      </c>
      <c r="F79" s="153"/>
      <c r="G79" s="154" t="n">
        <v>165860.95</v>
      </c>
      <c r="H79" s="154" t="n">
        <v>165860.95</v>
      </c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</row>
    <row r="80" customFormat="false" ht="14.25" hidden="false" customHeight="true" outlineLevel="0" collapsed="false">
      <c r="A80" s="44"/>
      <c r="B80" s="150" t="s">
        <v>405</v>
      </c>
      <c r="C80" s="150" t="s">
        <v>1911</v>
      </c>
      <c r="D80" s="150"/>
      <c r="E80" s="150"/>
      <c r="F80" s="150"/>
      <c r="G80" s="151" t="n">
        <v>2859859.05</v>
      </c>
      <c r="H80" s="151" t="n">
        <v>2661865.2</v>
      </c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</row>
    <row r="81" customFormat="false" ht="14.25" hidden="false" customHeight="true" outlineLevel="0" collapsed="false">
      <c r="A81" s="132" t="s">
        <v>406</v>
      </c>
      <c r="B81" s="120" t="s">
        <v>407</v>
      </c>
      <c r="C81" s="120" t="s">
        <v>84</v>
      </c>
      <c r="D81" s="120" t="s">
        <v>53</v>
      </c>
      <c r="E81" s="152" t="s">
        <v>53</v>
      </c>
      <c r="F81" s="153"/>
      <c r="G81" s="154" t="n">
        <v>264180</v>
      </c>
      <c r="H81" s="154" t="n">
        <v>264180</v>
      </c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</row>
    <row r="82" customFormat="false" ht="14.25" hidden="false" customHeight="true" outlineLevel="0" collapsed="false">
      <c r="A82" s="132" t="s">
        <v>408</v>
      </c>
      <c r="B82" s="98" t="s">
        <v>409</v>
      </c>
      <c r="C82" s="98" t="s">
        <v>80</v>
      </c>
      <c r="D82" s="98" t="s">
        <v>53</v>
      </c>
      <c r="E82" s="133" t="s">
        <v>53</v>
      </c>
      <c r="F82" s="134"/>
      <c r="G82" s="100" t="n">
        <v>269730</v>
      </c>
      <c r="H82" s="100" t="n">
        <v>269730</v>
      </c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</row>
    <row r="83" customFormat="false" ht="14.25" hidden="false" customHeight="true" outlineLevel="0" collapsed="false">
      <c r="A83" s="132" t="s">
        <v>410</v>
      </c>
      <c r="B83" s="98" t="s">
        <v>411</v>
      </c>
      <c r="C83" s="98" t="s">
        <v>324</v>
      </c>
      <c r="D83" s="98" t="s">
        <v>53</v>
      </c>
      <c r="E83" s="133" t="s">
        <v>53</v>
      </c>
      <c r="F83" s="134"/>
      <c r="G83" s="100" t="n">
        <v>0</v>
      </c>
      <c r="H83" s="100" t="n">
        <v>0</v>
      </c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</row>
    <row r="84" customFormat="false" ht="14.25" hidden="false" customHeight="true" outlineLevel="0" collapsed="false">
      <c r="A84" s="132" t="s">
        <v>412</v>
      </c>
      <c r="B84" s="98" t="s">
        <v>413</v>
      </c>
      <c r="C84" s="98" t="s">
        <v>324</v>
      </c>
      <c r="D84" s="98" t="s">
        <v>53</v>
      </c>
      <c r="E84" s="133" t="s">
        <v>53</v>
      </c>
      <c r="F84" s="134"/>
      <c r="G84" s="100" t="n">
        <v>264180</v>
      </c>
      <c r="H84" s="100" t="n">
        <v>264180</v>
      </c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</row>
    <row r="85" customFormat="false" ht="14.25" hidden="false" customHeight="true" outlineLevel="0" collapsed="false">
      <c r="A85" s="132" t="s">
        <v>414</v>
      </c>
      <c r="B85" s="98" t="s">
        <v>415</v>
      </c>
      <c r="C85" s="98" t="s">
        <v>416</v>
      </c>
      <c r="D85" s="98" t="s">
        <v>53</v>
      </c>
      <c r="E85" s="133" t="s">
        <v>53</v>
      </c>
      <c r="F85" s="134"/>
      <c r="G85" s="100" t="n">
        <v>304903.1</v>
      </c>
      <c r="H85" s="100" t="n">
        <v>304903.1</v>
      </c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</row>
    <row r="86" customFormat="false" ht="14.25" hidden="false" customHeight="true" outlineLevel="0" collapsed="false">
      <c r="A86" s="132" t="s">
        <v>417</v>
      </c>
      <c r="B86" s="98" t="s">
        <v>418</v>
      </c>
      <c r="C86" s="98" t="s">
        <v>77</v>
      </c>
      <c r="D86" s="98" t="s">
        <v>53</v>
      </c>
      <c r="E86" s="133" t="s">
        <v>53</v>
      </c>
      <c r="F86" s="134"/>
      <c r="G86" s="100" t="n">
        <v>216047.05</v>
      </c>
      <c r="H86" s="100" t="n">
        <v>216047.05</v>
      </c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</row>
    <row r="87" customFormat="false" ht="14.25" hidden="false" customHeight="true" outlineLevel="0" collapsed="false">
      <c r="A87" s="132" t="s">
        <v>419</v>
      </c>
      <c r="B87" s="98" t="s">
        <v>420</v>
      </c>
      <c r="C87" s="98" t="s">
        <v>421</v>
      </c>
      <c r="D87" s="98" t="s">
        <v>53</v>
      </c>
      <c r="E87" s="133" t="s">
        <v>53</v>
      </c>
      <c r="F87" s="134"/>
      <c r="G87" s="100" t="n">
        <v>218926.65</v>
      </c>
      <c r="H87" s="100" t="n">
        <v>218926.65</v>
      </c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</row>
    <row r="88" customFormat="false" ht="14.25" hidden="false" customHeight="true" outlineLevel="0" collapsed="false">
      <c r="A88" s="132" t="s">
        <v>422</v>
      </c>
      <c r="B88" s="98" t="s">
        <v>423</v>
      </c>
      <c r="C88" s="98" t="s">
        <v>52</v>
      </c>
      <c r="D88" s="98" t="s">
        <v>53</v>
      </c>
      <c r="E88" s="133" t="s">
        <v>53</v>
      </c>
      <c r="F88" s="134"/>
      <c r="G88" s="100" t="n">
        <v>223946.25</v>
      </c>
      <c r="H88" s="100" t="n">
        <v>223946.25</v>
      </c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</row>
    <row r="89" customFormat="false" ht="14.25" hidden="false" customHeight="true" outlineLevel="0" collapsed="false">
      <c r="A89" s="132" t="s">
        <v>424</v>
      </c>
      <c r="B89" s="98" t="s">
        <v>425</v>
      </c>
      <c r="C89" s="98" t="s">
        <v>426</v>
      </c>
      <c r="D89" s="98" t="s">
        <v>53</v>
      </c>
      <c r="E89" s="133" t="s">
        <v>78</v>
      </c>
      <c r="F89" s="134"/>
      <c r="G89" s="100" t="n">
        <v>197993.85</v>
      </c>
      <c r="H89" s="100" t="n">
        <v>0</v>
      </c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</row>
    <row r="90" customFormat="false" ht="14.25" hidden="false" customHeight="true" outlineLevel="0" collapsed="false">
      <c r="A90" s="132" t="s">
        <v>427</v>
      </c>
      <c r="B90" s="98" t="s">
        <v>69</v>
      </c>
      <c r="C90" s="98" t="s">
        <v>428</v>
      </c>
      <c r="D90" s="98" t="s">
        <v>69</v>
      </c>
      <c r="E90" s="133" t="s">
        <v>82</v>
      </c>
      <c r="F90" s="134"/>
      <c r="G90" s="100" t="n">
        <v>304902.1</v>
      </c>
      <c r="H90" s="100" t="n">
        <v>304902.1</v>
      </c>
      <c r="I90" s="44"/>
      <c r="J90" s="135" t="s">
        <v>1873</v>
      </c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</row>
    <row r="91" customFormat="false" ht="14.25" hidden="false" customHeight="true" outlineLevel="0" collapsed="false">
      <c r="A91" s="132" t="s">
        <v>429</v>
      </c>
      <c r="B91" s="98" t="s">
        <v>430</v>
      </c>
      <c r="C91" s="98" t="s">
        <v>431</v>
      </c>
      <c r="D91" s="98" t="s">
        <v>53</v>
      </c>
      <c r="E91" s="133" t="s">
        <v>53</v>
      </c>
      <c r="F91" s="134"/>
      <c r="G91" s="100" t="n">
        <v>240301</v>
      </c>
      <c r="H91" s="100" t="n">
        <v>240301</v>
      </c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</row>
    <row r="92" customFormat="false" ht="14.25" hidden="false" customHeight="true" outlineLevel="0" collapsed="false">
      <c r="A92" s="132" t="s">
        <v>432</v>
      </c>
      <c r="B92" s="98" t="s">
        <v>433</v>
      </c>
      <c r="C92" s="98" t="s">
        <v>77</v>
      </c>
      <c r="D92" s="98" t="s">
        <v>53</v>
      </c>
      <c r="E92" s="133" t="s">
        <v>53</v>
      </c>
      <c r="F92" s="134"/>
      <c r="G92" s="100" t="n">
        <v>216045.05</v>
      </c>
      <c r="H92" s="100" t="n">
        <v>216045.05</v>
      </c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</row>
    <row r="93" customFormat="false" ht="14.25" hidden="false" customHeight="true" outlineLevel="0" collapsed="false">
      <c r="A93" s="155" t="s">
        <v>434</v>
      </c>
      <c r="B93" s="120" t="s">
        <v>435</v>
      </c>
      <c r="C93" s="120" t="s">
        <v>86</v>
      </c>
      <c r="D93" s="120" t="s">
        <v>53</v>
      </c>
      <c r="E93" s="152" t="s">
        <v>53</v>
      </c>
      <c r="F93" s="153"/>
      <c r="G93" s="154" t="n">
        <v>138704</v>
      </c>
      <c r="H93" s="154" t="n">
        <v>138704</v>
      </c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</row>
    <row r="94" customFormat="false" ht="14.25" hidden="false" customHeight="true" outlineLevel="0" collapsed="false">
      <c r="A94" s="44"/>
      <c r="B94" s="150" t="s">
        <v>436</v>
      </c>
      <c r="C94" s="150" t="s">
        <v>1884</v>
      </c>
      <c r="D94" s="150"/>
      <c r="E94" s="150"/>
      <c r="F94" s="150"/>
      <c r="G94" s="151" t="n">
        <v>136760</v>
      </c>
      <c r="H94" s="151" t="n">
        <v>54704</v>
      </c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</row>
    <row r="95" customFormat="false" ht="14.25" hidden="false" customHeight="true" outlineLevel="0" collapsed="false">
      <c r="A95" s="155" t="s">
        <v>437</v>
      </c>
      <c r="B95" s="120" t="s">
        <v>438</v>
      </c>
      <c r="C95" s="120" t="s">
        <v>439</v>
      </c>
      <c r="D95" s="120" t="s">
        <v>53</v>
      </c>
      <c r="E95" s="152" t="s">
        <v>71</v>
      </c>
      <c r="F95" s="153"/>
      <c r="G95" s="154" t="n">
        <v>136760</v>
      </c>
      <c r="H95" s="154" t="n">
        <v>54704</v>
      </c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</row>
    <row r="96" customFormat="false" ht="14.25" hidden="false" customHeight="true" outlineLevel="0" collapsed="false">
      <c r="A96" s="44"/>
      <c r="B96" s="150" t="s">
        <v>461</v>
      </c>
      <c r="C96" s="150" t="s">
        <v>1877</v>
      </c>
      <c r="D96" s="150"/>
      <c r="E96" s="150"/>
      <c r="F96" s="150"/>
      <c r="G96" s="151" t="n">
        <v>1032931.16</v>
      </c>
      <c r="H96" s="151" t="n">
        <v>1032931.16</v>
      </c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</row>
    <row r="97" customFormat="false" ht="14.25" hidden="false" customHeight="true" outlineLevel="0" collapsed="false">
      <c r="A97" s="132" t="s">
        <v>462</v>
      </c>
      <c r="B97" s="120" t="s">
        <v>463</v>
      </c>
      <c r="C97" s="120" t="s">
        <v>84</v>
      </c>
      <c r="D97" s="120" t="s">
        <v>53</v>
      </c>
      <c r="E97" s="152" t="s">
        <v>53</v>
      </c>
      <c r="F97" s="153"/>
      <c r="G97" s="154" t="n">
        <v>178285.368</v>
      </c>
      <c r="H97" s="154" t="n">
        <v>178285.368</v>
      </c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</row>
    <row r="98" customFormat="false" ht="14.25" hidden="false" customHeight="true" outlineLevel="0" collapsed="false">
      <c r="A98" s="132" t="s">
        <v>465</v>
      </c>
      <c r="B98" s="98" t="s">
        <v>466</v>
      </c>
      <c r="C98" s="98" t="s">
        <v>332</v>
      </c>
      <c r="D98" s="98" t="s">
        <v>53</v>
      </c>
      <c r="E98" s="133" t="s">
        <v>53</v>
      </c>
      <c r="F98" s="134"/>
      <c r="G98" s="100" t="n">
        <v>181091.736</v>
      </c>
      <c r="H98" s="100" t="n">
        <v>181091.736</v>
      </c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</row>
    <row r="99" customFormat="false" ht="14.25" hidden="false" customHeight="true" outlineLevel="0" collapsed="false">
      <c r="A99" s="132" t="s">
        <v>467</v>
      </c>
      <c r="B99" s="98" t="s">
        <v>468</v>
      </c>
      <c r="C99" s="98" t="s">
        <v>332</v>
      </c>
      <c r="D99" s="98" t="s">
        <v>53</v>
      </c>
      <c r="E99" s="133" t="s">
        <v>53</v>
      </c>
      <c r="F99" s="134"/>
      <c r="G99" s="100" t="n">
        <v>163597.2</v>
      </c>
      <c r="H99" s="100" t="n">
        <v>163597.2</v>
      </c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</row>
    <row r="100" customFormat="false" ht="14.25" hidden="false" customHeight="true" outlineLevel="0" collapsed="false">
      <c r="A100" s="132" t="s">
        <v>469</v>
      </c>
      <c r="B100" s="98" t="s">
        <v>470</v>
      </c>
      <c r="C100" s="98" t="s">
        <v>471</v>
      </c>
      <c r="D100" s="98" t="s">
        <v>53</v>
      </c>
      <c r="E100" s="133" t="s">
        <v>53</v>
      </c>
      <c r="F100" s="134"/>
      <c r="G100" s="100" t="n">
        <v>186432.888</v>
      </c>
      <c r="H100" s="100" t="n">
        <v>186432.888</v>
      </c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</row>
    <row r="101" customFormat="false" ht="14.25" hidden="false" customHeight="true" outlineLevel="0" collapsed="false">
      <c r="A101" s="132" t="s">
        <v>472</v>
      </c>
      <c r="B101" s="98" t="s">
        <v>473</v>
      </c>
      <c r="C101" s="98" t="s">
        <v>349</v>
      </c>
      <c r="D101" s="98" t="s">
        <v>53</v>
      </c>
      <c r="E101" s="133" t="s">
        <v>53</v>
      </c>
      <c r="F101" s="134"/>
      <c r="G101" s="100" t="n">
        <v>114349.968</v>
      </c>
      <c r="H101" s="100" t="n">
        <v>114349.968</v>
      </c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</row>
    <row r="102" customFormat="false" ht="14.25" hidden="false" customHeight="true" outlineLevel="0" collapsed="false">
      <c r="A102" s="155" t="s">
        <v>474</v>
      </c>
      <c r="B102" s="120" t="s">
        <v>475</v>
      </c>
      <c r="C102" s="120" t="s">
        <v>476</v>
      </c>
      <c r="D102" s="120" t="s">
        <v>53</v>
      </c>
      <c r="E102" s="152" t="s">
        <v>53</v>
      </c>
      <c r="F102" s="153"/>
      <c r="G102" s="154" t="n">
        <v>209174</v>
      </c>
      <c r="H102" s="154" t="n">
        <v>209174</v>
      </c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</row>
    <row r="103" customFormat="false" ht="14.25" hidden="false" customHeight="true" outlineLevel="0" collapsed="false">
      <c r="A103" s="44"/>
      <c r="B103" s="150" t="s">
        <v>464</v>
      </c>
      <c r="C103" s="150" t="s">
        <v>1912</v>
      </c>
      <c r="D103" s="150"/>
      <c r="E103" s="150"/>
      <c r="F103" s="150"/>
      <c r="G103" s="151" t="n">
        <v>2227115.56832</v>
      </c>
      <c r="H103" s="151" t="n">
        <v>2227115.56832</v>
      </c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</row>
    <row r="104" customFormat="false" ht="14.25" hidden="false" customHeight="true" outlineLevel="0" collapsed="false">
      <c r="A104" s="132" t="s">
        <v>477</v>
      </c>
      <c r="B104" s="120" t="s">
        <v>478</v>
      </c>
      <c r="C104" s="120" t="s">
        <v>84</v>
      </c>
      <c r="D104" s="120" t="s">
        <v>53</v>
      </c>
      <c r="E104" s="152" t="s">
        <v>53</v>
      </c>
      <c r="F104" s="153"/>
      <c r="G104" s="154" t="n">
        <v>197171.772</v>
      </c>
      <c r="H104" s="154" t="n">
        <v>197171.772</v>
      </c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</row>
    <row r="105" customFormat="false" ht="14.25" hidden="false" customHeight="true" outlineLevel="0" collapsed="false">
      <c r="A105" s="132" t="s">
        <v>479</v>
      </c>
      <c r="B105" s="98" t="s">
        <v>480</v>
      </c>
      <c r="C105" s="98" t="s">
        <v>481</v>
      </c>
      <c r="D105" s="98" t="s">
        <v>53</v>
      </c>
      <c r="E105" s="133" t="s">
        <v>53</v>
      </c>
      <c r="F105" s="134"/>
      <c r="G105" s="100" t="n">
        <v>174743.46</v>
      </c>
      <c r="H105" s="100" t="n">
        <v>174743.46</v>
      </c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</row>
    <row r="106" customFormat="false" ht="14.25" hidden="false" customHeight="true" outlineLevel="0" collapsed="false">
      <c r="A106" s="132" t="s">
        <v>482</v>
      </c>
      <c r="B106" s="98" t="s">
        <v>483</v>
      </c>
      <c r="C106" s="98" t="s">
        <v>118</v>
      </c>
      <c r="D106" s="98" t="s">
        <v>53</v>
      </c>
      <c r="E106" s="133" t="s">
        <v>53</v>
      </c>
      <c r="F106" s="134"/>
      <c r="G106" s="100" t="n">
        <v>124779.79392</v>
      </c>
      <c r="H106" s="100" t="n">
        <v>124779.79392</v>
      </c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</row>
    <row r="107" customFormat="false" ht="14.25" hidden="false" customHeight="true" outlineLevel="0" collapsed="false">
      <c r="A107" s="132" t="s">
        <v>484</v>
      </c>
      <c r="B107" s="98" t="s">
        <v>485</v>
      </c>
      <c r="C107" s="98" t="s">
        <v>481</v>
      </c>
      <c r="D107" s="98" t="s">
        <v>53</v>
      </c>
      <c r="E107" s="133" t="s">
        <v>53</v>
      </c>
      <c r="F107" s="134"/>
      <c r="G107" s="100" t="n">
        <v>196277.808</v>
      </c>
      <c r="H107" s="100" t="n">
        <v>196277.808</v>
      </c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</row>
    <row r="108" customFormat="false" ht="14.25" hidden="false" customHeight="true" outlineLevel="0" collapsed="false">
      <c r="A108" s="155" t="s">
        <v>486</v>
      </c>
      <c r="B108" s="120" t="s">
        <v>487</v>
      </c>
      <c r="C108" s="120" t="s">
        <v>77</v>
      </c>
      <c r="D108" s="120" t="s">
        <v>53</v>
      </c>
      <c r="E108" s="152" t="s">
        <v>53</v>
      </c>
      <c r="F108" s="153"/>
      <c r="G108" s="154" t="n">
        <v>118683.6384</v>
      </c>
      <c r="H108" s="154" t="n">
        <v>118683.6384</v>
      </c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</row>
    <row r="109" customFormat="false" ht="14.25" hidden="false" customHeight="true" outlineLevel="0" collapsed="false">
      <c r="A109" s="132" t="s">
        <v>488</v>
      </c>
      <c r="B109" s="98" t="s">
        <v>489</v>
      </c>
      <c r="C109" s="98" t="s">
        <v>77</v>
      </c>
      <c r="D109" s="98" t="s">
        <v>53</v>
      </c>
      <c r="E109" s="133" t="s">
        <v>53</v>
      </c>
      <c r="F109" s="134"/>
      <c r="G109" s="100" t="n">
        <v>154465.188</v>
      </c>
      <c r="H109" s="100" t="n">
        <v>154465.188</v>
      </c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</row>
    <row r="110" customFormat="false" ht="14.25" hidden="false" customHeight="true" outlineLevel="0" collapsed="false">
      <c r="A110" s="132" t="s">
        <v>490</v>
      </c>
      <c r="B110" s="98" t="s">
        <v>491</v>
      </c>
      <c r="C110" s="98" t="s">
        <v>492</v>
      </c>
      <c r="D110" s="98" t="s">
        <v>53</v>
      </c>
      <c r="E110" s="133" t="s">
        <v>53</v>
      </c>
      <c r="F110" s="134"/>
      <c r="G110" s="100" t="n">
        <v>157984.464</v>
      </c>
      <c r="H110" s="100" t="n">
        <v>157984.464</v>
      </c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</row>
    <row r="111" customFormat="false" ht="14.25" hidden="false" customHeight="true" outlineLevel="0" collapsed="false">
      <c r="A111" s="132" t="s">
        <v>493</v>
      </c>
      <c r="B111" s="98" t="s">
        <v>494</v>
      </c>
      <c r="C111" s="98" t="s">
        <v>492</v>
      </c>
      <c r="D111" s="98" t="s">
        <v>53</v>
      </c>
      <c r="E111" s="133" t="s">
        <v>53</v>
      </c>
      <c r="F111" s="134"/>
      <c r="G111" s="100" t="n">
        <v>138284.308</v>
      </c>
      <c r="H111" s="100" t="n">
        <v>138284.308</v>
      </c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</row>
    <row r="112" customFormat="false" ht="14.25" hidden="false" customHeight="true" outlineLevel="0" collapsed="false">
      <c r="A112" s="132" t="s">
        <v>495</v>
      </c>
      <c r="B112" s="98" t="s">
        <v>496</v>
      </c>
      <c r="C112" s="98" t="s">
        <v>492</v>
      </c>
      <c r="D112" s="98" t="s">
        <v>53</v>
      </c>
      <c r="E112" s="133" t="s">
        <v>53</v>
      </c>
      <c r="F112" s="134"/>
      <c r="G112" s="100" t="n">
        <v>150021</v>
      </c>
      <c r="H112" s="100" t="n">
        <v>150021</v>
      </c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</row>
    <row r="113" customFormat="false" ht="14.25" hidden="false" customHeight="true" outlineLevel="0" collapsed="false">
      <c r="A113" s="132" t="s">
        <v>497</v>
      </c>
      <c r="B113" s="98" t="s">
        <v>498</v>
      </c>
      <c r="C113" s="98" t="s">
        <v>86</v>
      </c>
      <c r="D113" s="98" t="s">
        <v>53</v>
      </c>
      <c r="E113" s="133" t="s">
        <v>53</v>
      </c>
      <c r="F113" s="134"/>
      <c r="G113" s="100" t="n">
        <v>155680</v>
      </c>
      <c r="H113" s="100" t="n">
        <v>155680</v>
      </c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</row>
    <row r="114" customFormat="false" ht="14.25" hidden="false" customHeight="true" outlineLevel="0" collapsed="false">
      <c r="A114" s="132" t="s">
        <v>499</v>
      </c>
      <c r="B114" s="98" t="s">
        <v>500</v>
      </c>
      <c r="C114" s="98" t="s">
        <v>501</v>
      </c>
      <c r="D114" s="98" t="s">
        <v>53</v>
      </c>
      <c r="E114" s="133" t="s">
        <v>53</v>
      </c>
      <c r="F114" s="134"/>
      <c r="G114" s="100" t="n">
        <v>107279.584</v>
      </c>
      <c r="H114" s="100" t="n">
        <v>107279.584</v>
      </c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</row>
    <row r="115" customFormat="false" ht="14.25" hidden="false" customHeight="true" outlineLevel="0" collapsed="false">
      <c r="A115" s="132" t="s">
        <v>502</v>
      </c>
      <c r="B115" s="98" t="s">
        <v>503</v>
      </c>
      <c r="C115" s="98" t="s">
        <v>504</v>
      </c>
      <c r="D115" s="98" t="s">
        <v>53</v>
      </c>
      <c r="E115" s="133" t="s">
        <v>53</v>
      </c>
      <c r="F115" s="134"/>
      <c r="G115" s="100" t="n">
        <v>105043.248</v>
      </c>
      <c r="H115" s="100" t="n">
        <v>105043.248</v>
      </c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</row>
    <row r="116" customFormat="false" ht="14.25" hidden="false" customHeight="true" outlineLevel="0" collapsed="false">
      <c r="A116" s="132" t="s">
        <v>505</v>
      </c>
      <c r="B116" s="98" t="s">
        <v>506</v>
      </c>
      <c r="C116" s="98" t="s">
        <v>507</v>
      </c>
      <c r="D116" s="98" t="s">
        <v>53</v>
      </c>
      <c r="E116" s="133" t="s">
        <v>53</v>
      </c>
      <c r="F116" s="134"/>
      <c r="G116" s="100" t="n">
        <v>106519.664</v>
      </c>
      <c r="H116" s="100" t="n">
        <v>106519.664</v>
      </c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</row>
    <row r="117" customFormat="false" ht="14.25" hidden="false" customHeight="true" outlineLevel="0" collapsed="false">
      <c r="A117" s="132" t="s">
        <v>508</v>
      </c>
      <c r="B117" s="98" t="s">
        <v>509</v>
      </c>
      <c r="C117" s="98" t="s">
        <v>510</v>
      </c>
      <c r="D117" s="98" t="s">
        <v>53</v>
      </c>
      <c r="E117" s="133" t="s">
        <v>53</v>
      </c>
      <c r="F117" s="134"/>
      <c r="G117" s="100" t="n">
        <v>104847.84</v>
      </c>
      <c r="H117" s="100" t="n">
        <v>104847.84</v>
      </c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</row>
    <row r="118" customFormat="false" ht="14.25" hidden="false" customHeight="true" outlineLevel="0" collapsed="false">
      <c r="A118" s="155" t="s">
        <v>511</v>
      </c>
      <c r="B118" s="120" t="s">
        <v>69</v>
      </c>
      <c r="C118" s="120" t="s">
        <v>52</v>
      </c>
      <c r="D118" s="120" t="s">
        <v>69</v>
      </c>
      <c r="E118" s="152" t="s">
        <v>82</v>
      </c>
      <c r="F118" s="153"/>
      <c r="G118" s="154" t="n">
        <v>235333.8</v>
      </c>
      <c r="H118" s="154" t="n">
        <v>235333.8</v>
      </c>
      <c r="I118" s="44"/>
      <c r="J118" s="135" t="s">
        <v>1873</v>
      </c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</row>
    <row r="119" customFormat="false" ht="14.25" hidden="false" customHeight="true" outlineLevel="0" collapsed="false">
      <c r="A119" s="44"/>
      <c r="B119" s="150" t="s">
        <v>454</v>
      </c>
      <c r="C119" s="150" t="s">
        <v>1913</v>
      </c>
      <c r="D119" s="150"/>
      <c r="E119" s="150"/>
      <c r="F119" s="150"/>
      <c r="G119" s="151" t="n">
        <v>575460.448</v>
      </c>
      <c r="H119" s="151" t="n">
        <v>575460.448</v>
      </c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</row>
    <row r="120" customFormat="false" ht="14.25" hidden="false" customHeight="true" outlineLevel="0" collapsed="false">
      <c r="A120" s="132" t="s">
        <v>455</v>
      </c>
      <c r="B120" s="120" t="s">
        <v>456</v>
      </c>
      <c r="C120" s="120" t="s">
        <v>457</v>
      </c>
      <c r="D120" s="120" t="s">
        <v>53</v>
      </c>
      <c r="E120" s="152" t="s">
        <v>53</v>
      </c>
      <c r="F120" s="153"/>
      <c r="G120" s="154" t="n">
        <v>301148.976</v>
      </c>
      <c r="H120" s="154" t="n">
        <v>301148.976</v>
      </c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</row>
    <row r="121" customFormat="false" ht="14.25" hidden="false" customHeight="true" outlineLevel="0" collapsed="false">
      <c r="A121" s="132" t="s">
        <v>458</v>
      </c>
      <c r="B121" s="98" t="s">
        <v>459</v>
      </c>
      <c r="C121" s="98" t="s">
        <v>460</v>
      </c>
      <c r="D121" s="98" t="s">
        <v>53</v>
      </c>
      <c r="E121" s="133" t="s">
        <v>53</v>
      </c>
      <c r="F121" s="134"/>
      <c r="G121" s="100" t="n">
        <v>274311.472</v>
      </c>
      <c r="H121" s="100" t="n">
        <v>274311.472</v>
      </c>
      <c r="I121" s="44" t="s">
        <v>1914</v>
      </c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</row>
    <row r="122" customFormat="false" ht="14.25" hidden="false" customHeight="true" outlineLevel="0" collapsed="false">
      <c r="A122" s="44"/>
      <c r="B122" s="150" t="s">
        <v>203</v>
      </c>
      <c r="C122" s="150" t="s">
        <v>1913</v>
      </c>
      <c r="D122" s="150"/>
      <c r="E122" s="150"/>
      <c r="F122" s="150"/>
      <c r="G122" s="151" t="n">
        <v>526923.808</v>
      </c>
      <c r="H122" s="151" t="n">
        <v>526923.808</v>
      </c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</row>
    <row r="123" customFormat="false" ht="14.25" hidden="false" customHeight="true" outlineLevel="0" collapsed="false">
      <c r="A123" s="155" t="s">
        <v>440</v>
      </c>
      <c r="B123" s="120" t="s">
        <v>441</v>
      </c>
      <c r="C123" s="120" t="s">
        <v>203</v>
      </c>
      <c r="D123" s="120" t="s">
        <v>53</v>
      </c>
      <c r="E123" s="152" t="s">
        <v>53</v>
      </c>
      <c r="F123" s="153"/>
      <c r="G123" s="154" t="n">
        <v>222021.708</v>
      </c>
      <c r="H123" s="154" t="n">
        <v>222021.708</v>
      </c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</row>
    <row r="124" customFormat="false" ht="14.25" hidden="false" customHeight="true" outlineLevel="0" collapsed="false">
      <c r="A124" s="132" t="s">
        <v>442</v>
      </c>
      <c r="B124" s="98" t="s">
        <v>443</v>
      </c>
      <c r="C124" s="98" t="s">
        <v>203</v>
      </c>
      <c r="D124" s="98" t="s">
        <v>53</v>
      </c>
      <c r="E124" s="133" t="s">
        <v>53</v>
      </c>
      <c r="F124" s="134"/>
      <c r="G124" s="100" t="n">
        <v>304902.1</v>
      </c>
      <c r="H124" s="100" t="n">
        <v>304902.1</v>
      </c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</row>
    <row r="125" customFormat="false" ht="14.25" hidden="false" customHeight="true" outlineLevel="0" collapsed="false">
      <c r="A125" s="44"/>
      <c r="B125" s="150" t="s">
        <v>206</v>
      </c>
      <c r="C125" s="150" t="s">
        <v>1883</v>
      </c>
      <c r="D125" s="150"/>
      <c r="E125" s="150"/>
      <c r="F125" s="150"/>
      <c r="G125" s="151" t="n">
        <v>1036875.09</v>
      </c>
      <c r="H125" s="151" t="n">
        <v>1036875.09</v>
      </c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</row>
    <row r="126" customFormat="false" ht="14.25" hidden="false" customHeight="true" outlineLevel="0" collapsed="false">
      <c r="A126" s="155" t="s">
        <v>444</v>
      </c>
      <c r="B126" s="120" t="s">
        <v>445</v>
      </c>
      <c r="C126" s="120" t="s">
        <v>446</v>
      </c>
      <c r="D126" s="120" t="s">
        <v>53</v>
      </c>
      <c r="E126" s="152" t="s">
        <v>53</v>
      </c>
      <c r="F126" s="153"/>
      <c r="G126" s="154" t="n">
        <v>207706.968</v>
      </c>
      <c r="H126" s="154" t="n">
        <v>207706.968</v>
      </c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</row>
    <row r="127" customFormat="false" ht="14.25" hidden="false" customHeight="true" outlineLevel="0" collapsed="false">
      <c r="A127" s="132" t="s">
        <v>447</v>
      </c>
      <c r="B127" s="98" t="s">
        <v>448</v>
      </c>
      <c r="C127" s="98" t="s">
        <v>449</v>
      </c>
      <c r="D127" s="98" t="s">
        <v>53</v>
      </c>
      <c r="E127" s="133" t="s">
        <v>53</v>
      </c>
      <c r="F127" s="134"/>
      <c r="G127" s="100" t="n">
        <v>223198.572</v>
      </c>
      <c r="H127" s="100" t="n">
        <v>223198.572</v>
      </c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</row>
    <row r="128" customFormat="false" ht="14.25" hidden="false" customHeight="true" outlineLevel="0" collapsed="false">
      <c r="A128" s="132" t="s">
        <v>450</v>
      </c>
      <c r="B128" s="98" t="s">
        <v>451</v>
      </c>
      <c r="C128" s="98" t="s">
        <v>452</v>
      </c>
      <c r="D128" s="98" t="s">
        <v>53</v>
      </c>
      <c r="E128" s="133" t="s">
        <v>53</v>
      </c>
      <c r="F128" s="134"/>
      <c r="G128" s="100" t="n">
        <v>301067.45</v>
      </c>
      <c r="H128" s="100" t="n">
        <v>301067.45</v>
      </c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</row>
    <row r="129" customFormat="false" ht="14.25" hidden="false" customHeight="true" outlineLevel="0" collapsed="false">
      <c r="A129" s="155" t="s">
        <v>453</v>
      </c>
      <c r="B129" s="120" t="s">
        <v>69</v>
      </c>
      <c r="C129" s="120" t="s">
        <v>300</v>
      </c>
      <c r="D129" s="120" t="s">
        <v>69</v>
      </c>
      <c r="E129" s="152" t="s">
        <v>82</v>
      </c>
      <c r="F129" s="153"/>
      <c r="G129" s="154" t="n">
        <v>304902.1</v>
      </c>
      <c r="H129" s="154" t="n">
        <v>304902.1</v>
      </c>
      <c r="I129" s="44"/>
      <c r="J129" s="135" t="s">
        <v>1873</v>
      </c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</row>
    <row r="130" customFormat="false" ht="14.25" hidden="false" customHeight="true" outlineLevel="0" collapsed="false">
      <c r="A130" s="44"/>
      <c r="B130" s="150" t="s">
        <v>1574</v>
      </c>
      <c r="C130" s="150" t="s">
        <v>1915</v>
      </c>
      <c r="D130" s="150"/>
      <c r="E130" s="150"/>
      <c r="F130" s="150"/>
      <c r="G130" s="151" t="n">
        <v>0</v>
      </c>
      <c r="H130" s="151" t="n">
        <v>0</v>
      </c>
      <c r="I130" s="44"/>
      <c r="J130" s="44" t="s">
        <v>1916</v>
      </c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</row>
    <row r="131" customFormat="false" ht="14.25" hidden="false" customHeight="true" outlineLevel="0" collapsed="false">
      <c r="A131" s="132"/>
      <c r="B131" s="120"/>
      <c r="C131" s="120"/>
      <c r="D131" s="120"/>
      <c r="E131" s="152"/>
      <c r="F131" s="153"/>
      <c r="G131" s="154"/>
      <c r="H131" s="154"/>
      <c r="I131" s="44"/>
      <c r="J131" s="44" t="s">
        <v>1917</v>
      </c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</row>
    <row r="132" customFormat="false" ht="14.25" hidden="false" customHeight="true" outlineLevel="0" collapsed="false">
      <c r="A132" s="132"/>
      <c r="B132" s="98"/>
      <c r="C132" s="98"/>
      <c r="D132" s="98"/>
      <c r="E132" s="133"/>
      <c r="F132" s="134"/>
      <c r="G132" s="100"/>
      <c r="H132" s="100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</row>
    <row r="133" customFormat="false" ht="14.25" hidden="false" customHeight="true" outlineLevel="0" collapsed="false">
      <c r="A133" s="132"/>
      <c r="B133" s="98"/>
      <c r="C133" s="98"/>
      <c r="D133" s="98"/>
      <c r="E133" s="133"/>
      <c r="F133" s="134"/>
      <c r="G133" s="100"/>
      <c r="H133" s="100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</row>
    <row r="134" customFormat="false" ht="15" hidden="false" customHeight="false" outlineLevel="0" collapsed="false">
      <c r="A134" s="155"/>
      <c r="B134" s="120"/>
      <c r="C134" s="120"/>
      <c r="D134" s="120"/>
      <c r="E134" s="152"/>
      <c r="F134" s="153"/>
      <c r="G134" s="154"/>
      <c r="H134" s="15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</row>
    <row r="135" customFormat="false" ht="14.25" hidden="false" customHeight="true" outlineLevel="0" collapsed="false">
      <c r="A135" s="44"/>
      <c r="B135" s="126" t="s">
        <v>1886</v>
      </c>
      <c r="C135" s="44"/>
      <c r="D135" s="44"/>
      <c r="E135" s="44"/>
      <c r="F135" s="44"/>
      <c r="G135" s="44"/>
      <c r="H135" s="44"/>
      <c r="I135" s="44"/>
      <c r="J135" s="44"/>
      <c r="K135" s="136" t="n">
        <v>7</v>
      </c>
      <c r="L135" s="136" t="n">
        <v>5</v>
      </c>
      <c r="M135" s="136" t="n">
        <v>0</v>
      </c>
      <c r="N135" s="136" t="n">
        <v>0</v>
      </c>
      <c r="O135" s="136" t="n">
        <v>12</v>
      </c>
      <c r="P135" s="44"/>
      <c r="Q135" s="44"/>
      <c r="R135" s="44"/>
      <c r="S135" s="44"/>
      <c r="T135" s="44"/>
      <c r="U135" s="44"/>
      <c r="V135" s="44"/>
      <c r="W135" s="44"/>
      <c r="X135" s="44"/>
      <c r="Y135" s="44"/>
    </row>
    <row r="136" customFormat="false" ht="15" hidden="false" customHeight="false" outlineLevel="0" collapsed="false">
      <c r="A136" s="44"/>
      <c r="B136" s="44"/>
      <c r="C136" s="44"/>
      <c r="D136" s="44"/>
      <c r="E136" s="44"/>
      <c r="F136" s="44"/>
      <c r="G136" s="44"/>
      <c r="H136" s="44"/>
      <c r="I136" s="44"/>
      <c r="J136" s="44" t="s">
        <v>1918</v>
      </c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</row>
  </sheetData>
  <mergeCells count="1"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</row>
    <row r="2" customFormat="false" ht="21" hidden="false" customHeight="true" outlineLevel="0" collapsed="false">
      <c r="A2" s="44"/>
      <c r="B2" s="81" t="s">
        <v>1919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</row>
    <row r="3" customFormat="false" ht="14.25" hidden="false" customHeight="true" outlineLevel="0" collapsed="false">
      <c r="A3" s="44"/>
      <c r="B3" s="82" t="s">
        <v>1165</v>
      </c>
      <c r="C3" s="73" t="s">
        <v>31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</row>
    <row r="4" customFormat="false" ht="18.75" hidden="false" customHeight="true" outlineLevel="0" collapsed="false">
      <c r="A4" s="44"/>
      <c r="B4" s="83" t="s">
        <v>1920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44"/>
      <c r="V4" s="44"/>
      <c r="W4" s="86" t="s">
        <v>1821</v>
      </c>
      <c r="X4" s="86"/>
      <c r="Y4" s="44"/>
    </row>
    <row r="5" customFormat="false" ht="6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89" t="s">
        <v>1822</v>
      </c>
      <c r="X5" s="90" t="n">
        <v>3.5</v>
      </c>
      <c r="Y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1" t="s">
        <v>1835</v>
      </c>
      <c r="S6" s="92" t="s">
        <v>1836</v>
      </c>
      <c r="T6" s="91" t="s">
        <v>1837</v>
      </c>
      <c r="U6" s="93" t="s">
        <v>1189</v>
      </c>
      <c r="V6" s="44"/>
      <c r="W6" s="137" t="s">
        <v>1838</v>
      </c>
      <c r="X6" s="138" t="n">
        <v>2.5</v>
      </c>
      <c r="Y6" s="44"/>
    </row>
    <row r="7" customFormat="false" ht="14.25" hidden="false" customHeight="true" outlineLevel="0" collapsed="false">
      <c r="A7" s="44"/>
      <c r="B7" s="96" t="s">
        <v>1164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44"/>
      <c r="V7" s="44"/>
      <c r="W7" s="139" t="s">
        <v>1839</v>
      </c>
      <c r="X7" s="138" t="n">
        <v>1</v>
      </c>
      <c r="Y7" s="44"/>
    </row>
    <row r="8" customFormat="false" ht="14.25" hidden="false" customHeight="true" outlineLevel="0" collapsed="false">
      <c r="A8" s="44"/>
      <c r="B8" s="98" t="s">
        <v>970</v>
      </c>
      <c r="C8" s="98" t="s">
        <v>1843</v>
      </c>
      <c r="D8" s="98" t="s">
        <v>1841</v>
      </c>
      <c r="E8" s="99" t="n">
        <v>7.5</v>
      </c>
      <c r="F8" s="100" t="n">
        <v>8</v>
      </c>
      <c r="G8" s="99" t="n">
        <v>8</v>
      </c>
      <c r="H8" s="100" t="n">
        <v>4</v>
      </c>
      <c r="I8" s="100" t="n">
        <v>4</v>
      </c>
      <c r="J8" s="100" t="n">
        <v>0</v>
      </c>
      <c r="K8" s="100" t="n">
        <v>1</v>
      </c>
      <c r="L8" s="100" t="n">
        <v>3</v>
      </c>
      <c r="M8" s="100" t="n">
        <v>5</v>
      </c>
      <c r="N8" s="101" t="n">
        <v>1.7</v>
      </c>
      <c r="O8" s="101" t="n">
        <v>1.626176996</v>
      </c>
      <c r="P8" s="101" t="n">
        <v>0</v>
      </c>
      <c r="Q8" s="101" t="n">
        <v>1.626176996</v>
      </c>
      <c r="R8" s="101" t="n">
        <v>-0.073823</v>
      </c>
      <c r="S8" s="101" t="n">
        <v>0.915323396</v>
      </c>
      <c r="T8" s="101" t="n">
        <v>-0.784677</v>
      </c>
      <c r="U8" s="102" t="n">
        <v>0.8</v>
      </c>
      <c r="V8" s="44"/>
      <c r="W8" s="140" t="s">
        <v>1842</v>
      </c>
      <c r="X8" s="156" t="n">
        <v>1.4695</v>
      </c>
      <c r="Y8" s="44"/>
    </row>
    <row r="9" customFormat="false" ht="14.25" hidden="false" customHeight="true" outlineLevel="0" collapsed="false">
      <c r="A9" s="44"/>
      <c r="B9" s="98" t="s">
        <v>974</v>
      </c>
      <c r="C9" s="98" t="s">
        <v>1843</v>
      </c>
      <c r="D9" s="98" t="s">
        <v>1846</v>
      </c>
      <c r="E9" s="99" t="n">
        <v>4</v>
      </c>
      <c r="F9" s="100" t="n">
        <v>4</v>
      </c>
      <c r="G9" s="99" t="n">
        <v>4</v>
      </c>
      <c r="H9" s="100" t="n">
        <v>4</v>
      </c>
      <c r="I9" s="100" t="n">
        <v>0</v>
      </c>
      <c r="J9" s="100" t="n">
        <v>0</v>
      </c>
      <c r="K9" s="100" t="n">
        <v>0</v>
      </c>
      <c r="L9" s="100" t="n">
        <v>0</v>
      </c>
      <c r="M9" s="100" t="n">
        <v>4</v>
      </c>
      <c r="N9" s="101" t="n">
        <v>0.9</v>
      </c>
      <c r="O9" s="101" t="n">
        <v>0.80639733</v>
      </c>
      <c r="P9" s="101" t="n">
        <v>0</v>
      </c>
      <c r="Q9" s="101" t="n">
        <v>0.80639733</v>
      </c>
      <c r="R9" s="101" t="n">
        <v>-0.093603</v>
      </c>
      <c r="S9" s="101" t="n">
        <v>0.80639733</v>
      </c>
      <c r="T9" s="101" t="n">
        <v>-0.093603</v>
      </c>
      <c r="U9" s="102" t="n">
        <v>0.15</v>
      </c>
      <c r="V9" s="44"/>
      <c r="W9" s="140" t="s">
        <v>1844</v>
      </c>
      <c r="X9" s="156" t="n">
        <v>-1</v>
      </c>
      <c r="Y9" s="44"/>
    </row>
    <row r="10" customFormat="false" ht="14.25" hidden="false" customHeight="true" outlineLevel="0" collapsed="false">
      <c r="A10" s="44"/>
      <c r="B10" s="98" t="s">
        <v>981</v>
      </c>
      <c r="C10" s="98" t="s">
        <v>1843</v>
      </c>
      <c r="D10" s="98" t="s">
        <v>1841</v>
      </c>
      <c r="E10" s="99" t="n">
        <v>7.5</v>
      </c>
      <c r="F10" s="100" t="n">
        <v>6</v>
      </c>
      <c r="G10" s="99" t="n">
        <v>5.6</v>
      </c>
      <c r="H10" s="100" t="n">
        <v>5</v>
      </c>
      <c r="I10" s="100" t="n">
        <v>1</v>
      </c>
      <c r="J10" s="100" t="n">
        <v>0</v>
      </c>
      <c r="K10" s="100" t="n">
        <v>0</v>
      </c>
      <c r="L10" s="100" t="n">
        <v>1</v>
      </c>
      <c r="M10" s="100" t="n">
        <v>5</v>
      </c>
      <c r="N10" s="101" t="n">
        <v>1.7</v>
      </c>
      <c r="O10" s="101" t="n">
        <v>1.26727278</v>
      </c>
      <c r="P10" s="101" t="n">
        <v>0</v>
      </c>
      <c r="Q10" s="101" t="n">
        <v>1.26727278</v>
      </c>
      <c r="R10" s="101" t="n">
        <v>-0.432727</v>
      </c>
      <c r="S10" s="101" t="n">
        <v>1.06441953</v>
      </c>
      <c r="T10" s="101" t="n">
        <v>-0.63558</v>
      </c>
      <c r="U10" s="102" t="n">
        <v>0.7</v>
      </c>
      <c r="V10" s="44"/>
      <c r="W10" s="157" t="s">
        <v>1847</v>
      </c>
      <c r="X10" s="158" t="n">
        <v>0.4695</v>
      </c>
      <c r="Y10" s="44"/>
    </row>
    <row r="11" customFormat="false" ht="14.25" hidden="false" customHeight="true" outlineLevel="0" collapsed="false">
      <c r="A11" s="44"/>
      <c r="B11" s="98" t="s">
        <v>971</v>
      </c>
      <c r="C11" s="98" t="s">
        <v>1843</v>
      </c>
      <c r="D11" s="98" t="s">
        <v>1841</v>
      </c>
      <c r="E11" s="99" t="n">
        <v>7.5</v>
      </c>
      <c r="F11" s="100" t="n">
        <v>9</v>
      </c>
      <c r="G11" s="99" t="n">
        <v>9</v>
      </c>
      <c r="H11" s="100" t="n">
        <v>9</v>
      </c>
      <c r="I11" s="100" t="n">
        <v>0</v>
      </c>
      <c r="J11" s="100" t="n">
        <v>0</v>
      </c>
      <c r="K11" s="100" t="n">
        <v>9</v>
      </c>
      <c r="L11" s="100" t="n">
        <v>0</v>
      </c>
      <c r="M11" s="100" t="n">
        <v>9</v>
      </c>
      <c r="N11" s="101" t="n">
        <v>0.68</v>
      </c>
      <c r="O11" s="101" t="n">
        <v>0.58</v>
      </c>
      <c r="P11" s="101" t="n">
        <v>0</v>
      </c>
      <c r="Q11" s="101" t="n">
        <v>0.58</v>
      </c>
      <c r="R11" s="101" t="n">
        <v>-0.1</v>
      </c>
      <c r="S11" s="101" t="n">
        <v>0.58</v>
      </c>
      <c r="T11" s="101" t="n">
        <v>-0.1</v>
      </c>
      <c r="U11" s="102" t="n">
        <v>0.15</v>
      </c>
      <c r="V11" s="44"/>
      <c r="W11" s="157"/>
      <c r="X11" s="158"/>
      <c r="Y11" s="44"/>
    </row>
    <row r="12" customFormat="false" ht="14.25" hidden="false" customHeight="true" outlineLevel="0" collapsed="false">
      <c r="A12" s="44"/>
      <c r="B12" s="114" t="s">
        <v>1852</v>
      </c>
      <c r="C12" s="114"/>
      <c r="D12" s="114"/>
      <c r="E12" s="115" t="n">
        <v>26.5</v>
      </c>
      <c r="F12" s="116" t="n">
        <v>27</v>
      </c>
      <c r="G12" s="115" t="n">
        <v>26.6</v>
      </c>
      <c r="H12" s="116" t="n">
        <v>22</v>
      </c>
      <c r="I12" s="116" t="n">
        <v>5</v>
      </c>
      <c r="J12" s="116" t="n">
        <v>0</v>
      </c>
      <c r="K12" s="116" t="n">
        <v>10</v>
      </c>
      <c r="L12" s="116" t="n">
        <v>4</v>
      </c>
      <c r="M12" s="116" t="n">
        <v>23</v>
      </c>
      <c r="N12" s="117" t="n">
        <v>4.98</v>
      </c>
      <c r="O12" s="117" t="n">
        <v>4.279847106</v>
      </c>
      <c r="P12" s="117" t="n">
        <v>0</v>
      </c>
      <c r="Q12" s="117" t="n">
        <v>4.279847106</v>
      </c>
      <c r="R12" s="117" t="n">
        <v>-0.700153</v>
      </c>
      <c r="S12" s="117" t="n">
        <v>3.366140256</v>
      </c>
      <c r="T12" s="117" t="n">
        <v>-1.61386</v>
      </c>
      <c r="U12" s="44"/>
      <c r="V12" s="44"/>
      <c r="W12" s="159"/>
      <c r="X12" s="159"/>
      <c r="Y12" s="159"/>
    </row>
    <row r="13" customFormat="false" ht="14.25" hidden="false" customHeight="true" outlineLevel="0" collapsed="false">
      <c r="A13" s="44"/>
      <c r="B13" s="96" t="s">
        <v>1854</v>
      </c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44"/>
      <c r="V13" s="44"/>
      <c r="W13" s="159" t="s">
        <v>1848</v>
      </c>
      <c r="X13" s="160"/>
      <c r="Y13" s="160"/>
    </row>
    <row r="14" customFormat="false" ht="14.25" hidden="false" customHeight="true" outlineLevel="0" collapsed="false">
      <c r="A14" s="44"/>
      <c r="B14" s="98" t="s">
        <v>1032</v>
      </c>
      <c r="C14" s="98" t="s">
        <v>1856</v>
      </c>
      <c r="D14" s="98"/>
      <c r="E14" s="99"/>
      <c r="F14" s="100" t="n">
        <v>8</v>
      </c>
      <c r="G14" s="99" t="n">
        <v>8</v>
      </c>
      <c r="H14" s="100" t="n">
        <v>6</v>
      </c>
      <c r="I14" s="100" t="n">
        <v>2</v>
      </c>
      <c r="J14" s="100" t="n">
        <v>2</v>
      </c>
      <c r="K14" s="100" t="n">
        <v>0</v>
      </c>
      <c r="L14" s="100" t="n">
        <v>0</v>
      </c>
      <c r="M14" s="100" t="n">
        <v>8</v>
      </c>
      <c r="N14" s="101" t="n">
        <v>1.83595565</v>
      </c>
      <c r="O14" s="101" t="n">
        <v>1.83595565</v>
      </c>
      <c r="P14" s="101" t="n">
        <v>1.83595565</v>
      </c>
      <c r="Q14" s="101" t="n">
        <v>0</v>
      </c>
      <c r="R14" s="101" t="n">
        <v>-1.835956</v>
      </c>
      <c r="S14" s="101" t="n">
        <v>1.83595565</v>
      </c>
      <c r="T14" s="101" t="n">
        <v>0</v>
      </c>
      <c r="U14" s="102" t="n">
        <v>0</v>
      </c>
      <c r="V14" s="44"/>
      <c r="W14" s="110" t="s">
        <v>1849</v>
      </c>
      <c r="X14" s="110" t="s">
        <v>1264</v>
      </c>
      <c r="Y14" s="111" t="s">
        <v>1850</v>
      </c>
    </row>
    <row r="15" customFormat="false" ht="14.25" hidden="false" customHeight="true" outlineLevel="0" collapsed="false">
      <c r="A15" s="44"/>
      <c r="B15" s="96" t="s">
        <v>1896</v>
      </c>
      <c r="C15" s="96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44"/>
      <c r="V15" s="44"/>
      <c r="W15" s="145" t="s">
        <v>1921</v>
      </c>
      <c r="X15" s="161"/>
      <c r="Y15" s="118" t="n">
        <v>0</v>
      </c>
    </row>
    <row r="16" customFormat="false" ht="14.25" hidden="false" customHeight="true" outlineLevel="0" collapsed="false">
      <c r="A16" s="44"/>
      <c r="B16" s="98" t="s">
        <v>756</v>
      </c>
      <c r="C16" s="98" t="s">
        <v>1898</v>
      </c>
      <c r="D16" s="98"/>
      <c r="E16" s="99"/>
      <c r="F16" s="100" t="n">
        <v>2</v>
      </c>
      <c r="G16" s="99" t="n">
        <v>2</v>
      </c>
      <c r="H16" s="100" t="n">
        <v>1</v>
      </c>
      <c r="I16" s="100" t="n">
        <v>1</v>
      </c>
      <c r="J16" s="100" t="n">
        <v>1</v>
      </c>
      <c r="K16" s="100" t="n">
        <v>0</v>
      </c>
      <c r="L16" s="100" t="n">
        <v>0</v>
      </c>
      <c r="M16" s="100" t="n">
        <v>2</v>
      </c>
      <c r="N16" s="101"/>
      <c r="O16" s="101" t="n">
        <v>0.4987717</v>
      </c>
      <c r="P16" s="101" t="n">
        <v>0</v>
      </c>
      <c r="Q16" s="101" t="n">
        <v>0.4987717</v>
      </c>
      <c r="R16" s="101"/>
      <c r="S16" s="101" t="n">
        <v>0.4987717</v>
      </c>
      <c r="T16" s="101"/>
      <c r="U16" s="44"/>
      <c r="V16" s="44"/>
      <c r="W16" s="145" t="s">
        <v>1922</v>
      </c>
      <c r="X16" s="161"/>
      <c r="Y16" s="90" t="n">
        <v>1.83595565</v>
      </c>
    </row>
    <row r="17" customFormat="false" ht="14.25" hidden="false" customHeight="true" outlineLevel="0" collapsed="false">
      <c r="A17" s="44"/>
      <c r="B17" s="96" t="s">
        <v>1861</v>
      </c>
      <c r="C17" s="96"/>
      <c r="D17" s="96"/>
      <c r="E17" s="96"/>
      <c r="F17" s="96"/>
      <c r="G17" s="96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44"/>
      <c r="V17" s="44"/>
      <c r="W17" s="145" t="s">
        <v>1860</v>
      </c>
      <c r="X17" s="161"/>
      <c r="Y17" s="90" t="n">
        <v>1.83595565</v>
      </c>
    </row>
    <row r="18" customFormat="false" ht="14.25" hidden="false" customHeight="true" outlineLevel="0" collapsed="false">
      <c r="A18" s="44"/>
      <c r="B18" s="98" t="s">
        <v>199</v>
      </c>
      <c r="C18" s="98"/>
      <c r="D18" s="98"/>
      <c r="E18" s="99" t="n">
        <v>0.5</v>
      </c>
      <c r="F18" s="100" t="n">
        <v>1</v>
      </c>
      <c r="G18" s="99" t="n">
        <v>1</v>
      </c>
      <c r="H18" s="100" t="n">
        <v>1</v>
      </c>
      <c r="I18" s="100" t="n">
        <v>0</v>
      </c>
      <c r="J18" s="100" t="n">
        <v>0</v>
      </c>
      <c r="K18" s="100" t="n">
        <v>0</v>
      </c>
      <c r="L18" s="100" t="n">
        <v>0</v>
      </c>
      <c r="M18" s="100" t="n">
        <v>1</v>
      </c>
      <c r="N18" s="101" t="n">
        <v>0.1375</v>
      </c>
      <c r="O18" s="101" t="n">
        <v>0.4097557</v>
      </c>
      <c r="P18" s="101" t="n">
        <v>0</v>
      </c>
      <c r="Q18" s="101" t="n">
        <v>0.4097557</v>
      </c>
      <c r="R18" s="101" t="n">
        <v>0.272256</v>
      </c>
      <c r="S18" s="101" t="n">
        <v>0.4097557</v>
      </c>
      <c r="T18" s="101" t="n">
        <v>0.272256</v>
      </c>
      <c r="U18" s="44"/>
      <c r="V18" s="44"/>
      <c r="W18" s="145" t="s">
        <v>1862</v>
      </c>
      <c r="X18" s="161"/>
      <c r="Y18" s="90" t="n">
        <v>4.02895565</v>
      </c>
    </row>
    <row r="19" customFormat="false" ht="14.25" hidden="false" customHeight="true" outlineLevel="0" collapsed="false">
      <c r="A19" s="44"/>
      <c r="B19" s="98" t="s">
        <v>203</v>
      </c>
      <c r="C19" s="98"/>
      <c r="D19" s="98"/>
      <c r="E19" s="99" t="n">
        <v>0.3</v>
      </c>
      <c r="F19" s="100" t="n">
        <v>0</v>
      </c>
      <c r="G19" s="99" t="n">
        <v>0</v>
      </c>
      <c r="H19" s="100" t="n">
        <v>0</v>
      </c>
      <c r="I19" s="100" t="n">
        <v>0</v>
      </c>
      <c r="J19" s="100" t="n">
        <v>0</v>
      </c>
      <c r="K19" s="100" t="n">
        <v>0</v>
      </c>
      <c r="L19" s="100" t="n">
        <v>0</v>
      </c>
      <c r="M19" s="100" t="n">
        <v>0</v>
      </c>
      <c r="N19" s="101" t="n">
        <v>0.084</v>
      </c>
      <c r="O19" s="101" t="n">
        <v>0</v>
      </c>
      <c r="P19" s="101" t="n">
        <v>0</v>
      </c>
      <c r="Q19" s="101" t="n">
        <v>0</v>
      </c>
      <c r="R19" s="101" t="n">
        <v>-0.084</v>
      </c>
      <c r="S19" s="101" t="n">
        <v>0</v>
      </c>
      <c r="T19" s="101" t="n">
        <v>-0.084</v>
      </c>
      <c r="U19" s="44"/>
      <c r="V19" s="44"/>
      <c r="W19" s="145" t="s">
        <v>1863</v>
      </c>
      <c r="X19" s="161"/>
      <c r="Y19" s="90" t="n">
        <v>2.193</v>
      </c>
    </row>
    <row r="20" customFormat="false" ht="14.25" hidden="false" customHeight="true" outlineLevel="0" collapsed="false">
      <c r="A20" s="44"/>
      <c r="B20" s="98" t="s">
        <v>206</v>
      </c>
      <c r="C20" s="98"/>
      <c r="D20" s="98"/>
      <c r="E20" s="99" t="n">
        <v>0.3</v>
      </c>
      <c r="F20" s="100" t="n">
        <v>2</v>
      </c>
      <c r="G20" s="99" t="n">
        <v>2</v>
      </c>
      <c r="H20" s="100" t="n">
        <v>2</v>
      </c>
      <c r="I20" s="100" t="n">
        <v>0</v>
      </c>
      <c r="J20" s="100" t="n">
        <v>0</v>
      </c>
      <c r="K20" s="100" t="n">
        <v>0</v>
      </c>
      <c r="L20" s="100" t="n">
        <v>0</v>
      </c>
      <c r="M20" s="100" t="n">
        <v>2</v>
      </c>
      <c r="N20" s="101" t="n">
        <v>0.081</v>
      </c>
      <c r="O20" s="101" t="n">
        <v>0.65127875</v>
      </c>
      <c r="P20" s="101" t="n">
        <v>0</v>
      </c>
      <c r="Q20" s="101" t="n">
        <v>0.65127875</v>
      </c>
      <c r="R20" s="101" t="n">
        <v>0.570279</v>
      </c>
      <c r="S20" s="101" t="n">
        <v>0.65127875</v>
      </c>
      <c r="T20" s="101" t="n">
        <v>0.570279</v>
      </c>
      <c r="U20" s="44"/>
      <c r="V20" s="44"/>
      <c r="W20" s="44"/>
      <c r="X20" s="44"/>
      <c r="Y20" s="44"/>
    </row>
    <row r="21" customFormat="false" ht="14.25" hidden="false" customHeight="true" outlineLevel="0" collapsed="false">
      <c r="A21" s="44"/>
      <c r="B21" s="114" t="s">
        <v>1864</v>
      </c>
      <c r="C21" s="114"/>
      <c r="D21" s="114"/>
      <c r="E21" s="115" t="n">
        <v>1.1</v>
      </c>
      <c r="F21" s="116" t="n">
        <v>3</v>
      </c>
      <c r="G21" s="115" t="n">
        <v>3</v>
      </c>
      <c r="H21" s="116" t="n">
        <v>3</v>
      </c>
      <c r="I21" s="116" t="n">
        <v>0</v>
      </c>
      <c r="J21" s="116" t="n">
        <v>0</v>
      </c>
      <c r="K21" s="116" t="n">
        <v>0</v>
      </c>
      <c r="L21" s="116" t="n">
        <v>0</v>
      </c>
      <c r="M21" s="116" t="n">
        <v>3</v>
      </c>
      <c r="N21" s="117" t="n">
        <v>0.3025</v>
      </c>
      <c r="O21" s="117" t="n">
        <v>1.06103445</v>
      </c>
      <c r="P21" s="117" t="n">
        <v>0</v>
      </c>
      <c r="Q21" s="117" t="n">
        <v>1.06103445</v>
      </c>
      <c r="R21" s="117" t="n">
        <v>0.758534</v>
      </c>
      <c r="S21" s="117" t="n">
        <v>1.06103445</v>
      </c>
      <c r="T21" s="117" t="n">
        <v>0.758534</v>
      </c>
      <c r="U21" s="44"/>
      <c r="V21" s="44"/>
      <c r="W21" s="44"/>
      <c r="X21" s="44"/>
      <c r="Y21" s="44"/>
    </row>
    <row r="22" customFormat="false" ht="14.25" hidden="false" customHeight="true" outlineLevel="0" collapsed="false">
      <c r="A22" s="44"/>
      <c r="B22" s="120" t="s">
        <v>1865</v>
      </c>
      <c r="C22" s="44"/>
      <c r="D22" s="121"/>
      <c r="E22" s="99" t="n">
        <v>1.8</v>
      </c>
      <c r="F22" s="121"/>
      <c r="G22" s="121"/>
      <c r="H22" s="121"/>
      <c r="I22" s="121"/>
      <c r="J22" s="121"/>
      <c r="K22" s="121"/>
      <c r="L22" s="121"/>
      <c r="M22" s="121"/>
      <c r="N22" s="101" t="n">
        <v>0.88</v>
      </c>
      <c r="O22" s="121"/>
      <c r="P22" s="121"/>
      <c r="Q22" s="121"/>
      <c r="R22" s="121"/>
      <c r="S22" s="121"/>
      <c r="T22" s="121"/>
      <c r="U22" s="44"/>
      <c r="V22" s="44"/>
      <c r="W22" s="44"/>
      <c r="X22" s="44"/>
      <c r="Y22" s="44"/>
    </row>
    <row r="23" customFormat="false" ht="14.25" hidden="false" customHeight="true" outlineLevel="0" collapsed="false">
      <c r="A23" s="44"/>
      <c r="B23" s="120" t="s">
        <v>1866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</row>
    <row r="24" customFormat="false" ht="14.25" hidden="false" customHeight="true" outlineLevel="0" collapsed="false">
      <c r="A24" s="44"/>
      <c r="B24" s="122" t="s">
        <v>1867</v>
      </c>
      <c r="C24" s="122"/>
      <c r="D24" s="122"/>
      <c r="E24" s="123" t="n">
        <v>29.4</v>
      </c>
      <c r="F24" s="124" t="n">
        <v>40</v>
      </c>
      <c r="G24" s="123" t="n">
        <v>39.6</v>
      </c>
      <c r="H24" s="124" t="n">
        <v>32</v>
      </c>
      <c r="I24" s="124" t="n">
        <v>8</v>
      </c>
      <c r="J24" s="124" t="n">
        <v>3</v>
      </c>
      <c r="K24" s="124" t="n">
        <v>10</v>
      </c>
      <c r="L24" s="124" t="n">
        <v>4</v>
      </c>
      <c r="M24" s="124" t="n">
        <v>36</v>
      </c>
      <c r="N24" s="125" t="n">
        <v>7.99845565</v>
      </c>
      <c r="O24" s="125" t="n">
        <v>7.675608906</v>
      </c>
      <c r="P24" s="125" t="n">
        <v>1.83595565</v>
      </c>
      <c r="Q24" s="125" t="n">
        <v>5.839653256</v>
      </c>
      <c r="R24" s="125" t="n">
        <v>-0.322847</v>
      </c>
      <c r="S24" s="125" t="n">
        <v>6.761902056</v>
      </c>
      <c r="T24" s="125" t="n">
        <v>-1.236554</v>
      </c>
      <c r="U24" s="44"/>
      <c r="V24" s="44"/>
      <c r="W24" s="44"/>
      <c r="X24" s="44"/>
      <c r="Y24" s="44"/>
    </row>
    <row r="25" customFormat="false" ht="14.25" hidden="false" customHeight="true" outlineLevel="0" collapsed="false">
      <c r="A25" s="44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</row>
    <row r="26" customFormat="false" ht="33.75" hidden="false" customHeight="true" outlineLevel="0" collapsed="false">
      <c r="A26" s="44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</row>
    <row r="27" customFormat="false" ht="15" hidden="false" customHeight="false" outlineLevel="0" collapsed="false">
      <c r="A27" s="44"/>
      <c r="B27" s="83" t="s">
        <v>1923</v>
      </c>
      <c r="C27" s="85"/>
      <c r="D27" s="85"/>
      <c r="E27" s="85"/>
      <c r="F27" s="85"/>
      <c r="G27" s="85"/>
      <c r="H27" s="98" t="s">
        <v>1869</v>
      </c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</row>
    <row r="28" customFormat="false" ht="14.25" hidden="false" customHeight="true" outlineLevel="0" collapsed="false">
      <c r="A28" s="126" t="s">
        <v>39</v>
      </c>
      <c r="B28" s="91" t="s">
        <v>40</v>
      </c>
      <c r="C28" s="91" t="s">
        <v>41</v>
      </c>
      <c r="D28" s="91" t="s">
        <v>42</v>
      </c>
      <c r="E28" s="127" t="s">
        <v>43</v>
      </c>
      <c r="F28" s="91" t="s">
        <v>44</v>
      </c>
      <c r="G28" s="128" t="s">
        <v>45</v>
      </c>
      <c r="H28" s="127" t="s">
        <v>1870</v>
      </c>
      <c r="I28" s="129" t="s">
        <v>1871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</row>
    <row r="29" customFormat="false" ht="27.75" hidden="false" customHeight="true" outlineLevel="0" collapsed="false">
      <c r="A29" s="44"/>
      <c r="B29" s="96" t="s">
        <v>970</v>
      </c>
      <c r="C29" s="96" t="s">
        <v>1880</v>
      </c>
      <c r="D29" s="96"/>
      <c r="E29" s="96"/>
      <c r="F29" s="130"/>
      <c r="G29" s="131" t="n">
        <v>1626176.996</v>
      </c>
      <c r="H29" s="131" t="n">
        <v>915323.396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</row>
    <row r="30" customFormat="false" ht="14.25" hidden="false" customHeight="true" outlineLevel="0" collapsed="false">
      <c r="A30" s="132" t="s">
        <v>972</v>
      </c>
      <c r="B30" s="98" t="s">
        <v>973</v>
      </c>
      <c r="C30" s="98" t="s">
        <v>84</v>
      </c>
      <c r="D30" s="98" t="s">
        <v>53</v>
      </c>
      <c r="E30" s="133" t="s">
        <v>53</v>
      </c>
      <c r="F30" s="134"/>
      <c r="G30" s="100" t="n">
        <v>185776.56</v>
      </c>
      <c r="H30" s="100" t="n">
        <v>185776.56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</row>
    <row r="31" customFormat="false" ht="14.25" hidden="false" customHeight="true" outlineLevel="0" collapsed="false">
      <c r="A31" s="132" t="s">
        <v>975</v>
      </c>
      <c r="B31" s="98" t="s">
        <v>976</v>
      </c>
      <c r="C31" s="98" t="s">
        <v>977</v>
      </c>
      <c r="D31" s="98" t="s">
        <v>53</v>
      </c>
      <c r="E31" s="133" t="s">
        <v>53</v>
      </c>
      <c r="F31" s="134"/>
      <c r="G31" s="100" t="n">
        <v>204006.636</v>
      </c>
      <c r="H31" s="100" t="n">
        <v>204006.636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</row>
    <row r="32" customFormat="false" ht="14.25" hidden="false" customHeight="true" outlineLevel="0" collapsed="false">
      <c r="A32" s="132" t="s">
        <v>978</v>
      </c>
      <c r="B32" s="98" t="s">
        <v>979</v>
      </c>
      <c r="C32" s="98" t="s">
        <v>980</v>
      </c>
      <c r="D32" s="98" t="s">
        <v>53</v>
      </c>
      <c r="E32" s="133" t="s">
        <v>53</v>
      </c>
      <c r="F32" s="134"/>
      <c r="G32" s="100" t="n">
        <v>243984.6</v>
      </c>
      <c r="H32" s="100" t="n">
        <v>243984.6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</row>
    <row r="33" customFormat="false" ht="14.25" hidden="false" customHeight="true" outlineLevel="0" collapsed="false">
      <c r="A33" s="132" t="s">
        <v>982</v>
      </c>
      <c r="B33" s="98" t="s">
        <v>983</v>
      </c>
      <c r="C33" s="98" t="s">
        <v>984</v>
      </c>
      <c r="D33" s="98" t="s">
        <v>53</v>
      </c>
      <c r="E33" s="133" t="s">
        <v>53</v>
      </c>
      <c r="F33" s="134"/>
      <c r="G33" s="100" t="n">
        <v>213359.7</v>
      </c>
      <c r="H33" s="100" t="n">
        <v>213359.7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</row>
    <row r="34" customFormat="false" ht="14.25" hidden="false" customHeight="true" outlineLevel="0" collapsed="false">
      <c r="A34" s="132" t="s">
        <v>985</v>
      </c>
      <c r="B34" s="98" t="s">
        <v>69</v>
      </c>
      <c r="C34" s="98" t="s">
        <v>290</v>
      </c>
      <c r="D34" s="98" t="s">
        <v>69</v>
      </c>
      <c r="E34" s="133" t="s">
        <v>78</v>
      </c>
      <c r="F34" s="134"/>
      <c r="G34" s="100" t="n">
        <v>202853.25</v>
      </c>
      <c r="H34" s="100" t="n">
        <v>0</v>
      </c>
      <c r="I34" s="135" t="s">
        <v>1878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</row>
    <row r="35" customFormat="false" ht="14.25" hidden="false" customHeight="true" outlineLevel="0" collapsed="false">
      <c r="A35" s="132" t="s">
        <v>986</v>
      </c>
      <c r="B35" s="98" t="s">
        <v>69</v>
      </c>
      <c r="C35" s="98" t="s">
        <v>77</v>
      </c>
      <c r="D35" s="98" t="s">
        <v>69</v>
      </c>
      <c r="E35" s="133" t="s">
        <v>78</v>
      </c>
      <c r="F35" s="134"/>
      <c r="G35" s="100" t="n">
        <v>202853.25</v>
      </c>
      <c r="H35" s="100" t="n">
        <v>0</v>
      </c>
      <c r="I35" s="135" t="s">
        <v>1924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</row>
    <row r="36" customFormat="false" ht="14.25" hidden="false" customHeight="true" outlineLevel="0" collapsed="false">
      <c r="A36" s="132" t="s">
        <v>987</v>
      </c>
      <c r="B36" s="98" t="s">
        <v>822</v>
      </c>
      <c r="C36" s="98" t="s">
        <v>89</v>
      </c>
      <c r="D36" s="98" t="s">
        <v>69</v>
      </c>
      <c r="E36" s="133" t="s">
        <v>78</v>
      </c>
      <c r="F36" s="134"/>
      <c r="G36" s="100" t="n">
        <v>202853.25</v>
      </c>
      <c r="H36" s="100" t="n">
        <v>0</v>
      </c>
      <c r="I36" s="135" t="s">
        <v>1878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</row>
    <row r="37" customFormat="false" ht="14.25" hidden="false" customHeight="true" outlineLevel="0" collapsed="false">
      <c r="A37" s="132" t="s">
        <v>988</v>
      </c>
      <c r="B37" s="98" t="s">
        <v>69</v>
      </c>
      <c r="C37" s="98" t="s">
        <v>80</v>
      </c>
      <c r="D37" s="98" t="s">
        <v>69</v>
      </c>
      <c r="E37" s="133" t="s">
        <v>71</v>
      </c>
      <c r="F37" s="134"/>
      <c r="G37" s="100" t="n">
        <v>170489.75</v>
      </c>
      <c r="H37" s="100" t="n">
        <v>68195.9</v>
      </c>
      <c r="I37" s="135" t="s">
        <v>1878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</row>
    <row r="38" customFormat="false" ht="14.25" hidden="false" customHeight="true" outlineLevel="0" collapsed="false">
      <c r="A38" s="44"/>
      <c r="B38" s="96" t="s">
        <v>974</v>
      </c>
      <c r="C38" s="96" t="s">
        <v>1883</v>
      </c>
      <c r="D38" s="96"/>
      <c r="E38" s="96"/>
      <c r="F38" s="96"/>
      <c r="G38" s="131" t="n">
        <v>806397.33</v>
      </c>
      <c r="H38" s="131" t="n">
        <v>806397.33</v>
      </c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</row>
    <row r="39" customFormat="false" ht="14.25" hidden="false" customHeight="true" outlineLevel="0" collapsed="false">
      <c r="A39" s="132" t="s">
        <v>989</v>
      </c>
      <c r="B39" s="98" t="s">
        <v>990</v>
      </c>
      <c r="C39" s="98" t="s">
        <v>991</v>
      </c>
      <c r="D39" s="98" t="s">
        <v>53</v>
      </c>
      <c r="E39" s="133" t="s">
        <v>53</v>
      </c>
      <c r="F39" s="134"/>
      <c r="G39" s="100" t="n">
        <v>184871.28</v>
      </c>
      <c r="H39" s="100" t="n">
        <v>184871.28</v>
      </c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</row>
    <row r="40" customFormat="false" ht="14.25" hidden="false" customHeight="true" outlineLevel="0" collapsed="false">
      <c r="A40" s="132" t="s">
        <v>992</v>
      </c>
      <c r="B40" s="98" t="s">
        <v>993</v>
      </c>
      <c r="C40" s="98" t="s">
        <v>991</v>
      </c>
      <c r="D40" s="98" t="s">
        <v>53</v>
      </c>
      <c r="E40" s="133" t="s">
        <v>53</v>
      </c>
      <c r="F40" s="134"/>
      <c r="G40" s="100" t="n">
        <v>231582.45</v>
      </c>
      <c r="H40" s="100" t="n">
        <v>231582.45</v>
      </c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</row>
    <row r="41" customFormat="false" ht="14.25" hidden="false" customHeight="true" outlineLevel="0" collapsed="false">
      <c r="A41" s="132" t="s">
        <v>994</v>
      </c>
      <c r="B41" s="98" t="s">
        <v>995</v>
      </c>
      <c r="C41" s="98" t="s">
        <v>996</v>
      </c>
      <c r="D41" s="98" t="s">
        <v>53</v>
      </c>
      <c r="E41" s="133" t="s">
        <v>53</v>
      </c>
      <c r="F41" s="134"/>
      <c r="G41" s="100" t="n">
        <v>208473.6</v>
      </c>
      <c r="H41" s="100" t="n">
        <v>208473.6</v>
      </c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</row>
    <row r="42" customFormat="false" ht="14.25" hidden="false" customHeight="true" outlineLevel="0" collapsed="false">
      <c r="A42" s="132" t="s">
        <v>997</v>
      </c>
      <c r="B42" s="98" t="s">
        <v>998</v>
      </c>
      <c r="C42" s="98" t="s">
        <v>996</v>
      </c>
      <c r="D42" s="98" t="s">
        <v>53</v>
      </c>
      <c r="E42" s="133" t="s">
        <v>53</v>
      </c>
      <c r="F42" s="134"/>
      <c r="G42" s="100" t="n">
        <v>181470</v>
      </c>
      <c r="H42" s="100" t="n">
        <v>181470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</row>
    <row r="43" customFormat="false" ht="14.25" hidden="false" customHeight="true" outlineLevel="0" collapsed="false">
      <c r="A43" s="44"/>
      <c r="B43" s="96" t="s">
        <v>1032</v>
      </c>
      <c r="C43" s="96" t="s">
        <v>1880</v>
      </c>
      <c r="D43" s="96"/>
      <c r="E43" s="96"/>
      <c r="F43" s="96"/>
      <c r="G43" s="131" t="n">
        <v>1835955.65</v>
      </c>
      <c r="H43" s="131" t="n">
        <v>1835955.65</v>
      </c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</row>
    <row r="44" customFormat="false" ht="14.25" hidden="false" customHeight="true" outlineLevel="0" collapsed="false">
      <c r="A44" s="132" t="s">
        <v>1033</v>
      </c>
      <c r="B44" s="98" t="s">
        <v>1034</v>
      </c>
      <c r="C44" s="98" t="s">
        <v>1035</v>
      </c>
      <c r="D44" s="98" t="s">
        <v>53</v>
      </c>
      <c r="E44" s="133" t="s">
        <v>53</v>
      </c>
      <c r="F44" s="134"/>
      <c r="G44" s="100" t="n">
        <v>263635.8</v>
      </c>
      <c r="H44" s="100" t="n">
        <v>263635.8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</row>
    <row r="45" customFormat="false" ht="14.25" hidden="false" customHeight="true" outlineLevel="0" collapsed="false">
      <c r="A45" s="132" t="s">
        <v>1036</v>
      </c>
      <c r="B45" s="98" t="s">
        <v>1037</v>
      </c>
      <c r="C45" s="98" t="s">
        <v>1038</v>
      </c>
      <c r="D45" s="98" t="s">
        <v>53</v>
      </c>
      <c r="E45" s="133" t="s">
        <v>53</v>
      </c>
      <c r="F45" s="134"/>
      <c r="G45" s="100" t="n">
        <v>250993.35</v>
      </c>
      <c r="H45" s="100" t="n">
        <v>250993.35</v>
      </c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</row>
    <row r="46" customFormat="false" ht="14.25" hidden="false" customHeight="true" outlineLevel="0" collapsed="false">
      <c r="A46" s="132" t="s">
        <v>1039</v>
      </c>
      <c r="B46" s="98" t="s">
        <v>69</v>
      </c>
      <c r="C46" s="98" t="s">
        <v>77</v>
      </c>
      <c r="D46" s="98" t="s">
        <v>69</v>
      </c>
      <c r="E46" s="133" t="s">
        <v>82</v>
      </c>
      <c r="F46" s="134"/>
      <c r="G46" s="100" t="n">
        <v>202853.25</v>
      </c>
      <c r="H46" s="100" t="n">
        <v>202853.25</v>
      </c>
      <c r="I46" s="135" t="s">
        <v>1925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</row>
    <row r="47" customFormat="false" ht="14.25" hidden="false" customHeight="true" outlineLevel="0" collapsed="false">
      <c r="A47" s="132" t="s">
        <v>1040</v>
      </c>
      <c r="B47" s="98" t="s">
        <v>1041</v>
      </c>
      <c r="C47" s="98" t="s">
        <v>1042</v>
      </c>
      <c r="D47" s="98" t="s">
        <v>53</v>
      </c>
      <c r="E47" s="133" t="s">
        <v>53</v>
      </c>
      <c r="F47" s="134"/>
      <c r="G47" s="100" t="n">
        <v>240300</v>
      </c>
      <c r="H47" s="100" t="n">
        <v>240300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</row>
    <row r="48" customFormat="false" ht="14.25" hidden="false" customHeight="true" outlineLevel="0" collapsed="false">
      <c r="A48" s="132" t="s">
        <v>1043</v>
      </c>
      <c r="B48" s="98" t="s">
        <v>1044</v>
      </c>
      <c r="C48" s="98" t="s">
        <v>1045</v>
      </c>
      <c r="D48" s="98" t="s">
        <v>53</v>
      </c>
      <c r="E48" s="133" t="s">
        <v>53</v>
      </c>
      <c r="F48" s="134"/>
      <c r="G48" s="100" t="n">
        <v>237763.5</v>
      </c>
      <c r="H48" s="100" t="n">
        <v>237763.5</v>
      </c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</row>
    <row r="49" customFormat="false" ht="14.25" hidden="false" customHeight="true" outlineLevel="0" collapsed="false">
      <c r="A49" s="132" t="s">
        <v>1046</v>
      </c>
      <c r="B49" s="98" t="s">
        <v>1047</v>
      </c>
      <c r="C49" s="98" t="s">
        <v>1045</v>
      </c>
      <c r="D49" s="98" t="s">
        <v>53</v>
      </c>
      <c r="E49" s="133" t="s">
        <v>53</v>
      </c>
      <c r="F49" s="134"/>
      <c r="G49" s="100" t="n">
        <v>242970</v>
      </c>
      <c r="H49" s="100" t="n">
        <v>242970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</row>
    <row r="50" customFormat="false" ht="14.25" hidden="false" customHeight="true" outlineLevel="0" collapsed="false">
      <c r="A50" s="132" t="s">
        <v>1048</v>
      </c>
      <c r="B50" s="98" t="s">
        <v>1049</v>
      </c>
      <c r="C50" s="98" t="s">
        <v>1050</v>
      </c>
      <c r="D50" s="98" t="s">
        <v>53</v>
      </c>
      <c r="E50" s="133" t="s">
        <v>53</v>
      </c>
      <c r="F50" s="134"/>
      <c r="G50" s="100" t="n">
        <v>226950</v>
      </c>
      <c r="H50" s="100" t="n">
        <v>226950</v>
      </c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</row>
    <row r="51" customFormat="false" ht="14.25" hidden="false" customHeight="true" outlineLevel="0" collapsed="false">
      <c r="A51" s="132" t="s">
        <v>1051</v>
      </c>
      <c r="B51" s="98" t="s">
        <v>822</v>
      </c>
      <c r="C51" s="98" t="s">
        <v>80</v>
      </c>
      <c r="D51" s="98" t="s">
        <v>69</v>
      </c>
      <c r="E51" s="133" t="s">
        <v>82</v>
      </c>
      <c r="F51" s="134"/>
      <c r="G51" s="100" t="n">
        <v>170489.75</v>
      </c>
      <c r="H51" s="100" t="n">
        <v>170489.75</v>
      </c>
      <c r="I51" s="135" t="s">
        <v>1926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</row>
    <row r="52" customFormat="false" ht="14.25" hidden="false" customHeight="true" outlineLevel="0" collapsed="false">
      <c r="A52" s="44"/>
      <c r="B52" s="96" t="s">
        <v>756</v>
      </c>
      <c r="C52" s="96" t="s">
        <v>1913</v>
      </c>
      <c r="D52" s="96"/>
      <c r="E52" s="96"/>
      <c r="F52" s="96"/>
      <c r="G52" s="131" t="n">
        <v>498771.7</v>
      </c>
      <c r="H52" s="131" t="n">
        <v>498771.7</v>
      </c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</row>
    <row r="53" customFormat="false" ht="14.25" hidden="false" customHeight="true" outlineLevel="0" collapsed="false">
      <c r="A53" s="132" t="s">
        <v>1052</v>
      </c>
      <c r="B53" s="98" t="s">
        <v>1053</v>
      </c>
      <c r="C53" s="98" t="s">
        <v>1054</v>
      </c>
      <c r="D53" s="98" t="s">
        <v>53</v>
      </c>
      <c r="E53" s="133" t="s">
        <v>53</v>
      </c>
      <c r="F53" s="134"/>
      <c r="G53" s="100" t="n">
        <v>295918.45</v>
      </c>
      <c r="H53" s="100" t="n">
        <v>295918.45</v>
      </c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</row>
    <row r="54" customFormat="false" ht="14.25" hidden="false" customHeight="true" outlineLevel="0" collapsed="false">
      <c r="A54" s="132" t="s">
        <v>1055</v>
      </c>
      <c r="B54" s="98" t="s">
        <v>69</v>
      </c>
      <c r="C54" s="98" t="s">
        <v>1056</v>
      </c>
      <c r="D54" s="98" t="s">
        <v>69</v>
      </c>
      <c r="E54" s="133" t="s">
        <v>82</v>
      </c>
      <c r="F54" s="134"/>
      <c r="G54" s="100" t="n">
        <v>202853.25</v>
      </c>
      <c r="H54" s="100" t="n">
        <v>202853.25</v>
      </c>
      <c r="I54" s="135" t="s">
        <v>1878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</row>
    <row r="55" customFormat="false" ht="14.25" hidden="false" customHeight="true" outlineLevel="0" collapsed="false">
      <c r="A55" s="44"/>
      <c r="B55" s="96" t="s">
        <v>981</v>
      </c>
      <c r="C55" s="96" t="s">
        <v>1877</v>
      </c>
      <c r="D55" s="96"/>
      <c r="E55" s="96"/>
      <c r="F55" s="96"/>
      <c r="G55" s="131" t="n">
        <v>1267272.78</v>
      </c>
      <c r="H55" s="131" t="n">
        <v>1064419.53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</row>
    <row r="56" customFormat="false" ht="14.25" hidden="false" customHeight="true" outlineLevel="0" collapsed="false">
      <c r="A56" s="132" t="s">
        <v>999</v>
      </c>
      <c r="B56" s="98" t="s">
        <v>1000</v>
      </c>
      <c r="C56" s="98" t="s">
        <v>1001</v>
      </c>
      <c r="D56" s="98" t="s">
        <v>53</v>
      </c>
      <c r="E56" s="133" t="s">
        <v>53</v>
      </c>
      <c r="F56" s="134"/>
      <c r="G56" s="100" t="n">
        <v>255372.15</v>
      </c>
      <c r="H56" s="100" t="n">
        <v>255372.15</v>
      </c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</row>
    <row r="57" customFormat="false" ht="14.25" hidden="false" customHeight="true" outlineLevel="0" collapsed="false">
      <c r="A57" s="132" t="s">
        <v>1002</v>
      </c>
      <c r="B57" s="98" t="s">
        <v>1003</v>
      </c>
      <c r="C57" s="98" t="s">
        <v>84</v>
      </c>
      <c r="D57" s="98" t="s">
        <v>53</v>
      </c>
      <c r="E57" s="133" t="s">
        <v>53</v>
      </c>
      <c r="F57" s="134"/>
      <c r="G57" s="100" t="n">
        <v>157941.18</v>
      </c>
      <c r="H57" s="100" t="n">
        <v>157941.18</v>
      </c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</row>
    <row r="58" customFormat="false" ht="14.25" hidden="false" customHeight="true" outlineLevel="0" collapsed="false">
      <c r="A58" s="132" t="s">
        <v>1004</v>
      </c>
      <c r="B58" s="98" t="s">
        <v>1005</v>
      </c>
      <c r="C58" s="98" t="s">
        <v>133</v>
      </c>
      <c r="D58" s="98" t="s">
        <v>53</v>
      </c>
      <c r="E58" s="133" t="s">
        <v>53</v>
      </c>
      <c r="F58" s="134"/>
      <c r="G58" s="100" t="n">
        <v>249124.35</v>
      </c>
      <c r="H58" s="100" t="n">
        <v>249124.35</v>
      </c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</row>
    <row r="59" customFormat="false" ht="14.25" hidden="false" customHeight="true" outlineLevel="0" collapsed="false">
      <c r="A59" s="132" t="s">
        <v>1006</v>
      </c>
      <c r="B59" s="98" t="s">
        <v>1007</v>
      </c>
      <c r="C59" s="98" t="s">
        <v>693</v>
      </c>
      <c r="D59" s="98" t="s">
        <v>53</v>
      </c>
      <c r="E59" s="133" t="s">
        <v>53</v>
      </c>
      <c r="F59" s="134"/>
      <c r="G59" s="100" t="n">
        <v>222357.6</v>
      </c>
      <c r="H59" s="100" t="n">
        <v>222357.6</v>
      </c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</row>
    <row r="60" customFormat="false" ht="14.25" hidden="false" customHeight="true" outlineLevel="0" collapsed="false">
      <c r="A60" s="132" t="s">
        <v>1008</v>
      </c>
      <c r="B60" s="98" t="s">
        <v>1009</v>
      </c>
      <c r="C60" s="98" t="s">
        <v>1010</v>
      </c>
      <c r="D60" s="98" t="s">
        <v>69</v>
      </c>
      <c r="E60" s="133" t="s">
        <v>78</v>
      </c>
      <c r="F60" s="134"/>
      <c r="G60" s="100" t="n">
        <v>202853.25</v>
      </c>
      <c r="H60" s="100" t="n">
        <v>0</v>
      </c>
      <c r="I60" s="135" t="s">
        <v>1909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</row>
    <row r="61" customFormat="false" ht="14.25" hidden="false" customHeight="true" outlineLevel="0" collapsed="false">
      <c r="A61" s="132" t="s">
        <v>1011</v>
      </c>
      <c r="B61" s="98" t="s">
        <v>1012</v>
      </c>
      <c r="C61" s="98" t="s">
        <v>693</v>
      </c>
      <c r="D61" s="98" t="s">
        <v>53</v>
      </c>
      <c r="E61" s="133" t="s">
        <v>53</v>
      </c>
      <c r="F61" s="134"/>
      <c r="G61" s="100" t="n">
        <v>179624.25</v>
      </c>
      <c r="H61" s="100" t="n">
        <v>179624.25</v>
      </c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</row>
    <row r="62" customFormat="false" ht="14.25" hidden="false" customHeight="true" outlineLevel="0" collapsed="false">
      <c r="A62" s="44"/>
      <c r="B62" s="150" t="s">
        <v>971</v>
      </c>
      <c r="C62" s="150" t="s">
        <v>1910</v>
      </c>
      <c r="D62" s="150"/>
      <c r="E62" s="150"/>
      <c r="F62" s="150"/>
      <c r="G62" s="151" t="n">
        <v>580000</v>
      </c>
      <c r="H62" s="151" t="n">
        <v>580000</v>
      </c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</row>
    <row r="63" customFormat="false" ht="14.25" hidden="false" customHeight="true" outlineLevel="0" collapsed="false">
      <c r="A63" s="132" t="s">
        <v>1013</v>
      </c>
      <c r="B63" s="98" t="s">
        <v>1014</v>
      </c>
      <c r="C63" s="98" t="s">
        <v>1015</v>
      </c>
      <c r="D63" s="98" t="s">
        <v>53</v>
      </c>
      <c r="E63" s="133" t="s">
        <v>71</v>
      </c>
      <c r="F63" s="134"/>
      <c r="G63" s="100" t="n">
        <v>64444.4444444444</v>
      </c>
      <c r="H63" s="100" t="n">
        <v>64444.4444444444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</row>
    <row r="64" customFormat="false" ht="14.25" hidden="false" customHeight="true" outlineLevel="0" collapsed="false">
      <c r="A64" s="132" t="s">
        <v>1016</v>
      </c>
      <c r="B64" s="98" t="s">
        <v>1017</v>
      </c>
      <c r="C64" s="98" t="s">
        <v>1015</v>
      </c>
      <c r="D64" s="98" t="s">
        <v>53</v>
      </c>
      <c r="E64" s="133" t="s">
        <v>71</v>
      </c>
      <c r="F64" s="134"/>
      <c r="G64" s="100" t="n">
        <v>64444.4444444444</v>
      </c>
      <c r="H64" s="100" t="n">
        <v>64444.4444444444</v>
      </c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</row>
    <row r="65" customFormat="false" ht="14.25" hidden="false" customHeight="true" outlineLevel="0" collapsed="false">
      <c r="A65" s="132" t="s">
        <v>1018</v>
      </c>
      <c r="B65" s="98" t="s">
        <v>1019</v>
      </c>
      <c r="C65" s="98" t="s">
        <v>1015</v>
      </c>
      <c r="D65" s="98" t="s">
        <v>53</v>
      </c>
      <c r="E65" s="133" t="s">
        <v>71</v>
      </c>
      <c r="F65" s="134"/>
      <c r="G65" s="100" t="n">
        <v>64444.4444444444</v>
      </c>
      <c r="H65" s="100" t="n">
        <v>64444.4444444444</v>
      </c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</row>
    <row r="66" customFormat="false" ht="14.25" hidden="false" customHeight="true" outlineLevel="0" collapsed="false">
      <c r="A66" s="132" t="s">
        <v>1020</v>
      </c>
      <c r="B66" s="98" t="s">
        <v>1021</v>
      </c>
      <c r="C66" s="98" t="s">
        <v>1015</v>
      </c>
      <c r="D66" s="98" t="s">
        <v>53</v>
      </c>
      <c r="E66" s="133" t="s">
        <v>71</v>
      </c>
      <c r="F66" s="134"/>
      <c r="G66" s="100" t="n">
        <v>64444.4444444444</v>
      </c>
      <c r="H66" s="100" t="n">
        <v>64444.4444444444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</row>
    <row r="67" customFormat="false" ht="14.25" hidden="false" customHeight="true" outlineLevel="0" collapsed="false">
      <c r="A67" s="132" t="s">
        <v>1022</v>
      </c>
      <c r="B67" s="98" t="s">
        <v>1023</v>
      </c>
      <c r="C67" s="98" t="s">
        <v>1015</v>
      </c>
      <c r="D67" s="98" t="s">
        <v>53</v>
      </c>
      <c r="E67" s="133" t="s">
        <v>71</v>
      </c>
      <c r="F67" s="134"/>
      <c r="G67" s="100" t="n">
        <v>64444.4444444444</v>
      </c>
      <c r="H67" s="100" t="n">
        <v>64444.4444444444</v>
      </c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</row>
    <row r="68" customFormat="false" ht="14.25" hidden="false" customHeight="true" outlineLevel="0" collapsed="false">
      <c r="A68" s="132" t="s">
        <v>1024</v>
      </c>
      <c r="B68" s="98" t="s">
        <v>1025</v>
      </c>
      <c r="C68" s="98" t="s">
        <v>1015</v>
      </c>
      <c r="D68" s="98" t="s">
        <v>53</v>
      </c>
      <c r="E68" s="133" t="s">
        <v>71</v>
      </c>
      <c r="F68" s="134"/>
      <c r="G68" s="100" t="n">
        <v>64444.4444444444</v>
      </c>
      <c r="H68" s="100" t="n">
        <v>64444.4444444444</v>
      </c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</row>
    <row r="69" customFormat="false" ht="14.25" hidden="false" customHeight="true" outlineLevel="0" collapsed="false">
      <c r="A69" s="132" t="s">
        <v>1026</v>
      </c>
      <c r="B69" s="98" t="s">
        <v>1027</v>
      </c>
      <c r="C69" s="98" t="s">
        <v>1015</v>
      </c>
      <c r="D69" s="98" t="s">
        <v>53</v>
      </c>
      <c r="E69" s="133" t="s">
        <v>71</v>
      </c>
      <c r="F69" s="134"/>
      <c r="G69" s="100" t="n">
        <v>64444.4444444444</v>
      </c>
      <c r="H69" s="100" t="n">
        <v>64444.4444444444</v>
      </c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</row>
    <row r="70" customFormat="false" ht="14.25" hidden="false" customHeight="true" outlineLevel="0" collapsed="false">
      <c r="A70" s="132" t="s">
        <v>1028</v>
      </c>
      <c r="B70" s="98" t="s">
        <v>1029</v>
      </c>
      <c r="C70" s="98" t="s">
        <v>1015</v>
      </c>
      <c r="D70" s="98" t="s">
        <v>53</v>
      </c>
      <c r="E70" s="133" t="s">
        <v>71</v>
      </c>
      <c r="F70" s="134"/>
      <c r="G70" s="100" t="n">
        <v>64444.4444444444</v>
      </c>
      <c r="H70" s="100" t="n">
        <v>64444.4444444444</v>
      </c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</row>
    <row r="71" customFormat="false" ht="14.25" hidden="false" customHeight="true" outlineLevel="0" collapsed="false">
      <c r="A71" s="132" t="s">
        <v>1030</v>
      </c>
      <c r="B71" s="98" t="s">
        <v>1031</v>
      </c>
      <c r="C71" s="98" t="s">
        <v>1015</v>
      </c>
      <c r="D71" s="98" t="s">
        <v>53</v>
      </c>
      <c r="E71" s="133" t="s">
        <v>71</v>
      </c>
      <c r="F71" s="134"/>
      <c r="G71" s="100" t="n">
        <v>64444.4444444444</v>
      </c>
      <c r="H71" s="100" t="n">
        <v>64444.4444444444</v>
      </c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</row>
    <row r="72" customFormat="false" ht="14.25" hidden="false" customHeight="true" outlineLevel="0" collapsed="false">
      <c r="A72" s="44"/>
      <c r="B72" s="96" t="s">
        <v>199</v>
      </c>
      <c r="C72" s="96" t="s">
        <v>1884</v>
      </c>
      <c r="D72" s="96"/>
      <c r="E72" s="96"/>
      <c r="F72" s="96"/>
      <c r="G72" s="131" t="n">
        <v>409755.7</v>
      </c>
      <c r="H72" s="131" t="n">
        <v>409755.7</v>
      </c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</row>
    <row r="73" customFormat="false" ht="14.25" hidden="false" customHeight="true" outlineLevel="0" collapsed="false">
      <c r="A73" s="132" t="s">
        <v>1057</v>
      </c>
      <c r="B73" s="98" t="s">
        <v>1058</v>
      </c>
      <c r="C73" s="98" t="s">
        <v>1059</v>
      </c>
      <c r="D73" s="98" t="s">
        <v>53</v>
      </c>
      <c r="E73" s="133" t="s">
        <v>53</v>
      </c>
      <c r="F73" s="134"/>
      <c r="G73" s="100" t="n">
        <v>409755.7</v>
      </c>
      <c r="H73" s="100" t="n">
        <v>409755.7</v>
      </c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</row>
    <row r="74" customFormat="false" ht="14.25" hidden="false" customHeight="true" outlineLevel="0" collapsed="false">
      <c r="A74" s="44"/>
      <c r="B74" s="96" t="s">
        <v>206</v>
      </c>
      <c r="C74" s="96" t="s">
        <v>1913</v>
      </c>
      <c r="D74" s="96"/>
      <c r="E74" s="96"/>
      <c r="F74" s="96"/>
      <c r="G74" s="131" t="n">
        <v>651278.75</v>
      </c>
      <c r="H74" s="131" t="n">
        <v>651278.75</v>
      </c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</row>
    <row r="75" customFormat="false" ht="14.25" hidden="false" customHeight="true" outlineLevel="0" collapsed="false">
      <c r="A75" s="132" t="s">
        <v>1060</v>
      </c>
      <c r="B75" s="98" t="s">
        <v>1061</v>
      </c>
      <c r="C75" s="98" t="s">
        <v>1062</v>
      </c>
      <c r="D75" s="98" t="s">
        <v>53</v>
      </c>
      <c r="E75" s="133" t="s">
        <v>53</v>
      </c>
      <c r="F75" s="134"/>
      <c r="G75" s="100" t="n">
        <v>320862</v>
      </c>
      <c r="H75" s="100" t="n">
        <v>320862</v>
      </c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</row>
    <row r="76" customFormat="false" ht="14.25" hidden="false" customHeight="true" outlineLevel="0" collapsed="false">
      <c r="A76" s="132" t="s">
        <v>1063</v>
      </c>
      <c r="B76" s="98" t="s">
        <v>1064</v>
      </c>
      <c r="C76" s="98" t="s">
        <v>1065</v>
      </c>
      <c r="D76" s="98" t="s">
        <v>53</v>
      </c>
      <c r="E76" s="133" t="s">
        <v>53</v>
      </c>
      <c r="F76" s="134"/>
      <c r="G76" s="100" t="n">
        <v>330416.75</v>
      </c>
      <c r="H76" s="100" t="n">
        <v>330416.75</v>
      </c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</row>
    <row r="77" customFormat="false" ht="14.25" hidden="false" customHeight="true" outlineLevel="0" collapsed="false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</row>
    <row r="78" customFormat="false" ht="14.25" hidden="false" customHeight="true" outlineLevel="0" collapsed="false">
      <c r="A78" s="44"/>
      <c r="B78" s="126" t="s">
        <v>1886</v>
      </c>
      <c r="C78" s="44"/>
      <c r="D78" s="44"/>
      <c r="E78" s="44"/>
      <c r="F78" s="44"/>
      <c r="G78" s="44"/>
      <c r="H78" s="44"/>
      <c r="I78" s="44"/>
      <c r="J78" s="44"/>
      <c r="K78" s="136" t="n">
        <v>3</v>
      </c>
      <c r="L78" s="136" t="n">
        <v>1</v>
      </c>
      <c r="M78" s="136" t="n">
        <v>4</v>
      </c>
      <c r="N78" s="136" t="n">
        <v>0</v>
      </c>
      <c r="O78" s="136" t="n">
        <v>9</v>
      </c>
      <c r="P78" s="44"/>
      <c r="Q78" s="44"/>
      <c r="R78" s="44"/>
      <c r="S78" s="44"/>
      <c r="T78" s="44"/>
      <c r="U78" s="44"/>
      <c r="V78" s="44"/>
      <c r="W78" s="44"/>
      <c r="X78" s="44"/>
      <c r="Y78" s="44"/>
    </row>
    <row r="79" customFormat="false" ht="14.25" hidden="false" customHeight="true" outlineLevel="0" collapsed="false"/>
  </sheetData>
  <mergeCells count="2">
    <mergeCell ref="W4:X4"/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42.82"/>
    <col collapsed="false" customWidth="true" hidden="false" outlineLevel="0" max="11" min="11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</row>
    <row r="2" customFormat="false" ht="21" hidden="false" customHeight="true" outlineLevel="0" collapsed="false">
      <c r="A2" s="44"/>
      <c r="B2" s="81" t="s">
        <v>1927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</row>
    <row r="3" customFormat="false" ht="14.25" hidden="false" customHeight="true" outlineLevel="0" collapsed="false">
      <c r="A3" s="44"/>
      <c r="B3" s="82" t="s">
        <v>1165</v>
      </c>
      <c r="C3" s="73" t="s">
        <v>30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</row>
    <row r="4" customFormat="false" ht="18.75" hidden="false" customHeight="true" outlineLevel="0" collapsed="false">
      <c r="A4" s="44"/>
      <c r="B4" s="83" t="s">
        <v>1928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44"/>
      <c r="V4" s="44"/>
      <c r="W4" s="86" t="s">
        <v>1821</v>
      </c>
      <c r="X4" s="86"/>
      <c r="Y4" s="44"/>
    </row>
    <row r="5" customFormat="false" ht="6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89" t="s">
        <v>1822</v>
      </c>
      <c r="X5" s="90" t="n">
        <v>5.5</v>
      </c>
      <c r="Y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1" t="s">
        <v>1835</v>
      </c>
      <c r="S6" s="92" t="s">
        <v>1836</v>
      </c>
      <c r="T6" s="91" t="s">
        <v>1837</v>
      </c>
      <c r="U6" s="93" t="s">
        <v>1189</v>
      </c>
      <c r="V6" s="44"/>
      <c r="W6" s="137" t="s">
        <v>1838</v>
      </c>
      <c r="X6" s="138" t="n">
        <v>4.5</v>
      </c>
      <c r="Y6" s="44"/>
    </row>
    <row r="7" customFormat="false" ht="14.25" hidden="false" customHeight="true" outlineLevel="0" collapsed="false">
      <c r="A7" s="44"/>
      <c r="B7" s="96" t="s">
        <v>1164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44"/>
      <c r="V7" s="44"/>
      <c r="W7" s="139" t="s">
        <v>1839</v>
      </c>
      <c r="X7" s="138" t="n">
        <v>1</v>
      </c>
      <c r="Y7" s="44"/>
    </row>
    <row r="8" customFormat="false" ht="14.25" hidden="false" customHeight="true" outlineLevel="0" collapsed="false">
      <c r="A8" s="44"/>
      <c r="B8" s="98" t="s">
        <v>846</v>
      </c>
      <c r="C8" s="98" t="s">
        <v>1845</v>
      </c>
      <c r="D8" s="98" t="s">
        <v>1890</v>
      </c>
      <c r="E8" s="99" t="n">
        <v>10</v>
      </c>
      <c r="F8" s="100" t="n">
        <v>13</v>
      </c>
      <c r="G8" s="99" t="n">
        <v>13</v>
      </c>
      <c r="H8" s="100" t="n">
        <v>11</v>
      </c>
      <c r="I8" s="100" t="n">
        <v>2</v>
      </c>
      <c r="J8" s="100" t="n">
        <v>1</v>
      </c>
      <c r="K8" s="100" t="n">
        <v>2</v>
      </c>
      <c r="L8" s="100" t="n">
        <v>1</v>
      </c>
      <c r="M8" s="100" t="n">
        <v>12</v>
      </c>
      <c r="N8" s="101" t="n">
        <v>2.3</v>
      </c>
      <c r="O8" s="101" t="n">
        <v>2.8697303064</v>
      </c>
      <c r="P8" s="101" t="n">
        <v>0</v>
      </c>
      <c r="Q8" s="101" t="n">
        <v>2.8697303064</v>
      </c>
      <c r="R8" s="101" t="n">
        <v>0.56973</v>
      </c>
      <c r="S8" s="101" t="n">
        <v>2.4125675664</v>
      </c>
      <c r="T8" s="101" t="n">
        <v>0.112568</v>
      </c>
      <c r="U8" s="102" t="n">
        <v>0.5</v>
      </c>
      <c r="V8" s="44"/>
      <c r="W8" s="140" t="s">
        <v>1842</v>
      </c>
      <c r="X8" s="156" t="n">
        <v>1.0825</v>
      </c>
      <c r="Y8" s="44"/>
    </row>
    <row r="9" customFormat="false" ht="14.25" hidden="false" customHeight="true" outlineLevel="0" collapsed="false">
      <c r="A9" s="44"/>
      <c r="B9" s="98" t="s">
        <v>847</v>
      </c>
      <c r="C9" s="98" t="s">
        <v>1891</v>
      </c>
      <c r="D9" s="98" t="s">
        <v>1846</v>
      </c>
      <c r="E9" s="99" t="n">
        <v>4.5</v>
      </c>
      <c r="F9" s="100" t="n">
        <v>7</v>
      </c>
      <c r="G9" s="99" t="n">
        <v>7</v>
      </c>
      <c r="H9" s="100" t="n">
        <v>4</v>
      </c>
      <c r="I9" s="100" t="n">
        <v>3</v>
      </c>
      <c r="J9" s="100" t="n">
        <v>0</v>
      </c>
      <c r="K9" s="100" t="n">
        <v>7</v>
      </c>
      <c r="L9" s="100" t="n">
        <v>0</v>
      </c>
      <c r="M9" s="100" t="n">
        <v>7</v>
      </c>
      <c r="N9" s="101" t="n">
        <v>0.8</v>
      </c>
      <c r="O9" s="101" t="n">
        <v>1.349902548</v>
      </c>
      <c r="P9" s="101" t="n">
        <v>0</v>
      </c>
      <c r="Q9" s="101" t="n">
        <v>1.349902548</v>
      </c>
      <c r="R9" s="101" t="n">
        <v>0.549903</v>
      </c>
      <c r="S9" s="101" t="n">
        <v>0.5399610192</v>
      </c>
      <c r="T9" s="101" t="n">
        <v>-0.260039</v>
      </c>
      <c r="U9" s="102" t="n">
        <v>1</v>
      </c>
      <c r="V9" s="44"/>
      <c r="W9" s="140" t="s">
        <v>1844</v>
      </c>
      <c r="X9" s="156" t="n">
        <v>-1</v>
      </c>
      <c r="Y9" s="44"/>
    </row>
    <row r="10" customFormat="false" ht="14.25" hidden="false" customHeight="true" outlineLevel="0" collapsed="false">
      <c r="A10" s="44"/>
      <c r="B10" s="98" t="s">
        <v>854</v>
      </c>
      <c r="C10" s="98" t="s">
        <v>1840</v>
      </c>
      <c r="D10" s="98" t="s">
        <v>1841</v>
      </c>
      <c r="E10" s="99" t="n">
        <v>9</v>
      </c>
      <c r="F10" s="100" t="n">
        <v>10</v>
      </c>
      <c r="G10" s="99" t="n">
        <v>10</v>
      </c>
      <c r="H10" s="100" t="n">
        <v>8</v>
      </c>
      <c r="I10" s="100" t="n">
        <v>2</v>
      </c>
      <c r="J10" s="100" t="n">
        <v>1</v>
      </c>
      <c r="K10" s="100" t="n">
        <v>2</v>
      </c>
      <c r="L10" s="100" t="n">
        <v>1</v>
      </c>
      <c r="M10" s="100" t="n">
        <v>9</v>
      </c>
      <c r="N10" s="101" t="n">
        <v>2.1</v>
      </c>
      <c r="O10" s="101" t="n">
        <v>1.98123790904348</v>
      </c>
      <c r="P10" s="101" t="n">
        <v>0</v>
      </c>
      <c r="Q10" s="101" t="n">
        <v>1.98123790904348</v>
      </c>
      <c r="R10" s="101" t="n">
        <v>-0.118762</v>
      </c>
      <c r="S10" s="101" t="n">
        <v>1.58374854104348</v>
      </c>
      <c r="T10" s="101" t="n">
        <v>-0.516251</v>
      </c>
      <c r="U10" s="102" t="n">
        <v>0.5</v>
      </c>
      <c r="V10" s="44"/>
      <c r="W10" s="140" t="s">
        <v>1847</v>
      </c>
      <c r="X10" s="156" t="n">
        <v>0.0824999999999996</v>
      </c>
      <c r="Y10" s="44"/>
    </row>
    <row r="11" customFormat="false" ht="14.25" hidden="false" customHeight="true" outlineLevel="0" collapsed="false">
      <c r="A11" s="44"/>
      <c r="B11" s="98" t="s">
        <v>851</v>
      </c>
      <c r="C11" s="98" t="s">
        <v>1840</v>
      </c>
      <c r="D11" s="98" t="s">
        <v>1846</v>
      </c>
      <c r="E11" s="99" t="n">
        <v>6</v>
      </c>
      <c r="F11" s="100" t="n">
        <v>6</v>
      </c>
      <c r="G11" s="99" t="n">
        <v>6</v>
      </c>
      <c r="H11" s="100" t="n">
        <v>4</v>
      </c>
      <c r="I11" s="100" t="n">
        <v>2</v>
      </c>
      <c r="J11" s="100" t="n">
        <v>0</v>
      </c>
      <c r="K11" s="100" t="n">
        <v>0</v>
      </c>
      <c r="L11" s="100" t="n">
        <v>1</v>
      </c>
      <c r="M11" s="100" t="n">
        <v>5</v>
      </c>
      <c r="N11" s="101" t="n">
        <v>1.4</v>
      </c>
      <c r="O11" s="101" t="n">
        <v>1.117329222</v>
      </c>
      <c r="P11" s="101" t="n">
        <v>0</v>
      </c>
      <c r="Q11" s="101" t="n">
        <v>1.117329222</v>
      </c>
      <c r="R11" s="101" t="n">
        <v>-0.282671</v>
      </c>
      <c r="S11" s="101" t="n">
        <v>0.914475972</v>
      </c>
      <c r="T11" s="101" t="n">
        <v>-0.485524</v>
      </c>
      <c r="U11" s="102" t="n">
        <v>1</v>
      </c>
      <c r="V11" s="44"/>
      <c r="W11" s="83"/>
      <c r="X11" s="162"/>
      <c r="Y11" s="85"/>
    </row>
    <row r="12" customFormat="false" ht="14.25" hidden="false" customHeight="true" outlineLevel="0" collapsed="false">
      <c r="A12" s="44"/>
      <c r="B12" s="114" t="s">
        <v>1852</v>
      </c>
      <c r="C12" s="114"/>
      <c r="D12" s="114"/>
      <c r="E12" s="115" t="n">
        <v>29.5</v>
      </c>
      <c r="F12" s="116" t="n">
        <v>36</v>
      </c>
      <c r="G12" s="115" t="n">
        <v>36</v>
      </c>
      <c r="H12" s="116" t="n">
        <v>27</v>
      </c>
      <c r="I12" s="116" t="n">
        <v>9</v>
      </c>
      <c r="J12" s="116" t="n">
        <v>2</v>
      </c>
      <c r="K12" s="116" t="n">
        <v>11</v>
      </c>
      <c r="L12" s="116" t="n">
        <v>3</v>
      </c>
      <c r="M12" s="116" t="n">
        <v>33</v>
      </c>
      <c r="N12" s="117" t="n">
        <v>6.6</v>
      </c>
      <c r="O12" s="117" t="n">
        <v>7.31819998544348</v>
      </c>
      <c r="P12" s="117" t="n">
        <v>0</v>
      </c>
      <c r="Q12" s="117" t="n">
        <v>7.31819998544348</v>
      </c>
      <c r="R12" s="117" t="n">
        <v>0.7182</v>
      </c>
      <c r="S12" s="117" t="n">
        <v>5.45075309864348</v>
      </c>
      <c r="T12" s="117" t="n">
        <v>-1.149247</v>
      </c>
      <c r="U12" s="44"/>
      <c r="V12" s="44"/>
      <c r="W12" s="83" t="s">
        <v>1848</v>
      </c>
      <c r="X12" s="163"/>
      <c r="Y12" s="163"/>
    </row>
    <row r="13" customFormat="false" ht="14.25" hidden="false" customHeight="true" outlineLevel="0" collapsed="false">
      <c r="A13" s="44"/>
      <c r="B13" s="96" t="s">
        <v>1854</v>
      </c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44"/>
      <c r="V13" s="44"/>
      <c r="W13" s="110" t="s">
        <v>1849</v>
      </c>
      <c r="X13" s="110" t="s">
        <v>1264</v>
      </c>
      <c r="Y13" s="111" t="s">
        <v>1850</v>
      </c>
    </row>
    <row r="14" customFormat="false" ht="14.25" hidden="false" customHeight="true" outlineLevel="0" collapsed="false">
      <c r="A14" s="44"/>
      <c r="B14" s="98" t="s">
        <v>938</v>
      </c>
      <c r="C14" s="98" t="s">
        <v>1856</v>
      </c>
      <c r="D14" s="98"/>
      <c r="E14" s="99"/>
      <c r="F14" s="100" t="n">
        <v>5</v>
      </c>
      <c r="G14" s="99" t="n">
        <v>5</v>
      </c>
      <c r="H14" s="100" t="n">
        <v>5</v>
      </c>
      <c r="I14" s="100" t="n">
        <v>0</v>
      </c>
      <c r="J14" s="100" t="n">
        <v>0</v>
      </c>
      <c r="K14" s="100" t="n">
        <v>0</v>
      </c>
      <c r="L14" s="100" t="n">
        <v>0</v>
      </c>
      <c r="M14" s="100" t="n">
        <v>5</v>
      </c>
      <c r="N14" s="101" t="n">
        <v>1.32454851</v>
      </c>
      <c r="O14" s="101" t="n">
        <v>1.32454851</v>
      </c>
      <c r="P14" s="101" t="n">
        <v>1.32454851</v>
      </c>
      <c r="Q14" s="101" t="n">
        <v>0</v>
      </c>
      <c r="R14" s="101" t="n">
        <v>0</v>
      </c>
      <c r="S14" s="101" t="n">
        <v>1.32454851</v>
      </c>
      <c r="T14" s="101" t="n">
        <v>0</v>
      </c>
      <c r="U14" s="102" t="n">
        <v>0</v>
      </c>
      <c r="V14" s="44"/>
      <c r="W14" s="145" t="s">
        <v>1858</v>
      </c>
      <c r="X14" s="90"/>
      <c r="Y14" s="90" t="n">
        <v>1.32454851</v>
      </c>
    </row>
    <row r="15" customFormat="false" ht="14.25" hidden="false" customHeight="true" outlineLevel="0" collapsed="false">
      <c r="A15" s="44"/>
      <c r="B15" s="96" t="s">
        <v>1896</v>
      </c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145" t="s">
        <v>1860</v>
      </c>
      <c r="X15" s="90"/>
      <c r="Y15" s="90" t="n">
        <v>1.32454851</v>
      </c>
    </row>
    <row r="16" customFormat="false" ht="14.25" hidden="false" customHeight="true" outlineLevel="0" collapsed="false">
      <c r="A16" s="44"/>
      <c r="B16" s="98" t="s">
        <v>810</v>
      </c>
      <c r="C16" s="98" t="s">
        <v>1898</v>
      </c>
      <c r="D16" s="98"/>
      <c r="E16" s="99"/>
      <c r="F16" s="100" t="n">
        <v>1</v>
      </c>
      <c r="G16" s="99" t="n">
        <v>1</v>
      </c>
      <c r="H16" s="100" t="n">
        <v>1</v>
      </c>
      <c r="I16" s="100" t="n">
        <v>0</v>
      </c>
      <c r="J16" s="100" t="n">
        <v>0</v>
      </c>
      <c r="K16" s="100" t="n">
        <v>0</v>
      </c>
      <c r="L16" s="100" t="n">
        <v>1</v>
      </c>
      <c r="M16" s="100" t="n">
        <v>0</v>
      </c>
      <c r="N16" s="101"/>
      <c r="O16" s="101" t="n">
        <v>0.3552</v>
      </c>
      <c r="P16" s="101" t="n">
        <v>0</v>
      </c>
      <c r="Q16" s="101" t="n">
        <v>0.3552</v>
      </c>
      <c r="R16" s="101"/>
      <c r="S16" s="101" t="n">
        <v>0</v>
      </c>
      <c r="T16" s="101"/>
      <c r="U16" s="44"/>
      <c r="V16" s="44"/>
      <c r="W16" s="145" t="s">
        <v>1862</v>
      </c>
      <c r="X16" s="90"/>
      <c r="Y16" s="90" t="n">
        <v>3.52454851</v>
      </c>
    </row>
    <row r="17" customFormat="false" ht="14.25" hidden="false" customHeight="true" outlineLevel="0" collapsed="false">
      <c r="A17" s="44"/>
      <c r="B17" s="96" t="s">
        <v>1861</v>
      </c>
      <c r="C17" s="96"/>
      <c r="D17" s="96"/>
      <c r="E17" s="96"/>
      <c r="F17" s="96"/>
      <c r="G17" s="96"/>
      <c r="H17" s="96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44"/>
      <c r="V17" s="44"/>
      <c r="W17" s="145" t="s">
        <v>1863</v>
      </c>
      <c r="X17" s="90"/>
      <c r="Y17" s="90" t="n">
        <v>2.2</v>
      </c>
    </row>
    <row r="18" customFormat="false" ht="14.25" hidden="false" customHeight="true" outlineLevel="0" collapsed="false">
      <c r="A18" s="44"/>
      <c r="B18" s="98" t="s">
        <v>199</v>
      </c>
      <c r="C18" s="98"/>
      <c r="D18" s="98"/>
      <c r="E18" s="99" t="n">
        <v>0.5</v>
      </c>
      <c r="F18" s="100" t="n">
        <v>1</v>
      </c>
      <c r="G18" s="99" t="n">
        <v>1</v>
      </c>
      <c r="H18" s="100" t="n">
        <v>0</v>
      </c>
      <c r="I18" s="100" t="n">
        <v>1</v>
      </c>
      <c r="J18" s="100" t="n">
        <v>1</v>
      </c>
      <c r="K18" s="100" t="n">
        <v>0</v>
      </c>
      <c r="L18" s="100" t="n">
        <v>0</v>
      </c>
      <c r="M18" s="100" t="n">
        <v>1</v>
      </c>
      <c r="N18" s="101" t="n">
        <v>0.1375</v>
      </c>
      <c r="O18" s="101" t="n">
        <v>0.33302025</v>
      </c>
      <c r="P18" s="101" t="n">
        <v>0</v>
      </c>
      <c r="Q18" s="101" t="n">
        <v>0.33302025</v>
      </c>
      <c r="R18" s="101" t="n">
        <v>0.19552</v>
      </c>
      <c r="S18" s="101" t="n">
        <v>0.33302025</v>
      </c>
      <c r="T18" s="101" t="n">
        <v>0.19552</v>
      </c>
      <c r="U18" s="44"/>
      <c r="V18" s="44"/>
      <c r="W18" s="44"/>
      <c r="X18" s="44"/>
      <c r="Y18" s="44"/>
    </row>
    <row r="19" customFormat="false" ht="14.25" hidden="false" customHeight="true" outlineLevel="0" collapsed="false">
      <c r="A19" s="44"/>
      <c r="B19" s="98" t="s">
        <v>203</v>
      </c>
      <c r="C19" s="98"/>
      <c r="D19" s="98"/>
      <c r="E19" s="99" t="n">
        <v>0.3</v>
      </c>
      <c r="F19" s="100" t="n">
        <v>1</v>
      </c>
      <c r="G19" s="99" t="n">
        <v>1</v>
      </c>
      <c r="H19" s="100" t="n">
        <v>0</v>
      </c>
      <c r="I19" s="100" t="n">
        <v>1</v>
      </c>
      <c r="J19" s="100" t="n">
        <v>1</v>
      </c>
      <c r="K19" s="100" t="n">
        <v>0</v>
      </c>
      <c r="L19" s="100" t="n">
        <v>0</v>
      </c>
      <c r="M19" s="100" t="n">
        <v>1</v>
      </c>
      <c r="N19" s="101" t="n">
        <v>0.084</v>
      </c>
      <c r="O19" s="101" t="n">
        <v>0.27581025</v>
      </c>
      <c r="P19" s="101" t="n">
        <v>0</v>
      </c>
      <c r="Q19" s="101" t="n">
        <v>0.27581025</v>
      </c>
      <c r="R19" s="101" t="n">
        <v>0.19181</v>
      </c>
      <c r="S19" s="101" t="n">
        <v>0.27581025</v>
      </c>
      <c r="T19" s="101" t="n">
        <v>0.19181</v>
      </c>
      <c r="U19" s="44"/>
      <c r="V19" s="44"/>
      <c r="W19" s="44"/>
      <c r="X19" s="44"/>
      <c r="Y19" s="44"/>
    </row>
    <row r="20" customFormat="false" ht="14.25" hidden="false" customHeight="true" outlineLevel="0" collapsed="false">
      <c r="A20" s="44"/>
      <c r="B20" s="98" t="s">
        <v>206</v>
      </c>
      <c r="C20" s="98"/>
      <c r="D20" s="98"/>
      <c r="E20" s="99" t="n">
        <v>0.3</v>
      </c>
      <c r="F20" s="100" t="n">
        <v>4</v>
      </c>
      <c r="G20" s="99" t="n">
        <v>4</v>
      </c>
      <c r="H20" s="100" t="n">
        <v>3</v>
      </c>
      <c r="I20" s="100" t="n">
        <v>1</v>
      </c>
      <c r="J20" s="100" t="n">
        <v>0</v>
      </c>
      <c r="K20" s="100" t="n">
        <v>0</v>
      </c>
      <c r="L20" s="100" t="n">
        <v>1</v>
      </c>
      <c r="M20" s="100" t="n">
        <v>3</v>
      </c>
      <c r="N20" s="101" t="n">
        <v>0.081</v>
      </c>
      <c r="O20" s="101" t="n">
        <v>1.00232904</v>
      </c>
      <c r="P20" s="101" t="n">
        <v>0</v>
      </c>
      <c r="Q20" s="101" t="n">
        <v>1.00232904</v>
      </c>
      <c r="R20" s="101" t="n">
        <v>0.921329</v>
      </c>
      <c r="S20" s="101" t="n">
        <v>0.72651879</v>
      </c>
      <c r="T20" s="101" t="n">
        <v>0.645519</v>
      </c>
      <c r="U20" s="44"/>
      <c r="V20" s="44"/>
      <c r="W20" s="44"/>
      <c r="X20" s="44"/>
      <c r="Y20" s="44"/>
    </row>
    <row r="21" customFormat="false" ht="14.25" hidden="false" customHeight="true" outlineLevel="0" collapsed="false">
      <c r="A21" s="44"/>
      <c r="B21" s="114" t="s">
        <v>1864</v>
      </c>
      <c r="C21" s="114"/>
      <c r="D21" s="114"/>
      <c r="E21" s="115" t="n">
        <v>1.1</v>
      </c>
      <c r="F21" s="116" t="n">
        <v>6</v>
      </c>
      <c r="G21" s="115" t="n">
        <v>6</v>
      </c>
      <c r="H21" s="116" t="n">
        <v>3</v>
      </c>
      <c r="I21" s="116" t="n">
        <v>3</v>
      </c>
      <c r="J21" s="116" t="n">
        <v>2</v>
      </c>
      <c r="K21" s="116" t="n">
        <v>0</v>
      </c>
      <c r="L21" s="116" t="n">
        <v>1</v>
      </c>
      <c r="M21" s="116" t="n">
        <v>5</v>
      </c>
      <c r="N21" s="117" t="n">
        <v>0.3025</v>
      </c>
      <c r="O21" s="117" t="n">
        <v>1.61115954</v>
      </c>
      <c r="P21" s="117" t="n">
        <v>0</v>
      </c>
      <c r="Q21" s="117" t="n">
        <v>1.61115954</v>
      </c>
      <c r="R21" s="117" t="n">
        <v>1.30866</v>
      </c>
      <c r="S21" s="117" t="n">
        <v>1.33534929</v>
      </c>
      <c r="T21" s="117" t="n">
        <v>1.032849</v>
      </c>
      <c r="U21" s="44"/>
      <c r="V21" s="44"/>
      <c r="W21" s="44"/>
      <c r="X21" s="44"/>
      <c r="Y21" s="44"/>
    </row>
    <row r="22" customFormat="false" ht="14.25" hidden="false" customHeight="true" outlineLevel="0" collapsed="false">
      <c r="A22" s="44"/>
      <c r="B22" s="120" t="s">
        <v>1865</v>
      </c>
      <c r="C22" s="44"/>
      <c r="D22" s="121"/>
      <c r="E22" s="99" t="n">
        <v>1.8</v>
      </c>
      <c r="F22" s="121"/>
      <c r="G22" s="121"/>
      <c r="H22" s="121"/>
      <c r="I22" s="121"/>
      <c r="J22" s="121"/>
      <c r="K22" s="121"/>
      <c r="L22" s="121"/>
      <c r="M22" s="121"/>
      <c r="N22" s="101" t="n">
        <v>0.88</v>
      </c>
      <c r="O22" s="121"/>
      <c r="P22" s="121"/>
      <c r="Q22" s="121"/>
      <c r="R22" s="121"/>
      <c r="S22" s="121"/>
      <c r="T22" s="121"/>
      <c r="U22" s="44"/>
      <c r="V22" s="44"/>
      <c r="W22" s="44"/>
      <c r="X22" s="44"/>
      <c r="Y22" s="44"/>
    </row>
    <row r="23" customFormat="false" ht="14.25" hidden="false" customHeight="true" outlineLevel="0" collapsed="false">
      <c r="A23" s="44"/>
      <c r="B23" s="120" t="s">
        <v>1866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</row>
    <row r="24" customFormat="false" ht="14.25" hidden="false" customHeight="true" outlineLevel="0" collapsed="false">
      <c r="A24" s="44"/>
      <c r="B24" s="122" t="s">
        <v>1867</v>
      </c>
      <c r="C24" s="122"/>
      <c r="D24" s="122"/>
      <c r="E24" s="123" t="n">
        <v>32.4</v>
      </c>
      <c r="F24" s="124" t="n">
        <v>48</v>
      </c>
      <c r="G24" s="123" t="n">
        <v>48</v>
      </c>
      <c r="H24" s="124" t="n">
        <v>36</v>
      </c>
      <c r="I24" s="124" t="n">
        <v>12</v>
      </c>
      <c r="J24" s="124" t="n">
        <v>4</v>
      </c>
      <c r="K24" s="124" t="n">
        <v>11</v>
      </c>
      <c r="L24" s="124" t="n">
        <v>5</v>
      </c>
      <c r="M24" s="124" t="n">
        <v>43</v>
      </c>
      <c r="N24" s="125" t="n">
        <v>9.10704851</v>
      </c>
      <c r="O24" s="125" t="n">
        <v>10.6091080354435</v>
      </c>
      <c r="P24" s="125" t="n">
        <v>1.32454851</v>
      </c>
      <c r="Q24" s="125" t="n">
        <v>9.28455952544348</v>
      </c>
      <c r="R24" s="125" t="n">
        <v>1.50206</v>
      </c>
      <c r="S24" s="125" t="n">
        <v>8.11065089864348</v>
      </c>
      <c r="T24" s="125" t="n">
        <v>-0.996398</v>
      </c>
      <c r="U24" s="44"/>
      <c r="V24" s="44"/>
      <c r="W24" s="44"/>
      <c r="X24" s="44"/>
      <c r="Y24" s="44"/>
    </row>
    <row r="25" customFormat="false" ht="14.25" hidden="false" customHeight="true" outlineLevel="0" collapsed="false">
      <c r="A25" s="44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</row>
    <row r="26" customFormat="false" ht="33.75" hidden="false" customHeight="true" outlineLevel="0" collapsed="false">
      <c r="A26" s="44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</row>
    <row r="27" customFormat="false" ht="14.25" hidden="false" customHeight="true" outlineLevel="0" collapsed="false">
      <c r="A27" s="44"/>
      <c r="B27" s="83" t="s">
        <v>1929</v>
      </c>
      <c r="C27" s="85"/>
      <c r="D27" s="85"/>
      <c r="E27" s="85"/>
      <c r="F27" s="85"/>
      <c r="G27" s="85"/>
      <c r="H27" s="98" t="s">
        <v>1869</v>
      </c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</row>
    <row r="28" customFormat="false" ht="27.75" hidden="false" customHeight="true" outlineLevel="0" collapsed="false">
      <c r="A28" s="126" t="s">
        <v>39</v>
      </c>
      <c r="B28" s="91" t="s">
        <v>40</v>
      </c>
      <c r="C28" s="91" t="s">
        <v>41</v>
      </c>
      <c r="D28" s="91" t="s">
        <v>42</v>
      </c>
      <c r="E28" s="127" t="s">
        <v>43</v>
      </c>
      <c r="F28" s="91" t="s">
        <v>44</v>
      </c>
      <c r="G28" s="128" t="s">
        <v>45</v>
      </c>
      <c r="H28" s="91" t="s">
        <v>1870</v>
      </c>
      <c r="I28" s="44"/>
      <c r="J28" s="44"/>
      <c r="K28" s="164" t="s">
        <v>1871</v>
      </c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</row>
    <row r="29" customFormat="false" ht="14.25" hidden="false" customHeight="true" outlineLevel="0" collapsed="false">
      <c r="A29" s="44"/>
      <c r="B29" s="96" t="s">
        <v>846</v>
      </c>
      <c r="C29" s="96" t="s">
        <v>1911</v>
      </c>
      <c r="D29" s="96"/>
      <c r="E29" s="96"/>
      <c r="F29" s="130"/>
      <c r="G29" s="131" t="n">
        <v>2869730.3064</v>
      </c>
      <c r="H29" s="131" t="n">
        <v>2412567.5664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</row>
    <row r="30" customFormat="false" ht="14.25" hidden="false" customHeight="true" outlineLevel="0" collapsed="false">
      <c r="A30" s="132" t="s">
        <v>848</v>
      </c>
      <c r="B30" s="98" t="s">
        <v>849</v>
      </c>
      <c r="C30" s="98" t="s">
        <v>850</v>
      </c>
      <c r="D30" s="98" t="s">
        <v>53</v>
      </c>
      <c r="E30" s="133" t="s">
        <v>53</v>
      </c>
      <c r="F30" s="134"/>
      <c r="G30" s="100" t="n">
        <v>194999.1</v>
      </c>
      <c r="H30" s="100" t="n">
        <v>194999.1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</row>
    <row r="31" customFormat="false" ht="14.25" hidden="false" customHeight="true" outlineLevel="0" collapsed="false">
      <c r="A31" s="132" t="s">
        <v>852</v>
      </c>
      <c r="B31" s="98" t="s">
        <v>853</v>
      </c>
      <c r="C31" s="98" t="s">
        <v>850</v>
      </c>
      <c r="D31" s="98" t="s">
        <v>53</v>
      </c>
      <c r="E31" s="133" t="s">
        <v>53</v>
      </c>
      <c r="F31" s="134"/>
      <c r="G31" s="100" t="n">
        <v>255332.1</v>
      </c>
      <c r="H31" s="100" t="n">
        <v>255332.1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</row>
    <row r="32" customFormat="false" ht="14.25" hidden="false" customHeight="true" outlineLevel="0" collapsed="false">
      <c r="A32" s="132" t="s">
        <v>855</v>
      </c>
      <c r="B32" s="98" t="s">
        <v>856</v>
      </c>
      <c r="C32" s="98" t="s">
        <v>850</v>
      </c>
      <c r="D32" s="98" t="s">
        <v>53</v>
      </c>
      <c r="E32" s="133" t="s">
        <v>53</v>
      </c>
      <c r="F32" s="134"/>
      <c r="G32" s="100" t="n">
        <v>254531.1</v>
      </c>
      <c r="H32" s="100" t="n">
        <v>254531.1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</row>
    <row r="33" customFormat="false" ht="14.25" hidden="false" customHeight="true" outlineLevel="0" collapsed="false">
      <c r="A33" s="132" t="s">
        <v>857</v>
      </c>
      <c r="B33" s="98" t="s">
        <v>858</v>
      </c>
      <c r="C33" s="98" t="s">
        <v>859</v>
      </c>
      <c r="D33" s="98" t="s">
        <v>53</v>
      </c>
      <c r="E33" s="133" t="s">
        <v>53</v>
      </c>
      <c r="F33" s="134"/>
      <c r="G33" s="100" t="n">
        <v>249164.4</v>
      </c>
      <c r="H33" s="100" t="n">
        <v>249164.4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</row>
    <row r="34" customFormat="false" ht="14.25" hidden="false" customHeight="true" outlineLevel="0" collapsed="false">
      <c r="A34" s="132" t="s">
        <v>860</v>
      </c>
      <c r="B34" s="98" t="s">
        <v>861</v>
      </c>
      <c r="C34" s="98" t="s">
        <v>862</v>
      </c>
      <c r="D34" s="98" t="s">
        <v>53</v>
      </c>
      <c r="E34" s="133" t="s">
        <v>53</v>
      </c>
      <c r="F34" s="134"/>
      <c r="G34" s="100" t="n">
        <v>246494.4</v>
      </c>
      <c r="H34" s="100" t="n">
        <v>246494.4</v>
      </c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</row>
    <row r="35" customFormat="false" ht="14.25" hidden="false" customHeight="true" outlineLevel="0" collapsed="false">
      <c r="A35" s="132" t="s">
        <v>863</v>
      </c>
      <c r="B35" s="98" t="s">
        <v>864</v>
      </c>
      <c r="C35" s="98" t="s">
        <v>865</v>
      </c>
      <c r="D35" s="98" t="s">
        <v>53</v>
      </c>
      <c r="E35" s="133" t="s">
        <v>53</v>
      </c>
      <c r="F35" s="134"/>
      <c r="G35" s="100" t="n">
        <v>259123.5</v>
      </c>
      <c r="H35" s="100" t="n">
        <v>259123.5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</row>
    <row r="36" customFormat="false" ht="14.25" hidden="false" customHeight="true" outlineLevel="0" collapsed="false">
      <c r="A36" s="132" t="s">
        <v>866</v>
      </c>
      <c r="B36" s="98" t="s">
        <v>867</v>
      </c>
      <c r="C36" s="98" t="s">
        <v>865</v>
      </c>
      <c r="D36" s="98" t="s">
        <v>53</v>
      </c>
      <c r="E36" s="133" t="s">
        <v>53</v>
      </c>
      <c r="F36" s="134"/>
      <c r="G36" s="100" t="n">
        <v>243423.9</v>
      </c>
      <c r="H36" s="100" t="n">
        <v>243423.9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</row>
    <row r="37" customFormat="false" ht="14.25" hidden="false" customHeight="true" outlineLevel="0" collapsed="false">
      <c r="A37" s="132" t="s">
        <v>868</v>
      </c>
      <c r="B37" s="98" t="s">
        <v>869</v>
      </c>
      <c r="C37" s="98" t="s">
        <v>870</v>
      </c>
      <c r="D37" s="98" t="s">
        <v>53</v>
      </c>
      <c r="E37" s="133" t="s">
        <v>71</v>
      </c>
      <c r="F37" s="134"/>
      <c r="G37" s="100" t="n">
        <v>206190.75</v>
      </c>
      <c r="H37" s="100" t="n">
        <v>82476.3</v>
      </c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</row>
    <row r="38" customFormat="false" ht="14.25" hidden="false" customHeight="true" outlineLevel="0" collapsed="false">
      <c r="A38" s="132" t="s">
        <v>871</v>
      </c>
      <c r="B38" s="98" t="s">
        <v>872</v>
      </c>
      <c r="C38" s="98" t="s">
        <v>873</v>
      </c>
      <c r="D38" s="98" t="s">
        <v>53</v>
      </c>
      <c r="E38" s="133" t="s">
        <v>71</v>
      </c>
      <c r="F38" s="134"/>
      <c r="G38" s="100" t="n">
        <v>217658.4</v>
      </c>
      <c r="H38" s="100" t="n">
        <v>87063.36</v>
      </c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</row>
    <row r="39" customFormat="false" ht="14.25" hidden="false" customHeight="true" outlineLevel="0" collapsed="false">
      <c r="A39" s="132" t="s">
        <v>874</v>
      </c>
      <c r="B39" s="98" t="s">
        <v>69</v>
      </c>
      <c r="C39" s="98" t="s">
        <v>875</v>
      </c>
      <c r="D39" s="98" t="s">
        <v>69</v>
      </c>
      <c r="E39" s="133" t="s">
        <v>82</v>
      </c>
      <c r="F39" s="134"/>
      <c r="G39" s="100" t="n">
        <v>202853.25</v>
      </c>
      <c r="H39" s="100" t="n">
        <v>202853.25</v>
      </c>
      <c r="I39" s="44"/>
      <c r="J39" s="44"/>
      <c r="K39" s="135" t="s">
        <v>1926</v>
      </c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</row>
    <row r="40" customFormat="false" ht="14.25" hidden="false" customHeight="true" outlineLevel="0" collapsed="false">
      <c r="A40" s="132" t="s">
        <v>876</v>
      </c>
      <c r="B40" s="98" t="s">
        <v>822</v>
      </c>
      <c r="C40" s="98" t="s">
        <v>877</v>
      </c>
      <c r="D40" s="98" t="s">
        <v>69</v>
      </c>
      <c r="E40" s="133" t="s">
        <v>78</v>
      </c>
      <c r="F40" s="134"/>
      <c r="G40" s="100" t="n">
        <v>202853.25</v>
      </c>
      <c r="H40" s="100" t="n">
        <v>0</v>
      </c>
      <c r="I40" s="44"/>
      <c r="J40" s="44"/>
      <c r="K40" s="135" t="s">
        <v>1925</v>
      </c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</row>
    <row r="41" customFormat="false" ht="14.25" hidden="false" customHeight="true" outlineLevel="0" collapsed="false">
      <c r="A41" s="132" t="s">
        <v>878</v>
      </c>
      <c r="B41" s="98" t="s">
        <v>879</v>
      </c>
      <c r="C41" s="98" t="s">
        <v>850</v>
      </c>
      <c r="D41" s="98" t="s">
        <v>53</v>
      </c>
      <c r="E41" s="133" t="s">
        <v>53</v>
      </c>
      <c r="F41" s="134"/>
      <c r="G41" s="100" t="n">
        <v>203293.8</v>
      </c>
      <c r="H41" s="100" t="n">
        <v>203293.8</v>
      </c>
      <c r="I41" s="44"/>
      <c r="J41" s="75" t="s">
        <v>1930</v>
      </c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</row>
    <row r="42" customFormat="false" ht="14.25" hidden="false" customHeight="true" outlineLevel="0" collapsed="false">
      <c r="A42" s="132" t="s">
        <v>880</v>
      </c>
      <c r="B42" s="98" t="s">
        <v>881</v>
      </c>
      <c r="C42" s="98" t="s">
        <v>882</v>
      </c>
      <c r="D42" s="98" t="s">
        <v>53</v>
      </c>
      <c r="E42" s="133" t="s">
        <v>53</v>
      </c>
      <c r="F42" s="134"/>
      <c r="G42" s="100" t="n">
        <v>133812.3564</v>
      </c>
      <c r="H42" s="100" t="n">
        <v>133812.3564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</row>
    <row r="43" customFormat="false" ht="14.25" hidden="false" customHeight="true" outlineLevel="0" collapsed="false">
      <c r="A43" s="44"/>
      <c r="B43" s="96" t="s">
        <v>847</v>
      </c>
      <c r="C43" s="96" t="s">
        <v>1931</v>
      </c>
      <c r="D43" s="96"/>
      <c r="E43" s="96"/>
      <c r="F43" s="96"/>
      <c r="G43" s="131" t="n">
        <v>1349902.548</v>
      </c>
      <c r="H43" s="131" t="n">
        <v>539961.0192</v>
      </c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</row>
    <row r="44" customFormat="false" ht="14.25" hidden="false" customHeight="true" outlineLevel="0" collapsed="false">
      <c r="A44" s="132" t="s">
        <v>883</v>
      </c>
      <c r="B44" s="98" t="s">
        <v>884</v>
      </c>
      <c r="C44" s="98" t="s">
        <v>885</v>
      </c>
      <c r="D44" s="98" t="s">
        <v>53</v>
      </c>
      <c r="E44" s="133" t="s">
        <v>71</v>
      </c>
      <c r="F44" s="134"/>
      <c r="G44" s="100" t="n">
        <v>183060.72</v>
      </c>
      <c r="H44" s="100" t="n">
        <v>73224.288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</row>
    <row r="45" customFormat="false" ht="14.25" hidden="false" customHeight="true" outlineLevel="0" collapsed="false">
      <c r="A45" s="132" t="s">
        <v>886</v>
      </c>
      <c r="B45" s="98" t="s">
        <v>887</v>
      </c>
      <c r="C45" s="98" t="s">
        <v>888</v>
      </c>
      <c r="D45" s="98" t="s">
        <v>53</v>
      </c>
      <c r="E45" s="133" t="s">
        <v>71</v>
      </c>
      <c r="F45" s="134"/>
      <c r="G45" s="100" t="n">
        <v>200940</v>
      </c>
      <c r="H45" s="100" t="n">
        <v>80376</v>
      </c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</row>
    <row r="46" customFormat="false" ht="14.25" hidden="false" customHeight="true" outlineLevel="0" collapsed="false">
      <c r="A46" s="132" t="s">
        <v>889</v>
      </c>
      <c r="B46" s="98" t="s">
        <v>69</v>
      </c>
      <c r="C46" s="98" t="s">
        <v>890</v>
      </c>
      <c r="D46" s="98" t="s">
        <v>69</v>
      </c>
      <c r="E46" s="133" t="s">
        <v>71</v>
      </c>
      <c r="F46" s="134"/>
      <c r="G46" s="100" t="n">
        <v>231689.25</v>
      </c>
      <c r="H46" s="100" t="n">
        <v>92675.7</v>
      </c>
      <c r="I46" s="44"/>
      <c r="J46" s="44"/>
      <c r="K46" s="135" t="s">
        <v>1925</v>
      </c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</row>
    <row r="47" customFormat="false" ht="14.25" hidden="false" customHeight="true" outlineLevel="0" collapsed="false">
      <c r="A47" s="132" t="s">
        <v>891</v>
      </c>
      <c r="B47" s="98" t="s">
        <v>822</v>
      </c>
      <c r="C47" s="98" t="s">
        <v>892</v>
      </c>
      <c r="D47" s="98" t="s">
        <v>69</v>
      </c>
      <c r="E47" s="133" t="s">
        <v>71</v>
      </c>
      <c r="F47" s="134"/>
      <c r="G47" s="100" t="n">
        <v>202853.25</v>
      </c>
      <c r="H47" s="100" t="n">
        <v>81141.3</v>
      </c>
      <c r="I47" s="44"/>
      <c r="J47" s="44"/>
      <c r="K47" s="135" t="s">
        <v>1925</v>
      </c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</row>
    <row r="48" customFormat="false" ht="14.25" hidden="false" customHeight="true" outlineLevel="0" collapsed="false">
      <c r="A48" s="132" t="s">
        <v>893</v>
      </c>
      <c r="B48" s="98" t="s">
        <v>894</v>
      </c>
      <c r="C48" s="98" t="s">
        <v>895</v>
      </c>
      <c r="D48" s="98" t="s">
        <v>53</v>
      </c>
      <c r="E48" s="133" t="s">
        <v>71</v>
      </c>
      <c r="F48" s="134"/>
      <c r="G48" s="100" t="n">
        <v>194522.85</v>
      </c>
      <c r="H48" s="100" t="n">
        <v>77809.14</v>
      </c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</row>
    <row r="49" customFormat="false" ht="14.25" hidden="false" customHeight="true" outlineLevel="0" collapsed="false">
      <c r="A49" s="132" t="s">
        <v>896</v>
      </c>
      <c r="B49" s="98" t="s">
        <v>69</v>
      </c>
      <c r="C49" s="98" t="s">
        <v>895</v>
      </c>
      <c r="D49" s="98" t="s">
        <v>69</v>
      </c>
      <c r="E49" s="133" t="s">
        <v>71</v>
      </c>
      <c r="F49" s="134"/>
      <c r="G49" s="100" t="n">
        <v>202853.25</v>
      </c>
      <c r="H49" s="100" t="n">
        <v>81141.3</v>
      </c>
      <c r="I49" s="44"/>
      <c r="J49" s="44"/>
      <c r="K49" s="135" t="s">
        <v>1925</v>
      </c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</row>
    <row r="50" customFormat="false" ht="14.25" hidden="false" customHeight="true" outlineLevel="0" collapsed="false">
      <c r="A50" s="132" t="s">
        <v>897</v>
      </c>
      <c r="B50" s="98" t="s">
        <v>898</v>
      </c>
      <c r="C50" s="98" t="s">
        <v>80</v>
      </c>
      <c r="D50" s="98" t="s">
        <v>53</v>
      </c>
      <c r="E50" s="133" t="s">
        <v>71</v>
      </c>
      <c r="F50" s="134"/>
      <c r="G50" s="100" t="n">
        <v>133983.228</v>
      </c>
      <c r="H50" s="100" t="n">
        <v>53593.2912</v>
      </c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</row>
    <row r="51" customFormat="false" ht="14.25" hidden="false" customHeight="true" outlineLevel="0" collapsed="false">
      <c r="A51" s="44"/>
      <c r="B51" s="96" t="s">
        <v>938</v>
      </c>
      <c r="C51" s="96" t="s">
        <v>1879</v>
      </c>
      <c r="D51" s="96"/>
      <c r="E51" s="96"/>
      <c r="F51" s="96"/>
      <c r="G51" s="131" t="n">
        <v>1324548.51</v>
      </c>
      <c r="H51" s="131" t="n">
        <v>1324548.51</v>
      </c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</row>
    <row r="52" customFormat="false" ht="14.25" hidden="false" customHeight="true" outlineLevel="0" collapsed="false">
      <c r="A52" s="132" t="s">
        <v>939</v>
      </c>
      <c r="B52" s="165" t="s">
        <v>940</v>
      </c>
      <c r="C52" s="165" t="s">
        <v>941</v>
      </c>
      <c r="D52" s="165" t="s">
        <v>53</v>
      </c>
      <c r="E52" s="166" t="s">
        <v>53</v>
      </c>
      <c r="F52" s="134"/>
      <c r="G52" s="167" t="n">
        <v>299700</v>
      </c>
      <c r="H52" s="167" t="n">
        <v>299700</v>
      </c>
      <c r="I52" s="44" t="s">
        <v>1932</v>
      </c>
      <c r="J52" s="75" t="s">
        <v>1933</v>
      </c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</row>
    <row r="53" customFormat="false" ht="14.25" hidden="false" customHeight="true" outlineLevel="0" collapsed="false">
      <c r="A53" s="132" t="s">
        <v>942</v>
      </c>
      <c r="B53" s="98" t="s">
        <v>943</v>
      </c>
      <c r="C53" s="98" t="s">
        <v>944</v>
      </c>
      <c r="D53" s="98" t="s">
        <v>53</v>
      </c>
      <c r="E53" s="133" t="s">
        <v>53</v>
      </c>
      <c r="F53" s="134"/>
      <c r="G53" s="100" t="n">
        <v>348096</v>
      </c>
      <c r="H53" s="100" t="n">
        <v>348096</v>
      </c>
      <c r="I53" s="44" t="s">
        <v>1932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</row>
    <row r="54" customFormat="false" ht="14.25" hidden="false" customHeight="true" outlineLevel="0" collapsed="false">
      <c r="A54" s="132" t="s">
        <v>945</v>
      </c>
      <c r="B54" s="98" t="s">
        <v>946</v>
      </c>
      <c r="C54" s="98" t="s">
        <v>947</v>
      </c>
      <c r="D54" s="98" t="s">
        <v>53</v>
      </c>
      <c r="E54" s="133" t="s">
        <v>53</v>
      </c>
      <c r="F54" s="134"/>
      <c r="G54" s="100" t="n">
        <v>266400</v>
      </c>
      <c r="H54" s="100" t="n">
        <v>266400</v>
      </c>
      <c r="I54" s="44" t="s">
        <v>1932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</row>
    <row r="55" customFormat="false" ht="14.25" hidden="false" customHeight="true" outlineLevel="0" collapsed="false">
      <c r="A55" s="132" t="s">
        <v>948</v>
      </c>
      <c r="B55" s="98" t="s">
        <v>949</v>
      </c>
      <c r="C55" s="98" t="s">
        <v>950</v>
      </c>
      <c r="D55" s="98" t="s">
        <v>53</v>
      </c>
      <c r="E55" s="133" t="s">
        <v>53</v>
      </c>
      <c r="F55" s="134"/>
      <c r="G55" s="100" t="n">
        <v>199355.76</v>
      </c>
      <c r="H55" s="100" t="n">
        <v>199355.76</v>
      </c>
      <c r="I55" s="44" t="s">
        <v>1934</v>
      </c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</row>
    <row r="56" customFormat="false" ht="14.25" hidden="false" customHeight="true" outlineLevel="0" collapsed="false">
      <c r="A56" s="132" t="s">
        <v>951</v>
      </c>
      <c r="B56" s="98" t="s">
        <v>952</v>
      </c>
      <c r="C56" s="98" t="s">
        <v>953</v>
      </c>
      <c r="D56" s="98" t="s">
        <v>53</v>
      </c>
      <c r="E56" s="133" t="s">
        <v>53</v>
      </c>
      <c r="F56" s="134"/>
      <c r="G56" s="100" t="n">
        <v>210996.75</v>
      </c>
      <c r="H56" s="100" t="n">
        <v>210996.75</v>
      </c>
      <c r="I56" s="44" t="s">
        <v>1934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</row>
    <row r="57" customFormat="false" ht="14.25" hidden="false" customHeight="true" outlineLevel="0" collapsed="false">
      <c r="A57" s="44"/>
      <c r="B57" s="96" t="s">
        <v>854</v>
      </c>
      <c r="C57" s="96" t="s">
        <v>1876</v>
      </c>
      <c r="D57" s="96"/>
      <c r="E57" s="96"/>
      <c r="F57" s="96"/>
      <c r="G57" s="131" t="n">
        <v>1981237.90904348</v>
      </c>
      <c r="H57" s="131" t="n">
        <v>1583748.54104348</v>
      </c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</row>
    <row r="58" customFormat="false" ht="14.25" hidden="false" customHeight="true" outlineLevel="0" collapsed="false">
      <c r="A58" s="132" t="s">
        <v>899</v>
      </c>
      <c r="B58" s="98" t="s">
        <v>900</v>
      </c>
      <c r="C58" s="98" t="s">
        <v>901</v>
      </c>
      <c r="D58" s="98" t="s">
        <v>53</v>
      </c>
      <c r="E58" s="133" t="s">
        <v>53</v>
      </c>
      <c r="F58" s="134"/>
      <c r="G58" s="100" t="n">
        <v>271902.12</v>
      </c>
      <c r="H58" s="100" t="n">
        <v>271902.12</v>
      </c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</row>
    <row r="59" customFormat="false" ht="14.25" hidden="false" customHeight="true" outlineLevel="0" collapsed="false">
      <c r="A59" s="132" t="s">
        <v>902</v>
      </c>
      <c r="B59" s="98" t="s">
        <v>903</v>
      </c>
      <c r="C59" s="98" t="s">
        <v>591</v>
      </c>
      <c r="D59" s="98" t="s">
        <v>53</v>
      </c>
      <c r="E59" s="133" t="s">
        <v>53</v>
      </c>
      <c r="F59" s="134"/>
      <c r="G59" s="100" t="n">
        <v>178115.628</v>
      </c>
      <c r="H59" s="100" t="n">
        <v>178115.628</v>
      </c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</row>
    <row r="60" customFormat="false" ht="14.25" hidden="false" customHeight="true" outlineLevel="0" collapsed="false">
      <c r="A60" s="132" t="s">
        <v>904</v>
      </c>
      <c r="B60" s="98" t="s">
        <v>905</v>
      </c>
      <c r="C60" s="98" t="s">
        <v>52</v>
      </c>
      <c r="D60" s="98" t="s">
        <v>53</v>
      </c>
      <c r="E60" s="133" t="s">
        <v>53</v>
      </c>
      <c r="F60" s="134"/>
      <c r="G60" s="100" t="n">
        <v>216227.916</v>
      </c>
      <c r="H60" s="100" t="n">
        <v>216227.916</v>
      </c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</row>
    <row r="61" customFormat="false" ht="14.25" hidden="false" customHeight="true" outlineLevel="0" collapsed="false">
      <c r="A61" s="132" t="s">
        <v>906</v>
      </c>
      <c r="B61" s="98" t="s">
        <v>69</v>
      </c>
      <c r="C61" s="98" t="s">
        <v>907</v>
      </c>
      <c r="D61" s="98" t="s">
        <v>69</v>
      </c>
      <c r="E61" s="133" t="s">
        <v>82</v>
      </c>
      <c r="F61" s="134"/>
      <c r="G61" s="100" t="n">
        <v>231689.25</v>
      </c>
      <c r="H61" s="100" t="n">
        <v>231689.25</v>
      </c>
      <c r="I61" s="44"/>
      <c r="J61" s="44"/>
      <c r="K61" s="135" t="s">
        <v>1873</v>
      </c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</row>
    <row r="62" customFormat="false" ht="14.25" hidden="false" customHeight="true" outlineLevel="0" collapsed="false">
      <c r="A62" s="132" t="s">
        <v>908</v>
      </c>
      <c r="B62" s="98" t="s">
        <v>909</v>
      </c>
      <c r="C62" s="98" t="s">
        <v>910</v>
      </c>
      <c r="D62" s="98" t="s">
        <v>53</v>
      </c>
      <c r="E62" s="133" t="s">
        <v>53</v>
      </c>
      <c r="F62" s="134"/>
      <c r="G62" s="100" t="n">
        <v>202320.552</v>
      </c>
      <c r="H62" s="100" t="n">
        <v>202320.552</v>
      </c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</row>
    <row r="63" customFormat="false" ht="14.25" hidden="false" customHeight="true" outlineLevel="0" collapsed="false">
      <c r="A63" s="132" t="s">
        <v>911</v>
      </c>
      <c r="B63" s="98" t="s">
        <v>912</v>
      </c>
      <c r="C63" s="98" t="s">
        <v>913</v>
      </c>
      <c r="D63" s="98" t="s">
        <v>53</v>
      </c>
      <c r="E63" s="133" t="s">
        <v>53</v>
      </c>
      <c r="F63" s="134"/>
      <c r="G63" s="100" t="n">
        <v>186900</v>
      </c>
      <c r="H63" s="100" t="n">
        <v>186900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</row>
    <row r="64" customFormat="false" ht="14.25" hidden="false" customHeight="true" outlineLevel="0" collapsed="false">
      <c r="A64" s="132" t="s">
        <v>914</v>
      </c>
      <c r="B64" s="98" t="s">
        <v>69</v>
      </c>
      <c r="C64" s="98" t="s">
        <v>915</v>
      </c>
      <c r="D64" s="98" t="s">
        <v>69</v>
      </c>
      <c r="E64" s="133" t="s">
        <v>78</v>
      </c>
      <c r="F64" s="134"/>
      <c r="G64" s="100" t="n">
        <v>201585</v>
      </c>
      <c r="H64" s="100" t="n">
        <v>0</v>
      </c>
      <c r="I64" s="44"/>
      <c r="J64" s="44"/>
      <c r="K64" s="135" t="s">
        <v>1925</v>
      </c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</row>
    <row r="65" customFormat="false" ht="14.25" hidden="false" customHeight="true" outlineLevel="0" collapsed="false">
      <c r="A65" s="132" t="s">
        <v>916</v>
      </c>
      <c r="B65" s="98" t="s">
        <v>917</v>
      </c>
      <c r="C65" s="98" t="s">
        <v>918</v>
      </c>
      <c r="D65" s="98" t="s">
        <v>53</v>
      </c>
      <c r="E65" s="133" t="s">
        <v>71</v>
      </c>
      <c r="F65" s="134"/>
      <c r="G65" s="100" t="n">
        <v>186900</v>
      </c>
      <c r="H65" s="100" t="n">
        <v>74760</v>
      </c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</row>
    <row r="66" customFormat="false" ht="14.25" hidden="false" customHeight="true" outlineLevel="0" collapsed="false">
      <c r="A66" s="132" t="s">
        <v>919</v>
      </c>
      <c r="B66" s="98" t="s">
        <v>920</v>
      </c>
      <c r="C66" s="98" t="s">
        <v>918</v>
      </c>
      <c r="D66" s="98" t="s">
        <v>53</v>
      </c>
      <c r="E66" s="133" t="s">
        <v>71</v>
      </c>
      <c r="F66" s="134"/>
      <c r="G66" s="100" t="n">
        <v>139607.28</v>
      </c>
      <c r="H66" s="100" t="n">
        <v>55842.912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</row>
    <row r="67" customFormat="false" ht="14.25" hidden="false" customHeight="true" outlineLevel="0" collapsed="false">
      <c r="A67" s="132" t="s">
        <v>921</v>
      </c>
      <c r="B67" s="98" t="s">
        <v>922</v>
      </c>
      <c r="C67" s="98" t="s">
        <v>913</v>
      </c>
      <c r="D67" s="98" t="s">
        <v>53</v>
      </c>
      <c r="E67" s="133" t="s">
        <v>53</v>
      </c>
      <c r="F67" s="134"/>
      <c r="G67" s="100" t="n">
        <v>165990.163043478</v>
      </c>
      <c r="H67" s="100" t="n">
        <v>165990.163043478</v>
      </c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</row>
    <row r="68" customFormat="false" ht="14.25" hidden="false" customHeight="true" outlineLevel="0" collapsed="false">
      <c r="A68" s="44"/>
      <c r="B68" s="96" t="s">
        <v>810</v>
      </c>
      <c r="C68" s="96" t="s">
        <v>1884</v>
      </c>
      <c r="D68" s="96"/>
      <c r="E68" s="96"/>
      <c r="F68" s="96"/>
      <c r="G68" s="131" t="n">
        <v>355200</v>
      </c>
      <c r="H68" s="131" t="n">
        <v>0</v>
      </c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</row>
    <row r="69" customFormat="false" ht="14.25" hidden="false" customHeight="true" outlineLevel="0" collapsed="false">
      <c r="A69" s="132" t="s">
        <v>954</v>
      </c>
      <c r="B69" s="98" t="s">
        <v>955</v>
      </c>
      <c r="C69" s="98" t="s">
        <v>956</v>
      </c>
      <c r="D69" s="98" t="s">
        <v>53</v>
      </c>
      <c r="E69" s="133" t="s">
        <v>78</v>
      </c>
      <c r="F69" s="134"/>
      <c r="G69" s="100" t="n">
        <v>355200</v>
      </c>
      <c r="H69" s="100" t="n">
        <v>0</v>
      </c>
      <c r="I69" s="44" t="s">
        <v>1935</v>
      </c>
      <c r="J69" s="75" t="s">
        <v>1936</v>
      </c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</row>
    <row r="70" customFormat="false" ht="14.25" hidden="false" customHeight="true" outlineLevel="0" collapsed="false">
      <c r="A70" s="44"/>
      <c r="B70" s="96" t="s">
        <v>851</v>
      </c>
      <c r="C70" s="96" t="s">
        <v>1877</v>
      </c>
      <c r="D70" s="96"/>
      <c r="E70" s="96"/>
      <c r="F70" s="96"/>
      <c r="G70" s="131" t="n">
        <v>1117329.222</v>
      </c>
      <c r="H70" s="131" t="n">
        <v>914475.972</v>
      </c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</row>
    <row r="71" customFormat="false" ht="14.25" hidden="false" customHeight="true" outlineLevel="0" collapsed="false">
      <c r="A71" s="132" t="s">
        <v>923</v>
      </c>
      <c r="B71" s="98" t="s">
        <v>924</v>
      </c>
      <c r="C71" s="98" t="s">
        <v>925</v>
      </c>
      <c r="D71" s="98" t="s">
        <v>53</v>
      </c>
      <c r="E71" s="133" t="s">
        <v>53</v>
      </c>
      <c r="F71" s="134"/>
      <c r="G71" s="100" t="n">
        <v>220875.75</v>
      </c>
      <c r="H71" s="100" t="n">
        <v>220875.75</v>
      </c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</row>
    <row r="72" customFormat="false" ht="14.25" hidden="false" customHeight="true" outlineLevel="0" collapsed="false">
      <c r="A72" s="132" t="s">
        <v>926</v>
      </c>
      <c r="B72" s="98" t="s">
        <v>927</v>
      </c>
      <c r="C72" s="98" t="s">
        <v>928</v>
      </c>
      <c r="D72" s="98" t="s">
        <v>53</v>
      </c>
      <c r="E72" s="133" t="s">
        <v>53</v>
      </c>
      <c r="F72" s="134"/>
      <c r="G72" s="100" t="n">
        <v>212438.55</v>
      </c>
      <c r="H72" s="100" t="n">
        <v>212438.55</v>
      </c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</row>
    <row r="73" customFormat="false" ht="14.25" hidden="false" customHeight="true" outlineLevel="0" collapsed="false">
      <c r="A73" s="132" t="s">
        <v>929</v>
      </c>
      <c r="B73" s="98" t="s">
        <v>69</v>
      </c>
      <c r="C73" s="98" t="s">
        <v>930</v>
      </c>
      <c r="D73" s="98" t="s">
        <v>69</v>
      </c>
      <c r="E73" s="133" t="s">
        <v>78</v>
      </c>
      <c r="F73" s="134"/>
      <c r="G73" s="100" t="n">
        <v>202853.25</v>
      </c>
      <c r="H73" s="100" t="n">
        <v>0</v>
      </c>
      <c r="I73" s="44"/>
      <c r="J73" s="44"/>
      <c r="K73" s="135" t="s">
        <v>1924</v>
      </c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</row>
    <row r="74" customFormat="false" ht="14.25" hidden="false" customHeight="true" outlineLevel="0" collapsed="false">
      <c r="A74" s="132" t="s">
        <v>931</v>
      </c>
      <c r="B74" s="98" t="s">
        <v>69</v>
      </c>
      <c r="C74" s="98" t="s">
        <v>932</v>
      </c>
      <c r="D74" s="98" t="s">
        <v>69</v>
      </c>
      <c r="E74" s="133" t="s">
        <v>53</v>
      </c>
      <c r="F74" s="134"/>
      <c r="G74" s="100" t="n">
        <v>201585</v>
      </c>
      <c r="H74" s="100" t="n">
        <v>201585</v>
      </c>
      <c r="I74" s="44"/>
      <c r="J74" s="75" t="s">
        <v>173</v>
      </c>
      <c r="K74" s="135" t="s">
        <v>1874</v>
      </c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</row>
    <row r="75" customFormat="false" ht="14.25" hidden="false" customHeight="true" outlineLevel="0" collapsed="false">
      <c r="A75" s="132" t="s">
        <v>933</v>
      </c>
      <c r="B75" s="98" t="s">
        <v>934</v>
      </c>
      <c r="C75" s="98" t="s">
        <v>935</v>
      </c>
      <c r="D75" s="98" t="s">
        <v>53</v>
      </c>
      <c r="E75" s="133" t="s">
        <v>53</v>
      </c>
      <c r="F75" s="134"/>
      <c r="G75" s="100" t="n">
        <v>135906.948</v>
      </c>
      <c r="H75" s="100" t="n">
        <v>135906.948</v>
      </c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</row>
    <row r="76" customFormat="false" ht="14.25" hidden="false" customHeight="true" outlineLevel="0" collapsed="false">
      <c r="A76" s="132" t="s">
        <v>936</v>
      </c>
      <c r="B76" s="98" t="s">
        <v>937</v>
      </c>
      <c r="C76" s="98" t="s">
        <v>935</v>
      </c>
      <c r="D76" s="98" t="s">
        <v>53</v>
      </c>
      <c r="E76" s="133" t="s">
        <v>53</v>
      </c>
      <c r="F76" s="134"/>
      <c r="G76" s="100" t="n">
        <v>143669.724</v>
      </c>
      <c r="H76" s="100" t="n">
        <v>143669.724</v>
      </c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</row>
    <row r="77" customFormat="false" ht="14.25" hidden="false" customHeight="true" outlineLevel="0" collapsed="false">
      <c r="A77" s="44"/>
      <c r="B77" s="96" t="s">
        <v>199</v>
      </c>
      <c r="C77" s="96" t="s">
        <v>1884</v>
      </c>
      <c r="D77" s="96"/>
      <c r="E77" s="96"/>
      <c r="F77" s="96"/>
      <c r="G77" s="131" t="n">
        <v>333020.25</v>
      </c>
      <c r="H77" s="131" t="n">
        <v>333020.25</v>
      </c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</row>
    <row r="78" customFormat="false" ht="14.25" hidden="false" customHeight="true" outlineLevel="0" collapsed="false">
      <c r="A78" s="132" t="s">
        <v>957</v>
      </c>
      <c r="B78" s="98" t="s">
        <v>69</v>
      </c>
      <c r="C78" s="98" t="s">
        <v>958</v>
      </c>
      <c r="D78" s="98" t="s">
        <v>69</v>
      </c>
      <c r="E78" s="133" t="s">
        <v>82</v>
      </c>
      <c r="F78" s="134"/>
      <c r="G78" s="100" t="n">
        <v>333020.25</v>
      </c>
      <c r="H78" s="100" t="n">
        <v>333020.25</v>
      </c>
      <c r="I78" s="44"/>
      <c r="J78" s="44"/>
      <c r="K78" s="135" t="s">
        <v>1926</v>
      </c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</row>
    <row r="79" customFormat="false" ht="14.25" hidden="false" customHeight="true" outlineLevel="0" collapsed="false">
      <c r="A79" s="44"/>
      <c r="B79" s="96" t="s">
        <v>203</v>
      </c>
      <c r="C79" s="96" t="s">
        <v>1884</v>
      </c>
      <c r="D79" s="96"/>
      <c r="E79" s="96"/>
      <c r="F79" s="96"/>
      <c r="G79" s="131" t="n">
        <v>275810.25</v>
      </c>
      <c r="H79" s="131" t="n">
        <v>275810.25</v>
      </c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</row>
    <row r="80" customFormat="false" ht="14.25" hidden="false" customHeight="true" outlineLevel="0" collapsed="false">
      <c r="A80" s="132" t="s">
        <v>959</v>
      </c>
      <c r="B80" s="98" t="s">
        <v>69</v>
      </c>
      <c r="C80" s="98" t="s">
        <v>203</v>
      </c>
      <c r="D80" s="98" t="s">
        <v>69</v>
      </c>
      <c r="E80" s="133" t="s">
        <v>82</v>
      </c>
      <c r="F80" s="134"/>
      <c r="G80" s="100" t="n">
        <v>275810.25</v>
      </c>
      <c r="H80" s="100" t="n">
        <v>275810.25</v>
      </c>
      <c r="I80" s="44"/>
      <c r="J80" s="44"/>
      <c r="K80" s="135" t="s">
        <v>1926</v>
      </c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</row>
    <row r="81" customFormat="false" ht="14.25" hidden="false" customHeight="true" outlineLevel="0" collapsed="false">
      <c r="A81" s="44"/>
      <c r="B81" s="96" t="s">
        <v>206</v>
      </c>
      <c r="C81" s="96" t="s">
        <v>1883</v>
      </c>
      <c r="D81" s="96"/>
      <c r="E81" s="96"/>
      <c r="F81" s="96"/>
      <c r="G81" s="131" t="n">
        <v>1002329.04</v>
      </c>
      <c r="H81" s="131" t="n">
        <v>726518.79</v>
      </c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</row>
    <row r="82" customFormat="false" ht="14.25" hidden="false" customHeight="true" outlineLevel="0" collapsed="false">
      <c r="A82" s="132" t="s">
        <v>960</v>
      </c>
      <c r="B82" s="98" t="s">
        <v>961</v>
      </c>
      <c r="C82" s="98" t="n">
        <v>0.01</v>
      </c>
      <c r="D82" s="98" t="s">
        <v>53</v>
      </c>
      <c r="E82" s="133" t="s">
        <v>53</v>
      </c>
      <c r="F82" s="134"/>
      <c r="G82" s="100" t="n">
        <v>275810.25</v>
      </c>
      <c r="H82" s="100" t="n">
        <v>275810.25</v>
      </c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</row>
    <row r="83" customFormat="false" ht="14.25" hidden="false" customHeight="true" outlineLevel="0" collapsed="false">
      <c r="A83" s="132" t="s">
        <v>962</v>
      </c>
      <c r="B83" s="98" t="s">
        <v>963</v>
      </c>
      <c r="C83" s="98" t="s">
        <v>964</v>
      </c>
      <c r="D83" s="98" t="s">
        <v>53</v>
      </c>
      <c r="E83" s="133" t="s">
        <v>53</v>
      </c>
      <c r="F83" s="134"/>
      <c r="G83" s="100" t="n">
        <v>221478.54</v>
      </c>
      <c r="H83" s="100" t="n">
        <v>221478.54</v>
      </c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</row>
    <row r="84" customFormat="false" ht="14.25" hidden="false" customHeight="true" outlineLevel="0" collapsed="false">
      <c r="A84" s="132" t="s">
        <v>965</v>
      </c>
      <c r="B84" s="98" t="s">
        <v>966</v>
      </c>
      <c r="C84" s="98" t="s">
        <v>967</v>
      </c>
      <c r="D84" s="98" t="s">
        <v>53</v>
      </c>
      <c r="E84" s="133" t="s">
        <v>53</v>
      </c>
      <c r="F84" s="134"/>
      <c r="G84" s="100" t="n">
        <v>229230</v>
      </c>
      <c r="H84" s="100" t="n">
        <v>229230</v>
      </c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</row>
    <row r="85" customFormat="false" ht="14.25" hidden="false" customHeight="true" outlineLevel="0" collapsed="false">
      <c r="A85" s="132" t="s">
        <v>968</v>
      </c>
      <c r="B85" s="98" t="s">
        <v>69</v>
      </c>
      <c r="C85" s="98" t="s">
        <v>969</v>
      </c>
      <c r="D85" s="98" t="s">
        <v>69</v>
      </c>
      <c r="E85" s="133" t="s">
        <v>78</v>
      </c>
      <c r="F85" s="134"/>
      <c r="G85" s="100" t="n">
        <v>275810.25</v>
      </c>
      <c r="H85" s="100" t="n">
        <v>0</v>
      </c>
      <c r="I85" s="44"/>
      <c r="J85" s="75" t="s">
        <v>1937</v>
      </c>
      <c r="K85" s="135" t="s">
        <v>1874</v>
      </c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</row>
    <row r="86" customFormat="false" ht="15" hidden="false" customHeight="false" outlineLevel="0" collapsed="false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</row>
    <row r="87" customFormat="false" ht="14.25" hidden="false" customHeight="true" outlineLevel="0" collapsed="false">
      <c r="A87" s="44"/>
      <c r="B87" s="126" t="s">
        <v>1886</v>
      </c>
      <c r="C87" s="44"/>
      <c r="D87" s="44"/>
      <c r="E87" s="44"/>
      <c r="F87" s="44"/>
      <c r="G87" s="44"/>
      <c r="H87" s="44"/>
      <c r="I87" s="44"/>
      <c r="J87" s="44"/>
      <c r="K87" s="136" t="n">
        <v>4</v>
      </c>
      <c r="L87" s="136" t="n">
        <v>3</v>
      </c>
      <c r="M87" s="136" t="n">
        <v>4</v>
      </c>
      <c r="N87" s="136" t="n">
        <v>1</v>
      </c>
      <c r="O87" s="136" t="n">
        <v>8</v>
      </c>
      <c r="P87" s="44"/>
      <c r="Q87" s="44"/>
      <c r="R87" s="44"/>
      <c r="S87" s="44"/>
      <c r="T87" s="44"/>
      <c r="U87" s="44"/>
      <c r="V87" s="44"/>
      <c r="W87" s="44"/>
      <c r="X87" s="44"/>
      <c r="Y87" s="44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1" min="11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</row>
    <row r="2" customFormat="false" ht="21" hidden="false" customHeight="true" outlineLevel="0" collapsed="false">
      <c r="A2" s="44"/>
      <c r="B2" s="81" t="s">
        <v>1938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</row>
    <row r="3" customFormat="false" ht="14.25" hidden="false" customHeight="true" outlineLevel="0" collapsed="false">
      <c r="A3" s="44"/>
      <c r="B3" s="82" t="s">
        <v>1165</v>
      </c>
      <c r="C3" s="73" t="s">
        <v>26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</row>
    <row r="4" customFormat="false" ht="18.75" hidden="false" customHeight="true" outlineLevel="0" collapsed="false">
      <c r="A4" s="44"/>
      <c r="B4" s="83" t="s">
        <v>1939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44"/>
      <c r="V4" s="44"/>
      <c r="W4" s="86" t="s">
        <v>1821</v>
      </c>
      <c r="X4" s="86"/>
      <c r="Y4" s="44"/>
    </row>
    <row r="5" customFormat="false" ht="27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89" t="s">
        <v>1822</v>
      </c>
      <c r="X5" s="90" t="n">
        <v>2</v>
      </c>
      <c r="Y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2" t="s">
        <v>1835</v>
      </c>
      <c r="S6" s="91" t="s">
        <v>1836</v>
      </c>
      <c r="T6" s="91" t="s">
        <v>1837</v>
      </c>
      <c r="U6" s="93" t="s">
        <v>1189</v>
      </c>
      <c r="V6" s="44"/>
      <c r="W6" s="137" t="s">
        <v>1838</v>
      </c>
      <c r="X6" s="168" t="n">
        <v>1</v>
      </c>
      <c r="Y6" s="44"/>
    </row>
    <row r="7" customFormat="false" ht="14.25" hidden="false" customHeight="true" outlineLevel="0" collapsed="false">
      <c r="A7" s="44"/>
      <c r="B7" s="96" t="s">
        <v>1164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44"/>
      <c r="V7" s="44"/>
      <c r="W7" s="140" t="s">
        <v>1839</v>
      </c>
      <c r="X7" s="156" t="n">
        <v>1</v>
      </c>
      <c r="Y7" s="44"/>
    </row>
    <row r="8" customFormat="false" ht="14.25" hidden="false" customHeight="true" outlineLevel="0" collapsed="false">
      <c r="A8" s="44"/>
      <c r="B8" s="98" t="s">
        <v>26</v>
      </c>
      <c r="C8" s="98" t="s">
        <v>1840</v>
      </c>
      <c r="D8" s="98" t="s">
        <v>1841</v>
      </c>
      <c r="E8" s="99" t="n">
        <v>9</v>
      </c>
      <c r="F8" s="100" t="n">
        <v>8</v>
      </c>
      <c r="G8" s="99" t="n">
        <v>8</v>
      </c>
      <c r="H8" s="100" t="n">
        <v>5</v>
      </c>
      <c r="I8" s="100" t="n">
        <v>3</v>
      </c>
      <c r="J8" s="100" t="n">
        <v>2</v>
      </c>
      <c r="K8" s="100" t="n">
        <v>1</v>
      </c>
      <c r="L8" s="100" t="n">
        <v>0</v>
      </c>
      <c r="M8" s="100" t="n">
        <v>8</v>
      </c>
      <c r="N8" s="101" t="n">
        <v>2.1</v>
      </c>
      <c r="O8" s="101" t="n">
        <v>1.76551793</v>
      </c>
      <c r="P8" s="101" t="n">
        <v>0</v>
      </c>
      <c r="Q8" s="101" t="n">
        <v>1.76551793</v>
      </c>
      <c r="R8" s="101" t="n">
        <v>-0.334482</v>
      </c>
      <c r="S8" s="101" t="n">
        <v>1.66322408</v>
      </c>
      <c r="T8" s="101" t="n">
        <v>-0.436776</v>
      </c>
      <c r="U8" s="102" t="n">
        <v>0.15</v>
      </c>
      <c r="V8" s="44"/>
      <c r="W8" s="140" t="s">
        <v>1842</v>
      </c>
      <c r="X8" s="156" t="n">
        <v>0.7075</v>
      </c>
      <c r="Y8" s="44"/>
    </row>
    <row r="9" customFormat="false" ht="14.25" hidden="false" customHeight="true" outlineLevel="0" collapsed="false">
      <c r="A9" s="44"/>
      <c r="B9" s="98" t="s">
        <v>769</v>
      </c>
      <c r="C9" s="98" t="s">
        <v>1840</v>
      </c>
      <c r="D9" s="98" t="s">
        <v>1846</v>
      </c>
      <c r="E9" s="99" t="n">
        <v>6</v>
      </c>
      <c r="F9" s="100" t="n">
        <v>5</v>
      </c>
      <c r="G9" s="99" t="n">
        <v>5</v>
      </c>
      <c r="H9" s="100" t="n">
        <v>0</v>
      </c>
      <c r="I9" s="100" t="n">
        <v>5</v>
      </c>
      <c r="J9" s="100" t="n">
        <v>3</v>
      </c>
      <c r="K9" s="100" t="n">
        <v>2</v>
      </c>
      <c r="L9" s="100" t="n">
        <v>0</v>
      </c>
      <c r="M9" s="100" t="n">
        <v>5</v>
      </c>
      <c r="N9" s="101" t="n">
        <v>1.4</v>
      </c>
      <c r="O9" s="101" t="n">
        <v>0.98658815</v>
      </c>
      <c r="P9" s="101" t="n">
        <v>0</v>
      </c>
      <c r="Q9" s="101" t="n">
        <v>0.98658815</v>
      </c>
      <c r="R9" s="101" t="n">
        <v>-0.413412</v>
      </c>
      <c r="S9" s="101" t="n">
        <v>0.76258235</v>
      </c>
      <c r="T9" s="101" t="n">
        <v>-0.637418</v>
      </c>
      <c r="U9" s="102" t="n">
        <v>0.15</v>
      </c>
      <c r="V9" s="44"/>
      <c r="W9" s="140" t="s">
        <v>1844</v>
      </c>
      <c r="X9" s="156" t="n">
        <v>-1</v>
      </c>
      <c r="Y9" s="44"/>
    </row>
    <row r="10" customFormat="false" ht="14.25" hidden="false" customHeight="true" outlineLevel="0" collapsed="false">
      <c r="A10" s="44"/>
      <c r="B10" s="114" t="s">
        <v>1852</v>
      </c>
      <c r="C10" s="114"/>
      <c r="D10" s="114"/>
      <c r="E10" s="115" t="n">
        <v>15</v>
      </c>
      <c r="F10" s="116" t="n">
        <v>13</v>
      </c>
      <c r="G10" s="115" t="n">
        <v>13</v>
      </c>
      <c r="H10" s="116" t="n">
        <v>5</v>
      </c>
      <c r="I10" s="116" t="n">
        <v>8</v>
      </c>
      <c r="J10" s="116" t="n">
        <v>5</v>
      </c>
      <c r="K10" s="116" t="n">
        <v>3</v>
      </c>
      <c r="L10" s="116" t="n">
        <v>0</v>
      </c>
      <c r="M10" s="116" t="n">
        <v>13</v>
      </c>
      <c r="N10" s="117" t="n">
        <v>3.5</v>
      </c>
      <c r="O10" s="117" t="n">
        <v>2.75210608</v>
      </c>
      <c r="P10" s="117" t="n">
        <v>0</v>
      </c>
      <c r="Q10" s="117" t="n">
        <v>2.75210608</v>
      </c>
      <c r="R10" s="117" t="n">
        <v>-0.747894</v>
      </c>
      <c r="S10" s="117" t="n">
        <v>2.42580643</v>
      </c>
      <c r="T10" s="117" t="n">
        <v>-1.074194</v>
      </c>
      <c r="U10" s="44"/>
      <c r="V10" s="44"/>
      <c r="W10" s="140" t="s">
        <v>1847</v>
      </c>
      <c r="X10" s="156" t="n">
        <v>-0.2925</v>
      </c>
      <c r="Y10" s="44"/>
    </row>
    <row r="11" customFormat="false" ht="14.25" hidden="false" customHeight="true" outlineLevel="0" collapsed="false">
      <c r="A11" s="44"/>
      <c r="B11" s="96" t="s">
        <v>1854</v>
      </c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44"/>
      <c r="V11" s="44"/>
      <c r="W11" s="83" t="s">
        <v>1848</v>
      </c>
      <c r="X11" s="162"/>
      <c r="Y11" s="85"/>
    </row>
    <row r="12" customFormat="false" ht="14.25" hidden="false" customHeight="true" outlineLevel="0" collapsed="false">
      <c r="A12" s="44"/>
      <c r="B12" s="98" t="s">
        <v>795</v>
      </c>
      <c r="C12" s="98" t="s">
        <v>1856</v>
      </c>
      <c r="D12" s="98"/>
      <c r="E12" s="99"/>
      <c r="F12" s="100" t="n">
        <v>1</v>
      </c>
      <c r="G12" s="99" t="n">
        <v>1</v>
      </c>
      <c r="H12" s="100" t="n">
        <v>1</v>
      </c>
      <c r="I12" s="100" t="n">
        <v>0</v>
      </c>
      <c r="J12" s="100" t="n">
        <v>0</v>
      </c>
      <c r="K12" s="100" t="n">
        <v>0</v>
      </c>
      <c r="L12" s="100" t="n">
        <v>1</v>
      </c>
      <c r="M12" s="100" t="n">
        <v>0</v>
      </c>
      <c r="N12" s="101" t="n">
        <v>0.238965</v>
      </c>
      <c r="O12" s="101" t="n">
        <v>0.238965</v>
      </c>
      <c r="P12" s="101" t="n">
        <v>0.238965</v>
      </c>
      <c r="Q12" s="101" t="n">
        <v>0</v>
      </c>
      <c r="R12" s="101" t="n">
        <v>0</v>
      </c>
      <c r="S12" s="101" t="n">
        <v>0</v>
      </c>
      <c r="T12" s="101" t="n">
        <v>-0.238965</v>
      </c>
      <c r="U12" s="102" t="n">
        <v>0</v>
      </c>
      <c r="V12" s="44"/>
      <c r="W12" s="169" t="s">
        <v>1849</v>
      </c>
      <c r="X12" s="169" t="s">
        <v>1264</v>
      </c>
      <c r="Y12" s="170" t="s">
        <v>1850</v>
      </c>
    </row>
    <row r="13" customFormat="false" ht="14.25" hidden="false" customHeight="true" outlineLevel="0" collapsed="false">
      <c r="A13" s="44"/>
      <c r="B13" s="96" t="s">
        <v>1861</v>
      </c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44"/>
      <c r="V13" s="44"/>
      <c r="W13" s="171" t="s">
        <v>1940</v>
      </c>
      <c r="X13" s="161" t="n">
        <v>2.1</v>
      </c>
      <c r="Y13" s="172" t="n">
        <v>0</v>
      </c>
    </row>
    <row r="14" customFormat="false" ht="14.25" hidden="false" customHeight="true" outlineLevel="0" collapsed="false">
      <c r="A14" s="44"/>
      <c r="B14" s="98" t="s">
        <v>199</v>
      </c>
      <c r="C14" s="98"/>
      <c r="D14" s="98"/>
      <c r="E14" s="99" t="n">
        <v>0.5</v>
      </c>
      <c r="F14" s="100" t="n">
        <v>1</v>
      </c>
      <c r="G14" s="99" t="n">
        <v>1</v>
      </c>
      <c r="H14" s="100" t="n">
        <v>1</v>
      </c>
      <c r="I14" s="100" t="n">
        <v>0</v>
      </c>
      <c r="J14" s="100" t="n">
        <v>0</v>
      </c>
      <c r="K14" s="100" t="n">
        <v>0</v>
      </c>
      <c r="L14" s="100" t="n">
        <v>0</v>
      </c>
      <c r="M14" s="100" t="n">
        <v>1</v>
      </c>
      <c r="N14" s="101" t="n">
        <v>0.1375</v>
      </c>
      <c r="O14" s="101" t="n">
        <v>0.3642493</v>
      </c>
      <c r="P14" s="101" t="n">
        <v>0</v>
      </c>
      <c r="Q14" s="101" t="n">
        <v>0.3642493</v>
      </c>
      <c r="R14" s="101" t="n">
        <v>0.226749</v>
      </c>
      <c r="S14" s="101" t="n">
        <v>0.3642493</v>
      </c>
      <c r="T14" s="101" t="n">
        <v>0.226749</v>
      </c>
      <c r="U14" s="44"/>
      <c r="V14" s="44"/>
      <c r="W14" s="171" t="s">
        <v>1853</v>
      </c>
      <c r="X14" s="161" t="n">
        <v>2</v>
      </c>
      <c r="Y14" s="161" t="n">
        <v>0.8</v>
      </c>
    </row>
    <row r="15" customFormat="false" ht="14.25" hidden="false" customHeight="true" outlineLevel="0" collapsed="false">
      <c r="A15" s="44"/>
      <c r="B15" s="98" t="s">
        <v>203</v>
      </c>
      <c r="C15" s="98"/>
      <c r="D15" s="98"/>
      <c r="E15" s="99" t="n">
        <v>0.3</v>
      </c>
      <c r="F15" s="100" t="n">
        <v>1</v>
      </c>
      <c r="G15" s="99" t="n">
        <v>1</v>
      </c>
      <c r="H15" s="100" t="n">
        <v>0</v>
      </c>
      <c r="I15" s="100" t="n">
        <v>1</v>
      </c>
      <c r="J15" s="100" t="n">
        <v>1</v>
      </c>
      <c r="K15" s="100" t="n">
        <v>0</v>
      </c>
      <c r="L15" s="100" t="n">
        <v>0</v>
      </c>
      <c r="M15" s="100" t="n">
        <v>1</v>
      </c>
      <c r="N15" s="101" t="n">
        <v>0.084</v>
      </c>
      <c r="O15" s="101" t="n">
        <v>0.27581025</v>
      </c>
      <c r="P15" s="101" t="n">
        <v>0</v>
      </c>
      <c r="Q15" s="101" t="n">
        <v>0.27581025</v>
      </c>
      <c r="R15" s="101" t="n">
        <v>0.19181</v>
      </c>
      <c r="S15" s="101" t="n">
        <v>0.27581025</v>
      </c>
      <c r="T15" s="101" t="n">
        <v>0.19181</v>
      </c>
      <c r="U15" s="44"/>
      <c r="V15" s="44"/>
      <c r="W15" s="171" t="s">
        <v>1893</v>
      </c>
      <c r="X15" s="161" t="n">
        <v>0.3</v>
      </c>
      <c r="Y15" s="161" t="n">
        <v>0.12</v>
      </c>
    </row>
    <row r="16" customFormat="false" ht="14.25" hidden="false" customHeight="true" outlineLevel="0" collapsed="false">
      <c r="A16" s="44"/>
      <c r="B16" s="98" t="s">
        <v>206</v>
      </c>
      <c r="C16" s="98"/>
      <c r="D16" s="98"/>
      <c r="E16" s="99" t="n">
        <v>0.3</v>
      </c>
      <c r="F16" s="100" t="n">
        <v>1</v>
      </c>
      <c r="G16" s="99" t="n">
        <v>1</v>
      </c>
      <c r="H16" s="100" t="n">
        <v>1</v>
      </c>
      <c r="I16" s="100" t="n">
        <v>0</v>
      </c>
      <c r="J16" s="100" t="n">
        <v>0</v>
      </c>
      <c r="K16" s="100" t="n">
        <v>0</v>
      </c>
      <c r="L16" s="100" t="n">
        <v>0</v>
      </c>
      <c r="M16" s="100" t="n">
        <v>1</v>
      </c>
      <c r="N16" s="101" t="n">
        <v>0.081</v>
      </c>
      <c r="O16" s="101" t="n">
        <v>0.2963656</v>
      </c>
      <c r="P16" s="101" t="n">
        <v>0</v>
      </c>
      <c r="Q16" s="101" t="n">
        <v>0.2963656</v>
      </c>
      <c r="R16" s="101" t="n">
        <v>0.215366</v>
      </c>
      <c r="S16" s="101" t="n">
        <v>0.2963656</v>
      </c>
      <c r="T16" s="101" t="n">
        <v>0.215366</v>
      </c>
      <c r="U16" s="44"/>
      <c r="V16" s="44"/>
      <c r="W16" s="171" t="s">
        <v>1857</v>
      </c>
      <c r="X16" s="161" t="n">
        <v>1.4</v>
      </c>
      <c r="Y16" s="161" t="n">
        <v>0.56</v>
      </c>
    </row>
    <row r="17" customFormat="false" ht="14.25" hidden="false" customHeight="true" outlineLevel="0" collapsed="false">
      <c r="A17" s="44"/>
      <c r="B17" s="114" t="s">
        <v>1864</v>
      </c>
      <c r="C17" s="114"/>
      <c r="D17" s="114"/>
      <c r="E17" s="115" t="n">
        <v>1.1</v>
      </c>
      <c r="F17" s="116" t="n">
        <v>3</v>
      </c>
      <c r="G17" s="115" t="n">
        <v>3</v>
      </c>
      <c r="H17" s="116" t="n">
        <v>2</v>
      </c>
      <c r="I17" s="116" t="n">
        <v>1</v>
      </c>
      <c r="J17" s="116" t="n">
        <v>1</v>
      </c>
      <c r="K17" s="116" t="n">
        <v>0</v>
      </c>
      <c r="L17" s="116" t="n">
        <v>0</v>
      </c>
      <c r="M17" s="116" t="n">
        <v>3</v>
      </c>
      <c r="N17" s="117" t="n">
        <v>0.3025</v>
      </c>
      <c r="O17" s="117" t="n">
        <v>0.93642515</v>
      </c>
      <c r="P17" s="117" t="n">
        <v>0</v>
      </c>
      <c r="Q17" s="117" t="n">
        <v>0.93642515</v>
      </c>
      <c r="R17" s="117" t="n">
        <v>0.633925</v>
      </c>
      <c r="S17" s="117" t="n">
        <v>0.93642515</v>
      </c>
      <c r="T17" s="117" t="n">
        <v>0.633925</v>
      </c>
      <c r="U17" s="44"/>
      <c r="V17" s="44"/>
      <c r="W17" s="171" t="s">
        <v>1858</v>
      </c>
      <c r="X17" s="161"/>
      <c r="Y17" s="161" t="n">
        <v>0.238965</v>
      </c>
    </row>
    <row r="18" customFormat="false" ht="14.25" hidden="false" customHeight="true" outlineLevel="0" collapsed="false">
      <c r="A18" s="44"/>
      <c r="B18" s="120" t="s">
        <v>1865</v>
      </c>
      <c r="C18" s="44"/>
      <c r="D18" s="121"/>
      <c r="E18" s="99" t="n">
        <v>1.8</v>
      </c>
      <c r="F18" s="121"/>
      <c r="G18" s="121"/>
      <c r="H18" s="121"/>
      <c r="I18" s="121"/>
      <c r="J18" s="121"/>
      <c r="K18" s="121"/>
      <c r="L18" s="121"/>
      <c r="M18" s="121"/>
      <c r="N18" s="101" t="n">
        <v>0.88</v>
      </c>
      <c r="O18" s="121"/>
      <c r="P18" s="121"/>
      <c r="Q18" s="121"/>
      <c r="R18" s="121"/>
      <c r="S18" s="121"/>
      <c r="T18" s="121"/>
      <c r="U18" s="44"/>
      <c r="V18" s="44"/>
      <c r="W18" s="171" t="s">
        <v>1903</v>
      </c>
      <c r="X18" s="161" t="n">
        <v>0</v>
      </c>
      <c r="Y18" s="173" t="n">
        <v>0</v>
      </c>
    </row>
    <row r="19" customFormat="false" ht="14.25" hidden="false" customHeight="true" outlineLevel="0" collapsed="false">
      <c r="A19" s="44"/>
      <c r="B19" s="120" t="s">
        <v>1866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174" t="s">
        <v>1860</v>
      </c>
      <c r="X19" s="71"/>
      <c r="Y19" s="175" t="n">
        <v>1.718965</v>
      </c>
    </row>
    <row r="20" customFormat="false" ht="14.25" hidden="false" customHeight="true" outlineLevel="0" collapsed="false">
      <c r="A20" s="44"/>
      <c r="B20" s="122" t="s">
        <v>1867</v>
      </c>
      <c r="C20" s="122"/>
      <c r="D20" s="122"/>
      <c r="E20" s="123" t="n">
        <v>17.9</v>
      </c>
      <c r="F20" s="124" t="n">
        <v>17</v>
      </c>
      <c r="G20" s="123" t="n">
        <v>17</v>
      </c>
      <c r="H20" s="124" t="n">
        <v>8</v>
      </c>
      <c r="I20" s="124" t="n">
        <v>9</v>
      </c>
      <c r="J20" s="124" t="n">
        <v>6</v>
      </c>
      <c r="K20" s="124" t="n">
        <v>3</v>
      </c>
      <c r="L20" s="124" t="n">
        <v>1</v>
      </c>
      <c r="M20" s="124" t="n">
        <v>16</v>
      </c>
      <c r="N20" s="125" t="n">
        <v>4.921465</v>
      </c>
      <c r="O20" s="125" t="n">
        <v>3.92749623</v>
      </c>
      <c r="P20" s="125" t="n">
        <v>0.238965</v>
      </c>
      <c r="Q20" s="125" t="n">
        <v>3.68853123</v>
      </c>
      <c r="R20" s="125" t="n">
        <v>-0.993969</v>
      </c>
      <c r="S20" s="125" t="n">
        <v>3.36223158</v>
      </c>
      <c r="T20" s="125" t="n">
        <v>-1.559233</v>
      </c>
      <c r="U20" s="44"/>
      <c r="V20" s="44"/>
      <c r="W20" s="171" t="s">
        <v>1862</v>
      </c>
      <c r="X20" s="71"/>
      <c r="Y20" s="176" t="n">
        <v>3.213965</v>
      </c>
    </row>
    <row r="21" customFormat="false" ht="15" hidden="false" customHeight="false" outlineLevel="0" collapsed="false">
      <c r="A21" s="44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177" t="s">
        <v>1863</v>
      </c>
      <c r="X21" s="71"/>
      <c r="Y21" s="175" t="n">
        <v>1.495</v>
      </c>
    </row>
    <row r="22" customFormat="false" ht="15" hidden="false" customHeight="false" outlineLevel="0" collapsed="false">
      <c r="A22" s="44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</row>
    <row r="23" customFormat="false" ht="18.75" hidden="false" customHeight="true" outlineLevel="0" collapsed="false">
      <c r="A23" s="44"/>
      <c r="B23" s="83" t="s">
        <v>1941</v>
      </c>
      <c r="C23" s="85"/>
      <c r="D23" s="85"/>
      <c r="E23" s="85"/>
      <c r="F23" s="85"/>
      <c r="G23" s="85"/>
      <c r="H23" s="98" t="s">
        <v>1869</v>
      </c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</row>
    <row r="24" customFormat="false" ht="33.75" hidden="false" customHeight="true" outlineLevel="0" collapsed="false">
      <c r="A24" s="126" t="s">
        <v>39</v>
      </c>
      <c r="B24" s="91" t="s">
        <v>40</v>
      </c>
      <c r="C24" s="91" t="s">
        <v>41</v>
      </c>
      <c r="D24" s="91" t="s">
        <v>42</v>
      </c>
      <c r="E24" s="127" t="s">
        <v>43</v>
      </c>
      <c r="F24" s="91" t="s">
        <v>44</v>
      </c>
      <c r="G24" s="128" t="s">
        <v>45</v>
      </c>
      <c r="H24" s="91" t="s">
        <v>1870</v>
      </c>
      <c r="I24" s="44"/>
      <c r="J24" s="44"/>
      <c r="K24" s="164" t="s">
        <v>1871</v>
      </c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</row>
    <row r="25" customFormat="false" ht="14.25" hidden="false" customHeight="true" outlineLevel="0" collapsed="false">
      <c r="A25" s="44"/>
      <c r="B25" s="96" t="s">
        <v>795</v>
      </c>
      <c r="C25" s="96" t="s">
        <v>1884</v>
      </c>
      <c r="D25" s="96"/>
      <c r="E25" s="96"/>
      <c r="F25" s="130"/>
      <c r="G25" s="131" t="n">
        <v>238965</v>
      </c>
      <c r="H25" s="131" t="n">
        <v>0</v>
      </c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</row>
    <row r="26" customFormat="false" ht="14.25" hidden="false" customHeight="true" outlineLevel="0" collapsed="false">
      <c r="A26" s="132" t="s">
        <v>796</v>
      </c>
      <c r="B26" s="98" t="s">
        <v>797</v>
      </c>
      <c r="C26" s="98" t="s">
        <v>798</v>
      </c>
      <c r="D26" s="98" t="s">
        <v>53</v>
      </c>
      <c r="E26" s="133" t="s">
        <v>78</v>
      </c>
      <c r="F26" s="134"/>
      <c r="G26" s="100" t="n">
        <v>238965</v>
      </c>
      <c r="H26" s="100" t="n">
        <v>0</v>
      </c>
      <c r="I26" s="44"/>
      <c r="J26" s="75" t="s">
        <v>1942</v>
      </c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</row>
    <row r="27" customFormat="false" ht="14.25" hidden="false" customHeight="true" outlineLevel="0" collapsed="false">
      <c r="A27" s="44"/>
      <c r="B27" s="96" t="s">
        <v>26</v>
      </c>
      <c r="C27" s="96" t="s">
        <v>1880</v>
      </c>
      <c r="D27" s="96"/>
      <c r="E27" s="96"/>
      <c r="F27" s="96"/>
      <c r="G27" s="131" t="n">
        <v>1765517.93</v>
      </c>
      <c r="H27" s="131" t="n">
        <v>1663224.08</v>
      </c>
      <c r="I27" s="44"/>
      <c r="J27" s="75" t="s">
        <v>1943</v>
      </c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</row>
    <row r="28" customFormat="false" ht="14.25" hidden="false" customHeight="true" outlineLevel="0" collapsed="false">
      <c r="A28" s="132" t="s">
        <v>770</v>
      </c>
      <c r="B28" s="98" t="s">
        <v>771</v>
      </c>
      <c r="C28" s="98" t="s">
        <v>772</v>
      </c>
      <c r="D28" s="98" t="s">
        <v>53</v>
      </c>
      <c r="E28" s="133" t="s">
        <v>53</v>
      </c>
      <c r="F28" s="134"/>
      <c r="G28" s="100" t="n">
        <v>237963.75</v>
      </c>
      <c r="H28" s="100" t="n">
        <v>237963.75</v>
      </c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</row>
    <row r="29" customFormat="false" ht="14.25" hidden="false" customHeight="true" outlineLevel="0" collapsed="false">
      <c r="A29" s="132" t="s">
        <v>773</v>
      </c>
      <c r="B29" s="98" t="s">
        <v>774</v>
      </c>
      <c r="C29" s="98" t="s">
        <v>52</v>
      </c>
      <c r="D29" s="98" t="s">
        <v>53</v>
      </c>
      <c r="E29" s="133" t="s">
        <v>53</v>
      </c>
      <c r="F29" s="134"/>
      <c r="G29" s="100" t="n">
        <v>272340</v>
      </c>
      <c r="H29" s="100" t="n">
        <v>272340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</row>
    <row r="30" customFormat="false" ht="14.25" hidden="false" customHeight="true" outlineLevel="0" collapsed="false">
      <c r="A30" s="132" t="s">
        <v>775</v>
      </c>
      <c r="B30" s="98" t="s">
        <v>776</v>
      </c>
      <c r="C30" s="98" t="s">
        <v>777</v>
      </c>
      <c r="D30" s="98" t="s">
        <v>53</v>
      </c>
      <c r="E30" s="133" t="s">
        <v>53</v>
      </c>
      <c r="F30" s="134"/>
      <c r="G30" s="100" t="n">
        <v>234172.35</v>
      </c>
      <c r="H30" s="100" t="n">
        <v>234172.35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</row>
    <row r="31" customFormat="false" ht="14.25" hidden="false" customHeight="true" outlineLevel="0" collapsed="false">
      <c r="A31" s="132" t="s">
        <v>778</v>
      </c>
      <c r="B31" s="98" t="s">
        <v>779</v>
      </c>
      <c r="C31" s="98" t="s">
        <v>192</v>
      </c>
      <c r="D31" s="98" t="s">
        <v>53</v>
      </c>
      <c r="E31" s="133" t="s">
        <v>53</v>
      </c>
      <c r="F31" s="134"/>
      <c r="G31" s="100" t="n">
        <v>193358.28</v>
      </c>
      <c r="H31" s="100" t="n">
        <v>193358.28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</row>
    <row r="32" customFormat="false" ht="14.25" hidden="false" customHeight="true" outlineLevel="0" collapsed="false">
      <c r="A32" s="132" t="s">
        <v>780</v>
      </c>
      <c r="B32" s="98" t="s">
        <v>781</v>
      </c>
      <c r="C32" s="98" t="s">
        <v>782</v>
      </c>
      <c r="D32" s="98" t="s">
        <v>53</v>
      </c>
      <c r="E32" s="133" t="s">
        <v>53</v>
      </c>
      <c r="F32" s="134"/>
      <c r="G32" s="100" t="n">
        <v>251487.3</v>
      </c>
      <c r="H32" s="100" t="n">
        <v>251487.3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</row>
    <row r="33" customFormat="false" ht="14.25" hidden="false" customHeight="true" outlineLevel="0" collapsed="false">
      <c r="A33" s="132" t="s">
        <v>783</v>
      </c>
      <c r="B33" s="98" t="s">
        <v>69</v>
      </c>
      <c r="C33" s="98" t="s">
        <v>784</v>
      </c>
      <c r="D33" s="98" t="s">
        <v>69</v>
      </c>
      <c r="E33" s="133" t="s">
        <v>82</v>
      </c>
      <c r="F33" s="134"/>
      <c r="G33" s="100" t="n">
        <v>202853.25</v>
      </c>
      <c r="H33" s="100" t="n">
        <v>202853.25</v>
      </c>
      <c r="I33" s="44"/>
      <c r="J33" s="44"/>
      <c r="K33" s="135" t="s">
        <v>1926</v>
      </c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</row>
    <row r="34" customFormat="false" ht="14.25" hidden="false" customHeight="true" outlineLevel="0" collapsed="false">
      <c r="A34" s="132" t="s">
        <v>785</v>
      </c>
      <c r="B34" s="98" t="s">
        <v>69</v>
      </c>
      <c r="C34" s="98" t="s">
        <v>784</v>
      </c>
      <c r="D34" s="98" t="s">
        <v>69</v>
      </c>
      <c r="E34" s="133" t="s">
        <v>82</v>
      </c>
      <c r="F34" s="134"/>
      <c r="G34" s="100" t="n">
        <v>202853.25</v>
      </c>
      <c r="H34" s="100" t="n">
        <v>202853.25</v>
      </c>
      <c r="I34" s="44"/>
      <c r="J34" s="44"/>
      <c r="K34" s="135" t="s">
        <v>1873</v>
      </c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</row>
    <row r="35" customFormat="false" ht="14.25" hidden="false" customHeight="true" outlineLevel="0" collapsed="false">
      <c r="A35" s="132" t="s">
        <v>786</v>
      </c>
      <c r="B35" s="98" t="s">
        <v>69</v>
      </c>
      <c r="C35" s="98" t="s">
        <v>80</v>
      </c>
      <c r="D35" s="98" t="s">
        <v>69</v>
      </c>
      <c r="E35" s="133" t="s">
        <v>71</v>
      </c>
      <c r="F35" s="134"/>
      <c r="G35" s="100" t="n">
        <v>170489.75</v>
      </c>
      <c r="H35" s="100" t="n">
        <v>68195.9</v>
      </c>
      <c r="I35" s="44"/>
      <c r="J35" s="44"/>
      <c r="K35" s="135" t="s">
        <v>1878</v>
      </c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</row>
    <row r="36" customFormat="false" ht="14.25" hidden="false" customHeight="true" outlineLevel="0" collapsed="false">
      <c r="A36" s="44"/>
      <c r="B36" s="96" t="s">
        <v>769</v>
      </c>
      <c r="C36" s="96" t="s">
        <v>1879</v>
      </c>
      <c r="D36" s="96"/>
      <c r="E36" s="96"/>
      <c r="F36" s="96"/>
      <c r="G36" s="131" t="n">
        <v>986588.15</v>
      </c>
      <c r="H36" s="131" t="n">
        <v>762582.35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</row>
    <row r="37" customFormat="false" ht="14.25" hidden="false" customHeight="true" outlineLevel="0" collapsed="false">
      <c r="A37" s="132" t="s">
        <v>787</v>
      </c>
      <c r="B37" s="98" t="s">
        <v>69</v>
      </c>
      <c r="C37" s="98" t="s">
        <v>788</v>
      </c>
      <c r="D37" s="98" t="s">
        <v>69</v>
      </c>
      <c r="E37" s="133" t="s">
        <v>82</v>
      </c>
      <c r="F37" s="134"/>
      <c r="G37" s="100" t="n">
        <v>231689.25</v>
      </c>
      <c r="H37" s="100" t="n">
        <v>231689.25</v>
      </c>
      <c r="I37" s="44"/>
      <c r="J37" s="44"/>
      <c r="K37" s="135" t="s">
        <v>1926</v>
      </c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</row>
    <row r="38" customFormat="false" ht="14.25" hidden="false" customHeight="true" outlineLevel="0" collapsed="false">
      <c r="A38" s="132" t="s">
        <v>789</v>
      </c>
      <c r="B38" s="98" t="s">
        <v>69</v>
      </c>
      <c r="C38" s="98" t="s">
        <v>784</v>
      </c>
      <c r="D38" s="98" t="s">
        <v>69</v>
      </c>
      <c r="E38" s="133" t="s">
        <v>71</v>
      </c>
      <c r="F38" s="134"/>
      <c r="G38" s="100" t="n">
        <v>202853.25</v>
      </c>
      <c r="H38" s="100" t="n">
        <v>81141.3</v>
      </c>
      <c r="I38" s="44"/>
      <c r="J38" s="44"/>
      <c r="K38" s="135" t="s">
        <v>1924</v>
      </c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</row>
    <row r="39" customFormat="false" ht="14.25" hidden="false" customHeight="true" outlineLevel="0" collapsed="false">
      <c r="A39" s="132" t="s">
        <v>790</v>
      </c>
      <c r="B39" s="98" t="s">
        <v>69</v>
      </c>
      <c r="C39" s="98" t="s">
        <v>791</v>
      </c>
      <c r="D39" s="98" t="s">
        <v>69</v>
      </c>
      <c r="E39" s="133" t="s">
        <v>82</v>
      </c>
      <c r="F39" s="134"/>
      <c r="G39" s="100" t="n">
        <v>201585</v>
      </c>
      <c r="H39" s="100" t="n">
        <v>201585</v>
      </c>
      <c r="I39" s="44"/>
      <c r="J39" s="44"/>
      <c r="K39" s="135" t="s">
        <v>1926</v>
      </c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</row>
    <row r="40" customFormat="false" ht="14.25" hidden="false" customHeight="true" outlineLevel="0" collapsed="false">
      <c r="A40" s="132" t="s">
        <v>792</v>
      </c>
      <c r="B40" s="98" t="s">
        <v>69</v>
      </c>
      <c r="C40" s="98" t="s">
        <v>80</v>
      </c>
      <c r="D40" s="98" t="s">
        <v>69</v>
      </c>
      <c r="E40" s="133" t="s">
        <v>71</v>
      </c>
      <c r="F40" s="134"/>
      <c r="G40" s="100" t="n">
        <v>170489.75</v>
      </c>
      <c r="H40" s="100" t="n">
        <v>68195.9</v>
      </c>
      <c r="I40" s="44"/>
      <c r="J40" s="44"/>
      <c r="K40" s="135" t="s">
        <v>1926</v>
      </c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</row>
    <row r="41" customFormat="false" ht="14.25" hidden="false" customHeight="true" outlineLevel="0" collapsed="false">
      <c r="A41" s="132" t="s">
        <v>793</v>
      </c>
      <c r="B41" s="98" t="s">
        <v>69</v>
      </c>
      <c r="C41" s="98" t="s">
        <v>794</v>
      </c>
      <c r="D41" s="98" t="s">
        <v>69</v>
      </c>
      <c r="E41" s="133" t="s">
        <v>82</v>
      </c>
      <c r="F41" s="134"/>
      <c r="G41" s="100" t="n">
        <v>179970.9</v>
      </c>
      <c r="H41" s="100" t="n">
        <v>179970.9</v>
      </c>
      <c r="I41" s="44"/>
      <c r="J41" s="44"/>
      <c r="K41" s="135" t="s">
        <v>1873</v>
      </c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</row>
    <row r="42" customFormat="false" ht="14.25" hidden="false" customHeight="true" outlineLevel="0" collapsed="false">
      <c r="A42" s="44"/>
      <c r="B42" s="96" t="s">
        <v>199</v>
      </c>
      <c r="C42" s="96" t="s">
        <v>1884</v>
      </c>
      <c r="D42" s="96"/>
      <c r="E42" s="96"/>
      <c r="F42" s="96"/>
      <c r="G42" s="131" t="n">
        <v>364249.3</v>
      </c>
      <c r="H42" s="131" t="n">
        <v>364249.3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</row>
    <row r="43" customFormat="false" ht="14.25" hidden="false" customHeight="true" outlineLevel="0" collapsed="false">
      <c r="A43" s="132" t="s">
        <v>799</v>
      </c>
      <c r="B43" s="98" t="s">
        <v>800</v>
      </c>
      <c r="C43" s="98" t="s">
        <v>801</v>
      </c>
      <c r="D43" s="98" t="s">
        <v>53</v>
      </c>
      <c r="E43" s="133" t="s">
        <v>53</v>
      </c>
      <c r="F43" s="134"/>
      <c r="G43" s="100" t="n">
        <v>364249.3</v>
      </c>
      <c r="H43" s="100" t="n">
        <v>364249.3</v>
      </c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</row>
    <row r="44" customFormat="false" ht="14.25" hidden="false" customHeight="true" outlineLevel="0" collapsed="false">
      <c r="A44" s="44"/>
      <c r="B44" s="96" t="s">
        <v>203</v>
      </c>
      <c r="C44" s="96" t="s">
        <v>1884</v>
      </c>
      <c r="D44" s="96"/>
      <c r="E44" s="96"/>
      <c r="F44" s="96"/>
      <c r="G44" s="131" t="n">
        <v>275810.25</v>
      </c>
      <c r="H44" s="131" t="n">
        <v>275810.25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</row>
    <row r="45" customFormat="false" ht="14.25" hidden="false" customHeight="true" outlineLevel="0" collapsed="false">
      <c r="A45" s="132" t="s">
        <v>802</v>
      </c>
      <c r="B45" s="98" t="s">
        <v>69</v>
      </c>
      <c r="C45" s="98" t="s">
        <v>203</v>
      </c>
      <c r="D45" s="98" t="s">
        <v>69</v>
      </c>
      <c r="E45" s="133" t="s">
        <v>82</v>
      </c>
      <c r="F45" s="134"/>
      <c r="G45" s="100" t="n">
        <v>275810.25</v>
      </c>
      <c r="H45" s="100" t="n">
        <v>275810.25</v>
      </c>
      <c r="I45" s="44"/>
      <c r="J45" s="44"/>
      <c r="K45" s="135" t="s">
        <v>1926</v>
      </c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</row>
    <row r="46" customFormat="false" ht="14.25" hidden="false" customHeight="true" outlineLevel="0" collapsed="false">
      <c r="A46" s="44"/>
      <c r="B46" s="96" t="s">
        <v>206</v>
      </c>
      <c r="C46" s="96" t="s">
        <v>1884</v>
      </c>
      <c r="D46" s="96"/>
      <c r="E46" s="96"/>
      <c r="F46" s="96"/>
      <c r="G46" s="131" t="n">
        <v>296365.6</v>
      </c>
      <c r="H46" s="131" t="n">
        <v>296365.6</v>
      </c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</row>
    <row r="47" customFormat="false" ht="14.25" hidden="false" customHeight="true" outlineLevel="0" collapsed="false">
      <c r="A47" s="132" t="s">
        <v>803</v>
      </c>
      <c r="B47" s="98" t="s">
        <v>804</v>
      </c>
      <c r="C47" s="98" t="s">
        <v>805</v>
      </c>
      <c r="D47" s="98" t="s">
        <v>53</v>
      </c>
      <c r="E47" s="133" t="s">
        <v>53</v>
      </c>
      <c r="F47" s="134"/>
      <c r="G47" s="100" t="n">
        <v>296365.6</v>
      </c>
      <c r="H47" s="100" t="n">
        <v>296365.6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</row>
    <row r="48" customFormat="false" ht="15" hidden="false" customHeight="false" outlineLevel="0" collapsed="false">
      <c r="A48" s="44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</row>
    <row r="49" customFormat="false" ht="14.25" hidden="false" customHeight="true" outlineLevel="0" collapsed="false">
      <c r="A49" s="44"/>
      <c r="B49" s="126" t="s">
        <v>1886</v>
      </c>
      <c r="C49" s="44"/>
      <c r="D49" s="44"/>
      <c r="E49" s="44"/>
      <c r="F49" s="44"/>
      <c r="G49" s="44"/>
      <c r="H49" s="44"/>
      <c r="I49" s="44"/>
      <c r="J49" s="44"/>
      <c r="K49" s="136" t="n">
        <v>6</v>
      </c>
      <c r="L49" s="136" t="n">
        <v>3</v>
      </c>
      <c r="M49" s="136" t="n">
        <v>0</v>
      </c>
      <c r="N49" s="136" t="n">
        <v>0</v>
      </c>
      <c r="O49" s="136" t="n">
        <v>0</v>
      </c>
      <c r="P49" s="44"/>
      <c r="Q49" s="44"/>
      <c r="R49" s="44"/>
      <c r="S49" s="44"/>
      <c r="T49" s="44"/>
      <c r="U49" s="44"/>
      <c r="V49" s="44"/>
      <c r="W49" s="44"/>
      <c r="X49" s="44"/>
      <c r="Y49" s="44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</row>
    <row r="2" customFormat="false" ht="21" hidden="false" customHeight="true" outlineLevel="0" collapsed="false">
      <c r="A2" s="44"/>
      <c r="B2" s="81" t="s">
        <v>1944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</row>
    <row r="3" customFormat="false" ht="14.25" hidden="false" customHeight="true" outlineLevel="0" collapsed="false">
      <c r="A3" s="44"/>
      <c r="B3" s="82" t="s">
        <v>1165</v>
      </c>
      <c r="C3" s="73" t="s">
        <v>28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</row>
    <row r="4" customFormat="false" ht="18.75" hidden="false" customHeight="true" outlineLevel="0" collapsed="false">
      <c r="A4" s="44"/>
      <c r="B4" s="83" t="s">
        <v>1945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44"/>
      <c r="V4" s="44"/>
      <c r="W4" s="86" t="s">
        <v>1821</v>
      </c>
      <c r="X4" s="86"/>
      <c r="Y4" s="44"/>
    </row>
    <row r="5" customFormat="false" ht="6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89" t="s">
        <v>1822</v>
      </c>
      <c r="X5" s="90" t="n">
        <v>2</v>
      </c>
      <c r="Y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2" t="s">
        <v>1835</v>
      </c>
      <c r="S6" s="92" t="s">
        <v>1836</v>
      </c>
      <c r="T6" s="91" t="s">
        <v>1837</v>
      </c>
      <c r="U6" s="93" t="s">
        <v>1189</v>
      </c>
      <c r="V6" s="44"/>
      <c r="W6" s="137" t="s">
        <v>1838</v>
      </c>
      <c r="X6" s="138" t="n">
        <v>1</v>
      </c>
      <c r="Y6" s="44"/>
    </row>
    <row r="7" customFormat="false" ht="14.25" hidden="false" customHeight="true" outlineLevel="0" collapsed="false">
      <c r="A7" s="44"/>
      <c r="B7" s="96" t="s">
        <v>1164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44"/>
      <c r="V7" s="44"/>
      <c r="W7" s="139" t="s">
        <v>1839</v>
      </c>
      <c r="X7" s="138" t="n">
        <v>1</v>
      </c>
      <c r="Y7" s="44"/>
    </row>
    <row r="8" customFormat="false" ht="14.25" hidden="false" customHeight="true" outlineLevel="0" collapsed="false">
      <c r="A8" s="44"/>
      <c r="B8" s="98" t="s">
        <v>806</v>
      </c>
      <c r="C8" s="98" t="s">
        <v>1840</v>
      </c>
      <c r="D8" s="98" t="s">
        <v>1846</v>
      </c>
      <c r="E8" s="99" t="n">
        <v>6</v>
      </c>
      <c r="F8" s="100" t="n">
        <v>6</v>
      </c>
      <c r="G8" s="99" t="n">
        <v>5.5</v>
      </c>
      <c r="H8" s="100" t="n">
        <v>4</v>
      </c>
      <c r="I8" s="100" t="n">
        <v>2</v>
      </c>
      <c r="J8" s="100" t="n">
        <v>1</v>
      </c>
      <c r="K8" s="100" t="n">
        <v>0</v>
      </c>
      <c r="L8" s="100" t="n">
        <v>1</v>
      </c>
      <c r="M8" s="100" t="n">
        <v>5</v>
      </c>
      <c r="N8" s="101" t="n">
        <v>1.4</v>
      </c>
      <c r="O8" s="101" t="n">
        <v>0.9585601905</v>
      </c>
      <c r="P8" s="101" t="n">
        <v>0</v>
      </c>
      <c r="Q8" s="101" t="n">
        <v>0.9585601905</v>
      </c>
      <c r="R8" s="101" t="n">
        <v>-0.44144</v>
      </c>
      <c r="S8" s="101" t="n">
        <v>0.900637878</v>
      </c>
      <c r="T8" s="101" t="n">
        <v>-0.499362</v>
      </c>
      <c r="U8" s="102" t="n">
        <v>0.8</v>
      </c>
      <c r="V8" s="44"/>
      <c r="W8" s="140" t="s">
        <v>1842</v>
      </c>
      <c r="X8" s="156" t="n">
        <v>0.4625</v>
      </c>
      <c r="Y8" s="44"/>
    </row>
    <row r="9" customFormat="false" ht="14.25" hidden="false" customHeight="true" outlineLevel="0" collapsed="false">
      <c r="A9" s="44"/>
      <c r="B9" s="98" t="s">
        <v>810</v>
      </c>
      <c r="C9" s="98" t="s">
        <v>1840</v>
      </c>
      <c r="D9" s="98" t="s">
        <v>1846</v>
      </c>
      <c r="E9" s="99" t="n">
        <v>6</v>
      </c>
      <c r="F9" s="100" t="n">
        <v>9</v>
      </c>
      <c r="G9" s="99" t="n">
        <v>9</v>
      </c>
      <c r="H9" s="100" t="n">
        <v>2</v>
      </c>
      <c r="I9" s="100" t="n">
        <v>7</v>
      </c>
      <c r="J9" s="100" t="n">
        <v>5</v>
      </c>
      <c r="K9" s="100" t="n">
        <v>0</v>
      </c>
      <c r="L9" s="100" t="n">
        <v>2</v>
      </c>
      <c r="M9" s="100" t="n">
        <v>7</v>
      </c>
      <c r="N9" s="101" t="n">
        <v>1.4</v>
      </c>
      <c r="O9" s="101" t="n">
        <v>2.01898557</v>
      </c>
      <c r="P9" s="101" t="n">
        <v>0</v>
      </c>
      <c r="Q9" s="101" t="n">
        <v>2.01898557</v>
      </c>
      <c r="R9" s="101" t="n">
        <v>0.618986</v>
      </c>
      <c r="S9" s="101" t="n">
        <v>1.55560707</v>
      </c>
      <c r="T9" s="101" t="n">
        <v>0.155607</v>
      </c>
      <c r="U9" s="102" t="n">
        <v>0.2</v>
      </c>
      <c r="V9" s="44"/>
      <c r="W9" s="140" t="s">
        <v>1844</v>
      </c>
      <c r="X9" s="156" t="n">
        <v>0.12</v>
      </c>
      <c r="Y9" s="44"/>
    </row>
    <row r="10" customFormat="false" ht="14.25" hidden="false" customHeight="true" outlineLevel="0" collapsed="false">
      <c r="A10" s="44"/>
      <c r="B10" s="114" t="s">
        <v>1852</v>
      </c>
      <c r="C10" s="114"/>
      <c r="D10" s="114"/>
      <c r="E10" s="115" t="n">
        <v>12</v>
      </c>
      <c r="F10" s="116" t="n">
        <v>15</v>
      </c>
      <c r="G10" s="115" t="n">
        <v>14.5</v>
      </c>
      <c r="H10" s="116" t="n">
        <v>6</v>
      </c>
      <c r="I10" s="116" t="n">
        <v>9</v>
      </c>
      <c r="J10" s="116" t="n">
        <v>6</v>
      </c>
      <c r="K10" s="116" t="n">
        <v>0</v>
      </c>
      <c r="L10" s="116" t="n">
        <v>3</v>
      </c>
      <c r="M10" s="116" t="n">
        <v>12</v>
      </c>
      <c r="N10" s="117" t="n">
        <v>2.8</v>
      </c>
      <c r="O10" s="117" t="n">
        <v>2.9775457605</v>
      </c>
      <c r="P10" s="117" t="n">
        <v>0</v>
      </c>
      <c r="Q10" s="117" t="n">
        <v>2.9775457605</v>
      </c>
      <c r="R10" s="117" t="n">
        <v>0.177546</v>
      </c>
      <c r="S10" s="117" t="n">
        <v>2.456244948</v>
      </c>
      <c r="T10" s="117" t="n">
        <v>-0.343755</v>
      </c>
      <c r="U10" s="44"/>
      <c r="V10" s="44"/>
      <c r="W10" s="157" t="s">
        <v>1847</v>
      </c>
      <c r="X10" s="158" t="n">
        <v>0.5825</v>
      </c>
      <c r="Y10" s="44"/>
    </row>
    <row r="11" customFormat="false" ht="14.25" hidden="false" customHeight="true" outlineLevel="0" collapsed="false">
      <c r="A11" s="44"/>
      <c r="B11" s="96" t="s">
        <v>1854</v>
      </c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44"/>
      <c r="V11" s="44"/>
      <c r="W11" s="157"/>
      <c r="X11" s="158"/>
      <c r="Y11" s="44"/>
    </row>
    <row r="12" customFormat="false" ht="14.25" hidden="false" customHeight="true" outlineLevel="0" collapsed="false">
      <c r="A12" s="44"/>
      <c r="B12" s="98" t="s">
        <v>840</v>
      </c>
      <c r="C12" s="98" t="s">
        <v>1856</v>
      </c>
      <c r="D12" s="98"/>
      <c r="E12" s="99"/>
      <c r="F12" s="100" t="n">
        <v>1</v>
      </c>
      <c r="G12" s="99" t="n">
        <v>1</v>
      </c>
      <c r="H12" s="100" t="n">
        <v>1</v>
      </c>
      <c r="I12" s="100" t="n">
        <v>0</v>
      </c>
      <c r="J12" s="100" t="n">
        <v>0</v>
      </c>
      <c r="K12" s="100" t="n">
        <v>0</v>
      </c>
      <c r="L12" s="100" t="n">
        <v>0</v>
      </c>
      <c r="M12" s="100" t="n">
        <v>1</v>
      </c>
      <c r="N12" s="101" t="n">
        <v>0.24172845</v>
      </c>
      <c r="O12" s="101" t="n">
        <v>0.24172845</v>
      </c>
      <c r="P12" s="101" t="n">
        <v>0.24172845</v>
      </c>
      <c r="Q12" s="101" t="n">
        <v>0</v>
      </c>
      <c r="R12" s="101" t="n">
        <v>0</v>
      </c>
      <c r="S12" s="101" t="n">
        <v>0.24172845</v>
      </c>
      <c r="T12" s="101" t="n">
        <v>0</v>
      </c>
      <c r="U12" s="102" t="n">
        <v>0</v>
      </c>
      <c r="V12" s="44"/>
      <c r="W12" s="159" t="s">
        <v>1848</v>
      </c>
      <c r="X12" s="159"/>
      <c r="Y12" s="159"/>
    </row>
    <row r="13" customFormat="false" ht="14.25" hidden="false" customHeight="true" outlineLevel="0" collapsed="false">
      <c r="A13" s="44"/>
      <c r="B13" s="96" t="s">
        <v>1861</v>
      </c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44"/>
      <c r="V13" s="44"/>
      <c r="W13" s="169" t="s">
        <v>1849</v>
      </c>
      <c r="X13" s="169" t="s">
        <v>1264</v>
      </c>
      <c r="Y13" s="170" t="s">
        <v>1850</v>
      </c>
    </row>
    <row r="14" customFormat="false" ht="14.25" hidden="false" customHeight="true" outlineLevel="0" collapsed="false">
      <c r="A14" s="44"/>
      <c r="B14" s="98" t="s">
        <v>199</v>
      </c>
      <c r="C14" s="98"/>
      <c r="D14" s="98"/>
      <c r="E14" s="99" t="n">
        <v>0.5</v>
      </c>
      <c r="F14" s="100" t="n">
        <v>0</v>
      </c>
      <c r="G14" s="99" t="n">
        <v>0</v>
      </c>
      <c r="H14" s="100" t="n">
        <v>0</v>
      </c>
      <c r="I14" s="100" t="n">
        <v>0</v>
      </c>
      <c r="J14" s="100" t="n">
        <v>0</v>
      </c>
      <c r="K14" s="100" t="n">
        <v>0</v>
      </c>
      <c r="L14" s="100" t="n">
        <v>0</v>
      </c>
      <c r="M14" s="100" t="n">
        <v>0</v>
      </c>
      <c r="N14" s="101" t="n">
        <v>0.1375</v>
      </c>
      <c r="O14" s="101" t="n">
        <v>0</v>
      </c>
      <c r="P14" s="101" t="n">
        <v>0</v>
      </c>
      <c r="Q14" s="101" t="n">
        <v>0</v>
      </c>
      <c r="R14" s="101" t="n">
        <v>-0.1375</v>
      </c>
      <c r="S14" s="101" t="n">
        <v>0</v>
      </c>
      <c r="T14" s="101" t="n">
        <v>-0.1375</v>
      </c>
      <c r="U14" s="44"/>
      <c r="V14" s="44"/>
      <c r="W14" s="171" t="s">
        <v>1946</v>
      </c>
      <c r="X14" s="161" t="n">
        <v>2.6</v>
      </c>
      <c r="Y14" s="172" t="n">
        <v>0</v>
      </c>
    </row>
    <row r="15" customFormat="false" ht="14.25" hidden="false" customHeight="true" outlineLevel="0" collapsed="false">
      <c r="A15" s="44"/>
      <c r="B15" s="98" t="s">
        <v>203</v>
      </c>
      <c r="C15" s="98"/>
      <c r="D15" s="98"/>
      <c r="E15" s="99" t="n">
        <v>0.3</v>
      </c>
      <c r="F15" s="100" t="n">
        <v>0</v>
      </c>
      <c r="G15" s="99" t="n">
        <v>0</v>
      </c>
      <c r="H15" s="100" t="n">
        <v>0</v>
      </c>
      <c r="I15" s="100" t="n">
        <v>0</v>
      </c>
      <c r="J15" s="100" t="n">
        <v>0</v>
      </c>
      <c r="K15" s="100" t="n">
        <v>0</v>
      </c>
      <c r="L15" s="100" t="n">
        <v>0</v>
      </c>
      <c r="M15" s="100" t="n">
        <v>0</v>
      </c>
      <c r="N15" s="101" t="n">
        <v>0.084</v>
      </c>
      <c r="O15" s="101" t="n">
        <v>0</v>
      </c>
      <c r="P15" s="101" t="n">
        <v>0</v>
      </c>
      <c r="Q15" s="101" t="n">
        <v>0</v>
      </c>
      <c r="R15" s="101" t="n">
        <v>-0.084</v>
      </c>
      <c r="S15" s="101" t="n">
        <v>0</v>
      </c>
      <c r="T15" s="101" t="n">
        <v>-0.084</v>
      </c>
      <c r="U15" s="44"/>
      <c r="V15" s="44"/>
      <c r="W15" s="171" t="s">
        <v>1853</v>
      </c>
      <c r="X15" s="161" t="n">
        <v>0.9</v>
      </c>
      <c r="Y15" s="161" t="n">
        <v>0.45</v>
      </c>
    </row>
    <row r="16" customFormat="false" ht="14.25" hidden="false" customHeight="true" outlineLevel="0" collapsed="false">
      <c r="A16" s="44"/>
      <c r="B16" s="98" t="s">
        <v>206</v>
      </c>
      <c r="C16" s="98"/>
      <c r="D16" s="98"/>
      <c r="E16" s="99" t="n">
        <v>0.3</v>
      </c>
      <c r="F16" s="100" t="n">
        <v>1</v>
      </c>
      <c r="G16" s="99" t="n">
        <v>1</v>
      </c>
      <c r="H16" s="100" t="n">
        <v>1</v>
      </c>
      <c r="I16" s="100" t="n">
        <v>0</v>
      </c>
      <c r="J16" s="100" t="n">
        <v>0</v>
      </c>
      <c r="K16" s="100" t="n">
        <v>0</v>
      </c>
      <c r="L16" s="100" t="n">
        <v>0</v>
      </c>
      <c r="M16" s="100" t="n">
        <v>1</v>
      </c>
      <c r="N16" s="101" t="n">
        <v>0.081</v>
      </c>
      <c r="O16" s="101" t="n">
        <v>0.32356045</v>
      </c>
      <c r="P16" s="101" t="n">
        <v>0</v>
      </c>
      <c r="Q16" s="101" t="n">
        <v>0.32356045</v>
      </c>
      <c r="R16" s="101" t="n">
        <v>0.24256</v>
      </c>
      <c r="S16" s="101" t="n">
        <v>0.32356045</v>
      </c>
      <c r="T16" s="101" t="n">
        <v>0.24256</v>
      </c>
      <c r="U16" s="44"/>
      <c r="V16" s="44"/>
      <c r="W16" s="171" t="s">
        <v>1893</v>
      </c>
      <c r="X16" s="161" t="n">
        <v>0</v>
      </c>
      <c r="Y16" s="173" t="n">
        <v>0.24</v>
      </c>
    </row>
    <row r="17" customFormat="false" ht="14.25" hidden="false" customHeight="true" outlineLevel="0" collapsed="false">
      <c r="A17" s="44"/>
      <c r="B17" s="114" t="s">
        <v>1864</v>
      </c>
      <c r="C17" s="114"/>
      <c r="D17" s="114"/>
      <c r="E17" s="115" t="n">
        <v>1.1</v>
      </c>
      <c r="F17" s="116" t="n">
        <v>1</v>
      </c>
      <c r="G17" s="115" t="n">
        <v>1</v>
      </c>
      <c r="H17" s="116" t="n">
        <v>1</v>
      </c>
      <c r="I17" s="116" t="n">
        <v>0</v>
      </c>
      <c r="J17" s="116" t="n">
        <v>0</v>
      </c>
      <c r="K17" s="116" t="n">
        <v>0</v>
      </c>
      <c r="L17" s="116" t="n">
        <v>0</v>
      </c>
      <c r="M17" s="116" t="n">
        <v>1</v>
      </c>
      <c r="N17" s="117" t="n">
        <v>0.3025</v>
      </c>
      <c r="O17" s="117" t="n">
        <v>0.32356045</v>
      </c>
      <c r="P17" s="117" t="n">
        <v>0</v>
      </c>
      <c r="Q17" s="117" t="n">
        <v>0.32356045</v>
      </c>
      <c r="R17" s="117" t="n">
        <v>0.02106</v>
      </c>
      <c r="S17" s="117" t="n">
        <v>0.32356045</v>
      </c>
      <c r="T17" s="117" t="n">
        <v>0.02106</v>
      </c>
      <c r="U17" s="44"/>
      <c r="V17" s="44"/>
      <c r="W17" s="171" t="s">
        <v>1857</v>
      </c>
      <c r="X17" s="161" t="n">
        <v>0</v>
      </c>
      <c r="Y17" s="173" t="n">
        <v>0</v>
      </c>
    </row>
    <row r="18" customFormat="false" ht="14.25" hidden="false" customHeight="true" outlineLevel="0" collapsed="false">
      <c r="A18" s="44"/>
      <c r="B18" s="120" t="s">
        <v>1865</v>
      </c>
      <c r="C18" s="44"/>
      <c r="D18" s="121"/>
      <c r="E18" s="99" t="n">
        <v>1.8</v>
      </c>
      <c r="F18" s="121"/>
      <c r="G18" s="121"/>
      <c r="H18" s="121"/>
      <c r="I18" s="121"/>
      <c r="J18" s="121"/>
      <c r="K18" s="121"/>
      <c r="L18" s="121"/>
      <c r="M18" s="121"/>
      <c r="N18" s="101" t="n">
        <v>0.88</v>
      </c>
      <c r="O18" s="121"/>
      <c r="P18" s="121"/>
      <c r="Q18" s="121"/>
      <c r="R18" s="121"/>
      <c r="S18" s="121"/>
      <c r="T18" s="121"/>
      <c r="U18" s="44"/>
      <c r="V18" s="44"/>
      <c r="W18" s="171" t="s">
        <v>1858</v>
      </c>
      <c r="X18" s="161"/>
      <c r="Y18" s="161" t="n">
        <v>0.24172845</v>
      </c>
    </row>
    <row r="19" customFormat="false" ht="14.25" hidden="false" customHeight="true" outlineLevel="0" collapsed="false">
      <c r="A19" s="44"/>
      <c r="B19" s="120" t="s">
        <v>1866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171" t="s">
        <v>1903</v>
      </c>
      <c r="X19" s="161" t="n">
        <v>0</v>
      </c>
      <c r="Y19" s="173" t="n">
        <v>0</v>
      </c>
    </row>
    <row r="20" customFormat="false" ht="14.25" hidden="false" customHeight="true" outlineLevel="0" collapsed="false">
      <c r="A20" s="44"/>
      <c r="B20" s="122" t="s">
        <v>1867</v>
      </c>
      <c r="C20" s="122"/>
      <c r="D20" s="122"/>
      <c r="E20" s="123" t="n">
        <v>14.9</v>
      </c>
      <c r="F20" s="124" t="n">
        <v>17</v>
      </c>
      <c r="G20" s="123" t="n">
        <v>16.5</v>
      </c>
      <c r="H20" s="124" t="n">
        <v>8</v>
      </c>
      <c r="I20" s="124" t="n">
        <v>9</v>
      </c>
      <c r="J20" s="124" t="n">
        <v>6</v>
      </c>
      <c r="K20" s="124" t="n">
        <v>0</v>
      </c>
      <c r="L20" s="124" t="n">
        <v>3</v>
      </c>
      <c r="M20" s="124" t="n">
        <v>14</v>
      </c>
      <c r="N20" s="125" t="n">
        <v>4.22422845</v>
      </c>
      <c r="O20" s="125" t="n">
        <v>3.5428346605</v>
      </c>
      <c r="P20" s="125" t="n">
        <v>0.24172845</v>
      </c>
      <c r="Q20" s="125" t="n">
        <v>3.3011062105</v>
      </c>
      <c r="R20" s="125" t="n">
        <v>-0.681394</v>
      </c>
      <c r="S20" s="125" t="n">
        <v>3.021533848</v>
      </c>
      <c r="T20" s="125" t="n">
        <v>-1.202695</v>
      </c>
      <c r="U20" s="44"/>
      <c r="V20" s="44"/>
      <c r="W20" s="174" t="s">
        <v>1860</v>
      </c>
      <c r="X20" s="71"/>
      <c r="Y20" s="175" t="n">
        <v>0.93172845</v>
      </c>
    </row>
    <row r="21" customFormat="false" ht="15" hidden="false" customHeight="false" outlineLevel="0" collapsed="false">
      <c r="A21" s="44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171" t="s">
        <v>1862</v>
      </c>
      <c r="X21" s="71"/>
      <c r="Y21" s="176" t="n">
        <v>1.64172845</v>
      </c>
    </row>
    <row r="22" customFormat="false" ht="15" hidden="false" customHeight="false" outlineLevel="0" collapsed="false">
      <c r="A22" s="44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177" t="s">
        <v>1863</v>
      </c>
      <c r="X22" s="71"/>
      <c r="Y22" s="175" t="n">
        <v>0.71</v>
      </c>
    </row>
    <row r="23" customFormat="false" ht="18.75" hidden="false" customHeight="true" outlineLevel="0" collapsed="false">
      <c r="A23" s="44"/>
      <c r="B23" s="83" t="s">
        <v>1947</v>
      </c>
      <c r="C23" s="85"/>
      <c r="D23" s="85"/>
      <c r="E23" s="85"/>
      <c r="F23" s="85"/>
      <c r="G23" s="85"/>
      <c r="H23" s="98" t="s">
        <v>1869</v>
      </c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</row>
    <row r="24" customFormat="false" ht="33.75" hidden="false" customHeight="true" outlineLevel="0" collapsed="false">
      <c r="A24" s="126" t="s">
        <v>39</v>
      </c>
      <c r="B24" s="91" t="s">
        <v>40</v>
      </c>
      <c r="C24" s="91" t="s">
        <v>41</v>
      </c>
      <c r="D24" s="91" t="s">
        <v>42</v>
      </c>
      <c r="E24" s="127" t="s">
        <v>43</v>
      </c>
      <c r="F24" s="91" t="s">
        <v>44</v>
      </c>
      <c r="G24" s="128" t="s">
        <v>45</v>
      </c>
      <c r="H24" s="127" t="s">
        <v>1870</v>
      </c>
      <c r="I24" s="129" t="s">
        <v>1871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</row>
    <row r="25" customFormat="false" ht="14.25" hidden="false" customHeight="true" outlineLevel="0" collapsed="false">
      <c r="A25" s="44"/>
      <c r="B25" s="96" t="s">
        <v>840</v>
      </c>
      <c r="C25" s="96" t="s">
        <v>1884</v>
      </c>
      <c r="D25" s="96"/>
      <c r="E25" s="96"/>
      <c r="F25" s="130"/>
      <c r="G25" s="131" t="n">
        <v>241728.45</v>
      </c>
      <c r="H25" s="131" t="n">
        <v>241728.45</v>
      </c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</row>
    <row r="26" customFormat="false" ht="14.25" hidden="false" customHeight="true" outlineLevel="0" collapsed="false">
      <c r="A26" s="132" t="s">
        <v>841</v>
      </c>
      <c r="B26" s="98" t="s">
        <v>842</v>
      </c>
      <c r="C26" s="98" t="s">
        <v>829</v>
      </c>
      <c r="D26" s="98" t="s">
        <v>53</v>
      </c>
      <c r="E26" s="133" t="s">
        <v>53</v>
      </c>
      <c r="F26" s="134"/>
      <c r="G26" s="100" t="n">
        <v>241728.45</v>
      </c>
      <c r="H26" s="100" t="n">
        <v>241728.45</v>
      </c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</row>
    <row r="27" customFormat="false" ht="14.25" hidden="false" customHeight="true" outlineLevel="0" collapsed="false">
      <c r="A27" s="44"/>
      <c r="B27" s="96" t="s">
        <v>806</v>
      </c>
      <c r="C27" s="96" t="s">
        <v>1877</v>
      </c>
      <c r="D27" s="96"/>
      <c r="E27" s="96"/>
      <c r="F27" s="96"/>
      <c r="G27" s="131" t="n">
        <v>958560.1905</v>
      </c>
      <c r="H27" s="131" t="n">
        <v>900637.878</v>
      </c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</row>
    <row r="28" customFormat="false" ht="14.25" hidden="false" customHeight="true" outlineLevel="0" collapsed="false">
      <c r="A28" s="132" t="s">
        <v>807</v>
      </c>
      <c r="B28" s="98" t="s">
        <v>808</v>
      </c>
      <c r="C28" s="98" t="s">
        <v>809</v>
      </c>
      <c r="D28" s="98" t="s">
        <v>53</v>
      </c>
      <c r="E28" s="133" t="s">
        <v>53</v>
      </c>
      <c r="F28" s="134"/>
      <c r="G28" s="100" t="n">
        <v>184497.852</v>
      </c>
      <c r="H28" s="100" t="n">
        <v>184497.852</v>
      </c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</row>
    <row r="29" customFormat="false" ht="14.25" hidden="false" customHeight="true" outlineLevel="0" collapsed="false">
      <c r="A29" s="132" t="s">
        <v>811</v>
      </c>
      <c r="B29" s="98" t="s">
        <v>812</v>
      </c>
      <c r="C29" s="98" t="s">
        <v>809</v>
      </c>
      <c r="D29" s="98" t="s">
        <v>53</v>
      </c>
      <c r="E29" s="133" t="s">
        <v>53</v>
      </c>
      <c r="F29" s="134"/>
      <c r="G29" s="100" t="n">
        <v>178930.38</v>
      </c>
      <c r="H29" s="100" t="n">
        <v>178930.38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</row>
    <row r="30" customFormat="false" ht="14.25" hidden="false" customHeight="true" outlineLevel="0" collapsed="false">
      <c r="A30" s="132" t="s">
        <v>813</v>
      </c>
      <c r="B30" s="98" t="s">
        <v>814</v>
      </c>
      <c r="C30" s="98" t="s">
        <v>815</v>
      </c>
      <c r="D30" s="98" t="s">
        <v>53</v>
      </c>
      <c r="E30" s="133" t="s">
        <v>53</v>
      </c>
      <c r="F30" s="134"/>
      <c r="G30" s="100" t="n">
        <v>198099.684</v>
      </c>
      <c r="H30" s="100" t="n">
        <v>198099.684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</row>
    <row r="31" customFormat="false" ht="14.25" hidden="false" customHeight="true" outlineLevel="0" collapsed="false">
      <c r="A31" s="132" t="s">
        <v>816</v>
      </c>
      <c r="B31" s="98" t="s">
        <v>69</v>
      </c>
      <c r="C31" s="98" t="s">
        <v>817</v>
      </c>
      <c r="D31" s="98" t="s">
        <v>69</v>
      </c>
      <c r="E31" s="133" t="s">
        <v>82</v>
      </c>
      <c r="F31" s="134"/>
      <c r="G31" s="100" t="n">
        <v>231689.25</v>
      </c>
      <c r="H31" s="100" t="n">
        <v>231689.25</v>
      </c>
      <c r="I31" s="135" t="s">
        <v>1926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</row>
    <row r="32" customFormat="false" ht="14.25" hidden="false" customHeight="true" outlineLevel="0" collapsed="false">
      <c r="A32" s="132" t="s">
        <v>818</v>
      </c>
      <c r="B32" s="98" t="s">
        <v>819</v>
      </c>
      <c r="C32" s="98" t="s">
        <v>820</v>
      </c>
      <c r="D32" s="98" t="s">
        <v>53</v>
      </c>
      <c r="E32" s="133" t="s">
        <v>53</v>
      </c>
      <c r="F32" s="134"/>
      <c r="G32" s="100" t="n">
        <v>107420.712</v>
      </c>
      <c r="H32" s="100" t="n">
        <v>107420.712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</row>
    <row r="33" customFormat="false" ht="14.25" hidden="false" customHeight="true" outlineLevel="0" collapsed="false">
      <c r="A33" s="132" t="s">
        <v>821</v>
      </c>
      <c r="B33" s="98" t="s">
        <v>822</v>
      </c>
      <c r="C33" s="98" t="s">
        <v>52</v>
      </c>
      <c r="D33" s="98" t="s">
        <v>69</v>
      </c>
      <c r="E33" s="133" t="s">
        <v>78</v>
      </c>
      <c r="F33" s="134"/>
      <c r="G33" s="100" t="n">
        <v>57922.3125</v>
      </c>
      <c r="H33" s="100" t="n">
        <v>0</v>
      </c>
      <c r="I33" s="135" t="s">
        <v>1874</v>
      </c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</row>
    <row r="34" customFormat="false" ht="14.25" hidden="false" customHeight="true" outlineLevel="0" collapsed="false">
      <c r="A34" s="44"/>
      <c r="B34" s="96" t="s">
        <v>810</v>
      </c>
      <c r="C34" s="96" t="s">
        <v>1910</v>
      </c>
      <c r="D34" s="96"/>
      <c r="E34" s="96"/>
      <c r="F34" s="96"/>
      <c r="G34" s="131" t="n">
        <v>2018985.57</v>
      </c>
      <c r="H34" s="131" t="n">
        <v>1555607.07</v>
      </c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</row>
    <row r="35" customFormat="false" ht="14.25" hidden="false" customHeight="true" outlineLevel="0" collapsed="false">
      <c r="A35" s="132" t="s">
        <v>823</v>
      </c>
      <c r="B35" s="98" t="s">
        <v>69</v>
      </c>
      <c r="C35" s="98" t="s">
        <v>824</v>
      </c>
      <c r="D35" s="98" t="s">
        <v>69</v>
      </c>
      <c r="E35" s="133" t="s">
        <v>82</v>
      </c>
      <c r="F35" s="134"/>
      <c r="G35" s="100" t="n">
        <v>231689.25</v>
      </c>
      <c r="H35" s="100" t="n">
        <v>231689.25</v>
      </c>
      <c r="I35" s="135" t="s">
        <v>1926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</row>
    <row r="36" customFormat="false" ht="14.25" hidden="false" customHeight="true" outlineLevel="0" collapsed="false">
      <c r="A36" s="132" t="s">
        <v>825</v>
      </c>
      <c r="B36" s="98" t="s">
        <v>69</v>
      </c>
      <c r="C36" s="98" t="s">
        <v>824</v>
      </c>
      <c r="D36" s="98" t="s">
        <v>69</v>
      </c>
      <c r="E36" s="133" t="s">
        <v>82</v>
      </c>
      <c r="F36" s="134"/>
      <c r="G36" s="100" t="n">
        <v>231689.25</v>
      </c>
      <c r="H36" s="100" t="n">
        <v>231689.25</v>
      </c>
      <c r="I36" s="135" t="s">
        <v>1926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</row>
    <row r="37" customFormat="false" ht="14.25" hidden="false" customHeight="true" outlineLevel="0" collapsed="false">
      <c r="A37" s="132" t="s">
        <v>826</v>
      </c>
      <c r="B37" s="98" t="s">
        <v>69</v>
      </c>
      <c r="C37" s="98" t="s">
        <v>824</v>
      </c>
      <c r="D37" s="98" t="s">
        <v>69</v>
      </c>
      <c r="E37" s="133" t="s">
        <v>78</v>
      </c>
      <c r="F37" s="134"/>
      <c r="G37" s="100" t="n">
        <v>231689.25</v>
      </c>
      <c r="H37" s="100" t="n">
        <v>0</v>
      </c>
      <c r="I37" s="135" t="s">
        <v>1925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</row>
    <row r="38" customFormat="false" ht="14.25" hidden="false" customHeight="true" outlineLevel="0" collapsed="false">
      <c r="A38" s="132" t="s">
        <v>827</v>
      </c>
      <c r="B38" s="98" t="s">
        <v>828</v>
      </c>
      <c r="C38" s="98" t="s">
        <v>829</v>
      </c>
      <c r="D38" s="98" t="s">
        <v>53</v>
      </c>
      <c r="E38" s="133" t="s">
        <v>53</v>
      </c>
      <c r="F38" s="134"/>
      <c r="G38" s="100" t="n">
        <v>239899.5</v>
      </c>
      <c r="H38" s="100" t="n">
        <v>239899.5</v>
      </c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</row>
    <row r="39" customFormat="false" ht="14.25" hidden="false" customHeight="true" outlineLevel="0" collapsed="false">
      <c r="A39" s="132" t="s">
        <v>830</v>
      </c>
      <c r="B39" s="98" t="s">
        <v>831</v>
      </c>
      <c r="C39" s="98" t="s">
        <v>829</v>
      </c>
      <c r="D39" s="98" t="s">
        <v>53</v>
      </c>
      <c r="E39" s="133" t="s">
        <v>53</v>
      </c>
      <c r="F39" s="134"/>
      <c r="G39" s="100" t="n">
        <v>214093.95</v>
      </c>
      <c r="H39" s="100" t="n">
        <v>214093.95</v>
      </c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</row>
    <row r="40" customFormat="false" ht="14.25" hidden="false" customHeight="true" outlineLevel="0" collapsed="false">
      <c r="A40" s="132" t="s">
        <v>832</v>
      </c>
      <c r="B40" s="98" t="s">
        <v>69</v>
      </c>
      <c r="C40" s="98" t="s">
        <v>824</v>
      </c>
      <c r="D40" s="98" t="s">
        <v>69</v>
      </c>
      <c r="E40" s="133" t="s">
        <v>78</v>
      </c>
      <c r="F40" s="134"/>
      <c r="G40" s="100" t="n">
        <v>231689.25</v>
      </c>
      <c r="H40" s="100" t="n">
        <v>0</v>
      </c>
      <c r="I40" s="135" t="s">
        <v>1874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</row>
    <row r="41" customFormat="false" ht="14.25" hidden="false" customHeight="true" outlineLevel="0" collapsed="false">
      <c r="A41" s="132" t="s">
        <v>833</v>
      </c>
      <c r="B41" s="98" t="s">
        <v>69</v>
      </c>
      <c r="C41" s="98" t="s">
        <v>834</v>
      </c>
      <c r="D41" s="98" t="s">
        <v>69</v>
      </c>
      <c r="E41" s="133" t="s">
        <v>82</v>
      </c>
      <c r="F41" s="134" t="s">
        <v>835</v>
      </c>
      <c r="G41" s="100" t="n">
        <v>231689.25</v>
      </c>
      <c r="H41" s="100" t="n">
        <v>231689.25</v>
      </c>
      <c r="I41" s="135" t="s">
        <v>1925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</row>
    <row r="42" customFormat="false" ht="14.25" hidden="false" customHeight="true" outlineLevel="0" collapsed="false">
      <c r="A42" s="132" t="s">
        <v>836</v>
      </c>
      <c r="B42" s="98" t="s">
        <v>69</v>
      </c>
      <c r="C42" s="98" t="s">
        <v>837</v>
      </c>
      <c r="D42" s="98" t="s">
        <v>69</v>
      </c>
      <c r="E42" s="133" t="s">
        <v>82</v>
      </c>
      <c r="F42" s="134"/>
      <c r="G42" s="100" t="n">
        <v>231689.25</v>
      </c>
      <c r="H42" s="100" t="n">
        <v>231689.25</v>
      </c>
      <c r="I42" s="135" t="s">
        <v>1926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</row>
    <row r="43" customFormat="false" ht="14.25" hidden="false" customHeight="true" outlineLevel="0" collapsed="false">
      <c r="A43" s="132" t="s">
        <v>838</v>
      </c>
      <c r="B43" s="98" t="s">
        <v>1743</v>
      </c>
      <c r="C43" s="98" t="s">
        <v>839</v>
      </c>
      <c r="D43" s="98" t="s">
        <v>69</v>
      </c>
      <c r="E43" s="133" t="s">
        <v>82</v>
      </c>
      <c r="F43" s="134"/>
      <c r="G43" s="100" t="n">
        <v>174856.62</v>
      </c>
      <c r="H43" s="100" t="n">
        <v>174856.62</v>
      </c>
      <c r="I43" s="135" t="s">
        <v>1873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</row>
    <row r="44" customFormat="false" ht="14.25" hidden="false" customHeight="true" outlineLevel="0" collapsed="false">
      <c r="A44" s="44"/>
      <c r="B44" s="96" t="s">
        <v>206</v>
      </c>
      <c r="C44" s="96" t="s">
        <v>1884</v>
      </c>
      <c r="D44" s="96"/>
      <c r="E44" s="96"/>
      <c r="F44" s="96"/>
      <c r="G44" s="131" t="n">
        <v>323560.45</v>
      </c>
      <c r="H44" s="131" t="n">
        <v>323560.45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</row>
    <row r="45" customFormat="false" ht="14.25" hidden="false" customHeight="true" outlineLevel="0" collapsed="false">
      <c r="A45" s="132" t="s">
        <v>843</v>
      </c>
      <c r="B45" s="98" t="s">
        <v>844</v>
      </c>
      <c r="C45" s="98" t="s">
        <v>845</v>
      </c>
      <c r="D45" s="98" t="s">
        <v>53</v>
      </c>
      <c r="E45" s="133" t="s">
        <v>53</v>
      </c>
      <c r="F45" s="134"/>
      <c r="G45" s="100" t="n">
        <v>323560.45</v>
      </c>
      <c r="H45" s="100" t="n">
        <v>323560.45</v>
      </c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</row>
    <row r="46" customFormat="false" ht="15" hidden="false" customHeight="false" outlineLevel="0" collapsed="false">
      <c r="A46" s="44"/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</row>
    <row r="47" customFormat="false" ht="14.25" hidden="false" customHeight="true" outlineLevel="0" collapsed="false">
      <c r="A47" s="44"/>
      <c r="B47" s="126" t="s">
        <v>1886</v>
      </c>
      <c r="C47" s="44"/>
      <c r="D47" s="44"/>
      <c r="E47" s="44"/>
      <c r="F47" s="44"/>
      <c r="G47" s="44"/>
      <c r="H47" s="44"/>
      <c r="I47" s="44"/>
      <c r="J47" s="44"/>
      <c r="K47" s="136" t="n">
        <v>6</v>
      </c>
      <c r="L47" s="136" t="n">
        <v>0</v>
      </c>
      <c r="M47" s="136" t="n">
        <v>3</v>
      </c>
      <c r="N47" s="136" t="n">
        <v>0</v>
      </c>
      <c r="O47" s="136" t="n">
        <v>0</v>
      </c>
      <c r="P47" s="44"/>
      <c r="Q47" s="44"/>
      <c r="R47" s="44"/>
      <c r="S47" s="44"/>
      <c r="T47" s="44"/>
      <c r="U47" s="44"/>
      <c r="V47" s="44"/>
      <c r="W47" s="44"/>
      <c r="X47" s="44"/>
      <c r="Y47" s="44"/>
    </row>
  </sheetData>
  <mergeCells count="2">
    <mergeCell ref="W4:X4"/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</row>
    <row r="2" customFormat="false" ht="21" hidden="false" customHeight="true" outlineLevel="0" collapsed="false">
      <c r="A2" s="44"/>
      <c r="B2" s="81" t="s">
        <v>1948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</row>
    <row r="3" customFormat="false" ht="14.25" hidden="false" customHeight="true" outlineLevel="0" collapsed="false">
      <c r="A3" s="44"/>
      <c r="B3" s="82" t="s">
        <v>1165</v>
      </c>
      <c r="C3" s="73" t="s">
        <v>24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</row>
    <row r="4" customFormat="false" ht="18.75" hidden="false" customHeight="true" outlineLevel="0" collapsed="false">
      <c r="A4" s="44"/>
      <c r="B4" s="83" t="s">
        <v>1949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44"/>
      <c r="V4" s="44"/>
      <c r="W4" s="86" t="s">
        <v>1821</v>
      </c>
      <c r="X4" s="44"/>
      <c r="Y4" s="44"/>
    </row>
    <row r="5" customFormat="false" ht="6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89" t="s">
        <v>1822</v>
      </c>
      <c r="X5" s="90" t="n">
        <v>2.5</v>
      </c>
      <c r="Y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1" t="s">
        <v>1835</v>
      </c>
      <c r="S6" s="92" t="s">
        <v>1836</v>
      </c>
      <c r="T6" s="91" t="s">
        <v>1837</v>
      </c>
      <c r="U6" s="93" t="s">
        <v>1189</v>
      </c>
      <c r="V6" s="44"/>
      <c r="W6" s="137" t="s">
        <v>1838</v>
      </c>
      <c r="X6" s="138" t="n">
        <v>2.5</v>
      </c>
      <c r="Y6" s="44"/>
    </row>
    <row r="7" customFormat="false" ht="14.25" hidden="false" customHeight="true" outlineLevel="0" collapsed="false">
      <c r="A7" s="44"/>
      <c r="B7" s="96" t="s">
        <v>1164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44"/>
      <c r="V7" s="44"/>
      <c r="W7" s="137" t="s">
        <v>1839</v>
      </c>
      <c r="X7" s="138" t="n">
        <v>0</v>
      </c>
      <c r="Y7" s="44"/>
    </row>
    <row r="8" customFormat="false" ht="14.25" hidden="false" customHeight="true" outlineLevel="0" collapsed="false">
      <c r="A8" s="44"/>
      <c r="B8" s="98" t="s">
        <v>689</v>
      </c>
      <c r="C8" s="98" t="s">
        <v>1840</v>
      </c>
      <c r="D8" s="98" t="s">
        <v>1846</v>
      </c>
      <c r="E8" s="99" t="n">
        <v>6</v>
      </c>
      <c r="F8" s="100" t="n">
        <v>7</v>
      </c>
      <c r="G8" s="99" t="n">
        <v>7</v>
      </c>
      <c r="H8" s="100" t="n">
        <v>5</v>
      </c>
      <c r="I8" s="100" t="n">
        <v>2</v>
      </c>
      <c r="J8" s="100" t="n">
        <v>0</v>
      </c>
      <c r="K8" s="100" t="n">
        <v>5</v>
      </c>
      <c r="L8" s="100" t="n">
        <v>0</v>
      </c>
      <c r="M8" s="100" t="n">
        <v>7</v>
      </c>
      <c r="N8" s="101" t="n">
        <v>0.84</v>
      </c>
      <c r="O8" s="101" t="n">
        <v>1.53594675</v>
      </c>
      <c r="P8" s="101" t="n">
        <v>0</v>
      </c>
      <c r="Q8" s="101" t="n">
        <v>1.53594675</v>
      </c>
      <c r="R8" s="101" t="n">
        <v>0.695947</v>
      </c>
      <c r="S8" s="101" t="n">
        <v>0.876463425</v>
      </c>
      <c r="T8" s="101" t="n">
        <v>0.036463</v>
      </c>
      <c r="U8" s="102" t="n">
        <v>0.2</v>
      </c>
      <c r="V8" s="44"/>
      <c r="W8" s="178" t="s">
        <v>1842</v>
      </c>
      <c r="X8" s="156" t="n">
        <v>0.247500000000001</v>
      </c>
      <c r="Y8" s="44"/>
    </row>
    <row r="9" customFormat="false" ht="14.25" hidden="false" customHeight="true" outlineLevel="0" collapsed="false">
      <c r="A9" s="44"/>
      <c r="B9" s="98" t="s">
        <v>699</v>
      </c>
      <c r="C9" s="98" t="s">
        <v>1840</v>
      </c>
      <c r="D9" s="98" t="s">
        <v>1841</v>
      </c>
      <c r="E9" s="99" t="n">
        <v>9</v>
      </c>
      <c r="F9" s="100" t="n">
        <v>10</v>
      </c>
      <c r="G9" s="99" t="n">
        <v>10</v>
      </c>
      <c r="H9" s="100" t="n">
        <v>8</v>
      </c>
      <c r="I9" s="100" t="n">
        <v>2</v>
      </c>
      <c r="J9" s="100" t="n">
        <v>0</v>
      </c>
      <c r="K9" s="100" t="n">
        <v>0</v>
      </c>
      <c r="L9" s="100" t="n">
        <v>2</v>
      </c>
      <c r="M9" s="100" t="n">
        <v>8</v>
      </c>
      <c r="N9" s="101" t="n">
        <v>1.12</v>
      </c>
      <c r="O9" s="101" t="n">
        <v>2.12727365</v>
      </c>
      <c r="P9" s="101" t="n">
        <v>0</v>
      </c>
      <c r="Q9" s="101" t="n">
        <v>2.12727365</v>
      </c>
      <c r="R9" s="101" t="n">
        <v>1.007274</v>
      </c>
      <c r="S9" s="101" t="n">
        <v>1.75393065</v>
      </c>
      <c r="T9" s="101" t="n">
        <v>0.633931</v>
      </c>
      <c r="U9" s="102" t="n">
        <v>0.1</v>
      </c>
      <c r="V9" s="44"/>
      <c r="W9" s="140" t="s">
        <v>1844</v>
      </c>
      <c r="X9" s="156" t="n">
        <v>0</v>
      </c>
      <c r="Y9" s="44"/>
    </row>
    <row r="10" customFormat="false" ht="14.25" hidden="false" customHeight="true" outlineLevel="0" collapsed="false">
      <c r="A10" s="44"/>
      <c r="B10" s="98" t="s">
        <v>696</v>
      </c>
      <c r="C10" s="98" t="s">
        <v>1840</v>
      </c>
      <c r="D10" s="98" t="s">
        <v>1841</v>
      </c>
      <c r="E10" s="99" t="n">
        <v>9</v>
      </c>
      <c r="F10" s="100" t="n">
        <v>9</v>
      </c>
      <c r="G10" s="99" t="n">
        <v>9</v>
      </c>
      <c r="H10" s="100" t="n">
        <v>7</v>
      </c>
      <c r="I10" s="100" t="n">
        <v>2</v>
      </c>
      <c r="J10" s="100" t="n">
        <v>0</v>
      </c>
      <c r="K10" s="100" t="n">
        <v>0</v>
      </c>
      <c r="L10" s="100" t="n">
        <v>2</v>
      </c>
      <c r="M10" s="100" t="n">
        <v>7</v>
      </c>
      <c r="N10" s="101" t="n">
        <v>2.1</v>
      </c>
      <c r="O10" s="101" t="n">
        <v>1.9147733</v>
      </c>
      <c r="P10" s="101" t="n">
        <v>0</v>
      </c>
      <c r="Q10" s="101" t="n">
        <v>1.9147733</v>
      </c>
      <c r="R10" s="101" t="n">
        <v>-0.185227</v>
      </c>
      <c r="S10" s="101" t="n">
        <v>1.5125943</v>
      </c>
      <c r="T10" s="101" t="n">
        <v>-0.587406</v>
      </c>
      <c r="U10" s="102" t="n">
        <v>0.15</v>
      </c>
      <c r="V10" s="44"/>
      <c r="W10" s="179" t="s">
        <v>1847</v>
      </c>
      <c r="X10" s="180" t="n">
        <v>0.247500000000001</v>
      </c>
      <c r="Y10" s="44"/>
    </row>
    <row r="11" customFormat="false" ht="14.25" hidden="false" customHeight="true" outlineLevel="0" collapsed="false">
      <c r="A11" s="44"/>
      <c r="B11" s="98" t="s">
        <v>690</v>
      </c>
      <c r="C11" s="98" t="s">
        <v>1845</v>
      </c>
      <c r="D11" s="98" t="s">
        <v>1846</v>
      </c>
      <c r="E11" s="99" t="n">
        <v>4</v>
      </c>
      <c r="F11" s="100" t="n">
        <v>5</v>
      </c>
      <c r="G11" s="99" t="n">
        <v>5</v>
      </c>
      <c r="H11" s="100" t="n">
        <v>5</v>
      </c>
      <c r="I11" s="100" t="n">
        <v>0</v>
      </c>
      <c r="J11" s="100" t="n">
        <v>0</v>
      </c>
      <c r="K11" s="100" t="n">
        <v>0</v>
      </c>
      <c r="L11" s="100" t="n">
        <v>0</v>
      </c>
      <c r="M11" s="100" t="n">
        <v>5</v>
      </c>
      <c r="N11" s="101" t="n">
        <v>0.8</v>
      </c>
      <c r="O11" s="101" t="n">
        <v>0.74133529</v>
      </c>
      <c r="P11" s="101" t="n">
        <v>0</v>
      </c>
      <c r="Q11" s="101" t="n">
        <v>0.74133529</v>
      </c>
      <c r="R11" s="101" t="n">
        <v>-0.058665</v>
      </c>
      <c r="S11" s="101" t="n">
        <v>0.74133529</v>
      </c>
      <c r="T11" s="101" t="n">
        <v>-0.058665</v>
      </c>
      <c r="U11" s="102" t="n">
        <v>0.8</v>
      </c>
      <c r="V11" s="44"/>
      <c r="W11" s="179"/>
      <c r="X11" s="180"/>
      <c r="Y11" s="44"/>
    </row>
    <row r="12" customFormat="false" ht="14.25" hidden="false" customHeight="true" outlineLevel="0" collapsed="false">
      <c r="A12" s="44"/>
      <c r="B12" s="114" t="s">
        <v>1852</v>
      </c>
      <c r="C12" s="114"/>
      <c r="D12" s="114"/>
      <c r="E12" s="115" t="n">
        <v>28</v>
      </c>
      <c r="F12" s="116" t="n">
        <v>31</v>
      </c>
      <c r="G12" s="115" t="n">
        <v>31</v>
      </c>
      <c r="H12" s="116" t="n">
        <v>25</v>
      </c>
      <c r="I12" s="116" t="n">
        <v>6</v>
      </c>
      <c r="J12" s="116" t="n">
        <v>0</v>
      </c>
      <c r="K12" s="116" t="n">
        <v>5</v>
      </c>
      <c r="L12" s="116" t="n">
        <v>4</v>
      </c>
      <c r="M12" s="116" t="n">
        <v>27</v>
      </c>
      <c r="N12" s="117" t="n">
        <v>4.86</v>
      </c>
      <c r="O12" s="117" t="n">
        <v>6.31932899</v>
      </c>
      <c r="P12" s="117" t="n">
        <v>0</v>
      </c>
      <c r="Q12" s="117" t="n">
        <v>6.31932899</v>
      </c>
      <c r="R12" s="117" t="n">
        <v>1.459329</v>
      </c>
      <c r="S12" s="117" t="n">
        <v>4.884323665</v>
      </c>
      <c r="T12" s="117" t="n">
        <v>0.024324</v>
      </c>
      <c r="U12" s="44"/>
      <c r="V12" s="44"/>
      <c r="W12" s="159" t="s">
        <v>1848</v>
      </c>
      <c r="X12" s="159"/>
      <c r="Y12" s="159"/>
    </row>
    <row r="13" customFormat="false" ht="14.25" hidden="false" customHeight="true" outlineLevel="0" collapsed="false">
      <c r="A13" s="44"/>
      <c r="B13" s="96" t="s">
        <v>1896</v>
      </c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44"/>
      <c r="V13" s="44"/>
      <c r="W13" s="169" t="s">
        <v>1849</v>
      </c>
      <c r="X13" s="169" t="s">
        <v>1264</v>
      </c>
      <c r="Y13" s="181" t="s">
        <v>1850</v>
      </c>
    </row>
    <row r="14" customFormat="false" ht="14.25" hidden="false" customHeight="true" outlineLevel="0" collapsed="false">
      <c r="A14" s="44"/>
      <c r="B14" s="98" t="s">
        <v>756</v>
      </c>
      <c r="C14" s="98" t="s">
        <v>1898</v>
      </c>
      <c r="D14" s="98"/>
      <c r="E14" s="99"/>
      <c r="F14" s="100" t="n">
        <v>1</v>
      </c>
      <c r="G14" s="99" t="n">
        <v>1</v>
      </c>
      <c r="H14" s="100" t="n">
        <v>1</v>
      </c>
      <c r="I14" s="100" t="n">
        <v>0</v>
      </c>
      <c r="J14" s="100" t="n">
        <v>0</v>
      </c>
      <c r="K14" s="100" t="n">
        <v>0</v>
      </c>
      <c r="L14" s="100" t="n">
        <v>0</v>
      </c>
      <c r="M14" s="100" t="n">
        <v>1</v>
      </c>
      <c r="N14" s="101"/>
      <c r="O14" s="101" t="n">
        <v>0.2566671</v>
      </c>
      <c r="P14" s="101" t="n">
        <v>0</v>
      </c>
      <c r="Q14" s="101" t="n">
        <v>0.2566671</v>
      </c>
      <c r="R14" s="101"/>
      <c r="S14" s="101" t="n">
        <v>0.2566671</v>
      </c>
      <c r="T14" s="101"/>
      <c r="U14" s="44"/>
      <c r="V14" s="44"/>
      <c r="W14" s="171" t="s">
        <v>1950</v>
      </c>
      <c r="X14" s="161" t="n">
        <v>3.9</v>
      </c>
      <c r="Y14" s="172" t="n">
        <v>0</v>
      </c>
    </row>
    <row r="15" customFormat="false" ht="14.25" hidden="false" customHeight="true" outlineLevel="0" collapsed="false">
      <c r="A15" s="44"/>
      <c r="B15" s="96" t="s">
        <v>1861</v>
      </c>
      <c r="C15" s="96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44"/>
      <c r="V15" s="44"/>
      <c r="W15" s="171" t="s">
        <v>1853</v>
      </c>
      <c r="X15" s="161" t="n">
        <v>0.4</v>
      </c>
      <c r="Y15" s="173" t="n">
        <v>1</v>
      </c>
    </row>
    <row r="16" customFormat="false" ht="14.25" hidden="false" customHeight="true" outlineLevel="0" collapsed="false">
      <c r="A16" s="44"/>
      <c r="B16" s="98" t="s">
        <v>199</v>
      </c>
      <c r="C16" s="98"/>
      <c r="D16" s="98"/>
      <c r="E16" s="99" t="n">
        <v>0.5</v>
      </c>
      <c r="F16" s="100" t="n">
        <v>1</v>
      </c>
      <c r="G16" s="99" t="n">
        <v>1</v>
      </c>
      <c r="H16" s="100" t="n">
        <v>1</v>
      </c>
      <c r="I16" s="100" t="n">
        <v>0</v>
      </c>
      <c r="J16" s="100" t="n">
        <v>0</v>
      </c>
      <c r="K16" s="100" t="n">
        <v>0</v>
      </c>
      <c r="L16" s="100" t="n">
        <v>0</v>
      </c>
      <c r="M16" s="100" t="n">
        <v>1</v>
      </c>
      <c r="N16" s="101" t="n">
        <v>0.1375</v>
      </c>
      <c r="O16" s="101" t="n">
        <v>0.3636267</v>
      </c>
      <c r="P16" s="101" t="n">
        <v>0</v>
      </c>
      <c r="Q16" s="101" t="n">
        <v>0.3636267</v>
      </c>
      <c r="R16" s="101" t="n">
        <v>0.226127</v>
      </c>
      <c r="S16" s="101" t="n">
        <v>0.3636267</v>
      </c>
      <c r="T16" s="101" t="n">
        <v>0.226127</v>
      </c>
      <c r="U16" s="44"/>
      <c r="V16" s="44"/>
      <c r="W16" s="171" t="s">
        <v>1893</v>
      </c>
      <c r="X16" s="161" t="n">
        <v>5</v>
      </c>
      <c r="Y16" s="161" t="n">
        <v>2.5</v>
      </c>
    </row>
    <row r="17" customFormat="false" ht="14.25" hidden="false" customHeight="true" outlineLevel="0" collapsed="false">
      <c r="A17" s="44"/>
      <c r="B17" s="98" t="s">
        <v>203</v>
      </c>
      <c r="C17" s="98"/>
      <c r="D17" s="98"/>
      <c r="E17" s="99" t="n">
        <v>0.9</v>
      </c>
      <c r="F17" s="100" t="n">
        <v>1</v>
      </c>
      <c r="G17" s="99" t="n">
        <v>1</v>
      </c>
      <c r="H17" s="100" t="n">
        <v>1</v>
      </c>
      <c r="I17" s="100" t="n">
        <v>0</v>
      </c>
      <c r="J17" s="100" t="n">
        <v>0</v>
      </c>
      <c r="K17" s="100" t="n">
        <v>0</v>
      </c>
      <c r="L17" s="100" t="n">
        <v>0</v>
      </c>
      <c r="M17" s="100" t="n">
        <v>1</v>
      </c>
      <c r="N17" s="101" t="n">
        <v>0.252</v>
      </c>
      <c r="O17" s="101" t="n">
        <v>0.3167448</v>
      </c>
      <c r="P17" s="101" t="n">
        <v>0</v>
      </c>
      <c r="Q17" s="101" t="n">
        <v>0.3167448</v>
      </c>
      <c r="R17" s="101" t="n">
        <v>0.064745</v>
      </c>
      <c r="S17" s="101" t="n">
        <v>0.3167448</v>
      </c>
      <c r="T17" s="101" t="n">
        <v>0.064745</v>
      </c>
      <c r="U17" s="44"/>
      <c r="V17" s="44"/>
      <c r="W17" s="171" t="s">
        <v>1857</v>
      </c>
      <c r="X17" s="161" t="n">
        <v>0</v>
      </c>
      <c r="Y17" s="173" t="n">
        <v>0</v>
      </c>
    </row>
    <row r="18" customFormat="false" ht="14.25" hidden="false" customHeight="true" outlineLevel="0" collapsed="false">
      <c r="A18" s="44"/>
      <c r="B18" s="98" t="s">
        <v>206</v>
      </c>
      <c r="C18" s="98"/>
      <c r="D18" s="98"/>
      <c r="E18" s="99" t="n">
        <v>0.9</v>
      </c>
      <c r="F18" s="100" t="n">
        <v>2</v>
      </c>
      <c r="G18" s="99" t="n">
        <v>2</v>
      </c>
      <c r="H18" s="100" t="n">
        <v>1</v>
      </c>
      <c r="I18" s="100" t="n">
        <v>1</v>
      </c>
      <c r="J18" s="100" t="n">
        <v>1</v>
      </c>
      <c r="K18" s="100" t="n">
        <v>0</v>
      </c>
      <c r="L18" s="100" t="n">
        <v>0</v>
      </c>
      <c r="M18" s="100" t="n">
        <v>2</v>
      </c>
      <c r="N18" s="101" t="n">
        <v>0.243</v>
      </c>
      <c r="O18" s="101" t="n">
        <v>0.52488635</v>
      </c>
      <c r="P18" s="101" t="n">
        <v>0</v>
      </c>
      <c r="Q18" s="101" t="n">
        <v>0.52488635</v>
      </c>
      <c r="R18" s="101" t="n">
        <v>0.281886</v>
      </c>
      <c r="S18" s="101" t="n">
        <v>0.52488635</v>
      </c>
      <c r="T18" s="101" t="n">
        <v>0.281886</v>
      </c>
      <c r="U18" s="44"/>
      <c r="V18" s="44"/>
      <c r="W18" s="171" t="s">
        <v>1903</v>
      </c>
      <c r="X18" s="161" t="n">
        <v>0</v>
      </c>
      <c r="Y18" s="173" t="n">
        <v>0</v>
      </c>
    </row>
    <row r="19" customFormat="false" ht="14.25" hidden="false" customHeight="true" outlineLevel="0" collapsed="false">
      <c r="A19" s="44"/>
      <c r="B19" s="114" t="s">
        <v>1864</v>
      </c>
      <c r="C19" s="114"/>
      <c r="D19" s="114"/>
      <c r="E19" s="115" t="n">
        <v>2.3</v>
      </c>
      <c r="F19" s="116" t="n">
        <v>4</v>
      </c>
      <c r="G19" s="115" t="n">
        <v>4</v>
      </c>
      <c r="H19" s="116" t="n">
        <v>3</v>
      </c>
      <c r="I19" s="116" t="n">
        <v>1</v>
      </c>
      <c r="J19" s="116" t="n">
        <v>1</v>
      </c>
      <c r="K19" s="116" t="n">
        <v>0</v>
      </c>
      <c r="L19" s="116" t="n">
        <v>0</v>
      </c>
      <c r="M19" s="116" t="n">
        <v>4</v>
      </c>
      <c r="N19" s="117" t="n">
        <v>0.6325</v>
      </c>
      <c r="O19" s="117" t="n">
        <v>1.20525785</v>
      </c>
      <c r="P19" s="117" t="n">
        <v>0</v>
      </c>
      <c r="Q19" s="117" t="n">
        <v>1.20525785</v>
      </c>
      <c r="R19" s="117" t="n">
        <v>0.572758</v>
      </c>
      <c r="S19" s="117" t="n">
        <v>1.20525785</v>
      </c>
      <c r="T19" s="117" t="n">
        <v>0.572758</v>
      </c>
      <c r="U19" s="44"/>
      <c r="V19" s="44"/>
      <c r="W19" s="174" t="s">
        <v>1860</v>
      </c>
      <c r="X19" s="71"/>
      <c r="Y19" s="175" t="n">
        <v>3.5</v>
      </c>
    </row>
    <row r="20" customFormat="false" ht="14.25" hidden="false" customHeight="true" outlineLevel="0" collapsed="false">
      <c r="A20" s="44"/>
      <c r="B20" s="120" t="s">
        <v>1865</v>
      </c>
      <c r="C20" s="44"/>
      <c r="D20" s="121"/>
      <c r="E20" s="99" t="n">
        <v>1.8</v>
      </c>
      <c r="F20" s="121"/>
      <c r="G20" s="121"/>
      <c r="H20" s="121"/>
      <c r="I20" s="121"/>
      <c r="J20" s="121"/>
      <c r="K20" s="121"/>
      <c r="L20" s="121"/>
      <c r="M20" s="121"/>
      <c r="N20" s="101" t="n">
        <v>0.88</v>
      </c>
      <c r="O20" s="121"/>
      <c r="P20" s="121"/>
      <c r="Q20" s="121"/>
      <c r="R20" s="121"/>
      <c r="S20" s="121"/>
      <c r="T20" s="121"/>
      <c r="U20" s="44"/>
      <c r="V20" s="44"/>
      <c r="W20" s="171" t="s">
        <v>1862</v>
      </c>
      <c r="X20" s="71"/>
      <c r="Y20" s="176" t="n">
        <v>3.625</v>
      </c>
    </row>
    <row r="21" customFormat="false" ht="14.25" hidden="false" customHeight="true" outlineLevel="0" collapsed="false">
      <c r="A21" s="44"/>
      <c r="B21" s="120" t="s">
        <v>1866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177" t="s">
        <v>1863</v>
      </c>
      <c r="X21" s="71"/>
      <c r="Y21" s="175" t="n">
        <v>0.125</v>
      </c>
    </row>
    <row r="22" customFormat="false" ht="14.25" hidden="false" customHeight="true" outlineLevel="0" collapsed="false">
      <c r="A22" s="44"/>
      <c r="B22" s="122" t="s">
        <v>1867</v>
      </c>
      <c r="C22" s="122"/>
      <c r="D22" s="122"/>
      <c r="E22" s="123" t="n">
        <v>32.1</v>
      </c>
      <c r="F22" s="124" t="n">
        <v>36</v>
      </c>
      <c r="G22" s="123" t="n">
        <v>36</v>
      </c>
      <c r="H22" s="124" t="n">
        <v>29</v>
      </c>
      <c r="I22" s="124" t="n">
        <v>7</v>
      </c>
      <c r="J22" s="124" t="n">
        <v>1</v>
      </c>
      <c r="K22" s="124" t="n">
        <v>5</v>
      </c>
      <c r="L22" s="124" t="n">
        <v>4</v>
      </c>
      <c r="M22" s="124" t="n">
        <v>32</v>
      </c>
      <c r="N22" s="125" t="n">
        <v>6.3725</v>
      </c>
      <c r="O22" s="125" t="n">
        <v>7.78125394</v>
      </c>
      <c r="P22" s="125" t="n">
        <v>0</v>
      </c>
      <c r="Q22" s="125" t="n">
        <v>7.78125394</v>
      </c>
      <c r="R22" s="125" t="n">
        <v>1.408754</v>
      </c>
      <c r="S22" s="125" t="n">
        <v>6.346248615</v>
      </c>
      <c r="T22" s="125" t="n">
        <v>-0.026251</v>
      </c>
      <c r="U22" s="44"/>
      <c r="V22" s="44"/>
      <c r="W22" s="44"/>
      <c r="X22" s="44"/>
      <c r="Y22" s="44"/>
    </row>
    <row r="23" customFormat="false" ht="15" hidden="false" customHeight="false" outlineLevel="0" collapsed="false">
      <c r="A23" s="44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</row>
    <row r="24" customFormat="false" ht="15" hidden="false" customHeight="false" outlineLevel="0" collapsed="false">
      <c r="A24" s="44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</row>
    <row r="25" customFormat="false" ht="18.75" hidden="false" customHeight="true" outlineLevel="0" collapsed="false">
      <c r="A25" s="44"/>
      <c r="B25" s="83" t="s">
        <v>1951</v>
      </c>
      <c r="C25" s="85"/>
      <c r="D25" s="85"/>
      <c r="E25" s="85"/>
      <c r="F25" s="85"/>
      <c r="G25" s="85"/>
      <c r="H25" s="98" t="s">
        <v>1869</v>
      </c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</row>
    <row r="26" customFormat="false" ht="33.75" hidden="false" customHeight="true" outlineLevel="0" collapsed="false">
      <c r="A26" s="126" t="s">
        <v>39</v>
      </c>
      <c r="B26" s="91" t="s">
        <v>40</v>
      </c>
      <c r="C26" s="91" t="s">
        <v>41</v>
      </c>
      <c r="D26" s="91" t="s">
        <v>42</v>
      </c>
      <c r="E26" s="127" t="s">
        <v>43</v>
      </c>
      <c r="F26" s="91" t="s">
        <v>44</v>
      </c>
      <c r="G26" s="128" t="s">
        <v>45</v>
      </c>
      <c r="H26" s="127" t="s">
        <v>1870</v>
      </c>
      <c r="I26" s="129" t="s">
        <v>1871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</row>
    <row r="27" customFormat="false" ht="14.25" hidden="false" customHeight="true" outlineLevel="0" collapsed="false">
      <c r="A27" s="44"/>
      <c r="B27" s="96" t="s">
        <v>689</v>
      </c>
      <c r="C27" s="96" t="s">
        <v>1931</v>
      </c>
      <c r="D27" s="96"/>
      <c r="E27" s="96"/>
      <c r="F27" s="130"/>
      <c r="G27" s="131" t="n">
        <v>1535946.75</v>
      </c>
      <c r="H27" s="131" t="n">
        <v>876463.425</v>
      </c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</row>
    <row r="28" customFormat="false" ht="14.25" hidden="false" customHeight="true" outlineLevel="0" collapsed="false">
      <c r="A28" s="132" t="s">
        <v>691</v>
      </c>
      <c r="B28" s="98" t="s">
        <v>692</v>
      </c>
      <c r="C28" s="98" t="s">
        <v>693</v>
      </c>
      <c r="D28" s="98" t="s">
        <v>53</v>
      </c>
      <c r="E28" s="133" t="s">
        <v>53</v>
      </c>
      <c r="F28" s="134"/>
      <c r="G28" s="100" t="n">
        <v>197580</v>
      </c>
      <c r="H28" s="100" t="n">
        <v>197580</v>
      </c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</row>
    <row r="29" customFormat="false" ht="14.25" hidden="false" customHeight="true" outlineLevel="0" collapsed="false">
      <c r="A29" s="132" t="s">
        <v>694</v>
      </c>
      <c r="B29" s="98" t="s">
        <v>695</v>
      </c>
      <c r="C29" s="98" t="s">
        <v>84</v>
      </c>
      <c r="D29" s="98" t="s">
        <v>53</v>
      </c>
      <c r="E29" s="133" t="s">
        <v>53</v>
      </c>
      <c r="F29" s="134"/>
      <c r="G29" s="100" t="n">
        <v>277842.75</v>
      </c>
      <c r="H29" s="100" t="n">
        <v>277842.75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</row>
    <row r="30" customFormat="false" ht="14.25" hidden="false" customHeight="true" outlineLevel="0" collapsed="false">
      <c r="A30" s="132" t="s">
        <v>697</v>
      </c>
      <c r="B30" s="98" t="s">
        <v>69</v>
      </c>
      <c r="C30" s="98" t="s">
        <v>698</v>
      </c>
      <c r="D30" s="98" t="s">
        <v>69</v>
      </c>
      <c r="E30" s="133" t="s">
        <v>71</v>
      </c>
      <c r="F30" s="134" t="s">
        <v>121</v>
      </c>
      <c r="G30" s="100" t="n">
        <v>231689.25</v>
      </c>
      <c r="H30" s="100" t="n">
        <v>69506.775</v>
      </c>
      <c r="I30" s="135" t="s">
        <v>1952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</row>
    <row r="31" customFormat="false" ht="14.25" hidden="false" customHeight="true" outlineLevel="0" collapsed="false">
      <c r="A31" s="132" t="s">
        <v>700</v>
      </c>
      <c r="B31" s="98" t="s">
        <v>701</v>
      </c>
      <c r="C31" s="98" t="s">
        <v>86</v>
      </c>
      <c r="D31" s="98" t="s">
        <v>53</v>
      </c>
      <c r="E31" s="133" t="s">
        <v>71</v>
      </c>
      <c r="F31" s="134"/>
      <c r="G31" s="100" t="n">
        <v>189476.55</v>
      </c>
      <c r="H31" s="100" t="n">
        <v>75790.62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</row>
    <row r="32" customFormat="false" ht="14.25" hidden="false" customHeight="true" outlineLevel="0" collapsed="false">
      <c r="A32" s="132" t="s">
        <v>702</v>
      </c>
      <c r="B32" s="98" t="s">
        <v>703</v>
      </c>
      <c r="C32" s="98" t="s">
        <v>704</v>
      </c>
      <c r="D32" s="98" t="s">
        <v>53</v>
      </c>
      <c r="E32" s="133" t="s">
        <v>71</v>
      </c>
      <c r="F32" s="134"/>
      <c r="G32" s="100" t="n">
        <v>230327.55</v>
      </c>
      <c r="H32" s="100" t="n">
        <v>92131.02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</row>
    <row r="33" customFormat="false" ht="14.25" hidden="false" customHeight="true" outlineLevel="0" collapsed="false">
      <c r="A33" s="132" t="s">
        <v>705</v>
      </c>
      <c r="B33" s="98" t="s">
        <v>706</v>
      </c>
      <c r="C33" s="98" t="s">
        <v>565</v>
      </c>
      <c r="D33" s="98" t="s">
        <v>53</v>
      </c>
      <c r="E33" s="133" t="s">
        <v>71</v>
      </c>
      <c r="F33" s="134"/>
      <c r="G33" s="100" t="n">
        <v>206177.4</v>
      </c>
      <c r="H33" s="100" t="n">
        <v>82470.96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</row>
    <row r="34" customFormat="false" ht="14.25" hidden="false" customHeight="true" outlineLevel="0" collapsed="false">
      <c r="A34" s="132" t="s">
        <v>707</v>
      </c>
      <c r="B34" s="98" t="s">
        <v>69</v>
      </c>
      <c r="C34" s="98" t="s">
        <v>693</v>
      </c>
      <c r="D34" s="98" t="s">
        <v>69</v>
      </c>
      <c r="E34" s="133" t="s">
        <v>71</v>
      </c>
      <c r="F34" s="134"/>
      <c r="G34" s="100" t="n">
        <v>202853.25</v>
      </c>
      <c r="H34" s="100" t="n">
        <v>81141.3</v>
      </c>
      <c r="I34" s="135" t="s">
        <v>1878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</row>
    <row r="35" customFormat="false" ht="14.25" hidden="false" customHeight="true" outlineLevel="0" collapsed="false">
      <c r="A35" s="44"/>
      <c r="B35" s="96" t="s">
        <v>699</v>
      </c>
      <c r="C35" s="96" t="s">
        <v>1876</v>
      </c>
      <c r="D35" s="96"/>
      <c r="E35" s="96"/>
      <c r="F35" s="96"/>
      <c r="G35" s="131" t="n">
        <v>2127273.65</v>
      </c>
      <c r="H35" s="131" t="n">
        <v>1753930.65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</row>
    <row r="36" customFormat="false" ht="14.25" hidden="false" customHeight="true" outlineLevel="0" collapsed="false">
      <c r="A36" s="132" t="s">
        <v>708</v>
      </c>
      <c r="B36" s="98" t="s">
        <v>709</v>
      </c>
      <c r="C36" s="98" t="s">
        <v>617</v>
      </c>
      <c r="D36" s="98" t="s">
        <v>53</v>
      </c>
      <c r="E36" s="133" t="s">
        <v>53</v>
      </c>
      <c r="F36" s="134"/>
      <c r="G36" s="100" t="n">
        <v>235494</v>
      </c>
      <c r="H36" s="100" t="n">
        <v>235494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</row>
    <row r="37" customFormat="false" ht="14.25" hidden="false" customHeight="true" outlineLevel="0" collapsed="false">
      <c r="A37" s="132" t="s">
        <v>710</v>
      </c>
      <c r="B37" s="98" t="s">
        <v>711</v>
      </c>
      <c r="C37" s="98" t="s">
        <v>84</v>
      </c>
      <c r="D37" s="98" t="s">
        <v>53</v>
      </c>
      <c r="E37" s="133" t="s">
        <v>53</v>
      </c>
      <c r="F37" s="134"/>
      <c r="G37" s="100" t="n">
        <v>257481.45</v>
      </c>
      <c r="H37" s="100" t="n">
        <v>257481.45</v>
      </c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</row>
    <row r="38" customFormat="false" ht="14.25" hidden="false" customHeight="true" outlineLevel="0" collapsed="false">
      <c r="A38" s="132" t="s">
        <v>712</v>
      </c>
      <c r="B38" s="98" t="s">
        <v>713</v>
      </c>
      <c r="C38" s="98" t="s">
        <v>617</v>
      </c>
      <c r="D38" s="98" t="s">
        <v>53</v>
      </c>
      <c r="E38" s="133" t="s">
        <v>53</v>
      </c>
      <c r="F38" s="134"/>
      <c r="G38" s="100" t="n">
        <v>215388.9</v>
      </c>
      <c r="H38" s="100" t="n">
        <v>215388.9</v>
      </c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</row>
    <row r="39" customFormat="false" ht="14.25" hidden="false" customHeight="true" outlineLevel="0" collapsed="false">
      <c r="A39" s="132" t="s">
        <v>714</v>
      </c>
      <c r="B39" s="98" t="s">
        <v>715</v>
      </c>
      <c r="C39" s="98" t="s">
        <v>617</v>
      </c>
      <c r="D39" s="98" t="s">
        <v>53</v>
      </c>
      <c r="E39" s="133" t="s">
        <v>53</v>
      </c>
      <c r="F39" s="134"/>
      <c r="G39" s="100" t="n">
        <v>209394.75</v>
      </c>
      <c r="H39" s="100" t="n">
        <v>209394.75</v>
      </c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</row>
    <row r="40" customFormat="false" ht="14.25" hidden="false" customHeight="true" outlineLevel="0" collapsed="false">
      <c r="A40" s="132" t="s">
        <v>716</v>
      </c>
      <c r="B40" s="98" t="s">
        <v>717</v>
      </c>
      <c r="C40" s="98" t="s">
        <v>718</v>
      </c>
      <c r="D40" s="98" t="s">
        <v>53</v>
      </c>
      <c r="E40" s="133" t="s">
        <v>53</v>
      </c>
      <c r="F40" s="134"/>
      <c r="G40" s="100" t="n">
        <v>213600</v>
      </c>
      <c r="H40" s="100" t="n">
        <v>213600</v>
      </c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</row>
    <row r="41" customFormat="false" ht="14.25" hidden="false" customHeight="true" outlineLevel="0" collapsed="false">
      <c r="A41" s="132" t="s">
        <v>719</v>
      </c>
      <c r="B41" s="98" t="s">
        <v>720</v>
      </c>
      <c r="C41" s="98" t="s">
        <v>57</v>
      </c>
      <c r="D41" s="98" t="s">
        <v>53</v>
      </c>
      <c r="E41" s="133" t="s">
        <v>53</v>
      </c>
      <c r="F41" s="134"/>
      <c r="G41" s="100" t="n">
        <v>222090.6</v>
      </c>
      <c r="H41" s="100" t="n">
        <v>222090.6</v>
      </c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</row>
    <row r="42" customFormat="false" ht="14.25" hidden="false" customHeight="true" outlineLevel="0" collapsed="false">
      <c r="A42" s="132" t="s">
        <v>721</v>
      </c>
      <c r="B42" s="98" t="s">
        <v>722</v>
      </c>
      <c r="C42" s="98" t="s">
        <v>174</v>
      </c>
      <c r="D42" s="98" t="s">
        <v>53</v>
      </c>
      <c r="E42" s="133" t="s">
        <v>53</v>
      </c>
      <c r="F42" s="134"/>
      <c r="G42" s="100" t="n">
        <v>233331.3</v>
      </c>
      <c r="H42" s="100" t="n">
        <v>233331.3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</row>
    <row r="43" customFormat="false" ht="14.25" hidden="false" customHeight="true" outlineLevel="0" collapsed="false">
      <c r="A43" s="132" t="s">
        <v>723</v>
      </c>
      <c r="B43" s="98" t="s">
        <v>69</v>
      </c>
      <c r="C43" s="98" t="s">
        <v>77</v>
      </c>
      <c r="D43" s="98" t="s">
        <v>69</v>
      </c>
      <c r="E43" s="133" t="s">
        <v>78</v>
      </c>
      <c r="F43" s="134"/>
      <c r="G43" s="100" t="n">
        <v>202853.25</v>
      </c>
      <c r="H43" s="100" t="n">
        <v>0</v>
      </c>
      <c r="I43" s="135" t="s">
        <v>1952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</row>
    <row r="44" customFormat="false" ht="14.25" hidden="false" customHeight="true" outlineLevel="0" collapsed="false">
      <c r="A44" s="132" t="s">
        <v>724</v>
      </c>
      <c r="B44" s="98" t="s">
        <v>725</v>
      </c>
      <c r="C44" s="98" t="s">
        <v>57</v>
      </c>
      <c r="D44" s="98" t="s">
        <v>53</v>
      </c>
      <c r="E44" s="133" t="s">
        <v>53</v>
      </c>
      <c r="F44" s="134"/>
      <c r="G44" s="100" t="n">
        <v>167149.65</v>
      </c>
      <c r="H44" s="100" t="n">
        <v>167149.65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</row>
    <row r="45" customFormat="false" ht="14.25" hidden="false" customHeight="true" outlineLevel="0" collapsed="false">
      <c r="A45" s="132" t="s">
        <v>726</v>
      </c>
      <c r="B45" s="98" t="s">
        <v>69</v>
      </c>
      <c r="C45" s="98" t="s">
        <v>80</v>
      </c>
      <c r="D45" s="98" t="s">
        <v>69</v>
      </c>
      <c r="E45" s="133" t="s">
        <v>78</v>
      </c>
      <c r="F45" s="134"/>
      <c r="G45" s="100" t="n">
        <v>170489.75</v>
      </c>
      <c r="H45" s="100" t="n">
        <v>0</v>
      </c>
      <c r="I45" s="135" t="s">
        <v>1952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</row>
    <row r="46" customFormat="false" ht="14.25" hidden="false" customHeight="true" outlineLevel="0" collapsed="false">
      <c r="A46" s="44"/>
      <c r="B46" s="96" t="s">
        <v>756</v>
      </c>
      <c r="C46" s="96" t="s">
        <v>1884</v>
      </c>
      <c r="D46" s="96"/>
      <c r="E46" s="96"/>
      <c r="F46" s="96"/>
      <c r="G46" s="131" t="n">
        <v>256667.1</v>
      </c>
      <c r="H46" s="131" t="n">
        <v>256667.1</v>
      </c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</row>
    <row r="47" customFormat="false" ht="14.25" hidden="false" customHeight="true" outlineLevel="0" collapsed="false">
      <c r="A47" s="132" t="s">
        <v>757</v>
      </c>
      <c r="B47" s="98" t="s">
        <v>758</v>
      </c>
      <c r="C47" s="98" t="s">
        <v>52</v>
      </c>
      <c r="D47" s="98" t="s">
        <v>53</v>
      </c>
      <c r="E47" s="133" t="s">
        <v>53</v>
      </c>
      <c r="F47" s="134"/>
      <c r="G47" s="100" t="n">
        <v>256667.1</v>
      </c>
      <c r="H47" s="100" t="n">
        <v>256667.1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</row>
    <row r="48" customFormat="false" ht="14.25" hidden="false" customHeight="true" outlineLevel="0" collapsed="false">
      <c r="A48" s="44"/>
      <c r="B48" s="96" t="s">
        <v>696</v>
      </c>
      <c r="C48" s="96" t="s">
        <v>1910</v>
      </c>
      <c r="D48" s="96"/>
      <c r="E48" s="96"/>
      <c r="F48" s="96"/>
      <c r="G48" s="131" t="n">
        <v>1914773.3</v>
      </c>
      <c r="H48" s="131" t="n">
        <v>1512594.3</v>
      </c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</row>
    <row r="49" customFormat="false" ht="14.25" hidden="false" customHeight="true" outlineLevel="0" collapsed="false">
      <c r="A49" s="132" t="s">
        <v>727</v>
      </c>
      <c r="B49" s="98" t="s">
        <v>728</v>
      </c>
      <c r="C49" s="98" t="s">
        <v>617</v>
      </c>
      <c r="D49" s="98" t="s">
        <v>53</v>
      </c>
      <c r="E49" s="133" t="s">
        <v>53</v>
      </c>
      <c r="F49" s="134"/>
      <c r="G49" s="100" t="n">
        <v>225051.95</v>
      </c>
      <c r="H49" s="100" t="n">
        <v>225051.95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</row>
    <row r="50" customFormat="false" ht="14.25" hidden="false" customHeight="true" outlineLevel="0" collapsed="false">
      <c r="A50" s="132" t="s">
        <v>729</v>
      </c>
      <c r="B50" s="98" t="s">
        <v>730</v>
      </c>
      <c r="C50" s="98" t="s">
        <v>731</v>
      </c>
      <c r="D50" s="98" t="s">
        <v>53</v>
      </c>
      <c r="E50" s="133" t="s">
        <v>53</v>
      </c>
      <c r="F50" s="134"/>
      <c r="G50" s="100" t="n">
        <v>257693.9</v>
      </c>
      <c r="H50" s="100" t="n">
        <v>257693.9</v>
      </c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</row>
    <row r="51" customFormat="false" ht="14.25" hidden="false" customHeight="true" outlineLevel="0" collapsed="false">
      <c r="A51" s="132" t="s">
        <v>732</v>
      </c>
      <c r="B51" s="98" t="s">
        <v>69</v>
      </c>
      <c r="C51" s="98" t="s">
        <v>52</v>
      </c>
      <c r="D51" s="98" t="s">
        <v>69</v>
      </c>
      <c r="E51" s="133" t="s">
        <v>78</v>
      </c>
      <c r="F51" s="134"/>
      <c r="G51" s="100" t="n">
        <v>231689.25</v>
      </c>
      <c r="H51" s="100" t="n">
        <v>0</v>
      </c>
      <c r="I51" s="135" t="s">
        <v>1952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</row>
    <row r="52" customFormat="false" ht="14.25" hidden="false" customHeight="true" outlineLevel="0" collapsed="false">
      <c r="A52" s="132" t="s">
        <v>733</v>
      </c>
      <c r="B52" s="98" t="s">
        <v>734</v>
      </c>
      <c r="C52" s="98" t="s">
        <v>84</v>
      </c>
      <c r="D52" s="98" t="s">
        <v>53</v>
      </c>
      <c r="E52" s="133" t="s">
        <v>53</v>
      </c>
      <c r="F52" s="134"/>
      <c r="G52" s="100" t="n">
        <v>256466.85</v>
      </c>
      <c r="H52" s="100" t="n">
        <v>256466.85</v>
      </c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</row>
    <row r="53" customFormat="false" ht="14.25" hidden="false" customHeight="true" outlineLevel="0" collapsed="false">
      <c r="A53" s="132" t="s">
        <v>735</v>
      </c>
      <c r="B53" s="98" t="s">
        <v>736</v>
      </c>
      <c r="C53" s="98" t="s">
        <v>263</v>
      </c>
      <c r="D53" s="98" t="s">
        <v>53</v>
      </c>
      <c r="E53" s="133" t="s">
        <v>53</v>
      </c>
      <c r="F53" s="134"/>
      <c r="G53" s="100" t="n">
        <v>193575</v>
      </c>
      <c r="H53" s="100" t="n">
        <v>193575</v>
      </c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</row>
    <row r="54" customFormat="false" ht="14.25" hidden="false" customHeight="true" outlineLevel="0" collapsed="false">
      <c r="A54" s="132" t="s">
        <v>737</v>
      </c>
      <c r="B54" s="98" t="s">
        <v>738</v>
      </c>
      <c r="C54" s="98" t="s">
        <v>617</v>
      </c>
      <c r="D54" s="98" t="s">
        <v>53</v>
      </c>
      <c r="E54" s="133" t="s">
        <v>53</v>
      </c>
      <c r="F54" s="134"/>
      <c r="G54" s="100" t="n">
        <v>213359.7</v>
      </c>
      <c r="H54" s="100" t="n">
        <v>213359.7</v>
      </c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</row>
    <row r="55" customFormat="false" ht="14.25" hidden="false" customHeight="true" outlineLevel="0" collapsed="false">
      <c r="A55" s="132" t="s">
        <v>739</v>
      </c>
      <c r="B55" s="98" t="s">
        <v>740</v>
      </c>
      <c r="C55" s="98" t="s">
        <v>174</v>
      </c>
      <c r="D55" s="98" t="s">
        <v>53</v>
      </c>
      <c r="E55" s="133" t="s">
        <v>53</v>
      </c>
      <c r="F55" s="134"/>
      <c r="G55" s="100" t="n">
        <v>221796.9</v>
      </c>
      <c r="H55" s="100" t="n">
        <v>221796.9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</row>
    <row r="56" customFormat="false" ht="14.25" hidden="false" customHeight="true" outlineLevel="0" collapsed="false">
      <c r="A56" s="132" t="s">
        <v>741</v>
      </c>
      <c r="B56" s="98" t="s">
        <v>742</v>
      </c>
      <c r="C56" s="98" t="s">
        <v>526</v>
      </c>
      <c r="D56" s="98" t="s">
        <v>53</v>
      </c>
      <c r="E56" s="133" t="s">
        <v>53</v>
      </c>
      <c r="F56" s="134"/>
      <c r="G56" s="100" t="n">
        <v>144650</v>
      </c>
      <c r="H56" s="100" t="n">
        <v>144650</v>
      </c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</row>
    <row r="57" customFormat="false" ht="14.25" hidden="false" customHeight="true" outlineLevel="0" collapsed="false">
      <c r="A57" s="132" t="s">
        <v>743</v>
      </c>
      <c r="B57" s="98" t="s">
        <v>69</v>
      </c>
      <c r="C57" s="98" t="s">
        <v>80</v>
      </c>
      <c r="D57" s="98" t="s">
        <v>69</v>
      </c>
      <c r="E57" s="133" t="s">
        <v>78</v>
      </c>
      <c r="F57" s="134"/>
      <c r="G57" s="100" t="n">
        <v>170489.75</v>
      </c>
      <c r="H57" s="100" t="n">
        <v>0</v>
      </c>
      <c r="I57" s="135" t="s">
        <v>1952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</row>
    <row r="58" customFormat="false" ht="14.25" hidden="false" customHeight="true" outlineLevel="0" collapsed="false">
      <c r="A58" s="44"/>
      <c r="B58" s="96" t="s">
        <v>690</v>
      </c>
      <c r="C58" s="96" t="s">
        <v>1879</v>
      </c>
      <c r="D58" s="96"/>
      <c r="E58" s="96"/>
      <c r="F58" s="96"/>
      <c r="G58" s="131" t="n">
        <v>741335.29</v>
      </c>
      <c r="H58" s="131" t="n">
        <v>741335.29</v>
      </c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</row>
    <row r="59" customFormat="false" ht="14.25" hidden="false" customHeight="true" outlineLevel="0" collapsed="false">
      <c r="A59" s="132" t="s">
        <v>744</v>
      </c>
      <c r="B59" s="98" t="s">
        <v>745</v>
      </c>
      <c r="C59" s="98" t="s">
        <v>746</v>
      </c>
      <c r="D59" s="98" t="s">
        <v>53</v>
      </c>
      <c r="E59" s="133" t="s">
        <v>53</v>
      </c>
      <c r="F59" s="134"/>
      <c r="G59" s="100" t="n">
        <v>162936.39</v>
      </c>
      <c r="H59" s="100" t="n">
        <v>162936.39</v>
      </c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</row>
    <row r="60" customFormat="false" ht="14.25" hidden="false" customHeight="true" outlineLevel="0" collapsed="false">
      <c r="A60" s="132" t="s">
        <v>747</v>
      </c>
      <c r="B60" s="98" t="s">
        <v>748</v>
      </c>
      <c r="C60" s="98" t="s">
        <v>746</v>
      </c>
      <c r="D60" s="98" t="s">
        <v>53</v>
      </c>
      <c r="E60" s="133" t="s">
        <v>53</v>
      </c>
      <c r="F60" s="134"/>
      <c r="G60" s="100" t="n">
        <v>153697.2</v>
      </c>
      <c r="H60" s="100" t="n">
        <v>153697.2</v>
      </c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</row>
    <row r="61" customFormat="false" ht="14.25" hidden="false" customHeight="true" outlineLevel="0" collapsed="false">
      <c r="A61" s="132" t="s">
        <v>749</v>
      </c>
      <c r="B61" s="98" t="s">
        <v>750</v>
      </c>
      <c r="C61" s="98" t="s">
        <v>746</v>
      </c>
      <c r="D61" s="98" t="s">
        <v>53</v>
      </c>
      <c r="E61" s="133" t="s">
        <v>53</v>
      </c>
      <c r="F61" s="134"/>
      <c r="G61" s="100" t="n">
        <v>146727.7</v>
      </c>
      <c r="H61" s="100" t="n">
        <v>146727.7</v>
      </c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</row>
    <row r="62" customFormat="false" ht="14.25" hidden="false" customHeight="true" outlineLevel="0" collapsed="false">
      <c r="A62" s="132" t="s">
        <v>751</v>
      </c>
      <c r="B62" s="98" t="s">
        <v>752</v>
      </c>
      <c r="C62" s="98" t="s">
        <v>753</v>
      </c>
      <c r="D62" s="98" t="s">
        <v>53</v>
      </c>
      <c r="E62" s="133" t="s">
        <v>53</v>
      </c>
      <c r="F62" s="134"/>
      <c r="G62" s="100" t="n">
        <v>171291.9</v>
      </c>
      <c r="H62" s="100" t="n">
        <v>171291.9</v>
      </c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</row>
    <row r="63" customFormat="false" ht="14.25" hidden="false" customHeight="true" outlineLevel="0" collapsed="false">
      <c r="A63" s="132" t="s">
        <v>754</v>
      </c>
      <c r="B63" s="98" t="s">
        <v>755</v>
      </c>
      <c r="C63" s="98" t="s">
        <v>746</v>
      </c>
      <c r="D63" s="98" t="s">
        <v>53</v>
      </c>
      <c r="E63" s="133" t="s">
        <v>53</v>
      </c>
      <c r="F63" s="134"/>
      <c r="G63" s="100" t="n">
        <v>106682.1</v>
      </c>
      <c r="H63" s="100" t="n">
        <v>106682.1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</row>
    <row r="64" customFormat="false" ht="14.25" hidden="false" customHeight="true" outlineLevel="0" collapsed="false">
      <c r="A64" s="44"/>
      <c r="B64" s="96" t="s">
        <v>199</v>
      </c>
      <c r="C64" s="96" t="s">
        <v>1884</v>
      </c>
      <c r="D64" s="96"/>
      <c r="E64" s="96"/>
      <c r="F64" s="96"/>
      <c r="G64" s="131" t="n">
        <v>363626.7</v>
      </c>
      <c r="H64" s="131" t="n">
        <v>363626.7</v>
      </c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</row>
    <row r="65" customFormat="false" ht="14.25" hidden="false" customHeight="true" outlineLevel="0" collapsed="false">
      <c r="A65" s="132" t="s">
        <v>759</v>
      </c>
      <c r="B65" s="98" t="s">
        <v>760</v>
      </c>
      <c r="C65" s="98" t="s">
        <v>761</v>
      </c>
      <c r="D65" s="98" t="s">
        <v>53</v>
      </c>
      <c r="E65" s="133" t="s">
        <v>53</v>
      </c>
      <c r="F65" s="134"/>
      <c r="G65" s="100" t="n">
        <v>363626.7</v>
      </c>
      <c r="H65" s="100" t="n">
        <v>363626.7</v>
      </c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</row>
    <row r="66" customFormat="false" ht="14.25" hidden="false" customHeight="true" outlineLevel="0" collapsed="false">
      <c r="A66" s="44"/>
      <c r="B66" s="96" t="s">
        <v>203</v>
      </c>
      <c r="C66" s="96" t="s">
        <v>1884</v>
      </c>
      <c r="D66" s="96"/>
      <c r="E66" s="96"/>
      <c r="F66" s="96"/>
      <c r="G66" s="131" t="n">
        <v>316744.8</v>
      </c>
      <c r="H66" s="131" t="n">
        <v>316744.8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</row>
    <row r="67" customFormat="false" ht="14.25" hidden="false" customHeight="true" outlineLevel="0" collapsed="false">
      <c r="A67" s="132" t="s">
        <v>762</v>
      </c>
      <c r="B67" s="98" t="s">
        <v>763</v>
      </c>
      <c r="C67" s="98" t="s">
        <v>682</v>
      </c>
      <c r="D67" s="98" t="s">
        <v>53</v>
      </c>
      <c r="E67" s="133" t="s">
        <v>53</v>
      </c>
      <c r="F67" s="134"/>
      <c r="G67" s="100" t="n">
        <v>316744.8</v>
      </c>
      <c r="H67" s="100" t="n">
        <v>316744.8</v>
      </c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</row>
    <row r="68" customFormat="false" ht="14.25" hidden="false" customHeight="true" outlineLevel="0" collapsed="false">
      <c r="A68" s="44"/>
      <c r="B68" s="96" t="s">
        <v>206</v>
      </c>
      <c r="C68" s="96" t="s">
        <v>1913</v>
      </c>
      <c r="D68" s="96"/>
      <c r="E68" s="96"/>
      <c r="F68" s="96"/>
      <c r="G68" s="131" t="n">
        <v>524886.35</v>
      </c>
      <c r="H68" s="131" t="n">
        <v>524886.35</v>
      </c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</row>
    <row r="69" customFormat="false" ht="14.25" hidden="false" customHeight="true" outlineLevel="0" collapsed="false">
      <c r="A69" s="132" t="s">
        <v>764</v>
      </c>
      <c r="B69" s="98" t="s">
        <v>765</v>
      </c>
      <c r="C69" s="98" t="s">
        <v>766</v>
      </c>
      <c r="D69" s="98" t="s">
        <v>53</v>
      </c>
      <c r="E69" s="133" t="s">
        <v>53</v>
      </c>
      <c r="F69" s="134"/>
      <c r="G69" s="100" t="n">
        <v>249076.1</v>
      </c>
      <c r="H69" s="100" t="n">
        <v>249076.1</v>
      </c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</row>
    <row r="70" customFormat="false" ht="14.25" hidden="false" customHeight="true" outlineLevel="0" collapsed="false">
      <c r="A70" s="132" t="s">
        <v>767</v>
      </c>
      <c r="B70" s="98" t="s">
        <v>69</v>
      </c>
      <c r="C70" s="98" t="s">
        <v>768</v>
      </c>
      <c r="D70" s="98" t="s">
        <v>69</v>
      </c>
      <c r="E70" s="133" t="s">
        <v>82</v>
      </c>
      <c r="F70" s="134"/>
      <c r="G70" s="100" t="n">
        <v>275810.25</v>
      </c>
      <c r="H70" s="100" t="n">
        <v>275810.25</v>
      </c>
      <c r="I70" s="135" t="s">
        <v>1925</v>
      </c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</row>
    <row r="71" customFormat="false" ht="15" hidden="false" customHeight="false" outlineLevel="0" collapsed="false">
      <c r="A71" s="44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</row>
    <row r="72" customFormat="false" ht="14.25" hidden="false" customHeight="true" outlineLevel="0" collapsed="false">
      <c r="A72" s="44"/>
      <c r="B72" s="126" t="s">
        <v>1886</v>
      </c>
      <c r="C72" s="44"/>
      <c r="D72" s="44"/>
      <c r="E72" s="44"/>
      <c r="F72" s="44"/>
      <c r="G72" s="44"/>
      <c r="H72" s="44"/>
      <c r="I72" s="44"/>
      <c r="J72" s="44"/>
      <c r="K72" s="136" t="n">
        <v>1</v>
      </c>
      <c r="L72" s="136" t="n">
        <v>2</v>
      </c>
      <c r="M72" s="136" t="n">
        <v>4</v>
      </c>
      <c r="N72" s="136" t="n">
        <v>0</v>
      </c>
      <c r="O72" s="136" t="n">
        <v>3</v>
      </c>
      <c r="P72" s="44"/>
      <c r="Q72" s="44"/>
      <c r="R72" s="44"/>
      <c r="S72" s="44"/>
      <c r="T72" s="44"/>
      <c r="U72" s="44"/>
      <c r="V72" s="44"/>
      <c r="W72" s="44"/>
      <c r="X72" s="44"/>
      <c r="Y72" s="44"/>
    </row>
  </sheetData>
  <mergeCells count="1"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customFormat="false" ht="21" hidden="false" customHeight="true" outlineLevel="0" collapsed="false">
      <c r="A2" s="44"/>
      <c r="B2" s="81" t="s">
        <v>1953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customFormat="false" ht="14.25" hidden="false" customHeight="true" outlineLevel="0" collapsed="false">
      <c r="A3" s="44"/>
      <c r="B3" s="82" t="s">
        <v>1165</v>
      </c>
      <c r="C3" s="73" t="s">
        <v>22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customFormat="false" ht="18.75" hidden="false" customHeight="true" outlineLevel="0" collapsed="false">
      <c r="A4" s="44"/>
      <c r="B4" s="83" t="s">
        <v>1954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44"/>
      <c r="V4" s="44"/>
      <c r="W4" s="86" t="s">
        <v>1821</v>
      </c>
      <c r="X4" s="87"/>
      <c r="Y4" s="44"/>
      <c r="Z4" s="44"/>
    </row>
    <row r="5" customFormat="false" ht="6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89" t="s">
        <v>1822</v>
      </c>
      <c r="X5" s="90" t="n">
        <v>2.5</v>
      </c>
      <c r="Y5" s="44"/>
      <c r="Z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2" t="s">
        <v>1835</v>
      </c>
      <c r="S6" s="92" t="s">
        <v>1836</v>
      </c>
      <c r="T6" s="91" t="s">
        <v>1837</v>
      </c>
      <c r="U6" s="93" t="s">
        <v>1189</v>
      </c>
      <c r="V6" s="44"/>
      <c r="W6" s="137" t="s">
        <v>1838</v>
      </c>
      <c r="X6" s="138" t="n">
        <v>2.5</v>
      </c>
      <c r="Y6" s="44"/>
      <c r="Z6" s="44"/>
    </row>
    <row r="7" customFormat="false" ht="14.25" hidden="false" customHeight="true" outlineLevel="0" collapsed="false">
      <c r="A7" s="44"/>
      <c r="B7" s="96" t="s">
        <v>1164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44"/>
      <c r="V7" s="44"/>
      <c r="W7" s="139" t="s">
        <v>1839</v>
      </c>
      <c r="X7" s="138" t="n">
        <v>0</v>
      </c>
      <c r="Y7" s="44"/>
      <c r="Z7" s="44"/>
    </row>
    <row r="8" customFormat="false" ht="14.25" hidden="false" customHeight="true" outlineLevel="0" collapsed="false">
      <c r="A8" s="44"/>
      <c r="B8" s="98" t="s">
        <v>613</v>
      </c>
      <c r="C8" s="98" t="s">
        <v>1840</v>
      </c>
      <c r="D8" s="98" t="s">
        <v>1890</v>
      </c>
      <c r="E8" s="99" t="n">
        <v>14</v>
      </c>
      <c r="F8" s="100" t="n">
        <v>14</v>
      </c>
      <c r="G8" s="99" t="n">
        <v>14</v>
      </c>
      <c r="H8" s="100" t="n">
        <v>11</v>
      </c>
      <c r="I8" s="100" t="n">
        <v>3</v>
      </c>
      <c r="J8" s="100" t="n">
        <v>1</v>
      </c>
      <c r="K8" s="100" t="n">
        <v>0</v>
      </c>
      <c r="L8" s="100" t="n">
        <v>2</v>
      </c>
      <c r="M8" s="100" t="n">
        <v>12</v>
      </c>
      <c r="N8" s="101" t="n">
        <v>3.2</v>
      </c>
      <c r="O8" s="101" t="n">
        <v>2.59351107</v>
      </c>
      <c r="P8" s="101" t="n">
        <v>0</v>
      </c>
      <c r="Q8" s="101" t="n">
        <v>2.59351107</v>
      </c>
      <c r="R8" s="101" t="n">
        <v>-0.606489</v>
      </c>
      <c r="S8" s="101" t="n">
        <v>2.18780457</v>
      </c>
      <c r="T8" s="101" t="n">
        <v>-1.012195</v>
      </c>
      <c r="U8" s="102" t="n">
        <v>0.1</v>
      </c>
      <c r="V8" s="44"/>
      <c r="W8" s="140" t="s">
        <v>1842</v>
      </c>
      <c r="X8" s="156" t="n">
        <v>-0.4125</v>
      </c>
      <c r="Y8" s="44"/>
      <c r="Z8" s="44"/>
    </row>
    <row r="9" customFormat="false" ht="14.25" hidden="false" customHeight="true" outlineLevel="0" collapsed="false">
      <c r="A9" s="44"/>
      <c r="B9" s="98" t="s">
        <v>614</v>
      </c>
      <c r="C9" s="98" t="s">
        <v>1891</v>
      </c>
      <c r="D9" s="98" t="s">
        <v>1846</v>
      </c>
      <c r="E9" s="99" t="n">
        <v>4.5</v>
      </c>
      <c r="F9" s="100" t="n">
        <v>6</v>
      </c>
      <c r="G9" s="99" t="n">
        <v>6</v>
      </c>
      <c r="H9" s="100" t="n">
        <v>6</v>
      </c>
      <c r="I9" s="100" t="n">
        <v>0</v>
      </c>
      <c r="J9" s="100" t="n">
        <v>0</v>
      </c>
      <c r="K9" s="100" t="n">
        <v>0</v>
      </c>
      <c r="L9" s="100" t="n">
        <v>0</v>
      </c>
      <c r="M9" s="100" t="n">
        <v>6</v>
      </c>
      <c r="N9" s="101" t="n">
        <v>0.8</v>
      </c>
      <c r="O9" s="101" t="n">
        <v>0.930799292</v>
      </c>
      <c r="P9" s="101" t="n">
        <v>0</v>
      </c>
      <c r="Q9" s="101" t="n">
        <v>0.930799292</v>
      </c>
      <c r="R9" s="101" t="n">
        <v>0.130799</v>
      </c>
      <c r="S9" s="101" t="n">
        <v>0.930799292</v>
      </c>
      <c r="T9" s="101" t="n">
        <v>0.130799</v>
      </c>
      <c r="U9" s="102" t="n">
        <v>0.15</v>
      </c>
      <c r="V9" s="44"/>
      <c r="W9" s="140" t="s">
        <v>1844</v>
      </c>
      <c r="X9" s="156" t="n">
        <v>0</v>
      </c>
      <c r="Y9" s="44"/>
      <c r="Z9" s="44"/>
    </row>
    <row r="10" customFormat="false" ht="14.25" hidden="false" customHeight="true" outlineLevel="0" collapsed="false">
      <c r="A10" s="44"/>
      <c r="B10" s="98" t="s">
        <v>436</v>
      </c>
      <c r="C10" s="98" t="s">
        <v>1891</v>
      </c>
      <c r="D10" s="98" t="s">
        <v>1841</v>
      </c>
      <c r="E10" s="99" t="n">
        <v>9</v>
      </c>
      <c r="F10" s="100" t="n">
        <v>9</v>
      </c>
      <c r="G10" s="99" t="n">
        <v>9</v>
      </c>
      <c r="H10" s="100" t="n">
        <v>6</v>
      </c>
      <c r="I10" s="100" t="n">
        <v>3</v>
      </c>
      <c r="J10" s="100" t="n">
        <v>3</v>
      </c>
      <c r="K10" s="100" t="n">
        <v>0</v>
      </c>
      <c r="L10" s="100" t="n">
        <v>0</v>
      </c>
      <c r="M10" s="100" t="n">
        <v>9</v>
      </c>
      <c r="N10" s="101" t="n">
        <v>2</v>
      </c>
      <c r="O10" s="101" t="n">
        <v>1.763592176</v>
      </c>
      <c r="P10" s="101" t="n">
        <v>0</v>
      </c>
      <c r="Q10" s="101" t="n">
        <v>1.763592176</v>
      </c>
      <c r="R10" s="101" t="n">
        <v>-0.236408</v>
      </c>
      <c r="S10" s="101" t="n">
        <v>1.7128788635</v>
      </c>
      <c r="T10" s="101" t="n">
        <v>-0.287121</v>
      </c>
      <c r="U10" s="102" t="n">
        <v>0.15</v>
      </c>
      <c r="V10" s="44"/>
      <c r="W10" s="182" t="s">
        <v>1847</v>
      </c>
      <c r="X10" s="180" t="n">
        <v>-0.4125</v>
      </c>
      <c r="Y10" s="44"/>
      <c r="Z10" s="44"/>
    </row>
    <row r="11" customFormat="false" ht="14.25" hidden="false" customHeight="true" outlineLevel="0" collapsed="false">
      <c r="A11" s="44"/>
      <c r="B11" s="114" t="s">
        <v>1852</v>
      </c>
      <c r="C11" s="114"/>
      <c r="D11" s="114"/>
      <c r="E11" s="115" t="n">
        <v>27.5</v>
      </c>
      <c r="F11" s="116" t="n">
        <v>29</v>
      </c>
      <c r="G11" s="115" t="n">
        <v>29</v>
      </c>
      <c r="H11" s="116" t="n">
        <v>23</v>
      </c>
      <c r="I11" s="116" t="n">
        <v>6</v>
      </c>
      <c r="J11" s="116" t="n">
        <v>4</v>
      </c>
      <c r="K11" s="116" t="n">
        <v>0</v>
      </c>
      <c r="L11" s="116" t="n">
        <v>2</v>
      </c>
      <c r="M11" s="116" t="n">
        <v>27</v>
      </c>
      <c r="N11" s="117" t="n">
        <v>6</v>
      </c>
      <c r="O11" s="117" t="n">
        <v>5.287902538</v>
      </c>
      <c r="P11" s="117" t="n">
        <v>0</v>
      </c>
      <c r="Q11" s="117" t="n">
        <v>5.287902538</v>
      </c>
      <c r="R11" s="117" t="n">
        <v>-0.712097</v>
      </c>
      <c r="S11" s="117" t="n">
        <v>4.8314827255</v>
      </c>
      <c r="T11" s="117" t="n">
        <v>-1.168517</v>
      </c>
      <c r="U11" s="44"/>
      <c r="V11" s="44"/>
      <c r="W11" s="183" t="s">
        <v>1848</v>
      </c>
      <c r="X11" s="162"/>
      <c r="Y11" s="85"/>
      <c r="Z11" s="44"/>
    </row>
    <row r="12" customFormat="false" ht="14.25" hidden="false" customHeight="true" outlineLevel="0" collapsed="false">
      <c r="A12" s="44"/>
      <c r="B12" s="96" t="s">
        <v>1861</v>
      </c>
      <c r="C12" s="96"/>
      <c r="D12" s="96"/>
      <c r="E12" s="96"/>
      <c r="F12" s="96"/>
      <c r="G12" s="96"/>
      <c r="H12" s="96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44"/>
      <c r="V12" s="44"/>
      <c r="W12" s="169" t="s">
        <v>1849</v>
      </c>
      <c r="X12" s="169" t="s">
        <v>1264</v>
      </c>
      <c r="Y12" s="170" t="s">
        <v>1850</v>
      </c>
      <c r="Z12" s="44"/>
    </row>
    <row r="13" customFormat="false" ht="14.25" hidden="false" customHeight="true" outlineLevel="0" collapsed="false">
      <c r="A13" s="44"/>
      <c r="B13" s="98" t="s">
        <v>199</v>
      </c>
      <c r="C13" s="98"/>
      <c r="D13" s="98"/>
      <c r="E13" s="99" t="n">
        <v>0.5</v>
      </c>
      <c r="F13" s="100" t="n">
        <v>1</v>
      </c>
      <c r="G13" s="99" t="n">
        <v>1</v>
      </c>
      <c r="H13" s="100" t="n">
        <v>1</v>
      </c>
      <c r="I13" s="100" t="n">
        <v>0</v>
      </c>
      <c r="J13" s="100" t="n">
        <v>0</v>
      </c>
      <c r="K13" s="100" t="n">
        <v>0</v>
      </c>
      <c r="L13" s="100" t="n">
        <v>0</v>
      </c>
      <c r="M13" s="100" t="n">
        <v>1</v>
      </c>
      <c r="N13" s="101" t="n">
        <v>0.1375</v>
      </c>
      <c r="O13" s="101" t="n">
        <v>0.273758</v>
      </c>
      <c r="P13" s="101" t="n">
        <v>0</v>
      </c>
      <c r="Q13" s="101" t="n">
        <v>0.273758</v>
      </c>
      <c r="R13" s="101" t="n">
        <v>0.136258</v>
      </c>
      <c r="S13" s="101" t="n">
        <v>0.273758</v>
      </c>
      <c r="T13" s="101" t="n">
        <v>0.136258</v>
      </c>
      <c r="U13" s="44"/>
      <c r="V13" s="44"/>
      <c r="W13" s="171" t="s">
        <v>1955</v>
      </c>
      <c r="X13" s="161" t="n">
        <v>3.9</v>
      </c>
      <c r="Y13" s="184"/>
      <c r="Z13" s="44"/>
    </row>
    <row r="14" customFormat="false" ht="14.25" hidden="false" customHeight="true" outlineLevel="0" collapsed="false">
      <c r="A14" s="44"/>
      <c r="B14" s="98" t="s">
        <v>203</v>
      </c>
      <c r="C14" s="98"/>
      <c r="D14" s="98"/>
      <c r="E14" s="99" t="n">
        <v>0.6</v>
      </c>
      <c r="F14" s="100" t="n">
        <v>1</v>
      </c>
      <c r="G14" s="99" t="n">
        <v>1</v>
      </c>
      <c r="H14" s="100" t="n">
        <v>0</v>
      </c>
      <c r="I14" s="100" t="n">
        <v>1</v>
      </c>
      <c r="J14" s="100" t="n">
        <v>1</v>
      </c>
      <c r="K14" s="100" t="n">
        <v>0</v>
      </c>
      <c r="L14" s="100" t="n">
        <v>0</v>
      </c>
      <c r="M14" s="100" t="n">
        <v>1</v>
      </c>
      <c r="N14" s="101" t="n">
        <v>0.168</v>
      </c>
      <c r="O14" s="101" t="n">
        <v>0.27581025</v>
      </c>
      <c r="P14" s="101" t="n">
        <v>0</v>
      </c>
      <c r="Q14" s="101" t="n">
        <v>0.27581025</v>
      </c>
      <c r="R14" s="101" t="n">
        <v>0.10781</v>
      </c>
      <c r="S14" s="101" t="n">
        <v>0.27581025</v>
      </c>
      <c r="T14" s="101" t="n">
        <v>0.10781</v>
      </c>
      <c r="U14" s="44"/>
      <c r="V14" s="44"/>
      <c r="W14" s="171" t="s">
        <v>1956</v>
      </c>
      <c r="X14" s="173" t="n">
        <v>2.5</v>
      </c>
      <c r="Y14" s="173" t="n">
        <v>2.5</v>
      </c>
      <c r="Z14" s="44"/>
    </row>
    <row r="15" customFormat="false" ht="14.25" hidden="false" customHeight="true" outlineLevel="0" collapsed="false">
      <c r="A15" s="44"/>
      <c r="B15" s="98" t="s">
        <v>206</v>
      </c>
      <c r="C15" s="98"/>
      <c r="D15" s="98"/>
      <c r="E15" s="99" t="n">
        <v>0.6</v>
      </c>
      <c r="F15" s="100" t="n">
        <v>2</v>
      </c>
      <c r="G15" s="99" t="n">
        <v>2</v>
      </c>
      <c r="H15" s="100" t="n">
        <v>2</v>
      </c>
      <c r="I15" s="100" t="n">
        <v>0</v>
      </c>
      <c r="J15" s="100" t="n">
        <v>0</v>
      </c>
      <c r="K15" s="100" t="n">
        <v>0</v>
      </c>
      <c r="L15" s="100" t="n">
        <v>0</v>
      </c>
      <c r="M15" s="100" t="n">
        <v>2</v>
      </c>
      <c r="N15" s="101" t="n">
        <v>0.162</v>
      </c>
      <c r="O15" s="101" t="n">
        <v>0.504148874</v>
      </c>
      <c r="P15" s="101" t="n">
        <v>0</v>
      </c>
      <c r="Q15" s="101" t="n">
        <v>0.504148874</v>
      </c>
      <c r="R15" s="101" t="n">
        <v>0.342149</v>
      </c>
      <c r="S15" s="101" t="n">
        <v>0.504148874</v>
      </c>
      <c r="T15" s="101" t="n">
        <v>0.342149</v>
      </c>
      <c r="U15" s="44"/>
      <c r="V15" s="44"/>
      <c r="W15" s="171" t="s">
        <v>1957</v>
      </c>
      <c r="X15" s="173" t="n">
        <v>2.5</v>
      </c>
      <c r="Y15" s="173" t="n">
        <v>2.5</v>
      </c>
      <c r="Z15" s="44"/>
    </row>
    <row r="16" customFormat="false" ht="14.25" hidden="false" customHeight="true" outlineLevel="0" collapsed="false">
      <c r="A16" s="44"/>
      <c r="B16" s="114" t="s">
        <v>1864</v>
      </c>
      <c r="C16" s="114"/>
      <c r="D16" s="114"/>
      <c r="E16" s="115" t="n">
        <v>1.7</v>
      </c>
      <c r="F16" s="116" t="n">
        <v>4</v>
      </c>
      <c r="G16" s="115" t="n">
        <v>4</v>
      </c>
      <c r="H16" s="116" t="n">
        <v>3</v>
      </c>
      <c r="I16" s="116" t="n">
        <v>1</v>
      </c>
      <c r="J16" s="116" t="n">
        <v>1</v>
      </c>
      <c r="K16" s="116" t="n">
        <v>0</v>
      </c>
      <c r="L16" s="116" t="n">
        <v>0</v>
      </c>
      <c r="M16" s="116" t="n">
        <v>4</v>
      </c>
      <c r="N16" s="117" t="n">
        <v>0.4675</v>
      </c>
      <c r="O16" s="117" t="n">
        <v>1.053717124</v>
      </c>
      <c r="P16" s="117" t="n">
        <v>0</v>
      </c>
      <c r="Q16" s="117" t="n">
        <v>1.053717124</v>
      </c>
      <c r="R16" s="117" t="n">
        <v>0.586217</v>
      </c>
      <c r="S16" s="117" t="n">
        <v>1.053717124</v>
      </c>
      <c r="T16" s="117" t="n">
        <v>0.586217</v>
      </c>
      <c r="U16" s="44"/>
      <c r="V16" s="44"/>
      <c r="W16" s="185" t="s">
        <v>1958</v>
      </c>
      <c r="X16" s="173"/>
      <c r="Y16" s="173"/>
      <c r="Z16" s="44"/>
    </row>
    <row r="17" customFormat="false" ht="14.25" hidden="false" customHeight="true" outlineLevel="0" collapsed="false">
      <c r="A17" s="44"/>
      <c r="B17" s="120" t="s">
        <v>1865</v>
      </c>
      <c r="C17" s="44"/>
      <c r="D17" s="121"/>
      <c r="E17" s="99" t="n">
        <v>1.8</v>
      </c>
      <c r="F17" s="121"/>
      <c r="G17" s="121"/>
      <c r="H17" s="121"/>
      <c r="I17" s="121"/>
      <c r="J17" s="121"/>
      <c r="K17" s="121"/>
      <c r="L17" s="121"/>
      <c r="M17" s="121"/>
      <c r="N17" s="101" t="n">
        <v>0.88</v>
      </c>
      <c r="O17" s="121"/>
      <c r="P17" s="121"/>
      <c r="Q17" s="121"/>
      <c r="R17" s="121"/>
      <c r="S17" s="121"/>
      <c r="T17" s="121"/>
      <c r="U17" s="44"/>
      <c r="V17" s="44"/>
      <c r="W17" s="185" t="s">
        <v>1959</v>
      </c>
      <c r="X17" s="173" t="n">
        <v>0.5</v>
      </c>
      <c r="Y17" s="173" t="n">
        <v>0.25</v>
      </c>
      <c r="Z17" s="44"/>
    </row>
    <row r="18" customFormat="false" ht="14.25" hidden="false" customHeight="true" outlineLevel="0" collapsed="false">
      <c r="A18" s="44"/>
      <c r="B18" s="120" t="s">
        <v>1866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185" t="s">
        <v>1960</v>
      </c>
      <c r="X18" s="173" t="n">
        <v>1</v>
      </c>
      <c r="Y18" s="173" t="n">
        <v>1</v>
      </c>
      <c r="Z18" s="44"/>
    </row>
    <row r="19" customFormat="false" ht="14.25" hidden="false" customHeight="true" outlineLevel="0" collapsed="false">
      <c r="A19" s="44"/>
      <c r="B19" s="122" t="s">
        <v>1867</v>
      </c>
      <c r="C19" s="122"/>
      <c r="D19" s="122"/>
      <c r="E19" s="123" t="n">
        <v>31</v>
      </c>
      <c r="F19" s="124" t="n">
        <v>33</v>
      </c>
      <c r="G19" s="123" t="n">
        <v>33</v>
      </c>
      <c r="H19" s="124" t="n">
        <v>26</v>
      </c>
      <c r="I19" s="124" t="n">
        <v>7</v>
      </c>
      <c r="J19" s="124" t="n">
        <v>5</v>
      </c>
      <c r="K19" s="124" t="n">
        <v>0</v>
      </c>
      <c r="L19" s="124" t="n">
        <v>2</v>
      </c>
      <c r="M19" s="124" t="n">
        <v>31</v>
      </c>
      <c r="N19" s="125" t="n">
        <v>7.3475</v>
      </c>
      <c r="O19" s="125" t="n">
        <v>6.341619662</v>
      </c>
      <c r="P19" s="125" t="n">
        <v>0</v>
      </c>
      <c r="Q19" s="125" t="n">
        <v>6.341619662</v>
      </c>
      <c r="R19" s="125" t="n">
        <v>-1.00588</v>
      </c>
      <c r="S19" s="125" t="n">
        <v>5.8851998495</v>
      </c>
      <c r="T19" s="125" t="n">
        <v>-1.4623</v>
      </c>
      <c r="U19" s="44"/>
      <c r="V19" s="44"/>
      <c r="W19" s="171" t="s">
        <v>1857</v>
      </c>
      <c r="X19" s="161" t="n">
        <v>0</v>
      </c>
      <c r="Y19" s="173" t="n">
        <v>0</v>
      </c>
      <c r="Z19" s="44"/>
    </row>
    <row r="20" customFormat="false" ht="15" hidden="false" customHeight="false" outlineLevel="0" collapsed="false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171" t="s">
        <v>1903</v>
      </c>
      <c r="X20" s="161" t="n">
        <v>0</v>
      </c>
      <c r="Y20" s="173" t="n">
        <v>0</v>
      </c>
      <c r="Z20" s="44"/>
    </row>
    <row r="21" customFormat="false" ht="15" hidden="false" customHeight="false" outlineLevel="0" collapsed="false">
      <c r="A21" s="44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174" t="s">
        <v>1860</v>
      </c>
      <c r="X21" s="71"/>
      <c r="Y21" s="175" t="n">
        <v>6.25</v>
      </c>
      <c r="Z21" s="44"/>
    </row>
    <row r="22" customFormat="false" ht="18.75" hidden="false" customHeight="true" outlineLevel="0" collapsed="false">
      <c r="A22" s="44"/>
      <c r="B22" s="83" t="s">
        <v>1961</v>
      </c>
      <c r="C22" s="85"/>
      <c r="D22" s="85"/>
      <c r="E22" s="85"/>
      <c r="F22" s="85"/>
      <c r="G22" s="85"/>
      <c r="H22" s="98" t="s">
        <v>1869</v>
      </c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171" t="s">
        <v>1862</v>
      </c>
      <c r="X22" s="71"/>
      <c r="Y22" s="176" t="n">
        <v>5.26</v>
      </c>
      <c r="Z22" s="44"/>
    </row>
    <row r="23" customFormat="false" ht="33.75" hidden="false" customHeight="true" outlineLevel="0" collapsed="false">
      <c r="A23" s="126" t="s">
        <v>39</v>
      </c>
      <c r="B23" s="91" t="s">
        <v>40</v>
      </c>
      <c r="C23" s="91" t="s">
        <v>41</v>
      </c>
      <c r="D23" s="91" t="s">
        <v>42</v>
      </c>
      <c r="E23" s="127" t="s">
        <v>43</v>
      </c>
      <c r="F23" s="91" t="s">
        <v>44</v>
      </c>
      <c r="G23" s="128" t="s">
        <v>45</v>
      </c>
      <c r="H23" s="127" t="s">
        <v>1870</v>
      </c>
      <c r="I23" s="129" t="s">
        <v>1871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177" t="s">
        <v>1863</v>
      </c>
      <c r="Y23" s="71"/>
      <c r="Z23" s="175" t="n">
        <v>-0.99</v>
      </c>
    </row>
    <row r="24" customFormat="false" ht="14.25" hidden="false" customHeight="true" outlineLevel="0" collapsed="false">
      <c r="A24" s="44"/>
      <c r="B24" s="96" t="s">
        <v>613</v>
      </c>
      <c r="C24" s="96" t="s">
        <v>1905</v>
      </c>
      <c r="D24" s="96"/>
      <c r="E24" s="96"/>
      <c r="F24" s="130"/>
      <c r="G24" s="131" t="n">
        <v>2593511.07</v>
      </c>
      <c r="H24" s="131" t="n">
        <v>2187804.57</v>
      </c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</row>
    <row r="25" customFormat="false" ht="14.25" hidden="false" customHeight="true" outlineLevel="0" collapsed="false">
      <c r="A25" s="132" t="s">
        <v>615</v>
      </c>
      <c r="B25" s="98" t="s">
        <v>616</v>
      </c>
      <c r="C25" s="98" t="s">
        <v>617</v>
      </c>
      <c r="D25" s="98" t="s">
        <v>53</v>
      </c>
      <c r="E25" s="133" t="s">
        <v>53</v>
      </c>
      <c r="F25" s="134"/>
      <c r="G25" s="100" t="n">
        <v>223625.85</v>
      </c>
      <c r="H25" s="100" t="n">
        <v>223625.85</v>
      </c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</row>
    <row r="26" customFormat="false" ht="14.25" hidden="false" customHeight="true" outlineLevel="0" collapsed="false">
      <c r="A26" s="132" t="s">
        <v>618</v>
      </c>
      <c r="B26" s="98" t="s">
        <v>619</v>
      </c>
      <c r="C26" s="98" t="s">
        <v>620</v>
      </c>
      <c r="D26" s="98" t="s">
        <v>53</v>
      </c>
      <c r="E26" s="133" t="s">
        <v>53</v>
      </c>
      <c r="F26" s="134"/>
      <c r="G26" s="100" t="n">
        <v>221610</v>
      </c>
      <c r="H26" s="100" t="n">
        <v>221610</v>
      </c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</row>
    <row r="27" customFormat="false" ht="14.25" hidden="false" customHeight="true" outlineLevel="0" collapsed="false">
      <c r="A27" s="132" t="s">
        <v>621</v>
      </c>
      <c r="B27" s="98" t="s">
        <v>69</v>
      </c>
      <c r="C27" s="98" t="s">
        <v>52</v>
      </c>
      <c r="D27" s="98" t="s">
        <v>69</v>
      </c>
      <c r="E27" s="133" t="s">
        <v>82</v>
      </c>
      <c r="F27" s="134"/>
      <c r="G27" s="100" t="n">
        <v>231689.25</v>
      </c>
      <c r="H27" s="100" t="n">
        <v>231689.25</v>
      </c>
      <c r="I27" s="135" t="s">
        <v>1873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</row>
    <row r="28" customFormat="false" ht="14.25" hidden="false" customHeight="true" outlineLevel="0" collapsed="false">
      <c r="A28" s="132" t="s">
        <v>622</v>
      </c>
      <c r="B28" s="98" t="s">
        <v>623</v>
      </c>
      <c r="C28" s="98" t="s">
        <v>84</v>
      </c>
      <c r="D28" s="98" t="s">
        <v>53</v>
      </c>
      <c r="E28" s="133" t="s">
        <v>53</v>
      </c>
      <c r="F28" s="134"/>
      <c r="G28" s="100" t="n">
        <v>266612.85</v>
      </c>
      <c r="H28" s="100" t="n">
        <v>266612.85</v>
      </c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</row>
    <row r="29" customFormat="false" ht="14.25" hidden="false" customHeight="true" outlineLevel="0" collapsed="false">
      <c r="A29" s="132" t="s">
        <v>624</v>
      </c>
      <c r="B29" s="98" t="s">
        <v>625</v>
      </c>
      <c r="C29" s="98" t="s">
        <v>626</v>
      </c>
      <c r="D29" s="98" t="s">
        <v>53</v>
      </c>
      <c r="E29" s="133" t="s">
        <v>53</v>
      </c>
      <c r="F29" s="134"/>
      <c r="G29" s="100" t="n">
        <v>186900</v>
      </c>
      <c r="H29" s="100" t="n">
        <v>186900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</row>
    <row r="30" customFormat="false" ht="14.25" hidden="false" customHeight="true" outlineLevel="0" collapsed="false">
      <c r="A30" s="132" t="s">
        <v>627</v>
      </c>
      <c r="B30" s="98" t="s">
        <v>69</v>
      </c>
      <c r="C30" s="98" t="s">
        <v>523</v>
      </c>
      <c r="D30" s="98" t="s">
        <v>69</v>
      </c>
      <c r="E30" s="133" t="s">
        <v>78</v>
      </c>
      <c r="F30" s="134"/>
      <c r="G30" s="100" t="n">
        <v>202853.25</v>
      </c>
      <c r="H30" s="100" t="n">
        <v>0</v>
      </c>
      <c r="I30" s="135" t="s">
        <v>1952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</row>
    <row r="31" customFormat="false" ht="14.25" hidden="false" customHeight="true" outlineLevel="0" collapsed="false">
      <c r="A31" s="132" t="s">
        <v>628</v>
      </c>
      <c r="B31" s="98" t="s">
        <v>629</v>
      </c>
      <c r="C31" s="98" t="s">
        <v>133</v>
      </c>
      <c r="D31" s="98" t="s">
        <v>53</v>
      </c>
      <c r="E31" s="133" t="s">
        <v>53</v>
      </c>
      <c r="F31" s="134"/>
      <c r="G31" s="100" t="n">
        <v>219447.3</v>
      </c>
      <c r="H31" s="100" t="n">
        <v>219447.3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</row>
    <row r="32" customFormat="false" ht="14.25" hidden="false" customHeight="true" outlineLevel="0" collapsed="false">
      <c r="A32" s="132" t="s">
        <v>630</v>
      </c>
      <c r="B32" s="98" t="s">
        <v>1743</v>
      </c>
      <c r="C32" s="98" t="s">
        <v>77</v>
      </c>
      <c r="D32" s="98" t="s">
        <v>69</v>
      </c>
      <c r="E32" s="133" t="s">
        <v>78</v>
      </c>
      <c r="F32" s="134"/>
      <c r="G32" s="100" t="n">
        <v>202853.25</v>
      </c>
      <c r="H32" s="100" t="n">
        <v>0</v>
      </c>
      <c r="I32" s="135" t="s">
        <v>1909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</row>
    <row r="33" customFormat="false" ht="14.25" hidden="false" customHeight="true" outlineLevel="0" collapsed="false">
      <c r="A33" s="132" t="s">
        <v>631</v>
      </c>
      <c r="B33" s="98" t="s">
        <v>632</v>
      </c>
      <c r="C33" s="98" t="s">
        <v>633</v>
      </c>
      <c r="D33" s="98" t="s">
        <v>53</v>
      </c>
      <c r="E33" s="133" t="s">
        <v>53</v>
      </c>
      <c r="F33" s="134"/>
      <c r="G33" s="100" t="n">
        <v>190306.8</v>
      </c>
      <c r="H33" s="100" t="n">
        <v>190306.8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</row>
    <row r="34" customFormat="false" ht="14.25" hidden="false" customHeight="true" outlineLevel="0" collapsed="false">
      <c r="A34" s="132" t="s">
        <v>634</v>
      </c>
      <c r="B34" s="98" t="s">
        <v>635</v>
      </c>
      <c r="C34" s="98" t="s">
        <v>636</v>
      </c>
      <c r="D34" s="98" t="s">
        <v>53</v>
      </c>
      <c r="E34" s="133" t="s">
        <v>53</v>
      </c>
      <c r="F34" s="134"/>
      <c r="G34" s="100" t="n">
        <v>163823.52</v>
      </c>
      <c r="H34" s="100" t="n">
        <v>163823.52</v>
      </c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</row>
    <row r="35" customFormat="false" ht="14.25" hidden="false" customHeight="true" outlineLevel="0" collapsed="false">
      <c r="A35" s="132" t="s">
        <v>637</v>
      </c>
      <c r="B35" s="98" t="s">
        <v>638</v>
      </c>
      <c r="C35" s="98" t="s">
        <v>80</v>
      </c>
      <c r="D35" s="98" t="s">
        <v>53</v>
      </c>
      <c r="E35" s="133" t="s">
        <v>53</v>
      </c>
      <c r="F35" s="134"/>
      <c r="G35" s="100" t="n">
        <v>149160.45</v>
      </c>
      <c r="H35" s="100" t="n">
        <v>149160.45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</row>
    <row r="36" customFormat="false" ht="14.25" hidden="false" customHeight="true" outlineLevel="0" collapsed="false">
      <c r="A36" s="132" t="s">
        <v>639</v>
      </c>
      <c r="B36" s="98" t="s">
        <v>640</v>
      </c>
      <c r="C36" s="98" t="s">
        <v>633</v>
      </c>
      <c r="D36" s="98" t="s">
        <v>53</v>
      </c>
      <c r="E36" s="133" t="s">
        <v>53</v>
      </c>
      <c r="F36" s="134"/>
      <c r="G36" s="100" t="n">
        <v>137509.55</v>
      </c>
      <c r="H36" s="100" t="n">
        <v>137509.55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</row>
    <row r="37" customFormat="false" ht="14.25" hidden="false" customHeight="true" outlineLevel="0" collapsed="false">
      <c r="A37" s="132" t="s">
        <v>641</v>
      </c>
      <c r="B37" s="98" t="s">
        <v>642</v>
      </c>
      <c r="C37" s="98" t="s">
        <v>643</v>
      </c>
      <c r="D37" s="98" t="s">
        <v>53</v>
      </c>
      <c r="E37" s="133" t="s">
        <v>53</v>
      </c>
      <c r="F37" s="134"/>
      <c r="G37" s="100" t="n">
        <v>87044</v>
      </c>
      <c r="H37" s="100" t="n">
        <v>87044</v>
      </c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</row>
    <row r="38" customFormat="false" ht="14.25" hidden="false" customHeight="true" outlineLevel="0" collapsed="false">
      <c r="A38" s="132" t="s">
        <v>644</v>
      </c>
      <c r="B38" s="98" t="s">
        <v>645</v>
      </c>
      <c r="C38" s="98" t="s">
        <v>646</v>
      </c>
      <c r="D38" s="98" t="s">
        <v>53</v>
      </c>
      <c r="E38" s="133" t="s">
        <v>53</v>
      </c>
      <c r="F38" s="134"/>
      <c r="G38" s="100" t="n">
        <v>110075</v>
      </c>
      <c r="H38" s="100" t="n">
        <v>110075</v>
      </c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</row>
    <row r="39" customFormat="false" ht="14.25" hidden="false" customHeight="true" outlineLevel="0" collapsed="false">
      <c r="A39" s="44"/>
      <c r="B39" s="96" t="s">
        <v>614</v>
      </c>
      <c r="C39" s="96" t="s">
        <v>1877</v>
      </c>
      <c r="D39" s="96"/>
      <c r="E39" s="96"/>
      <c r="F39" s="96"/>
      <c r="G39" s="131" t="n">
        <v>930799.292</v>
      </c>
      <c r="H39" s="131" t="n">
        <v>930799.292</v>
      </c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</row>
    <row r="40" customFormat="false" ht="14.25" hidden="false" customHeight="true" outlineLevel="0" collapsed="false">
      <c r="A40" s="132" t="s">
        <v>647</v>
      </c>
      <c r="B40" s="98" t="s">
        <v>648</v>
      </c>
      <c r="C40" s="98" t="s">
        <v>591</v>
      </c>
      <c r="D40" s="98" t="s">
        <v>53</v>
      </c>
      <c r="E40" s="133" t="s">
        <v>53</v>
      </c>
      <c r="F40" s="134"/>
      <c r="G40" s="100" t="n">
        <v>184214.952</v>
      </c>
      <c r="H40" s="100" t="n">
        <v>184214.952</v>
      </c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</row>
    <row r="41" customFormat="false" ht="14.25" hidden="false" customHeight="true" outlineLevel="0" collapsed="false">
      <c r="A41" s="132" t="s">
        <v>649</v>
      </c>
      <c r="B41" s="98" t="s">
        <v>650</v>
      </c>
      <c r="C41" s="98" t="s">
        <v>84</v>
      </c>
      <c r="D41" s="98" t="s">
        <v>53</v>
      </c>
      <c r="E41" s="133" t="s">
        <v>53</v>
      </c>
      <c r="F41" s="134"/>
      <c r="G41" s="100" t="n">
        <v>188300.028</v>
      </c>
      <c r="H41" s="100" t="n">
        <v>188300.028</v>
      </c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</row>
    <row r="42" customFormat="false" ht="14.25" hidden="false" customHeight="true" outlineLevel="0" collapsed="false">
      <c r="A42" s="132" t="s">
        <v>651</v>
      </c>
      <c r="B42" s="98" t="s">
        <v>652</v>
      </c>
      <c r="C42" s="98" t="s">
        <v>636</v>
      </c>
      <c r="D42" s="98" t="s">
        <v>53</v>
      </c>
      <c r="E42" s="133" t="s">
        <v>53</v>
      </c>
      <c r="F42" s="134"/>
      <c r="G42" s="100" t="n">
        <v>144360</v>
      </c>
      <c r="H42" s="100" t="n">
        <v>144360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</row>
    <row r="43" customFormat="false" ht="14.25" hidden="false" customHeight="true" outlineLevel="0" collapsed="false">
      <c r="A43" s="132" t="s">
        <v>653</v>
      </c>
      <c r="B43" s="98" t="s">
        <v>654</v>
      </c>
      <c r="C43" s="98" t="s">
        <v>655</v>
      </c>
      <c r="D43" s="98" t="s">
        <v>53</v>
      </c>
      <c r="E43" s="133" t="s">
        <v>53</v>
      </c>
      <c r="F43" s="134"/>
      <c r="G43" s="100" t="n">
        <v>153503.328</v>
      </c>
      <c r="H43" s="100" t="n">
        <v>153503.328</v>
      </c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</row>
    <row r="44" customFormat="false" ht="14.25" hidden="false" customHeight="true" outlineLevel="0" collapsed="false">
      <c r="A44" s="132" t="s">
        <v>656</v>
      </c>
      <c r="B44" s="98" t="s">
        <v>657</v>
      </c>
      <c r="C44" s="98" t="s">
        <v>133</v>
      </c>
      <c r="D44" s="98" t="s">
        <v>53</v>
      </c>
      <c r="E44" s="133" t="s">
        <v>53</v>
      </c>
      <c r="F44" s="134"/>
      <c r="G44" s="100" t="n">
        <v>158753.952</v>
      </c>
      <c r="H44" s="100" t="n">
        <v>158753.952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</row>
    <row r="45" customFormat="false" ht="14.25" hidden="false" customHeight="true" outlineLevel="0" collapsed="false">
      <c r="A45" s="132" t="s">
        <v>658</v>
      </c>
      <c r="B45" s="98" t="s">
        <v>659</v>
      </c>
      <c r="C45" s="98" t="s">
        <v>523</v>
      </c>
      <c r="D45" s="98" t="s">
        <v>53</v>
      </c>
      <c r="E45" s="133" t="s">
        <v>53</v>
      </c>
      <c r="F45" s="134"/>
      <c r="G45" s="100" t="n">
        <v>101667.032</v>
      </c>
      <c r="H45" s="100" t="n">
        <v>101667.032</v>
      </c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</row>
    <row r="46" customFormat="false" ht="14.25" hidden="false" customHeight="true" outlineLevel="0" collapsed="false">
      <c r="A46" s="44"/>
      <c r="B46" s="96" t="s">
        <v>436</v>
      </c>
      <c r="C46" s="96" t="s">
        <v>1910</v>
      </c>
      <c r="D46" s="96"/>
      <c r="E46" s="96"/>
      <c r="F46" s="96"/>
      <c r="G46" s="131" t="n">
        <v>1763592.176</v>
      </c>
      <c r="H46" s="131" t="n">
        <v>1712878.8635</v>
      </c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</row>
    <row r="47" customFormat="false" ht="14.25" hidden="false" customHeight="true" outlineLevel="0" collapsed="false">
      <c r="A47" s="132" t="s">
        <v>660</v>
      </c>
      <c r="B47" s="98" t="s">
        <v>661</v>
      </c>
      <c r="C47" s="98" t="s">
        <v>52</v>
      </c>
      <c r="D47" s="98" t="s">
        <v>53</v>
      </c>
      <c r="E47" s="133" t="s">
        <v>53</v>
      </c>
      <c r="F47" s="134"/>
      <c r="G47" s="100" t="n">
        <v>191717.46</v>
      </c>
      <c r="H47" s="100" t="n">
        <v>191717.46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</row>
    <row r="48" customFormat="false" ht="14.25" hidden="false" customHeight="true" outlineLevel="0" collapsed="false">
      <c r="A48" s="132" t="s">
        <v>662</v>
      </c>
      <c r="B48" s="98" t="s">
        <v>663</v>
      </c>
      <c r="C48" s="98" t="s">
        <v>664</v>
      </c>
      <c r="D48" s="98" t="s">
        <v>53</v>
      </c>
      <c r="E48" s="133" t="s">
        <v>53</v>
      </c>
      <c r="F48" s="134"/>
      <c r="G48" s="100" t="n">
        <v>250619.55</v>
      </c>
      <c r="H48" s="100" t="n">
        <v>250619.55</v>
      </c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</row>
    <row r="49" customFormat="false" ht="14.25" hidden="false" customHeight="true" outlineLevel="0" collapsed="false">
      <c r="A49" s="132" t="s">
        <v>665</v>
      </c>
      <c r="B49" s="98" t="s">
        <v>666</v>
      </c>
      <c r="C49" s="98" t="s">
        <v>118</v>
      </c>
      <c r="D49" s="98" t="s">
        <v>53</v>
      </c>
      <c r="E49" s="133" t="s">
        <v>53</v>
      </c>
      <c r="F49" s="134"/>
      <c r="G49" s="100" t="n">
        <v>208473.6</v>
      </c>
      <c r="H49" s="100" t="n">
        <v>208473.6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</row>
    <row r="50" customFormat="false" ht="14.25" hidden="false" customHeight="true" outlineLevel="0" collapsed="false">
      <c r="A50" s="132" t="s">
        <v>667</v>
      </c>
      <c r="B50" s="98" t="s">
        <v>668</v>
      </c>
      <c r="C50" s="98" t="s">
        <v>516</v>
      </c>
      <c r="D50" s="98" t="s">
        <v>53</v>
      </c>
      <c r="E50" s="133" t="s">
        <v>53</v>
      </c>
      <c r="F50" s="134"/>
      <c r="G50" s="100" t="n">
        <v>213533.25</v>
      </c>
      <c r="H50" s="100" t="n">
        <v>213533.25</v>
      </c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</row>
    <row r="51" customFormat="false" ht="14.25" hidden="false" customHeight="true" outlineLevel="0" collapsed="false">
      <c r="A51" s="132" t="s">
        <v>669</v>
      </c>
      <c r="B51" s="98" t="s">
        <v>69</v>
      </c>
      <c r="C51" s="98" t="s">
        <v>670</v>
      </c>
      <c r="D51" s="98" t="s">
        <v>69</v>
      </c>
      <c r="E51" s="133" t="s">
        <v>82</v>
      </c>
      <c r="F51" s="134" t="s">
        <v>121</v>
      </c>
      <c r="G51" s="100" t="n">
        <v>202853.25</v>
      </c>
      <c r="H51" s="100" t="n">
        <v>152139.9375</v>
      </c>
      <c r="I51" s="135" t="s">
        <v>1952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</row>
    <row r="52" customFormat="false" ht="14.25" hidden="false" customHeight="true" outlineLevel="0" collapsed="false">
      <c r="A52" s="132" t="s">
        <v>671</v>
      </c>
      <c r="B52" s="98" t="s">
        <v>69</v>
      </c>
      <c r="C52" s="98" t="s">
        <v>636</v>
      </c>
      <c r="D52" s="98" t="s">
        <v>69</v>
      </c>
      <c r="E52" s="133" t="s">
        <v>82</v>
      </c>
      <c r="F52" s="134"/>
      <c r="G52" s="100" t="n">
        <v>202853.25</v>
      </c>
      <c r="H52" s="100" t="n">
        <v>202853.25</v>
      </c>
      <c r="I52" s="135" t="s">
        <v>1878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</row>
    <row r="53" customFormat="false" ht="14.25" hidden="false" customHeight="true" outlineLevel="0" collapsed="false">
      <c r="A53" s="132" t="s">
        <v>672</v>
      </c>
      <c r="B53" s="98" t="s">
        <v>1743</v>
      </c>
      <c r="C53" s="98" t="s">
        <v>77</v>
      </c>
      <c r="D53" s="98" t="s">
        <v>69</v>
      </c>
      <c r="E53" s="133" t="s">
        <v>82</v>
      </c>
      <c r="F53" s="134"/>
      <c r="G53" s="100" t="n">
        <v>202853.25</v>
      </c>
      <c r="H53" s="100" t="n">
        <v>202853.25</v>
      </c>
      <c r="I53" s="135" t="s">
        <v>1873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</row>
    <row r="54" customFormat="false" ht="14.25" hidden="false" customHeight="true" outlineLevel="0" collapsed="false">
      <c r="A54" s="132" t="s">
        <v>673</v>
      </c>
      <c r="B54" s="98" t="s">
        <v>674</v>
      </c>
      <c r="C54" s="98" t="s">
        <v>516</v>
      </c>
      <c r="D54" s="98" t="s">
        <v>53</v>
      </c>
      <c r="E54" s="133" t="s">
        <v>53</v>
      </c>
      <c r="F54" s="134"/>
      <c r="G54" s="100" t="n">
        <v>203253.75</v>
      </c>
      <c r="H54" s="100" t="n">
        <v>203253.75</v>
      </c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</row>
    <row r="55" customFormat="false" ht="14.25" hidden="false" customHeight="true" outlineLevel="0" collapsed="false">
      <c r="A55" s="132" t="s">
        <v>675</v>
      </c>
      <c r="B55" s="98" t="s">
        <v>676</v>
      </c>
      <c r="C55" s="98" t="s">
        <v>677</v>
      </c>
      <c r="D55" s="98" t="s">
        <v>53</v>
      </c>
      <c r="E55" s="133" t="s">
        <v>53</v>
      </c>
      <c r="F55" s="134"/>
      <c r="G55" s="100" t="n">
        <v>87434.816</v>
      </c>
      <c r="H55" s="100" t="n">
        <v>87434.816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</row>
    <row r="56" customFormat="false" ht="14.25" hidden="false" customHeight="true" outlineLevel="0" collapsed="false">
      <c r="A56" s="44"/>
      <c r="B56" s="96" t="s">
        <v>199</v>
      </c>
      <c r="C56" s="96" t="s">
        <v>1884</v>
      </c>
      <c r="D56" s="96"/>
      <c r="E56" s="96"/>
      <c r="F56" s="96"/>
      <c r="G56" s="131" t="n">
        <v>273758</v>
      </c>
      <c r="H56" s="131" t="n">
        <v>273758</v>
      </c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</row>
    <row r="57" customFormat="false" ht="14.25" hidden="false" customHeight="true" outlineLevel="0" collapsed="false">
      <c r="A57" s="132" t="s">
        <v>678</v>
      </c>
      <c r="B57" s="98" t="s">
        <v>679</v>
      </c>
      <c r="C57" s="98" t="s">
        <v>680</v>
      </c>
      <c r="D57" s="98" t="s">
        <v>53</v>
      </c>
      <c r="E57" s="133" t="s">
        <v>53</v>
      </c>
      <c r="F57" s="134"/>
      <c r="G57" s="100" t="n">
        <v>273758</v>
      </c>
      <c r="H57" s="100" t="n">
        <v>273758</v>
      </c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</row>
    <row r="58" customFormat="false" ht="14.25" hidden="false" customHeight="true" outlineLevel="0" collapsed="false">
      <c r="A58" s="44"/>
      <c r="B58" s="96" t="s">
        <v>203</v>
      </c>
      <c r="C58" s="96" t="s">
        <v>1884</v>
      </c>
      <c r="D58" s="96"/>
      <c r="E58" s="96"/>
      <c r="F58" s="96"/>
      <c r="G58" s="131" t="n">
        <v>275810.25</v>
      </c>
      <c r="H58" s="131" t="n">
        <v>275810.25</v>
      </c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</row>
    <row r="59" customFormat="false" ht="14.25" hidden="false" customHeight="true" outlineLevel="0" collapsed="false">
      <c r="A59" s="132" t="s">
        <v>681</v>
      </c>
      <c r="B59" s="98" t="s">
        <v>69</v>
      </c>
      <c r="C59" s="98" t="s">
        <v>682</v>
      </c>
      <c r="D59" s="98" t="s">
        <v>69</v>
      </c>
      <c r="E59" s="133" t="s">
        <v>82</v>
      </c>
      <c r="F59" s="134"/>
      <c r="G59" s="100" t="n">
        <v>275810.25</v>
      </c>
      <c r="H59" s="100" t="n">
        <v>275810.25</v>
      </c>
      <c r="I59" s="135" t="s">
        <v>1873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</row>
    <row r="60" customFormat="false" ht="14.25" hidden="false" customHeight="true" outlineLevel="0" collapsed="false">
      <c r="A60" s="44"/>
      <c r="B60" s="96" t="s">
        <v>206</v>
      </c>
      <c r="C60" s="96" t="s">
        <v>1913</v>
      </c>
      <c r="D60" s="96"/>
      <c r="E60" s="96"/>
      <c r="F60" s="96"/>
      <c r="G60" s="131" t="n">
        <v>504148.874</v>
      </c>
      <c r="H60" s="131" t="n">
        <v>504148.874</v>
      </c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</row>
    <row r="61" customFormat="false" ht="14.25" hidden="false" customHeight="true" outlineLevel="0" collapsed="false">
      <c r="A61" s="132" t="s">
        <v>683</v>
      </c>
      <c r="B61" s="98" t="s">
        <v>684</v>
      </c>
      <c r="C61" s="98" t="s">
        <v>685</v>
      </c>
      <c r="D61" s="98" t="s">
        <v>53</v>
      </c>
      <c r="E61" s="133" t="s">
        <v>53</v>
      </c>
      <c r="F61" s="134"/>
      <c r="G61" s="100" t="n">
        <v>209585.424</v>
      </c>
      <c r="H61" s="100" t="n">
        <v>209585.424</v>
      </c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</row>
    <row r="62" customFormat="false" ht="14.25" hidden="false" customHeight="true" outlineLevel="0" collapsed="false">
      <c r="A62" s="132" t="s">
        <v>686</v>
      </c>
      <c r="B62" s="98" t="s">
        <v>687</v>
      </c>
      <c r="C62" s="98" t="s">
        <v>688</v>
      </c>
      <c r="D62" s="98" t="s">
        <v>53</v>
      </c>
      <c r="E62" s="133" t="s">
        <v>53</v>
      </c>
      <c r="F62" s="134"/>
      <c r="G62" s="100" t="n">
        <v>294563.45</v>
      </c>
      <c r="H62" s="100" t="n">
        <v>294563.45</v>
      </c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3" customFormat="false" ht="15" hidden="false" customHeight="false" outlineLevel="0" collapsed="false">
      <c r="A63" s="44"/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</row>
    <row r="64" customFormat="false" ht="14.25" hidden="false" customHeight="true" outlineLevel="0" collapsed="false">
      <c r="A64" s="44"/>
      <c r="B64" s="126" t="s">
        <v>1886</v>
      </c>
      <c r="C64" s="44"/>
      <c r="D64" s="44"/>
      <c r="E64" s="44"/>
      <c r="F64" s="44"/>
      <c r="G64" s="44"/>
      <c r="H64" s="44"/>
      <c r="I64" s="44"/>
      <c r="J64" s="44"/>
      <c r="K64" s="136" t="n">
        <v>5</v>
      </c>
      <c r="L64" s="136" t="n">
        <v>0</v>
      </c>
      <c r="M64" s="136" t="n">
        <v>2</v>
      </c>
      <c r="N64" s="136" t="n">
        <v>0</v>
      </c>
      <c r="O64" s="136" t="n">
        <v>0</v>
      </c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</row>
    <row r="2" customFormat="false" ht="21" hidden="false" customHeight="true" outlineLevel="0" collapsed="false">
      <c r="A2" s="44"/>
      <c r="B2" s="81" t="s">
        <v>1962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</row>
    <row r="3" customFormat="false" ht="14.25" hidden="false" customHeight="true" outlineLevel="0" collapsed="false">
      <c r="A3" s="44"/>
      <c r="B3" s="82" t="s">
        <v>1165</v>
      </c>
      <c r="C3" s="73" t="s">
        <v>20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</row>
    <row r="4" customFormat="false" ht="18.75" hidden="false" customHeight="true" outlineLevel="0" collapsed="false">
      <c r="A4" s="44"/>
      <c r="B4" s="83" t="s">
        <v>1963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44"/>
      <c r="V4" s="44"/>
      <c r="W4" s="86" t="s">
        <v>1821</v>
      </c>
      <c r="X4" s="86"/>
      <c r="Y4" s="44"/>
    </row>
    <row r="5" customFormat="false" ht="6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89" t="s">
        <v>1822</v>
      </c>
      <c r="X5" s="90" t="n">
        <v>2.5</v>
      </c>
      <c r="Y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2" t="s">
        <v>1835</v>
      </c>
      <c r="S6" s="92" t="s">
        <v>1836</v>
      </c>
      <c r="T6" s="91" t="s">
        <v>1837</v>
      </c>
      <c r="U6" s="93" t="s">
        <v>1189</v>
      </c>
      <c r="V6" s="44"/>
      <c r="W6" s="137" t="s">
        <v>1838</v>
      </c>
      <c r="X6" s="138" t="n">
        <v>2.5</v>
      </c>
      <c r="Y6" s="44"/>
    </row>
    <row r="7" customFormat="false" ht="14.25" hidden="false" customHeight="true" outlineLevel="0" collapsed="false">
      <c r="A7" s="44"/>
      <c r="B7" s="96" t="s">
        <v>1164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44"/>
      <c r="V7" s="44"/>
      <c r="W7" s="139" t="s">
        <v>1839</v>
      </c>
      <c r="X7" s="138" t="n">
        <v>0</v>
      </c>
      <c r="Y7" s="44"/>
    </row>
    <row r="8" customFormat="false" ht="14.25" hidden="false" customHeight="true" outlineLevel="0" collapsed="false">
      <c r="A8" s="44"/>
      <c r="B8" s="98" t="s">
        <v>512</v>
      </c>
      <c r="C8" s="98" t="s">
        <v>1840</v>
      </c>
      <c r="D8" s="98" t="s">
        <v>1841</v>
      </c>
      <c r="E8" s="99" t="n">
        <v>9</v>
      </c>
      <c r="F8" s="100" t="n">
        <v>5</v>
      </c>
      <c r="G8" s="99" t="n">
        <v>5</v>
      </c>
      <c r="H8" s="100" t="n">
        <v>1</v>
      </c>
      <c r="I8" s="100" t="n">
        <v>4</v>
      </c>
      <c r="J8" s="100" t="n">
        <v>4</v>
      </c>
      <c r="K8" s="100" t="n">
        <v>0</v>
      </c>
      <c r="L8" s="100" t="n">
        <v>0</v>
      </c>
      <c r="M8" s="100" t="n">
        <v>5</v>
      </c>
      <c r="N8" s="101" t="n">
        <v>2.1</v>
      </c>
      <c r="O8" s="101" t="n">
        <v>1.05925575</v>
      </c>
      <c r="P8" s="101" t="n">
        <v>0</v>
      </c>
      <c r="Q8" s="101" t="n">
        <v>1.05925575</v>
      </c>
      <c r="R8" s="101" t="n">
        <v>-1.040744</v>
      </c>
      <c r="S8" s="101" t="n">
        <v>1.05925575</v>
      </c>
      <c r="T8" s="101" t="n">
        <v>-1.040744</v>
      </c>
      <c r="U8" s="102" t="n">
        <v>0</v>
      </c>
      <c r="V8" s="44"/>
      <c r="W8" s="140" t="s">
        <v>1842</v>
      </c>
      <c r="X8" s="156" t="n">
        <v>-0.7635</v>
      </c>
      <c r="Y8" s="44"/>
    </row>
    <row r="9" customFormat="false" ht="14.25" hidden="false" customHeight="true" outlineLevel="0" collapsed="false">
      <c r="A9" s="44"/>
      <c r="B9" s="98" t="s">
        <v>517</v>
      </c>
      <c r="C9" s="98" t="s">
        <v>1840</v>
      </c>
      <c r="D9" s="98" t="s">
        <v>1841</v>
      </c>
      <c r="E9" s="99" t="n">
        <v>9</v>
      </c>
      <c r="F9" s="100" t="n">
        <v>12</v>
      </c>
      <c r="G9" s="99" t="n">
        <v>12</v>
      </c>
      <c r="H9" s="100" t="n">
        <v>9</v>
      </c>
      <c r="I9" s="100" t="n">
        <v>3</v>
      </c>
      <c r="J9" s="100" t="n">
        <v>2</v>
      </c>
      <c r="K9" s="100" t="n">
        <v>0</v>
      </c>
      <c r="L9" s="100" t="n">
        <v>1</v>
      </c>
      <c r="M9" s="100" t="n">
        <v>11</v>
      </c>
      <c r="N9" s="101" t="n">
        <v>1.12</v>
      </c>
      <c r="O9" s="101" t="n">
        <v>2.6791435617</v>
      </c>
      <c r="P9" s="101" t="n">
        <v>0</v>
      </c>
      <c r="Q9" s="101" t="n">
        <v>2.6791435617</v>
      </c>
      <c r="R9" s="101" t="n">
        <v>1.559144</v>
      </c>
      <c r="S9" s="101" t="n">
        <v>2.5139493742</v>
      </c>
      <c r="T9" s="101" t="n">
        <v>1.393949</v>
      </c>
      <c r="U9" s="102" t="n">
        <v>0.2</v>
      </c>
      <c r="V9" s="44"/>
      <c r="W9" s="140" t="s">
        <v>1844</v>
      </c>
      <c r="X9" s="156" t="n">
        <v>0</v>
      </c>
      <c r="Y9" s="44"/>
    </row>
    <row r="10" customFormat="false" ht="14.25" hidden="false" customHeight="true" outlineLevel="0" collapsed="false">
      <c r="A10" s="44"/>
      <c r="B10" s="98" t="s">
        <v>513</v>
      </c>
      <c r="C10" s="98" t="s">
        <v>1843</v>
      </c>
      <c r="D10" s="98" t="s">
        <v>1841</v>
      </c>
      <c r="E10" s="99" t="n">
        <v>7.5</v>
      </c>
      <c r="F10" s="100" t="n">
        <v>7</v>
      </c>
      <c r="G10" s="99" t="n">
        <v>7</v>
      </c>
      <c r="H10" s="100" t="n">
        <v>7</v>
      </c>
      <c r="I10" s="100" t="n">
        <v>0</v>
      </c>
      <c r="J10" s="100" t="n">
        <v>0</v>
      </c>
      <c r="K10" s="100" t="n">
        <v>6</v>
      </c>
      <c r="L10" s="100" t="n">
        <v>0</v>
      </c>
      <c r="M10" s="100" t="n">
        <v>7</v>
      </c>
      <c r="N10" s="101" t="n">
        <v>0.68</v>
      </c>
      <c r="O10" s="101" t="n">
        <v>2.106168849</v>
      </c>
      <c r="P10" s="101" t="n">
        <v>0</v>
      </c>
      <c r="Q10" s="101" t="n">
        <v>2.106168849</v>
      </c>
      <c r="R10" s="101" t="n">
        <v>1.426169</v>
      </c>
      <c r="S10" s="101" t="n">
        <v>1.0146279396</v>
      </c>
      <c r="T10" s="101" t="n">
        <v>0.334628</v>
      </c>
      <c r="U10" s="102" t="n">
        <v>0</v>
      </c>
      <c r="V10" s="44"/>
      <c r="W10" s="182" t="s">
        <v>1847</v>
      </c>
      <c r="X10" s="180" t="n">
        <v>-0.7635</v>
      </c>
      <c r="Y10" s="44"/>
    </row>
    <row r="11" customFormat="false" ht="14.25" hidden="false" customHeight="true" outlineLevel="0" collapsed="false">
      <c r="A11" s="44"/>
      <c r="B11" s="114" t="s">
        <v>1852</v>
      </c>
      <c r="C11" s="114"/>
      <c r="D11" s="114"/>
      <c r="E11" s="115" t="n">
        <v>25.5</v>
      </c>
      <c r="F11" s="116" t="n">
        <v>24</v>
      </c>
      <c r="G11" s="115" t="n">
        <v>24</v>
      </c>
      <c r="H11" s="116" t="n">
        <v>17</v>
      </c>
      <c r="I11" s="116" t="n">
        <v>7</v>
      </c>
      <c r="J11" s="116" t="n">
        <v>6</v>
      </c>
      <c r="K11" s="116" t="n">
        <v>6</v>
      </c>
      <c r="L11" s="116" t="n">
        <v>1</v>
      </c>
      <c r="M11" s="116" t="n">
        <v>23</v>
      </c>
      <c r="N11" s="117" t="n">
        <v>3.9</v>
      </c>
      <c r="O11" s="117" t="n">
        <v>5.8445681607</v>
      </c>
      <c r="P11" s="117" t="n">
        <v>0</v>
      </c>
      <c r="Q11" s="117" t="n">
        <v>5.8445681607</v>
      </c>
      <c r="R11" s="117" t="n">
        <v>1.944568</v>
      </c>
      <c r="S11" s="117" t="n">
        <v>4.5878330638</v>
      </c>
      <c r="T11" s="117" t="n">
        <v>0.687833</v>
      </c>
      <c r="U11" s="44"/>
      <c r="V11" s="44"/>
      <c r="W11" s="83" t="s">
        <v>1848</v>
      </c>
      <c r="X11" s="162"/>
      <c r="Y11" s="85"/>
    </row>
    <row r="12" customFormat="false" ht="14.25" hidden="false" customHeight="true" outlineLevel="0" collapsed="false">
      <c r="A12" s="44"/>
      <c r="B12" s="96" t="s">
        <v>1854</v>
      </c>
      <c r="C12" s="96"/>
      <c r="D12" s="96"/>
      <c r="E12" s="96"/>
      <c r="F12" s="96"/>
      <c r="G12" s="96"/>
      <c r="H12" s="96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44"/>
      <c r="V12" s="44"/>
      <c r="W12" s="110" t="s">
        <v>1849</v>
      </c>
      <c r="X12" s="111" t="s">
        <v>1264</v>
      </c>
      <c r="Y12" s="111" t="s">
        <v>1850</v>
      </c>
    </row>
    <row r="13" customFormat="false" ht="14.25" hidden="false" customHeight="true" outlineLevel="0" collapsed="false">
      <c r="A13" s="44"/>
      <c r="B13" s="98" t="s">
        <v>569</v>
      </c>
      <c r="C13" s="98" t="s">
        <v>1856</v>
      </c>
      <c r="D13" s="98"/>
      <c r="E13" s="99"/>
      <c r="F13" s="100" t="n">
        <v>14</v>
      </c>
      <c r="G13" s="99" t="n">
        <v>14</v>
      </c>
      <c r="H13" s="100" t="n">
        <v>14</v>
      </c>
      <c r="I13" s="100" t="n">
        <v>0</v>
      </c>
      <c r="J13" s="100" t="n">
        <v>0</v>
      </c>
      <c r="K13" s="100" t="n">
        <v>0</v>
      </c>
      <c r="L13" s="100" t="n">
        <v>0</v>
      </c>
      <c r="M13" s="100" t="n">
        <v>14</v>
      </c>
      <c r="N13" s="101" t="n">
        <v>3.8</v>
      </c>
      <c r="O13" s="101" t="n">
        <v>3.221759232</v>
      </c>
      <c r="P13" s="101" t="n">
        <v>3.8</v>
      </c>
      <c r="Q13" s="101" t="n">
        <v>-0.578240768000001</v>
      </c>
      <c r="R13" s="101" t="n">
        <v>-0.578241</v>
      </c>
      <c r="S13" s="101" t="n">
        <v>3.221759232</v>
      </c>
      <c r="T13" s="101" t="n">
        <v>-0.578241</v>
      </c>
      <c r="U13" s="102" t="n">
        <v>0</v>
      </c>
      <c r="V13" s="44"/>
      <c r="W13" s="112" t="s">
        <v>1964</v>
      </c>
      <c r="X13" s="90" t="n">
        <v>13.4</v>
      </c>
      <c r="Y13" s="113" t="n">
        <v>0</v>
      </c>
    </row>
    <row r="14" customFormat="false" ht="14.25" hidden="false" customHeight="true" outlineLevel="0" collapsed="false">
      <c r="A14" s="44"/>
      <c r="B14" s="96" t="s">
        <v>1861</v>
      </c>
      <c r="C14" s="96"/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44"/>
      <c r="V14" s="44"/>
      <c r="W14" s="112" t="s">
        <v>1853</v>
      </c>
      <c r="X14" s="90" t="n">
        <v>6.1</v>
      </c>
      <c r="Y14" s="118" t="n">
        <v>2.76</v>
      </c>
    </row>
    <row r="15" customFormat="false" ht="14.25" hidden="false" customHeight="true" outlineLevel="0" collapsed="false">
      <c r="A15" s="44"/>
      <c r="B15" s="98" t="s">
        <v>199</v>
      </c>
      <c r="C15" s="98"/>
      <c r="D15" s="98"/>
      <c r="E15" s="99" t="n">
        <v>0.5</v>
      </c>
      <c r="F15" s="100" t="n">
        <v>1</v>
      </c>
      <c r="G15" s="99" t="n">
        <v>1</v>
      </c>
      <c r="H15" s="100" t="n">
        <v>1</v>
      </c>
      <c r="I15" s="100" t="n">
        <v>0</v>
      </c>
      <c r="J15" s="100" t="n">
        <v>0</v>
      </c>
      <c r="K15" s="100" t="n">
        <v>0</v>
      </c>
      <c r="L15" s="100" t="n">
        <v>0</v>
      </c>
      <c r="M15" s="100" t="n">
        <v>1</v>
      </c>
      <c r="N15" s="101" t="n">
        <v>0.1375</v>
      </c>
      <c r="O15" s="101" t="n">
        <v>0.292434736</v>
      </c>
      <c r="P15" s="101" t="n">
        <v>0</v>
      </c>
      <c r="Q15" s="101" t="n">
        <v>0.292434736</v>
      </c>
      <c r="R15" s="101" t="n">
        <v>0.154935</v>
      </c>
      <c r="S15" s="101" t="n">
        <v>0.292434736</v>
      </c>
      <c r="T15" s="101" t="n">
        <v>0.154935</v>
      </c>
      <c r="U15" s="44"/>
      <c r="V15" s="44"/>
      <c r="W15" s="112" t="s">
        <v>1893</v>
      </c>
      <c r="X15" s="90" t="n">
        <v>6.8</v>
      </c>
      <c r="Y15" s="118" t="n">
        <v>2.11</v>
      </c>
    </row>
    <row r="16" customFormat="false" ht="14.25" hidden="false" customHeight="true" outlineLevel="0" collapsed="false">
      <c r="A16" s="44"/>
      <c r="B16" s="98" t="s">
        <v>203</v>
      </c>
      <c r="C16" s="98"/>
      <c r="D16" s="98"/>
      <c r="E16" s="99" t="n">
        <v>0.9</v>
      </c>
      <c r="F16" s="100" t="n">
        <v>1</v>
      </c>
      <c r="G16" s="99" t="n">
        <v>1</v>
      </c>
      <c r="H16" s="100" t="n">
        <v>0</v>
      </c>
      <c r="I16" s="100" t="n">
        <v>1</v>
      </c>
      <c r="J16" s="100" t="n">
        <v>1</v>
      </c>
      <c r="K16" s="100" t="n">
        <v>0</v>
      </c>
      <c r="L16" s="100" t="n">
        <v>0</v>
      </c>
      <c r="M16" s="100" t="n">
        <v>1</v>
      </c>
      <c r="N16" s="101" t="n">
        <v>0.252</v>
      </c>
      <c r="O16" s="101" t="n">
        <v>0.27581025</v>
      </c>
      <c r="P16" s="101" t="n">
        <v>0</v>
      </c>
      <c r="Q16" s="101" t="n">
        <v>0.27581025</v>
      </c>
      <c r="R16" s="101" t="n">
        <v>0.02381</v>
      </c>
      <c r="S16" s="101" t="n">
        <v>0.27581025</v>
      </c>
      <c r="T16" s="101" t="n">
        <v>0.02381</v>
      </c>
      <c r="U16" s="44"/>
      <c r="V16" s="44"/>
      <c r="W16" s="112" t="s">
        <v>1965</v>
      </c>
      <c r="X16" s="90" t="n">
        <v>4.9</v>
      </c>
      <c r="Y16" s="118"/>
    </row>
    <row r="17" customFormat="false" ht="14.25" hidden="false" customHeight="true" outlineLevel="0" collapsed="false">
      <c r="A17" s="44"/>
      <c r="B17" s="98" t="s">
        <v>206</v>
      </c>
      <c r="C17" s="98"/>
      <c r="D17" s="98"/>
      <c r="E17" s="99" t="n">
        <v>0.9</v>
      </c>
      <c r="F17" s="100" t="n">
        <v>2</v>
      </c>
      <c r="G17" s="99" t="n">
        <v>2</v>
      </c>
      <c r="H17" s="100" t="n">
        <v>1</v>
      </c>
      <c r="I17" s="100" t="n">
        <v>1</v>
      </c>
      <c r="J17" s="100" t="n">
        <v>1</v>
      </c>
      <c r="K17" s="100" t="n">
        <v>0</v>
      </c>
      <c r="L17" s="100" t="n">
        <v>0</v>
      </c>
      <c r="M17" s="100" t="n">
        <v>2</v>
      </c>
      <c r="N17" s="101" t="n">
        <v>0.243</v>
      </c>
      <c r="O17" s="101" t="n">
        <v>0.56309735</v>
      </c>
      <c r="P17" s="101" t="n">
        <v>0</v>
      </c>
      <c r="Q17" s="101" t="n">
        <v>0.56309735</v>
      </c>
      <c r="R17" s="101" t="n">
        <v>0.320097</v>
      </c>
      <c r="S17" s="101" t="n">
        <v>0.56309735</v>
      </c>
      <c r="T17" s="101" t="n">
        <v>0.320097</v>
      </c>
      <c r="U17" s="44"/>
      <c r="V17" s="44"/>
      <c r="W17" s="112" t="s">
        <v>1857</v>
      </c>
      <c r="X17" s="90" t="n">
        <v>14.2</v>
      </c>
      <c r="Y17" s="90" t="n">
        <v>3.8</v>
      </c>
    </row>
    <row r="18" customFormat="false" ht="14.25" hidden="false" customHeight="true" outlineLevel="0" collapsed="false">
      <c r="A18" s="44"/>
      <c r="B18" s="114" t="s">
        <v>1864</v>
      </c>
      <c r="C18" s="114"/>
      <c r="D18" s="114"/>
      <c r="E18" s="115" t="n">
        <v>2.3</v>
      </c>
      <c r="F18" s="116" t="n">
        <v>4</v>
      </c>
      <c r="G18" s="115" t="n">
        <v>4</v>
      </c>
      <c r="H18" s="116" t="n">
        <v>2</v>
      </c>
      <c r="I18" s="116" t="n">
        <v>2</v>
      </c>
      <c r="J18" s="116" t="n">
        <v>2</v>
      </c>
      <c r="K18" s="116" t="n">
        <v>0</v>
      </c>
      <c r="L18" s="116" t="n">
        <v>0</v>
      </c>
      <c r="M18" s="116" t="n">
        <v>4</v>
      </c>
      <c r="N18" s="117" t="n">
        <v>0.6325</v>
      </c>
      <c r="O18" s="117" t="n">
        <v>1.131342336</v>
      </c>
      <c r="P18" s="117" t="n">
        <v>0</v>
      </c>
      <c r="Q18" s="117" t="n">
        <v>1.131342336</v>
      </c>
      <c r="R18" s="117" t="n">
        <v>0.498842</v>
      </c>
      <c r="S18" s="117" t="n">
        <v>1.131342336</v>
      </c>
      <c r="T18" s="117" t="n">
        <v>0.498842</v>
      </c>
      <c r="U18" s="44"/>
      <c r="V18" s="44"/>
      <c r="W18" s="112" t="s">
        <v>1903</v>
      </c>
      <c r="X18" s="90" t="n">
        <v>0</v>
      </c>
      <c r="Y18" s="118" t="n">
        <v>0</v>
      </c>
    </row>
    <row r="19" customFormat="false" ht="14.25" hidden="false" customHeight="true" outlineLevel="0" collapsed="false">
      <c r="A19" s="44"/>
      <c r="B19" s="120" t="s">
        <v>1865</v>
      </c>
      <c r="C19" s="44"/>
      <c r="D19" s="121"/>
      <c r="E19" s="99" t="n">
        <v>1.8</v>
      </c>
      <c r="F19" s="121"/>
      <c r="G19" s="121"/>
      <c r="H19" s="121"/>
      <c r="I19" s="121"/>
      <c r="J19" s="121"/>
      <c r="K19" s="121"/>
      <c r="L19" s="121"/>
      <c r="M19" s="121"/>
      <c r="N19" s="101" t="n">
        <v>0.88</v>
      </c>
      <c r="O19" s="121"/>
      <c r="P19" s="121"/>
      <c r="Q19" s="121"/>
      <c r="R19" s="121"/>
      <c r="S19" s="121"/>
      <c r="T19" s="121"/>
      <c r="U19" s="44"/>
      <c r="V19" s="44"/>
      <c r="W19" s="145" t="s">
        <v>1860</v>
      </c>
      <c r="X19" s="44"/>
      <c r="Y19" s="146" t="n">
        <v>8.67</v>
      </c>
    </row>
    <row r="20" customFormat="false" ht="14.25" hidden="false" customHeight="true" outlineLevel="0" collapsed="false">
      <c r="A20" s="44"/>
      <c r="B20" s="120" t="s">
        <v>1866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112" t="s">
        <v>1862</v>
      </c>
      <c r="X20" s="44"/>
      <c r="Y20" s="147" t="n">
        <v>7.476</v>
      </c>
    </row>
    <row r="21" customFormat="false" ht="14.25" hidden="false" customHeight="true" outlineLevel="0" collapsed="false">
      <c r="A21" s="44"/>
      <c r="B21" s="122" t="s">
        <v>1867</v>
      </c>
      <c r="C21" s="122"/>
      <c r="D21" s="122"/>
      <c r="E21" s="123" t="n">
        <v>29.6</v>
      </c>
      <c r="F21" s="124" t="n">
        <v>42</v>
      </c>
      <c r="G21" s="123" t="n">
        <v>42</v>
      </c>
      <c r="H21" s="124" t="n">
        <v>33</v>
      </c>
      <c r="I21" s="124" t="n">
        <v>9</v>
      </c>
      <c r="J21" s="124" t="n">
        <v>8</v>
      </c>
      <c r="K21" s="124" t="n">
        <v>6</v>
      </c>
      <c r="L21" s="124" t="n">
        <v>1</v>
      </c>
      <c r="M21" s="124" t="n">
        <v>41</v>
      </c>
      <c r="N21" s="125" t="n">
        <v>9.2125</v>
      </c>
      <c r="O21" s="125" t="n">
        <v>10.1976697287</v>
      </c>
      <c r="P21" s="125" t="n">
        <v>3.8</v>
      </c>
      <c r="Q21" s="125" t="n">
        <v>6.3976697287</v>
      </c>
      <c r="R21" s="125" t="n">
        <v>0.98517</v>
      </c>
      <c r="S21" s="125" t="n">
        <v>8.9409346318</v>
      </c>
      <c r="T21" s="125" t="n">
        <v>-0.271565</v>
      </c>
      <c r="U21" s="44"/>
      <c r="V21" s="44"/>
      <c r="W21" s="148" t="s">
        <v>1863</v>
      </c>
      <c r="X21" s="44"/>
      <c r="Y21" s="146" t="n">
        <v>-1.194</v>
      </c>
    </row>
    <row r="22" customFormat="false" ht="15" hidden="false" customHeight="false" outlineLevel="0" collapsed="false">
      <c r="A22" s="44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</row>
    <row r="23" customFormat="false" ht="15" hidden="false" customHeight="false" outlineLevel="0" collapsed="false">
      <c r="A23" s="44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</row>
    <row r="24" customFormat="false" ht="18.75" hidden="false" customHeight="true" outlineLevel="0" collapsed="false">
      <c r="A24" s="44"/>
      <c r="B24" s="83" t="s">
        <v>1966</v>
      </c>
      <c r="C24" s="85"/>
      <c r="D24" s="85"/>
      <c r="E24" s="85"/>
      <c r="F24" s="85"/>
      <c r="G24" s="85"/>
      <c r="H24" s="98" t="s">
        <v>1869</v>
      </c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</row>
    <row r="25" customFormat="false" ht="33.75" hidden="false" customHeight="true" outlineLevel="0" collapsed="false">
      <c r="A25" s="126" t="s">
        <v>39</v>
      </c>
      <c r="B25" s="91" t="s">
        <v>40</v>
      </c>
      <c r="C25" s="91" t="s">
        <v>41</v>
      </c>
      <c r="D25" s="91" t="s">
        <v>42</v>
      </c>
      <c r="E25" s="127" t="s">
        <v>43</v>
      </c>
      <c r="F25" s="91" t="s">
        <v>44</v>
      </c>
      <c r="G25" s="128" t="s">
        <v>45</v>
      </c>
      <c r="H25" s="127" t="s">
        <v>1870</v>
      </c>
      <c r="I25" s="129" t="s">
        <v>1871</v>
      </c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</row>
    <row r="26" customFormat="false" ht="14.25" hidden="false" customHeight="true" outlineLevel="0" collapsed="false">
      <c r="A26" s="44"/>
      <c r="B26" s="96" t="s">
        <v>569</v>
      </c>
      <c r="C26" s="96" t="s">
        <v>1905</v>
      </c>
      <c r="D26" s="96"/>
      <c r="E26" s="96"/>
      <c r="F26" s="130"/>
      <c r="G26" s="131" t="n">
        <v>3221759.232</v>
      </c>
      <c r="H26" s="131" t="n">
        <v>3221759.232</v>
      </c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</row>
    <row r="27" customFormat="false" ht="14.25" hidden="false" customHeight="true" outlineLevel="0" collapsed="false">
      <c r="A27" s="132" t="s">
        <v>570</v>
      </c>
      <c r="B27" s="98" t="s">
        <v>571</v>
      </c>
      <c r="C27" s="98" t="s">
        <v>572</v>
      </c>
      <c r="D27" s="98" t="s">
        <v>53</v>
      </c>
      <c r="E27" s="133" t="s">
        <v>53</v>
      </c>
      <c r="F27" s="134"/>
      <c r="G27" s="100" t="n">
        <v>323695.95</v>
      </c>
      <c r="H27" s="100" t="n">
        <v>323695.95</v>
      </c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</row>
    <row r="28" customFormat="false" ht="14.25" hidden="false" customHeight="true" outlineLevel="0" collapsed="false">
      <c r="A28" s="132" t="s">
        <v>573</v>
      </c>
      <c r="B28" s="98" t="s">
        <v>574</v>
      </c>
      <c r="C28" s="98" t="s">
        <v>575</v>
      </c>
      <c r="D28" s="98" t="s">
        <v>53</v>
      </c>
      <c r="E28" s="133" t="s">
        <v>53</v>
      </c>
      <c r="F28" s="134"/>
      <c r="G28" s="100" t="n">
        <v>304660.5</v>
      </c>
      <c r="H28" s="100" t="n">
        <v>304660.5</v>
      </c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</row>
    <row r="29" customFormat="false" ht="14.25" hidden="false" customHeight="true" outlineLevel="0" collapsed="false">
      <c r="A29" s="132" t="s">
        <v>576</v>
      </c>
      <c r="B29" s="98" t="s">
        <v>577</v>
      </c>
      <c r="C29" s="98" t="s">
        <v>575</v>
      </c>
      <c r="D29" s="98" t="s">
        <v>53</v>
      </c>
      <c r="E29" s="133" t="s">
        <v>53</v>
      </c>
      <c r="F29" s="134"/>
      <c r="G29" s="100" t="n">
        <v>221249.55</v>
      </c>
      <c r="H29" s="100" t="n">
        <v>221249.55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</row>
    <row r="30" customFormat="false" ht="14.25" hidden="false" customHeight="true" outlineLevel="0" collapsed="false">
      <c r="A30" s="132" t="s">
        <v>578</v>
      </c>
      <c r="B30" s="98" t="s">
        <v>579</v>
      </c>
      <c r="C30" s="98" t="s">
        <v>84</v>
      </c>
      <c r="D30" s="98" t="s">
        <v>53</v>
      </c>
      <c r="E30" s="133" t="s">
        <v>53</v>
      </c>
      <c r="F30" s="134"/>
      <c r="G30" s="100" t="n">
        <v>253997.1</v>
      </c>
      <c r="H30" s="100" t="n">
        <v>253997.1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</row>
    <row r="31" customFormat="false" ht="14.25" hidden="false" customHeight="true" outlineLevel="0" collapsed="false">
      <c r="A31" s="132" t="s">
        <v>580</v>
      </c>
      <c r="B31" s="98" t="s">
        <v>581</v>
      </c>
      <c r="C31" s="98" t="s">
        <v>192</v>
      </c>
      <c r="D31" s="98" t="s">
        <v>53</v>
      </c>
      <c r="E31" s="133" t="s">
        <v>53</v>
      </c>
      <c r="F31" s="134"/>
      <c r="G31" s="100" t="n">
        <v>366703.25</v>
      </c>
      <c r="H31" s="100" t="n">
        <v>366703.25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</row>
    <row r="32" customFormat="false" ht="14.25" hidden="false" customHeight="true" outlineLevel="0" collapsed="false">
      <c r="A32" s="132" t="s">
        <v>582</v>
      </c>
      <c r="B32" s="98" t="s">
        <v>583</v>
      </c>
      <c r="C32" s="98" t="s">
        <v>52</v>
      </c>
      <c r="D32" s="98" t="s">
        <v>53</v>
      </c>
      <c r="E32" s="133" t="s">
        <v>53</v>
      </c>
      <c r="F32" s="134"/>
      <c r="G32" s="100" t="n">
        <v>276972.45</v>
      </c>
      <c r="H32" s="100" t="n">
        <v>276972.45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</row>
    <row r="33" customFormat="false" ht="14.25" hidden="false" customHeight="true" outlineLevel="0" collapsed="false">
      <c r="A33" s="132" t="s">
        <v>584</v>
      </c>
      <c r="B33" s="98" t="s">
        <v>585</v>
      </c>
      <c r="C33" s="98" t="s">
        <v>118</v>
      </c>
      <c r="D33" s="98" t="s">
        <v>53</v>
      </c>
      <c r="E33" s="133" t="s">
        <v>53</v>
      </c>
      <c r="F33" s="134"/>
      <c r="G33" s="100" t="n">
        <v>180639.096</v>
      </c>
      <c r="H33" s="100" t="n">
        <v>180639.096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</row>
    <row r="34" customFormat="false" ht="14.25" hidden="false" customHeight="true" outlineLevel="0" collapsed="false">
      <c r="A34" s="132" t="s">
        <v>586</v>
      </c>
      <c r="B34" s="98" t="s">
        <v>587</v>
      </c>
      <c r="C34" s="98" t="s">
        <v>588</v>
      </c>
      <c r="D34" s="98" t="s">
        <v>53</v>
      </c>
      <c r="E34" s="133" t="s">
        <v>53</v>
      </c>
      <c r="F34" s="134"/>
      <c r="G34" s="100" t="n">
        <v>280350</v>
      </c>
      <c r="H34" s="100" t="n">
        <v>280350</v>
      </c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</row>
    <row r="35" customFormat="false" ht="14.25" hidden="false" customHeight="true" outlineLevel="0" collapsed="false">
      <c r="A35" s="132" t="s">
        <v>589</v>
      </c>
      <c r="B35" s="98" t="s">
        <v>590</v>
      </c>
      <c r="C35" s="98" t="s">
        <v>591</v>
      </c>
      <c r="D35" s="98" t="s">
        <v>53</v>
      </c>
      <c r="E35" s="133" t="s">
        <v>53</v>
      </c>
      <c r="F35" s="134"/>
      <c r="G35" s="100" t="n">
        <v>197318.88</v>
      </c>
      <c r="H35" s="100" t="n">
        <v>197318.88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</row>
    <row r="36" customFormat="false" ht="14.25" hidden="false" customHeight="true" outlineLevel="0" collapsed="false">
      <c r="A36" s="132" t="s">
        <v>592</v>
      </c>
      <c r="B36" s="98" t="s">
        <v>593</v>
      </c>
      <c r="C36" s="98" t="s">
        <v>77</v>
      </c>
      <c r="D36" s="98" t="s">
        <v>53</v>
      </c>
      <c r="E36" s="133" t="s">
        <v>53</v>
      </c>
      <c r="F36" s="134"/>
      <c r="G36" s="100" t="n">
        <v>279205.246</v>
      </c>
      <c r="H36" s="100" t="n">
        <v>279205.246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</row>
    <row r="37" customFormat="false" ht="14.25" hidden="false" customHeight="true" outlineLevel="0" collapsed="false">
      <c r="A37" s="132" t="s">
        <v>594</v>
      </c>
      <c r="B37" s="98" t="s">
        <v>595</v>
      </c>
      <c r="C37" s="98" t="s">
        <v>596</v>
      </c>
      <c r="D37" s="98" t="s">
        <v>53</v>
      </c>
      <c r="E37" s="133" t="s">
        <v>53</v>
      </c>
      <c r="F37" s="134"/>
      <c r="G37" s="100" t="n">
        <v>194522.85</v>
      </c>
      <c r="H37" s="100" t="n">
        <v>194522.85</v>
      </c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</row>
    <row r="38" customFormat="false" ht="14.25" hidden="false" customHeight="true" outlineLevel="0" collapsed="false">
      <c r="A38" s="132" t="s">
        <v>597</v>
      </c>
      <c r="B38" s="98" t="s">
        <v>598</v>
      </c>
      <c r="C38" s="98" t="s">
        <v>599</v>
      </c>
      <c r="D38" s="98" t="s">
        <v>53</v>
      </c>
      <c r="E38" s="133" t="s">
        <v>53</v>
      </c>
      <c r="F38" s="134"/>
      <c r="G38" s="100" t="n">
        <v>156490.752</v>
      </c>
      <c r="H38" s="100" t="n">
        <v>156490.752</v>
      </c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</row>
    <row r="39" customFormat="false" ht="14.25" hidden="false" customHeight="true" outlineLevel="0" collapsed="false">
      <c r="A39" s="132" t="s">
        <v>600</v>
      </c>
      <c r="B39" s="98" t="s">
        <v>601</v>
      </c>
      <c r="C39" s="98" t="s">
        <v>523</v>
      </c>
      <c r="D39" s="98" t="s">
        <v>53</v>
      </c>
      <c r="E39" s="133" t="s">
        <v>53</v>
      </c>
      <c r="F39" s="134"/>
      <c r="G39" s="100" t="n">
        <v>101439.056</v>
      </c>
      <c r="H39" s="100" t="n">
        <v>101439.056</v>
      </c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</row>
    <row r="40" customFormat="false" ht="14.25" hidden="false" customHeight="true" outlineLevel="0" collapsed="false">
      <c r="A40" s="132" t="s">
        <v>602</v>
      </c>
      <c r="B40" s="98" t="s">
        <v>603</v>
      </c>
      <c r="C40" s="98" t="s">
        <v>604</v>
      </c>
      <c r="D40" s="98" t="s">
        <v>53</v>
      </c>
      <c r="E40" s="133" t="s">
        <v>53</v>
      </c>
      <c r="F40" s="134"/>
      <c r="G40" s="100" t="n">
        <v>84514.552</v>
      </c>
      <c r="H40" s="100" t="n">
        <v>84514.552</v>
      </c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</row>
    <row r="41" customFormat="false" ht="14.25" hidden="false" customHeight="true" outlineLevel="0" collapsed="false">
      <c r="A41" s="44"/>
      <c r="B41" s="96" t="s">
        <v>512</v>
      </c>
      <c r="C41" s="96" t="s">
        <v>1879</v>
      </c>
      <c r="D41" s="96"/>
      <c r="E41" s="96"/>
      <c r="F41" s="96"/>
      <c r="G41" s="131" t="n">
        <v>1059255.75</v>
      </c>
      <c r="H41" s="131" t="n">
        <v>1059255.75</v>
      </c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</row>
    <row r="42" customFormat="false" ht="14.25" hidden="false" customHeight="true" outlineLevel="0" collapsed="false">
      <c r="A42" s="132" t="s">
        <v>514</v>
      </c>
      <c r="B42" s="98" t="s">
        <v>69</v>
      </c>
      <c r="C42" s="98" t="s">
        <v>84</v>
      </c>
      <c r="D42" s="98" t="s">
        <v>69</v>
      </c>
      <c r="E42" s="133" t="s">
        <v>82</v>
      </c>
      <c r="F42" s="134"/>
      <c r="G42" s="100" t="n">
        <v>231689.25</v>
      </c>
      <c r="H42" s="100" t="n">
        <v>231689.25</v>
      </c>
      <c r="I42" s="135" t="s">
        <v>1926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</row>
    <row r="43" customFormat="false" ht="14.25" hidden="false" customHeight="true" outlineLevel="0" collapsed="false">
      <c r="A43" s="132" t="s">
        <v>515</v>
      </c>
      <c r="B43" s="98" t="s">
        <v>69</v>
      </c>
      <c r="C43" s="98" t="s">
        <v>516</v>
      </c>
      <c r="D43" s="98" t="s">
        <v>69</v>
      </c>
      <c r="E43" s="133" t="s">
        <v>82</v>
      </c>
      <c r="F43" s="134"/>
      <c r="G43" s="100" t="n">
        <v>202853.25</v>
      </c>
      <c r="H43" s="100" t="n">
        <v>202853.25</v>
      </c>
      <c r="I43" s="135" t="s">
        <v>1873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</row>
    <row r="44" customFormat="false" ht="14.25" hidden="false" customHeight="true" outlineLevel="0" collapsed="false">
      <c r="A44" s="132" t="s">
        <v>518</v>
      </c>
      <c r="B44" s="98" t="s">
        <v>519</v>
      </c>
      <c r="C44" s="98" t="s">
        <v>516</v>
      </c>
      <c r="D44" s="98" t="s">
        <v>69</v>
      </c>
      <c r="E44" s="133" t="s">
        <v>82</v>
      </c>
      <c r="F44" s="134"/>
      <c r="G44" s="100" t="n">
        <v>202853.25</v>
      </c>
      <c r="H44" s="100" t="n">
        <v>202853.25</v>
      </c>
      <c r="I44" s="135" t="s">
        <v>1925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</row>
    <row r="45" customFormat="false" ht="14.25" hidden="false" customHeight="true" outlineLevel="0" collapsed="false">
      <c r="A45" s="132" t="s">
        <v>520</v>
      </c>
      <c r="B45" s="98" t="s">
        <v>521</v>
      </c>
      <c r="C45" s="98" t="s">
        <v>133</v>
      </c>
      <c r="D45" s="98" t="s">
        <v>53</v>
      </c>
      <c r="E45" s="133" t="s">
        <v>53</v>
      </c>
      <c r="F45" s="134"/>
      <c r="G45" s="100" t="n">
        <v>219006.75</v>
      </c>
      <c r="H45" s="100" t="n">
        <v>219006.75</v>
      </c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</row>
    <row r="46" customFormat="false" ht="14.25" hidden="false" customHeight="true" outlineLevel="0" collapsed="false">
      <c r="A46" s="132" t="s">
        <v>522</v>
      </c>
      <c r="B46" s="98" t="s">
        <v>1743</v>
      </c>
      <c r="C46" s="98" t="s">
        <v>523</v>
      </c>
      <c r="D46" s="98" t="s">
        <v>69</v>
      </c>
      <c r="E46" s="133" t="s">
        <v>82</v>
      </c>
      <c r="F46" s="134"/>
      <c r="G46" s="100" t="n">
        <v>202853.25</v>
      </c>
      <c r="H46" s="100" t="n">
        <v>202853.25</v>
      </c>
      <c r="I46" s="135" t="s">
        <v>1873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</row>
    <row r="47" customFormat="false" ht="14.25" hidden="false" customHeight="true" outlineLevel="0" collapsed="false">
      <c r="A47" s="44"/>
      <c r="B47" s="96" t="s">
        <v>517</v>
      </c>
      <c r="C47" s="96" t="s">
        <v>1967</v>
      </c>
      <c r="D47" s="96"/>
      <c r="E47" s="96"/>
      <c r="F47" s="96"/>
      <c r="G47" s="131" t="n">
        <v>2679143.5617</v>
      </c>
      <c r="H47" s="131" t="n">
        <v>2513949.3742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</row>
    <row r="48" customFormat="false" ht="14.25" hidden="false" customHeight="true" outlineLevel="0" collapsed="false">
      <c r="A48" s="132" t="s">
        <v>524</v>
      </c>
      <c r="B48" s="98" t="s">
        <v>525</v>
      </c>
      <c r="C48" s="98" t="s">
        <v>526</v>
      </c>
      <c r="D48" s="98" t="s">
        <v>53</v>
      </c>
      <c r="E48" s="133" t="s">
        <v>53</v>
      </c>
      <c r="F48" s="134"/>
      <c r="G48" s="100" t="n">
        <v>346651.0332</v>
      </c>
      <c r="H48" s="100" t="n">
        <v>346651.0332</v>
      </c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</row>
    <row r="49" customFormat="false" ht="14.25" hidden="false" customHeight="true" outlineLevel="0" collapsed="false">
      <c r="A49" s="132" t="s">
        <v>527</v>
      </c>
      <c r="B49" s="98" t="s">
        <v>528</v>
      </c>
      <c r="C49" s="98" t="s">
        <v>133</v>
      </c>
      <c r="D49" s="98" t="s">
        <v>53</v>
      </c>
      <c r="E49" s="133" t="s">
        <v>53</v>
      </c>
      <c r="F49" s="134"/>
      <c r="G49" s="100" t="n">
        <v>352114.3405</v>
      </c>
      <c r="H49" s="100" t="n">
        <v>352114.3405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</row>
    <row r="50" customFormat="false" ht="14.25" hidden="false" customHeight="true" outlineLevel="0" collapsed="false">
      <c r="A50" s="132" t="s">
        <v>529</v>
      </c>
      <c r="B50" s="98" t="s">
        <v>69</v>
      </c>
      <c r="C50" s="98" t="s">
        <v>84</v>
      </c>
      <c r="D50" s="98" t="s">
        <v>69</v>
      </c>
      <c r="E50" s="133" t="s">
        <v>82</v>
      </c>
      <c r="F50" s="134"/>
      <c r="G50" s="100" t="n">
        <v>231689.25</v>
      </c>
      <c r="H50" s="100" t="n">
        <v>231689.25</v>
      </c>
      <c r="I50" s="135" t="s">
        <v>1878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</row>
    <row r="51" customFormat="false" ht="14.25" hidden="false" customHeight="true" outlineLevel="0" collapsed="false">
      <c r="A51" s="132" t="s">
        <v>530</v>
      </c>
      <c r="B51" s="98" t="s">
        <v>531</v>
      </c>
      <c r="C51" s="98" t="s">
        <v>57</v>
      </c>
      <c r="D51" s="98" t="s">
        <v>53</v>
      </c>
      <c r="E51" s="133" t="s">
        <v>53</v>
      </c>
      <c r="F51" s="134"/>
      <c r="G51" s="100" t="n">
        <v>293634.617</v>
      </c>
      <c r="H51" s="100" t="n">
        <v>293634.617</v>
      </c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</row>
    <row r="52" customFormat="false" ht="14.25" hidden="false" customHeight="true" outlineLevel="0" collapsed="false">
      <c r="A52" s="132" t="s">
        <v>532</v>
      </c>
      <c r="B52" s="98" t="s">
        <v>533</v>
      </c>
      <c r="C52" s="98" t="s">
        <v>534</v>
      </c>
      <c r="D52" s="98" t="s">
        <v>53</v>
      </c>
      <c r="E52" s="133" t="s">
        <v>53</v>
      </c>
      <c r="F52" s="134"/>
      <c r="G52" s="100" t="n">
        <v>212558.7</v>
      </c>
      <c r="H52" s="100" t="n">
        <v>212558.7</v>
      </c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</row>
    <row r="53" customFormat="false" ht="14.25" hidden="false" customHeight="true" outlineLevel="0" collapsed="false">
      <c r="A53" s="132" t="s">
        <v>535</v>
      </c>
      <c r="B53" s="98" t="s">
        <v>536</v>
      </c>
      <c r="C53" s="98" t="s">
        <v>133</v>
      </c>
      <c r="D53" s="98" t="s">
        <v>53</v>
      </c>
      <c r="E53" s="133" t="s">
        <v>53</v>
      </c>
      <c r="F53" s="134"/>
      <c r="G53" s="100" t="n">
        <v>226429.35</v>
      </c>
      <c r="H53" s="100" t="n">
        <v>226429.35</v>
      </c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</row>
    <row r="54" customFormat="false" ht="14.25" hidden="false" customHeight="true" outlineLevel="0" collapsed="false">
      <c r="A54" s="132" t="s">
        <v>537</v>
      </c>
      <c r="B54" s="98" t="s">
        <v>538</v>
      </c>
      <c r="C54" s="98" t="s">
        <v>516</v>
      </c>
      <c r="D54" s="98" t="s">
        <v>53</v>
      </c>
      <c r="E54" s="133" t="s">
        <v>53</v>
      </c>
      <c r="F54" s="134"/>
      <c r="G54" s="100" t="n">
        <v>180010.35</v>
      </c>
      <c r="H54" s="100" t="n">
        <v>180010.35</v>
      </c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</row>
    <row r="55" customFormat="false" ht="14.25" hidden="false" customHeight="true" outlineLevel="0" collapsed="false">
      <c r="A55" s="132" t="s">
        <v>539</v>
      </c>
      <c r="B55" s="98" t="s">
        <v>540</v>
      </c>
      <c r="C55" s="98" t="s">
        <v>541</v>
      </c>
      <c r="D55" s="98" t="s">
        <v>53</v>
      </c>
      <c r="E55" s="133" t="s">
        <v>53</v>
      </c>
      <c r="F55" s="134"/>
      <c r="G55" s="100" t="n">
        <v>146390.4</v>
      </c>
      <c r="H55" s="100" t="n">
        <v>146390.4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</row>
    <row r="56" customFormat="false" ht="14.25" hidden="false" customHeight="true" outlineLevel="0" collapsed="false">
      <c r="A56" s="132" t="s">
        <v>542</v>
      </c>
      <c r="B56" s="98" t="s">
        <v>543</v>
      </c>
      <c r="C56" s="98" t="s">
        <v>516</v>
      </c>
      <c r="D56" s="98" t="s">
        <v>53</v>
      </c>
      <c r="E56" s="133" t="s">
        <v>53</v>
      </c>
      <c r="F56" s="134"/>
      <c r="G56" s="100" t="n">
        <v>179970.9</v>
      </c>
      <c r="H56" s="100" t="n">
        <v>179970.9</v>
      </c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</row>
    <row r="57" customFormat="false" ht="14.25" hidden="false" customHeight="true" outlineLevel="0" collapsed="false">
      <c r="A57" s="132" t="s">
        <v>544</v>
      </c>
      <c r="B57" s="98" t="s">
        <v>545</v>
      </c>
      <c r="C57" s="98" t="s">
        <v>546</v>
      </c>
      <c r="D57" s="98" t="s">
        <v>53</v>
      </c>
      <c r="E57" s="133" t="s">
        <v>53</v>
      </c>
      <c r="F57" s="134"/>
      <c r="G57" s="100" t="n">
        <v>216633.121</v>
      </c>
      <c r="H57" s="100" t="n">
        <v>216633.121</v>
      </c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</row>
    <row r="58" customFormat="false" ht="14.25" hidden="false" customHeight="true" outlineLevel="0" collapsed="false">
      <c r="A58" s="132" t="s">
        <v>547</v>
      </c>
      <c r="B58" s="98" t="s">
        <v>69</v>
      </c>
      <c r="C58" s="98" t="s">
        <v>80</v>
      </c>
      <c r="D58" s="98" t="s">
        <v>69</v>
      </c>
      <c r="E58" s="133" t="s">
        <v>82</v>
      </c>
      <c r="F58" s="134" t="s">
        <v>121</v>
      </c>
      <c r="G58" s="100" t="n">
        <v>170489.75</v>
      </c>
      <c r="H58" s="100" t="n">
        <v>127867.3125</v>
      </c>
      <c r="I58" s="135" t="s">
        <v>1952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</row>
    <row r="59" customFormat="false" ht="14.25" hidden="false" customHeight="true" outlineLevel="0" collapsed="false">
      <c r="A59" s="132" t="s">
        <v>548</v>
      </c>
      <c r="B59" s="98" t="s">
        <v>69</v>
      </c>
      <c r="C59" s="98" t="s">
        <v>549</v>
      </c>
      <c r="D59" s="98" t="s">
        <v>69</v>
      </c>
      <c r="E59" s="133" t="s">
        <v>78</v>
      </c>
      <c r="F59" s="134"/>
      <c r="G59" s="100" t="n">
        <v>122571.75</v>
      </c>
      <c r="H59" s="100" t="n">
        <v>0</v>
      </c>
      <c r="I59" s="135" t="s">
        <v>1874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</row>
    <row r="60" customFormat="false" ht="14.25" hidden="false" customHeight="true" outlineLevel="0" collapsed="false">
      <c r="A60" s="44"/>
      <c r="B60" s="96" t="s">
        <v>513</v>
      </c>
      <c r="C60" s="96" t="s">
        <v>1931</v>
      </c>
      <c r="D60" s="96"/>
      <c r="E60" s="96"/>
      <c r="F60" s="96"/>
      <c r="G60" s="131" t="n">
        <v>2106168.849</v>
      </c>
      <c r="H60" s="131" t="n">
        <v>1014627.9396</v>
      </c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</row>
    <row r="61" customFormat="false" ht="14.25" hidden="false" customHeight="true" outlineLevel="0" collapsed="false">
      <c r="A61" s="132" t="s">
        <v>550</v>
      </c>
      <c r="B61" s="98" t="s">
        <v>551</v>
      </c>
      <c r="C61" s="98" t="s">
        <v>84</v>
      </c>
      <c r="D61" s="98" t="s">
        <v>53</v>
      </c>
      <c r="E61" s="133" t="s">
        <v>53</v>
      </c>
      <c r="F61" s="134"/>
      <c r="G61" s="100" t="n">
        <v>286934</v>
      </c>
      <c r="H61" s="100" t="n">
        <v>286934</v>
      </c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</row>
    <row r="62" customFormat="false" ht="14.25" hidden="false" customHeight="true" outlineLevel="0" collapsed="false">
      <c r="A62" s="132" t="s">
        <v>552</v>
      </c>
      <c r="B62" s="98" t="s">
        <v>553</v>
      </c>
      <c r="C62" s="98" t="s">
        <v>133</v>
      </c>
      <c r="D62" s="98" t="s">
        <v>53</v>
      </c>
      <c r="E62" s="133" t="s">
        <v>71</v>
      </c>
      <c r="F62" s="134"/>
      <c r="G62" s="100" t="n">
        <v>322387</v>
      </c>
      <c r="H62" s="100" t="n">
        <v>128954.8</v>
      </c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</row>
    <row r="63" customFormat="false" ht="14.25" hidden="false" customHeight="true" outlineLevel="0" collapsed="false">
      <c r="A63" s="132" t="s">
        <v>554</v>
      </c>
      <c r="B63" s="98" t="s">
        <v>555</v>
      </c>
      <c r="C63" s="98" t="s">
        <v>556</v>
      </c>
      <c r="D63" s="98" t="s">
        <v>53</v>
      </c>
      <c r="E63" s="133" t="s">
        <v>71</v>
      </c>
      <c r="F63" s="134"/>
      <c r="G63" s="100" t="n">
        <v>375566.5</v>
      </c>
      <c r="H63" s="100" t="n">
        <v>150226.6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</row>
    <row r="64" customFormat="false" ht="14.25" hidden="false" customHeight="true" outlineLevel="0" collapsed="false">
      <c r="A64" s="132" t="s">
        <v>557</v>
      </c>
      <c r="B64" s="98" t="s">
        <v>558</v>
      </c>
      <c r="C64" s="98" t="s">
        <v>559</v>
      </c>
      <c r="D64" s="98" t="s">
        <v>53</v>
      </c>
      <c r="E64" s="133" t="s">
        <v>71</v>
      </c>
      <c r="F64" s="134"/>
      <c r="G64" s="100" t="n">
        <v>325684.129</v>
      </c>
      <c r="H64" s="100" t="n">
        <v>130273.6516</v>
      </c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</row>
    <row r="65" customFormat="false" ht="14.25" hidden="false" customHeight="true" outlineLevel="0" collapsed="false">
      <c r="A65" s="132" t="s">
        <v>560</v>
      </c>
      <c r="B65" s="98" t="s">
        <v>561</v>
      </c>
      <c r="C65" s="98" t="s">
        <v>562</v>
      </c>
      <c r="D65" s="98" t="s">
        <v>53</v>
      </c>
      <c r="E65" s="133" t="s">
        <v>71</v>
      </c>
      <c r="F65" s="134"/>
      <c r="G65" s="100" t="n">
        <v>268285.722</v>
      </c>
      <c r="H65" s="100" t="n">
        <v>107314.2888</v>
      </c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</row>
    <row r="66" customFormat="false" ht="14.25" hidden="false" customHeight="true" outlineLevel="0" collapsed="false">
      <c r="A66" s="132" t="s">
        <v>563</v>
      </c>
      <c r="B66" s="98" t="s">
        <v>564</v>
      </c>
      <c r="C66" s="98" t="s">
        <v>565</v>
      </c>
      <c r="D66" s="98" t="s">
        <v>53</v>
      </c>
      <c r="E66" s="133" t="s">
        <v>71</v>
      </c>
      <c r="F66" s="134"/>
      <c r="G66" s="100" t="n">
        <v>260911.498</v>
      </c>
      <c r="H66" s="100" t="n">
        <v>104364.5992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</row>
    <row r="67" customFormat="false" ht="14.25" hidden="false" customHeight="true" outlineLevel="0" collapsed="false">
      <c r="A67" s="132" t="s">
        <v>566</v>
      </c>
      <c r="B67" s="98" t="s">
        <v>567</v>
      </c>
      <c r="C67" s="98" t="s">
        <v>568</v>
      </c>
      <c r="D67" s="98" t="s">
        <v>53</v>
      </c>
      <c r="E67" s="133" t="s">
        <v>71</v>
      </c>
      <c r="F67" s="134"/>
      <c r="G67" s="100" t="n">
        <v>266400</v>
      </c>
      <c r="H67" s="100" t="n">
        <v>106560</v>
      </c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</row>
    <row r="68" customFormat="false" ht="14.25" hidden="false" customHeight="true" outlineLevel="0" collapsed="false">
      <c r="A68" s="44"/>
      <c r="B68" s="96" t="s">
        <v>199</v>
      </c>
      <c r="C68" s="96" t="s">
        <v>1884</v>
      </c>
      <c r="D68" s="96"/>
      <c r="E68" s="96"/>
      <c r="F68" s="96"/>
      <c r="G68" s="131" t="n">
        <v>292434.736</v>
      </c>
      <c r="H68" s="131" t="n">
        <v>292434.736</v>
      </c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</row>
    <row r="69" customFormat="false" ht="14.25" hidden="false" customHeight="true" outlineLevel="0" collapsed="false">
      <c r="A69" s="132" t="s">
        <v>605</v>
      </c>
      <c r="B69" s="98" t="s">
        <v>606</v>
      </c>
      <c r="C69" s="98" t="s">
        <v>607</v>
      </c>
      <c r="D69" s="98" t="s">
        <v>53</v>
      </c>
      <c r="E69" s="133" t="s">
        <v>53</v>
      </c>
      <c r="F69" s="134"/>
      <c r="G69" s="100" t="n">
        <v>292434.736</v>
      </c>
      <c r="H69" s="100" t="n">
        <v>292434.736</v>
      </c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</row>
    <row r="70" customFormat="false" ht="14.25" hidden="false" customHeight="true" outlineLevel="0" collapsed="false">
      <c r="A70" s="44"/>
      <c r="B70" s="96" t="s">
        <v>203</v>
      </c>
      <c r="C70" s="96" t="s">
        <v>1884</v>
      </c>
      <c r="D70" s="96"/>
      <c r="E70" s="96"/>
      <c r="F70" s="96"/>
      <c r="G70" s="131" t="n">
        <v>275810.25</v>
      </c>
      <c r="H70" s="131" t="n">
        <v>275810.25</v>
      </c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</row>
    <row r="71" customFormat="false" ht="14.25" hidden="false" customHeight="true" outlineLevel="0" collapsed="false">
      <c r="A71" s="132" t="s">
        <v>608</v>
      </c>
      <c r="B71" s="98" t="s">
        <v>69</v>
      </c>
      <c r="C71" s="98" t="s">
        <v>203</v>
      </c>
      <c r="D71" s="98" t="s">
        <v>69</v>
      </c>
      <c r="E71" s="133" t="s">
        <v>82</v>
      </c>
      <c r="F71" s="134"/>
      <c r="G71" s="100" t="n">
        <v>275810.25</v>
      </c>
      <c r="H71" s="100" t="n">
        <v>275810.25</v>
      </c>
      <c r="I71" s="135" t="s">
        <v>1873</v>
      </c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</row>
    <row r="72" customFormat="false" ht="14.25" hidden="false" customHeight="true" outlineLevel="0" collapsed="false">
      <c r="A72" s="44"/>
      <c r="B72" s="96" t="s">
        <v>206</v>
      </c>
      <c r="C72" s="96" t="s">
        <v>1913</v>
      </c>
      <c r="D72" s="96"/>
      <c r="E72" s="96"/>
      <c r="F72" s="96"/>
      <c r="G72" s="131" t="n">
        <v>563097.35</v>
      </c>
      <c r="H72" s="131" t="n">
        <v>563097.35</v>
      </c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</row>
    <row r="73" customFormat="false" ht="14.25" hidden="false" customHeight="true" outlineLevel="0" collapsed="false">
      <c r="A73" s="132" t="s">
        <v>609</v>
      </c>
      <c r="B73" s="98" t="s">
        <v>610</v>
      </c>
      <c r="C73" s="98" t="s">
        <v>611</v>
      </c>
      <c r="D73" s="98" t="s">
        <v>53</v>
      </c>
      <c r="E73" s="133" t="s">
        <v>53</v>
      </c>
      <c r="F73" s="134"/>
      <c r="G73" s="100" t="n">
        <v>287287.1</v>
      </c>
      <c r="H73" s="100" t="n">
        <v>287287.1</v>
      </c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</row>
    <row r="74" customFormat="false" ht="14.25" hidden="false" customHeight="true" outlineLevel="0" collapsed="false">
      <c r="A74" s="132" t="s">
        <v>612</v>
      </c>
      <c r="B74" s="98" t="s">
        <v>69</v>
      </c>
      <c r="C74" s="98" t="s">
        <v>303</v>
      </c>
      <c r="D74" s="98" t="s">
        <v>69</v>
      </c>
      <c r="E74" s="133" t="s">
        <v>82</v>
      </c>
      <c r="F74" s="134"/>
      <c r="G74" s="100" t="n">
        <v>275810.25</v>
      </c>
      <c r="H74" s="100" t="n">
        <v>275810.25</v>
      </c>
      <c r="I74" s="135" t="s">
        <v>1925</v>
      </c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</row>
    <row r="75" customFormat="false" ht="15" hidden="false" customHeight="false" outlineLevel="0" collapsed="false">
      <c r="A75" s="44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</row>
    <row r="76" customFormat="false" ht="14.25" hidden="false" customHeight="true" outlineLevel="0" collapsed="false">
      <c r="A76" s="44"/>
      <c r="B76" s="126" t="s">
        <v>1886</v>
      </c>
      <c r="C76" s="44"/>
      <c r="D76" s="44"/>
      <c r="E76" s="44"/>
      <c r="F76" s="44"/>
      <c r="G76" s="44"/>
      <c r="H76" s="44"/>
      <c r="I76" s="44"/>
      <c r="J76" s="44"/>
      <c r="K76" s="136" t="n">
        <v>8</v>
      </c>
      <c r="L76" s="136" t="n">
        <v>0</v>
      </c>
      <c r="M76" s="136" t="n">
        <v>1</v>
      </c>
      <c r="N76" s="136" t="n">
        <v>0</v>
      </c>
      <c r="O76" s="136" t="n">
        <v>6</v>
      </c>
      <c r="P76" s="44"/>
      <c r="Q76" s="44"/>
      <c r="R76" s="44"/>
      <c r="S76" s="44"/>
      <c r="T76" s="44"/>
      <c r="U76" s="44"/>
      <c r="V76" s="44"/>
      <c r="W76" s="44"/>
      <c r="X76" s="44"/>
      <c r="Y76" s="44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4" min="24" style="0" width="11.81"/>
    <col collapsed="false" customWidth="true" hidden="false" outlineLevel="0" max="26" min="26" style="0" width="42"/>
    <col collapsed="false" customWidth="true" hidden="false" outlineLevel="0" max="27" min="27" style="0" width="13.45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</row>
    <row r="2" customFormat="false" ht="21" hidden="false" customHeight="true" outlineLevel="0" collapsed="false">
      <c r="A2" s="44"/>
      <c r="B2" s="81" t="s">
        <v>1968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</row>
    <row r="3" customFormat="false" ht="14.25" hidden="false" customHeight="true" outlineLevel="0" collapsed="false">
      <c r="A3" s="44"/>
      <c r="B3" s="82" t="s">
        <v>1165</v>
      </c>
      <c r="C3" s="73" t="s">
        <v>16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</row>
    <row r="4" customFormat="false" ht="18.75" hidden="false" customHeight="true" outlineLevel="0" collapsed="false">
      <c r="A4" s="44"/>
      <c r="B4" s="83" t="s">
        <v>1969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44"/>
      <c r="V4" s="44"/>
      <c r="W4" s="44"/>
      <c r="X4" s="44"/>
      <c r="Y4" s="86" t="s">
        <v>1821</v>
      </c>
      <c r="Z4" s="87"/>
      <c r="AA4" s="44"/>
    </row>
    <row r="5" customFormat="false" ht="6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89" t="s">
        <v>1822</v>
      </c>
      <c r="Z5" s="90" t="n">
        <v>6.5</v>
      </c>
      <c r="AA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2" t="s">
        <v>1835</v>
      </c>
      <c r="S6" s="92" t="s">
        <v>1836</v>
      </c>
      <c r="T6" s="91" t="s">
        <v>1837</v>
      </c>
      <c r="U6" s="93" t="s">
        <v>1970</v>
      </c>
      <c r="V6" s="186" t="s">
        <v>1971</v>
      </c>
      <c r="W6" s="186" t="s">
        <v>1972</v>
      </c>
      <c r="X6" s="44"/>
      <c r="Y6" s="137" t="s">
        <v>1838</v>
      </c>
      <c r="Z6" s="138" t="n">
        <v>0</v>
      </c>
      <c r="AA6" s="44"/>
    </row>
    <row r="7" customFormat="false" ht="14.25" hidden="false" customHeight="true" outlineLevel="0" collapsed="false">
      <c r="A7" s="44"/>
      <c r="B7" s="96" t="s">
        <v>1164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44"/>
      <c r="V7" s="44"/>
      <c r="W7" s="44"/>
      <c r="X7" s="44"/>
      <c r="Y7" s="139" t="s">
        <v>1839</v>
      </c>
      <c r="Z7" s="138" t="n">
        <v>6.5</v>
      </c>
      <c r="AA7" s="44" t="s">
        <v>1973</v>
      </c>
    </row>
    <row r="8" customFormat="false" ht="14.25" hidden="false" customHeight="true" outlineLevel="0" collapsed="false">
      <c r="A8" s="44"/>
      <c r="B8" s="98" t="s">
        <v>216</v>
      </c>
      <c r="C8" s="98" t="s">
        <v>1843</v>
      </c>
      <c r="D8" s="98" t="s">
        <v>1841</v>
      </c>
      <c r="E8" s="99" t="n">
        <v>7.5</v>
      </c>
      <c r="F8" s="100" t="n">
        <v>7</v>
      </c>
      <c r="G8" s="99" t="n">
        <v>7</v>
      </c>
      <c r="H8" s="100" t="n">
        <v>5</v>
      </c>
      <c r="I8" s="100" t="n">
        <v>2</v>
      </c>
      <c r="J8" s="100" t="n">
        <v>0</v>
      </c>
      <c r="K8" s="100" t="n">
        <v>0</v>
      </c>
      <c r="L8" s="100" t="n">
        <v>2</v>
      </c>
      <c r="M8" s="100" t="n">
        <v>5</v>
      </c>
      <c r="N8" s="101" t="n">
        <v>0.68</v>
      </c>
      <c r="O8" s="101" t="n">
        <v>1.223843362</v>
      </c>
      <c r="P8" s="101" t="n">
        <v>0</v>
      </c>
      <c r="Q8" s="101" t="n">
        <v>1.223843362</v>
      </c>
      <c r="R8" s="101" t="n">
        <v>0.543843</v>
      </c>
      <c r="S8" s="101" t="n">
        <v>0.745179862</v>
      </c>
      <c r="T8" s="101" t="n">
        <v>0.06518</v>
      </c>
      <c r="U8" s="102" t="n">
        <v>0.9</v>
      </c>
      <c r="V8" s="102"/>
      <c r="W8" s="102"/>
      <c r="X8" s="44"/>
      <c r="Y8" s="140" t="s">
        <v>1842</v>
      </c>
      <c r="Z8" s="156" t="n">
        <v>0</v>
      </c>
      <c r="AA8" s="44"/>
    </row>
    <row r="9" customFormat="false" ht="14.25" hidden="false" customHeight="true" outlineLevel="0" collapsed="false">
      <c r="A9" s="44"/>
      <c r="B9" s="98" t="s">
        <v>218</v>
      </c>
      <c r="C9" s="98" t="s">
        <v>1840</v>
      </c>
      <c r="D9" s="98" t="s">
        <v>1841</v>
      </c>
      <c r="E9" s="99" t="n">
        <v>9</v>
      </c>
      <c r="F9" s="100" t="n">
        <v>9</v>
      </c>
      <c r="G9" s="99" t="n">
        <v>9</v>
      </c>
      <c r="H9" s="100" t="n">
        <v>9</v>
      </c>
      <c r="I9" s="100" t="n">
        <v>0</v>
      </c>
      <c r="J9" s="100" t="n">
        <v>0</v>
      </c>
      <c r="K9" s="100" t="n">
        <v>0</v>
      </c>
      <c r="L9" s="100" t="n">
        <v>0</v>
      </c>
      <c r="M9" s="100" t="n">
        <v>9</v>
      </c>
      <c r="N9" s="101" t="n">
        <v>2.1</v>
      </c>
      <c r="O9" s="101" t="n">
        <v>1.374665758</v>
      </c>
      <c r="P9" s="101" t="n">
        <v>0</v>
      </c>
      <c r="Q9" s="101" t="n">
        <v>1.374665758</v>
      </c>
      <c r="R9" s="101" t="n">
        <v>-0.725334</v>
      </c>
      <c r="S9" s="101" t="n">
        <v>1.374665758</v>
      </c>
      <c r="T9" s="101" t="n">
        <v>-0.725334</v>
      </c>
      <c r="U9" s="102" t="n">
        <v>0.8</v>
      </c>
      <c r="V9" s="102"/>
      <c r="W9" s="102"/>
      <c r="X9" s="44"/>
      <c r="Y9" s="140" t="s">
        <v>1844</v>
      </c>
      <c r="Z9" s="156" t="n">
        <v>0.339500000000001</v>
      </c>
      <c r="AA9" s="44"/>
    </row>
    <row r="10" customFormat="false" ht="14.25" hidden="false" customHeight="true" outlineLevel="0" collapsed="false">
      <c r="A10" s="44"/>
      <c r="B10" s="98" t="s">
        <v>224</v>
      </c>
      <c r="C10" s="98" t="s">
        <v>1974</v>
      </c>
      <c r="D10" s="98" t="s">
        <v>1841</v>
      </c>
      <c r="E10" s="99" t="n">
        <v>9</v>
      </c>
      <c r="F10" s="100" t="n">
        <v>9</v>
      </c>
      <c r="G10" s="99" t="n">
        <v>9</v>
      </c>
      <c r="H10" s="100" t="n">
        <v>7</v>
      </c>
      <c r="I10" s="100" t="n">
        <v>2</v>
      </c>
      <c r="J10" s="100" t="n">
        <v>1</v>
      </c>
      <c r="K10" s="100" t="n">
        <v>0</v>
      </c>
      <c r="L10" s="100" t="n">
        <v>1</v>
      </c>
      <c r="M10" s="100" t="n">
        <v>8</v>
      </c>
      <c r="N10" s="101" t="n">
        <v>2</v>
      </c>
      <c r="O10" s="101" t="n">
        <v>1.857667168</v>
      </c>
      <c r="P10" s="101" t="n">
        <v>0</v>
      </c>
      <c r="Q10" s="101" t="n">
        <v>1.857667168</v>
      </c>
      <c r="R10" s="101" t="n">
        <v>-0.142333</v>
      </c>
      <c r="S10" s="101" t="n">
        <v>1.687177418</v>
      </c>
      <c r="T10" s="101" t="n">
        <v>-0.312823</v>
      </c>
      <c r="U10" s="102" t="n">
        <v>0.8</v>
      </c>
      <c r="V10" s="102"/>
      <c r="W10" s="102"/>
      <c r="X10" s="44"/>
      <c r="Y10" s="140" t="s">
        <v>1847</v>
      </c>
      <c r="Z10" s="156" t="n">
        <v>0.339500000000001</v>
      </c>
      <c r="AA10" s="44"/>
    </row>
    <row r="11" customFormat="false" ht="14.25" hidden="false" customHeight="true" outlineLevel="0" collapsed="false">
      <c r="A11" s="44"/>
      <c r="B11" s="98" t="s">
        <v>220</v>
      </c>
      <c r="C11" s="98" t="s">
        <v>1974</v>
      </c>
      <c r="D11" s="98" t="s">
        <v>1841</v>
      </c>
      <c r="E11" s="99" t="n">
        <v>9</v>
      </c>
      <c r="F11" s="100" t="n">
        <v>9</v>
      </c>
      <c r="G11" s="99" t="n">
        <v>9</v>
      </c>
      <c r="H11" s="100" t="n">
        <v>8</v>
      </c>
      <c r="I11" s="100" t="n">
        <v>1</v>
      </c>
      <c r="J11" s="100" t="n">
        <v>1</v>
      </c>
      <c r="K11" s="100" t="n">
        <v>0</v>
      </c>
      <c r="L11" s="100" t="n">
        <v>0</v>
      </c>
      <c r="M11" s="100" t="n">
        <v>9</v>
      </c>
      <c r="N11" s="101" t="n">
        <v>2</v>
      </c>
      <c r="O11" s="101" t="n">
        <v>1.663774396</v>
      </c>
      <c r="P11" s="101" t="n">
        <v>0</v>
      </c>
      <c r="Q11" s="101" t="n">
        <v>1.663774396</v>
      </c>
      <c r="R11" s="101" t="n">
        <v>-0.336226</v>
      </c>
      <c r="S11" s="101" t="n">
        <v>1.663774396</v>
      </c>
      <c r="T11" s="101" t="n">
        <v>-0.336226</v>
      </c>
      <c r="U11" s="102" t="n">
        <v>0.8</v>
      </c>
      <c r="V11" s="102"/>
      <c r="W11" s="102"/>
      <c r="X11" s="44"/>
      <c r="Y11" s="157"/>
      <c r="Z11" s="187"/>
      <c r="AA11" s="44"/>
    </row>
    <row r="12" customFormat="false" ht="14.25" hidden="false" customHeight="true" outlineLevel="0" collapsed="false">
      <c r="A12" s="44"/>
      <c r="B12" s="114" t="s">
        <v>1852</v>
      </c>
      <c r="C12" s="114"/>
      <c r="D12" s="114"/>
      <c r="E12" s="115" t="n">
        <v>34.5</v>
      </c>
      <c r="F12" s="116" t="n">
        <v>34</v>
      </c>
      <c r="G12" s="115" t="n">
        <v>34</v>
      </c>
      <c r="H12" s="116" t="n">
        <v>29</v>
      </c>
      <c r="I12" s="116" t="n">
        <v>5</v>
      </c>
      <c r="J12" s="116" t="n">
        <v>2</v>
      </c>
      <c r="K12" s="116" t="n">
        <v>0</v>
      </c>
      <c r="L12" s="116" t="n">
        <v>3</v>
      </c>
      <c r="M12" s="116" t="n">
        <v>31</v>
      </c>
      <c r="N12" s="117" t="n">
        <v>6.78</v>
      </c>
      <c r="O12" s="117" t="n">
        <v>6.119950684</v>
      </c>
      <c r="P12" s="117" t="n">
        <v>0</v>
      </c>
      <c r="Q12" s="117" t="n">
        <v>6.119950684</v>
      </c>
      <c r="R12" s="117" t="n">
        <v>-0.660049</v>
      </c>
      <c r="S12" s="117" t="n">
        <v>5.470797434</v>
      </c>
      <c r="T12" s="117" t="n">
        <v>-1.309203</v>
      </c>
      <c r="U12" s="44"/>
      <c r="V12" s="44"/>
      <c r="W12" s="44"/>
      <c r="X12" s="44"/>
      <c r="Y12" s="159" t="s">
        <v>1848</v>
      </c>
      <c r="Z12" s="159"/>
      <c r="AA12" s="159"/>
    </row>
    <row r="13" customFormat="false" ht="14.25" hidden="false" customHeight="true" outlineLevel="0" collapsed="false">
      <c r="A13" s="44"/>
      <c r="B13" s="96" t="s">
        <v>1861</v>
      </c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44"/>
      <c r="V13" s="44"/>
      <c r="W13" s="44"/>
      <c r="X13" s="44"/>
      <c r="Y13" s="169" t="s">
        <v>1849</v>
      </c>
      <c r="Z13" s="169" t="s">
        <v>1264</v>
      </c>
      <c r="AA13" s="170" t="s">
        <v>1850</v>
      </c>
    </row>
    <row r="14" customFormat="false" ht="14.25" hidden="false" customHeight="true" outlineLevel="0" collapsed="false">
      <c r="A14" s="44"/>
      <c r="B14" s="98" t="s">
        <v>199</v>
      </c>
      <c r="C14" s="98"/>
      <c r="D14" s="98"/>
      <c r="E14" s="99" t="n">
        <v>0.5</v>
      </c>
      <c r="F14" s="100" t="n">
        <v>1</v>
      </c>
      <c r="G14" s="99" t="n">
        <v>1</v>
      </c>
      <c r="H14" s="100" t="n">
        <v>0</v>
      </c>
      <c r="I14" s="100" t="n">
        <v>1</v>
      </c>
      <c r="J14" s="100" t="n">
        <v>0</v>
      </c>
      <c r="K14" s="100" t="n">
        <v>0</v>
      </c>
      <c r="L14" s="100" t="n">
        <v>0</v>
      </c>
      <c r="M14" s="100" t="n">
        <v>1</v>
      </c>
      <c r="N14" s="101" t="n">
        <v>0.1375</v>
      </c>
      <c r="O14" s="101" t="n">
        <v>0.291422</v>
      </c>
      <c r="P14" s="101" t="n">
        <v>0</v>
      </c>
      <c r="Q14" s="101" t="n">
        <v>0.291422</v>
      </c>
      <c r="R14" s="101" t="n">
        <v>0.153922</v>
      </c>
      <c r="S14" s="101" t="n">
        <v>0.291422</v>
      </c>
      <c r="T14" s="101" t="n">
        <v>0.153922</v>
      </c>
      <c r="U14" s="44"/>
      <c r="V14" s="44"/>
      <c r="W14" s="44"/>
      <c r="X14" s="44"/>
      <c r="Y14" s="171" t="s">
        <v>1975</v>
      </c>
      <c r="Z14" s="161" t="n">
        <v>52.2</v>
      </c>
      <c r="AA14" s="71"/>
    </row>
    <row r="15" customFormat="false" ht="14.25" hidden="false" customHeight="true" outlineLevel="0" collapsed="false">
      <c r="A15" s="44"/>
      <c r="B15" s="98" t="s">
        <v>203</v>
      </c>
      <c r="C15" s="98"/>
      <c r="D15" s="98"/>
      <c r="E15" s="99" t="n">
        <v>0.6</v>
      </c>
      <c r="F15" s="100" t="n">
        <v>1</v>
      </c>
      <c r="G15" s="99" t="n">
        <v>1</v>
      </c>
      <c r="H15" s="100" t="n">
        <v>0</v>
      </c>
      <c r="I15" s="100" t="n">
        <v>1</v>
      </c>
      <c r="J15" s="100" t="n">
        <v>1</v>
      </c>
      <c r="K15" s="100" t="n">
        <v>0</v>
      </c>
      <c r="L15" s="100" t="n">
        <v>0</v>
      </c>
      <c r="M15" s="100" t="n">
        <v>1</v>
      </c>
      <c r="N15" s="101" t="n">
        <v>0.168</v>
      </c>
      <c r="O15" s="101" t="n">
        <v>0.20285325</v>
      </c>
      <c r="P15" s="101" t="n">
        <v>0</v>
      </c>
      <c r="Q15" s="101" t="n">
        <v>0.20285325</v>
      </c>
      <c r="R15" s="101" t="n">
        <v>0.034853</v>
      </c>
      <c r="S15" s="101" t="n">
        <v>0.20285325</v>
      </c>
      <c r="T15" s="101" t="n">
        <v>0.034853</v>
      </c>
      <c r="U15" s="44"/>
      <c r="V15" s="44"/>
      <c r="W15" s="44"/>
      <c r="X15" s="44"/>
      <c r="Y15" s="171" t="s">
        <v>1853</v>
      </c>
      <c r="Z15" s="161" t="n">
        <v>1.4</v>
      </c>
      <c r="AA15" s="173" t="n">
        <v>0</v>
      </c>
    </row>
    <row r="16" customFormat="false" ht="14.25" hidden="false" customHeight="true" outlineLevel="0" collapsed="false">
      <c r="A16" s="44"/>
      <c r="B16" s="98" t="s">
        <v>206</v>
      </c>
      <c r="C16" s="98"/>
      <c r="D16" s="98"/>
      <c r="E16" s="99" t="n">
        <v>0.6</v>
      </c>
      <c r="F16" s="100" t="n">
        <v>3</v>
      </c>
      <c r="G16" s="99" t="n">
        <v>3</v>
      </c>
      <c r="H16" s="100" t="n">
        <v>3</v>
      </c>
      <c r="I16" s="100" t="n">
        <v>0</v>
      </c>
      <c r="J16" s="100" t="n">
        <v>0</v>
      </c>
      <c r="K16" s="100" t="n">
        <v>0</v>
      </c>
      <c r="L16" s="100" t="n">
        <v>0</v>
      </c>
      <c r="M16" s="100" t="n">
        <v>3</v>
      </c>
      <c r="N16" s="101" t="n">
        <v>0.162</v>
      </c>
      <c r="O16" s="101" t="n">
        <v>0.701217524</v>
      </c>
      <c r="P16" s="101" t="n">
        <v>0</v>
      </c>
      <c r="Q16" s="101" t="n">
        <v>0.701217524</v>
      </c>
      <c r="R16" s="101" t="n">
        <v>0.539218</v>
      </c>
      <c r="S16" s="101" t="n">
        <v>0.701217524</v>
      </c>
      <c r="T16" s="101" t="n">
        <v>0.539218</v>
      </c>
      <c r="U16" s="44"/>
      <c r="V16" s="44"/>
      <c r="W16" s="44"/>
      <c r="X16" s="44"/>
      <c r="Y16" s="171" t="s">
        <v>1893</v>
      </c>
      <c r="Z16" s="161" t="n">
        <v>11.7</v>
      </c>
      <c r="AA16" s="173" t="n">
        <v>1.08</v>
      </c>
    </row>
    <row r="17" customFormat="false" ht="14.25" hidden="false" customHeight="true" outlineLevel="0" collapsed="false">
      <c r="A17" s="44"/>
      <c r="B17" s="114" t="s">
        <v>1864</v>
      </c>
      <c r="C17" s="114"/>
      <c r="D17" s="114"/>
      <c r="E17" s="115" t="n">
        <v>1.7</v>
      </c>
      <c r="F17" s="116" t="n">
        <v>5</v>
      </c>
      <c r="G17" s="115" t="n">
        <v>5</v>
      </c>
      <c r="H17" s="116" t="n">
        <v>3</v>
      </c>
      <c r="I17" s="116" t="n">
        <v>2</v>
      </c>
      <c r="J17" s="116" t="n">
        <v>1</v>
      </c>
      <c r="K17" s="116" t="n">
        <v>0</v>
      </c>
      <c r="L17" s="116" t="n">
        <v>0</v>
      </c>
      <c r="M17" s="116" t="n">
        <v>5</v>
      </c>
      <c r="N17" s="117" t="n">
        <v>0.4675</v>
      </c>
      <c r="O17" s="117" t="n">
        <v>1.195492774</v>
      </c>
      <c r="P17" s="117" t="n">
        <v>0</v>
      </c>
      <c r="Q17" s="117" t="n">
        <v>1.195492774</v>
      </c>
      <c r="R17" s="117" t="n">
        <v>0.727993</v>
      </c>
      <c r="S17" s="117" t="n">
        <v>1.195492774</v>
      </c>
      <c r="T17" s="117" t="n">
        <v>0.727993</v>
      </c>
      <c r="U17" s="44"/>
      <c r="V17" s="44"/>
      <c r="W17" s="44"/>
      <c r="X17" s="44"/>
      <c r="Y17" s="171" t="s">
        <v>1857</v>
      </c>
      <c r="Z17" s="161" t="n">
        <v>0</v>
      </c>
      <c r="AA17" s="173" t="n">
        <v>0</v>
      </c>
    </row>
    <row r="18" customFormat="false" ht="14.25" hidden="false" customHeight="true" outlineLevel="0" collapsed="false">
      <c r="A18" s="44"/>
      <c r="B18" s="120" t="s">
        <v>1865</v>
      </c>
      <c r="C18" s="44"/>
      <c r="D18" s="121"/>
      <c r="E18" s="99" t="n">
        <v>1.8</v>
      </c>
      <c r="F18" s="121"/>
      <c r="G18" s="121"/>
      <c r="H18" s="121"/>
      <c r="I18" s="121"/>
      <c r="J18" s="121"/>
      <c r="K18" s="121"/>
      <c r="L18" s="121"/>
      <c r="M18" s="121"/>
      <c r="N18" s="101" t="n">
        <v>0.88</v>
      </c>
      <c r="O18" s="121"/>
      <c r="P18" s="121"/>
      <c r="Q18" s="121"/>
      <c r="R18" s="121"/>
      <c r="S18" s="121"/>
      <c r="T18" s="121"/>
      <c r="U18" s="44"/>
      <c r="V18" s="44"/>
      <c r="W18" s="44"/>
      <c r="X18" s="44"/>
      <c r="Y18" s="171" t="s">
        <v>1903</v>
      </c>
      <c r="Z18" s="161" t="n">
        <v>11.3</v>
      </c>
      <c r="AA18" s="173" t="n">
        <v>0</v>
      </c>
    </row>
    <row r="19" customFormat="false" ht="14.25" hidden="false" customHeight="true" outlineLevel="0" collapsed="false">
      <c r="A19" s="44"/>
      <c r="B19" s="120" t="s">
        <v>1866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174" t="s">
        <v>1860</v>
      </c>
      <c r="Z19" s="71"/>
      <c r="AA19" s="175" t="n">
        <v>1.08</v>
      </c>
    </row>
    <row r="20" customFormat="false" ht="14.25" hidden="false" customHeight="true" outlineLevel="0" collapsed="false">
      <c r="A20" s="44"/>
      <c r="B20" s="122" t="s">
        <v>1867</v>
      </c>
      <c r="C20" s="122"/>
      <c r="D20" s="122"/>
      <c r="E20" s="123" t="n">
        <v>38</v>
      </c>
      <c r="F20" s="124" t="n">
        <v>39</v>
      </c>
      <c r="G20" s="123" t="n">
        <v>39</v>
      </c>
      <c r="H20" s="124" t="n">
        <v>32</v>
      </c>
      <c r="I20" s="124" t="n">
        <v>7</v>
      </c>
      <c r="J20" s="124" t="n">
        <v>3</v>
      </c>
      <c r="K20" s="124" t="n">
        <v>0</v>
      </c>
      <c r="L20" s="124" t="n">
        <v>3</v>
      </c>
      <c r="M20" s="124" t="n">
        <v>36</v>
      </c>
      <c r="N20" s="125" t="n">
        <v>8.1275</v>
      </c>
      <c r="O20" s="125" t="n">
        <v>7.315443458</v>
      </c>
      <c r="P20" s="125" t="n">
        <v>0</v>
      </c>
      <c r="Q20" s="125" t="n">
        <v>7.315443458</v>
      </c>
      <c r="R20" s="125" t="n">
        <v>-0.812057</v>
      </c>
      <c r="S20" s="125" t="n">
        <v>6.666290208</v>
      </c>
      <c r="T20" s="125" t="n">
        <v>-1.46121</v>
      </c>
      <c r="U20" s="44"/>
      <c r="V20" s="44"/>
      <c r="W20" s="44"/>
      <c r="X20" s="44"/>
      <c r="Y20" s="171" t="s">
        <v>1862</v>
      </c>
      <c r="Z20" s="71"/>
      <c r="AA20" s="176" t="n">
        <v>1.288</v>
      </c>
    </row>
    <row r="21" customFormat="false" ht="15" hidden="false" customHeight="false" outlineLevel="0" collapsed="false">
      <c r="A21" s="44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177" t="s">
        <v>1863</v>
      </c>
      <c r="Z21" s="71"/>
      <c r="AA21" s="175" t="n">
        <v>0.208</v>
      </c>
    </row>
    <row r="22" customFormat="false" ht="15" hidden="false" customHeight="false" outlineLevel="0" collapsed="false">
      <c r="A22" s="44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</row>
    <row r="23" customFormat="false" ht="18.75" hidden="false" customHeight="true" outlineLevel="0" collapsed="false">
      <c r="A23" s="44"/>
      <c r="B23" s="83" t="s">
        <v>1976</v>
      </c>
      <c r="C23" s="85"/>
      <c r="D23" s="85"/>
      <c r="E23" s="85"/>
      <c r="F23" s="85"/>
      <c r="G23" s="85"/>
      <c r="H23" s="98" t="s">
        <v>1869</v>
      </c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</row>
    <row r="24" customFormat="false" ht="33.75" hidden="false" customHeight="true" outlineLevel="0" collapsed="false">
      <c r="A24" s="126" t="s">
        <v>39</v>
      </c>
      <c r="B24" s="91" t="s">
        <v>40</v>
      </c>
      <c r="C24" s="91" t="s">
        <v>41</v>
      </c>
      <c r="D24" s="91" t="s">
        <v>42</v>
      </c>
      <c r="E24" s="127" t="s">
        <v>43</v>
      </c>
      <c r="F24" s="91" t="s">
        <v>44</v>
      </c>
      <c r="G24" s="128" t="s">
        <v>45</v>
      </c>
      <c r="H24" s="127" t="s">
        <v>1870</v>
      </c>
      <c r="I24" s="129" t="s">
        <v>1871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</row>
    <row r="25" customFormat="false" ht="14.25" hidden="false" customHeight="true" outlineLevel="0" collapsed="false">
      <c r="A25" s="44"/>
      <c r="B25" s="96" t="s">
        <v>216</v>
      </c>
      <c r="C25" s="96" t="s">
        <v>1931</v>
      </c>
      <c r="D25" s="96"/>
      <c r="E25" s="96"/>
      <c r="F25" s="130"/>
      <c r="G25" s="131" t="n">
        <v>1223843.362</v>
      </c>
      <c r="H25" s="131" t="n">
        <v>745179.862</v>
      </c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</row>
    <row r="26" customFormat="false" ht="14.25" hidden="false" customHeight="true" outlineLevel="0" collapsed="false">
      <c r="A26" s="132" t="s">
        <v>217</v>
      </c>
      <c r="B26" s="98" t="s">
        <v>69</v>
      </c>
      <c r="C26" s="98" t="s">
        <v>84</v>
      </c>
      <c r="D26" s="98" t="s">
        <v>69</v>
      </c>
      <c r="E26" s="133" t="s">
        <v>78</v>
      </c>
      <c r="F26" s="134"/>
      <c r="G26" s="100" t="n">
        <v>275810.25</v>
      </c>
      <c r="H26" s="100" t="n">
        <v>0</v>
      </c>
      <c r="I26" s="135" t="s">
        <v>1925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 customFormat="false" ht="14.25" hidden="false" customHeight="true" outlineLevel="0" collapsed="false">
      <c r="A27" s="132" t="s">
        <v>219</v>
      </c>
      <c r="B27" s="98" t="s">
        <v>69</v>
      </c>
      <c r="C27" s="98" t="s">
        <v>89</v>
      </c>
      <c r="D27" s="98" t="s">
        <v>69</v>
      </c>
      <c r="E27" s="133" t="s">
        <v>78</v>
      </c>
      <c r="F27" s="134"/>
      <c r="G27" s="100" t="n">
        <v>202853.25</v>
      </c>
      <c r="H27" s="100" t="n">
        <v>0</v>
      </c>
      <c r="I27" s="135" t="s">
        <v>1925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 customFormat="false" ht="14.25" hidden="false" customHeight="true" outlineLevel="0" collapsed="false">
      <c r="A28" s="132" t="s">
        <v>221</v>
      </c>
      <c r="B28" s="98" t="s">
        <v>222</v>
      </c>
      <c r="C28" s="98" t="s">
        <v>223</v>
      </c>
      <c r="D28" s="98" t="s">
        <v>53</v>
      </c>
      <c r="E28" s="133" t="s">
        <v>53</v>
      </c>
      <c r="F28" s="134"/>
      <c r="G28" s="100" t="n">
        <v>140772.828</v>
      </c>
      <c r="H28" s="100" t="n">
        <v>140772.828</v>
      </c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</row>
    <row r="29" customFormat="false" ht="14.25" hidden="false" customHeight="true" outlineLevel="0" collapsed="false">
      <c r="A29" s="132" t="s">
        <v>225</v>
      </c>
      <c r="B29" s="98" t="s">
        <v>226</v>
      </c>
      <c r="C29" s="98" t="s">
        <v>89</v>
      </c>
      <c r="D29" s="98" t="s">
        <v>53</v>
      </c>
      <c r="E29" s="133" t="s">
        <v>53</v>
      </c>
      <c r="F29" s="134"/>
      <c r="G29" s="100" t="n">
        <v>155676</v>
      </c>
      <c r="H29" s="100" t="n">
        <v>155676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</row>
    <row r="30" customFormat="false" ht="14.25" hidden="false" customHeight="true" outlineLevel="0" collapsed="false">
      <c r="A30" s="132" t="s">
        <v>227</v>
      </c>
      <c r="B30" s="98" t="s">
        <v>228</v>
      </c>
      <c r="C30" s="98" t="s">
        <v>86</v>
      </c>
      <c r="D30" s="98" t="s">
        <v>53</v>
      </c>
      <c r="E30" s="133" t="s">
        <v>53</v>
      </c>
      <c r="F30" s="134"/>
      <c r="G30" s="100" t="n">
        <v>144642.9</v>
      </c>
      <c r="H30" s="100" t="n">
        <v>144642.9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</row>
    <row r="31" customFormat="false" ht="14.25" hidden="false" customHeight="true" outlineLevel="0" collapsed="false">
      <c r="A31" s="132" t="s">
        <v>229</v>
      </c>
      <c r="B31" s="98" t="s">
        <v>230</v>
      </c>
      <c r="C31" s="98" t="s">
        <v>86</v>
      </c>
      <c r="D31" s="98" t="s">
        <v>53</v>
      </c>
      <c r="E31" s="133" t="s">
        <v>53</v>
      </c>
      <c r="F31" s="134"/>
      <c r="G31" s="100" t="n">
        <v>91809.784</v>
      </c>
      <c r="H31" s="100" t="n">
        <v>91809.784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</row>
    <row r="32" customFormat="false" ht="14.25" hidden="false" customHeight="true" outlineLevel="0" collapsed="false">
      <c r="A32" s="132" t="s">
        <v>231</v>
      </c>
      <c r="B32" s="98" t="s">
        <v>232</v>
      </c>
      <c r="C32" s="98" t="s">
        <v>89</v>
      </c>
      <c r="D32" s="98" t="s">
        <v>53</v>
      </c>
      <c r="E32" s="133" t="s">
        <v>53</v>
      </c>
      <c r="F32" s="134"/>
      <c r="G32" s="100" t="n">
        <v>212278.35</v>
      </c>
      <c r="H32" s="100" t="n">
        <v>212278.35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</row>
    <row r="33" customFormat="false" ht="14.25" hidden="false" customHeight="true" outlineLevel="0" collapsed="false">
      <c r="A33" s="44"/>
      <c r="B33" s="96" t="s">
        <v>218</v>
      </c>
      <c r="C33" s="96" t="s">
        <v>1910</v>
      </c>
      <c r="D33" s="96"/>
      <c r="E33" s="96"/>
      <c r="F33" s="96"/>
      <c r="G33" s="131" t="n">
        <v>1374665.758</v>
      </c>
      <c r="H33" s="131" t="n">
        <v>1374665.758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</row>
    <row r="34" customFormat="false" ht="14.25" hidden="false" customHeight="true" outlineLevel="0" collapsed="false">
      <c r="A34" s="132" t="s">
        <v>233</v>
      </c>
      <c r="B34" s="98" t="s">
        <v>234</v>
      </c>
      <c r="C34" s="98" t="s">
        <v>52</v>
      </c>
      <c r="D34" s="98" t="s">
        <v>53</v>
      </c>
      <c r="E34" s="133" t="s">
        <v>53</v>
      </c>
      <c r="F34" s="134"/>
      <c r="G34" s="100" t="n">
        <v>186217.884</v>
      </c>
      <c r="H34" s="100" t="n">
        <v>186217.884</v>
      </c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</row>
    <row r="35" customFormat="false" ht="14.25" hidden="false" customHeight="true" outlineLevel="0" collapsed="false">
      <c r="A35" s="132" t="s">
        <v>235</v>
      </c>
      <c r="B35" s="98" t="s">
        <v>236</v>
      </c>
      <c r="C35" s="98" t="s">
        <v>118</v>
      </c>
      <c r="D35" s="98" t="s">
        <v>53</v>
      </c>
      <c r="E35" s="133" t="s">
        <v>53</v>
      </c>
      <c r="F35" s="134"/>
      <c r="G35" s="100" t="n">
        <v>81073.2</v>
      </c>
      <c r="H35" s="100" t="n">
        <v>81073.2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</row>
    <row r="36" customFormat="false" ht="14.25" hidden="false" customHeight="true" outlineLevel="0" collapsed="false">
      <c r="A36" s="132" t="s">
        <v>237</v>
      </c>
      <c r="B36" s="98" t="s">
        <v>238</v>
      </c>
      <c r="C36" s="98" t="s">
        <v>118</v>
      </c>
      <c r="D36" s="98" t="s">
        <v>53</v>
      </c>
      <c r="E36" s="133" t="s">
        <v>53</v>
      </c>
      <c r="F36" s="134"/>
      <c r="G36" s="100" t="n">
        <v>199898.928</v>
      </c>
      <c r="H36" s="100" t="n">
        <v>199898.928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</row>
    <row r="37" customFormat="false" ht="14.25" hidden="false" customHeight="true" outlineLevel="0" collapsed="false">
      <c r="A37" s="132" t="s">
        <v>239</v>
      </c>
      <c r="B37" s="98" t="s">
        <v>240</v>
      </c>
      <c r="C37" s="98" t="s">
        <v>84</v>
      </c>
      <c r="D37" s="98" t="s">
        <v>53</v>
      </c>
      <c r="E37" s="133" t="s">
        <v>53</v>
      </c>
      <c r="F37" s="134"/>
      <c r="G37" s="100" t="n">
        <v>256913.42</v>
      </c>
      <c r="H37" s="100" t="n">
        <v>256913.42</v>
      </c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</row>
    <row r="38" customFormat="false" ht="14.25" hidden="false" customHeight="true" outlineLevel="0" collapsed="false">
      <c r="A38" s="132" t="s">
        <v>241</v>
      </c>
      <c r="B38" s="98" t="s">
        <v>242</v>
      </c>
      <c r="C38" s="98" t="s">
        <v>97</v>
      </c>
      <c r="D38" s="98" t="s">
        <v>53</v>
      </c>
      <c r="E38" s="133" t="s">
        <v>53</v>
      </c>
      <c r="F38" s="134"/>
      <c r="G38" s="100" t="n">
        <v>136438.8</v>
      </c>
      <c r="H38" s="100" t="n">
        <v>136438.8</v>
      </c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</row>
    <row r="39" customFormat="false" ht="14.25" hidden="false" customHeight="true" outlineLevel="0" collapsed="false">
      <c r="A39" s="132" t="s">
        <v>243</v>
      </c>
      <c r="B39" s="98" t="s">
        <v>244</v>
      </c>
      <c r="C39" s="98" t="s">
        <v>245</v>
      </c>
      <c r="D39" s="98" t="s">
        <v>53</v>
      </c>
      <c r="E39" s="133" t="s">
        <v>53</v>
      </c>
      <c r="F39" s="134"/>
      <c r="G39" s="100" t="n">
        <v>175039.65</v>
      </c>
      <c r="H39" s="100" t="n">
        <v>175039.65</v>
      </c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</row>
    <row r="40" customFormat="false" ht="14.25" hidden="false" customHeight="true" outlineLevel="0" collapsed="false">
      <c r="A40" s="132" t="s">
        <v>246</v>
      </c>
      <c r="B40" s="98" t="s">
        <v>247</v>
      </c>
      <c r="C40" s="98" t="s">
        <v>248</v>
      </c>
      <c r="D40" s="98" t="s">
        <v>53</v>
      </c>
      <c r="E40" s="133" t="s">
        <v>53</v>
      </c>
      <c r="F40" s="134"/>
      <c r="G40" s="100" t="n">
        <v>134979.036</v>
      </c>
      <c r="H40" s="100" t="n">
        <v>134979.036</v>
      </c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</row>
    <row r="41" customFormat="false" ht="14.25" hidden="false" customHeight="true" outlineLevel="0" collapsed="false">
      <c r="A41" s="132" t="s">
        <v>249</v>
      </c>
      <c r="B41" s="98" t="s">
        <v>250</v>
      </c>
      <c r="C41" s="98" t="s">
        <v>251</v>
      </c>
      <c r="D41" s="98" t="s">
        <v>53</v>
      </c>
      <c r="E41" s="133" t="s">
        <v>53</v>
      </c>
      <c r="F41" s="134"/>
      <c r="G41" s="100" t="n">
        <v>107247.016</v>
      </c>
      <c r="H41" s="100" t="n">
        <v>107247.016</v>
      </c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</row>
    <row r="42" customFormat="false" ht="14.25" hidden="false" customHeight="true" outlineLevel="0" collapsed="false">
      <c r="A42" s="132" t="s">
        <v>252</v>
      </c>
      <c r="B42" s="98" t="s">
        <v>253</v>
      </c>
      <c r="C42" s="98" t="s">
        <v>251</v>
      </c>
      <c r="D42" s="98" t="s">
        <v>53</v>
      </c>
      <c r="E42" s="133" t="s">
        <v>53</v>
      </c>
      <c r="F42" s="134"/>
      <c r="G42" s="100" t="n">
        <v>96857.824</v>
      </c>
      <c r="H42" s="100" t="n">
        <v>96857.824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</row>
    <row r="43" customFormat="false" ht="14.25" hidden="false" customHeight="true" outlineLevel="0" collapsed="false">
      <c r="A43" s="44"/>
      <c r="B43" s="96" t="s">
        <v>224</v>
      </c>
      <c r="C43" s="96" t="s">
        <v>1910</v>
      </c>
      <c r="D43" s="96"/>
      <c r="E43" s="96"/>
      <c r="F43" s="96"/>
      <c r="G43" s="131" t="n">
        <v>1857667.168</v>
      </c>
      <c r="H43" s="131" t="n">
        <v>1687177.418</v>
      </c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</row>
    <row r="44" customFormat="false" ht="14.25" hidden="false" customHeight="true" outlineLevel="0" collapsed="false">
      <c r="A44" s="132" t="s">
        <v>254</v>
      </c>
      <c r="B44" s="98" t="s">
        <v>255</v>
      </c>
      <c r="C44" s="98" t="s">
        <v>52</v>
      </c>
      <c r="D44" s="98" t="s">
        <v>53</v>
      </c>
      <c r="E44" s="133" t="s">
        <v>53</v>
      </c>
      <c r="F44" s="134"/>
      <c r="G44" s="100" t="n">
        <v>206598</v>
      </c>
      <c r="H44" s="100" t="n">
        <v>206598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</row>
    <row r="45" customFormat="false" ht="14.25" hidden="false" customHeight="true" outlineLevel="0" collapsed="false">
      <c r="A45" s="132" t="s">
        <v>256</v>
      </c>
      <c r="B45" s="98" t="s">
        <v>257</v>
      </c>
      <c r="C45" s="98" t="s">
        <v>258</v>
      </c>
      <c r="D45" s="98" t="s">
        <v>53</v>
      </c>
      <c r="E45" s="133" t="s">
        <v>53</v>
      </c>
      <c r="F45" s="134"/>
      <c r="G45" s="100" t="n">
        <v>175289.5</v>
      </c>
      <c r="H45" s="100" t="n">
        <v>175289.5</v>
      </c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</row>
    <row r="46" customFormat="false" ht="14.25" hidden="false" customHeight="true" outlineLevel="0" collapsed="false">
      <c r="A46" s="132" t="s">
        <v>259</v>
      </c>
      <c r="B46" s="98" t="s">
        <v>69</v>
      </c>
      <c r="C46" s="98" t="s">
        <v>118</v>
      </c>
      <c r="D46" s="98" t="s">
        <v>69</v>
      </c>
      <c r="E46" s="133" t="s">
        <v>78</v>
      </c>
      <c r="F46" s="134"/>
      <c r="G46" s="100" t="n">
        <v>170489.75</v>
      </c>
      <c r="H46" s="100" t="n">
        <v>0</v>
      </c>
      <c r="I46" s="135" t="s">
        <v>1925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 customFormat="false" ht="14.25" hidden="false" customHeight="true" outlineLevel="0" collapsed="false">
      <c r="A47" s="132" t="s">
        <v>260</v>
      </c>
      <c r="B47" s="98" t="s">
        <v>261</v>
      </c>
      <c r="C47" s="98" t="s">
        <v>84</v>
      </c>
      <c r="D47" s="98" t="s">
        <v>53</v>
      </c>
      <c r="E47" s="133" t="s">
        <v>53</v>
      </c>
      <c r="F47" s="134"/>
      <c r="G47" s="100" t="n">
        <v>180225</v>
      </c>
      <c r="H47" s="100" t="n">
        <v>180225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</row>
    <row r="48" customFormat="false" ht="14.25" hidden="false" customHeight="true" outlineLevel="0" collapsed="false">
      <c r="A48" s="132" t="s">
        <v>262</v>
      </c>
      <c r="B48" s="98" t="s">
        <v>69</v>
      </c>
      <c r="C48" s="98" t="s">
        <v>263</v>
      </c>
      <c r="D48" s="98" t="s">
        <v>69</v>
      </c>
      <c r="E48" s="133" t="s">
        <v>82</v>
      </c>
      <c r="F48" s="134"/>
      <c r="G48" s="100" t="n">
        <v>231689.25</v>
      </c>
      <c r="H48" s="100" t="n">
        <v>231689.25</v>
      </c>
      <c r="I48" s="135" t="s">
        <v>1873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 customFormat="false" ht="14.25" hidden="false" customHeight="true" outlineLevel="0" collapsed="false">
      <c r="A49" s="132" t="s">
        <v>264</v>
      </c>
      <c r="B49" s="98" t="s">
        <v>265</v>
      </c>
      <c r="C49" s="98" t="s">
        <v>266</v>
      </c>
      <c r="D49" s="98" t="s">
        <v>53</v>
      </c>
      <c r="E49" s="133" t="s">
        <v>53</v>
      </c>
      <c r="F49" s="134"/>
      <c r="G49" s="100" t="n">
        <v>142900.236</v>
      </c>
      <c r="H49" s="100" t="n">
        <v>142900.236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</row>
    <row r="50" customFormat="false" ht="14.25" hidden="false" customHeight="true" outlineLevel="0" collapsed="false">
      <c r="A50" s="132" t="s">
        <v>267</v>
      </c>
      <c r="B50" s="98" t="s">
        <v>268</v>
      </c>
      <c r="C50" s="98" t="s">
        <v>269</v>
      </c>
      <c r="D50" s="98" t="s">
        <v>53</v>
      </c>
      <c r="E50" s="133" t="s">
        <v>53</v>
      </c>
      <c r="F50" s="134"/>
      <c r="G50" s="100" t="n">
        <v>199378.392</v>
      </c>
      <c r="H50" s="100" t="n">
        <v>199378.392</v>
      </c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</row>
    <row r="51" customFormat="false" ht="14.25" hidden="false" customHeight="true" outlineLevel="0" collapsed="false">
      <c r="A51" s="132" t="s">
        <v>270</v>
      </c>
      <c r="B51" s="98" t="s">
        <v>271</v>
      </c>
      <c r="C51" s="98" t="s">
        <v>77</v>
      </c>
      <c r="D51" s="98" t="s">
        <v>53</v>
      </c>
      <c r="E51" s="133" t="s">
        <v>53</v>
      </c>
      <c r="F51" s="134"/>
      <c r="G51" s="100" t="n">
        <v>112447.04</v>
      </c>
      <c r="H51" s="100" t="n">
        <v>112447.04</v>
      </c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</row>
    <row r="52" customFormat="false" ht="14.25" hidden="false" customHeight="true" outlineLevel="0" collapsed="false">
      <c r="A52" s="132" t="s">
        <v>272</v>
      </c>
      <c r="B52" s="98" t="s">
        <v>273</v>
      </c>
      <c r="C52" s="98" t="s">
        <v>274</v>
      </c>
      <c r="D52" s="98" t="s">
        <v>53</v>
      </c>
      <c r="E52" s="133" t="s">
        <v>53</v>
      </c>
      <c r="F52" s="134"/>
      <c r="G52" s="100" t="n">
        <v>438650</v>
      </c>
      <c r="H52" s="100" t="n">
        <v>438650</v>
      </c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</row>
    <row r="53" customFormat="false" ht="14.25" hidden="false" customHeight="true" outlineLevel="0" collapsed="false">
      <c r="A53" s="44"/>
      <c r="B53" s="96" t="s">
        <v>220</v>
      </c>
      <c r="C53" s="96" t="s">
        <v>1910</v>
      </c>
      <c r="D53" s="96"/>
      <c r="E53" s="96"/>
      <c r="F53" s="96"/>
      <c r="G53" s="131" t="n">
        <v>1663774.396</v>
      </c>
      <c r="H53" s="131" t="n">
        <v>1663774.396</v>
      </c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</row>
    <row r="54" customFormat="false" ht="14.25" hidden="false" customHeight="true" outlineLevel="0" collapsed="false">
      <c r="A54" s="132" t="s">
        <v>275</v>
      </c>
      <c r="B54" s="98" t="s">
        <v>276</v>
      </c>
      <c r="C54" s="98" t="s">
        <v>277</v>
      </c>
      <c r="D54" s="98" t="s">
        <v>53</v>
      </c>
      <c r="E54" s="133" t="s">
        <v>53</v>
      </c>
      <c r="F54" s="134"/>
      <c r="G54" s="100" t="n">
        <v>184248.9</v>
      </c>
      <c r="H54" s="100" t="n">
        <v>184248.9</v>
      </c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</row>
    <row r="55" customFormat="false" ht="14.25" hidden="false" customHeight="true" outlineLevel="0" collapsed="false">
      <c r="A55" s="132" t="s">
        <v>278</v>
      </c>
      <c r="B55" s="98" t="s">
        <v>279</v>
      </c>
      <c r="C55" s="98" t="s">
        <v>84</v>
      </c>
      <c r="D55" s="98" t="s">
        <v>53</v>
      </c>
      <c r="E55" s="133" t="s">
        <v>53</v>
      </c>
      <c r="F55" s="134"/>
      <c r="G55" s="100" t="n">
        <v>239418.9</v>
      </c>
      <c r="H55" s="100" t="n">
        <v>239418.9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</row>
    <row r="56" customFormat="false" ht="14.25" hidden="false" customHeight="true" outlineLevel="0" collapsed="false">
      <c r="A56" s="132" t="s">
        <v>280</v>
      </c>
      <c r="B56" s="98" t="s">
        <v>281</v>
      </c>
      <c r="C56" s="98" t="s">
        <v>282</v>
      </c>
      <c r="D56" s="98" t="s">
        <v>53</v>
      </c>
      <c r="E56" s="133" t="s">
        <v>53</v>
      </c>
      <c r="F56" s="134"/>
      <c r="G56" s="100" t="n">
        <v>224493.6</v>
      </c>
      <c r="H56" s="100" t="n">
        <v>224493.6</v>
      </c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</row>
    <row r="57" customFormat="false" ht="14.25" hidden="false" customHeight="true" outlineLevel="0" collapsed="false">
      <c r="A57" s="132" t="s">
        <v>283</v>
      </c>
      <c r="B57" s="98" t="s">
        <v>284</v>
      </c>
      <c r="C57" s="98" t="s">
        <v>269</v>
      </c>
      <c r="D57" s="98" t="s">
        <v>53</v>
      </c>
      <c r="E57" s="133" t="s">
        <v>53</v>
      </c>
      <c r="F57" s="134"/>
      <c r="G57" s="100" t="n">
        <v>104565.584</v>
      </c>
      <c r="H57" s="100" t="n">
        <v>104565.584</v>
      </c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</row>
    <row r="58" customFormat="false" ht="14.25" hidden="false" customHeight="true" outlineLevel="0" collapsed="false">
      <c r="A58" s="132" t="s">
        <v>285</v>
      </c>
      <c r="B58" s="98" t="s">
        <v>69</v>
      </c>
      <c r="C58" s="98" t="s">
        <v>80</v>
      </c>
      <c r="D58" s="98" t="s">
        <v>69</v>
      </c>
      <c r="E58" s="133" t="s">
        <v>82</v>
      </c>
      <c r="F58" s="134"/>
      <c r="G58" s="100" t="n">
        <v>275810.25</v>
      </c>
      <c r="H58" s="100" t="n">
        <v>275810.25</v>
      </c>
      <c r="I58" s="135" t="s">
        <v>1873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</row>
    <row r="59" customFormat="false" ht="14.25" hidden="false" customHeight="true" outlineLevel="0" collapsed="false">
      <c r="A59" s="132" t="s">
        <v>286</v>
      </c>
      <c r="B59" s="98" t="s">
        <v>287</v>
      </c>
      <c r="C59" s="98" t="s">
        <v>133</v>
      </c>
      <c r="D59" s="98" t="s">
        <v>53</v>
      </c>
      <c r="E59" s="133" t="s">
        <v>53</v>
      </c>
      <c r="F59" s="134"/>
      <c r="G59" s="100" t="n">
        <v>153774.912</v>
      </c>
      <c r="H59" s="100" t="n">
        <v>153774.912</v>
      </c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</row>
    <row r="60" customFormat="false" ht="14.25" hidden="false" customHeight="true" outlineLevel="0" collapsed="false">
      <c r="A60" s="132" t="s">
        <v>288</v>
      </c>
      <c r="B60" s="98" t="s">
        <v>289</v>
      </c>
      <c r="C60" s="98" t="s">
        <v>290</v>
      </c>
      <c r="D60" s="98" t="s">
        <v>53</v>
      </c>
      <c r="E60" s="133" t="s">
        <v>53</v>
      </c>
      <c r="F60" s="134"/>
      <c r="G60" s="100" t="n">
        <v>174513.65</v>
      </c>
      <c r="H60" s="100" t="n">
        <v>174513.65</v>
      </c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</row>
    <row r="61" customFormat="false" ht="14.25" hidden="false" customHeight="true" outlineLevel="0" collapsed="false">
      <c r="A61" s="132" t="s">
        <v>291</v>
      </c>
      <c r="B61" s="98" t="s">
        <v>292</v>
      </c>
      <c r="C61" s="98" t="s">
        <v>263</v>
      </c>
      <c r="D61" s="98" t="s">
        <v>53</v>
      </c>
      <c r="E61" s="133" t="s">
        <v>53</v>
      </c>
      <c r="F61" s="134"/>
      <c r="G61" s="100" t="n">
        <v>190050.6</v>
      </c>
      <c r="H61" s="100" t="n">
        <v>190050.6</v>
      </c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</row>
    <row r="62" customFormat="false" ht="14.25" hidden="false" customHeight="true" outlineLevel="0" collapsed="false">
      <c r="A62" s="132" t="s">
        <v>293</v>
      </c>
      <c r="B62" s="98" t="s">
        <v>294</v>
      </c>
      <c r="C62" s="98" t="s">
        <v>290</v>
      </c>
      <c r="D62" s="98" t="s">
        <v>53</v>
      </c>
      <c r="E62" s="133" t="s">
        <v>53</v>
      </c>
      <c r="F62" s="134"/>
      <c r="G62" s="100" t="n">
        <v>116898</v>
      </c>
      <c r="H62" s="100" t="n">
        <v>116898</v>
      </c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</row>
    <row r="63" customFormat="false" ht="14.25" hidden="false" customHeight="true" outlineLevel="0" collapsed="false">
      <c r="A63" s="44"/>
      <c r="B63" s="96" t="s">
        <v>199</v>
      </c>
      <c r="C63" s="96" t="s">
        <v>1884</v>
      </c>
      <c r="D63" s="96"/>
      <c r="E63" s="96"/>
      <c r="F63" s="96"/>
      <c r="G63" s="131" t="n">
        <v>291422</v>
      </c>
      <c r="H63" s="131" t="n">
        <v>291422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</row>
    <row r="64" customFormat="false" ht="14.25" hidden="false" customHeight="true" outlineLevel="0" collapsed="false">
      <c r="A64" s="132" t="s">
        <v>295</v>
      </c>
      <c r="B64" s="98" t="s">
        <v>69</v>
      </c>
      <c r="C64" s="98" t="s">
        <v>296</v>
      </c>
      <c r="D64" s="98" t="s">
        <v>69</v>
      </c>
      <c r="E64" s="133" t="s">
        <v>53</v>
      </c>
      <c r="F64" s="134"/>
      <c r="G64" s="100" t="n">
        <v>291422</v>
      </c>
      <c r="H64" s="100" t="n">
        <v>291422</v>
      </c>
      <c r="I64" s="135" t="s">
        <v>53</v>
      </c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</row>
    <row r="65" customFormat="false" ht="14.25" hidden="false" customHeight="true" outlineLevel="0" collapsed="false">
      <c r="A65" s="44"/>
      <c r="B65" s="96" t="s">
        <v>203</v>
      </c>
      <c r="C65" s="96" t="s">
        <v>1884</v>
      </c>
      <c r="D65" s="96"/>
      <c r="E65" s="96"/>
      <c r="F65" s="96"/>
      <c r="G65" s="131" t="n">
        <v>202853.25</v>
      </c>
      <c r="H65" s="131" t="n">
        <v>202853.25</v>
      </c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</row>
    <row r="66" customFormat="false" ht="14.25" hidden="false" customHeight="true" outlineLevel="0" collapsed="false">
      <c r="A66" s="132" t="s">
        <v>297</v>
      </c>
      <c r="B66" s="98" t="s">
        <v>69</v>
      </c>
      <c r="C66" s="98" t="s">
        <v>203</v>
      </c>
      <c r="D66" s="98" t="s">
        <v>69</v>
      </c>
      <c r="E66" s="133" t="s">
        <v>82</v>
      </c>
      <c r="F66" s="134"/>
      <c r="G66" s="100" t="n">
        <v>202853.25</v>
      </c>
      <c r="H66" s="100" t="n">
        <v>202853.25</v>
      </c>
      <c r="I66" s="135" t="s">
        <v>1873</v>
      </c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</row>
    <row r="67" customFormat="false" ht="14.25" hidden="false" customHeight="true" outlineLevel="0" collapsed="false">
      <c r="A67" s="44"/>
      <c r="B67" s="96" t="s">
        <v>206</v>
      </c>
      <c r="C67" s="96" t="s">
        <v>1885</v>
      </c>
      <c r="D67" s="96"/>
      <c r="E67" s="96"/>
      <c r="F67" s="96"/>
      <c r="G67" s="131" t="n">
        <v>701217.524</v>
      </c>
      <c r="H67" s="131" t="n">
        <v>701217.524</v>
      </c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</row>
    <row r="68" customFormat="false" ht="14.25" hidden="false" customHeight="true" outlineLevel="0" collapsed="false">
      <c r="A68" s="132" t="s">
        <v>298</v>
      </c>
      <c r="B68" s="98" t="s">
        <v>299</v>
      </c>
      <c r="C68" s="98" t="s">
        <v>300</v>
      </c>
      <c r="D68" s="98" t="s">
        <v>53</v>
      </c>
      <c r="E68" s="133" t="s">
        <v>53</v>
      </c>
      <c r="F68" s="134"/>
      <c r="G68" s="100" t="n">
        <v>236483.556</v>
      </c>
      <c r="H68" s="100" t="n">
        <v>236483.556</v>
      </c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</row>
    <row r="69" customFormat="false" ht="14.25" hidden="false" customHeight="true" outlineLevel="0" collapsed="false">
      <c r="A69" s="132" t="s">
        <v>301</v>
      </c>
      <c r="B69" s="98" t="s">
        <v>302</v>
      </c>
      <c r="C69" s="98" t="s">
        <v>303</v>
      </c>
      <c r="D69" s="98" t="s">
        <v>53</v>
      </c>
      <c r="E69" s="133" t="s">
        <v>53</v>
      </c>
      <c r="F69" s="134"/>
      <c r="G69" s="100" t="n">
        <v>254198</v>
      </c>
      <c r="H69" s="100" t="n">
        <v>254198</v>
      </c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</row>
    <row r="70" customFormat="false" ht="14.25" hidden="false" customHeight="true" outlineLevel="0" collapsed="false">
      <c r="A70" s="132" t="s">
        <v>304</v>
      </c>
      <c r="B70" s="98" t="s">
        <v>305</v>
      </c>
      <c r="C70" s="98" t="s">
        <v>306</v>
      </c>
      <c r="D70" s="98" t="s">
        <v>53</v>
      </c>
      <c r="E70" s="133" t="s">
        <v>53</v>
      </c>
      <c r="F70" s="134"/>
      <c r="G70" s="100" t="n">
        <v>210535.968</v>
      </c>
      <c r="H70" s="100" t="n">
        <v>210535.968</v>
      </c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</row>
    <row r="71" customFormat="false" ht="15" hidden="false" customHeight="false" outlineLevel="0" collapsed="false">
      <c r="A71" s="44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</row>
    <row r="72" customFormat="false" ht="14.25" hidden="false" customHeight="true" outlineLevel="0" collapsed="false">
      <c r="A72" s="44"/>
      <c r="B72" s="126" t="s">
        <v>1886</v>
      </c>
      <c r="C72" s="44"/>
      <c r="D72" s="44"/>
      <c r="E72" s="44"/>
      <c r="F72" s="44"/>
      <c r="G72" s="44"/>
      <c r="H72" s="44"/>
      <c r="I72" s="44"/>
      <c r="J72" s="44"/>
      <c r="K72" s="136" t="n">
        <v>3</v>
      </c>
      <c r="L72" s="136" t="n">
        <v>0</v>
      </c>
      <c r="M72" s="136" t="n">
        <v>3</v>
      </c>
      <c r="N72" s="136" t="n">
        <v>1</v>
      </c>
      <c r="O72" s="136" t="n">
        <v>0</v>
      </c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</row>
  </sheetData>
  <mergeCells count="1">
    <mergeCell ref="Y12:AA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.27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</row>
    <row r="2" customFormat="false" ht="21" hidden="false" customHeight="true" outlineLevel="0" collapsed="false">
      <c r="A2" s="44"/>
      <c r="B2" s="81" t="s">
        <v>1977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</row>
    <row r="3" customFormat="false" ht="14.25" hidden="false" customHeight="true" outlineLevel="0" collapsed="false">
      <c r="A3" s="44"/>
      <c r="B3" s="82" t="s">
        <v>1165</v>
      </c>
      <c r="C3" s="73" t="s">
        <v>32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</row>
    <row r="4" customFormat="false" ht="18.75" hidden="false" customHeight="true" outlineLevel="0" collapsed="false">
      <c r="A4" s="44"/>
      <c r="B4" s="83" t="s">
        <v>1978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</row>
    <row r="5" customFormat="false" ht="6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1" t="s">
        <v>1835</v>
      </c>
      <c r="S6" s="92" t="s">
        <v>1836</v>
      </c>
      <c r="T6" s="91" t="s">
        <v>1837</v>
      </c>
      <c r="U6" s="44"/>
    </row>
    <row r="7" customFormat="false" ht="14.25" hidden="false" customHeight="true" outlineLevel="0" collapsed="false">
      <c r="A7" s="44"/>
      <c r="B7" s="96" t="s">
        <v>1854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44"/>
    </row>
    <row r="8" customFormat="false" ht="14.25" hidden="false" customHeight="true" outlineLevel="0" collapsed="false">
      <c r="A8" s="44"/>
      <c r="B8" s="98" t="s">
        <v>1322</v>
      </c>
      <c r="C8" s="188"/>
      <c r="D8" s="98"/>
      <c r="E8" s="189"/>
      <c r="F8" s="100" t="n">
        <v>5</v>
      </c>
      <c r="G8" s="99" t="n">
        <v>5</v>
      </c>
      <c r="H8" s="100" t="n">
        <v>5</v>
      </c>
      <c r="I8" s="100" t="n">
        <v>0</v>
      </c>
      <c r="J8" s="100" t="n">
        <v>0</v>
      </c>
      <c r="K8" s="100" t="n">
        <v>4</v>
      </c>
      <c r="L8" s="100" t="n">
        <v>0</v>
      </c>
      <c r="M8" s="100" t="n">
        <v>5</v>
      </c>
      <c r="N8" s="189"/>
      <c r="O8" s="101" t="n">
        <v>1.071477788</v>
      </c>
      <c r="P8" s="101" t="n">
        <v>0</v>
      </c>
      <c r="Q8" s="101" t="n">
        <v>1.071477788</v>
      </c>
      <c r="R8" s="189"/>
      <c r="S8" s="101" t="n">
        <v>0.6008170352</v>
      </c>
      <c r="T8" s="189"/>
      <c r="U8" s="44"/>
    </row>
    <row r="9" customFormat="false" ht="14.25" hidden="false" customHeight="true" outlineLevel="0" collapsed="false">
      <c r="A9" s="44"/>
      <c r="B9" s="98" t="s">
        <v>1328</v>
      </c>
      <c r="C9" s="98"/>
      <c r="D9" s="98"/>
      <c r="E9" s="189"/>
      <c r="F9" s="100" t="n">
        <v>3</v>
      </c>
      <c r="G9" s="99" t="n">
        <v>3</v>
      </c>
      <c r="H9" s="100" t="n">
        <v>2</v>
      </c>
      <c r="I9" s="100" t="n">
        <v>1</v>
      </c>
      <c r="J9" s="100" t="n">
        <v>0</v>
      </c>
      <c r="K9" s="100" t="n">
        <v>2</v>
      </c>
      <c r="L9" s="100" t="n">
        <v>0</v>
      </c>
      <c r="M9" s="100" t="n">
        <v>3</v>
      </c>
      <c r="N9" s="189"/>
      <c r="O9" s="101" t="n">
        <v>0.646047982</v>
      </c>
      <c r="P9" s="101" t="n">
        <v>0</v>
      </c>
      <c r="Q9" s="101" t="n">
        <v>0.646047982</v>
      </c>
      <c r="R9" s="189"/>
      <c r="S9" s="101" t="n">
        <v>0.4135961378</v>
      </c>
      <c r="T9" s="189"/>
      <c r="U9" s="44"/>
    </row>
    <row r="10" customFormat="false" ht="14.25" hidden="false" customHeight="true" outlineLevel="0" collapsed="false">
      <c r="A10" s="44"/>
      <c r="B10" s="98" t="s">
        <v>1332</v>
      </c>
      <c r="C10" s="98"/>
      <c r="D10" s="98"/>
      <c r="E10" s="189"/>
      <c r="F10" s="100" t="n">
        <v>5</v>
      </c>
      <c r="G10" s="99" t="n">
        <v>4.8</v>
      </c>
      <c r="H10" s="100" t="n">
        <v>5</v>
      </c>
      <c r="I10" s="100" t="n">
        <v>0</v>
      </c>
      <c r="J10" s="100" t="n">
        <v>0</v>
      </c>
      <c r="K10" s="100" t="n">
        <v>3</v>
      </c>
      <c r="L10" s="100" t="n">
        <v>0</v>
      </c>
      <c r="M10" s="100" t="n">
        <v>5</v>
      </c>
      <c r="N10" s="189"/>
      <c r="O10" s="101" t="n">
        <v>1.0820293312</v>
      </c>
      <c r="P10" s="101" t="n">
        <v>0</v>
      </c>
      <c r="Q10" s="101" t="n">
        <v>1.0820293312</v>
      </c>
      <c r="R10" s="189"/>
      <c r="S10" s="101" t="n">
        <v>0.75047995048</v>
      </c>
      <c r="T10" s="189"/>
      <c r="U10" s="44"/>
    </row>
    <row r="11" customFormat="false" ht="14.25" hidden="false" customHeight="true" outlineLevel="0" collapsed="false">
      <c r="A11" s="44"/>
      <c r="B11" s="98" t="s">
        <v>1338</v>
      </c>
      <c r="C11" s="98"/>
      <c r="D11" s="98"/>
      <c r="E11" s="189"/>
      <c r="F11" s="100" t="n">
        <v>5</v>
      </c>
      <c r="G11" s="99" t="n">
        <v>5</v>
      </c>
      <c r="H11" s="100" t="n">
        <v>4</v>
      </c>
      <c r="I11" s="100" t="n">
        <v>1</v>
      </c>
      <c r="J11" s="100" t="n">
        <v>1</v>
      </c>
      <c r="K11" s="100" t="n">
        <v>0</v>
      </c>
      <c r="L11" s="100" t="n">
        <v>0</v>
      </c>
      <c r="M11" s="100" t="n">
        <v>5</v>
      </c>
      <c r="N11" s="189"/>
      <c r="O11" s="101" t="n">
        <v>1.39116685</v>
      </c>
      <c r="P11" s="101" t="n">
        <v>0</v>
      </c>
      <c r="Q11" s="101" t="n">
        <v>1.39116685</v>
      </c>
      <c r="R11" s="189"/>
      <c r="S11" s="101" t="n">
        <v>0.8963474</v>
      </c>
      <c r="T11" s="189"/>
      <c r="U11" s="44"/>
    </row>
    <row r="12" customFormat="false" ht="14.25" hidden="false" customHeight="true" outlineLevel="0" collapsed="false">
      <c r="A12" s="44"/>
      <c r="B12" s="122" t="s">
        <v>1867</v>
      </c>
      <c r="C12" s="122"/>
      <c r="D12" s="122"/>
      <c r="E12" s="123" t="n">
        <v>0</v>
      </c>
      <c r="F12" s="124" t="n">
        <v>18</v>
      </c>
      <c r="G12" s="123" t="n">
        <v>17.8</v>
      </c>
      <c r="H12" s="124" t="n">
        <v>16</v>
      </c>
      <c r="I12" s="124" t="n">
        <v>2</v>
      </c>
      <c r="J12" s="124" t="n">
        <v>1</v>
      </c>
      <c r="K12" s="124" t="n">
        <v>9</v>
      </c>
      <c r="L12" s="124" t="n">
        <v>0</v>
      </c>
      <c r="M12" s="124" t="n">
        <v>18</v>
      </c>
      <c r="N12" s="125"/>
      <c r="O12" s="125" t="n">
        <v>4.1907219512</v>
      </c>
      <c r="P12" s="125" t="n">
        <v>0</v>
      </c>
      <c r="Q12" s="125" t="n">
        <v>4.1907219512</v>
      </c>
      <c r="R12" s="125"/>
      <c r="S12" s="125" t="n">
        <v>2.66124052348</v>
      </c>
      <c r="T12" s="125"/>
      <c r="U12" s="44"/>
    </row>
    <row r="13" customFormat="false" ht="15" hidden="false" customHeight="false" outlineLevel="0" collapsed="false">
      <c r="A13" s="44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</row>
    <row r="14" customFormat="false" ht="15" hidden="false" customHeight="false" outlineLevel="0" collapsed="false">
      <c r="A14" s="44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</row>
    <row r="15" customFormat="false" ht="18.75" hidden="false" customHeight="true" outlineLevel="0" collapsed="false">
      <c r="A15" s="44"/>
      <c r="B15" s="96" t="s">
        <v>1979</v>
      </c>
      <c r="C15" s="188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</row>
    <row r="16" customFormat="false" ht="33.75" hidden="false" customHeight="true" outlineLevel="0" collapsed="false">
      <c r="A16" s="44"/>
      <c r="B16" s="98" t="s">
        <v>1980</v>
      </c>
      <c r="C16" s="190" t="n">
        <v>1.5</v>
      </c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</row>
    <row r="17" customFormat="false" ht="14.25" hidden="false" customHeight="true" outlineLevel="0" collapsed="false">
      <c r="A17" s="44"/>
      <c r="B17" s="98" t="s">
        <v>1981</v>
      </c>
      <c r="C17" s="190" t="n">
        <v>1.5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</row>
    <row r="18" customFormat="false" ht="14.25" hidden="false" customHeight="true" outlineLevel="0" collapsed="false">
      <c r="A18" s="44"/>
      <c r="B18" s="98" t="s">
        <v>1982</v>
      </c>
      <c r="C18" s="190" t="n">
        <v>2.66124052348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</row>
    <row r="19" customFormat="false" ht="14.25" hidden="false" customHeight="true" outlineLevel="0" collapsed="false">
      <c r="A19" s="44"/>
      <c r="B19" s="98" t="s">
        <v>1983</v>
      </c>
      <c r="C19" s="190" t="n">
        <v>1.16124052348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</row>
    <row r="20" customFormat="false" ht="15" hidden="false" customHeight="false" outlineLevel="0" collapsed="false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</row>
    <row r="21" customFormat="false" ht="14.25" hidden="false" customHeight="true" outlineLevel="0" collapsed="false">
      <c r="A21" s="44"/>
      <c r="B21" s="83" t="s">
        <v>1984</v>
      </c>
      <c r="C21" s="85"/>
      <c r="D21" s="85"/>
      <c r="E21" s="85"/>
      <c r="F21" s="85"/>
      <c r="G21" s="85"/>
      <c r="H21" s="98" t="s">
        <v>1869</v>
      </c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</row>
    <row r="22" customFormat="false" ht="81.75" hidden="false" customHeight="true" outlineLevel="0" collapsed="false">
      <c r="A22" s="126" t="s">
        <v>39</v>
      </c>
      <c r="B22" s="91" t="s">
        <v>40</v>
      </c>
      <c r="C22" s="91" t="s">
        <v>41</v>
      </c>
      <c r="D22" s="91" t="s">
        <v>42</v>
      </c>
      <c r="E22" s="127" t="s">
        <v>43</v>
      </c>
      <c r="F22" s="91" t="s">
        <v>44</v>
      </c>
      <c r="G22" s="128" t="s">
        <v>45</v>
      </c>
      <c r="H22" s="91" t="s">
        <v>1870</v>
      </c>
      <c r="I22" s="91" t="s">
        <v>1985</v>
      </c>
      <c r="J22" s="91" t="s">
        <v>1986</v>
      </c>
      <c r="K22" s="44"/>
      <c r="L22" s="149" t="s">
        <v>1871</v>
      </c>
      <c r="M22" s="44"/>
      <c r="N22" s="44"/>
      <c r="O22" s="44"/>
      <c r="P22" s="44"/>
      <c r="Q22" s="44"/>
      <c r="R22" s="44"/>
      <c r="S22" s="44"/>
      <c r="T22" s="44"/>
      <c r="U22" s="44"/>
    </row>
    <row r="23" customFormat="false" ht="14.25" hidden="false" customHeight="true" outlineLevel="0" collapsed="false">
      <c r="A23" s="44"/>
      <c r="B23" s="96" t="s">
        <v>1322</v>
      </c>
      <c r="C23" s="96" t="s">
        <v>1879</v>
      </c>
      <c r="D23" s="96"/>
      <c r="E23" s="96"/>
      <c r="F23" s="130"/>
      <c r="G23" s="131" t="n">
        <v>1071477.788</v>
      </c>
      <c r="H23" s="131" t="n">
        <v>600817.0352</v>
      </c>
      <c r="I23" s="44"/>
      <c r="J23" s="131" t="n">
        <v>0</v>
      </c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</row>
    <row r="24" customFormat="false" ht="14.25" hidden="false" customHeight="true" outlineLevel="0" collapsed="false">
      <c r="A24" s="132" t="s">
        <v>1320</v>
      </c>
      <c r="B24" s="98" t="s">
        <v>1589</v>
      </c>
      <c r="C24" s="98" t="s">
        <v>1590</v>
      </c>
      <c r="D24" s="98" t="s">
        <v>53</v>
      </c>
      <c r="E24" s="133" t="s">
        <v>53</v>
      </c>
      <c r="F24" s="134"/>
      <c r="G24" s="100" t="n">
        <v>287043.2</v>
      </c>
      <c r="H24" s="100" t="n">
        <v>287043.2</v>
      </c>
      <c r="I24" s="191" t="n">
        <v>0</v>
      </c>
      <c r="J24" s="100" t="n">
        <v>0</v>
      </c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</row>
    <row r="25" customFormat="false" ht="14.25" hidden="false" customHeight="true" outlineLevel="0" collapsed="false">
      <c r="A25" s="132" t="s">
        <v>1323</v>
      </c>
      <c r="B25" s="98" t="s">
        <v>1657</v>
      </c>
      <c r="C25" s="98" t="s">
        <v>1658</v>
      </c>
      <c r="D25" s="98" t="s">
        <v>53</v>
      </c>
      <c r="E25" s="133" t="s">
        <v>71</v>
      </c>
      <c r="F25" s="134"/>
      <c r="G25" s="100" t="n">
        <v>220275</v>
      </c>
      <c r="H25" s="100" t="n">
        <v>88110</v>
      </c>
      <c r="I25" s="191" t="n">
        <v>0</v>
      </c>
      <c r="J25" s="100" t="n">
        <v>0</v>
      </c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</row>
    <row r="26" customFormat="false" ht="14.25" hidden="false" customHeight="true" outlineLevel="0" collapsed="false">
      <c r="A26" s="132" t="s">
        <v>1324</v>
      </c>
      <c r="B26" s="98" t="s">
        <v>1723</v>
      </c>
      <c r="C26" s="98" t="s">
        <v>1724</v>
      </c>
      <c r="D26" s="98" t="s">
        <v>53</v>
      </c>
      <c r="E26" s="133" t="s">
        <v>71</v>
      </c>
      <c r="F26" s="134"/>
      <c r="G26" s="100" t="n">
        <v>203440.65</v>
      </c>
      <c r="H26" s="100" t="n">
        <v>81376.26</v>
      </c>
      <c r="I26" s="191" t="n">
        <v>0</v>
      </c>
      <c r="J26" s="100" t="n">
        <v>0</v>
      </c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</row>
    <row r="27" customFormat="false" ht="14.25" hidden="false" customHeight="true" outlineLevel="0" collapsed="false">
      <c r="A27" s="132" t="s">
        <v>1325</v>
      </c>
      <c r="B27" s="98" t="s">
        <v>1725</v>
      </c>
      <c r="C27" s="98" t="s">
        <v>1724</v>
      </c>
      <c r="D27" s="98" t="s">
        <v>53</v>
      </c>
      <c r="E27" s="133" t="s">
        <v>71</v>
      </c>
      <c r="F27" s="134"/>
      <c r="G27" s="100" t="n">
        <v>228885.75</v>
      </c>
      <c r="H27" s="100" t="n">
        <v>91554.3</v>
      </c>
      <c r="I27" s="191" t="n">
        <v>0</v>
      </c>
      <c r="J27" s="100" t="n">
        <v>0</v>
      </c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</row>
    <row r="28" customFormat="false" ht="14.25" hidden="false" customHeight="true" outlineLevel="0" collapsed="false">
      <c r="A28" s="132" t="s">
        <v>1326</v>
      </c>
      <c r="B28" s="98" t="s">
        <v>1761</v>
      </c>
      <c r="C28" s="98" t="s">
        <v>1724</v>
      </c>
      <c r="D28" s="98" t="s">
        <v>53</v>
      </c>
      <c r="E28" s="133" t="s">
        <v>71</v>
      </c>
      <c r="F28" s="134"/>
      <c r="G28" s="100" t="n">
        <v>131833.188</v>
      </c>
      <c r="H28" s="100" t="n">
        <v>52733.2752</v>
      </c>
      <c r="I28" s="191" t="n">
        <v>0</v>
      </c>
      <c r="J28" s="100" t="n">
        <v>0</v>
      </c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</row>
    <row r="29" customFormat="false" ht="14.25" hidden="false" customHeight="true" outlineLevel="0" collapsed="false">
      <c r="A29" s="44"/>
      <c r="B29" s="96" t="s">
        <v>1328</v>
      </c>
      <c r="C29" s="96" t="s">
        <v>1885</v>
      </c>
      <c r="D29" s="96"/>
      <c r="E29" s="96"/>
      <c r="F29" s="96"/>
      <c r="G29" s="131" t="n">
        <v>646047.982</v>
      </c>
      <c r="H29" s="131" t="n">
        <v>413596.1378</v>
      </c>
      <c r="I29" s="44"/>
      <c r="J29" s="131" t="n">
        <v>0</v>
      </c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</row>
    <row r="30" customFormat="false" ht="14.25" hidden="false" customHeight="true" outlineLevel="0" collapsed="false">
      <c r="A30" s="132" t="s">
        <v>1327</v>
      </c>
      <c r="B30" s="98" t="s">
        <v>1585</v>
      </c>
      <c r="C30" s="98" t="s">
        <v>1586</v>
      </c>
      <c r="D30" s="98" t="s">
        <v>53</v>
      </c>
      <c r="E30" s="133" t="s">
        <v>53</v>
      </c>
      <c r="F30" s="134"/>
      <c r="G30" s="100" t="n">
        <v>287043.2</v>
      </c>
      <c r="H30" s="100" t="n">
        <v>287043.2</v>
      </c>
      <c r="I30" s="191" t="n">
        <v>0</v>
      </c>
      <c r="J30" s="100" t="n">
        <v>0</v>
      </c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</row>
    <row r="31" customFormat="false" ht="14.25" hidden="false" customHeight="true" outlineLevel="0" collapsed="false">
      <c r="A31" s="132" t="s">
        <v>1329</v>
      </c>
      <c r="B31" s="98" t="s">
        <v>69</v>
      </c>
      <c r="C31" s="98" t="s">
        <v>1817</v>
      </c>
      <c r="D31" s="98" t="s">
        <v>69</v>
      </c>
      <c r="E31" s="133" t="s">
        <v>71</v>
      </c>
      <c r="F31" s="134" t="s">
        <v>121</v>
      </c>
      <c r="G31" s="100" t="n">
        <v>170489.75</v>
      </c>
      <c r="H31" s="100" t="n">
        <v>51146.925</v>
      </c>
      <c r="I31" s="191" t="n">
        <v>0</v>
      </c>
      <c r="J31" s="100" t="n">
        <v>0</v>
      </c>
      <c r="K31" s="44"/>
      <c r="L31" s="135" t="s">
        <v>1952</v>
      </c>
      <c r="M31" s="44"/>
      <c r="N31" s="44"/>
      <c r="O31" s="44"/>
      <c r="P31" s="44"/>
      <c r="Q31" s="44"/>
      <c r="R31" s="44"/>
      <c r="S31" s="44"/>
      <c r="T31" s="44"/>
      <c r="U31" s="44"/>
    </row>
    <row r="32" customFormat="false" ht="14.25" hidden="false" customHeight="true" outlineLevel="0" collapsed="false">
      <c r="A32" s="132" t="s">
        <v>1330</v>
      </c>
      <c r="B32" s="98" t="s">
        <v>1651</v>
      </c>
      <c r="C32" s="98" t="s">
        <v>1652</v>
      </c>
      <c r="D32" s="98" t="s">
        <v>53</v>
      </c>
      <c r="E32" s="133" t="s">
        <v>71</v>
      </c>
      <c r="F32" s="134"/>
      <c r="G32" s="100" t="n">
        <v>188515.032</v>
      </c>
      <c r="H32" s="100" t="n">
        <v>75406.0128</v>
      </c>
      <c r="I32" s="191" t="n">
        <v>0</v>
      </c>
      <c r="J32" s="100" t="n">
        <v>0</v>
      </c>
      <c r="K32" s="44" t="s">
        <v>1987</v>
      </c>
      <c r="L32" s="44"/>
      <c r="M32" s="44"/>
      <c r="N32" s="44"/>
      <c r="O32" s="44"/>
      <c r="P32" s="44"/>
      <c r="Q32" s="44"/>
      <c r="R32" s="44"/>
      <c r="S32" s="44"/>
      <c r="T32" s="44"/>
      <c r="U32" s="44"/>
    </row>
    <row r="33" customFormat="false" ht="14.25" hidden="false" customHeight="true" outlineLevel="0" collapsed="false">
      <c r="A33" s="44"/>
      <c r="B33" s="96" t="s">
        <v>1332</v>
      </c>
      <c r="C33" s="96" t="s">
        <v>1879</v>
      </c>
      <c r="D33" s="96"/>
      <c r="E33" s="96"/>
      <c r="F33" s="96"/>
      <c r="G33" s="131" t="n">
        <v>1082029.3312</v>
      </c>
      <c r="H33" s="131" t="n">
        <v>750479.95048</v>
      </c>
      <c r="I33" s="44"/>
      <c r="J33" s="131" t="n">
        <v>0</v>
      </c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</row>
    <row r="34" customFormat="false" ht="14.25" hidden="false" customHeight="true" outlineLevel="0" collapsed="false">
      <c r="A34" s="132" t="s">
        <v>1331</v>
      </c>
      <c r="B34" s="98" t="s">
        <v>1592</v>
      </c>
      <c r="C34" s="98" t="s">
        <v>1593</v>
      </c>
      <c r="D34" s="98" t="s">
        <v>53</v>
      </c>
      <c r="E34" s="133" t="s">
        <v>53</v>
      </c>
      <c r="F34" s="134"/>
      <c r="G34" s="100" t="n">
        <v>316568.65</v>
      </c>
      <c r="H34" s="100" t="n">
        <v>316568.65</v>
      </c>
      <c r="I34" s="191" t="n">
        <v>0</v>
      </c>
      <c r="J34" s="100" t="n">
        <v>0</v>
      </c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</row>
    <row r="35" customFormat="false" ht="14.25" hidden="false" customHeight="true" outlineLevel="0" collapsed="false">
      <c r="A35" s="132" t="s">
        <v>1333</v>
      </c>
      <c r="B35" s="98" t="s">
        <v>1688</v>
      </c>
      <c r="C35" s="98" t="s">
        <v>1689</v>
      </c>
      <c r="D35" s="98" t="s">
        <v>53</v>
      </c>
      <c r="E35" s="133" t="s">
        <v>53</v>
      </c>
      <c r="F35" s="134"/>
      <c r="G35" s="100" t="n">
        <v>212878.38</v>
      </c>
      <c r="H35" s="100" t="n">
        <v>212878.38</v>
      </c>
      <c r="I35" s="191" t="n">
        <v>0</v>
      </c>
      <c r="J35" s="100" t="n">
        <v>0</v>
      </c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</row>
    <row r="36" customFormat="false" ht="14.25" hidden="false" customHeight="true" outlineLevel="0" collapsed="false">
      <c r="A36" s="132" t="s">
        <v>1334</v>
      </c>
      <c r="B36" s="98" t="s">
        <v>1744</v>
      </c>
      <c r="C36" s="98" t="s">
        <v>1745</v>
      </c>
      <c r="D36" s="98" t="s">
        <v>53</v>
      </c>
      <c r="E36" s="133" t="s">
        <v>71</v>
      </c>
      <c r="F36" s="134"/>
      <c r="G36" s="100" t="n">
        <v>215629.2</v>
      </c>
      <c r="H36" s="100" t="n">
        <v>86251.68</v>
      </c>
      <c r="I36" s="191" t="n">
        <v>0</v>
      </c>
      <c r="J36" s="100" t="n">
        <v>0</v>
      </c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</row>
    <row r="37" customFormat="false" ht="14.25" hidden="false" customHeight="true" outlineLevel="0" collapsed="false">
      <c r="A37" s="132" t="s">
        <v>1335</v>
      </c>
      <c r="B37" s="98" t="s">
        <v>1746</v>
      </c>
      <c r="C37" s="98" t="s">
        <v>1745</v>
      </c>
      <c r="D37" s="98" t="s">
        <v>53</v>
      </c>
      <c r="E37" s="133" t="s">
        <v>71</v>
      </c>
      <c r="F37" s="134"/>
      <c r="G37" s="100" t="n">
        <v>218713.05</v>
      </c>
      <c r="H37" s="100" t="n">
        <v>87485.22</v>
      </c>
      <c r="I37" s="191" t="n">
        <v>0</v>
      </c>
      <c r="J37" s="100" t="n">
        <v>0</v>
      </c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</row>
    <row r="38" customFormat="false" ht="14.25" hidden="false" customHeight="true" outlineLevel="0" collapsed="false">
      <c r="A38" s="132" t="s">
        <v>1336</v>
      </c>
      <c r="B38" s="98" t="s">
        <v>1779</v>
      </c>
      <c r="C38" s="98" t="s">
        <v>1745</v>
      </c>
      <c r="D38" s="98" t="s">
        <v>53</v>
      </c>
      <c r="E38" s="133" t="s">
        <v>71</v>
      </c>
      <c r="F38" s="134"/>
      <c r="G38" s="100" t="n">
        <v>118240.0512</v>
      </c>
      <c r="H38" s="100" t="n">
        <v>47296.02048</v>
      </c>
      <c r="I38" s="191" t="n">
        <v>0</v>
      </c>
      <c r="J38" s="100" t="n">
        <v>0</v>
      </c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</row>
    <row r="39" customFormat="false" ht="14.25" hidden="false" customHeight="true" outlineLevel="0" collapsed="false">
      <c r="A39" s="44"/>
      <c r="B39" s="96" t="s">
        <v>1338</v>
      </c>
      <c r="C39" s="96" t="s">
        <v>1879</v>
      </c>
      <c r="D39" s="96"/>
      <c r="E39" s="96"/>
      <c r="F39" s="96"/>
      <c r="G39" s="131" t="n">
        <v>1391166.85</v>
      </c>
      <c r="H39" s="131" t="n">
        <v>896347.4</v>
      </c>
      <c r="I39" s="44"/>
      <c r="J39" s="131" t="n">
        <v>494819.45</v>
      </c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</row>
    <row r="40" customFormat="false" ht="14.25" hidden="false" customHeight="true" outlineLevel="0" collapsed="false">
      <c r="A40" s="132" t="s">
        <v>1337</v>
      </c>
      <c r="B40" s="98" t="s">
        <v>1523</v>
      </c>
      <c r="C40" s="98" t="s">
        <v>1524</v>
      </c>
      <c r="D40" s="98" t="s">
        <v>53</v>
      </c>
      <c r="E40" s="133" t="s">
        <v>53</v>
      </c>
      <c r="F40" s="134"/>
      <c r="G40" s="100" t="n">
        <v>382587.7</v>
      </c>
      <c r="H40" s="100" t="n">
        <v>191293.85</v>
      </c>
      <c r="I40" s="191" t="n">
        <v>0.5</v>
      </c>
      <c r="J40" s="100" t="n">
        <v>191293.85</v>
      </c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</row>
    <row r="41" customFormat="false" ht="14.25" hidden="false" customHeight="true" outlineLevel="0" collapsed="false">
      <c r="A41" s="132" t="s">
        <v>1339</v>
      </c>
      <c r="B41" s="98" t="s">
        <v>69</v>
      </c>
      <c r="C41" s="98" t="s">
        <v>1812</v>
      </c>
      <c r="D41" s="98" t="s">
        <v>69</v>
      </c>
      <c r="E41" s="133" t="s">
        <v>82</v>
      </c>
      <c r="F41" s="134"/>
      <c r="G41" s="100" t="n">
        <v>213600</v>
      </c>
      <c r="H41" s="100" t="n">
        <v>213600</v>
      </c>
      <c r="I41" s="191"/>
      <c r="J41" s="100" t="n">
        <v>0</v>
      </c>
      <c r="K41" s="44"/>
      <c r="L41" s="135" t="s">
        <v>1925</v>
      </c>
      <c r="M41" s="44"/>
      <c r="N41" s="44"/>
      <c r="O41" s="44"/>
      <c r="P41" s="44"/>
      <c r="Q41" s="44"/>
      <c r="R41" s="44"/>
      <c r="S41" s="44"/>
      <c r="T41" s="44"/>
      <c r="U41" s="44"/>
    </row>
    <row r="42" customFormat="false" ht="14.25" hidden="false" customHeight="true" outlineLevel="0" collapsed="false">
      <c r="A42" s="132" t="s">
        <v>1340</v>
      </c>
      <c r="B42" s="98" t="s">
        <v>1664</v>
      </c>
      <c r="C42" s="98" t="s">
        <v>1665</v>
      </c>
      <c r="D42" s="98" t="s">
        <v>53</v>
      </c>
      <c r="E42" s="133" t="s">
        <v>53</v>
      </c>
      <c r="F42" s="134"/>
      <c r="G42" s="100" t="n">
        <v>285342.9</v>
      </c>
      <c r="H42" s="100" t="n">
        <v>214007.175</v>
      </c>
      <c r="I42" s="191" t="n">
        <v>0.25</v>
      </c>
      <c r="J42" s="100" t="n">
        <v>71335.725</v>
      </c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</row>
    <row r="43" customFormat="false" ht="14.25" hidden="false" customHeight="true" outlineLevel="0" collapsed="false">
      <c r="A43" s="132" t="s">
        <v>1341</v>
      </c>
      <c r="B43" s="98" t="s">
        <v>1666</v>
      </c>
      <c r="C43" s="98" t="s">
        <v>1667</v>
      </c>
      <c r="D43" s="98" t="s">
        <v>53</v>
      </c>
      <c r="E43" s="133" t="s">
        <v>53</v>
      </c>
      <c r="F43" s="134"/>
      <c r="G43" s="100" t="n">
        <v>283353.75</v>
      </c>
      <c r="H43" s="100" t="n">
        <v>141676.875</v>
      </c>
      <c r="I43" s="191" t="n">
        <v>0.5</v>
      </c>
      <c r="J43" s="100" t="n">
        <v>141676.875</v>
      </c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</row>
    <row r="44" customFormat="false" ht="14.25" hidden="false" customHeight="true" outlineLevel="0" collapsed="false">
      <c r="A44" s="132" t="s">
        <v>1342</v>
      </c>
      <c r="B44" s="98" t="s">
        <v>1669</v>
      </c>
      <c r="C44" s="98" t="s">
        <v>1667</v>
      </c>
      <c r="D44" s="98" t="s">
        <v>53</v>
      </c>
      <c r="E44" s="133" t="s">
        <v>53</v>
      </c>
      <c r="F44" s="134"/>
      <c r="G44" s="100" t="n">
        <v>226282.5</v>
      </c>
      <c r="H44" s="100" t="n">
        <v>135769.5</v>
      </c>
      <c r="I44" s="191" t="n">
        <v>0.4</v>
      </c>
      <c r="J44" s="100" t="n">
        <v>90513</v>
      </c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</row>
    <row r="45" customFormat="false" ht="15" hidden="false" customHeight="false" outlineLevel="0" collapsed="false">
      <c r="A45" s="44"/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</row>
    <row r="46" customFormat="false" ht="14.25" hidden="false" customHeight="true" outlineLevel="0" collapsed="false">
      <c r="A46" s="44"/>
      <c r="B46" s="126" t="s">
        <v>1886</v>
      </c>
      <c r="C46" s="44"/>
      <c r="D46" s="44"/>
      <c r="E46" s="44"/>
      <c r="F46" s="44"/>
      <c r="G46" s="44"/>
      <c r="H46" s="44"/>
      <c r="I46" s="44"/>
      <c r="J46" s="44"/>
      <c r="K46" s="136" t="n">
        <v>1</v>
      </c>
      <c r="L46" s="136" t="n">
        <v>1</v>
      </c>
      <c r="M46" s="136" t="n">
        <v>0</v>
      </c>
      <c r="N46" s="136" t="n">
        <v>0</v>
      </c>
      <c r="O46" s="136" t="n">
        <v>8</v>
      </c>
      <c r="P46" s="44"/>
      <c r="Q46" s="44"/>
      <c r="R46" s="44"/>
      <c r="S46" s="44"/>
      <c r="T46" s="44"/>
      <c r="U46" s="44"/>
    </row>
    <row r="47" customFormat="false" ht="15" hidden="false" customHeight="false" outlineLevel="0" collapsed="false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</row>
    <row r="48" customFormat="false" ht="15" hidden="false" customHeight="false" outlineLevel="0" collapsed="false">
      <c r="A48" s="44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</row>
    <row r="49" customFormat="false" ht="15" hidden="false" customHeight="false" outlineLevel="0" collapsed="false">
      <c r="A49" s="44"/>
      <c r="B49" s="44"/>
      <c r="C49" s="44"/>
      <c r="D49" s="44"/>
      <c r="E49" s="44" t="s">
        <v>1988</v>
      </c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</row>
    <row r="50" customFormat="false" ht="15" hidden="false" customHeight="false" outlineLevel="0" collapsed="false">
      <c r="A50" s="44"/>
      <c r="B50" s="44"/>
      <c r="C50" s="44"/>
      <c r="D50" s="44"/>
      <c r="E50" s="44" t="s">
        <v>1989</v>
      </c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1.54"/>
    <col collapsed="false" customWidth="true" hidden="false" outlineLevel="0" max="8" min="8" style="0" width="13.36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</row>
    <row r="2" customFormat="false" ht="21" hidden="false" customHeight="true" outlineLevel="0" collapsed="false">
      <c r="A2" s="44"/>
      <c r="B2" s="81" t="s">
        <v>1990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</row>
    <row r="3" customFormat="false" ht="14.25" hidden="false" customHeight="true" outlineLevel="0" collapsed="false">
      <c r="A3" s="44"/>
      <c r="B3" s="82" t="s">
        <v>1165</v>
      </c>
      <c r="C3" s="73" t="s">
        <v>1514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</row>
    <row r="4" customFormat="false" ht="18.75" hidden="false" customHeight="true" outlineLevel="0" collapsed="false">
      <c r="A4" s="44"/>
      <c r="B4" s="83" t="s">
        <v>1991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</row>
    <row r="5" customFormat="false" ht="6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1" t="s">
        <v>1835</v>
      </c>
      <c r="S6" s="92" t="s">
        <v>1836</v>
      </c>
      <c r="T6" s="91" t="s">
        <v>1837</v>
      </c>
    </row>
    <row r="7" customFormat="false" ht="14.25" hidden="false" customHeight="true" outlineLevel="0" collapsed="false">
      <c r="A7" s="44"/>
      <c r="B7" s="96" t="s">
        <v>1854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</row>
    <row r="8" customFormat="false" ht="14.25" hidden="false" customHeight="true" outlineLevel="0" collapsed="false">
      <c r="A8" s="44"/>
      <c r="B8" s="98" t="s">
        <v>1255</v>
      </c>
      <c r="C8" s="188"/>
      <c r="D8" s="98"/>
      <c r="E8" s="189"/>
      <c r="F8" s="100" t="n">
        <v>4</v>
      </c>
      <c r="G8" s="99" t="n">
        <v>4</v>
      </c>
      <c r="H8" s="100" t="n">
        <v>3</v>
      </c>
      <c r="I8" s="100" t="n">
        <v>1</v>
      </c>
      <c r="J8" s="100" t="n">
        <v>1</v>
      </c>
      <c r="K8" s="100" t="n">
        <v>0</v>
      </c>
      <c r="L8" s="100" t="n">
        <v>0</v>
      </c>
      <c r="M8" s="100" t="n">
        <v>4</v>
      </c>
      <c r="N8" s="189"/>
      <c r="O8" s="101" t="n">
        <v>0.979014192</v>
      </c>
      <c r="P8" s="101" t="n">
        <v>0</v>
      </c>
      <c r="Q8" s="101" t="n">
        <v>0.979014192</v>
      </c>
      <c r="R8" s="189"/>
      <c r="S8" s="101" t="n">
        <v>0.979014192</v>
      </c>
      <c r="T8" s="189"/>
    </row>
    <row r="9" customFormat="false" ht="14.25" hidden="false" customHeight="true" outlineLevel="0" collapsed="false">
      <c r="A9" s="44"/>
      <c r="B9" s="98" t="s">
        <v>1256</v>
      </c>
      <c r="C9" s="98"/>
      <c r="D9" s="98"/>
      <c r="E9" s="189"/>
      <c r="F9" s="100" t="n">
        <v>6</v>
      </c>
      <c r="G9" s="99" t="n">
        <v>6</v>
      </c>
      <c r="H9" s="100" t="n">
        <v>6</v>
      </c>
      <c r="I9" s="100" t="n">
        <v>0</v>
      </c>
      <c r="J9" s="100" t="n">
        <v>0</v>
      </c>
      <c r="K9" s="100" t="n">
        <v>0</v>
      </c>
      <c r="L9" s="100" t="n">
        <v>0</v>
      </c>
      <c r="M9" s="100" t="n">
        <v>6</v>
      </c>
      <c r="N9" s="189"/>
      <c r="O9" s="101" t="n">
        <v>2.3135484</v>
      </c>
      <c r="P9" s="101" t="n">
        <v>0</v>
      </c>
      <c r="Q9" s="101" t="n">
        <v>2.3135484</v>
      </c>
      <c r="R9" s="189"/>
      <c r="S9" s="101" t="n">
        <v>2.3135484</v>
      </c>
      <c r="T9" s="189"/>
    </row>
    <row r="10" customFormat="false" ht="14.25" hidden="false" customHeight="true" outlineLevel="0" collapsed="false">
      <c r="A10" s="44"/>
      <c r="B10" s="98" t="s">
        <v>1253</v>
      </c>
      <c r="C10" s="98"/>
      <c r="D10" s="98"/>
      <c r="E10" s="189"/>
      <c r="F10" s="100" t="n">
        <v>14</v>
      </c>
      <c r="G10" s="99" t="n">
        <v>14</v>
      </c>
      <c r="H10" s="100" t="n">
        <v>7</v>
      </c>
      <c r="I10" s="100" t="n">
        <v>7</v>
      </c>
      <c r="J10" s="100" t="n">
        <v>5</v>
      </c>
      <c r="K10" s="100" t="n">
        <v>2</v>
      </c>
      <c r="L10" s="100" t="n">
        <v>0</v>
      </c>
      <c r="M10" s="100" t="n">
        <v>14</v>
      </c>
      <c r="N10" s="189"/>
      <c r="O10" s="101" t="n">
        <v>3.10799923</v>
      </c>
      <c r="P10" s="101" t="n">
        <v>0</v>
      </c>
      <c r="Q10" s="101" t="n">
        <v>3.10799923</v>
      </c>
      <c r="R10" s="189"/>
      <c r="S10" s="101" t="n">
        <v>2.88399343</v>
      </c>
      <c r="T10" s="189"/>
    </row>
    <row r="11" customFormat="false" ht="14.25" hidden="false" customHeight="true" outlineLevel="0" collapsed="false">
      <c r="A11" s="44"/>
      <c r="B11" s="122" t="s">
        <v>1867</v>
      </c>
      <c r="C11" s="122"/>
      <c r="D11" s="122"/>
      <c r="E11" s="123" t="n">
        <v>0</v>
      </c>
      <c r="F11" s="124" t="n">
        <v>24</v>
      </c>
      <c r="G11" s="123" t="n">
        <v>24</v>
      </c>
      <c r="H11" s="124" t="n">
        <v>16</v>
      </c>
      <c r="I11" s="124" t="n">
        <v>8</v>
      </c>
      <c r="J11" s="124" t="n">
        <v>6</v>
      </c>
      <c r="K11" s="124" t="n">
        <v>2</v>
      </c>
      <c r="L11" s="124" t="n">
        <v>0</v>
      </c>
      <c r="M11" s="124" t="n">
        <v>24</v>
      </c>
      <c r="N11" s="125"/>
      <c r="O11" s="125" t="n">
        <v>6.400561822</v>
      </c>
      <c r="P11" s="125" t="n">
        <v>0</v>
      </c>
      <c r="Q11" s="125" t="n">
        <v>6.400561822</v>
      </c>
      <c r="R11" s="125"/>
      <c r="S11" s="125" t="n">
        <v>6.176556022</v>
      </c>
      <c r="T11" s="125"/>
    </row>
    <row r="12" customFormat="false" ht="15" hidden="false" customHeight="false" outlineLevel="0" collapsed="false">
      <c r="A12" s="44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</row>
    <row r="13" customFormat="false" ht="15" hidden="false" customHeight="false" outlineLevel="0" collapsed="false">
      <c r="A13" s="44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</row>
    <row r="14" customFormat="false" ht="18.75" hidden="false" customHeight="true" outlineLevel="0" collapsed="false">
      <c r="A14" s="44"/>
      <c r="B14" s="96" t="s">
        <v>1979</v>
      </c>
      <c r="C14" s="188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</row>
    <row r="15" customFormat="false" ht="33.75" hidden="false" customHeight="true" outlineLevel="0" collapsed="false">
      <c r="A15" s="44"/>
      <c r="B15" s="98" t="s">
        <v>1992</v>
      </c>
      <c r="C15" s="190" t="n">
        <v>10</v>
      </c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</row>
    <row r="16" customFormat="false" ht="14.25" hidden="false" customHeight="true" outlineLevel="0" collapsed="false">
      <c r="A16" s="44"/>
      <c r="B16" s="98" t="s">
        <v>1993</v>
      </c>
      <c r="C16" s="190" t="n">
        <v>0.5</v>
      </c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</row>
    <row r="17" customFormat="false" ht="14.25" hidden="false" customHeight="true" outlineLevel="0" collapsed="false">
      <c r="A17" s="44"/>
      <c r="B17" s="98" t="s">
        <v>1994</v>
      </c>
      <c r="C17" s="190" t="n">
        <v>5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</row>
    <row r="18" customFormat="false" ht="14.25" hidden="false" customHeight="true" outlineLevel="0" collapsed="false">
      <c r="A18" s="44"/>
      <c r="B18" s="98" t="s">
        <v>1995</v>
      </c>
      <c r="C18" s="190" t="n">
        <v>2.2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</row>
    <row r="19" customFormat="false" ht="14.25" hidden="false" customHeight="true" outlineLevel="0" collapsed="false">
      <c r="A19" s="44"/>
      <c r="B19" s="98" t="s">
        <v>1996</v>
      </c>
      <c r="C19" s="190" t="n">
        <v>2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</row>
    <row r="20" customFormat="false" ht="14.25" hidden="false" customHeight="true" outlineLevel="0" collapsed="false">
      <c r="A20" s="44"/>
      <c r="B20" s="98" t="s">
        <v>1997</v>
      </c>
      <c r="C20" s="190" t="n">
        <v>2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</row>
    <row r="21" customFormat="false" ht="14.25" hidden="false" customHeight="true" outlineLevel="0" collapsed="false">
      <c r="A21" s="44"/>
      <c r="B21" s="98" t="s">
        <v>1981</v>
      </c>
      <c r="C21" s="190" t="n">
        <v>4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</row>
    <row r="22" customFormat="false" ht="14.25" hidden="false" customHeight="true" outlineLevel="0" collapsed="false">
      <c r="A22" s="44"/>
      <c r="B22" s="98" t="s">
        <v>1998</v>
      </c>
      <c r="C22" s="190" t="n">
        <v>0.979014192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</row>
    <row r="23" customFormat="false" ht="14.25" hidden="false" customHeight="true" outlineLevel="0" collapsed="false">
      <c r="A23" s="44"/>
      <c r="B23" s="98" t="s">
        <v>1999</v>
      </c>
      <c r="C23" s="190" t="n">
        <v>2.88399343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</row>
    <row r="24" customFormat="false" ht="14.25" hidden="false" customHeight="true" outlineLevel="0" collapsed="false">
      <c r="A24" s="44"/>
      <c r="B24" s="98" t="s">
        <v>2000</v>
      </c>
      <c r="C24" s="190" t="n">
        <v>3.863007622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</row>
    <row r="25" customFormat="false" ht="14.25" hidden="false" customHeight="true" outlineLevel="0" collapsed="false">
      <c r="A25" s="44"/>
      <c r="B25" s="98" t="s">
        <v>1983</v>
      </c>
      <c r="C25" s="190" t="n">
        <v>-0.136992378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</row>
    <row r="26" customFormat="false" ht="14.25" hidden="false" customHeight="true" outlineLevel="0" collapsed="false">
      <c r="A26" s="44"/>
      <c r="B26" s="98" t="s">
        <v>2001</v>
      </c>
      <c r="C26" s="190" t="n">
        <v>-2.3135484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</row>
    <row r="27" customFormat="false" ht="14.25" hidden="false" customHeight="true" outlineLevel="0" collapsed="false">
      <c r="A27" s="44"/>
      <c r="B27" s="98" t="s">
        <v>2002</v>
      </c>
      <c r="C27" s="188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</row>
    <row r="28" customFormat="false" ht="15" hidden="false" customHeight="false" outlineLevel="0" collapsed="false">
      <c r="A28" s="44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</row>
    <row r="29" customFormat="false" ht="14.25" hidden="false" customHeight="true" outlineLevel="0" collapsed="false">
      <c r="A29" s="44"/>
      <c r="B29" s="83" t="s">
        <v>2003</v>
      </c>
      <c r="C29" s="85"/>
      <c r="D29" s="85"/>
      <c r="E29" s="85"/>
      <c r="F29" s="85"/>
      <c r="G29" s="85"/>
      <c r="H29" s="98" t="s">
        <v>1869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</row>
    <row r="30" customFormat="false" ht="27.75" hidden="false" customHeight="true" outlineLevel="0" collapsed="false">
      <c r="A30" s="126" t="s">
        <v>39</v>
      </c>
      <c r="B30" s="91" t="s">
        <v>40</v>
      </c>
      <c r="C30" s="91" t="s">
        <v>41</v>
      </c>
      <c r="D30" s="91" t="s">
        <v>42</v>
      </c>
      <c r="E30" s="127" t="s">
        <v>43</v>
      </c>
      <c r="F30" s="91" t="s">
        <v>44</v>
      </c>
      <c r="G30" s="128" t="s">
        <v>45</v>
      </c>
      <c r="H30" s="127" t="s">
        <v>1870</v>
      </c>
      <c r="I30" s="129" t="s">
        <v>1871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</row>
    <row r="31" customFormat="false" ht="14.25" hidden="false" customHeight="true" outlineLevel="0" collapsed="false">
      <c r="A31" s="44"/>
      <c r="B31" s="96" t="s">
        <v>1255</v>
      </c>
      <c r="C31" s="96" t="s">
        <v>1883</v>
      </c>
      <c r="D31" s="96"/>
      <c r="E31" s="96"/>
      <c r="F31" s="130"/>
      <c r="G31" s="131" t="n">
        <v>979014.192</v>
      </c>
      <c r="H31" s="131" t="n">
        <v>979014.192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</row>
    <row r="32" customFormat="false" ht="14.25" hidden="false" customHeight="true" outlineLevel="0" collapsed="false">
      <c r="A32" s="132" t="s">
        <v>1385</v>
      </c>
      <c r="B32" s="98" t="s">
        <v>69</v>
      </c>
      <c r="C32" s="98" t="s">
        <v>1508</v>
      </c>
      <c r="D32" s="98" t="s">
        <v>69</v>
      </c>
      <c r="E32" s="133" t="s">
        <v>82</v>
      </c>
      <c r="F32" s="134"/>
      <c r="G32" s="100" t="n">
        <v>439500</v>
      </c>
      <c r="H32" s="100" t="n">
        <v>439500</v>
      </c>
      <c r="I32" s="135" t="s">
        <v>1878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</row>
    <row r="33" customFormat="false" ht="14.25" hidden="false" customHeight="true" outlineLevel="0" collapsed="false">
      <c r="A33" s="132" t="s">
        <v>1386</v>
      </c>
      <c r="B33" s="98" t="s">
        <v>1748</v>
      </c>
      <c r="C33" s="98" t="s">
        <v>1749</v>
      </c>
      <c r="D33" s="98" t="s">
        <v>53</v>
      </c>
      <c r="E33" s="133" t="s">
        <v>53</v>
      </c>
      <c r="F33" s="134"/>
      <c r="G33" s="100" t="n">
        <v>205056</v>
      </c>
      <c r="H33" s="100" t="n">
        <v>205056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</row>
    <row r="34" customFormat="false" ht="14.25" hidden="false" customHeight="true" outlineLevel="0" collapsed="false">
      <c r="A34" s="132" t="s">
        <v>1387</v>
      </c>
      <c r="B34" s="98" t="s">
        <v>1750</v>
      </c>
      <c r="C34" s="98" t="s">
        <v>1751</v>
      </c>
      <c r="D34" s="98" t="s">
        <v>53</v>
      </c>
      <c r="E34" s="133" t="s">
        <v>53</v>
      </c>
      <c r="F34" s="134"/>
      <c r="G34" s="100" t="n">
        <v>183455.7</v>
      </c>
      <c r="H34" s="100" t="n">
        <v>183455.7</v>
      </c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</row>
    <row r="35" customFormat="false" ht="14.25" hidden="false" customHeight="true" outlineLevel="0" collapsed="false">
      <c r="A35" s="132" t="s">
        <v>1388</v>
      </c>
      <c r="B35" s="98" t="s">
        <v>1780</v>
      </c>
      <c r="C35" s="98" t="s">
        <v>1781</v>
      </c>
      <c r="D35" s="98" t="s">
        <v>53</v>
      </c>
      <c r="E35" s="133" t="s">
        <v>53</v>
      </c>
      <c r="F35" s="134"/>
      <c r="G35" s="100" t="n">
        <v>151002.492</v>
      </c>
      <c r="H35" s="100" t="n">
        <v>151002.492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</row>
    <row r="36" customFormat="false" ht="14.25" hidden="false" customHeight="true" outlineLevel="0" collapsed="false">
      <c r="A36" s="44"/>
      <c r="B36" s="96" t="s">
        <v>1256</v>
      </c>
      <c r="C36" s="96" t="s">
        <v>1877</v>
      </c>
      <c r="D36" s="96"/>
      <c r="E36" s="96"/>
      <c r="F36" s="96"/>
      <c r="G36" s="131" t="n">
        <v>2313548.4</v>
      </c>
      <c r="H36" s="131" t="n">
        <v>2313548.4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</row>
    <row r="37" customFormat="false" ht="14.25" hidden="false" customHeight="true" outlineLevel="0" collapsed="false">
      <c r="A37" s="132" t="s">
        <v>1389</v>
      </c>
      <c r="B37" s="98" t="s">
        <v>1544</v>
      </c>
      <c r="C37" s="98" t="s">
        <v>1545</v>
      </c>
      <c r="D37" s="98" t="s">
        <v>53</v>
      </c>
      <c r="E37" s="133" t="s">
        <v>53</v>
      </c>
      <c r="F37" s="134"/>
      <c r="G37" s="100" t="n">
        <v>297150</v>
      </c>
      <c r="H37" s="100" t="n">
        <v>297150</v>
      </c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</row>
    <row r="38" customFormat="false" ht="14.25" hidden="false" customHeight="true" outlineLevel="0" collapsed="false">
      <c r="A38" s="132" t="s">
        <v>1390</v>
      </c>
      <c r="B38" s="98" t="s">
        <v>1547</v>
      </c>
      <c r="C38" s="98" t="s">
        <v>1548</v>
      </c>
      <c r="D38" s="98" t="s">
        <v>53</v>
      </c>
      <c r="E38" s="133" t="s">
        <v>53</v>
      </c>
      <c r="F38" s="134"/>
      <c r="G38" s="100" t="n">
        <v>666087.5</v>
      </c>
      <c r="H38" s="100" t="n">
        <v>666087.5</v>
      </c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</row>
    <row r="39" customFormat="false" ht="14.25" hidden="false" customHeight="true" outlineLevel="0" collapsed="false">
      <c r="A39" s="132" t="s">
        <v>1391</v>
      </c>
      <c r="B39" s="98" t="s">
        <v>1550</v>
      </c>
      <c r="C39" s="98" t="s">
        <v>1551</v>
      </c>
      <c r="D39" s="98" t="s">
        <v>53</v>
      </c>
      <c r="E39" s="133" t="s">
        <v>53</v>
      </c>
      <c r="F39" s="134"/>
      <c r="G39" s="100" t="n">
        <v>291422</v>
      </c>
      <c r="H39" s="100" t="n">
        <v>291422</v>
      </c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</row>
    <row r="40" customFormat="false" ht="14.25" hidden="false" customHeight="true" outlineLevel="0" collapsed="false">
      <c r="A40" s="132" t="s">
        <v>1392</v>
      </c>
      <c r="B40" s="98" t="s">
        <v>1552</v>
      </c>
      <c r="C40" s="98" t="s">
        <v>1553</v>
      </c>
      <c r="D40" s="98" t="s">
        <v>53</v>
      </c>
      <c r="E40" s="133" t="s">
        <v>53</v>
      </c>
      <c r="F40" s="134"/>
      <c r="G40" s="100" t="n">
        <v>417425</v>
      </c>
      <c r="H40" s="100" t="n">
        <v>417425</v>
      </c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</row>
    <row r="41" customFormat="false" ht="14.25" hidden="false" customHeight="true" outlineLevel="0" collapsed="false">
      <c r="A41" s="132" t="s">
        <v>1393</v>
      </c>
      <c r="B41" s="98" t="s">
        <v>1554</v>
      </c>
      <c r="C41" s="98" t="s">
        <v>1555</v>
      </c>
      <c r="D41" s="98" t="s">
        <v>53</v>
      </c>
      <c r="E41" s="133" t="s">
        <v>53</v>
      </c>
      <c r="F41" s="134"/>
      <c r="G41" s="100" t="n">
        <v>343363.9</v>
      </c>
      <c r="H41" s="100" t="n">
        <v>343363.9</v>
      </c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</row>
    <row r="42" customFormat="false" ht="14.25" hidden="false" customHeight="true" outlineLevel="0" collapsed="false">
      <c r="A42" s="132" t="s">
        <v>1394</v>
      </c>
      <c r="B42" s="98" t="s">
        <v>1603</v>
      </c>
      <c r="C42" s="98" t="s">
        <v>1604</v>
      </c>
      <c r="D42" s="98" t="s">
        <v>53</v>
      </c>
      <c r="E42" s="133" t="s">
        <v>53</v>
      </c>
      <c r="F42" s="134"/>
      <c r="G42" s="100" t="n">
        <v>298100</v>
      </c>
      <c r="H42" s="100" t="n">
        <v>298100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</row>
    <row r="43" customFormat="false" ht="14.25" hidden="false" customHeight="true" outlineLevel="0" collapsed="false">
      <c r="A43" s="44"/>
      <c r="B43" s="96" t="s">
        <v>1253</v>
      </c>
      <c r="C43" s="96" t="s">
        <v>1905</v>
      </c>
      <c r="D43" s="96"/>
      <c r="E43" s="96"/>
      <c r="F43" s="96"/>
      <c r="G43" s="131" t="n">
        <v>3107999.23</v>
      </c>
      <c r="H43" s="131" t="n">
        <v>2883993.43</v>
      </c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</row>
    <row r="44" customFormat="false" ht="12" hidden="false" customHeight="true" outlineLevel="0" collapsed="false">
      <c r="A44" s="132" t="s">
        <v>1370</v>
      </c>
      <c r="B44" s="98" t="s">
        <v>1556</v>
      </c>
      <c r="C44" s="98" t="s">
        <v>1557</v>
      </c>
      <c r="D44" s="98" t="s">
        <v>53</v>
      </c>
      <c r="E44" s="133" t="s">
        <v>53</v>
      </c>
      <c r="F44" s="134"/>
      <c r="G44" s="100" t="n">
        <v>367900</v>
      </c>
      <c r="H44" s="100" t="n">
        <v>367900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</row>
    <row r="45" customFormat="false" ht="14.25" hidden="false" customHeight="true" outlineLevel="0" collapsed="false">
      <c r="A45" s="132" t="s">
        <v>1372</v>
      </c>
      <c r="B45" s="98" t="s">
        <v>69</v>
      </c>
      <c r="C45" s="98" t="s">
        <v>1621</v>
      </c>
      <c r="D45" s="98" t="s">
        <v>69</v>
      </c>
      <c r="E45" s="133" t="s">
        <v>82</v>
      </c>
      <c r="F45" s="134"/>
      <c r="G45" s="100" t="n">
        <v>275810.25</v>
      </c>
      <c r="H45" s="100" t="n">
        <v>275810.25</v>
      </c>
      <c r="I45" s="135" t="s">
        <v>2004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</row>
    <row r="46" customFormat="false" ht="14.25" hidden="false" customHeight="true" outlineLevel="0" collapsed="false">
      <c r="A46" s="132" t="s">
        <v>1373</v>
      </c>
      <c r="B46" s="98" t="s">
        <v>69</v>
      </c>
      <c r="C46" s="98" t="s">
        <v>1630</v>
      </c>
      <c r="D46" s="98" t="s">
        <v>69</v>
      </c>
      <c r="E46" s="133" t="s">
        <v>82</v>
      </c>
      <c r="F46" s="134"/>
      <c r="G46" s="100" t="n">
        <v>275810.25</v>
      </c>
      <c r="H46" s="100" t="n">
        <v>275810.25</v>
      </c>
      <c r="I46" s="135" t="s">
        <v>1925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</row>
    <row r="47" customFormat="false" ht="14.25" hidden="false" customHeight="true" outlineLevel="0" collapsed="false">
      <c r="A47" s="132" t="s">
        <v>1374</v>
      </c>
      <c r="B47" s="98" t="s">
        <v>1632</v>
      </c>
      <c r="C47" s="98" t="s">
        <v>1633</v>
      </c>
      <c r="D47" s="98" t="s">
        <v>53</v>
      </c>
      <c r="E47" s="133" t="s">
        <v>53</v>
      </c>
      <c r="F47" s="134"/>
      <c r="G47" s="100" t="n">
        <v>293316.85</v>
      </c>
      <c r="H47" s="100" t="n">
        <v>293316.85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</row>
    <row r="48" customFormat="false" ht="14.25" hidden="false" customHeight="true" outlineLevel="0" collapsed="false">
      <c r="A48" s="132" t="s">
        <v>1375</v>
      </c>
      <c r="B48" s="98" t="s">
        <v>69</v>
      </c>
      <c r="C48" s="98" t="s">
        <v>1692</v>
      </c>
      <c r="D48" s="98" t="s">
        <v>69</v>
      </c>
      <c r="E48" s="133" t="s">
        <v>82</v>
      </c>
      <c r="F48" s="134"/>
      <c r="G48" s="100" t="n">
        <v>231689.25</v>
      </c>
      <c r="H48" s="100" t="n">
        <v>231689.25</v>
      </c>
      <c r="I48" s="135" t="s">
        <v>1875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</row>
    <row r="49" customFormat="false" ht="14.25" hidden="false" customHeight="true" outlineLevel="0" collapsed="false">
      <c r="A49" s="132" t="s">
        <v>1376</v>
      </c>
      <c r="B49" s="98" t="s">
        <v>1704</v>
      </c>
      <c r="C49" s="98" t="s">
        <v>1705</v>
      </c>
      <c r="D49" s="98" t="s">
        <v>53</v>
      </c>
      <c r="E49" s="133" t="s">
        <v>53</v>
      </c>
      <c r="F49" s="134"/>
      <c r="G49" s="100" t="n">
        <v>225788.55</v>
      </c>
      <c r="H49" s="100" t="n">
        <v>225788.55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</row>
    <row r="50" customFormat="false" ht="14.25" hidden="false" customHeight="true" outlineLevel="0" collapsed="false">
      <c r="A50" s="132" t="s">
        <v>1377</v>
      </c>
      <c r="B50" s="98" t="s">
        <v>69</v>
      </c>
      <c r="C50" s="98" t="s">
        <v>1707</v>
      </c>
      <c r="D50" s="98" t="s">
        <v>69</v>
      </c>
      <c r="E50" s="133" t="s">
        <v>82</v>
      </c>
      <c r="F50" s="134"/>
      <c r="G50" s="100" t="n">
        <v>231689.25</v>
      </c>
      <c r="H50" s="100" t="n">
        <v>231689.25</v>
      </c>
      <c r="I50" s="135" t="s">
        <v>1875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</row>
    <row r="51" customFormat="false" ht="14.25" hidden="false" customHeight="true" outlineLevel="0" collapsed="false">
      <c r="A51" s="132" t="s">
        <v>1378</v>
      </c>
      <c r="B51" s="98" t="s">
        <v>69</v>
      </c>
      <c r="C51" s="98" t="s">
        <v>1732</v>
      </c>
      <c r="D51" s="98" t="s">
        <v>69</v>
      </c>
      <c r="E51" s="133" t="s">
        <v>71</v>
      </c>
      <c r="F51" s="134"/>
      <c r="G51" s="100" t="n">
        <v>202853.25</v>
      </c>
      <c r="H51" s="100" t="n">
        <v>81141.3</v>
      </c>
      <c r="I51" s="135" t="s">
        <v>1875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</row>
    <row r="52" customFormat="false" ht="14.25" hidden="false" customHeight="true" outlineLevel="0" collapsed="false">
      <c r="A52" s="132" t="s">
        <v>1379</v>
      </c>
      <c r="B52" s="98" t="s">
        <v>1735</v>
      </c>
      <c r="C52" s="98" t="s">
        <v>1736</v>
      </c>
      <c r="D52" s="98" t="s">
        <v>53</v>
      </c>
      <c r="E52" s="133" t="s">
        <v>53</v>
      </c>
      <c r="F52" s="134"/>
      <c r="G52" s="100" t="n">
        <v>206124</v>
      </c>
      <c r="H52" s="100" t="n">
        <v>206124</v>
      </c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</row>
    <row r="53" customFormat="false" ht="14.25" hidden="false" customHeight="true" outlineLevel="0" collapsed="false">
      <c r="A53" s="132" t="s">
        <v>1380</v>
      </c>
      <c r="B53" s="98" t="s">
        <v>1743</v>
      </c>
      <c r="C53" s="98" t="s">
        <v>1775</v>
      </c>
      <c r="D53" s="98" t="s">
        <v>69</v>
      </c>
      <c r="E53" s="133" t="s">
        <v>71</v>
      </c>
      <c r="F53" s="134"/>
      <c r="G53" s="100" t="n">
        <v>170489.75</v>
      </c>
      <c r="H53" s="100" t="n">
        <v>68195.9</v>
      </c>
      <c r="I53" s="135" t="s">
        <v>1875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</row>
    <row r="54" customFormat="false" ht="14.25" hidden="false" customHeight="true" outlineLevel="0" collapsed="false">
      <c r="A54" s="132" t="s">
        <v>1381</v>
      </c>
      <c r="B54" s="98" t="s">
        <v>1776</v>
      </c>
      <c r="C54" s="98" t="s">
        <v>1777</v>
      </c>
      <c r="D54" s="98" t="s">
        <v>53</v>
      </c>
      <c r="E54" s="133" t="s">
        <v>53</v>
      </c>
      <c r="F54" s="134"/>
      <c r="G54" s="100" t="n">
        <v>179313.4</v>
      </c>
      <c r="H54" s="100" t="n">
        <v>179313.4</v>
      </c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</row>
    <row r="55" customFormat="false" ht="14.25" hidden="false" customHeight="true" outlineLevel="0" collapsed="false">
      <c r="A55" s="132" t="s">
        <v>1382</v>
      </c>
      <c r="B55" s="98" t="s">
        <v>1788</v>
      </c>
      <c r="C55" s="98" t="s">
        <v>1789</v>
      </c>
      <c r="D55" s="98" t="s">
        <v>53</v>
      </c>
      <c r="E55" s="133" t="s">
        <v>53</v>
      </c>
      <c r="F55" s="134"/>
      <c r="G55" s="100" t="n">
        <v>147754.8</v>
      </c>
      <c r="H55" s="100" t="n">
        <v>147754.8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</row>
    <row r="56" customFormat="false" ht="14.25" hidden="false" customHeight="true" outlineLevel="0" collapsed="false">
      <c r="A56" s="132" t="s">
        <v>1383</v>
      </c>
      <c r="B56" s="98" t="s">
        <v>69</v>
      </c>
      <c r="C56" s="98" t="s">
        <v>1789</v>
      </c>
      <c r="D56" s="98" t="s">
        <v>69</v>
      </c>
      <c r="E56" s="133" t="s">
        <v>82</v>
      </c>
      <c r="F56" s="134"/>
      <c r="G56" s="100" t="n">
        <v>151771.98</v>
      </c>
      <c r="H56" s="100" t="n">
        <v>151771.98</v>
      </c>
      <c r="I56" s="135" t="s">
        <v>1875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</row>
    <row r="57" customFormat="false" ht="14.25" hidden="false" customHeight="true" outlineLevel="0" collapsed="false">
      <c r="A57" s="132" t="s">
        <v>1384</v>
      </c>
      <c r="B57" s="98" t="s">
        <v>1793</v>
      </c>
      <c r="C57" s="98" t="s">
        <v>1794</v>
      </c>
      <c r="D57" s="98" t="s">
        <v>53</v>
      </c>
      <c r="E57" s="133" t="s">
        <v>53</v>
      </c>
      <c r="F57" s="134"/>
      <c r="G57" s="100" t="n">
        <v>147687.65</v>
      </c>
      <c r="H57" s="100" t="n">
        <v>147687.65</v>
      </c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</row>
    <row r="58" customFormat="false" ht="15" hidden="false" customHeight="false" outlineLevel="0" collapsed="false">
      <c r="A58" s="44"/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</row>
    <row r="59" customFormat="false" ht="14.25" hidden="false" customHeight="true" outlineLevel="0" collapsed="false">
      <c r="A59" s="44"/>
      <c r="B59" s="126" t="s">
        <v>1886</v>
      </c>
      <c r="C59" s="44"/>
      <c r="D59" s="44"/>
      <c r="E59" s="44"/>
      <c r="F59" s="44"/>
      <c r="G59" s="44"/>
      <c r="H59" s="44"/>
      <c r="I59" s="44"/>
      <c r="J59" s="44"/>
      <c r="K59" s="136" t="n">
        <v>6</v>
      </c>
      <c r="L59" s="136" t="n">
        <v>2</v>
      </c>
      <c r="M59" s="136" t="n">
        <v>0</v>
      </c>
      <c r="N59" s="136" t="n">
        <v>0</v>
      </c>
      <c r="O59" s="136" t="n">
        <v>0</v>
      </c>
      <c r="P59" s="44"/>
      <c r="Q59" s="44"/>
      <c r="R59" s="44"/>
      <c r="S59" s="44"/>
      <c r="T59" s="4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</row>
    <row r="2" customFormat="false" ht="21" hidden="false" customHeight="true" outlineLevel="0" collapsed="false">
      <c r="A2" s="44"/>
      <c r="B2" s="81" t="s">
        <v>2005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</row>
    <row r="3" customFormat="false" ht="14.25" hidden="false" customHeight="true" outlineLevel="0" collapsed="false">
      <c r="A3" s="44"/>
      <c r="B3" s="82" t="s">
        <v>1165</v>
      </c>
      <c r="C3" s="73" t="s">
        <v>1536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</row>
    <row r="4" customFormat="false" ht="18.75" hidden="false" customHeight="true" outlineLevel="0" collapsed="false">
      <c r="A4" s="44"/>
      <c r="B4" s="83" t="s">
        <v>2006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</row>
    <row r="5" customFormat="false" ht="10.5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2" t="s">
        <v>1835</v>
      </c>
      <c r="S6" s="92" t="s">
        <v>1836</v>
      </c>
      <c r="T6" s="91" t="s">
        <v>1837</v>
      </c>
    </row>
    <row r="7" customFormat="false" ht="14.25" hidden="false" customHeight="true" outlineLevel="0" collapsed="false">
      <c r="A7" s="44"/>
      <c r="B7" s="96" t="s">
        <v>1854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</row>
    <row r="8" customFormat="false" ht="14.25" hidden="false" customHeight="true" outlineLevel="0" collapsed="false">
      <c r="A8" s="44"/>
      <c r="B8" s="98" t="s">
        <v>1246</v>
      </c>
      <c r="C8" s="188"/>
      <c r="D8" s="98"/>
      <c r="E8" s="189"/>
      <c r="F8" s="100" t="n">
        <v>7</v>
      </c>
      <c r="G8" s="99" t="n">
        <v>7</v>
      </c>
      <c r="H8" s="100" t="n">
        <v>3</v>
      </c>
      <c r="I8" s="100" t="n">
        <v>4</v>
      </c>
      <c r="J8" s="100" t="n">
        <v>3</v>
      </c>
      <c r="K8" s="100" t="n">
        <v>0</v>
      </c>
      <c r="L8" s="100" t="n">
        <v>1</v>
      </c>
      <c r="M8" s="100" t="n">
        <v>6</v>
      </c>
      <c r="N8" s="189"/>
      <c r="O8" s="101" t="n">
        <v>1.664746536</v>
      </c>
      <c r="P8" s="101" t="n">
        <v>0</v>
      </c>
      <c r="Q8" s="101" t="n">
        <v>1.664746536</v>
      </c>
      <c r="R8" s="189"/>
      <c r="S8" s="101" t="n">
        <v>1.388936286</v>
      </c>
      <c r="T8" s="189"/>
    </row>
    <row r="9" customFormat="false" ht="14.25" hidden="false" customHeight="true" outlineLevel="0" collapsed="false">
      <c r="A9" s="44"/>
      <c r="B9" s="98" t="s">
        <v>970</v>
      </c>
      <c r="C9" s="98"/>
      <c r="D9" s="98"/>
      <c r="E9" s="189"/>
      <c r="F9" s="100" t="n">
        <v>1</v>
      </c>
      <c r="G9" s="99" t="n">
        <v>1</v>
      </c>
      <c r="H9" s="100" t="n">
        <v>1</v>
      </c>
      <c r="I9" s="100" t="n">
        <v>0</v>
      </c>
      <c r="J9" s="100" t="n">
        <v>0</v>
      </c>
      <c r="K9" s="100" t="n">
        <v>0</v>
      </c>
      <c r="L9" s="100" t="n">
        <v>0</v>
      </c>
      <c r="M9" s="100" t="n">
        <v>1</v>
      </c>
      <c r="N9" s="189"/>
      <c r="O9" s="101" t="n">
        <v>0.2655849</v>
      </c>
      <c r="P9" s="101" t="n">
        <v>0</v>
      </c>
      <c r="Q9" s="101" t="n">
        <v>0.2655849</v>
      </c>
      <c r="R9" s="189"/>
      <c r="S9" s="101" t="n">
        <v>0.2655849</v>
      </c>
      <c r="T9" s="189"/>
    </row>
    <row r="10" customFormat="false" ht="14.25" hidden="false" customHeight="true" outlineLevel="0" collapsed="false">
      <c r="A10" s="44"/>
      <c r="B10" s="98" t="s">
        <v>1151</v>
      </c>
      <c r="C10" s="98"/>
      <c r="D10" s="98"/>
      <c r="E10" s="189"/>
      <c r="F10" s="100" t="n">
        <v>6</v>
      </c>
      <c r="G10" s="99" t="n">
        <v>6</v>
      </c>
      <c r="H10" s="100" t="n">
        <v>5</v>
      </c>
      <c r="I10" s="100" t="n">
        <v>1</v>
      </c>
      <c r="J10" s="100" t="n">
        <v>1</v>
      </c>
      <c r="K10" s="100" t="n">
        <v>0</v>
      </c>
      <c r="L10" s="100" t="n">
        <v>0</v>
      </c>
      <c r="M10" s="100" t="n">
        <v>6</v>
      </c>
      <c r="N10" s="189"/>
      <c r="O10" s="101" t="n">
        <v>1.557396016</v>
      </c>
      <c r="P10" s="101" t="n">
        <v>0</v>
      </c>
      <c r="Q10" s="101" t="n">
        <v>1.557396016</v>
      </c>
      <c r="R10" s="189"/>
      <c r="S10" s="101" t="n">
        <v>1.362592966</v>
      </c>
      <c r="T10" s="189"/>
    </row>
    <row r="11" customFormat="false" ht="14.25" hidden="false" customHeight="true" outlineLevel="0" collapsed="false">
      <c r="A11" s="44"/>
      <c r="B11" s="98" t="s">
        <v>756</v>
      </c>
      <c r="C11" s="98"/>
      <c r="D11" s="98"/>
      <c r="E11" s="189"/>
      <c r="F11" s="100" t="n">
        <v>4</v>
      </c>
      <c r="G11" s="99" t="n">
        <v>4</v>
      </c>
      <c r="H11" s="100" t="n">
        <v>1</v>
      </c>
      <c r="I11" s="100" t="n">
        <v>3</v>
      </c>
      <c r="J11" s="100" t="n">
        <v>1</v>
      </c>
      <c r="K11" s="100" t="n">
        <v>0</v>
      </c>
      <c r="L11" s="100" t="n">
        <v>0</v>
      </c>
      <c r="M11" s="100" t="n">
        <v>4</v>
      </c>
      <c r="N11" s="189"/>
      <c r="O11" s="101" t="n">
        <v>1.2239818</v>
      </c>
      <c r="P11" s="101" t="n">
        <v>0</v>
      </c>
      <c r="Q11" s="101" t="n">
        <v>1.2239818</v>
      </c>
      <c r="R11" s="189"/>
      <c r="S11" s="101" t="n">
        <v>1.2239818</v>
      </c>
      <c r="T11" s="189"/>
    </row>
    <row r="12" customFormat="false" ht="14.25" hidden="false" customHeight="true" outlineLevel="0" collapsed="false">
      <c r="A12" s="44"/>
      <c r="B12" s="98" t="s">
        <v>1248</v>
      </c>
      <c r="C12" s="98"/>
      <c r="D12" s="98"/>
      <c r="E12" s="189"/>
      <c r="F12" s="100" t="n">
        <v>5</v>
      </c>
      <c r="G12" s="99" t="n">
        <v>5</v>
      </c>
      <c r="H12" s="100" t="n">
        <v>1</v>
      </c>
      <c r="I12" s="100" t="n">
        <v>4</v>
      </c>
      <c r="J12" s="100" t="n">
        <v>2</v>
      </c>
      <c r="K12" s="100" t="n">
        <v>0</v>
      </c>
      <c r="L12" s="100" t="n">
        <v>2</v>
      </c>
      <c r="M12" s="100" t="n">
        <v>3</v>
      </c>
      <c r="N12" s="189"/>
      <c r="O12" s="101" t="n">
        <v>1.06988875</v>
      </c>
      <c r="P12" s="101" t="n">
        <v>0</v>
      </c>
      <c r="Q12" s="101" t="n">
        <v>1.06988875</v>
      </c>
      <c r="R12" s="189"/>
      <c r="S12" s="101" t="n">
        <v>0.72890925</v>
      </c>
      <c r="T12" s="189"/>
    </row>
    <row r="13" customFormat="false" ht="14.25" hidden="false" customHeight="true" outlineLevel="0" collapsed="false">
      <c r="A13" s="44"/>
      <c r="B13" s="122" t="s">
        <v>1867</v>
      </c>
      <c r="C13" s="122"/>
      <c r="D13" s="122"/>
      <c r="E13" s="123" t="n">
        <v>0</v>
      </c>
      <c r="F13" s="124" t="n">
        <v>23</v>
      </c>
      <c r="G13" s="123" t="n">
        <v>23</v>
      </c>
      <c r="H13" s="124" t="n">
        <v>11</v>
      </c>
      <c r="I13" s="124" t="n">
        <v>12</v>
      </c>
      <c r="J13" s="124" t="n">
        <v>7</v>
      </c>
      <c r="K13" s="124" t="n">
        <v>0</v>
      </c>
      <c r="L13" s="124" t="n">
        <v>3</v>
      </c>
      <c r="M13" s="124" t="n">
        <v>20</v>
      </c>
      <c r="N13" s="125"/>
      <c r="O13" s="125" t="n">
        <v>5.781598002</v>
      </c>
      <c r="P13" s="125" t="n">
        <v>0</v>
      </c>
      <c r="Q13" s="125" t="n">
        <v>5.781598002</v>
      </c>
      <c r="R13" s="125"/>
      <c r="S13" s="125" t="n">
        <v>4.970005202</v>
      </c>
      <c r="T13" s="125"/>
    </row>
    <row r="14" customFormat="false" ht="14.25" hidden="false" customHeight="true" outlineLevel="0" collapsed="false">
      <c r="A14" s="44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60"/>
      <c r="S14" s="44"/>
      <c r="T14" s="44"/>
    </row>
    <row r="15" customFormat="false" ht="15" hidden="false" customHeight="false" outlineLevel="0" collapsed="false">
      <c r="A15" s="44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</row>
    <row r="16" customFormat="false" ht="18.75" hidden="false" customHeight="true" outlineLevel="0" collapsed="false">
      <c r="A16" s="44"/>
      <c r="B16" s="96" t="s">
        <v>1979</v>
      </c>
      <c r="C16" s="188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</row>
    <row r="17" customFormat="false" ht="33.75" hidden="false" customHeight="true" outlineLevel="0" collapsed="false">
      <c r="A17" s="44"/>
      <c r="B17" s="98" t="s">
        <v>1992</v>
      </c>
      <c r="C17" s="190" t="n">
        <v>10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</row>
    <row r="18" customFormat="false" ht="14.25" hidden="false" customHeight="true" outlineLevel="0" collapsed="false">
      <c r="A18" s="44"/>
      <c r="B18" s="98" t="s">
        <v>2007</v>
      </c>
      <c r="C18" s="190" t="n">
        <v>0.5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</row>
    <row r="19" customFormat="false" ht="14.25" hidden="false" customHeight="true" outlineLevel="0" collapsed="false">
      <c r="A19" s="44"/>
      <c r="B19" s="98" t="s">
        <v>2008</v>
      </c>
      <c r="C19" s="190" t="n">
        <v>5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</row>
    <row r="20" customFormat="false" ht="14.25" hidden="false" customHeight="true" outlineLevel="0" collapsed="false">
      <c r="A20" s="44"/>
      <c r="B20" s="98" t="s">
        <v>2009</v>
      </c>
      <c r="C20" s="190" t="n">
        <v>1.4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</row>
    <row r="21" customFormat="false" ht="14.25" hidden="false" customHeight="true" outlineLevel="0" collapsed="false">
      <c r="A21" s="44"/>
      <c r="B21" s="98" t="s">
        <v>2010</v>
      </c>
      <c r="C21" s="190" t="n">
        <v>2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</row>
    <row r="22" customFormat="false" ht="14.25" hidden="false" customHeight="true" outlineLevel="0" collapsed="false">
      <c r="A22" s="44"/>
      <c r="B22" s="98" t="s">
        <v>2011</v>
      </c>
      <c r="C22" s="190" t="n">
        <v>2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</row>
    <row r="23" customFormat="false" ht="14.25" hidden="false" customHeight="true" outlineLevel="0" collapsed="false">
      <c r="A23" s="44"/>
      <c r="B23" s="98" t="s">
        <v>1981</v>
      </c>
      <c r="C23" s="190" t="n">
        <v>4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</row>
    <row r="24" customFormat="false" ht="14.25" hidden="false" customHeight="true" outlineLevel="0" collapsed="false">
      <c r="A24" s="44"/>
      <c r="B24" s="98" t="s">
        <v>2012</v>
      </c>
      <c r="C24" s="190" t="n">
        <v>1.95289105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</row>
    <row r="25" customFormat="false" ht="14.25" hidden="false" customHeight="true" outlineLevel="0" collapsed="false">
      <c r="A25" s="44"/>
      <c r="B25" s="98" t="s">
        <v>2013</v>
      </c>
      <c r="C25" s="190" t="n">
        <v>1.628177866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</row>
    <row r="26" customFormat="false" ht="14.25" hidden="false" customHeight="true" outlineLevel="0" collapsed="false">
      <c r="A26" s="44"/>
      <c r="B26" s="98" t="s">
        <v>2000</v>
      </c>
      <c r="C26" s="190" t="n">
        <v>3.581068916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</row>
    <row r="27" customFormat="false" ht="14.25" hidden="false" customHeight="true" outlineLevel="0" collapsed="false">
      <c r="A27" s="44"/>
      <c r="B27" s="98" t="s">
        <v>1983</v>
      </c>
      <c r="C27" s="190" t="n">
        <v>-0.418931084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</row>
    <row r="28" customFormat="false" ht="14.25" hidden="false" customHeight="true" outlineLevel="0" collapsed="false">
      <c r="A28" s="44"/>
      <c r="B28" s="98" t="s">
        <v>2014</v>
      </c>
      <c r="C28" s="190" t="n">
        <v>-1.388936286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</row>
    <row r="29" customFormat="false" ht="14.25" hidden="false" customHeight="true" outlineLevel="0" collapsed="false">
      <c r="A29" s="44"/>
      <c r="B29" s="98" t="s">
        <v>2015</v>
      </c>
      <c r="C29" s="188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</row>
    <row r="30" customFormat="false" ht="15" hidden="false" customHeight="false" outlineLevel="0" collapsed="false">
      <c r="A30" s="44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</row>
    <row r="31" customFormat="false" ht="14.25" hidden="false" customHeight="true" outlineLevel="0" collapsed="false">
      <c r="A31" s="44"/>
      <c r="B31" s="83" t="s">
        <v>2016</v>
      </c>
      <c r="C31" s="85"/>
      <c r="D31" s="85"/>
      <c r="E31" s="85"/>
      <c r="F31" s="85"/>
      <c r="G31" s="85"/>
      <c r="H31" s="98" t="s">
        <v>1869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</row>
    <row r="32" customFormat="false" ht="27.75" hidden="false" customHeight="true" outlineLevel="0" collapsed="false">
      <c r="A32" s="126" t="s">
        <v>39</v>
      </c>
      <c r="B32" s="91" t="s">
        <v>40</v>
      </c>
      <c r="C32" s="91" t="s">
        <v>41</v>
      </c>
      <c r="D32" s="91" t="s">
        <v>42</v>
      </c>
      <c r="E32" s="127" t="s">
        <v>43</v>
      </c>
      <c r="F32" s="91" t="s">
        <v>44</v>
      </c>
      <c r="G32" s="128" t="s">
        <v>45</v>
      </c>
      <c r="H32" s="127" t="s">
        <v>1870</v>
      </c>
      <c r="I32" s="129" t="s">
        <v>1871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</row>
    <row r="33" customFormat="false" ht="14.25" hidden="false" customHeight="true" outlineLevel="0" collapsed="false">
      <c r="A33" s="44"/>
      <c r="B33" s="96" t="s">
        <v>1246</v>
      </c>
      <c r="C33" s="96" t="s">
        <v>1931</v>
      </c>
      <c r="D33" s="96"/>
      <c r="E33" s="96"/>
      <c r="F33" s="130"/>
      <c r="G33" s="131" t="n">
        <v>1664746.536</v>
      </c>
      <c r="H33" s="131" t="n">
        <v>1388936.286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</row>
    <row r="34" customFormat="false" ht="14.25" hidden="false" customHeight="true" outlineLevel="0" collapsed="false">
      <c r="A34" s="132" t="s">
        <v>1303</v>
      </c>
      <c r="B34" s="98" t="s">
        <v>1610</v>
      </c>
      <c r="C34" s="98" t="s">
        <v>1611</v>
      </c>
      <c r="D34" s="98" t="s">
        <v>53</v>
      </c>
      <c r="E34" s="133" t="s">
        <v>53</v>
      </c>
      <c r="F34" s="134"/>
      <c r="G34" s="100" t="n">
        <v>242741.304</v>
      </c>
      <c r="H34" s="100" t="n">
        <v>242741.304</v>
      </c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</row>
    <row r="35" customFormat="false" ht="14.25" hidden="false" customHeight="true" outlineLevel="0" collapsed="false">
      <c r="A35" s="132" t="s">
        <v>1305</v>
      </c>
      <c r="B35" s="98" t="s">
        <v>1613</v>
      </c>
      <c r="C35" s="98" t="s">
        <v>1614</v>
      </c>
      <c r="D35" s="98" t="s">
        <v>53</v>
      </c>
      <c r="E35" s="133" t="s">
        <v>53</v>
      </c>
      <c r="F35" s="134"/>
      <c r="G35" s="100" t="n">
        <v>214270.248</v>
      </c>
      <c r="H35" s="100" t="n">
        <v>214270.248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</row>
    <row r="36" customFormat="false" ht="14.25" hidden="false" customHeight="true" outlineLevel="0" collapsed="false">
      <c r="A36" s="132" t="s">
        <v>1306</v>
      </c>
      <c r="B36" s="98" t="s">
        <v>1615</v>
      </c>
      <c r="C36" s="98" t="s">
        <v>1616</v>
      </c>
      <c r="D36" s="98" t="s">
        <v>53</v>
      </c>
      <c r="E36" s="133" t="s">
        <v>53</v>
      </c>
      <c r="F36" s="134"/>
      <c r="G36" s="100" t="n">
        <v>236856.984</v>
      </c>
      <c r="H36" s="100" t="n">
        <v>236856.984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</row>
    <row r="37" customFormat="false" ht="14.25" hidden="false" customHeight="true" outlineLevel="0" collapsed="false">
      <c r="A37" s="132" t="s">
        <v>1307</v>
      </c>
      <c r="B37" s="98" t="s">
        <v>1622</v>
      </c>
      <c r="C37" s="98" t="s">
        <v>1614</v>
      </c>
      <c r="D37" s="98" t="s">
        <v>69</v>
      </c>
      <c r="E37" s="133" t="s">
        <v>78</v>
      </c>
      <c r="F37" s="134"/>
      <c r="G37" s="100" t="n">
        <v>275810.25</v>
      </c>
      <c r="H37" s="100" t="n">
        <v>0</v>
      </c>
      <c r="I37" s="135" t="s">
        <v>2017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</row>
    <row r="38" customFormat="false" ht="14.25" hidden="false" customHeight="true" outlineLevel="0" collapsed="false">
      <c r="A38" s="132" t="s">
        <v>1308</v>
      </c>
      <c r="B38" s="98" t="s">
        <v>1622</v>
      </c>
      <c r="C38" s="98" t="s">
        <v>1699</v>
      </c>
      <c r="D38" s="98" t="s">
        <v>69</v>
      </c>
      <c r="E38" s="133" t="s">
        <v>82</v>
      </c>
      <c r="F38" s="134"/>
      <c r="G38" s="100" t="n">
        <v>231689.25</v>
      </c>
      <c r="H38" s="100" t="n">
        <v>231689.25</v>
      </c>
      <c r="I38" s="135" t="s">
        <v>1873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</row>
    <row r="39" customFormat="false" ht="14.25" hidden="false" customHeight="true" outlineLevel="0" collapsed="false">
      <c r="A39" s="132" t="s">
        <v>1309</v>
      </c>
      <c r="B39" s="98" t="s">
        <v>1622</v>
      </c>
      <c r="C39" s="98" t="s">
        <v>1700</v>
      </c>
      <c r="D39" s="98" t="s">
        <v>69</v>
      </c>
      <c r="E39" s="133" t="s">
        <v>82</v>
      </c>
      <c r="F39" s="134"/>
      <c r="G39" s="100" t="n">
        <v>231689.25</v>
      </c>
      <c r="H39" s="100" t="n">
        <v>231689.25</v>
      </c>
      <c r="I39" s="135" t="s">
        <v>1873</v>
      </c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</row>
    <row r="40" customFormat="false" ht="14.25" hidden="false" customHeight="true" outlineLevel="0" collapsed="false">
      <c r="A40" s="132" t="s">
        <v>1310</v>
      </c>
      <c r="B40" s="98" t="s">
        <v>1622</v>
      </c>
      <c r="C40" s="98" t="s">
        <v>1701</v>
      </c>
      <c r="D40" s="98" t="s">
        <v>69</v>
      </c>
      <c r="E40" s="133" t="s">
        <v>82</v>
      </c>
      <c r="F40" s="134"/>
      <c r="G40" s="100" t="n">
        <v>231689.25</v>
      </c>
      <c r="H40" s="100" t="n">
        <v>231689.25</v>
      </c>
      <c r="I40" s="135" t="s">
        <v>1878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</row>
    <row r="41" customFormat="false" ht="14.25" hidden="false" customHeight="true" outlineLevel="0" collapsed="false">
      <c r="A41" s="44"/>
      <c r="B41" s="96" t="s">
        <v>970</v>
      </c>
      <c r="C41" s="96" t="s">
        <v>1884</v>
      </c>
      <c r="D41" s="96"/>
      <c r="E41" s="96"/>
      <c r="F41" s="96"/>
      <c r="G41" s="131" t="n">
        <v>265584.9</v>
      </c>
      <c r="H41" s="131" t="n">
        <v>265584.9</v>
      </c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</row>
    <row r="42" customFormat="false" ht="14.25" hidden="false" customHeight="true" outlineLevel="0" collapsed="false">
      <c r="A42" s="132" t="s">
        <v>1395</v>
      </c>
      <c r="B42" s="98" t="s">
        <v>1681</v>
      </c>
      <c r="C42" s="98" t="s">
        <v>1682</v>
      </c>
      <c r="D42" s="98" t="s">
        <v>53</v>
      </c>
      <c r="E42" s="133" t="s">
        <v>53</v>
      </c>
      <c r="F42" s="134"/>
      <c r="G42" s="100" t="n">
        <v>265584.9</v>
      </c>
      <c r="H42" s="100" t="n">
        <v>265584.9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</row>
    <row r="43" customFormat="false" ht="14.25" hidden="false" customHeight="true" outlineLevel="0" collapsed="false">
      <c r="A43" s="44"/>
      <c r="B43" s="96" t="s">
        <v>1151</v>
      </c>
      <c r="C43" s="96" t="s">
        <v>1877</v>
      </c>
      <c r="D43" s="96"/>
      <c r="E43" s="96"/>
      <c r="F43" s="96"/>
      <c r="G43" s="131" t="n">
        <v>1557396.016</v>
      </c>
      <c r="H43" s="131" t="n">
        <v>1362592.966</v>
      </c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</row>
    <row r="44" customFormat="false" ht="14.25" hidden="false" customHeight="true" outlineLevel="0" collapsed="false">
      <c r="A44" s="132" t="s">
        <v>1396</v>
      </c>
      <c r="B44" s="98" t="s">
        <v>1533</v>
      </c>
      <c r="C44" s="98" t="s">
        <v>1534</v>
      </c>
      <c r="D44" s="98" t="s">
        <v>53</v>
      </c>
      <c r="E44" s="133" t="s">
        <v>53</v>
      </c>
      <c r="F44" s="134"/>
      <c r="G44" s="100" t="n">
        <v>389125</v>
      </c>
      <c r="H44" s="100" t="n">
        <v>389125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</row>
    <row r="45" customFormat="false" ht="14.25" hidden="false" customHeight="true" outlineLevel="0" collapsed="false">
      <c r="A45" s="132" t="s">
        <v>1397</v>
      </c>
      <c r="B45" s="98" t="s">
        <v>69</v>
      </c>
      <c r="C45" s="98" t="s">
        <v>1563</v>
      </c>
      <c r="D45" s="98" t="s">
        <v>69</v>
      </c>
      <c r="E45" s="133" t="s">
        <v>82</v>
      </c>
      <c r="F45" s="134" t="s">
        <v>1367</v>
      </c>
      <c r="G45" s="100" t="n">
        <v>389606.1</v>
      </c>
      <c r="H45" s="100" t="n">
        <v>194803.05</v>
      </c>
      <c r="I45" s="135" t="s">
        <v>2017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</row>
    <row r="46" customFormat="false" ht="14.25" hidden="false" customHeight="true" outlineLevel="0" collapsed="false">
      <c r="A46" s="132" t="s">
        <v>1398</v>
      </c>
      <c r="B46" s="98" t="s">
        <v>1684</v>
      </c>
      <c r="C46" s="98" t="s">
        <v>1685</v>
      </c>
      <c r="D46" s="98" t="s">
        <v>53</v>
      </c>
      <c r="E46" s="133" t="s">
        <v>53</v>
      </c>
      <c r="F46" s="134"/>
      <c r="G46" s="100" t="n">
        <v>225988.8</v>
      </c>
      <c r="H46" s="100" t="n">
        <v>225988.8</v>
      </c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</row>
    <row r="47" customFormat="false" ht="14.25" hidden="false" customHeight="true" outlineLevel="0" collapsed="false">
      <c r="A47" s="132" t="s">
        <v>1399</v>
      </c>
      <c r="B47" s="98" t="s">
        <v>1737</v>
      </c>
      <c r="C47" s="98" t="s">
        <v>1738</v>
      </c>
      <c r="D47" s="98" t="s">
        <v>53</v>
      </c>
      <c r="E47" s="133" t="s">
        <v>53</v>
      </c>
      <c r="F47" s="134"/>
      <c r="G47" s="100" t="n">
        <v>149746.416</v>
      </c>
      <c r="H47" s="100" t="n">
        <v>149746.416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</row>
    <row r="48" customFormat="false" ht="14.25" hidden="false" customHeight="true" outlineLevel="0" collapsed="false">
      <c r="A48" s="132" t="s">
        <v>1400</v>
      </c>
      <c r="B48" s="98" t="s">
        <v>1739</v>
      </c>
      <c r="C48" s="98" t="s">
        <v>1740</v>
      </c>
      <c r="D48" s="98" t="s">
        <v>53</v>
      </c>
      <c r="E48" s="133" t="s">
        <v>53</v>
      </c>
      <c r="F48" s="134"/>
      <c r="G48" s="100" t="n">
        <v>227056.8</v>
      </c>
      <c r="H48" s="100" t="n">
        <v>227056.8</v>
      </c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</row>
    <row r="49" customFormat="false" ht="14.25" hidden="false" customHeight="true" outlineLevel="0" collapsed="false">
      <c r="A49" s="132" t="s">
        <v>1401</v>
      </c>
      <c r="B49" s="98" t="s">
        <v>1741</v>
      </c>
      <c r="C49" s="98" t="s">
        <v>1742</v>
      </c>
      <c r="D49" s="98" t="s">
        <v>53</v>
      </c>
      <c r="E49" s="133" t="s">
        <v>53</v>
      </c>
      <c r="F49" s="134"/>
      <c r="G49" s="100" t="n">
        <v>175872.9</v>
      </c>
      <c r="H49" s="100" t="n">
        <v>175872.9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</row>
    <row r="50" customFormat="false" ht="14.25" hidden="false" customHeight="true" outlineLevel="0" collapsed="false">
      <c r="A50" s="44"/>
      <c r="B50" s="96" t="s">
        <v>756</v>
      </c>
      <c r="C50" s="96" t="s">
        <v>1883</v>
      </c>
      <c r="D50" s="96"/>
      <c r="E50" s="96"/>
      <c r="F50" s="96"/>
      <c r="G50" s="131" t="n">
        <v>1223981.8</v>
      </c>
      <c r="H50" s="131" t="n">
        <v>1223981.8</v>
      </c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</row>
    <row r="51" customFormat="false" ht="14.25" hidden="false" customHeight="true" outlineLevel="0" collapsed="false">
      <c r="A51" s="132" t="s">
        <v>1311</v>
      </c>
      <c r="B51" s="98" t="s">
        <v>1539</v>
      </c>
      <c r="C51" s="98" t="s">
        <v>1540</v>
      </c>
      <c r="D51" s="98" t="s">
        <v>53</v>
      </c>
      <c r="E51" s="133" t="s">
        <v>53</v>
      </c>
      <c r="F51" s="134"/>
      <c r="G51" s="100" t="n">
        <v>369088.6</v>
      </c>
      <c r="H51" s="100" t="n">
        <v>369088.6</v>
      </c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</row>
    <row r="52" customFormat="false" ht="14.25" hidden="false" customHeight="true" outlineLevel="0" collapsed="false">
      <c r="A52" s="132" t="s">
        <v>1312</v>
      </c>
      <c r="B52" s="98" t="s">
        <v>69</v>
      </c>
      <c r="C52" s="98" t="s">
        <v>1542</v>
      </c>
      <c r="D52" s="98" t="s">
        <v>69</v>
      </c>
      <c r="E52" s="133" t="s">
        <v>82</v>
      </c>
      <c r="F52" s="134"/>
      <c r="G52" s="100" t="n">
        <v>334972.95</v>
      </c>
      <c r="H52" s="100" t="n">
        <v>334972.95</v>
      </c>
      <c r="I52" s="135" t="s">
        <v>1873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</row>
    <row r="53" customFormat="false" ht="14.25" hidden="false" customHeight="true" outlineLevel="0" collapsed="false">
      <c r="A53" s="132" t="s">
        <v>1313</v>
      </c>
      <c r="B53" s="98" t="s">
        <v>69</v>
      </c>
      <c r="C53" s="98" t="s">
        <v>1543</v>
      </c>
      <c r="D53" s="98" t="s">
        <v>69</v>
      </c>
      <c r="E53" s="133" t="s">
        <v>53</v>
      </c>
      <c r="F53" s="134"/>
      <c r="G53" s="100" t="n">
        <v>333020.25</v>
      </c>
      <c r="H53" s="100" t="n">
        <v>333020.25</v>
      </c>
      <c r="I53" s="135" t="s">
        <v>53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</row>
    <row r="54" customFormat="false" ht="14.25" hidden="false" customHeight="true" outlineLevel="0" collapsed="false">
      <c r="A54" s="132" t="s">
        <v>1314</v>
      </c>
      <c r="B54" s="98" t="s">
        <v>69</v>
      </c>
      <c r="C54" s="98" t="s">
        <v>1727</v>
      </c>
      <c r="D54" s="98" t="s">
        <v>69</v>
      </c>
      <c r="E54" s="133" t="s">
        <v>53</v>
      </c>
      <c r="F54" s="134"/>
      <c r="G54" s="100" t="n">
        <v>186900</v>
      </c>
      <c r="H54" s="100" t="n">
        <v>186900</v>
      </c>
      <c r="I54" s="135" t="s">
        <v>53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</row>
    <row r="55" customFormat="false" ht="14.25" hidden="false" customHeight="true" outlineLevel="0" collapsed="false">
      <c r="A55" s="44"/>
      <c r="B55" s="96" t="s">
        <v>1248</v>
      </c>
      <c r="C55" s="96" t="s">
        <v>1879</v>
      </c>
      <c r="D55" s="96"/>
      <c r="E55" s="96"/>
      <c r="F55" s="96"/>
      <c r="G55" s="131" t="n">
        <v>1069888.75</v>
      </c>
      <c r="H55" s="131" t="n">
        <v>728909.25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</row>
    <row r="56" customFormat="false" ht="14.25" hidden="false" customHeight="true" outlineLevel="0" collapsed="false">
      <c r="A56" s="132" t="s">
        <v>1315</v>
      </c>
      <c r="B56" s="98" t="s">
        <v>69</v>
      </c>
      <c r="C56" s="98" t="s">
        <v>1624</v>
      </c>
      <c r="D56" s="98" t="s">
        <v>69</v>
      </c>
      <c r="E56" s="133" t="s">
        <v>82</v>
      </c>
      <c r="F56" s="134"/>
      <c r="G56" s="100" t="n">
        <v>275810.25</v>
      </c>
      <c r="H56" s="100" t="n">
        <v>275810.25</v>
      </c>
      <c r="I56" s="135" t="s">
        <v>1925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</row>
    <row r="57" customFormat="false" ht="14.25" hidden="false" customHeight="true" outlineLevel="0" collapsed="false">
      <c r="A57" s="132" t="s">
        <v>1316</v>
      </c>
      <c r="B57" s="98" t="s">
        <v>1702</v>
      </c>
      <c r="C57" s="98" t="s">
        <v>1703</v>
      </c>
      <c r="D57" s="98" t="s">
        <v>53</v>
      </c>
      <c r="E57" s="133" t="s">
        <v>53</v>
      </c>
      <c r="F57" s="134"/>
      <c r="G57" s="100" t="n">
        <v>250245.75</v>
      </c>
      <c r="H57" s="100" t="n">
        <v>250245.75</v>
      </c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</row>
    <row r="58" customFormat="false" ht="14.25" hidden="false" customHeight="true" outlineLevel="0" collapsed="false">
      <c r="A58" s="132" t="s">
        <v>1317</v>
      </c>
      <c r="B58" s="98" t="s">
        <v>69</v>
      </c>
      <c r="C58" s="98" t="s">
        <v>1753</v>
      </c>
      <c r="D58" s="98" t="s">
        <v>69</v>
      </c>
      <c r="E58" s="133" t="s">
        <v>82</v>
      </c>
      <c r="F58" s="134"/>
      <c r="G58" s="100" t="n">
        <v>202853.25</v>
      </c>
      <c r="H58" s="100" t="n">
        <v>202853.25</v>
      </c>
      <c r="I58" s="135" t="s">
        <v>1875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</row>
    <row r="59" customFormat="false" ht="14.25" hidden="false" customHeight="true" outlineLevel="0" collapsed="false">
      <c r="A59" s="132" t="s">
        <v>1318</v>
      </c>
      <c r="B59" s="98" t="s">
        <v>69</v>
      </c>
      <c r="C59" s="98" t="s">
        <v>1784</v>
      </c>
      <c r="D59" s="98" t="s">
        <v>69</v>
      </c>
      <c r="E59" s="133" t="s">
        <v>78</v>
      </c>
      <c r="F59" s="134"/>
      <c r="G59" s="100" t="n">
        <v>170489.75</v>
      </c>
      <c r="H59" s="100" t="n">
        <v>0</v>
      </c>
      <c r="I59" s="135" t="s">
        <v>1952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</row>
    <row r="60" customFormat="false" ht="14.25" hidden="false" customHeight="true" outlineLevel="0" collapsed="false">
      <c r="A60" s="132" t="s">
        <v>1319</v>
      </c>
      <c r="B60" s="98" t="s">
        <v>69</v>
      </c>
      <c r="C60" s="98" t="s">
        <v>1785</v>
      </c>
      <c r="D60" s="98" t="s">
        <v>69</v>
      </c>
      <c r="E60" s="133" t="s">
        <v>78</v>
      </c>
      <c r="F60" s="134"/>
      <c r="G60" s="100" t="n">
        <v>170489.75</v>
      </c>
      <c r="H60" s="100" t="n">
        <v>0</v>
      </c>
      <c r="I60" s="135" t="s">
        <v>1909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</row>
    <row r="61" customFormat="false" ht="15" hidden="false" customHeight="false" outlineLevel="0" collapsed="false">
      <c r="A61" s="44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</row>
    <row r="62" customFormat="false" ht="14.25" hidden="false" customHeight="true" outlineLevel="0" collapsed="false">
      <c r="A62" s="44"/>
      <c r="B62" s="126" t="s">
        <v>1886</v>
      </c>
      <c r="C62" s="44"/>
      <c r="D62" s="44"/>
      <c r="E62" s="44"/>
      <c r="F62" s="44"/>
      <c r="G62" s="44"/>
      <c r="H62" s="44"/>
      <c r="I62" s="44"/>
      <c r="J62" s="44"/>
      <c r="K62" s="136" t="n">
        <v>7</v>
      </c>
      <c r="L62" s="136" t="n">
        <v>0</v>
      </c>
      <c r="M62" s="136" t="n">
        <v>3</v>
      </c>
      <c r="N62" s="136" t="n">
        <v>2</v>
      </c>
      <c r="O62" s="136" t="n">
        <v>0</v>
      </c>
      <c r="P62" s="44"/>
      <c r="Q62" s="44"/>
      <c r="R62" s="44"/>
      <c r="S62" s="44"/>
      <c r="T62" s="4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</row>
    <row r="2" customFormat="false" ht="21" hidden="false" customHeight="true" outlineLevel="0" collapsed="false">
      <c r="A2" s="44"/>
      <c r="B2" s="81" t="s">
        <v>2018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</row>
    <row r="3" customFormat="false" ht="14.25" hidden="false" customHeight="true" outlineLevel="0" collapsed="false">
      <c r="A3" s="44"/>
      <c r="B3" s="82" t="s">
        <v>1165</v>
      </c>
      <c r="C3" s="73" t="s">
        <v>36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</row>
    <row r="4" customFormat="false" ht="18.75" hidden="false" customHeight="true" outlineLevel="0" collapsed="false">
      <c r="A4" s="44"/>
      <c r="B4" s="83" t="s">
        <v>2019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</row>
    <row r="5" customFormat="false" ht="6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2" t="s">
        <v>1835</v>
      </c>
      <c r="S6" s="92" t="s">
        <v>1836</v>
      </c>
      <c r="T6" s="91" t="s">
        <v>1837</v>
      </c>
    </row>
    <row r="7" customFormat="false" ht="14.25" hidden="false" customHeight="true" outlineLevel="0" collapsed="false">
      <c r="A7" s="44"/>
      <c r="B7" s="96" t="s">
        <v>1854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</row>
    <row r="8" customFormat="false" ht="14.25" hidden="false" customHeight="true" outlineLevel="0" collapsed="false">
      <c r="A8" s="44"/>
      <c r="B8" s="98" t="s">
        <v>36</v>
      </c>
      <c r="C8" s="98"/>
      <c r="D8" s="98"/>
      <c r="E8" s="189"/>
      <c r="F8" s="100" t="n">
        <v>18</v>
      </c>
      <c r="G8" s="99" t="n">
        <v>18</v>
      </c>
      <c r="H8" s="100" t="n">
        <v>18</v>
      </c>
      <c r="I8" s="100" t="n">
        <v>0</v>
      </c>
      <c r="J8" s="100" t="n">
        <v>0</v>
      </c>
      <c r="K8" s="100" t="n">
        <v>0</v>
      </c>
      <c r="L8" s="100" t="n">
        <v>0</v>
      </c>
      <c r="M8" s="100" t="n">
        <v>18</v>
      </c>
      <c r="N8" s="189"/>
      <c r="O8" s="101" t="n">
        <v>5.15081935</v>
      </c>
      <c r="P8" s="101" t="n">
        <v>5.15081935</v>
      </c>
      <c r="Q8" s="101" t="n">
        <v>0</v>
      </c>
      <c r="R8" s="189"/>
      <c r="S8" s="101" t="n">
        <v>5.15081935</v>
      </c>
      <c r="T8" s="189"/>
    </row>
    <row r="9" customFormat="false" ht="14.25" hidden="false" customHeight="true" outlineLevel="0" collapsed="false">
      <c r="A9" s="44"/>
      <c r="B9" s="122" t="s">
        <v>1867</v>
      </c>
      <c r="C9" s="122"/>
      <c r="D9" s="122"/>
      <c r="E9" s="123" t="n">
        <v>0</v>
      </c>
      <c r="F9" s="124" t="n">
        <v>18</v>
      </c>
      <c r="G9" s="123" t="n">
        <v>18</v>
      </c>
      <c r="H9" s="124" t="n">
        <v>18</v>
      </c>
      <c r="I9" s="124" t="n">
        <v>0</v>
      </c>
      <c r="J9" s="124" t="n">
        <v>0</v>
      </c>
      <c r="K9" s="124" t="n">
        <v>0</v>
      </c>
      <c r="L9" s="124" t="n">
        <v>0</v>
      </c>
      <c r="M9" s="124" t="n">
        <v>18</v>
      </c>
      <c r="N9" s="125"/>
      <c r="O9" s="125" t="n">
        <v>5.15081935</v>
      </c>
      <c r="P9" s="125" t="n">
        <v>5.15081935</v>
      </c>
      <c r="Q9" s="125" t="n">
        <v>0</v>
      </c>
      <c r="R9" s="125"/>
      <c r="S9" s="125" t="n">
        <v>5.15081935</v>
      </c>
      <c r="T9" s="125"/>
    </row>
    <row r="10" customFormat="false" ht="15" hidden="false" customHeight="false" outlineLevel="0" collapsed="false">
      <c r="A10" s="44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</row>
    <row r="11" customFormat="false" ht="15" hidden="false" customHeight="false" outlineLevel="0" collapsed="false">
      <c r="A11" s="44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</row>
    <row r="12" customFormat="false" ht="18.75" hidden="false" customHeight="true" outlineLevel="0" collapsed="false">
      <c r="A12" s="44"/>
      <c r="B12" s="83" t="s">
        <v>2020</v>
      </c>
      <c r="C12" s="85"/>
      <c r="D12" s="85"/>
      <c r="E12" s="85"/>
      <c r="F12" s="85"/>
      <c r="G12" s="85"/>
      <c r="H12" s="98" t="s">
        <v>1869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</row>
    <row r="13" customFormat="false" ht="33.75" hidden="false" customHeight="true" outlineLevel="0" collapsed="false">
      <c r="A13" s="126" t="s">
        <v>39</v>
      </c>
      <c r="B13" s="91" t="s">
        <v>40</v>
      </c>
      <c r="C13" s="91" t="s">
        <v>41</v>
      </c>
      <c r="D13" s="91" t="s">
        <v>42</v>
      </c>
      <c r="E13" s="127" t="s">
        <v>43</v>
      </c>
      <c r="F13" s="91" t="s">
        <v>44</v>
      </c>
      <c r="G13" s="128" t="s">
        <v>45</v>
      </c>
      <c r="H13" s="91" t="s">
        <v>1870</v>
      </c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</row>
    <row r="14" customFormat="false" ht="14.25" hidden="false" customHeight="true" outlineLevel="0" collapsed="false">
      <c r="A14" s="44"/>
      <c r="B14" s="96" t="s">
        <v>36</v>
      </c>
      <c r="C14" s="96" t="s">
        <v>2021</v>
      </c>
      <c r="D14" s="96"/>
      <c r="E14" s="96"/>
      <c r="F14" s="130"/>
      <c r="G14" s="131" t="n">
        <v>5150819.35</v>
      </c>
      <c r="H14" s="131" t="n">
        <v>5150819.35</v>
      </c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</row>
    <row r="15" customFormat="false" ht="14.25" hidden="false" customHeight="true" outlineLevel="0" collapsed="false">
      <c r="A15" s="132" t="s">
        <v>1128</v>
      </c>
      <c r="B15" s="98" t="s">
        <v>1129</v>
      </c>
      <c r="C15" s="98" t="s">
        <v>1130</v>
      </c>
      <c r="D15" s="98" t="s">
        <v>53</v>
      </c>
      <c r="E15" s="133" t="s">
        <v>53</v>
      </c>
      <c r="F15" s="134"/>
      <c r="G15" s="100" t="n">
        <v>244200</v>
      </c>
      <c r="H15" s="100" t="n">
        <v>244200</v>
      </c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</row>
    <row r="16" customFormat="false" ht="14.25" hidden="false" customHeight="true" outlineLevel="0" collapsed="false">
      <c r="A16" s="132" t="s">
        <v>1131</v>
      </c>
      <c r="B16" s="98" t="s">
        <v>1132</v>
      </c>
      <c r="C16" s="98" t="s">
        <v>1133</v>
      </c>
      <c r="D16" s="98" t="s">
        <v>53</v>
      </c>
      <c r="E16" s="133" t="s">
        <v>53</v>
      </c>
      <c r="F16" s="134"/>
      <c r="G16" s="100" t="n">
        <v>244200</v>
      </c>
      <c r="H16" s="100" t="n">
        <v>244200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</row>
    <row r="17" customFormat="false" ht="14.25" hidden="false" customHeight="true" outlineLevel="0" collapsed="false">
      <c r="A17" s="132" t="s">
        <v>1105</v>
      </c>
      <c r="B17" s="98" t="s">
        <v>1106</v>
      </c>
      <c r="C17" s="98" t="s">
        <v>1107</v>
      </c>
      <c r="D17" s="98" t="s">
        <v>53</v>
      </c>
      <c r="E17" s="133" t="s">
        <v>53</v>
      </c>
      <c r="F17" s="134"/>
      <c r="G17" s="100" t="n">
        <v>310800</v>
      </c>
      <c r="H17" s="100" t="n">
        <v>310800</v>
      </c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</row>
    <row r="18" customFormat="false" ht="14.25" hidden="false" customHeight="true" outlineLevel="0" collapsed="false">
      <c r="A18" s="132" t="s">
        <v>1113</v>
      </c>
      <c r="B18" s="98" t="s">
        <v>1114</v>
      </c>
      <c r="C18" s="98" t="s">
        <v>1115</v>
      </c>
      <c r="D18" s="98" t="s">
        <v>53</v>
      </c>
      <c r="E18" s="133" t="s">
        <v>53</v>
      </c>
      <c r="F18" s="134"/>
      <c r="G18" s="100" t="n">
        <v>277500</v>
      </c>
      <c r="H18" s="100" t="n">
        <v>277500</v>
      </c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</row>
    <row r="19" customFormat="false" ht="14.25" hidden="false" customHeight="true" outlineLevel="0" collapsed="false">
      <c r="A19" s="132" t="s">
        <v>1108</v>
      </c>
      <c r="B19" s="98" t="s">
        <v>1109</v>
      </c>
      <c r="C19" s="98" t="s">
        <v>1110</v>
      </c>
      <c r="D19" s="98" t="s">
        <v>53</v>
      </c>
      <c r="E19" s="133" t="s">
        <v>53</v>
      </c>
      <c r="F19" s="134"/>
      <c r="G19" s="100" t="n">
        <v>301254</v>
      </c>
      <c r="H19" s="100" t="n">
        <v>301254</v>
      </c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</row>
    <row r="20" customFormat="false" ht="14.25" hidden="false" customHeight="true" outlineLevel="0" collapsed="false">
      <c r="A20" s="132" t="s">
        <v>1096</v>
      </c>
      <c r="B20" s="98" t="s">
        <v>1097</v>
      </c>
      <c r="C20" s="98" t="s">
        <v>1098</v>
      </c>
      <c r="D20" s="98" t="s">
        <v>53</v>
      </c>
      <c r="E20" s="133" t="s">
        <v>53</v>
      </c>
      <c r="F20" s="134"/>
      <c r="G20" s="100" t="n">
        <v>343158.72</v>
      </c>
      <c r="H20" s="100" t="n">
        <v>343158.72</v>
      </c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</row>
    <row r="21" customFormat="false" ht="14.25" hidden="false" customHeight="true" outlineLevel="0" collapsed="false">
      <c r="A21" s="132" t="s">
        <v>1122</v>
      </c>
      <c r="B21" s="98" t="s">
        <v>1123</v>
      </c>
      <c r="C21" s="98" t="s">
        <v>1124</v>
      </c>
      <c r="D21" s="98" t="s">
        <v>53</v>
      </c>
      <c r="E21" s="133" t="s">
        <v>53</v>
      </c>
      <c r="F21" s="134"/>
      <c r="G21" s="100" t="n">
        <v>266400</v>
      </c>
      <c r="H21" s="100" t="n">
        <v>266400</v>
      </c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</row>
    <row r="22" customFormat="false" ht="14.25" hidden="false" customHeight="true" outlineLevel="0" collapsed="false">
      <c r="A22" s="132" t="s">
        <v>1093</v>
      </c>
      <c r="B22" s="98" t="s">
        <v>1094</v>
      </c>
      <c r="C22" s="98" t="s">
        <v>1095</v>
      </c>
      <c r="D22" s="98" t="s">
        <v>53</v>
      </c>
      <c r="E22" s="133" t="s">
        <v>53</v>
      </c>
      <c r="F22" s="134"/>
      <c r="G22" s="100" t="n">
        <v>488400</v>
      </c>
      <c r="H22" s="100" t="n">
        <v>488400</v>
      </c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</row>
    <row r="23" customFormat="false" ht="14.25" hidden="false" customHeight="true" outlineLevel="0" collapsed="false">
      <c r="A23" s="132" t="s">
        <v>1111</v>
      </c>
      <c r="B23" s="98" t="s">
        <v>1112</v>
      </c>
      <c r="C23" s="98" t="s">
        <v>1110</v>
      </c>
      <c r="D23" s="98" t="s">
        <v>53</v>
      </c>
      <c r="E23" s="133" t="s">
        <v>53</v>
      </c>
      <c r="F23" s="134"/>
      <c r="G23" s="100" t="n">
        <v>299700</v>
      </c>
      <c r="H23" s="100" t="n">
        <v>299700</v>
      </c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</row>
    <row r="24" customFormat="false" ht="14.25" hidden="false" customHeight="true" outlineLevel="0" collapsed="false">
      <c r="A24" s="132" t="s">
        <v>1137</v>
      </c>
      <c r="B24" s="98" t="s">
        <v>1138</v>
      </c>
      <c r="C24" s="98" t="s">
        <v>1110</v>
      </c>
      <c r="D24" s="98" t="s">
        <v>53</v>
      </c>
      <c r="E24" s="133" t="s">
        <v>53</v>
      </c>
      <c r="F24" s="134"/>
      <c r="G24" s="100" t="n">
        <v>230436</v>
      </c>
      <c r="H24" s="100" t="n">
        <v>230436</v>
      </c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</row>
    <row r="25" customFormat="false" ht="14.25" hidden="false" customHeight="true" outlineLevel="0" collapsed="false">
      <c r="A25" s="132" t="s">
        <v>1125</v>
      </c>
      <c r="B25" s="98" t="s">
        <v>1126</v>
      </c>
      <c r="C25" s="98" t="s">
        <v>1127</v>
      </c>
      <c r="D25" s="98" t="s">
        <v>53</v>
      </c>
      <c r="E25" s="133" t="s">
        <v>53</v>
      </c>
      <c r="F25" s="134"/>
      <c r="G25" s="100" t="n">
        <v>266400</v>
      </c>
      <c r="H25" s="100" t="n">
        <v>266400</v>
      </c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</row>
    <row r="26" customFormat="false" ht="14.25" hidden="false" customHeight="true" outlineLevel="0" collapsed="false">
      <c r="A26" s="132" t="s">
        <v>1134</v>
      </c>
      <c r="B26" s="98" t="s">
        <v>1135</v>
      </c>
      <c r="C26" s="98" t="s">
        <v>1136</v>
      </c>
      <c r="D26" s="98" t="s">
        <v>53</v>
      </c>
      <c r="E26" s="133" t="s">
        <v>53</v>
      </c>
      <c r="F26" s="134"/>
      <c r="G26" s="100" t="n">
        <v>239502.48</v>
      </c>
      <c r="H26" s="100" t="n">
        <v>239502.48</v>
      </c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</row>
    <row r="27" customFormat="false" ht="14.25" hidden="false" customHeight="true" outlineLevel="0" collapsed="false">
      <c r="A27" s="132" t="s">
        <v>1119</v>
      </c>
      <c r="B27" s="98" t="s">
        <v>1120</v>
      </c>
      <c r="C27" s="98" t="s">
        <v>1121</v>
      </c>
      <c r="D27" s="98" t="s">
        <v>53</v>
      </c>
      <c r="E27" s="133" t="s">
        <v>53</v>
      </c>
      <c r="F27" s="134"/>
      <c r="G27" s="100" t="n">
        <v>273504</v>
      </c>
      <c r="H27" s="100" t="n">
        <v>273504</v>
      </c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</row>
    <row r="28" customFormat="false" ht="14.25" hidden="false" customHeight="true" outlineLevel="0" collapsed="false">
      <c r="A28" s="132" t="s">
        <v>1139</v>
      </c>
      <c r="B28" s="98" t="s">
        <v>1140</v>
      </c>
      <c r="C28" s="98" t="s">
        <v>1141</v>
      </c>
      <c r="D28" s="98" t="s">
        <v>53</v>
      </c>
      <c r="E28" s="133" t="s">
        <v>53</v>
      </c>
      <c r="F28" s="134"/>
      <c r="G28" s="100" t="n">
        <v>222000</v>
      </c>
      <c r="H28" s="100" t="n">
        <v>222000</v>
      </c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</row>
    <row r="29" customFormat="false" ht="14.25" hidden="false" customHeight="true" outlineLevel="0" collapsed="false">
      <c r="A29" s="132" t="s">
        <v>1099</v>
      </c>
      <c r="B29" s="98" t="s">
        <v>1100</v>
      </c>
      <c r="C29" s="98" t="s">
        <v>1101</v>
      </c>
      <c r="D29" s="98" t="s">
        <v>53</v>
      </c>
      <c r="E29" s="133" t="s">
        <v>53</v>
      </c>
      <c r="F29" s="134"/>
      <c r="G29" s="100" t="n">
        <v>333000</v>
      </c>
      <c r="H29" s="100" t="n">
        <v>333000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</row>
    <row r="30" customFormat="false" ht="14.25" hidden="false" customHeight="true" outlineLevel="0" collapsed="false">
      <c r="A30" s="132" t="s">
        <v>1116</v>
      </c>
      <c r="B30" s="98" t="s">
        <v>1117</v>
      </c>
      <c r="C30" s="98" t="s">
        <v>1118</v>
      </c>
      <c r="D30" s="98" t="s">
        <v>53</v>
      </c>
      <c r="E30" s="133" t="s">
        <v>53</v>
      </c>
      <c r="F30" s="134"/>
      <c r="G30" s="100" t="n">
        <v>277500</v>
      </c>
      <c r="H30" s="100" t="n">
        <v>277500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</row>
    <row r="31" customFormat="false" ht="14.25" hidden="false" customHeight="true" outlineLevel="0" collapsed="false">
      <c r="A31" s="132" t="s">
        <v>1102</v>
      </c>
      <c r="B31" s="98" t="s">
        <v>1103</v>
      </c>
      <c r="C31" s="98" t="s">
        <v>1104</v>
      </c>
      <c r="D31" s="98" t="s">
        <v>53</v>
      </c>
      <c r="E31" s="133" t="s">
        <v>53</v>
      </c>
      <c r="F31" s="134"/>
      <c r="G31" s="100" t="n">
        <v>325464.15</v>
      </c>
      <c r="H31" s="100" t="n">
        <v>325464.15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</row>
    <row r="32" customFormat="false" ht="14.25" hidden="false" customHeight="true" outlineLevel="0" collapsed="false">
      <c r="A32" s="132" t="s">
        <v>1142</v>
      </c>
      <c r="B32" s="98" t="s">
        <v>1143</v>
      </c>
      <c r="C32" s="98" t="s">
        <v>1144</v>
      </c>
      <c r="D32" s="98" t="s">
        <v>53</v>
      </c>
      <c r="E32" s="133" t="s">
        <v>53</v>
      </c>
      <c r="F32" s="134"/>
      <c r="G32" s="100" t="n">
        <v>207400</v>
      </c>
      <c r="H32" s="100" t="n">
        <v>207400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</row>
    <row r="33" customFormat="false" ht="15" hidden="false" customHeight="false" outlineLevel="0" collapsed="false">
      <c r="A33" s="44"/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</row>
    <row r="34" customFormat="false" ht="14.25" hidden="false" customHeight="true" outlineLevel="0" collapsed="false">
      <c r="A34" s="44"/>
      <c r="B34" s="126" t="s">
        <v>1886</v>
      </c>
      <c r="C34" s="44"/>
      <c r="D34" s="44"/>
      <c r="E34" s="44"/>
      <c r="F34" s="44"/>
      <c r="G34" s="44"/>
      <c r="H34" s="44"/>
      <c r="I34" s="44"/>
      <c r="J34" s="44"/>
      <c r="K34" s="136" t="n">
        <v>0</v>
      </c>
      <c r="L34" s="136" t="n">
        <v>0</v>
      </c>
      <c r="M34" s="136" t="n">
        <v>0</v>
      </c>
      <c r="N34" s="136" t="n">
        <v>0</v>
      </c>
      <c r="O34" s="136" t="n">
        <v>0</v>
      </c>
      <c r="P34" s="44"/>
      <c r="Q34" s="44"/>
      <c r="R34" s="44"/>
      <c r="S34" s="44"/>
      <c r="T34" s="4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</row>
    <row r="2" customFormat="false" ht="21" hidden="false" customHeight="true" outlineLevel="0" collapsed="false">
      <c r="A2" s="44"/>
      <c r="B2" s="81" t="s">
        <v>2022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</row>
    <row r="3" customFormat="false" ht="14.25" hidden="false" customHeight="true" outlineLevel="0" collapsed="false">
      <c r="A3" s="44"/>
      <c r="B3" s="82" t="s">
        <v>1165</v>
      </c>
      <c r="C3" s="73" t="s">
        <v>25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</row>
    <row r="4" customFormat="false" ht="18.75" hidden="false" customHeight="true" outlineLevel="0" collapsed="false">
      <c r="A4" s="44"/>
      <c r="B4" s="83" t="s">
        <v>2023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44"/>
      <c r="V4" s="44"/>
      <c r="W4" s="86" t="s">
        <v>1821</v>
      </c>
      <c r="X4" s="86"/>
      <c r="Y4" s="44"/>
    </row>
    <row r="5" customFormat="false" ht="6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89" t="s">
        <v>1822</v>
      </c>
      <c r="X5" s="90" t="n">
        <v>1.5</v>
      </c>
      <c r="Y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2" t="s">
        <v>1835</v>
      </c>
      <c r="S6" s="92" t="s">
        <v>1836</v>
      </c>
      <c r="T6" s="91" t="s">
        <v>1837</v>
      </c>
      <c r="U6" s="93" t="s">
        <v>1189</v>
      </c>
      <c r="V6" s="44"/>
      <c r="W6" s="137" t="s">
        <v>1838</v>
      </c>
      <c r="X6" s="138" t="n">
        <v>1</v>
      </c>
      <c r="Y6" s="44"/>
    </row>
    <row r="7" customFormat="false" ht="14.25" hidden="false" customHeight="true" outlineLevel="0" collapsed="false">
      <c r="A7" s="44"/>
      <c r="B7" s="96" t="s">
        <v>1164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44"/>
      <c r="V7" s="44"/>
      <c r="W7" s="139" t="s">
        <v>1839</v>
      </c>
      <c r="X7" s="138" t="n">
        <v>0.5</v>
      </c>
      <c r="Y7" s="44"/>
    </row>
    <row r="8" customFormat="false" ht="14.25" hidden="false" customHeight="true" outlineLevel="0" collapsed="false">
      <c r="A8" s="44"/>
      <c r="B8" s="98" t="s">
        <v>1066</v>
      </c>
      <c r="C8" s="98" t="s">
        <v>1845</v>
      </c>
      <c r="D8" s="98" t="s">
        <v>1846</v>
      </c>
      <c r="E8" s="99" t="n">
        <v>4</v>
      </c>
      <c r="F8" s="100" t="n">
        <v>4</v>
      </c>
      <c r="G8" s="99" t="n">
        <v>4</v>
      </c>
      <c r="H8" s="100" t="n">
        <v>4</v>
      </c>
      <c r="I8" s="100" t="n">
        <v>0</v>
      </c>
      <c r="J8" s="100" t="n">
        <v>0</v>
      </c>
      <c r="K8" s="100" t="n">
        <v>0</v>
      </c>
      <c r="L8" s="100" t="n">
        <v>0</v>
      </c>
      <c r="M8" s="100" t="n">
        <v>4</v>
      </c>
      <c r="N8" s="101" t="n">
        <v>0.8</v>
      </c>
      <c r="O8" s="101" t="n">
        <v>0.83820015</v>
      </c>
      <c r="P8" s="101" t="n">
        <v>0</v>
      </c>
      <c r="Q8" s="101" t="n">
        <v>0.83820015</v>
      </c>
      <c r="R8" s="101" t="n">
        <v>0.0382</v>
      </c>
      <c r="S8" s="101" t="n">
        <v>0.83820015</v>
      </c>
      <c r="T8" s="101" t="n">
        <v>0.0382</v>
      </c>
      <c r="U8" s="102" t="n">
        <v>0.8</v>
      </c>
      <c r="V8" s="44"/>
      <c r="W8" s="140" t="s">
        <v>1842</v>
      </c>
      <c r="X8" s="156" t="n">
        <v>-0.195</v>
      </c>
      <c r="Y8" s="44"/>
    </row>
    <row r="9" customFormat="false" ht="14.25" hidden="false" customHeight="true" outlineLevel="0" collapsed="false">
      <c r="A9" s="44"/>
      <c r="B9" s="96" t="s">
        <v>1854</v>
      </c>
      <c r="C9" s="96"/>
      <c r="D9" s="96"/>
      <c r="E9" s="96"/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44"/>
      <c r="V9" s="44"/>
      <c r="W9" s="140" t="s">
        <v>1844</v>
      </c>
      <c r="X9" s="156" t="n">
        <v>-0.5</v>
      </c>
      <c r="Y9" s="44"/>
    </row>
    <row r="10" customFormat="false" ht="14.25" hidden="false" customHeight="true" outlineLevel="0" collapsed="false">
      <c r="A10" s="44"/>
      <c r="B10" s="98" t="s">
        <v>1077</v>
      </c>
      <c r="C10" s="98" t="s">
        <v>1856</v>
      </c>
      <c r="D10" s="98"/>
      <c r="E10" s="99"/>
      <c r="F10" s="100" t="n">
        <v>5</v>
      </c>
      <c r="G10" s="99" t="n">
        <v>5</v>
      </c>
      <c r="H10" s="100" t="n">
        <v>5</v>
      </c>
      <c r="I10" s="100" t="n">
        <v>0</v>
      </c>
      <c r="J10" s="100" t="n">
        <v>0</v>
      </c>
      <c r="K10" s="100" t="n">
        <v>0</v>
      </c>
      <c r="L10" s="100" t="n">
        <v>0</v>
      </c>
      <c r="M10" s="100" t="n">
        <v>5</v>
      </c>
      <c r="N10" s="101" t="n">
        <v>1.2998</v>
      </c>
      <c r="O10" s="101" t="n">
        <v>1.29999655</v>
      </c>
      <c r="P10" s="101" t="n">
        <v>1.2998</v>
      </c>
      <c r="Q10" s="101" t="n">
        <v>0.000196550000000073</v>
      </c>
      <c r="R10" s="101" t="n">
        <v>0.000197</v>
      </c>
      <c r="S10" s="101" t="n">
        <v>1.29999655</v>
      </c>
      <c r="T10" s="101" t="n">
        <v>0.000197</v>
      </c>
      <c r="U10" s="102" t="n">
        <v>0</v>
      </c>
      <c r="V10" s="44"/>
      <c r="W10" s="157" t="s">
        <v>1847</v>
      </c>
      <c r="X10" s="158" t="n">
        <v>-0.695</v>
      </c>
      <c r="Y10" s="44"/>
    </row>
    <row r="11" customFormat="false" ht="14.25" hidden="false" customHeight="true" outlineLevel="0" collapsed="false">
      <c r="A11" s="44"/>
      <c r="B11" s="96" t="s">
        <v>1861</v>
      </c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44"/>
      <c r="V11" s="44"/>
      <c r="W11" s="192" t="s">
        <v>2024</v>
      </c>
      <c r="X11" s="44"/>
      <c r="Y11" s="44"/>
    </row>
    <row r="12" customFormat="false" ht="14.25" hidden="false" customHeight="true" outlineLevel="0" collapsed="false">
      <c r="A12" s="44"/>
      <c r="B12" s="98" t="s">
        <v>203</v>
      </c>
      <c r="C12" s="98"/>
      <c r="D12" s="98"/>
      <c r="E12" s="99" t="n">
        <v>0.3</v>
      </c>
      <c r="F12" s="100" t="n">
        <v>0</v>
      </c>
      <c r="G12" s="99" t="n">
        <v>0</v>
      </c>
      <c r="H12" s="100" t="n">
        <v>0</v>
      </c>
      <c r="I12" s="100" t="n">
        <v>0</v>
      </c>
      <c r="J12" s="100" t="n">
        <v>0</v>
      </c>
      <c r="K12" s="100" t="n">
        <v>0</v>
      </c>
      <c r="L12" s="100" t="n">
        <v>0</v>
      </c>
      <c r="M12" s="100" t="n">
        <v>0</v>
      </c>
      <c r="N12" s="101" t="n">
        <v>0.084</v>
      </c>
      <c r="O12" s="101" t="n">
        <v>0</v>
      </c>
      <c r="P12" s="101" t="n">
        <v>0</v>
      </c>
      <c r="Q12" s="101" t="n">
        <v>0</v>
      </c>
      <c r="R12" s="101" t="n">
        <v>-0.084</v>
      </c>
      <c r="S12" s="101" t="n">
        <v>0</v>
      </c>
      <c r="T12" s="101" t="n">
        <v>-0.084</v>
      </c>
      <c r="U12" s="44"/>
      <c r="V12" s="44"/>
      <c r="W12" s="44"/>
      <c r="X12" s="44"/>
      <c r="Y12" s="44"/>
    </row>
    <row r="13" customFormat="false" ht="14.25" hidden="false" customHeight="true" outlineLevel="0" collapsed="false">
      <c r="A13" s="44"/>
      <c r="B13" s="98" t="s">
        <v>206</v>
      </c>
      <c r="C13" s="98"/>
      <c r="D13" s="98"/>
      <c r="E13" s="99" t="n">
        <v>0.3</v>
      </c>
      <c r="F13" s="100" t="n">
        <v>0</v>
      </c>
      <c r="G13" s="99" t="n">
        <v>0</v>
      </c>
      <c r="H13" s="100" t="n">
        <v>0</v>
      </c>
      <c r="I13" s="100" t="n">
        <v>0</v>
      </c>
      <c r="J13" s="100" t="n">
        <v>0</v>
      </c>
      <c r="K13" s="100" t="n">
        <v>0</v>
      </c>
      <c r="L13" s="100" t="n">
        <v>0</v>
      </c>
      <c r="M13" s="100" t="n">
        <v>0</v>
      </c>
      <c r="N13" s="101" t="n">
        <v>0.081</v>
      </c>
      <c r="O13" s="101" t="n">
        <v>0</v>
      </c>
      <c r="P13" s="101" t="n">
        <v>0</v>
      </c>
      <c r="Q13" s="101" t="n">
        <v>0</v>
      </c>
      <c r="R13" s="101" t="n">
        <v>-0.081</v>
      </c>
      <c r="S13" s="101" t="n">
        <v>0</v>
      </c>
      <c r="T13" s="101" t="n">
        <v>-0.081</v>
      </c>
      <c r="U13" s="44"/>
      <c r="V13" s="44"/>
      <c r="W13" s="193" t="s">
        <v>2025</v>
      </c>
      <c r="X13" s="193"/>
      <c r="Y13" s="193"/>
    </row>
    <row r="14" customFormat="false" ht="14.25" hidden="false" customHeight="true" outlineLevel="0" collapsed="false">
      <c r="A14" s="44"/>
      <c r="B14" s="114" t="s">
        <v>1864</v>
      </c>
      <c r="C14" s="114"/>
      <c r="D14" s="114"/>
      <c r="E14" s="115" t="n">
        <v>0.6</v>
      </c>
      <c r="F14" s="116" t="n">
        <v>0</v>
      </c>
      <c r="G14" s="115" t="n">
        <v>0</v>
      </c>
      <c r="H14" s="116" t="n">
        <v>0</v>
      </c>
      <c r="I14" s="116" t="n">
        <v>0</v>
      </c>
      <c r="J14" s="116" t="n">
        <v>0</v>
      </c>
      <c r="K14" s="116" t="n">
        <v>0</v>
      </c>
      <c r="L14" s="116" t="n">
        <v>0</v>
      </c>
      <c r="M14" s="116" t="n">
        <v>0</v>
      </c>
      <c r="N14" s="117" t="n">
        <v>0.165</v>
      </c>
      <c r="O14" s="117" t="n">
        <v>0</v>
      </c>
      <c r="P14" s="117" t="n">
        <v>0</v>
      </c>
      <c r="Q14" s="117" t="n">
        <v>0</v>
      </c>
      <c r="R14" s="117" t="n">
        <v>-0.165</v>
      </c>
      <c r="S14" s="117" t="n">
        <v>0</v>
      </c>
      <c r="T14" s="117" t="n">
        <v>-0.165</v>
      </c>
      <c r="U14" s="44"/>
      <c r="V14" s="44"/>
      <c r="W14" s="110" t="s">
        <v>2026</v>
      </c>
      <c r="X14" s="194"/>
      <c r="Y14" s="195" t="n">
        <v>2.8</v>
      </c>
    </row>
    <row r="15" customFormat="false" ht="14.25" hidden="false" customHeight="true" outlineLevel="0" collapsed="false">
      <c r="A15" s="44"/>
      <c r="B15" s="120" t="s">
        <v>1865</v>
      </c>
      <c r="C15" s="44"/>
      <c r="D15" s="121"/>
      <c r="E15" s="99" t="n">
        <v>0</v>
      </c>
      <c r="F15" s="121"/>
      <c r="G15" s="121"/>
      <c r="H15" s="121"/>
      <c r="I15" s="121"/>
      <c r="J15" s="121"/>
      <c r="K15" s="121"/>
      <c r="L15" s="121"/>
      <c r="M15" s="121"/>
      <c r="N15" s="101" t="n">
        <v>0</v>
      </c>
      <c r="O15" s="121"/>
      <c r="P15" s="121"/>
      <c r="Q15" s="121"/>
      <c r="R15" s="121"/>
      <c r="S15" s="121"/>
      <c r="T15" s="121"/>
      <c r="U15" s="44"/>
      <c r="V15" s="44"/>
      <c r="W15" s="145" t="s">
        <v>2027</v>
      </c>
      <c r="X15" s="161"/>
      <c r="Y15" s="90" t="n">
        <v>1.2998</v>
      </c>
    </row>
    <row r="16" customFormat="false" ht="14.25" hidden="false" customHeight="true" outlineLevel="0" collapsed="false">
      <c r="A16" s="44"/>
      <c r="B16" s="120" t="s">
        <v>1866</v>
      </c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196" t="s">
        <v>2028</v>
      </c>
      <c r="X16" s="161"/>
      <c r="Y16" s="90" t="n">
        <v>0.49481945</v>
      </c>
    </row>
    <row r="17" customFormat="false" ht="14.25" hidden="false" customHeight="true" outlineLevel="0" collapsed="false">
      <c r="A17" s="44"/>
      <c r="B17" s="122" t="s">
        <v>1867</v>
      </c>
      <c r="C17" s="122"/>
      <c r="D17" s="122"/>
      <c r="E17" s="123" t="n">
        <v>4.6</v>
      </c>
      <c r="F17" s="124" t="n">
        <v>9</v>
      </c>
      <c r="G17" s="123" t="n">
        <v>9</v>
      </c>
      <c r="H17" s="124" t="n">
        <v>9</v>
      </c>
      <c r="I17" s="124" t="n">
        <v>0</v>
      </c>
      <c r="J17" s="124" t="n">
        <v>0</v>
      </c>
      <c r="K17" s="124" t="n">
        <v>0</v>
      </c>
      <c r="L17" s="124" t="n">
        <v>0</v>
      </c>
      <c r="M17" s="124" t="n">
        <v>9</v>
      </c>
      <c r="N17" s="125" t="n">
        <v>2.2648</v>
      </c>
      <c r="O17" s="125" t="n">
        <v>2.1381967</v>
      </c>
      <c r="P17" s="125" t="n">
        <v>1.2998</v>
      </c>
      <c r="Q17" s="125" t="n">
        <v>0.8383967</v>
      </c>
      <c r="R17" s="125" t="n">
        <v>-0.126603</v>
      </c>
      <c r="S17" s="125" t="n">
        <v>2.1381967</v>
      </c>
      <c r="T17" s="125" t="n">
        <v>-0.126603</v>
      </c>
      <c r="U17" s="44"/>
      <c r="V17" s="44"/>
      <c r="W17" s="145" t="s">
        <v>2029</v>
      </c>
      <c r="X17" s="161"/>
      <c r="Y17" s="90" t="n">
        <v>0.16</v>
      </c>
    </row>
    <row r="18" customFormat="false" ht="15" hidden="false" customHeight="false" outlineLevel="0" collapsed="false">
      <c r="A18" s="44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145" t="s">
        <v>2030</v>
      </c>
      <c r="X18" s="161"/>
      <c r="Y18" s="90" t="n">
        <v>1.95461945</v>
      </c>
    </row>
    <row r="19" customFormat="false" ht="15" hidden="false" customHeight="false" outlineLevel="0" collapsed="false">
      <c r="A19" s="44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145" t="s">
        <v>2031</v>
      </c>
      <c r="X19" s="161"/>
      <c r="Y19" s="90" t="n">
        <v>0.84538055</v>
      </c>
    </row>
    <row r="20" customFormat="false" ht="18.75" hidden="false" customHeight="true" outlineLevel="0" collapsed="false">
      <c r="A20" s="44"/>
      <c r="B20" s="83" t="s">
        <v>2032</v>
      </c>
      <c r="C20" s="85"/>
      <c r="D20" s="85"/>
      <c r="E20" s="85"/>
      <c r="F20" s="85"/>
      <c r="G20" s="85"/>
      <c r="H20" s="98" t="s">
        <v>1869</v>
      </c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</row>
    <row r="21" customFormat="false" ht="33.75" hidden="false" customHeight="true" outlineLevel="0" collapsed="false">
      <c r="A21" s="126" t="s">
        <v>39</v>
      </c>
      <c r="B21" s="91" t="s">
        <v>40</v>
      </c>
      <c r="C21" s="91" t="s">
        <v>41</v>
      </c>
      <c r="D21" s="91" t="s">
        <v>42</v>
      </c>
      <c r="E21" s="127" t="s">
        <v>43</v>
      </c>
      <c r="F21" s="91" t="s">
        <v>44</v>
      </c>
      <c r="G21" s="128" t="s">
        <v>45</v>
      </c>
      <c r="H21" s="91" t="s">
        <v>1870</v>
      </c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</row>
    <row r="22" customFormat="false" ht="14.25" hidden="false" customHeight="true" outlineLevel="0" collapsed="false">
      <c r="A22" s="44"/>
      <c r="B22" s="96" t="s">
        <v>1077</v>
      </c>
      <c r="C22" s="96" t="s">
        <v>1879</v>
      </c>
      <c r="D22" s="96"/>
      <c r="E22" s="96"/>
      <c r="F22" s="130"/>
      <c r="G22" s="131" t="n">
        <v>1299996.55</v>
      </c>
      <c r="H22" s="131" t="n">
        <v>1299996.55</v>
      </c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</row>
    <row r="23" customFormat="false" ht="14.25" hidden="false" customHeight="true" outlineLevel="0" collapsed="false">
      <c r="A23" s="132" t="s">
        <v>1078</v>
      </c>
      <c r="B23" s="98" t="s">
        <v>1079</v>
      </c>
      <c r="C23" s="98" t="s">
        <v>1080</v>
      </c>
      <c r="D23" s="98" t="s">
        <v>53</v>
      </c>
      <c r="E23" s="133" t="s">
        <v>53</v>
      </c>
      <c r="F23" s="134"/>
      <c r="G23" s="100" t="n">
        <v>315674.35</v>
      </c>
      <c r="H23" s="100" t="n">
        <v>315674.35</v>
      </c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</row>
    <row r="24" customFormat="false" ht="14.25" hidden="false" customHeight="true" outlineLevel="0" collapsed="false">
      <c r="A24" s="132" t="s">
        <v>1081</v>
      </c>
      <c r="B24" s="98" t="s">
        <v>1082</v>
      </c>
      <c r="C24" s="98" t="s">
        <v>1083</v>
      </c>
      <c r="D24" s="98" t="s">
        <v>53</v>
      </c>
      <c r="E24" s="133" t="s">
        <v>53</v>
      </c>
      <c r="F24" s="134"/>
      <c r="G24" s="100" t="n">
        <v>284982.45</v>
      </c>
      <c r="H24" s="100" t="n">
        <v>284982.45</v>
      </c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</row>
    <row r="25" customFormat="false" ht="14.25" hidden="false" customHeight="true" outlineLevel="0" collapsed="false">
      <c r="A25" s="132" t="s">
        <v>1084</v>
      </c>
      <c r="B25" s="98" t="s">
        <v>1085</v>
      </c>
      <c r="C25" s="98" t="s">
        <v>1086</v>
      </c>
      <c r="D25" s="98" t="s">
        <v>53</v>
      </c>
      <c r="E25" s="133" t="s">
        <v>53</v>
      </c>
      <c r="F25" s="134"/>
      <c r="G25" s="100" t="n">
        <v>258576.15</v>
      </c>
      <c r="H25" s="100" t="n">
        <v>258576.15</v>
      </c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</row>
    <row r="26" customFormat="false" ht="14.25" hidden="false" customHeight="true" outlineLevel="0" collapsed="false">
      <c r="A26" s="132" t="s">
        <v>1087</v>
      </c>
      <c r="B26" s="98" t="s">
        <v>1088</v>
      </c>
      <c r="C26" s="98" t="s">
        <v>1089</v>
      </c>
      <c r="D26" s="98" t="s">
        <v>53</v>
      </c>
      <c r="E26" s="133" t="s">
        <v>53</v>
      </c>
      <c r="F26" s="134"/>
      <c r="G26" s="100" t="n">
        <v>227163.6</v>
      </c>
      <c r="H26" s="100" t="n">
        <v>227163.6</v>
      </c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</row>
    <row r="27" customFormat="false" ht="14.25" hidden="false" customHeight="true" outlineLevel="0" collapsed="false">
      <c r="A27" s="132" t="s">
        <v>1090</v>
      </c>
      <c r="B27" s="98" t="s">
        <v>1091</v>
      </c>
      <c r="C27" s="98" t="s">
        <v>1092</v>
      </c>
      <c r="D27" s="98" t="s">
        <v>53</v>
      </c>
      <c r="E27" s="133" t="s">
        <v>53</v>
      </c>
      <c r="F27" s="134"/>
      <c r="G27" s="100" t="n">
        <v>213600</v>
      </c>
      <c r="H27" s="100" t="n">
        <v>213600</v>
      </c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</row>
    <row r="28" customFormat="false" ht="14.25" hidden="false" customHeight="true" outlineLevel="0" collapsed="false">
      <c r="A28" s="44"/>
      <c r="B28" s="96" t="s">
        <v>1066</v>
      </c>
      <c r="C28" s="96" t="s">
        <v>1883</v>
      </c>
      <c r="D28" s="96"/>
      <c r="E28" s="96"/>
      <c r="F28" s="96"/>
      <c r="G28" s="131" t="n">
        <v>838200.15</v>
      </c>
      <c r="H28" s="131" t="n">
        <v>838200.15</v>
      </c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</row>
    <row r="29" customFormat="false" ht="14.25" hidden="false" customHeight="true" outlineLevel="0" collapsed="false">
      <c r="A29" s="132" t="s">
        <v>1067</v>
      </c>
      <c r="B29" s="98" t="s">
        <v>1068</v>
      </c>
      <c r="C29" s="98" t="s">
        <v>1069</v>
      </c>
      <c r="D29" s="98" t="s">
        <v>53</v>
      </c>
      <c r="E29" s="133" t="s">
        <v>53</v>
      </c>
      <c r="F29" s="134"/>
      <c r="G29" s="100" t="n">
        <v>258709.65</v>
      </c>
      <c r="H29" s="100" t="n">
        <v>258709.65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</row>
    <row r="30" customFormat="false" ht="14.25" hidden="false" customHeight="true" outlineLevel="0" collapsed="false">
      <c r="A30" s="132" t="s">
        <v>1070</v>
      </c>
      <c r="B30" s="98" t="s">
        <v>1071</v>
      </c>
      <c r="C30" s="98" t="s">
        <v>1072</v>
      </c>
      <c r="D30" s="98" t="s">
        <v>53</v>
      </c>
      <c r="E30" s="133" t="s">
        <v>53</v>
      </c>
      <c r="F30" s="134"/>
      <c r="G30" s="100" t="n">
        <v>215682.6</v>
      </c>
      <c r="H30" s="100" t="n">
        <v>215682.6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</row>
    <row r="31" customFormat="false" ht="14.25" hidden="false" customHeight="true" outlineLevel="0" collapsed="false">
      <c r="A31" s="132" t="s">
        <v>1073</v>
      </c>
      <c r="B31" s="98" t="s">
        <v>1074</v>
      </c>
      <c r="C31" s="98" t="s">
        <v>1072</v>
      </c>
      <c r="D31" s="98" t="s">
        <v>53</v>
      </c>
      <c r="E31" s="133" t="s">
        <v>53</v>
      </c>
      <c r="F31" s="134"/>
      <c r="G31" s="100" t="n">
        <v>190675</v>
      </c>
      <c r="H31" s="100" t="n">
        <v>190675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</row>
    <row r="32" customFormat="false" ht="14.25" hidden="false" customHeight="true" outlineLevel="0" collapsed="false">
      <c r="A32" s="132" t="s">
        <v>1075</v>
      </c>
      <c r="B32" s="98" t="s">
        <v>1076</v>
      </c>
      <c r="C32" s="98" t="s">
        <v>1072</v>
      </c>
      <c r="D32" s="98" t="s">
        <v>53</v>
      </c>
      <c r="E32" s="133" t="s">
        <v>53</v>
      </c>
      <c r="F32" s="134"/>
      <c r="G32" s="100" t="n">
        <v>173132.9</v>
      </c>
      <c r="H32" s="100" t="n">
        <v>173132.9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</row>
    <row r="33" customFormat="false" ht="15" hidden="false" customHeight="false" outlineLevel="0" collapsed="false">
      <c r="A33" s="44"/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</row>
    <row r="34" customFormat="false" ht="14.25" hidden="false" customHeight="true" outlineLevel="0" collapsed="false">
      <c r="A34" s="44"/>
      <c r="B34" s="126" t="s">
        <v>1886</v>
      </c>
      <c r="C34" s="44"/>
      <c r="D34" s="44"/>
      <c r="E34" s="44"/>
      <c r="F34" s="44"/>
      <c r="G34" s="44"/>
      <c r="H34" s="44"/>
      <c r="I34" s="44"/>
      <c r="J34" s="44"/>
      <c r="K34" s="136" t="n">
        <v>0</v>
      </c>
      <c r="L34" s="136" t="n">
        <v>0</v>
      </c>
      <c r="M34" s="136" t="n">
        <v>0</v>
      </c>
      <c r="N34" s="136" t="n">
        <v>0</v>
      </c>
      <c r="O34" s="136" t="n">
        <v>0</v>
      </c>
      <c r="P34" s="44"/>
      <c r="Q34" s="44"/>
      <c r="R34" s="44"/>
      <c r="S34" s="44"/>
      <c r="T34" s="44"/>
      <c r="U34" s="44"/>
      <c r="V34" s="44"/>
      <c r="W34" s="44"/>
      <c r="X34" s="44"/>
      <c r="Y34" s="44"/>
    </row>
  </sheetData>
  <mergeCells count="2">
    <mergeCell ref="W4:X4"/>
    <mergeCell ref="W13:Y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21.73"/>
    <col collapsed="false" customWidth="true" hidden="false" outlineLevel="0" max="10" min="10" style="0" width="34.18"/>
    <col collapsed="false" customWidth="true" hidden="false" outlineLevel="0" max="12" min="12" style="0" width="11"/>
    <col collapsed="false" customWidth="true" hidden="false" outlineLevel="0" max="13" min="13" style="0" width="11.27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</row>
    <row r="2" customFormat="false" ht="21" hidden="false" customHeight="true" outlineLevel="0" collapsed="false">
      <c r="A2" s="44"/>
      <c r="B2" s="81" t="s">
        <v>2033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</row>
    <row r="3" customFormat="false" ht="14.25" hidden="false" customHeight="true" outlineLevel="0" collapsed="false">
      <c r="A3" s="44"/>
      <c r="B3" s="82" t="s">
        <v>1165</v>
      </c>
      <c r="C3" s="73" t="s">
        <v>27</v>
      </c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</row>
    <row r="4" customFormat="false" ht="18.75" hidden="false" customHeight="true" outlineLevel="0" collapsed="false">
      <c r="A4" s="44"/>
      <c r="B4" s="83" t="s">
        <v>2034</v>
      </c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</row>
    <row r="5" customFormat="false" ht="6" hidden="false" customHeight="true" outlineLevel="0" collapsed="false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</row>
    <row r="6" customFormat="false" ht="48" hidden="false" customHeight="true" outlineLevel="0" collapsed="false">
      <c r="A6" s="44"/>
      <c r="B6" s="91" t="s">
        <v>47</v>
      </c>
      <c r="C6" s="91" t="s">
        <v>1823</v>
      </c>
      <c r="D6" s="91" t="s">
        <v>1824</v>
      </c>
      <c r="E6" s="91" t="s">
        <v>1825</v>
      </c>
      <c r="F6" s="91" t="s">
        <v>1826</v>
      </c>
      <c r="G6" s="91" t="s">
        <v>1148</v>
      </c>
      <c r="H6" s="91" t="s">
        <v>53</v>
      </c>
      <c r="I6" s="91" t="s">
        <v>69</v>
      </c>
      <c r="J6" s="91" t="s">
        <v>1827</v>
      </c>
      <c r="K6" s="91" t="s">
        <v>1828</v>
      </c>
      <c r="L6" s="91" t="s">
        <v>1829</v>
      </c>
      <c r="M6" s="92" t="s">
        <v>1830</v>
      </c>
      <c r="N6" s="91" t="s">
        <v>1831</v>
      </c>
      <c r="O6" s="91" t="s">
        <v>1832</v>
      </c>
      <c r="P6" s="91" t="s">
        <v>1833</v>
      </c>
      <c r="Q6" s="91" t="s">
        <v>1834</v>
      </c>
      <c r="R6" s="91" t="s">
        <v>1835</v>
      </c>
      <c r="S6" s="92" t="s">
        <v>1836</v>
      </c>
      <c r="T6" s="91" t="s">
        <v>1837</v>
      </c>
      <c r="U6" s="44"/>
    </row>
    <row r="7" customFormat="false" ht="14.25" hidden="false" customHeight="true" outlineLevel="0" collapsed="false">
      <c r="A7" s="44"/>
      <c r="B7" s="96" t="s">
        <v>1854</v>
      </c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44"/>
    </row>
    <row r="8" customFormat="false" ht="14.25" hidden="false" customHeight="true" outlineLevel="0" collapsed="false">
      <c r="A8" s="44"/>
      <c r="B8" s="98" t="s">
        <v>1251</v>
      </c>
      <c r="C8" s="98"/>
      <c r="D8" s="98"/>
      <c r="E8" s="189"/>
      <c r="F8" s="100" t="n">
        <v>24</v>
      </c>
      <c r="G8" s="99" t="n">
        <v>24</v>
      </c>
      <c r="H8" s="100" t="n">
        <v>17</v>
      </c>
      <c r="I8" s="100" t="n">
        <v>7</v>
      </c>
      <c r="J8" s="100" t="n">
        <v>1</v>
      </c>
      <c r="K8" s="100" t="n">
        <v>8</v>
      </c>
      <c r="L8" s="100" t="n">
        <v>4</v>
      </c>
      <c r="M8" s="100" t="n">
        <v>20</v>
      </c>
      <c r="N8" s="189"/>
      <c r="O8" s="101" t="n">
        <v>4.38702063</v>
      </c>
      <c r="P8" s="101" t="n">
        <v>0</v>
      </c>
      <c r="Q8" s="101" t="n">
        <v>4.38702063</v>
      </c>
      <c r="R8" s="189"/>
      <c r="S8" s="101" t="n">
        <v>2.8319503024</v>
      </c>
      <c r="T8" s="189"/>
      <c r="U8" s="44"/>
    </row>
    <row r="9" customFormat="false" ht="14.25" hidden="false" customHeight="true" outlineLevel="0" collapsed="false">
      <c r="A9" s="44"/>
      <c r="B9" s="122" t="s">
        <v>1867</v>
      </c>
      <c r="C9" s="122"/>
      <c r="D9" s="122"/>
      <c r="E9" s="123" t="n">
        <v>0</v>
      </c>
      <c r="F9" s="124" t="n">
        <v>24</v>
      </c>
      <c r="G9" s="123" t="n">
        <v>24</v>
      </c>
      <c r="H9" s="124" t="n">
        <v>17</v>
      </c>
      <c r="I9" s="124" t="n">
        <v>7</v>
      </c>
      <c r="J9" s="124" t="n">
        <v>1</v>
      </c>
      <c r="K9" s="124" t="n">
        <v>8</v>
      </c>
      <c r="L9" s="124" t="n">
        <v>4</v>
      </c>
      <c r="M9" s="124" t="n">
        <v>20</v>
      </c>
      <c r="N9" s="125"/>
      <c r="O9" s="125" t="n">
        <v>4.38702063</v>
      </c>
      <c r="P9" s="125" t="n">
        <v>0</v>
      </c>
      <c r="Q9" s="125" t="n">
        <v>4.38702063</v>
      </c>
      <c r="R9" s="125"/>
      <c r="S9" s="125" t="n">
        <v>2.8319503024</v>
      </c>
      <c r="T9" s="125"/>
      <c r="U9" s="44"/>
    </row>
    <row r="10" customFormat="false" ht="15" hidden="false" customHeight="false" outlineLevel="0" collapsed="false">
      <c r="A10" s="44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</row>
    <row r="11" customFormat="false" ht="15" hidden="false" customHeight="false" outlineLevel="0" collapsed="false">
      <c r="A11" s="44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</row>
    <row r="12" customFormat="false" ht="18.75" hidden="false" customHeight="true" outlineLevel="0" collapsed="false">
      <c r="A12" s="44"/>
      <c r="B12" s="96" t="s">
        <v>1979</v>
      </c>
      <c r="C12" s="188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</row>
    <row r="13" customFormat="false" ht="33.75" hidden="false" customHeight="true" outlineLevel="0" collapsed="false">
      <c r="A13" s="44"/>
      <c r="B13" s="98" t="s">
        <v>2035</v>
      </c>
      <c r="C13" s="190" t="n">
        <v>0.5</v>
      </c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</row>
    <row r="14" customFormat="false" ht="14.25" hidden="false" customHeight="true" outlineLevel="0" collapsed="false">
      <c r="A14" s="44"/>
      <c r="B14" s="98" t="s">
        <v>1981</v>
      </c>
      <c r="C14" s="190" t="n">
        <v>0.5</v>
      </c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</row>
    <row r="15" customFormat="false" ht="14.25" hidden="false" customHeight="true" outlineLevel="0" collapsed="false">
      <c r="A15" s="44"/>
      <c r="B15" s="98" t="s">
        <v>1982</v>
      </c>
      <c r="C15" s="190" t="n">
        <v>2.8319503024</v>
      </c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</row>
    <row r="16" customFormat="false" ht="14.25" hidden="false" customHeight="true" outlineLevel="0" collapsed="false">
      <c r="A16" s="44"/>
      <c r="B16" s="98" t="s">
        <v>1983</v>
      </c>
      <c r="C16" s="190" t="n">
        <v>2.3319503024</v>
      </c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</row>
    <row r="17" customFormat="false" ht="15" hidden="false" customHeight="false" outlineLevel="0" collapsed="false">
      <c r="A17" s="44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</row>
    <row r="18" customFormat="false" ht="14.25" hidden="false" customHeight="true" outlineLevel="0" collapsed="false">
      <c r="A18" s="44"/>
      <c r="B18" s="83" t="s">
        <v>2036</v>
      </c>
      <c r="C18" s="85"/>
      <c r="D18" s="85"/>
      <c r="E18" s="85"/>
      <c r="F18" s="85"/>
      <c r="G18" s="85"/>
      <c r="H18" s="98" t="s">
        <v>2037</v>
      </c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</row>
    <row r="19" customFormat="false" ht="81.75" hidden="false" customHeight="true" outlineLevel="0" collapsed="false">
      <c r="A19" s="126" t="s">
        <v>39</v>
      </c>
      <c r="B19" s="91" t="s">
        <v>40</v>
      </c>
      <c r="C19" s="91" t="s">
        <v>41</v>
      </c>
      <c r="D19" s="91" t="s">
        <v>42</v>
      </c>
      <c r="E19" s="127" t="s">
        <v>43</v>
      </c>
      <c r="F19" s="91" t="s">
        <v>44</v>
      </c>
      <c r="G19" s="128" t="s">
        <v>45</v>
      </c>
      <c r="H19" s="91" t="s">
        <v>1870</v>
      </c>
      <c r="I19" s="91"/>
      <c r="J19" s="91"/>
      <c r="K19" s="44"/>
      <c r="L19" s="44"/>
      <c r="M19" s="164" t="s">
        <v>1871</v>
      </c>
      <c r="N19" s="44"/>
      <c r="O19" s="44"/>
      <c r="P19" s="44"/>
      <c r="Q19" s="44"/>
      <c r="R19" s="44"/>
      <c r="S19" s="44"/>
      <c r="T19" s="44"/>
      <c r="U19" s="44"/>
    </row>
    <row r="20" customFormat="false" ht="14.25" hidden="false" customHeight="true" outlineLevel="0" collapsed="false">
      <c r="A20" s="44"/>
      <c r="B20" s="96" t="s">
        <v>1251</v>
      </c>
      <c r="C20" s="96" t="s">
        <v>2038</v>
      </c>
      <c r="D20" s="96"/>
      <c r="E20" s="96"/>
      <c r="F20" s="130"/>
      <c r="G20" s="131" t="n">
        <v>4387020.63</v>
      </c>
      <c r="H20" s="131" t="n">
        <v>2831950.3024</v>
      </c>
      <c r="I20" s="44"/>
      <c r="J20" s="131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</row>
    <row r="21" customFormat="false" ht="14.25" hidden="false" customHeight="true" outlineLevel="0" collapsed="false">
      <c r="A21" s="132" t="s">
        <v>1343</v>
      </c>
      <c r="B21" s="98" t="s">
        <v>1528</v>
      </c>
      <c r="C21" s="98" t="s">
        <v>1529</v>
      </c>
      <c r="D21" s="98" t="s">
        <v>53</v>
      </c>
      <c r="E21" s="133" t="s">
        <v>53</v>
      </c>
      <c r="F21" s="134"/>
      <c r="G21" s="100" t="n">
        <v>400671.4</v>
      </c>
      <c r="H21" s="100" t="n">
        <v>400671.4</v>
      </c>
      <c r="I21" s="191"/>
      <c r="J21" s="100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</row>
    <row r="22" customFormat="false" ht="14.25" hidden="false" customHeight="true" outlineLevel="0" collapsed="false">
      <c r="A22" s="132" t="s">
        <v>1345</v>
      </c>
      <c r="B22" s="98" t="s">
        <v>1608</v>
      </c>
      <c r="C22" s="98" t="s">
        <v>1609</v>
      </c>
      <c r="D22" s="98" t="s">
        <v>53</v>
      </c>
      <c r="E22" s="133" t="s">
        <v>53</v>
      </c>
      <c r="F22" s="134"/>
      <c r="G22" s="100" t="n">
        <v>272070.45</v>
      </c>
      <c r="H22" s="100" t="n">
        <v>272070.45</v>
      </c>
      <c r="I22" s="191"/>
      <c r="J22" s="100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</row>
    <row r="23" customFormat="false" ht="14.25" hidden="false" customHeight="true" outlineLevel="0" collapsed="false">
      <c r="A23" s="132" t="s">
        <v>1346</v>
      </c>
      <c r="B23" s="98" t="s">
        <v>1671</v>
      </c>
      <c r="C23" s="98" t="s">
        <v>1672</v>
      </c>
      <c r="D23" s="98" t="s">
        <v>53</v>
      </c>
      <c r="E23" s="133" t="s">
        <v>71</v>
      </c>
      <c r="F23" s="134" t="s">
        <v>835</v>
      </c>
      <c r="G23" s="100" t="n">
        <v>189974.796</v>
      </c>
      <c r="H23" s="100" t="n">
        <v>75989.9184</v>
      </c>
      <c r="I23" s="191"/>
      <c r="J23" s="100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</row>
    <row r="24" customFormat="false" ht="14.25" hidden="false" customHeight="true" outlineLevel="0" collapsed="false">
      <c r="A24" s="132" t="s">
        <v>1347</v>
      </c>
      <c r="B24" s="98" t="s">
        <v>1677</v>
      </c>
      <c r="C24" s="98" t="s">
        <v>1678</v>
      </c>
      <c r="D24" s="98" t="s">
        <v>53</v>
      </c>
      <c r="E24" s="133" t="s">
        <v>53</v>
      </c>
      <c r="F24" s="134"/>
      <c r="G24" s="100" t="n">
        <v>274943.25</v>
      </c>
      <c r="H24" s="100" t="n">
        <v>274943.25</v>
      </c>
      <c r="I24" s="191"/>
      <c r="J24" s="100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</row>
    <row r="25" customFormat="false" ht="14.25" hidden="false" customHeight="true" outlineLevel="0" collapsed="false">
      <c r="A25" s="132" t="s">
        <v>1348</v>
      </c>
      <c r="B25" s="98" t="s">
        <v>1679</v>
      </c>
      <c r="C25" s="98" t="s">
        <v>1680</v>
      </c>
      <c r="D25" s="98" t="s">
        <v>53</v>
      </c>
      <c r="E25" s="133" t="s">
        <v>53</v>
      </c>
      <c r="F25" s="134"/>
      <c r="G25" s="100" t="n">
        <v>243303.75</v>
      </c>
      <c r="H25" s="100" t="n">
        <v>243303.75</v>
      </c>
      <c r="I25" s="191"/>
      <c r="J25" s="100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</row>
    <row r="26" customFormat="false" ht="14.25" hidden="false" customHeight="true" outlineLevel="0" collapsed="false">
      <c r="A26" s="132" t="s">
        <v>1349</v>
      </c>
      <c r="B26" s="98" t="s">
        <v>1716</v>
      </c>
      <c r="C26" s="98" t="s">
        <v>1717</v>
      </c>
      <c r="D26" s="98" t="s">
        <v>53</v>
      </c>
      <c r="E26" s="133" t="s">
        <v>71</v>
      </c>
      <c r="F26" s="134"/>
      <c r="G26" s="100" t="n">
        <v>203988</v>
      </c>
      <c r="H26" s="100" t="n">
        <v>81595.2</v>
      </c>
      <c r="I26" s="191"/>
      <c r="J26" s="100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</row>
    <row r="27" customFormat="false" ht="14.25" hidden="false" customHeight="true" outlineLevel="0" collapsed="false">
      <c r="A27" s="132" t="s">
        <v>1350</v>
      </c>
      <c r="B27" s="98" t="s">
        <v>1718</v>
      </c>
      <c r="C27" s="98" t="s">
        <v>1719</v>
      </c>
      <c r="D27" s="98" t="s">
        <v>53</v>
      </c>
      <c r="E27" s="133" t="s">
        <v>53</v>
      </c>
      <c r="F27" s="134"/>
      <c r="G27" s="100" t="n">
        <v>203841.15</v>
      </c>
      <c r="H27" s="100" t="n">
        <v>203841.15</v>
      </c>
      <c r="I27" s="191"/>
      <c r="J27" s="100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</row>
    <row r="28" customFormat="false" ht="14.25" hidden="false" customHeight="true" outlineLevel="0" collapsed="false">
      <c r="A28" s="132" t="s">
        <v>1351</v>
      </c>
      <c r="B28" s="98" t="s">
        <v>1720</v>
      </c>
      <c r="C28" s="98" t="s">
        <v>1721</v>
      </c>
      <c r="D28" s="98" t="s">
        <v>53</v>
      </c>
      <c r="E28" s="133" t="s">
        <v>53</v>
      </c>
      <c r="F28" s="134"/>
      <c r="G28" s="100" t="n">
        <v>220875.75</v>
      </c>
      <c r="H28" s="100" t="n">
        <v>220875.75</v>
      </c>
      <c r="I28" s="191"/>
      <c r="J28" s="100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</row>
    <row r="29" customFormat="false" ht="14.25" hidden="false" customHeight="true" outlineLevel="0" collapsed="false">
      <c r="A29" s="132" t="s">
        <v>1352</v>
      </c>
      <c r="B29" s="98" t="s">
        <v>69</v>
      </c>
      <c r="C29" s="197" t="s">
        <v>1728</v>
      </c>
      <c r="D29" s="98" t="s">
        <v>69</v>
      </c>
      <c r="E29" s="133" t="s">
        <v>78</v>
      </c>
      <c r="F29" s="134"/>
      <c r="G29" s="100" t="n">
        <v>202853.25</v>
      </c>
      <c r="H29" s="100" t="n">
        <v>0</v>
      </c>
      <c r="I29" s="191"/>
      <c r="J29" s="100"/>
      <c r="K29" s="44"/>
      <c r="L29" s="198" t="s">
        <v>2039</v>
      </c>
      <c r="M29" s="135" t="s">
        <v>1874</v>
      </c>
      <c r="N29" s="44"/>
      <c r="O29" s="44"/>
      <c r="P29" s="44"/>
      <c r="Q29" s="44"/>
      <c r="R29" s="44"/>
      <c r="S29" s="44"/>
      <c r="T29" s="44"/>
      <c r="U29" s="44"/>
    </row>
    <row r="30" customFormat="false" ht="14.25" hidden="false" customHeight="true" outlineLevel="0" collapsed="false">
      <c r="A30" s="132" t="s">
        <v>1353</v>
      </c>
      <c r="B30" s="98" t="s">
        <v>69</v>
      </c>
      <c r="C30" s="197" t="s">
        <v>1729</v>
      </c>
      <c r="D30" s="98" t="s">
        <v>69</v>
      </c>
      <c r="E30" s="133" t="s">
        <v>78</v>
      </c>
      <c r="F30" s="134"/>
      <c r="G30" s="100" t="n">
        <v>202853.25</v>
      </c>
      <c r="H30" s="100" t="n">
        <v>0</v>
      </c>
      <c r="I30" s="191"/>
      <c r="J30" s="100"/>
      <c r="K30" s="44"/>
      <c r="L30" s="198" t="s">
        <v>2040</v>
      </c>
      <c r="M30" s="135" t="s">
        <v>1874</v>
      </c>
      <c r="N30" s="44"/>
      <c r="O30" s="44"/>
      <c r="P30" s="44"/>
      <c r="Q30" s="44"/>
      <c r="R30" s="44"/>
      <c r="S30" s="44"/>
      <c r="T30" s="44"/>
      <c r="U30" s="44"/>
    </row>
    <row r="31" customFormat="false" ht="14.25" hidden="false" customHeight="true" outlineLevel="0" collapsed="false">
      <c r="A31" s="132" t="s">
        <v>1354</v>
      </c>
      <c r="B31" s="98" t="s">
        <v>69</v>
      </c>
      <c r="C31" s="199" t="s">
        <v>1760</v>
      </c>
      <c r="D31" s="98" t="s">
        <v>69</v>
      </c>
      <c r="E31" s="133" t="s">
        <v>82</v>
      </c>
      <c r="F31" s="134"/>
      <c r="G31" s="100" t="n">
        <v>170489.75</v>
      </c>
      <c r="H31" s="100" t="n">
        <v>170489.75</v>
      </c>
      <c r="I31" s="200"/>
      <c r="J31" s="154"/>
      <c r="K31" s="44"/>
      <c r="L31" s="198" t="s">
        <v>2041</v>
      </c>
      <c r="M31" s="135" t="s">
        <v>1925</v>
      </c>
      <c r="N31" s="44"/>
      <c r="O31" s="44"/>
      <c r="P31" s="44"/>
      <c r="Q31" s="44"/>
      <c r="R31" s="44"/>
      <c r="S31" s="44"/>
      <c r="T31" s="44"/>
      <c r="U31" s="44"/>
    </row>
    <row r="32" customFormat="false" ht="14.25" hidden="false" customHeight="true" outlineLevel="0" collapsed="false">
      <c r="A32" s="132" t="s">
        <v>1355</v>
      </c>
      <c r="B32" s="98" t="s">
        <v>1768</v>
      </c>
      <c r="C32" s="98" t="s">
        <v>1769</v>
      </c>
      <c r="D32" s="98" t="s">
        <v>53</v>
      </c>
      <c r="E32" s="133" t="s">
        <v>71</v>
      </c>
      <c r="F32" s="134"/>
      <c r="G32" s="100" t="n">
        <v>173106.6</v>
      </c>
      <c r="H32" s="100" t="n">
        <v>69242.64</v>
      </c>
      <c r="I32" s="191"/>
      <c r="J32" s="100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</row>
    <row r="33" customFormat="false" ht="14.25" hidden="false" customHeight="true" outlineLevel="0" collapsed="false">
      <c r="A33" s="132" t="s">
        <v>1356</v>
      </c>
      <c r="B33" s="98" t="s">
        <v>1771</v>
      </c>
      <c r="C33" s="98" t="s">
        <v>541</v>
      </c>
      <c r="D33" s="98" t="s">
        <v>53</v>
      </c>
      <c r="E33" s="133" t="s">
        <v>53</v>
      </c>
      <c r="F33" s="134"/>
      <c r="G33" s="100" t="n">
        <v>162139.5</v>
      </c>
      <c r="H33" s="100" t="n">
        <v>162139.5</v>
      </c>
      <c r="I33" s="191"/>
      <c r="J33" s="100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</row>
    <row r="34" customFormat="false" ht="14.25" hidden="false" customHeight="true" outlineLevel="0" collapsed="false">
      <c r="A34" s="132" t="s">
        <v>1357</v>
      </c>
      <c r="B34" s="98" t="s">
        <v>1774</v>
      </c>
      <c r="C34" s="98" t="s">
        <v>541</v>
      </c>
      <c r="D34" s="98" t="s">
        <v>53</v>
      </c>
      <c r="E34" s="133" t="s">
        <v>71</v>
      </c>
      <c r="F34" s="134"/>
      <c r="G34" s="100" t="n">
        <v>146885.5</v>
      </c>
      <c r="H34" s="100" t="n">
        <v>58754.2</v>
      </c>
      <c r="I34" s="191"/>
      <c r="J34" s="100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</row>
    <row r="35" customFormat="false" ht="14.25" hidden="false" customHeight="true" outlineLevel="0" collapsed="false">
      <c r="A35" s="132" t="s">
        <v>1358</v>
      </c>
      <c r="B35" s="98" t="s">
        <v>1782</v>
      </c>
      <c r="C35" s="98" t="s">
        <v>1783</v>
      </c>
      <c r="D35" s="98" t="s">
        <v>53</v>
      </c>
      <c r="E35" s="133" t="s">
        <v>53</v>
      </c>
      <c r="F35" s="134"/>
      <c r="G35" s="100" t="n">
        <v>180970.3</v>
      </c>
      <c r="H35" s="100" t="n">
        <v>180970.3</v>
      </c>
      <c r="I35" s="191"/>
      <c r="J35" s="100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</row>
    <row r="36" customFormat="false" ht="14.25" hidden="false" customHeight="true" outlineLevel="0" collapsed="false">
      <c r="A36" s="132" t="s">
        <v>1359</v>
      </c>
      <c r="B36" s="98" t="s">
        <v>1786</v>
      </c>
      <c r="C36" s="98" t="s">
        <v>1787</v>
      </c>
      <c r="D36" s="98" t="s">
        <v>53</v>
      </c>
      <c r="E36" s="133" t="s">
        <v>71</v>
      </c>
      <c r="F36" s="134"/>
      <c r="G36" s="100" t="n">
        <v>139008.65</v>
      </c>
      <c r="H36" s="100" t="n">
        <v>55603.46</v>
      </c>
      <c r="I36" s="191"/>
      <c r="J36" s="100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</row>
    <row r="37" customFormat="false" ht="14.25" hidden="false" customHeight="true" outlineLevel="0" collapsed="false">
      <c r="A37" s="132" t="s">
        <v>1360</v>
      </c>
      <c r="B37" s="98" t="s">
        <v>1792</v>
      </c>
      <c r="C37" s="98" t="s">
        <v>549</v>
      </c>
      <c r="D37" s="98" t="s">
        <v>53</v>
      </c>
      <c r="E37" s="133" t="s">
        <v>53</v>
      </c>
      <c r="F37" s="134"/>
      <c r="G37" s="100" t="n">
        <v>115851.5</v>
      </c>
      <c r="H37" s="100" t="n">
        <v>115851.5</v>
      </c>
      <c r="I37" s="191"/>
      <c r="J37" s="100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</row>
    <row r="38" customFormat="false" ht="14.25" hidden="false" customHeight="true" outlineLevel="0" collapsed="false">
      <c r="A38" s="132" t="s">
        <v>1361</v>
      </c>
      <c r="B38" s="98" t="s">
        <v>1797</v>
      </c>
      <c r="C38" s="98" t="s">
        <v>646</v>
      </c>
      <c r="D38" s="98" t="s">
        <v>53</v>
      </c>
      <c r="E38" s="133" t="s">
        <v>78</v>
      </c>
      <c r="F38" s="134"/>
      <c r="G38" s="100" t="n">
        <v>110075</v>
      </c>
      <c r="H38" s="100" t="n">
        <v>0</v>
      </c>
      <c r="I38" s="191"/>
      <c r="J38" s="100"/>
      <c r="K38" s="44"/>
      <c r="L38" s="198" t="s">
        <v>2042</v>
      </c>
      <c r="M38" s="44"/>
      <c r="N38" s="44"/>
      <c r="O38" s="44"/>
      <c r="P38" s="44"/>
      <c r="Q38" s="44"/>
      <c r="R38" s="44"/>
      <c r="S38" s="44"/>
      <c r="T38" s="44"/>
      <c r="U38" s="44"/>
    </row>
    <row r="39" customFormat="false" ht="14.25" hidden="false" customHeight="true" outlineLevel="0" collapsed="false">
      <c r="A39" s="132" t="s">
        <v>1362</v>
      </c>
      <c r="B39" s="98" t="s">
        <v>1798</v>
      </c>
      <c r="C39" s="98" t="s">
        <v>549</v>
      </c>
      <c r="D39" s="98" t="s">
        <v>53</v>
      </c>
      <c r="E39" s="133" t="s">
        <v>53</v>
      </c>
      <c r="F39" s="134"/>
      <c r="G39" s="100" t="n">
        <v>89758</v>
      </c>
      <c r="H39" s="100" t="n">
        <v>89758</v>
      </c>
      <c r="I39" s="191"/>
      <c r="J39" s="100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</row>
    <row r="40" customFormat="false" ht="14.25" hidden="false" customHeight="true" outlineLevel="0" collapsed="false">
      <c r="A40" s="132" t="s">
        <v>1363</v>
      </c>
      <c r="B40" s="98" t="s">
        <v>69</v>
      </c>
      <c r="C40" s="98" t="s">
        <v>1814</v>
      </c>
      <c r="D40" s="98" t="s">
        <v>69</v>
      </c>
      <c r="E40" s="133" t="s">
        <v>71</v>
      </c>
      <c r="F40" s="134" t="s">
        <v>1364</v>
      </c>
      <c r="G40" s="100" t="n">
        <v>170489.75</v>
      </c>
      <c r="H40" s="100" t="n">
        <v>17048.975</v>
      </c>
      <c r="I40" s="191"/>
      <c r="J40" s="100"/>
      <c r="K40" s="44"/>
      <c r="L40" s="44"/>
      <c r="M40" s="135" t="s">
        <v>2043</v>
      </c>
      <c r="N40" s="44"/>
      <c r="O40" s="44"/>
      <c r="P40" s="44"/>
      <c r="Q40" s="44"/>
      <c r="R40" s="44"/>
      <c r="S40" s="44"/>
      <c r="T40" s="44"/>
      <c r="U40" s="44"/>
    </row>
    <row r="41" customFormat="false" ht="14.25" hidden="false" customHeight="true" outlineLevel="0" collapsed="false">
      <c r="A41" s="132" t="s">
        <v>1365</v>
      </c>
      <c r="B41" s="98" t="s">
        <v>69</v>
      </c>
      <c r="C41" s="98" t="s">
        <v>1814</v>
      </c>
      <c r="D41" s="98" t="s">
        <v>69</v>
      </c>
      <c r="E41" s="133" t="s">
        <v>71</v>
      </c>
      <c r="F41" s="134" t="s">
        <v>1364</v>
      </c>
      <c r="G41" s="100" t="n">
        <v>170489.75</v>
      </c>
      <c r="H41" s="100" t="n">
        <v>17048.975</v>
      </c>
      <c r="I41" s="191"/>
      <c r="J41" s="100"/>
      <c r="K41" s="44"/>
      <c r="L41" s="44"/>
      <c r="M41" s="135" t="s">
        <v>2043</v>
      </c>
      <c r="N41" s="44"/>
      <c r="O41" s="44"/>
      <c r="P41" s="44"/>
      <c r="Q41" s="44"/>
      <c r="R41" s="44"/>
      <c r="S41" s="44"/>
      <c r="T41" s="44"/>
      <c r="U41" s="44"/>
    </row>
    <row r="42" customFormat="false" ht="14.25" hidden="false" customHeight="true" outlineLevel="0" collapsed="false">
      <c r="A42" s="132" t="s">
        <v>1366</v>
      </c>
      <c r="B42" s="98" t="s">
        <v>69</v>
      </c>
      <c r="C42" s="98" t="s">
        <v>549</v>
      </c>
      <c r="D42" s="98" t="s">
        <v>69</v>
      </c>
      <c r="E42" s="133" t="s">
        <v>71</v>
      </c>
      <c r="F42" s="134" t="s">
        <v>1367</v>
      </c>
      <c r="G42" s="100" t="n">
        <v>122571.75</v>
      </c>
      <c r="H42" s="100" t="n">
        <v>24514.35</v>
      </c>
      <c r="I42" s="191"/>
      <c r="J42" s="100"/>
      <c r="K42" s="44"/>
      <c r="L42" s="44"/>
      <c r="M42" s="135" t="s">
        <v>2017</v>
      </c>
      <c r="N42" s="44"/>
      <c r="O42" s="44"/>
      <c r="P42" s="44"/>
      <c r="Q42" s="44"/>
      <c r="R42" s="44"/>
      <c r="S42" s="44"/>
      <c r="T42" s="44"/>
      <c r="U42" s="44"/>
    </row>
    <row r="43" customFormat="false" ht="14.25" hidden="false" customHeight="true" outlineLevel="0" collapsed="false">
      <c r="A43" s="132" t="s">
        <v>1368</v>
      </c>
      <c r="B43" s="98" t="s">
        <v>1799</v>
      </c>
      <c r="C43" s="98" t="s">
        <v>549</v>
      </c>
      <c r="D43" s="98" t="s">
        <v>53</v>
      </c>
      <c r="E43" s="133" t="s">
        <v>53</v>
      </c>
      <c r="F43" s="134"/>
      <c r="G43" s="100" t="n">
        <v>97237.784</v>
      </c>
      <c r="H43" s="100" t="n">
        <v>97237.784</v>
      </c>
      <c r="I43" s="191"/>
      <c r="J43" s="100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</row>
    <row r="44" customFormat="false" ht="14.25" hidden="false" customHeight="true" outlineLevel="0" collapsed="false">
      <c r="A44" s="132" t="s">
        <v>1369</v>
      </c>
      <c r="B44" s="98" t="s">
        <v>1800</v>
      </c>
      <c r="C44" s="98" t="s">
        <v>549</v>
      </c>
      <c r="D44" s="98" t="s">
        <v>69</v>
      </c>
      <c r="E44" s="133" t="s">
        <v>78</v>
      </c>
      <c r="F44" s="134"/>
      <c r="G44" s="100" t="n">
        <v>122571.75</v>
      </c>
      <c r="H44" s="100" t="n">
        <v>0</v>
      </c>
      <c r="I44" s="191"/>
      <c r="J44" s="100"/>
      <c r="K44" s="44"/>
      <c r="L44" s="44"/>
      <c r="M44" s="135" t="s">
        <v>1874</v>
      </c>
      <c r="N44" s="44"/>
      <c r="O44" s="44"/>
      <c r="P44" s="44"/>
      <c r="Q44" s="44"/>
      <c r="R44" s="44"/>
      <c r="S44" s="44"/>
      <c r="T44" s="44"/>
      <c r="U44" s="44"/>
    </row>
    <row r="45" customFormat="false" ht="15" hidden="false" customHeight="false" outlineLevel="0" collapsed="false">
      <c r="A45" s="44"/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</row>
    <row r="46" customFormat="false" ht="14.25" hidden="false" customHeight="true" outlineLevel="0" collapsed="false">
      <c r="A46" s="44"/>
      <c r="B46" s="126" t="s">
        <v>1886</v>
      </c>
      <c r="C46" s="44"/>
      <c r="D46" s="44"/>
      <c r="E46" s="44"/>
      <c r="F46" s="44"/>
      <c r="G46" s="44"/>
      <c r="H46" s="44"/>
      <c r="I46" s="44"/>
      <c r="J46" s="44"/>
      <c r="K46" s="136" t="n">
        <v>1</v>
      </c>
      <c r="L46" s="136" t="n">
        <v>3</v>
      </c>
      <c r="M46" s="136" t="n">
        <v>3</v>
      </c>
      <c r="N46" s="136" t="n">
        <v>0</v>
      </c>
      <c r="O46" s="136" t="n">
        <v>5</v>
      </c>
      <c r="P46" s="44"/>
      <c r="Q46" s="44"/>
      <c r="R46" s="44"/>
      <c r="S46" s="44"/>
      <c r="T46" s="44"/>
      <c r="U46" s="44"/>
    </row>
    <row r="47" customFormat="false" ht="15" hidden="false" customHeight="false" outlineLevel="0" collapsed="false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 t="s">
        <v>2044</v>
      </c>
      <c r="M47" s="44"/>
      <c r="N47" s="44"/>
      <c r="O47" s="44"/>
      <c r="P47" s="44"/>
      <c r="Q47" s="44"/>
      <c r="R47" s="44"/>
      <c r="S47" s="44"/>
      <c r="T47" s="44"/>
      <c r="U47" s="4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2026-08-27T09:37:57Z</dcterms:created>
  <dc:creator>openpyxl</dc:creator>
  <dc:description/>
  <dc:language>en-US</dc:language>
  <cp:lastModifiedBy/>
  <dcterms:modified xsi:type="dcterms:W3CDTF">2026-08-27T09:38:27Z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