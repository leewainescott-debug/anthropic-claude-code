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FF0F2E52"/>
      <sz val="16"/>
    </font>
    <font>
      <name val="Calibri"/>
      <color rgb="FF6B6B66"/>
      <sz val="9"/>
    </font>
    <font>
      <name val="Calibri"/>
      <b val="1"/>
      <color rgb="FFFFFFFF"/>
      <sz val="8"/>
    </font>
    <font>
      <name val="Calibri"/>
      <b val="1"/>
      <color rgb="FFC0392B"/>
      <sz val="10"/>
    </font>
    <font>
      <name val="Calibri"/>
      <color rgb="FF6B6B66"/>
      <sz val="8"/>
    </font>
    <font>
      <name val="Calibri"/>
      <color rgb="FF1A1A1A"/>
      <sz val="9"/>
    </font>
    <font>
      <name val="Calibri"/>
      <b val="1"/>
      <color rgb="FFC0392B"/>
      <sz val="8"/>
    </font>
    <font>
      <name val="Calibri"/>
      <i val="1"/>
      <color rgb="FF6B6B66"/>
      <sz val="8"/>
    </font>
    <font>
      <name val="Calibri"/>
      <b val="1"/>
      <color rgb="FFB9770E"/>
      <sz val="8"/>
    </font>
    <font>
      <name val="Calibri"/>
      <b val="1"/>
      <color rgb="FF6B6B66"/>
      <sz val="8"/>
    </font>
    <font>
      <name val="Calibri"/>
      <b val="1"/>
      <color rgb="FFB9770E"/>
      <sz val="10"/>
    </font>
    <font>
      <name val="Calibri"/>
      <b val="1"/>
      <color rgb="FF1B7A3D"/>
      <sz val="10"/>
    </font>
    <font>
      <name val="Calibri"/>
      <b val="1"/>
      <color rgb="FF0F2E52"/>
      <sz val="9"/>
    </font>
  </fonts>
  <fills count="5">
    <fill>
      <patternFill/>
    </fill>
    <fill>
      <patternFill patternType="gray125"/>
    </fill>
    <fill>
      <patternFill patternType="solid">
        <fgColor rgb="FF0F2E52"/>
      </patternFill>
    </fill>
    <fill>
      <patternFill patternType="solid">
        <fgColor rgb="FFF5F4F0"/>
      </patternFill>
    </fill>
    <fill>
      <patternFill patternType="solid">
        <fgColor rgb="FFFFF2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2" borderId="0" applyAlignment="1" pivotButton="0" quotePrefix="0" xfId="0">
      <alignment horizontal="left" vertical="top"/>
    </xf>
    <xf numFmtId="0" fontId="4" fillId="3" borderId="0" applyAlignment="1" pivotButton="0" quotePrefix="0" xfId="0">
      <alignment horizontal="left" vertical="top"/>
    </xf>
    <xf numFmtId="0" fontId="5" fillId="3" borderId="0" applyAlignment="1" pivotButton="0" quotePrefix="0" xfId="0">
      <alignment horizontal="left" vertical="top"/>
    </xf>
    <xf numFmtId="0" fontId="6" fillId="3" borderId="0" applyAlignment="1" pivotButton="0" quotePrefix="0" xfId="0">
      <alignment horizontal="left" vertical="top" wrapText="1"/>
    </xf>
    <xf numFmtId="0" fontId="7" fillId="3" borderId="0" applyAlignment="1" pivotButton="0" quotePrefix="0" xfId="0">
      <alignment horizontal="center" vertical="top"/>
    </xf>
    <xf numFmtId="0" fontId="5" fillId="3" borderId="0" applyAlignment="1" pivotButton="0" quotePrefix="0" xfId="0">
      <alignment horizontal="left" vertical="top" wrapText="1"/>
    </xf>
    <xf numFmtId="0" fontId="6" fillId="4" borderId="0" applyAlignment="1" pivotButton="0" quotePrefix="0" xfId="0">
      <alignment horizontal="left" vertical="top"/>
    </xf>
    <xf numFmtId="0" fontId="8" fillId="3" borderId="0" applyAlignment="1" pivotButton="0" quotePrefix="0" xfId="0">
      <alignment horizontal="left" vertical="top" wrapText="1"/>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0" borderId="0" applyAlignment="1" pivotButton="0" quotePrefix="0" xfId="0">
      <alignment horizontal="center" vertical="top"/>
    </xf>
    <xf numFmtId="0" fontId="5"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3" borderId="0" applyAlignment="1" pivotButton="0" quotePrefix="0" xfId="0">
      <alignment horizontal="center" vertical="top"/>
    </xf>
    <xf numFmtId="0" fontId="9" fillId="0" borderId="0" applyAlignment="1" pivotButton="0" quotePrefix="0" xfId="0">
      <alignment horizontal="center" vertical="top"/>
    </xf>
    <xf numFmtId="0" fontId="10" fillId="3" borderId="0" applyAlignment="1" pivotButton="0" quotePrefix="0" xfId="0">
      <alignment horizontal="center" vertical="top"/>
    </xf>
    <xf numFmtId="0" fontId="10" fillId="0" borderId="0" applyAlignment="1" pivotButton="0" quotePrefix="0" xfId="0">
      <alignment horizontal="center" vertical="top"/>
    </xf>
    <xf numFmtId="0" fontId="11" fillId="3" borderId="0" applyAlignment="1" pivotButton="0" quotePrefix="0" xfId="0">
      <alignment horizontal="left" vertical="top"/>
    </xf>
    <xf numFmtId="0" fontId="12" fillId="3" borderId="0" applyAlignment="1" pivotButton="0" quotePrefix="0" xfId="0">
      <alignment horizontal="left" vertical="top"/>
    </xf>
    <xf numFmtId="0" fontId="6" fillId="0" borderId="0" applyAlignment="1" pivotButton="0" quotePrefix="0" xfId="0">
      <alignment horizontal="left" vertical="top"/>
    </xf>
    <xf numFmtId="0" fontId="6" fillId="3" borderId="0" applyAlignment="1" pivotButton="0" quotePrefix="0" xfId="0">
      <alignment horizontal="left" vertical="top"/>
    </xf>
    <xf numFmtId="0" fontId="13"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5" customWidth="1" min="1" max="1"/>
    <col width="7" customWidth="1" min="2" max="2"/>
    <col width="21" customWidth="1" min="3" max="3"/>
    <col width="56" customWidth="1" min="4" max="4"/>
    <col width="6" customWidth="1" min="5" max="5"/>
    <col width="44" customWidth="1" min="6" max="6"/>
    <col width="11" customWidth="1" min="7" max="7"/>
    <col width="50" customWidth="1" min="8" max="8"/>
    <col width="2" customWidth="1" min="9" max="9"/>
  </cols>
  <sheetData>
    <row r="2">
      <c r="B2" s="1" t="inlineStr">
        <is>
          <t>TDD Cost Model - change register</t>
        </is>
      </c>
    </row>
    <row r="3">
      <c r="B3" s="2" t="inlineStr">
        <is>
          <t>Everything since the 30/07 workbook. Status is verified against the shipped file, not from memory. Set the Status column as things land.</t>
        </is>
      </c>
    </row>
    <row r="5">
      <c r="B5" s="3" t="inlineStr">
        <is>
          <t>ID</t>
        </is>
      </c>
      <c r="C5" s="3" t="inlineStr">
        <is>
          <t>Area</t>
        </is>
      </c>
      <c r="D5" s="3" t="inlineStr">
        <is>
          <t>What</t>
        </is>
      </c>
      <c r="E5" s="3" t="inlineStr">
        <is>
          <t>Pri</t>
        </is>
      </c>
      <c r="F5" s="3" t="inlineStr">
        <is>
          <t>Where it stands</t>
        </is>
      </c>
      <c r="G5" s="3" t="inlineStr">
        <is>
          <t>Status</t>
        </is>
      </c>
      <c r="H5" s="3" t="inlineStr">
        <is>
          <t>Your words</t>
        </is>
      </c>
    </row>
    <row r="6">
      <c r="B6" s="4" t="inlineStr">
        <is>
          <t>NEEDS YOUR DECISION  (9)</t>
        </is>
      </c>
    </row>
    <row r="7">
      <c r="B7" s="5" t="inlineStr">
        <is>
          <t>DEC-01</t>
        </is>
      </c>
      <c r="C7" s="6" t="inlineStr">
        <is>
          <t>Overheads</t>
        </is>
      </c>
      <c r="D7" s="6" t="inlineStr">
        <is>
          <t>The overhead funding gap: 12.26 of overhead exists beyond what the lights on budget allows. Decide whether the budget moves, roles come out, or the gap is shown openly.</t>
        </is>
      </c>
      <c r="E7" s="7" t="inlineStr">
        <is>
          <t>HIGH</t>
        </is>
      </c>
      <c r="F7" s="8" t="inlineStr">
        <is>
          <t>Budget allows 12.37, actual overhead is 24.63. Funding it all takes TDD from 6.56 over to 18.67 over.</t>
        </is>
      </c>
      <c r="G7" s="9" t="inlineStr"/>
      <c r="H7" s="10" t="inlineStr">
        <is>
          <t>if we need to fund every single overhead position to the lights on budget, then what is the impact of that?</t>
        </is>
      </c>
    </row>
    <row r="8">
      <c r="B8" s="11" t="inlineStr">
        <is>
          <t>DEC-16</t>
        </is>
      </c>
      <c r="C8" s="12" t="inlineStr">
        <is>
          <t>REVIEW mapping / geography</t>
        </is>
      </c>
      <c r="D8" s="12" t="inlineStr">
        <is>
          <t>The AU/NZ split is computed as not-NZ versus NZ, so 14 Singapore roles count as AU.</t>
        </is>
      </c>
      <c r="E8" s="13" t="inlineStr">
        <is>
          <t>HIGH</t>
        </is>
      </c>
      <c r="F8" s="14" t="inlineStr">
        <is>
          <t>PARKED: AU/NZ basis left as is.</t>
        </is>
      </c>
      <c r="G8" s="9" t="inlineStr"/>
      <c r="H8" s="15" t="inlineStr"/>
    </row>
    <row r="9">
      <c r="B9" s="5" t="inlineStr">
        <is>
          <t>DEC-11</t>
        </is>
      </c>
      <c r="C9" s="6" t="inlineStr">
        <is>
          <t>FY27</t>
        </is>
      </c>
      <c r="D9" s="6" t="inlineStr">
        <is>
          <t>Confirm the three dates: vacancies land 01 Oct 26, offshore transitions done 01 Jan 27, holds stay closed.</t>
        </is>
      </c>
      <c r="E9" s="16" t="inlineStr">
        <is>
          <t>MEDIUM</t>
        </is>
      </c>
      <c r="F9" s="8" t="inlineStr">
        <is>
          <t>PARKED: FY27 dates do not matter right now.</t>
        </is>
      </c>
      <c r="G9" s="9" t="inlineStr"/>
      <c r="H9" s="10" t="inlineStr">
        <is>
          <t>how do we show where we land for FY27</t>
        </is>
      </c>
    </row>
    <row r="10">
      <c r="B10" s="11" t="inlineStr">
        <is>
          <t>DEC-17</t>
        </is>
      </c>
      <c r="C10" s="12" t="inlineStr">
        <is>
          <t>REVIEW mapping / data</t>
        </is>
      </c>
      <c r="D10" s="12" t="inlineStr">
        <is>
          <t>Rob Jadrjevic is counted as a role but priced at zero.</t>
        </is>
      </c>
      <c r="E10" s="17" t="inlineStr">
        <is>
          <t>MEDIUM</t>
        </is>
      </c>
      <c r="F10" s="14" t="inlineStr">
        <is>
          <t>PARKED: Rob Jadrjevic left as is.</t>
        </is>
      </c>
      <c r="G10" s="9" t="inlineStr"/>
      <c r="H10" s="15" t="inlineStr"/>
    </row>
    <row r="11">
      <c r="B11" s="5" t="inlineStr">
        <is>
          <t>DEC-19</t>
        </is>
      </c>
      <c r="C11" s="6" t="inlineStr">
        <is>
          <t>REVIEW mapping / data</t>
        </is>
      </c>
      <c r="D11" s="6" t="inlineStr">
        <is>
          <t>Six Ring fenced placeholder rows: keep, cost, or exclude.</t>
        </is>
      </c>
      <c r="E11" s="16" t="inlineStr">
        <is>
          <t>MEDIUM</t>
        </is>
      </c>
      <c r="F11" s="8" t="inlineStr">
        <is>
          <t>Your 05/08 mapping carries four rows named ring fenced. They price as vacancies today, on their levers.</t>
        </is>
      </c>
      <c r="G11" s="9" t="inlineStr"/>
      <c r="H11" s="10" t="inlineStr"/>
    </row>
    <row r="12">
      <c r="B12" s="11" t="inlineStr">
        <is>
          <t>DEC-09</t>
        </is>
      </c>
      <c r="C12" s="12" t="inlineStr">
        <is>
          <t>1.4 TDD Group Functions</t>
        </is>
      </c>
      <c r="D12" s="12" t="inlineStr">
        <is>
          <t>The Left to fund 1.48 line: real, or covered by something.</t>
        </is>
      </c>
      <c r="E12" s="17" t="inlineStr">
        <is>
          <t>MEDIUM</t>
        </is>
      </c>
      <c r="F12" s="14" t="inlineStr">
        <is>
          <t>Sits under the mislabelled EGI line.</t>
        </is>
      </c>
      <c r="G12" s="9" t="inlineStr"/>
      <c r="H12" s="15" t="inlineStr"/>
    </row>
    <row r="13">
      <c r="B13" s="5" t="inlineStr">
        <is>
          <t>DEC-20</t>
        </is>
      </c>
      <c r="C13" s="6" t="inlineStr">
        <is>
          <t>1.10 Z Retail</t>
        </is>
      </c>
      <c r="D13" s="6" t="inlineStr">
        <is>
          <t>A 0.165 platform overhead is priced onto the Data NZ platform. Confirm or reverse.</t>
        </is>
      </c>
      <c r="E13" s="18" t="inlineStr">
        <is>
          <t>LOW</t>
        </is>
      </c>
      <c r="F13" s="8" t="inlineStr"/>
      <c r="G13" s="9" t="inlineStr"/>
      <c r="H13" s="10" t="inlineStr"/>
    </row>
    <row r="14">
      <c r="B14" s="11" t="inlineStr">
        <is>
          <t>DEC-12</t>
        </is>
      </c>
      <c r="C14" s="12" t="inlineStr">
        <is>
          <t>2.13 COE SA&amp;D</t>
        </is>
      </c>
      <c r="D14" s="12" t="inlineStr">
        <is>
          <t>Restore the Paused roles - cost if released line that was on your old 1.12, or leave it out.</t>
        </is>
      </c>
      <c r="E14" s="19" t="inlineStr">
        <is>
          <t>LOW</t>
        </is>
      </c>
      <c r="F14" s="14" t="inlineStr">
        <is>
          <t>It read 0 at consolidation so it was not carried.</t>
        </is>
      </c>
      <c r="G14" s="9" t="inlineStr"/>
      <c r="H14" s="15" t="inlineStr"/>
    </row>
    <row r="15">
      <c r="B15" s="5" t="inlineStr">
        <is>
          <t>DEC-13</t>
        </is>
      </c>
      <c r="C15" s="6" t="inlineStr">
        <is>
          <t>Value adds</t>
        </is>
      </c>
      <c r="D15" s="6" t="inlineStr">
        <is>
          <t>Which additions you want: in year phasing, saved scenarios, offshore transition assumptions, assumptions register, actioned vs planned, contractor roll off.</t>
        </is>
      </c>
      <c r="E15" s="16" t="inlineStr">
        <is>
          <t>MEDIUM</t>
        </is>
      </c>
      <c r="F15" s="8" t="inlineStr"/>
      <c r="G15" s="9" t="inlineStr"/>
      <c r="H15" s="10" t="inlineStr">
        <is>
          <t>Keen to see what you said is worth adding.</t>
        </is>
      </c>
    </row>
    <row r="16">
      <c r="B16" s="20" t="inlineStr">
        <is>
          <t>AGREED, NOT BUILT YET  (8)</t>
        </is>
      </c>
    </row>
    <row r="17">
      <c r="B17" s="5" t="inlineStr">
        <is>
          <t>BLD-11</t>
        </is>
      </c>
      <c r="C17" s="6" t="inlineStr">
        <is>
          <t>Whole model</t>
        </is>
      </c>
      <c r="D17" s="6" t="inlineStr">
        <is>
          <t>Single lens everywhere so no number needs interpreting.</t>
        </is>
      </c>
      <c r="E17" s="7" t="inlineStr">
        <is>
          <t>HIGH</t>
        </is>
      </c>
      <c r="F17" s="8" t="inlineStr"/>
      <c r="G17" s="9" t="inlineStr"/>
      <c r="H17" s="10" t="inlineStr">
        <is>
          <t>I need this to be a perfect model that requires no analysis or interpretation</t>
        </is>
      </c>
    </row>
    <row r="18">
      <c r="B18" s="11" t="inlineStr">
        <is>
          <t>BLD-15</t>
        </is>
      </c>
      <c r="C18" s="12" t="inlineStr">
        <is>
          <t>Whole model</t>
        </is>
      </c>
      <c r="D18" s="12" t="inlineStr">
        <is>
          <t>Like for like tabs made consistent in formatting, language, layout and design.</t>
        </is>
      </c>
      <c r="E18" s="13" t="inlineStr">
        <is>
          <t>HIGH</t>
        </is>
      </c>
      <c r="F18" s="14" t="inlineStr"/>
      <c r="G18" s="9" t="inlineStr"/>
      <c r="H18" s="15" t="inlineStr">
        <is>
          <t>Ensure that like for like tabs have consistent formatting, language, layout, design etc.</t>
        </is>
      </c>
    </row>
    <row r="19">
      <c r="B19" s="5" t="inlineStr">
        <is>
          <t>BLD-20</t>
        </is>
      </c>
      <c r="C19" s="6" t="inlineStr">
        <is>
          <t>COE tabs</t>
        </is>
      </c>
      <c r="D19" s="6" t="inlineStr">
        <is>
          <t>Deliver the one page explanation of why one COE tab not two, and why the old numbers contradicted. You approved the consolidation but never got the explanation.</t>
        </is>
      </c>
      <c r="E19" s="7" t="inlineStr">
        <is>
          <t>HIGH</t>
        </is>
      </c>
      <c r="F19" s="8" t="inlineStr"/>
      <c r="G19" s="9" t="inlineStr"/>
      <c r="H19" s="10" t="inlineStr">
        <is>
          <t>i also expect absolute clarity as to why we would have 1 tab vs 2 and why the numbers and explanations are contradictory</t>
        </is>
      </c>
    </row>
    <row r="20">
      <c r="B20" s="11" t="inlineStr">
        <is>
          <t>BLD-21</t>
        </is>
      </c>
      <c r="C20" s="12" t="inlineStr">
        <is>
          <t>Whole model</t>
        </is>
      </c>
      <c r="D20" s="12" t="inlineStr">
        <is>
          <t>Give the full list of everything changed or removed that you never asked for.</t>
        </is>
      </c>
      <c r="E20" s="13" t="inlineStr">
        <is>
          <t>HIGH</t>
        </is>
      </c>
      <c r="F20" s="14" t="inlineStr"/>
      <c r="G20" s="9" t="inlineStr"/>
      <c r="H20" s="15" t="inlineStr">
        <is>
          <t>what have you changed that i didn't ask for?</t>
        </is>
      </c>
    </row>
    <row r="21">
      <c r="B21" s="5" t="inlineStr">
        <is>
          <t>BLD-12</t>
        </is>
      </c>
      <c r="C21" s="6" t="inlineStr">
        <is>
          <t>FY27</t>
        </is>
      </c>
      <c r="D21" s="6" t="inlineStr">
        <is>
          <t>FY27 landing view with three date assumptions and an FY27 column on the role blocks.</t>
        </is>
      </c>
      <c r="E21" s="16" t="inlineStr">
        <is>
          <t>MEDIUM</t>
        </is>
      </c>
      <c r="F21" s="8" t="inlineStr">
        <is>
          <t>Verified absent as a view. FY27 appears only as a side note on 3 tabs.</t>
        </is>
      </c>
      <c r="G21" s="9" t="inlineStr"/>
      <c r="H21" s="10" t="inlineStr"/>
    </row>
    <row r="22">
      <c r="B22" s="11" t="inlineStr">
        <is>
          <t>BLD-13</t>
        </is>
      </c>
      <c r="C22" s="12" t="inlineStr">
        <is>
          <t>0.0 Cockpit</t>
        </is>
      </c>
      <c r="D22" s="12" t="inlineStr">
        <is>
          <t>New cockpit tab: headline tiles, budget against spend, funded outside legend, levers live today, FY27.</t>
        </is>
      </c>
      <c r="E22" s="17" t="inlineStr">
        <is>
          <t>MEDIUM</t>
        </is>
      </c>
      <c r="F22" s="14" t="inlineStr"/>
      <c r="G22" s="9" t="inlineStr"/>
      <c r="H22" s="15" t="inlineStr"/>
    </row>
    <row r="23">
      <c r="B23" s="5" t="inlineStr">
        <is>
          <t>BLD-14</t>
        </is>
      </c>
      <c r="C23" s="6" t="inlineStr">
        <is>
          <t>All 2.x tabs</t>
        </is>
      </c>
      <c r="D23" s="6" t="inlineStr">
        <is>
          <t>Cockpit strip on every 2.x tab, in cell bars, consistent formats.</t>
        </is>
      </c>
      <c r="E23" s="16" t="inlineStr">
        <is>
          <t>MEDIUM</t>
        </is>
      </c>
      <c r="F23" s="8" t="inlineStr"/>
      <c r="G23" s="9" t="inlineStr"/>
      <c r="H23" s="10" t="inlineStr"/>
    </row>
    <row r="24">
      <c r="B24" s="11" t="inlineStr">
        <is>
          <t>BLD-22</t>
        </is>
      </c>
      <c r="C24" s="12" t="inlineStr">
        <is>
          <t>2.9 Commercial Fuels</t>
        </is>
      </c>
      <c r="D24" s="12" t="inlineStr">
        <is>
          <t>CTRM is funded at a flat 3.800 while its roles cost 3.2218, so TDD funded reads (0.578). Decide whether to show it that way or net it.</t>
        </is>
      </c>
      <c r="E24" s="17" t="inlineStr">
        <is>
          <t>MEDIUM</t>
        </is>
      </c>
      <c r="F24" s="14" t="inlineStr">
        <is>
          <t>Mechanically right, reads odd.</t>
        </is>
      </c>
      <c r="G24" s="9" t="inlineStr"/>
      <c r="H24" s="15" t="inlineStr"/>
    </row>
    <row r="25">
      <c r="B25" s="21" t="inlineStr">
        <is>
          <t>DONE AND VERIFIED IN THE SHIPPED FILE  (50)</t>
        </is>
      </c>
    </row>
    <row r="26">
      <c r="B26" s="11" t="inlineStr">
        <is>
          <t>DNE-01</t>
        </is>
      </c>
      <c r="C26" s="12" t="inlineStr">
        <is>
          <t>2.3 Enterprise Data</t>
        </is>
      </c>
      <c r="D26" s="12" t="inlineStr">
        <is>
          <t>The 8 EGI roles funded by EGI on their own directly funded line</t>
        </is>
      </c>
      <c r="E26" s="19" t="inlineStr"/>
      <c r="F26" s="14" t="inlineStr">
        <is>
          <t>Verified: 2.3 EGI line, 8 roles, 1.8119</t>
        </is>
      </c>
      <c r="G26" s="22" t="inlineStr"/>
      <c r="H26" s="15" t="inlineStr"/>
    </row>
    <row r="27">
      <c r="B27" s="5" t="inlineStr">
        <is>
          <t>DNE-02</t>
        </is>
      </c>
      <c r="C27" s="6" t="inlineStr">
        <is>
          <t>2.x lever tabs</t>
        </is>
      </c>
      <c r="D27" s="6" t="inlineStr">
        <is>
          <t>All Hold hacks reversed, your 8.98m of lever plays left live</t>
        </is>
      </c>
      <c r="E27" s="18" t="inlineStr"/>
      <c r="F27" s="8" t="inlineStr">
        <is>
          <t>67 levers live, 8.17m impact</t>
        </is>
      </c>
      <c r="G27" s="23" t="inlineStr"/>
      <c r="H27" s="10" t="inlineStr"/>
    </row>
    <row r="28">
      <c r="B28" s="11" t="inlineStr">
        <is>
          <t>DNE-03</t>
        </is>
      </c>
      <c r="C28" s="12" t="inlineStr">
        <is>
          <t>REVIEW mapping</t>
        </is>
      </c>
      <c r="D28" s="12" t="inlineStr">
        <is>
          <t>Named vacancies filled, three Remove rows deleted, Nico Lender fills one role</t>
        </is>
      </c>
      <c r="E28" s="19" t="inlineStr"/>
      <c r="F28" s="14" t="inlineStr">
        <is>
          <t>Superseded by your 05/08 master mapping, which is now the file of record.</t>
        </is>
      </c>
      <c r="G28" s="22" t="inlineStr"/>
      <c r="H28" s="15" t="inlineStr"/>
    </row>
    <row r="29">
      <c r="B29" s="5" t="inlineStr">
        <is>
          <t>DNE-04</t>
        </is>
      </c>
      <c r="C29" s="6" t="inlineStr">
        <is>
          <t>0.1 and 1.2</t>
        </is>
      </c>
      <c r="D29" s="6" t="inlineStr">
        <is>
          <t>Significant Items budget 4.5, 1.2 relinked not hardcoded</t>
        </is>
      </c>
      <c r="E29" s="18" t="inlineStr"/>
      <c r="F29" s="8" t="inlineStr">
        <is>
          <t>Verified</t>
        </is>
      </c>
      <c r="G29" s="23" t="inlineStr"/>
      <c r="H29" s="10" t="inlineStr"/>
    </row>
    <row r="30">
      <c r="B30" s="11" t="inlineStr">
        <is>
          <t>DNE-05</t>
        </is>
      </c>
      <c r="C30" s="12" t="inlineStr">
        <is>
          <t>Customer</t>
        </is>
      </c>
      <c r="D30" s="12" t="inlineStr">
        <is>
          <t>Programme Management as a Customer only overhead line</t>
        </is>
      </c>
      <c r="E30" s="19" t="inlineStr"/>
      <c r="F30" s="14" t="inlineStr">
        <is>
          <t>3 roles, 0.7612, allocated at its own cost</t>
        </is>
      </c>
      <c r="G30" s="22" t="inlineStr"/>
      <c r="H30" s="15" t="inlineStr"/>
    </row>
    <row r="31">
      <c r="B31" s="5" t="inlineStr">
        <is>
          <t>DNE-06</t>
        </is>
      </c>
      <c r="C31" s="6" t="inlineStr">
        <is>
          <t>REVIEW mapping</t>
        </is>
      </c>
      <c r="D31" s="6" t="inlineStr">
        <is>
          <t>Ed Tacey follows the data onto the Heads line</t>
        </is>
      </c>
      <c r="E31" s="18" t="inlineStr"/>
      <c r="F31" s="8" t="inlineStr">
        <is>
          <t>Verified row 161. Now under review, see DEC-02</t>
        </is>
      </c>
      <c r="G31" s="23" t="inlineStr"/>
      <c r="H31" s="10" t="inlineStr"/>
    </row>
    <row r="32">
      <c r="B32" s="11" t="inlineStr">
        <is>
          <t>DNE-07</t>
        </is>
      </c>
      <c r="C32" s="12" t="inlineStr">
        <is>
          <t>1.2 Customer</t>
        </is>
      </c>
      <c r="D32" s="12" t="inlineStr">
        <is>
          <t>Digital Support NZ at archetype 0.32 with your 0.217 called out on tab</t>
        </is>
      </c>
      <c r="E32" s="19" t="inlineStr"/>
      <c r="F32" s="14" t="inlineStr">
        <is>
          <t>Verified</t>
        </is>
      </c>
      <c r="G32" s="22" t="inlineStr"/>
      <c r="H32" s="15" t="inlineStr"/>
    </row>
    <row r="33">
      <c r="B33" s="5" t="inlineStr">
        <is>
          <t>DNE-08</t>
        </is>
      </c>
      <c r="C33" s="6" t="inlineStr">
        <is>
          <t>Scope</t>
        </is>
      </c>
      <c r="D33" s="6" t="inlineStr">
        <is>
          <t>Contractor end dates parked, four Move to Z Customer people parked</t>
        </is>
      </c>
      <c r="E33" s="18" t="inlineStr"/>
      <c r="F33" s="8" t="inlineStr">
        <is>
          <t>Verified</t>
        </is>
      </c>
      <c r="G33" s="23" t="inlineStr"/>
      <c r="H33" s="10" t="inlineStr"/>
    </row>
    <row r="34">
      <c r="B34" s="11" t="inlineStr">
        <is>
          <t>DNE-09</t>
        </is>
      </c>
      <c r="C34" s="12" t="inlineStr">
        <is>
          <t>Scope</t>
        </is>
      </c>
      <c r="D34" s="12" t="inlineStr">
        <is>
          <t>13/07 EGI portfolio moves not adopted, only its role mapping tab used</t>
        </is>
      </c>
      <c r="E34" s="19" t="inlineStr"/>
      <c r="F34" s="14" t="inlineStr">
        <is>
          <t>Verified</t>
        </is>
      </c>
      <c r="G34" s="22" t="inlineStr"/>
      <c r="H34" s="15" t="inlineStr"/>
    </row>
    <row r="35">
      <c r="B35" s="5" t="inlineStr">
        <is>
          <t>DNE-10</t>
        </is>
      </c>
      <c r="C35" s="6" t="inlineStr">
        <is>
          <t>COE tabs</t>
        </is>
      </c>
      <c r="D35" s="6" t="inlineStr">
        <is>
          <t>COEs consolidated to one 2.x tab each, funding blocks moved onto them</t>
        </is>
      </c>
      <c r="E35" s="18" t="inlineStr"/>
      <c r="F35" s="8" t="inlineStr">
        <is>
          <t>1.11, 1.12, 1.13 deleted</t>
        </is>
      </c>
      <c r="G35" s="23" t="inlineStr"/>
      <c r="H35" s="10" t="inlineStr"/>
    </row>
    <row r="36">
      <c r="B36" s="11" t="inlineStr">
        <is>
          <t>DNE-11</t>
        </is>
      </c>
      <c r="C36" s="12" t="inlineStr">
        <is>
          <t>Whole model</t>
        </is>
      </c>
      <c r="D36" s="12" t="inlineStr">
        <is>
          <t>No sheet or workbook protection anywhere</t>
        </is>
      </c>
      <c r="E36" s="19" t="inlineStr"/>
      <c r="F36" s="14" t="inlineStr">
        <is>
          <t>SUPERSEDED: you asked for protection after this, and on 05/08 for it only where nobody types. Where it landed: the 0.x and 3.x tabs protected, every other tab open.</t>
        </is>
      </c>
      <c r="G36" s="22" t="inlineStr"/>
      <c r="H36" s="15" t="inlineStr"/>
    </row>
    <row r="37">
      <c r="B37" s="5" t="inlineStr">
        <is>
          <t>DNE-12</t>
        </is>
      </c>
      <c r="C37" s="6" t="inlineStr">
        <is>
          <t>Whole model</t>
        </is>
      </c>
      <c r="D37" s="6" t="inlineStr">
        <is>
          <t>Strict dropdowns instead of protection, controls kept in white font</t>
        </is>
      </c>
      <c r="E37" s="18" t="inlineStr"/>
      <c r="F37" s="8" t="inlineStr">
        <is>
          <t>72 validations, 54 white rows</t>
        </is>
      </c>
      <c r="G37" s="23" t="inlineStr"/>
      <c r="H37" s="10" t="inlineStr"/>
    </row>
    <row r="38">
      <c r="B38" s="11" t="inlineStr">
        <is>
          <t>DNE-13</t>
        </is>
      </c>
      <c r="C38" s="12" t="inlineStr">
        <is>
          <t>Whole model</t>
        </is>
      </c>
      <c r="D38" s="12" t="inlineStr">
        <is>
          <t>Your language and wording kept from both the 30/07 and 13/07 files</t>
        </is>
      </c>
      <c r="E38" s="19" t="inlineStr"/>
      <c r="F38" s="14" t="inlineStr">
        <is>
          <t>Verified</t>
        </is>
      </c>
      <c r="G38" s="22" t="inlineStr"/>
      <c r="H38" s="15" t="inlineStr"/>
    </row>
    <row r="39">
      <c r="B39" s="5" t="inlineStr">
        <is>
          <t>DNE-14</t>
        </is>
      </c>
      <c r="C39" s="6" t="inlineStr">
        <is>
          <t>Whole model</t>
        </is>
      </c>
      <c r="D39" s="6" t="inlineStr">
        <is>
          <t>The word wave appears nowhere</t>
        </is>
      </c>
      <c r="E39" s="18" t="inlineStr"/>
      <c r="F39" s="8" t="inlineStr">
        <is>
          <t>Verified twice across all 43 sheets</t>
        </is>
      </c>
      <c r="G39" s="23" t="inlineStr"/>
      <c r="H39" s="10" t="inlineStr"/>
    </row>
    <row r="40">
      <c r="B40" s="11" t="inlineStr">
        <is>
          <t>DNE-15</t>
        </is>
      </c>
      <c r="C40" s="12" t="inlineStr">
        <is>
          <t>Whole model</t>
        </is>
      </c>
      <c r="D40" s="12" t="inlineStr">
        <is>
          <t>Funded outside TDD architecture: Lists table, P and Q columns on every 2.x, split on 3.1</t>
        </is>
      </c>
      <c r="E40" s="19" t="inlineStr"/>
      <c r="F40" s="14" t="inlineStr">
        <is>
          <t>EGI 11.88, CTRM 3.80, AmPOS 1.40, uplift 1.30</t>
        </is>
      </c>
      <c r="G40" s="22" t="inlineStr"/>
      <c r="H40" s="15" t="inlineStr"/>
    </row>
    <row r="41">
      <c r="B41" s="5" t="inlineStr">
        <is>
          <t>DNE-16</t>
        </is>
      </c>
      <c r="C41" s="6" t="inlineStr">
        <is>
          <t>2.11</t>
        </is>
      </c>
      <c r="D41" s="6" t="inlineStr">
        <is>
          <t>Cyber uplift percentage column feeding 1.14</t>
        </is>
      </c>
      <c r="E41" s="18" t="inlineStr"/>
      <c r="F41" s="8" t="inlineStr">
        <is>
          <t>494,819 charged</t>
        </is>
      </c>
      <c r="G41" s="23" t="inlineStr"/>
      <c r="H41" s="10" t="inlineStr"/>
    </row>
    <row r="42">
      <c r="B42" s="11" t="inlineStr">
        <is>
          <t>DNE-17</t>
        </is>
      </c>
      <c r="C42" s="12" t="inlineStr">
        <is>
          <t>1.3 Enterprise Data</t>
        </is>
      </c>
      <c r="D42" s="12" t="inlineStr">
        <is>
          <t>Add the EGI Ent Data platform and squad line carrying 1.8119, live from 2.3, and net it...</t>
        </is>
      </c>
      <c r="E42" s="19" t="inlineStr"/>
      <c r="F42" s="14" t="inlineStr">
        <is>
          <t>DONE: 1.3 carries Platform: EGI Ent Data with the 1.8119 live from 2.3; Significant Items EGI reads it; gate C 8/8.</t>
        </is>
      </c>
      <c r="G42" s="22" t="inlineStr"/>
      <c r="H42" s="15" t="inlineStr"/>
    </row>
    <row r="43">
      <c r="B43" s="5" t="inlineStr">
        <is>
          <t>DNE-18</t>
        </is>
      </c>
      <c r="C43" s="6" t="inlineStr">
        <is>
          <t>1.1 Ampol Retail</t>
        </is>
      </c>
      <c r="D43" s="6" t="inlineStr">
        <is>
          <t>EGI line must include the EGI TDD squad: 1.2214 becomes 1.5211.</t>
        </is>
      </c>
      <c r="E43" s="18" t="inlineStr"/>
      <c r="F43" s="8" t="inlineStr">
        <is>
          <t>DONE as ruled after the Viren move: 1.1 EGI line = EGI Retail 1.2214 live (Viren now on 2.4); gate C.</t>
        </is>
      </c>
      <c r="G43" s="23" t="inlineStr"/>
      <c r="H43" s="10" t="inlineStr"/>
    </row>
    <row r="44">
      <c r="B44" s="11" t="inlineStr">
        <is>
          <t>DNE-19</t>
        </is>
      </c>
      <c r="C44" s="12" t="inlineStr">
        <is>
          <t>1.4 TDD Group Functions</t>
        </is>
      </c>
      <c r="D44" s="12" t="inlineStr">
        <is>
          <t>Relabel Funded from TDD Corporate pool (3.4 COE Breakdown) to EGI. 3.4 carries no such ...</t>
        </is>
      </c>
      <c r="E44" s="19" t="inlineStr"/>
      <c r="F44" s="14" t="inlineStr">
        <is>
          <t>DONE: 1.4 line relabelled Significant Items EGI reading 2.4's EGI TDD funded 1.3245 live; gate C.</t>
        </is>
      </c>
      <c r="G44" s="22" t="inlineStr"/>
      <c r="H44" s="15" t="inlineStr"/>
    </row>
    <row r="45">
      <c r="B45" s="5" t="inlineStr">
        <is>
          <t>DNE-20</t>
        </is>
      </c>
      <c r="C45" s="6" t="inlineStr">
        <is>
          <t>2.12 and 2.13 COE</t>
        </is>
      </c>
      <c r="D45" s="6" t="inlineStr">
        <is>
          <t>Move the netting lines to actual: BP 2.20 becomes 2.3135, DA 1.40 becomes 1.6647.</t>
        </is>
      </c>
      <c r="E45" s="18" t="inlineStr"/>
      <c r="F45" s="8" t="inlineStr">
        <is>
          <t>DONE: 2.12 netting -2.3135, 2.13 netting -1.3889 (Hold DA at zero), live off the group totals; gate G 4/4.</t>
        </is>
      </c>
      <c r="G45" s="23" t="inlineStr"/>
      <c r="H45" s="10" t="inlineStr"/>
    </row>
    <row r="46">
      <c r="B46" s="11" t="inlineStr">
        <is>
          <t>DNE-21</t>
        </is>
      </c>
      <c r="C46" s="12" t="inlineStr">
        <is>
          <t>3.1 Archetype to Actuals</t>
        </is>
      </c>
      <c r="D46" s="12" t="inlineStr">
        <is>
          <t>3.1 shows COE cost gross, ignoring the BP and DA netting that 2.12 and 2.13 apply. Make...</t>
        </is>
      </c>
      <c r="E46" s="19" t="inlineStr"/>
      <c r="F46" s="14" t="inlineStr">
        <is>
          <t>DONE: 3.1 COE rows netted 3.8631 / 3.3863; gate G.</t>
        </is>
      </c>
      <c r="G46" s="22" t="inlineStr"/>
      <c r="H46" s="15" t="inlineStr"/>
    </row>
    <row r="47">
      <c r="B47" s="5" t="inlineStr">
        <is>
          <t>DNE-22</t>
        </is>
      </c>
      <c r="C47" s="6" t="inlineStr">
        <is>
          <t>Language</t>
        </is>
      </c>
      <c r="D47" s="6" t="inlineStr">
        <is>
          <t>Rechargeable, never to projects. Delete the per FTE and percentage of squad cost metrics.</t>
        </is>
      </c>
      <c r="E47" s="18" t="inlineStr"/>
      <c r="F47" s="8" t="inlineStr">
        <is>
          <t>DONE: rechargeable language throughout the new content; hygiene gate J 6/6.</t>
        </is>
      </c>
      <c r="G47" s="23" t="inlineStr"/>
      <c r="H47" s="10" t="inlineStr"/>
    </row>
    <row r="48">
      <c r="B48" s="11" t="inlineStr">
        <is>
          <t>DNE-23</t>
        </is>
      </c>
      <c r="C48" s="12" t="inlineStr">
        <is>
          <t>REVIEW mapping</t>
        </is>
      </c>
      <c r="D48" s="12" t="inlineStr">
        <is>
          <t>Role ID on every role, every join re-keyed to it. The ID belongs to the role so a vacan...</t>
        </is>
      </c>
      <c r="E48" s="19" t="inlineStr"/>
      <c r="F48" s="14" t="inlineStr">
        <is>
          <t>DONE: Role ID R0001-R0528 on REVIEW, 2,683 refs re-keyed by ID, zero row-anchored refs left; shuffle test: controls 0, totals identical; gate L 5/5.</t>
        </is>
      </c>
      <c r="G48" s="22" t="inlineStr"/>
      <c r="H48" s="15" t="inlineStr"/>
    </row>
    <row r="49">
      <c r="B49" s="5" t="inlineStr">
        <is>
          <t>DNE-24</t>
        </is>
      </c>
      <c r="C49" s="6" t="inlineStr">
        <is>
          <t>Protection</t>
        </is>
      </c>
      <c r="D49" s="6" t="inlineStr">
        <is>
          <t>Lock formulas, leave lever dropdowns and cream inputs open, lock structure.</t>
        </is>
      </c>
      <c r="E49" s="18" t="inlineStr"/>
      <c r="F49" s="8" t="inlineStr">
        <is>
          <t>DONE, then re-scoped on 05/08: protection sits on the 0.x and 3.x tabs only, the role mapping and the lever tabs are open, structure still locked, password Tdd123.</t>
        </is>
      </c>
      <c r="G49" s="23" t="inlineStr"/>
      <c r="H49" s="10" t="inlineStr"/>
    </row>
    <row r="50">
      <c r="B50" s="11" t="inlineStr">
        <is>
          <t>DNE-25</t>
        </is>
      </c>
      <c r="C50" s="12" t="inlineStr">
        <is>
          <t>Gate</t>
        </is>
      </c>
      <c r="D50" s="12" t="inlineStr">
        <is>
          <t>Break proof test: sort the mapping and paste a shuffled extract over it, prove every co...</t>
        </is>
      </c>
      <c r="E50" s="19" t="inlineStr"/>
      <c r="F50" s="14" t="inlineStr">
        <is>
          <t>DONE: the break-proof test ran and passed, full random shuffle of the mapping, every control 0, every total identical.</t>
        </is>
      </c>
      <c r="G50" s="22" t="inlineStr"/>
      <c r="H50" s="15" t="inlineStr"/>
    </row>
    <row r="51">
      <c r="B51" s="5" t="inlineStr">
        <is>
          <t>DNE-26</t>
        </is>
      </c>
      <c r="C51" s="6" t="inlineStr">
        <is>
          <t>Overheads / Head of Tech</t>
        </is>
      </c>
      <c r="D51" s="6" t="inlineStr">
        <is>
          <t>Ed Tacey on or off the Head of Technology line. His title is AI Enablement Lead and he ...</t>
        </is>
      </c>
      <c r="E51" s="18" t="inlineStr"/>
      <c r="F51" s="8" t="inlineStr">
        <is>
          <t>DONE: Ed Tacey off the Heads line, block row moved to the Leadership group on 2.2; HoT 15 / 4.9089; gate A.</t>
        </is>
      </c>
      <c r="G51" s="23" t="inlineStr"/>
      <c r="H51" s="10" t="inlineStr"/>
    </row>
    <row r="52">
      <c r="B52" s="11" t="inlineStr">
        <is>
          <t>DNE-27</t>
        </is>
      </c>
      <c r="C52" s="12" t="inlineStr">
        <is>
          <t>Overheads / Tech Manager</t>
        </is>
      </c>
      <c r="D52" s="12" t="inlineStr">
        <is>
          <t>Shane Ker in or out of Technology Manager. Not on your list of 24. His title in the dat...</t>
        </is>
      </c>
      <c r="E52" s="19" t="inlineStr"/>
      <c r="F52" s="14" t="inlineStr">
        <is>
          <t>DONE: Shane Ker stays; TM 25 / 6.7767; gate A.</t>
        </is>
      </c>
      <c r="G52" s="22" t="inlineStr"/>
      <c r="H52" s="15" t="inlineStr"/>
    </row>
    <row r="53">
      <c r="B53" s="5" t="inlineStr">
        <is>
          <t>DNE-28</t>
        </is>
      </c>
      <c r="C53" s="6" t="inlineStr">
        <is>
          <t>Overheads / Business Partner</t>
        </is>
      </c>
      <c r="D53" s="6" t="inlineStr">
        <is>
          <t>Neil Reilly is costed at 666,088, nearly double every other Business Partner and 29% of...</t>
        </is>
      </c>
      <c r="E53" s="18" t="inlineStr"/>
      <c r="F53" s="8" t="inlineStr">
        <is>
          <t>DONE: Neil Reilly in at 666,088.</t>
        </is>
      </c>
      <c r="G53" s="23" t="inlineStr"/>
      <c r="H53" s="10" t="inlineStr"/>
    </row>
    <row r="54">
      <c r="B54" s="11" t="inlineStr">
        <is>
          <t>DNE-29</t>
        </is>
      </c>
      <c r="C54" s="12" t="inlineStr">
        <is>
          <t>Overheads / Domain Architect</t>
        </is>
      </c>
      <c r="D54" s="12" t="inlineStr">
        <is>
          <t>4 of the 7 Domain Architects are vacant. Decide whether vacant roles are shared across ...</t>
        </is>
      </c>
      <c r="E54" s="19" t="inlineStr"/>
      <c r="F54" s="14" t="inlineStr">
        <is>
          <t>DONE: vacant-on-Hire priced and shared, Holds at zero everywhere; gate F.</t>
        </is>
      </c>
      <c r="G54" s="22" t="inlineStr"/>
      <c r="H54" s="15" t="inlineStr"/>
    </row>
    <row r="55">
      <c r="B55" s="5" t="inlineStr">
        <is>
          <t>DNE-30</t>
        </is>
      </c>
      <c r="C55" s="6" t="inlineStr">
        <is>
          <t>GM layer</t>
        </is>
      </c>
      <c r="D55" s="6" t="inlineStr">
        <is>
          <t>How the 8 GMs are priced in: shared equally across the 10 portfolios, or charged to the...</t>
        </is>
      </c>
      <c r="E55" s="18" t="inlineStr"/>
      <c r="F55" s="8" t="inlineStr">
        <is>
          <t>DONE: GM 5.10 shared 0.510 per portfolio on the Lights On tab; gate E.</t>
        </is>
      </c>
      <c r="G55" s="23" t="inlineStr"/>
      <c r="H55" s="10" t="inlineStr"/>
    </row>
    <row r="56">
      <c r="B56" s="11" t="inlineStr">
        <is>
          <t>DNE-31</t>
        </is>
      </c>
      <c r="C56" s="12" t="inlineStr">
        <is>
          <t>Single lens</t>
        </is>
      </c>
      <c r="D56" s="12" t="inlineStr">
        <is>
          <t>TDD Cyber reads 0.805 on 0.2 and 0.838 on 3.1. Pick one basis for the whole book.</t>
        </is>
      </c>
      <c r="E56" s="19" t="inlineStr"/>
      <c r="F56" s="14" t="inlineStr">
        <is>
          <t>DONE: 0.2 TDD Cyber reads the accurate basis 0.8384; gate H 2/2.</t>
        </is>
      </c>
      <c r="G56" s="22" t="inlineStr"/>
      <c r="H56" s="15" t="inlineStr"/>
    </row>
    <row r="57">
      <c r="B57" s="5" t="inlineStr">
        <is>
          <t>DNE-32</t>
        </is>
      </c>
      <c r="C57" s="6" t="inlineStr">
        <is>
          <t>Lights on view</t>
        </is>
      </c>
      <c r="D57" s="6" t="inlineStr">
        <is>
          <t>Where the actuals lights on view lives: its own tab, a block on each 1.x tab, or both.</t>
        </is>
      </c>
      <c r="E57" s="18" t="inlineStr"/>
      <c r="F57" s="8" t="inlineStr">
        <is>
          <t>DONE: lights on is its own tab, 3.5 TDD Lights On.</t>
        </is>
      </c>
      <c r="G57" s="23" t="inlineStr"/>
      <c r="H57" s="10" t="inlineStr"/>
    </row>
    <row r="58">
      <c r="B58" s="11" t="inlineStr">
        <is>
          <t>DNE-33</t>
        </is>
      </c>
      <c r="C58" s="12" t="inlineStr">
        <is>
          <t>Overheads / programmes</t>
        </is>
      </c>
      <c r="D58" s="12" t="inlineStr">
        <is>
          <t>Whether AmPOS and CTRM carry overhead. You ruled EGI does not.</t>
        </is>
      </c>
      <c r="E58" s="19" t="inlineStr"/>
      <c r="F58" s="14" t="inlineStr">
        <is>
          <t>DONE: no overhead on EGI, AmPOS, CTRM anywhere in the tab's build; gate F.</t>
        </is>
      </c>
      <c r="G58" s="22" t="inlineStr"/>
      <c r="H58" s="15" t="inlineStr"/>
    </row>
    <row r="59">
      <c r="B59" s="5" t="inlineStr">
        <is>
          <t>DNE-34</t>
        </is>
      </c>
      <c r="C59" s="6" t="inlineStr">
        <is>
          <t>2.1 Ampol Retail</t>
        </is>
      </c>
      <c r="D59" s="6" t="inlineStr">
        <is>
          <t>Viren Khatri, the single EGI TDD role on Ampol Retail. Retag his squad, move him to TDD...</t>
        </is>
      </c>
      <c r="E59" s="18" t="inlineStr"/>
      <c r="F59" s="8" t="inlineStr">
        <is>
          <t>DONE: Viren Khatri on 2.4 EGI TDD, 5 roles / 1.3245; gate C.</t>
        </is>
      </c>
      <c r="G59" s="23" t="inlineStr"/>
      <c r="H59" s="10" t="inlineStr"/>
    </row>
    <row r="60">
      <c r="B60" s="11" t="inlineStr">
        <is>
          <t>DNE-35</t>
        </is>
      </c>
      <c r="C60" s="12" t="inlineStr">
        <is>
          <t>Protection</t>
        </is>
      </c>
      <c r="D60" s="12" t="inlineStr">
        <is>
          <t>Blank password or a real one.</t>
        </is>
      </c>
      <c r="E60" s="19" t="inlineStr"/>
      <c r="F60" s="14" t="inlineStr">
        <is>
          <t>DONE: password Tdd123. The role mapping is no longer locked - your 05/08 ruling opened it.</t>
        </is>
      </c>
      <c r="G60" s="22" t="inlineStr"/>
      <c r="H60" s="15" t="inlineStr"/>
    </row>
    <row r="61">
      <c r="B61" s="5" t="inlineStr">
        <is>
          <t>DNE-36</t>
        </is>
      </c>
      <c r="C61" s="6" t="inlineStr">
        <is>
          <t>REVIEW mapping / data</t>
        </is>
      </c>
      <c r="D61" s="6" t="inlineStr">
        <is>
          <t>Seven part time people are costed at full rate, not scaled by their FTE.</t>
        </is>
      </c>
      <c r="E61" s="18" t="inlineStr"/>
      <c r="F61" s="8" t="inlineStr">
        <is>
          <t>DONE: the seven part-time people scaled by FTE, 0.3646 total; gate D 21/21.</t>
        </is>
      </c>
      <c r="G61" s="23" t="inlineStr"/>
      <c r="H61" s="10" t="inlineStr"/>
    </row>
    <row r="62">
      <c r="B62" s="11" t="inlineStr">
        <is>
          <t>DNE-37</t>
        </is>
      </c>
      <c r="C62" s="12" t="inlineStr">
        <is>
          <t>Lights On tab</t>
        </is>
      </c>
      <c r="D62" s="12" t="inlineStr">
        <is>
          <t>New tab, his five columns (Cost, Support Cost, Overhead cost, TDD Lights On budget, Ove...</t>
        </is>
      </c>
      <c r="E62" s="19" t="inlineStr"/>
      <c r="F62" s="14" t="inlineStr">
        <is>
          <t>DONE: 3.5 TDD Lights On built with his 15 headers verbatim, all live, toggles cream 0-100 in 5s, analysis block live; gate E 20/20 tied at 1e-6. K total 60.93 vs 50.50.</t>
        </is>
      </c>
      <c r="G62" s="22" t="inlineStr"/>
      <c r="H62" s="15" t="inlineStr"/>
    </row>
    <row r="63">
      <c r="B63" s="5" t="inlineStr">
        <is>
          <t>DNE-38</t>
        </is>
      </c>
      <c r="C63" s="6" t="inlineStr">
        <is>
          <t>REVIEW mapping</t>
        </is>
      </c>
      <c r="D63" s="6" t="inlineStr">
        <is>
          <t>Recode the vacant Delivery Assurance Manager and Delivery Excellence Manager onto the D...</t>
        </is>
      </c>
      <c r="E63" s="18" t="inlineStr"/>
      <c r="F63" s="8" t="inlineStr">
        <is>
          <t>DONE: Delivery Assurance and Delivery Excellence Managers on the DM line, 12 roles; gate A.</t>
        </is>
      </c>
      <c r="G63" s="23" t="inlineStr"/>
      <c r="H63" s="10" t="inlineStr"/>
    </row>
    <row r="64">
      <c r="B64" s="11" t="inlineStr">
        <is>
          <t>DNE-39</t>
        </is>
      </c>
      <c r="C64" s="12" t="inlineStr">
        <is>
          <t>New 30/07 ingest</t>
        </is>
      </c>
      <c r="D64" s="12" t="inlineStr">
        <is>
          <t>Bring in the lever changes from the new 30/07 workbook he is about to upload, and only ...</t>
        </is>
      </c>
      <c r="E64" s="19" t="inlineStr"/>
      <c r="F64" s="14" t="inlineStr">
        <is>
          <t>DONE: his 11 lever edits ingested person-keyed (the old-version ledger trap caught and documented); gate B 23/23.</t>
        </is>
      </c>
      <c r="G64" s="22" t="inlineStr"/>
      <c r="H64" s="15" t="inlineStr"/>
    </row>
    <row r="65">
      <c r="B65" s="5" t="inlineStr">
        <is>
          <t>DNE-40</t>
        </is>
      </c>
      <c r="C65" s="6" t="inlineStr">
        <is>
          <t>Overheads</t>
        </is>
      </c>
      <c r="D65" s="6" t="inlineStr">
        <is>
          <t>Price overheads at platform and portfolio level only. Squads carry none. TDD funds ever</t>
        </is>
      </c>
      <c r="E65" s="18" t="inlineStr"/>
      <c r="F65" s="8" t="inlineStr">
        <is>
          <t>DONE: this IS the Lights On tab's engine, overheads priced at platform and portfolio, squads carry none, nothing recharged; gate E.</t>
        </is>
      </c>
      <c r="G65" s="23" t="inlineStr"/>
      <c r="H65" s="10" t="inlineStr"/>
    </row>
    <row r="66">
      <c r="B66" s="11" t="inlineStr">
        <is>
          <t>DNE-41</t>
        </is>
      </c>
      <c r="C66" s="12" t="inlineStr">
        <is>
          <t>Overheads</t>
        </is>
      </c>
      <c r="D66" s="12" t="inlineStr">
        <is>
          <t>Share Business Partners and Domain Architects equally across the 10 portfolios at actua</t>
        </is>
      </c>
      <c r="E66" s="19" t="inlineStr"/>
      <c r="F66" s="14" t="inlineStr">
        <is>
          <t>DONE: BP 0.2314 and DA 0.1389 shares live on the tab; gate E.</t>
        </is>
      </c>
      <c r="G66" s="22" t="inlineStr"/>
      <c r="H66" s="15" t="inlineStr"/>
    </row>
    <row r="67">
      <c r="B67" s="5" t="inlineStr">
        <is>
          <t>DNE-42</t>
        </is>
      </c>
      <c r="C67" s="6" t="inlineStr">
        <is>
          <t>Lights on view</t>
        </is>
      </c>
      <c r="D67" s="6" t="inlineStr">
        <is>
          <t>Build actuals through the lights on structure: squads at actual with the archetype supp</t>
        </is>
      </c>
      <c r="E67" s="18" t="inlineStr"/>
      <c r="F67" s="8" t="inlineStr">
        <is>
          <t>DONE: built as 3.5 TDD Lights On with his columns; superseded into BLD-23.</t>
        </is>
      </c>
      <c r="G67" s="23" t="inlineStr"/>
      <c r="H67" s="10" t="inlineStr"/>
    </row>
    <row r="68">
      <c r="B68" s="11" t="inlineStr">
        <is>
          <t>DNE-43</t>
        </is>
      </c>
      <c r="C68" s="12" t="inlineStr">
        <is>
          <t>2.7, 2.8 and 2.10</t>
        </is>
      </c>
      <c r="D68" s="12" t="inlineStr">
        <is>
          <t>Four filled people still carry the lever Hire. No cost effect but it is stale state.</t>
        </is>
      </c>
      <c r="E68" s="19" t="inlineStr"/>
      <c r="F68" s="14" t="inlineStr">
        <is>
          <t>DONE: five, not four - Prem Shetty and Karla Orozco Loza on 2.7, Nico Lender and Hitesh Patel on 2.8, Emma Natoli on 2.10, all set to Filled. Filled and Hire both price at cost factor 1, so nothing moved: 29,683 cached values compared before and after, only the five lever cells differ.</t>
        </is>
      </c>
      <c r="G68" s="22" t="inlineStr"/>
      <c r="H68" s="15" t="inlineStr"/>
    </row>
    <row r="69">
      <c r="B69" s="5" t="inlineStr">
        <is>
          <t>DNE-44</t>
        </is>
      </c>
      <c r="C69" s="6" t="inlineStr">
        <is>
          <t>1.10 Z Retail</t>
        </is>
      </c>
      <c r="D69" s="6" t="inlineStr">
        <is>
          <t>Row 17 pulls a dash from your 0.1 tab. Render it as 0.00 on the model tab.</t>
        </is>
      </c>
      <c r="E69" s="18" t="inlineStr"/>
      <c r="F69" s="8" t="inlineStr">
        <is>
          <t>DONE: 1.10 I17 wrapped in N(), so the text on your 0.1 tab reads as zero and the cell prints 0.00. Your 0.1 cell is untouched and the Z-Energy budget total still reads 76.60.</t>
        </is>
      </c>
      <c r="G69" s="23" t="inlineStr"/>
      <c r="H69" s="10" t="inlineStr"/>
    </row>
    <row r="70">
      <c r="B70" s="11" t="inlineStr">
        <is>
          <t>DNE-45</t>
        </is>
      </c>
      <c r="C70" s="12" t="inlineStr">
        <is>
          <t>REVIEW mapping</t>
        </is>
      </c>
      <c r="D70" s="12" t="inlineStr">
        <is>
          <t>Your master role mapping is the file of record - 526 rows, 29 columns, your headers kept verbatim.</t>
        </is>
      </c>
      <c r="E70" s="19" t="inlineStr"/>
      <c r="F70" s="14" t="inlineStr">
        <is>
          <t>DONE: the raw block replaced cell for cell from your 05/08 file, every 2.x block re-homed off it, levers carried person by person, part-time people priced at FTE on top.</t>
        </is>
      </c>
      <c r="G70" s="22" t="inlineStr"/>
      <c r="H70" s="15" t="inlineStr"/>
    </row>
    <row r="71">
      <c r="B71" s="5" t="inlineStr">
        <is>
          <t>DNE-46</t>
        </is>
      </c>
      <c r="C71" s="6" t="inlineStr">
        <is>
          <t>Protection</t>
        </is>
      </c>
      <c r="D71" s="6" t="inlineStr">
        <is>
          <t>Protection only where nobody types: the 0.x and 3.x tabs. Everything else open, the role mapping included.</t>
        </is>
      </c>
      <c r="E71" s="18" t="inlineStr"/>
      <c r="F71" s="8" t="inlineStr">
        <is>
          <t>DONE: the 0.x and 3.x tabs carry protection with the password Tdd123 and nothing else does - the role mapping, Lists, the executive summary, every 1.x and 2.x tab and the QA tab are open. Workbook structure stays locked, and the Lights On toggles stay editable behind the protection.</t>
        </is>
      </c>
      <c r="G71" s="23" t="inlineStr"/>
      <c r="H71" s="10" t="inlineStr"/>
    </row>
    <row r="72">
      <c r="B72" s="11" t="inlineStr">
        <is>
          <t>DNE-47</t>
        </is>
      </c>
      <c r="C72" s="12" t="inlineStr">
        <is>
          <t>Overheads / TDD Cyber</t>
        </is>
      </c>
      <c r="D72" s="12" t="inlineStr">
        <is>
          <t>TDD Cyber carries an overhead share the same way a portfolio does.</t>
        </is>
      </c>
      <c r="E72" s="19" t="inlineStr"/>
      <c r="F72" s="14" t="inlineStr">
        <is>
          <t>DONE: the Business Partner, Domain Architect and GM pots divide by eleven - the ten portfolios plus TDD Cyber - on the Lights On tabs.</t>
        </is>
      </c>
      <c r="G72" s="22" t="inlineStr"/>
      <c r="H72" s="15" t="inlineStr"/>
    </row>
    <row r="73">
      <c r="B73" s="5" t="inlineStr">
        <is>
          <t>DNE-48</t>
        </is>
      </c>
      <c r="C73" s="6" t="inlineStr">
        <is>
          <t>Language / Enterprise Data</t>
        </is>
      </c>
      <c r="D73" s="6" t="inlineStr">
        <is>
          <t>TDD Data is not a thing: the line reads Enterprise Data everywhere, 0.2 included.</t>
        </is>
      </c>
      <c r="E73" s="18" t="inlineStr"/>
      <c r="F73" s="8" t="inlineStr">
        <is>
          <t>DONE: 0.2's budget line relabelled Enterprise Data and the Lights On rows carry the same label, reading that budget line live.</t>
        </is>
      </c>
      <c r="G73" s="23" t="inlineStr"/>
      <c r="H73" s="10" t="inlineStr"/>
    </row>
    <row r="74">
      <c r="B74" s="11" t="inlineStr">
        <is>
          <t>DNE-49</t>
        </is>
      </c>
      <c r="C74" s="12" t="inlineStr">
        <is>
          <t>3.5 TDD Lights On</t>
        </is>
      </c>
      <c r="D74" s="12" t="inlineStr">
        <is>
          <t>Customer split into an Ampol Customer and a Z Customer row, with the overheads divided between the two rather than each carrying its own.</t>
        </is>
      </c>
      <c r="E74" s="19" t="inlineStr"/>
      <c r="F74" s="14" t="inlineStr">
        <is>
          <t>DONE: both rows on the tab; the shares and the Customer overhead pool split between them in proportion to their support cost.</t>
        </is>
      </c>
      <c r="G74" s="22" t="inlineStr"/>
      <c r="H74" s="15" t="inlineStr"/>
    </row>
    <row r="75">
      <c r="B75" s="5" t="inlineStr">
        <is>
          <t>DNE-50</t>
        </is>
      </c>
      <c r="C75" s="6" t="inlineStr">
        <is>
          <t>3.6 TDD Lights On AU NZ</t>
        </is>
      </c>
      <c r="D75" s="6" t="inlineStr">
        <is>
          <t>A duplicate of the Lights On tab split AU against NZ.</t>
        </is>
      </c>
      <c r="E75" s="18" t="inlineStr"/>
      <c r="F75" s="8" t="inlineStr">
        <is>
          <t>DONE: 3.6 TDD Lights On AU NZ - the same rows with AU spend, NZ spend, total and variance against your 0.2 AU and NZ budgets, and the split basis stated on the tab in plain English.</t>
        </is>
      </c>
      <c r="G75" s="23" t="inlineStr"/>
      <c r="H75" s="10" t="inlineStr"/>
    </row>
    <row r="77">
      <c r="B77" s="24" t="inlineStr">
        <is>
          <t>9 decisions, 8 to build, 50 done. Nothing has been built since the file you have.</t>
        </is>
      </c>
    </row>
  </sheetData>
  <mergeCells count="5">
    <mergeCell ref="B77:H77"/>
    <mergeCell ref="B6:H6"/>
    <mergeCell ref="B16:H16"/>
    <mergeCell ref="B25:H25"/>
    <mergeCell ref="B3:H3"/>
  </mergeCells>
  <dataValidations count="1">
    <dataValidation sqref="G6:G76" showDropDown="0" showInputMessage="0" showErrorMessage="1" allowBlank="1" type="list">
      <formula1>"Open,In progress,Done,Parked"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2026-08-05T16:04:48Z</dcterms:created>
  <dcterms:modified xmlns:dcterms="http://purl.org/dc/terms/" xmlns:xsi="http://www.w3.org/2001/XMLSchema-instance" xsi:type="dcterms:W3CDTF">2026-08-05T16:04:48Z</dcterms:modified>
</cp:coreProperties>
</file>