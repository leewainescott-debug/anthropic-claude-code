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gist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Calibri"/>
      <b val="1"/>
      <color rgb="FF0F2E52"/>
      <sz val="16"/>
    </font>
    <font>
      <name val="Calibri"/>
      <color rgb="FF6B6B66"/>
      <sz val="9"/>
    </font>
    <font>
      <name val="Calibri"/>
      <b val="1"/>
      <color rgb="FFFFFFFF"/>
      <sz val="8"/>
    </font>
    <font>
      <name val="Calibri"/>
      <b val="1"/>
      <color rgb="FFC0392B"/>
      <sz val="10"/>
    </font>
    <font>
      <name val="Calibri"/>
      <color rgb="FF6B6B66"/>
      <sz val="8"/>
    </font>
    <font>
      <name val="Calibri"/>
      <color rgb="FF1A1A1A"/>
      <sz val="9"/>
    </font>
    <font>
      <name val="Calibri"/>
      <b val="1"/>
      <color rgb="FFC0392B"/>
      <sz val="8"/>
    </font>
    <font>
      <name val="Calibri"/>
      <i val="1"/>
      <color rgb="FF6B6B66"/>
      <sz val="8"/>
    </font>
    <font>
      <name val="Calibri"/>
      <b val="1"/>
      <color rgb="FFB9770E"/>
      <sz val="8"/>
    </font>
    <font>
      <name val="Calibri"/>
      <b val="1"/>
      <color rgb="FF6B6B66"/>
      <sz val="8"/>
    </font>
    <font>
      <name val="Calibri"/>
      <b val="1"/>
      <color rgb="FFB9770E"/>
      <sz val="10"/>
    </font>
    <font>
      <name val="Calibri"/>
      <b val="1"/>
      <color rgb="FF1B7A3D"/>
      <sz val="10"/>
    </font>
    <font>
      <name val="Calibri"/>
      <b val="1"/>
      <color rgb="FF0F2E52"/>
      <sz val="9"/>
    </font>
  </fonts>
  <fills count="5">
    <fill>
      <patternFill/>
    </fill>
    <fill>
      <patternFill patternType="gray125"/>
    </fill>
    <fill>
      <patternFill patternType="solid">
        <fgColor rgb="FF0F2E52"/>
      </patternFill>
    </fill>
    <fill>
      <patternFill patternType="solid">
        <fgColor rgb="FFF5F4F0"/>
      </patternFill>
    </fill>
    <fill>
      <patternFill patternType="solid">
        <fgColor rgb="FF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applyAlignment="1" pivotButton="0" quotePrefix="0" xfId="0">
      <alignment horizontal="left" vertical="top"/>
    </xf>
    <xf numFmtId="0" fontId="2" fillId="0" borderId="0" applyAlignment="1" pivotButton="0" quotePrefix="0" xfId="0">
      <alignment horizontal="left" vertical="top"/>
    </xf>
    <xf numFmtId="0" fontId="3" fillId="2" borderId="0" applyAlignment="1" pivotButton="0" quotePrefix="0" xfId="0">
      <alignment horizontal="left" vertical="top"/>
    </xf>
    <xf numFmtId="0" fontId="4" fillId="3" borderId="0" applyAlignment="1" pivotButton="0" quotePrefix="0" xfId="0">
      <alignment horizontal="left" vertical="top"/>
    </xf>
    <xf numFmtId="0" fontId="5" fillId="3" borderId="0" applyAlignment="1" pivotButton="0" quotePrefix="0" xfId="0">
      <alignment horizontal="left" vertical="top"/>
    </xf>
    <xf numFmtId="0" fontId="6" fillId="3" borderId="0" applyAlignment="1" pivotButton="0" quotePrefix="0" xfId="0">
      <alignment horizontal="left" vertical="top" wrapText="1"/>
    </xf>
    <xf numFmtId="0" fontId="7" fillId="3" borderId="0" applyAlignment="1" pivotButton="0" quotePrefix="0" xfId="0">
      <alignment horizontal="center" vertical="top"/>
    </xf>
    <xf numFmtId="0" fontId="5" fillId="3" borderId="0" applyAlignment="1" pivotButton="0" quotePrefix="0" xfId="0">
      <alignment horizontal="left" vertical="top" wrapText="1"/>
    </xf>
    <xf numFmtId="0" fontId="6" fillId="4" borderId="0" applyAlignment="1" pivotButton="0" quotePrefix="0" xfId="0">
      <alignment horizontal="left" vertical="top"/>
    </xf>
    <xf numFmtId="0" fontId="8" fillId="3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/>
    </xf>
    <xf numFmtId="0" fontId="6" fillId="0" borderId="0" applyAlignment="1" pivotButton="0" quotePrefix="0" xfId="0">
      <alignment horizontal="left" vertical="top" wrapText="1"/>
    </xf>
    <xf numFmtId="0" fontId="7" fillId="0" borderId="0" applyAlignment="1" pivotButton="0" quotePrefix="0" xfId="0">
      <alignment horizontal="center" vertical="top"/>
    </xf>
    <xf numFmtId="0" fontId="5" fillId="0" borderId="0" applyAlignment="1" pivotButton="0" quotePrefix="0" xfId="0">
      <alignment horizontal="left" vertical="top" wrapText="1"/>
    </xf>
    <xf numFmtId="0" fontId="8" fillId="0" borderId="0" applyAlignment="1" pivotButton="0" quotePrefix="0" xfId="0">
      <alignment horizontal="left" vertical="top" wrapText="1"/>
    </xf>
    <xf numFmtId="0" fontId="9" fillId="0" borderId="0" applyAlignment="1" pivotButton="0" quotePrefix="0" xfId="0">
      <alignment horizontal="center" vertical="top"/>
    </xf>
    <xf numFmtId="0" fontId="9" fillId="3" borderId="0" applyAlignment="1" pivotButton="0" quotePrefix="0" xfId="0">
      <alignment horizontal="center" vertical="top"/>
    </xf>
    <xf numFmtId="0" fontId="10" fillId="0" borderId="0" applyAlignment="1" pivotButton="0" quotePrefix="0" xfId="0">
      <alignment horizontal="center" vertical="top"/>
    </xf>
    <xf numFmtId="0" fontId="10" fillId="3" borderId="0" applyAlignment="1" pivotButton="0" quotePrefix="0" xfId="0">
      <alignment horizontal="center" vertical="top"/>
    </xf>
    <xf numFmtId="0" fontId="11" fillId="3" borderId="0" applyAlignment="1" pivotButton="0" quotePrefix="0" xfId="0">
      <alignment horizontal="left" vertical="top"/>
    </xf>
    <xf numFmtId="0" fontId="12" fillId="3" borderId="0" applyAlignment="1" pivotButton="0" quotePrefix="0" xfId="0">
      <alignment horizontal="left" vertical="top"/>
    </xf>
    <xf numFmtId="0" fontId="6" fillId="3" borderId="0" applyAlignment="1" pivotButton="0" quotePrefix="0" xfId="0">
      <alignment horizontal="left" vertical="top"/>
    </xf>
    <xf numFmtId="0" fontId="6" fillId="0" borderId="0" applyAlignment="1" pivotButton="0" quotePrefix="0" xfId="0">
      <alignment horizontal="left" vertical="top"/>
    </xf>
    <xf numFmtId="0" fontId="13" fillId="0" borderId="0" applyAlignment="1" pivotButton="0" quotePrefix="0" xfId="0">
      <alignment horizontal="left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68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.5" customWidth="1" min="1" max="1"/>
    <col width="7" customWidth="1" min="2" max="2"/>
    <col width="21" customWidth="1" min="3" max="3"/>
    <col width="56" customWidth="1" min="4" max="4"/>
    <col width="6" customWidth="1" min="5" max="5"/>
    <col width="44" customWidth="1" min="6" max="6"/>
    <col width="11" customWidth="1" min="7" max="7"/>
    <col width="50" customWidth="1" min="8" max="8"/>
    <col width="2" customWidth="1" min="9" max="9"/>
  </cols>
  <sheetData>
    <row r="2">
      <c r="B2" s="1" t="inlineStr">
        <is>
          <t>TDD Cost Model - change register</t>
        </is>
      </c>
    </row>
    <row r="3">
      <c r="B3" s="2" t="inlineStr">
        <is>
          <t>Everything since the 30/07 workbook. Status is verified against the shipped file, not from memory. Set the Status column as things land.</t>
        </is>
      </c>
    </row>
    <row r="5">
      <c r="B5" s="3" t="inlineStr">
        <is>
          <t>ID</t>
        </is>
      </c>
      <c r="C5" s="3" t="inlineStr">
        <is>
          <t>Area</t>
        </is>
      </c>
      <c r="D5" s="3" t="inlineStr">
        <is>
          <t>What</t>
        </is>
      </c>
      <c r="E5" s="3" t="inlineStr">
        <is>
          <t>Pri</t>
        </is>
      </c>
      <c r="F5" s="3" t="inlineStr">
        <is>
          <t>Where it stands</t>
        </is>
      </c>
      <c r="G5" s="3" t="inlineStr">
        <is>
          <t>Status</t>
        </is>
      </c>
      <c r="H5" s="3" t="inlineStr">
        <is>
          <t>Your words</t>
        </is>
      </c>
    </row>
    <row r="6">
      <c r="B6" s="4" t="inlineStr">
        <is>
          <t>NEEDS YOUR DECISION  (20)</t>
        </is>
      </c>
    </row>
    <row r="7">
      <c r="B7" s="5" t="inlineStr">
        <is>
          <t>DEC-01</t>
        </is>
      </c>
      <c r="C7" s="6" t="inlineStr">
        <is>
          <t>Overheads</t>
        </is>
      </c>
      <c r="D7" s="6" t="inlineStr">
        <is>
          <t>The overhead funding gap: 12.26 of overhead exists beyond what the lights on budget allows. Decide whether the budget moves, roles come out, or the gap is shown openly.</t>
        </is>
      </c>
      <c r="E7" s="7" t="inlineStr">
        <is>
          <t>HIGH</t>
        </is>
      </c>
      <c r="F7" s="8" t="inlineStr">
        <is>
          <t>Budget allows 12.37, actual overhead is 24.63. Funding it all takes TDD from 6.56 over to 18.67 over.</t>
        </is>
      </c>
      <c r="G7" s="9" t="inlineStr"/>
      <c r="H7" s="10" t="inlineStr">
        <is>
          <t>if we need to fund every single overhead position to the lights on budget, then what is the impact of that?</t>
        </is>
      </c>
    </row>
    <row r="8">
      <c r="B8" s="11" t="inlineStr">
        <is>
          <t>DEC-02</t>
        </is>
      </c>
      <c r="C8" s="12" t="inlineStr">
        <is>
          <t>Overheads / Head of Tech</t>
        </is>
      </c>
      <c r="D8" s="12" t="inlineStr">
        <is>
          <t>Ed Tacey on or off the Head of Technology line. His title is AI Enablement Lead and he is not on your list of 15.</t>
        </is>
      </c>
      <c r="E8" s="13" t="inlineStr">
        <is>
          <t>HIGH</t>
        </is>
      </c>
      <c r="F8" s="14" t="inlineStr">
        <is>
          <t>With him 16 roles 5.230. Without him 15 roles 4.909. Verified REVIEW row 161.</t>
        </is>
      </c>
      <c r="G8" s="9" t="inlineStr"/>
      <c r="H8" s="15" t="inlineStr">
        <is>
          <t>these are the roles I have for head of tech</t>
        </is>
      </c>
    </row>
    <row r="9">
      <c r="B9" s="5" t="inlineStr">
        <is>
          <t>DEC-03</t>
        </is>
      </c>
      <c r="C9" s="6" t="inlineStr">
        <is>
          <t>Overheads / Tech Manager</t>
        </is>
      </c>
      <c r="D9" s="6" t="inlineStr">
        <is>
          <t>Shane Ker in or out of Technology Manager. Not on your list of 24. His title in the data reads Technology Manger - Finance Platfoms.</t>
        </is>
      </c>
      <c r="E9" s="7" t="inlineStr">
        <is>
          <t>HIGH</t>
        </is>
      </c>
      <c r="F9" s="8" t="inlineStr">
        <is>
          <t>With him 25 roles 6.777. Without him 24 roles 6.453. Verified REVIEW row 454.</t>
        </is>
      </c>
      <c r="G9" s="9" t="inlineStr"/>
      <c r="H9" s="10" t="inlineStr">
        <is>
          <t>i have tech managers as this....what's missing?</t>
        </is>
      </c>
    </row>
    <row r="10">
      <c r="B10" s="11" t="inlineStr">
        <is>
          <t>DEC-14</t>
        </is>
      </c>
      <c r="C10" s="12" t="inlineStr">
        <is>
          <t>Overheads / Business Partner</t>
        </is>
      </c>
      <c r="D10" s="12" t="inlineStr">
        <is>
          <t>Neil Reilly is costed at 666,088, nearly double every other Business Partner and 29% of the whole line. Confirm before we share it equally.</t>
        </is>
      </c>
      <c r="E10" s="13" t="inlineStr">
        <is>
          <t>HIGH</t>
        </is>
      </c>
      <c r="F10" s="14" t="inlineStr">
        <is>
          <t>Others: 297,150 / 298,100 / 291,422 / 417,425 / 343,364. If wrong, the 0.2314 per portfolio share is wrong.</t>
        </is>
      </c>
      <c r="G10" s="9" t="inlineStr"/>
      <c r="H10" s="15" t="inlineStr"/>
    </row>
    <row r="11">
      <c r="B11" s="5" t="inlineStr">
        <is>
          <t>DEC-15</t>
        </is>
      </c>
      <c r="C11" s="6" t="inlineStr">
        <is>
          <t>Overheads / Domain Architect</t>
        </is>
      </c>
      <c r="D11" s="6" t="inlineStr">
        <is>
          <t>4 of the 7 Domain Architects are vacant. Decide whether vacant roles are shared across portfolios or only filled ones are.</t>
        </is>
      </c>
      <c r="E11" s="7" t="inlineStr">
        <is>
          <t>HIGH</t>
        </is>
      </c>
      <c r="F11" s="8" t="inlineStr">
        <is>
          <t>Filled 3 = 0.694. Vacant 4 = 0.971. Sharing all 7 gives 0.1665 each; filled only gives 0.0694 each.</t>
        </is>
      </c>
      <c r="G11" s="9" t="inlineStr"/>
      <c r="H11" s="10" t="inlineStr"/>
    </row>
    <row r="12">
      <c r="B12" s="11" t="inlineStr">
        <is>
          <t>DEC-04</t>
        </is>
      </c>
      <c r="C12" s="12" t="inlineStr">
        <is>
          <t>GM layer</t>
        </is>
      </c>
      <c r="D12" s="12" t="inlineStr">
        <is>
          <t>How the 8 GMs are priced in: shared equally across the 10 portfolios, or charged to their own division.</t>
        </is>
      </c>
      <c r="E12" s="13" t="inlineStr">
        <is>
          <t>HIGH</t>
        </is>
      </c>
      <c r="F12" s="14" t="inlineStr">
        <is>
          <t>5.10 actual against a 3.00 allowance. Equal share is 0.510 per portfolio. Note they sit outside the 528 role mapping.</t>
        </is>
      </c>
      <c r="G12" s="9" t="inlineStr"/>
      <c r="H12" s="15" t="inlineStr">
        <is>
          <t>We also need to price in the GMs, have we done that?</t>
        </is>
      </c>
    </row>
    <row r="13">
      <c r="B13" s="5" t="inlineStr">
        <is>
          <t>DEC-07</t>
        </is>
      </c>
      <c r="C13" s="6" t="inlineStr">
        <is>
          <t>Single lens</t>
        </is>
      </c>
      <c r="D13" s="6" t="inlineStr">
        <is>
          <t>TDD Cyber reads 0.805 on 0.2 and 0.838 on 3.1. Pick one basis for the whole book.</t>
        </is>
      </c>
      <c r="E13" s="7" t="inlineStr">
        <is>
          <t>HIGH</t>
        </is>
      </c>
      <c r="F13" s="8" t="inlineStr">
        <is>
          <t>0.805 is the 1.14 funding model. 0.838 is actual less the uplift programme.</t>
        </is>
      </c>
      <c r="G13" s="9" t="inlineStr"/>
      <c r="H13" s="10" t="inlineStr">
        <is>
          <t>We need a single lense and no confusion.</t>
        </is>
      </c>
    </row>
    <row r="14">
      <c r="B14" s="11" t="inlineStr">
        <is>
          <t>DEC-10</t>
        </is>
      </c>
      <c r="C14" s="12" t="inlineStr">
        <is>
          <t>Lights on view</t>
        </is>
      </c>
      <c r="D14" s="12" t="inlineStr">
        <is>
          <t>Where the actuals lights on view lives: its own tab, a block on each 1.x tab, or both.</t>
        </is>
      </c>
      <c r="E14" s="13" t="inlineStr">
        <is>
          <t>HIGH</t>
        </is>
      </c>
      <c r="F14" s="14" t="inlineStr"/>
      <c r="G14" s="9" t="inlineStr"/>
      <c r="H14" s="15" t="inlineStr">
        <is>
          <t>it might be that we do it in the 2.x tabs or actually we do it in the data config tab or it's its own tab on itself</t>
        </is>
      </c>
    </row>
    <row r="15">
      <c r="B15" s="5" t="inlineStr">
        <is>
          <t>DEC-16</t>
        </is>
      </c>
      <c r="C15" s="6" t="inlineStr">
        <is>
          <t>REVIEW mapping / geography</t>
        </is>
      </c>
      <c r="D15" s="6" t="inlineStr">
        <is>
          <t>The AU/NZ split is computed as not-NZ versus NZ, so 14 Singapore roles count as AU.</t>
        </is>
      </c>
      <c r="E15" s="7" t="inlineStr">
        <is>
          <t>HIGH</t>
        </is>
      </c>
      <c r="F15" s="8" t="inlineStr">
        <is>
          <t>Affects every AU/NZ line on the 1.x tabs.</t>
        </is>
      </c>
      <c r="G15" s="9" t="inlineStr"/>
      <c r="H15" s="10" t="inlineStr"/>
    </row>
    <row r="16">
      <c r="B16" s="11" t="inlineStr">
        <is>
          <t>DEC-05</t>
        </is>
      </c>
      <c r="C16" s="12" t="inlineStr">
        <is>
          <t>Overheads / programmes</t>
        </is>
      </c>
      <c r="D16" s="12" t="inlineStr">
        <is>
          <t>Whether AmPOS and CTRM carry overhead. You ruled EGI does not.</t>
        </is>
      </c>
      <c r="E16" s="16" t="inlineStr">
        <is>
          <t>MEDIUM</t>
        </is>
      </c>
      <c r="F16" s="14" t="inlineStr">
        <is>
          <t>Changes how much overhead sits on Retail and Commercial Fuels.</t>
        </is>
      </c>
      <c r="G16" s="9" t="inlineStr"/>
      <c r="H16" s="15" t="inlineStr">
        <is>
          <t>EGI does not use overheads. if they're egi they're egi, it's simple.</t>
        </is>
      </c>
    </row>
    <row r="17">
      <c r="B17" s="5" t="inlineStr">
        <is>
          <t>DEC-06</t>
        </is>
      </c>
      <c r="C17" s="6" t="inlineStr">
        <is>
          <t>2.1 Ampol Retail</t>
        </is>
      </c>
      <c r="D17" s="6" t="inlineStr">
        <is>
          <t>Viren Khatri, the single EGI TDD role on Ampol Retail. Retag his squad, move him to TDD Group Functions with the other four, or leave him.</t>
        </is>
      </c>
      <c r="E17" s="17" t="inlineStr">
        <is>
          <t>MEDIUM</t>
        </is>
      </c>
      <c r="F17" s="8" t="inlineStr">
        <is>
          <t>REVIEW row 104, contractor, 299,700, Division Ampol Retail &amp; Z.</t>
        </is>
      </c>
      <c r="G17" s="9" t="inlineStr"/>
      <c r="H17" s="10" t="inlineStr">
        <is>
          <t>I don;t know why ampol retail has egi tdd??</t>
        </is>
      </c>
    </row>
    <row r="18">
      <c r="B18" s="11" t="inlineStr">
        <is>
          <t>DEC-08</t>
        </is>
      </c>
      <c r="C18" s="12" t="inlineStr">
        <is>
          <t>Protection</t>
        </is>
      </c>
      <c r="D18" s="12" t="inlineStr">
        <is>
          <t>Blank password or a real one.</t>
        </is>
      </c>
      <c r="E18" s="16" t="inlineStr">
        <is>
          <t>MEDIUM</t>
        </is>
      </c>
      <c r="F18" s="14" t="inlineStr">
        <is>
          <t>Blank stops accidents and still lets you turn it off in one click.</t>
        </is>
      </c>
      <c r="G18" s="9" t="inlineStr"/>
      <c r="H18" s="15" t="inlineStr">
        <is>
          <t>how do we protect the workbook? any suggestions?</t>
        </is>
      </c>
    </row>
    <row r="19">
      <c r="B19" s="5" t="inlineStr">
        <is>
          <t>DEC-11</t>
        </is>
      </c>
      <c r="C19" s="6" t="inlineStr">
        <is>
          <t>FY27</t>
        </is>
      </c>
      <c r="D19" s="6" t="inlineStr">
        <is>
          <t>Confirm the three dates: vacancies land 01 Oct 26, offshore transitions done 01 Jan 27, holds stay closed.</t>
        </is>
      </c>
      <c r="E19" s="17" t="inlineStr">
        <is>
          <t>MEDIUM</t>
        </is>
      </c>
      <c r="F19" s="8" t="inlineStr">
        <is>
          <t>Under those defaults FY27 lands at 102.01 against a 106.80 run rate.</t>
        </is>
      </c>
      <c r="G19" s="9" t="inlineStr"/>
      <c r="H19" s="10" t="inlineStr">
        <is>
          <t>how do we show where we land for FY27</t>
        </is>
      </c>
    </row>
    <row r="20">
      <c r="B20" s="11" t="inlineStr">
        <is>
          <t>DEC-17</t>
        </is>
      </c>
      <c r="C20" s="12" t="inlineStr">
        <is>
          <t>REVIEW mapping / data</t>
        </is>
      </c>
      <c r="D20" s="12" t="inlineStr">
        <is>
          <t>Rob Jadrjevic is counted as a role but priced at zero.</t>
        </is>
      </c>
      <c r="E20" s="16" t="inlineStr">
        <is>
          <t>MEDIUM</t>
        </is>
      </c>
      <c r="F20" s="14" t="inlineStr">
        <is>
          <t>REVIEW row 190, Engineer BE, Customer / EGI Customer.</t>
        </is>
      </c>
      <c r="G20" s="9" t="inlineStr"/>
      <c r="H20" s="15" t="inlineStr"/>
    </row>
    <row r="21">
      <c r="B21" s="5" t="inlineStr">
        <is>
          <t>DEC-18</t>
        </is>
      </c>
      <c r="C21" s="6" t="inlineStr">
        <is>
          <t>REVIEW mapping / data</t>
        </is>
      </c>
      <c r="D21" s="6" t="inlineStr">
        <is>
          <t>Seven part time people are costed at full rate, not scaled by their FTE.</t>
        </is>
      </c>
      <c r="E21" s="17" t="inlineStr">
        <is>
          <t>MEDIUM</t>
        </is>
      </c>
      <c r="F21" s="8" t="inlineStr">
        <is>
          <t>Makes the FTE total and the cost total tell different stories.</t>
        </is>
      </c>
      <c r="G21" s="9" t="inlineStr"/>
      <c r="H21" s="10" t="inlineStr"/>
    </row>
    <row r="22">
      <c r="B22" s="11" t="inlineStr">
        <is>
          <t>DEC-19</t>
        </is>
      </c>
      <c r="C22" s="12" t="inlineStr">
        <is>
          <t>REVIEW mapping / data</t>
        </is>
      </c>
      <c r="D22" s="12" t="inlineStr">
        <is>
          <t>Six Ring fenced placeholder rows: keep, cost, or exclude.</t>
        </is>
      </c>
      <c r="E22" s="16" t="inlineStr">
        <is>
          <t>MEDIUM</t>
        </is>
      </c>
      <c r="F22" s="14" t="inlineStr">
        <is>
          <t>Rows 458 onwards.</t>
        </is>
      </c>
      <c r="G22" s="9" t="inlineStr"/>
      <c r="H22" s="15" t="inlineStr"/>
    </row>
    <row r="23">
      <c r="B23" s="5" t="inlineStr">
        <is>
          <t>DEC-09</t>
        </is>
      </c>
      <c r="C23" s="6" t="inlineStr">
        <is>
          <t>1.4 TDD Group Functions</t>
        </is>
      </c>
      <c r="D23" s="6" t="inlineStr">
        <is>
          <t>The Left to fund 1.48 line: real, or covered by something.</t>
        </is>
      </c>
      <c r="E23" s="17" t="inlineStr">
        <is>
          <t>MEDIUM</t>
        </is>
      </c>
      <c r="F23" s="8" t="inlineStr">
        <is>
          <t>Sits under the mislabelled EGI line.</t>
        </is>
      </c>
      <c r="G23" s="9" t="inlineStr"/>
      <c r="H23" s="10" t="inlineStr"/>
    </row>
    <row r="24">
      <c r="B24" s="11" t="inlineStr">
        <is>
          <t>DEC-20</t>
        </is>
      </c>
      <c r="C24" s="12" t="inlineStr">
        <is>
          <t>1.10 Z Retail</t>
        </is>
      </c>
      <c r="D24" s="12" t="inlineStr">
        <is>
          <t>A 0.165 platform overhead is priced onto the Data NZ platform. Confirm or reverse.</t>
        </is>
      </c>
      <c r="E24" s="18" t="inlineStr">
        <is>
          <t>LOW</t>
        </is>
      </c>
      <c r="F24" s="14" t="inlineStr"/>
      <c r="G24" s="9" t="inlineStr"/>
      <c r="H24" s="15" t="inlineStr"/>
    </row>
    <row r="25">
      <c r="B25" s="5" t="inlineStr">
        <is>
          <t>DEC-12</t>
        </is>
      </c>
      <c r="C25" s="6" t="inlineStr">
        <is>
          <t>2.13 COE SA&amp;D</t>
        </is>
      </c>
      <c r="D25" s="6" t="inlineStr">
        <is>
          <t>Restore the Paused roles - cost if released line that was on your old 1.12, or leave it out.</t>
        </is>
      </c>
      <c r="E25" s="19" t="inlineStr">
        <is>
          <t>LOW</t>
        </is>
      </c>
      <c r="F25" s="8" t="inlineStr">
        <is>
          <t>It read 0 at consolidation so it was not carried.</t>
        </is>
      </c>
      <c r="G25" s="9" t="inlineStr"/>
      <c r="H25" s="10" t="inlineStr"/>
    </row>
    <row r="26">
      <c r="B26" s="11" t="inlineStr">
        <is>
          <t>DEC-13</t>
        </is>
      </c>
      <c r="C26" s="12" t="inlineStr">
        <is>
          <t>Value adds</t>
        </is>
      </c>
      <c r="D26" s="12" t="inlineStr">
        <is>
          <t>Which additions you want: in year phasing, saved scenarios, offshore transition assumptions, assumptions register, actioned vs planned, contractor roll off.</t>
        </is>
      </c>
      <c r="E26" s="16" t="inlineStr">
        <is>
          <t>MEDIUM</t>
        </is>
      </c>
      <c r="F26" s="14" t="inlineStr"/>
      <c r="G26" s="9" t="inlineStr"/>
      <c r="H26" s="15" t="inlineStr">
        <is>
          <t>Keen to see what you said is worth adding.</t>
        </is>
      </c>
    </row>
    <row r="27">
      <c r="B27" s="20" t="inlineStr">
        <is>
          <t>AGREED, NOT BUILT YET  (22)</t>
        </is>
      </c>
    </row>
    <row r="28">
      <c r="B28" s="11" t="inlineStr">
        <is>
          <t>BLD-01</t>
        </is>
      </c>
      <c r="C28" s="12" t="inlineStr">
        <is>
          <t>1.3 Enterprise Data</t>
        </is>
      </c>
      <c r="D28" s="12" t="inlineStr">
        <is>
          <t>Add the EGI Ent Data platform and squad line carrying 1.8119, live from 2.3, and net it in the funding block.</t>
        </is>
      </c>
      <c r="E28" s="13" t="inlineStr">
        <is>
          <t>HIGH</t>
        </is>
      </c>
      <c r="F28" s="14" t="inlineStr">
        <is>
          <t>Verified absent: 1.3 B34 only says Platform: EGI Data - removed, no roles. The EGI funding line reads 0.</t>
        </is>
      </c>
      <c r="G28" s="9" t="inlineStr"/>
      <c r="H28" s="15" t="inlineStr">
        <is>
          <t>there needs to be a whole new platform and squad that says egi ent data on 1.3</t>
        </is>
      </c>
    </row>
    <row r="29">
      <c r="B29" s="5" t="inlineStr">
        <is>
          <t>BLD-02</t>
        </is>
      </c>
      <c r="C29" s="6" t="inlineStr">
        <is>
          <t>1.1 Ampol Retail</t>
        </is>
      </c>
      <c r="D29" s="6" t="inlineStr">
        <is>
          <t>EGI line must include the EGI TDD squad: 1.2214 becomes 1.5211.</t>
        </is>
      </c>
      <c r="E29" s="7" t="inlineStr">
        <is>
          <t>HIGH</t>
        </is>
      </c>
      <c r="F29" s="8" t="inlineStr">
        <is>
          <t>Verified: 1.1 J18 = 1.221357614, misses 0.2997.</t>
        </is>
      </c>
      <c r="G29" s="9" t="inlineStr"/>
      <c r="H29" s="10" t="inlineStr"/>
    </row>
    <row r="30">
      <c r="B30" s="11" t="inlineStr">
        <is>
          <t>BLD-03</t>
        </is>
      </c>
      <c r="C30" s="12" t="inlineStr">
        <is>
          <t>1.4 TDD Group Functions</t>
        </is>
      </c>
      <c r="D30" s="12" t="inlineStr">
        <is>
          <t>Relabel Funded from TDD Corporate pool (3.4 COE Breakdown) to EGI. 3.4 carries no such line.</t>
        </is>
      </c>
      <c r="E30" s="13" t="inlineStr">
        <is>
          <t>HIGH</t>
        </is>
      </c>
      <c r="F30" s="14" t="inlineStr">
        <is>
          <t>Verified: 1.02484851 appears nowhere on 3.4.</t>
        </is>
      </c>
      <c r="G30" s="9" t="inlineStr"/>
      <c r="H30" s="15" t="inlineStr"/>
    </row>
    <row r="31">
      <c r="B31" s="5" t="inlineStr">
        <is>
          <t>BLD-04</t>
        </is>
      </c>
      <c r="C31" s="6" t="inlineStr">
        <is>
          <t>Overheads</t>
        </is>
      </c>
      <c r="D31" s="6" t="inlineStr">
        <is>
          <t>Price overheads at platform and portfolio level only. Squads carry none. TDD funds every overhead role, nothing recharged.</t>
        </is>
      </c>
      <c r="E31" s="7" t="inlineStr">
        <is>
          <t>HIGH</t>
        </is>
      </c>
      <c r="F31" s="8" t="inlineStr">
        <is>
          <t>Platform: Delivery Manager, Technology Manager. Portfolio: Head of Tech, Business Partner, Domain Architect, GMs.</t>
        </is>
      </c>
      <c r="G31" s="9" t="inlineStr"/>
      <c r="H31" s="10" t="inlineStr">
        <is>
          <t>TDD pays for every single overhead role, nothing is recharged</t>
        </is>
      </c>
    </row>
    <row r="32">
      <c r="B32" s="11" t="inlineStr">
        <is>
          <t>BLD-05</t>
        </is>
      </c>
      <c r="C32" s="12" t="inlineStr">
        <is>
          <t>Overheads</t>
        </is>
      </c>
      <c r="D32" s="12" t="inlineStr">
        <is>
          <t>Share Business Partners and Domain Architects equally across the 10 portfolios at actual cost.</t>
        </is>
      </c>
      <c r="E32" s="13" t="inlineStr">
        <is>
          <t>HIGH</t>
        </is>
      </c>
      <c r="F32" s="14" t="inlineStr">
        <is>
          <t>BP 2.3135 / 10 = 0.2314 each. DA 1.6647 / 10 = 0.1665 each. Up from the 0.22 and 0.14 allowances.</t>
        </is>
      </c>
      <c r="G32" s="9" t="inlineStr"/>
      <c r="H32" s="15" t="inlineStr">
        <is>
          <t>domain architects and business partners needs to be equally shared across portfolios</t>
        </is>
      </c>
    </row>
    <row r="33">
      <c r="B33" s="5" t="inlineStr">
        <is>
          <t>BLD-06</t>
        </is>
      </c>
      <c r="C33" s="6" t="inlineStr">
        <is>
          <t>2.12 and 2.13 COE</t>
        </is>
      </c>
      <c r="D33" s="6" t="inlineStr">
        <is>
          <t>Move the netting lines to actual: BP 2.20 becomes 2.3135, DA 1.40 becomes 1.6647.</t>
        </is>
      </c>
      <c r="E33" s="7" t="inlineStr">
        <is>
          <t>HIGH</t>
        </is>
      </c>
      <c r="F33" s="8" t="inlineStr">
        <is>
          <t>COE spend falls 0.378, portfolios pick up 0.378. People stay listed on the COE tabs.</t>
        </is>
      </c>
      <c r="G33" s="9" t="inlineStr"/>
      <c r="H33" s="10" t="inlineStr">
        <is>
          <t>what is the impact on the coes tabs</t>
        </is>
      </c>
    </row>
    <row r="34">
      <c r="B34" s="11" t="inlineStr">
        <is>
          <t>BLD-07</t>
        </is>
      </c>
      <c r="C34" s="12" t="inlineStr">
        <is>
          <t>3.1 Archetype to Actuals</t>
        </is>
      </c>
      <c r="D34" s="12" t="inlineStr">
        <is>
          <t>3.1 shows COE cost gross, ignoring the BP and DA netting that 2.12 and 2.13 apply. Make it consistent.</t>
        </is>
      </c>
      <c r="E34" s="13" t="inlineStr">
        <is>
          <t>HIGH</t>
        </is>
      </c>
      <c r="F34" s="14" t="inlineStr">
        <is>
          <t>Verified: 3.1 I18 = 6.176556022 is the gross figure.</t>
        </is>
      </c>
      <c r="G34" s="9" t="inlineStr"/>
      <c r="H34" s="15" t="inlineStr"/>
    </row>
    <row r="35">
      <c r="B35" s="5" t="inlineStr">
        <is>
          <t>BLD-08</t>
        </is>
      </c>
      <c r="C35" s="6" t="inlineStr">
        <is>
          <t>Lights on view</t>
        </is>
      </c>
      <c r="D35" s="6" t="inlineStr">
        <is>
          <t>Build actuals through the lights on structure: squads at actual with the archetype support percentages, plus overheads, against the lights on budget and against what can be recharged.</t>
        </is>
      </c>
      <c r="E35" s="7" t="inlineStr">
        <is>
          <t>HIGH</t>
        </is>
      </c>
      <c r="F35" s="8" t="inlineStr">
        <is>
          <t>Uses your Other funding block shape: budget line, amount that can be allocated to people, total applied, left to fund.</t>
        </is>
      </c>
      <c r="G35" s="9" t="inlineStr"/>
      <c r="H35" s="10" t="inlineStr">
        <is>
          <t>in the yellow, you'll see it there, that's what i expect</t>
        </is>
      </c>
    </row>
    <row r="36">
      <c r="B36" s="11" t="inlineStr">
        <is>
          <t>BLD-09</t>
        </is>
      </c>
      <c r="C36" s="12" t="inlineStr">
        <is>
          <t>Language</t>
        </is>
      </c>
      <c r="D36" s="12" t="inlineStr">
        <is>
          <t>Rechargeable, never to projects. Delete the per FTE and percentage of squad cost metrics.</t>
        </is>
      </c>
      <c r="E36" s="13" t="inlineStr">
        <is>
          <t>HIGH</t>
        </is>
      </c>
      <c r="F36" s="14" t="inlineStr"/>
      <c r="G36" s="9" t="inlineStr"/>
      <c r="H36" s="15" t="inlineStr">
        <is>
          <t>it's not to projects it's a rechargeable amount</t>
        </is>
      </c>
    </row>
    <row r="37">
      <c r="B37" s="5" t="inlineStr">
        <is>
          <t>BLD-10</t>
        </is>
      </c>
      <c r="C37" s="6" t="inlineStr">
        <is>
          <t>REVIEW mapping</t>
        </is>
      </c>
      <c r="D37" s="6" t="inlineStr">
        <is>
          <t>Role ID on every role, every join re-keyed to it. The ID belongs to the role so a vacancy keeps its ID when filled.</t>
        </is>
      </c>
      <c r="E37" s="7" t="inlineStr">
        <is>
          <t>HIGH</t>
        </is>
      </c>
      <c r="F37" s="8" t="inlineStr">
        <is>
          <t>Verified absent: no Role ID anywhere. This is what makes a mapping refresh safe.</t>
        </is>
      </c>
      <c r="G37" s="9" t="inlineStr"/>
      <c r="H37" s="10" t="inlineStr">
        <is>
          <t>We defo need mapping to roleid, but note that some roles have vacant ties</t>
        </is>
      </c>
    </row>
    <row r="38">
      <c r="B38" s="11" t="inlineStr">
        <is>
          <t>BLD-11</t>
        </is>
      </c>
      <c r="C38" s="12" t="inlineStr">
        <is>
          <t>Whole model</t>
        </is>
      </c>
      <c r="D38" s="12" t="inlineStr">
        <is>
          <t>Single lens everywhere so no number needs interpreting.</t>
        </is>
      </c>
      <c r="E38" s="13" t="inlineStr">
        <is>
          <t>HIGH</t>
        </is>
      </c>
      <c r="F38" s="14" t="inlineStr"/>
      <c r="G38" s="9" t="inlineStr"/>
      <c r="H38" s="15" t="inlineStr">
        <is>
          <t>I need this to be a perfect model that requires no analysis or interpretation</t>
        </is>
      </c>
    </row>
    <row r="39">
      <c r="B39" s="5" t="inlineStr">
        <is>
          <t>BLD-15</t>
        </is>
      </c>
      <c r="C39" s="6" t="inlineStr">
        <is>
          <t>Whole model</t>
        </is>
      </c>
      <c r="D39" s="6" t="inlineStr">
        <is>
          <t>Like for like tabs made consistent in formatting, language, layout and design.</t>
        </is>
      </c>
      <c r="E39" s="7" t="inlineStr">
        <is>
          <t>HIGH</t>
        </is>
      </c>
      <c r="F39" s="8" t="inlineStr"/>
      <c r="G39" s="9" t="inlineStr"/>
      <c r="H39" s="10" t="inlineStr">
        <is>
          <t>Ensure that like for like tabs have consistent formatting, language, layout, design etc.</t>
        </is>
      </c>
    </row>
    <row r="40">
      <c r="B40" s="11" t="inlineStr">
        <is>
          <t>BLD-16</t>
        </is>
      </c>
      <c r="C40" s="12" t="inlineStr">
        <is>
          <t>Protection</t>
        </is>
      </c>
      <c r="D40" s="12" t="inlineStr">
        <is>
          <t>Lock formulas, leave lever dropdowns and cream inputs open, lock structure.</t>
        </is>
      </c>
      <c r="E40" s="13" t="inlineStr">
        <is>
          <t>HIGH</t>
        </is>
      </c>
      <c r="F40" s="14" t="inlineStr">
        <is>
          <t>Verified: no protection anywhere today.</t>
        </is>
      </c>
      <c r="G40" s="9" t="inlineStr"/>
      <c r="H40" s="15" t="inlineStr">
        <is>
          <t>how do we protect the workbook?</t>
        </is>
      </c>
    </row>
    <row r="41">
      <c r="B41" s="5" t="inlineStr">
        <is>
          <t>BLD-17</t>
        </is>
      </c>
      <c r="C41" s="6" t="inlineStr">
        <is>
          <t>Gate</t>
        </is>
      </c>
      <c r="D41" s="6" t="inlineStr">
        <is>
          <t>Break proof test: sort the mapping and paste a shuffled extract over it, prove every control stays 0 and every number is identical.</t>
        </is>
      </c>
      <c r="E41" s="7" t="inlineStr">
        <is>
          <t>HIGH</t>
        </is>
      </c>
      <c r="F41" s="8" t="inlineStr"/>
      <c r="G41" s="9" t="inlineStr"/>
      <c r="H41" s="10" t="inlineStr">
        <is>
          <t>updating the review tab right now siginificantly breaks the model</t>
        </is>
      </c>
    </row>
    <row r="42">
      <c r="B42" s="11" t="inlineStr">
        <is>
          <t>BLD-20</t>
        </is>
      </c>
      <c r="C42" s="12" t="inlineStr">
        <is>
          <t>COE tabs</t>
        </is>
      </c>
      <c r="D42" s="12" t="inlineStr">
        <is>
          <t>Deliver the one page explanation of why one COE tab not two, and why the old numbers contradicted. You approved the consolidation but never got the explanation.</t>
        </is>
      </c>
      <c r="E42" s="13" t="inlineStr">
        <is>
          <t>HIGH</t>
        </is>
      </c>
      <c r="F42" s="14" t="inlineStr"/>
      <c r="G42" s="9" t="inlineStr"/>
      <c r="H42" s="15" t="inlineStr">
        <is>
          <t>i also expect absolute clarity as to why we would have 1 tab vs 2 and why the numbers and explanations are contradictory</t>
        </is>
      </c>
    </row>
    <row r="43">
      <c r="B43" s="5" t="inlineStr">
        <is>
          <t>BLD-21</t>
        </is>
      </c>
      <c r="C43" s="6" t="inlineStr">
        <is>
          <t>Whole model</t>
        </is>
      </c>
      <c r="D43" s="6" t="inlineStr">
        <is>
          <t>Give the full list of everything changed or removed that you never asked for.</t>
        </is>
      </c>
      <c r="E43" s="7" t="inlineStr">
        <is>
          <t>HIGH</t>
        </is>
      </c>
      <c r="F43" s="8" t="inlineStr"/>
      <c r="G43" s="9" t="inlineStr"/>
      <c r="H43" s="10" t="inlineStr">
        <is>
          <t>what have you changed that i didn't ask for?</t>
        </is>
      </c>
    </row>
    <row r="44">
      <c r="B44" s="11" t="inlineStr">
        <is>
          <t>BLD-12</t>
        </is>
      </c>
      <c r="C44" s="12" t="inlineStr">
        <is>
          <t>FY27</t>
        </is>
      </c>
      <c r="D44" s="12" t="inlineStr">
        <is>
          <t>FY27 landing view with three date assumptions and an FY27 column on the role blocks.</t>
        </is>
      </c>
      <c r="E44" s="16" t="inlineStr">
        <is>
          <t>MEDIUM</t>
        </is>
      </c>
      <c r="F44" s="14" t="inlineStr">
        <is>
          <t>Verified absent as a view. FY27 appears only as a side note on 3 tabs.</t>
        </is>
      </c>
      <c r="G44" s="9" t="inlineStr"/>
      <c r="H44" s="15" t="inlineStr"/>
    </row>
    <row r="45">
      <c r="B45" s="5" t="inlineStr">
        <is>
          <t>BLD-13</t>
        </is>
      </c>
      <c r="C45" s="6" t="inlineStr">
        <is>
          <t>0.0 Cockpit</t>
        </is>
      </c>
      <c r="D45" s="6" t="inlineStr">
        <is>
          <t>New cockpit tab: headline tiles, budget against spend, funded outside legend, levers live today, FY27.</t>
        </is>
      </c>
      <c r="E45" s="17" t="inlineStr">
        <is>
          <t>MEDIUM</t>
        </is>
      </c>
      <c r="F45" s="8" t="inlineStr"/>
      <c r="G45" s="9" t="inlineStr"/>
      <c r="H45" s="10" t="inlineStr"/>
    </row>
    <row r="46">
      <c r="B46" s="11" t="inlineStr">
        <is>
          <t>BLD-14</t>
        </is>
      </c>
      <c r="C46" s="12" t="inlineStr">
        <is>
          <t>All 2.x tabs</t>
        </is>
      </c>
      <c r="D46" s="12" t="inlineStr">
        <is>
          <t>Cockpit strip on every 2.x tab, in cell bars, consistent formats.</t>
        </is>
      </c>
      <c r="E46" s="16" t="inlineStr">
        <is>
          <t>MEDIUM</t>
        </is>
      </c>
      <c r="F46" s="14" t="inlineStr"/>
      <c r="G46" s="9" t="inlineStr"/>
      <c r="H46" s="15" t="inlineStr"/>
    </row>
    <row r="47">
      <c r="B47" s="5" t="inlineStr">
        <is>
          <t>BLD-22</t>
        </is>
      </c>
      <c r="C47" s="6" t="inlineStr">
        <is>
          <t>2.9 Commercial Fuels</t>
        </is>
      </c>
      <c r="D47" s="6" t="inlineStr">
        <is>
          <t>CTRM is funded at a flat 3.800 while its roles cost 3.2218, so TDD funded reads (0.578). Decide whether to show it that way or net it.</t>
        </is>
      </c>
      <c r="E47" s="17" t="inlineStr">
        <is>
          <t>MEDIUM</t>
        </is>
      </c>
      <c r="F47" s="8" t="inlineStr">
        <is>
          <t>Mechanically right, reads odd.</t>
        </is>
      </c>
      <c r="G47" s="9" t="inlineStr"/>
      <c r="H47" s="10" t="inlineStr"/>
    </row>
    <row r="48">
      <c r="B48" s="11" t="inlineStr">
        <is>
          <t>BLD-18</t>
        </is>
      </c>
      <c r="C48" s="12" t="inlineStr">
        <is>
          <t>2.7 and 2.8</t>
        </is>
      </c>
      <c r="D48" s="12" t="inlineStr">
        <is>
          <t>Four filled people still carry the lever Hire. No cost effect but it is stale state.</t>
        </is>
      </c>
      <c r="E48" s="18" t="inlineStr">
        <is>
          <t>LOW</t>
        </is>
      </c>
      <c r="F48" s="14" t="inlineStr">
        <is>
          <t>2 on Infrastructure, 2 on Energy Solutions &amp; B2B.</t>
        </is>
      </c>
      <c r="G48" s="9" t="inlineStr"/>
      <c r="H48" s="15" t="inlineStr"/>
    </row>
    <row r="49">
      <c r="B49" s="5" t="inlineStr">
        <is>
          <t>BLD-19</t>
        </is>
      </c>
      <c r="C49" s="6" t="inlineStr">
        <is>
          <t>1.10 Z Retail</t>
        </is>
      </c>
      <c r="D49" s="6" t="inlineStr">
        <is>
          <t>Row 17 pulls a dash from your 0.1 tab. Render it as 0.00 on the model tab.</t>
        </is>
      </c>
      <c r="E49" s="19" t="inlineStr">
        <is>
          <t>LOW</t>
        </is>
      </c>
      <c r="F49" s="8" t="inlineStr"/>
      <c r="G49" s="9" t="inlineStr"/>
      <c r="H49" s="10" t="inlineStr"/>
    </row>
    <row r="50">
      <c r="B50" s="21" t="inlineStr">
        <is>
          <t>DONE AND VERIFIED IN THE SHIPPED FILE  (16)</t>
        </is>
      </c>
    </row>
    <row r="51">
      <c r="B51" s="5" t="inlineStr">
        <is>
          <t>DNE-01</t>
        </is>
      </c>
      <c r="C51" s="6" t="inlineStr">
        <is>
          <t>2.3 Enterprise Data</t>
        </is>
      </c>
      <c r="D51" s="6" t="inlineStr">
        <is>
          <t>The 8 EGI roles funded by EGI on their own directly funded line</t>
        </is>
      </c>
      <c r="E51" s="19" t="inlineStr"/>
      <c r="F51" s="8" t="inlineStr">
        <is>
          <t>Verified: 2.3 EGI line, 8 roles, 1.8119</t>
        </is>
      </c>
      <c r="G51" s="22" t="inlineStr"/>
      <c r="H51" s="10" t="inlineStr"/>
    </row>
    <row r="52">
      <c r="B52" s="11" t="inlineStr">
        <is>
          <t>DNE-02</t>
        </is>
      </c>
      <c r="C52" s="12" t="inlineStr">
        <is>
          <t>2.x lever tabs</t>
        </is>
      </c>
      <c r="D52" s="12" t="inlineStr">
        <is>
          <t>All Hold hacks reversed, your 8.98m of lever plays left live</t>
        </is>
      </c>
      <c r="E52" s="18" t="inlineStr"/>
      <c r="F52" s="14" t="inlineStr">
        <is>
          <t>67 levers live, 8.17m impact</t>
        </is>
      </c>
      <c r="G52" s="23" t="inlineStr"/>
      <c r="H52" s="15" t="inlineStr"/>
    </row>
    <row r="53">
      <c r="B53" s="5" t="inlineStr">
        <is>
          <t>DNE-03</t>
        </is>
      </c>
      <c r="C53" s="6" t="inlineStr">
        <is>
          <t>REVIEW mapping</t>
        </is>
      </c>
      <c r="D53" s="6" t="inlineStr">
        <is>
          <t>Named vacancies filled, three Remove rows deleted, Nico Lender fills one role</t>
        </is>
      </c>
      <c r="E53" s="19" t="inlineStr"/>
      <c r="F53" s="8" t="inlineStr">
        <is>
          <t>528 roles, 394 filled, 134 vacant</t>
        </is>
      </c>
      <c r="G53" s="22" t="inlineStr"/>
      <c r="H53" s="10" t="inlineStr"/>
    </row>
    <row r="54">
      <c r="B54" s="11" t="inlineStr">
        <is>
          <t>DNE-04</t>
        </is>
      </c>
      <c r="C54" s="12" t="inlineStr">
        <is>
          <t>0.1 and 1.2</t>
        </is>
      </c>
      <c r="D54" s="12" t="inlineStr">
        <is>
          <t>Significant Items budget 4.5, 1.2 relinked not hardcoded</t>
        </is>
      </c>
      <c r="E54" s="18" t="inlineStr"/>
      <c r="F54" s="14" t="inlineStr">
        <is>
          <t>Verified</t>
        </is>
      </c>
      <c r="G54" s="23" t="inlineStr"/>
      <c r="H54" s="15" t="inlineStr"/>
    </row>
    <row r="55">
      <c r="B55" s="5" t="inlineStr">
        <is>
          <t>DNE-05</t>
        </is>
      </c>
      <c r="C55" s="6" t="inlineStr">
        <is>
          <t>Customer</t>
        </is>
      </c>
      <c r="D55" s="6" t="inlineStr">
        <is>
          <t>Programme Management as a Customer only overhead line</t>
        </is>
      </c>
      <c r="E55" s="19" t="inlineStr"/>
      <c r="F55" s="8" t="inlineStr">
        <is>
          <t>3 roles, 0.7612, allocated at its own cost</t>
        </is>
      </c>
      <c r="G55" s="22" t="inlineStr"/>
      <c r="H55" s="10" t="inlineStr"/>
    </row>
    <row r="56">
      <c r="B56" s="11" t="inlineStr">
        <is>
          <t>DNE-06</t>
        </is>
      </c>
      <c r="C56" s="12" t="inlineStr">
        <is>
          <t>REVIEW mapping</t>
        </is>
      </c>
      <c r="D56" s="12" t="inlineStr">
        <is>
          <t>Ed Tacey follows the data onto the Heads line</t>
        </is>
      </c>
      <c r="E56" s="18" t="inlineStr"/>
      <c r="F56" s="14" t="inlineStr">
        <is>
          <t>Verified row 161. Now under review, see DEC-02</t>
        </is>
      </c>
      <c r="G56" s="23" t="inlineStr"/>
      <c r="H56" s="15" t="inlineStr"/>
    </row>
    <row r="57">
      <c r="B57" s="5" t="inlineStr">
        <is>
          <t>DNE-07</t>
        </is>
      </c>
      <c r="C57" s="6" t="inlineStr">
        <is>
          <t>1.2 Customer</t>
        </is>
      </c>
      <c r="D57" s="6" t="inlineStr">
        <is>
          <t>Digital Support NZ at archetype 0.32 with your 0.217 called out on tab</t>
        </is>
      </c>
      <c r="E57" s="19" t="inlineStr"/>
      <c r="F57" s="8" t="inlineStr">
        <is>
          <t>Verified</t>
        </is>
      </c>
      <c r="G57" s="22" t="inlineStr"/>
      <c r="H57" s="10" t="inlineStr"/>
    </row>
    <row r="58">
      <c r="B58" s="11" t="inlineStr">
        <is>
          <t>DNE-08</t>
        </is>
      </c>
      <c r="C58" s="12" t="inlineStr">
        <is>
          <t>Scope</t>
        </is>
      </c>
      <c r="D58" s="12" t="inlineStr">
        <is>
          <t>Contractor end dates parked, four Move to Z Customer people parked</t>
        </is>
      </c>
      <c r="E58" s="18" t="inlineStr"/>
      <c r="F58" s="14" t="inlineStr">
        <is>
          <t>Verified</t>
        </is>
      </c>
      <c r="G58" s="23" t="inlineStr"/>
      <c r="H58" s="15" t="inlineStr"/>
    </row>
    <row r="59">
      <c r="B59" s="5" t="inlineStr">
        <is>
          <t>DNE-09</t>
        </is>
      </c>
      <c r="C59" s="6" t="inlineStr">
        <is>
          <t>Scope</t>
        </is>
      </c>
      <c r="D59" s="6" t="inlineStr">
        <is>
          <t>13/07 EGI portfolio moves not adopted, only its role mapping tab used</t>
        </is>
      </c>
      <c r="E59" s="19" t="inlineStr"/>
      <c r="F59" s="8" t="inlineStr">
        <is>
          <t>Verified</t>
        </is>
      </c>
      <c r="G59" s="22" t="inlineStr"/>
      <c r="H59" s="10" t="inlineStr"/>
    </row>
    <row r="60">
      <c r="B60" s="11" t="inlineStr">
        <is>
          <t>DNE-10</t>
        </is>
      </c>
      <c r="C60" s="12" t="inlineStr">
        <is>
          <t>COE tabs</t>
        </is>
      </c>
      <c r="D60" s="12" t="inlineStr">
        <is>
          <t>COEs consolidated to one 2.x tab each, funding blocks moved onto them</t>
        </is>
      </c>
      <c r="E60" s="18" t="inlineStr"/>
      <c r="F60" s="14" t="inlineStr">
        <is>
          <t>1.11, 1.12, 1.13 deleted</t>
        </is>
      </c>
      <c r="G60" s="23" t="inlineStr"/>
      <c r="H60" s="15" t="inlineStr"/>
    </row>
    <row r="61">
      <c r="B61" s="5" t="inlineStr">
        <is>
          <t>DNE-11</t>
        </is>
      </c>
      <c r="C61" s="6" t="inlineStr">
        <is>
          <t>Whole model</t>
        </is>
      </c>
      <c r="D61" s="6" t="inlineStr">
        <is>
          <t>No sheet or workbook protection anywhere</t>
        </is>
      </c>
      <c r="E61" s="19" t="inlineStr"/>
      <c r="F61" s="8" t="inlineStr">
        <is>
          <t>Verified: all 43 sheets unprotected</t>
        </is>
      </c>
      <c r="G61" s="22" t="inlineStr"/>
      <c r="H61" s="10" t="inlineStr"/>
    </row>
    <row r="62">
      <c r="B62" s="11" t="inlineStr">
        <is>
          <t>DNE-12</t>
        </is>
      </c>
      <c r="C62" s="12" t="inlineStr">
        <is>
          <t>Whole model</t>
        </is>
      </c>
      <c r="D62" s="12" t="inlineStr">
        <is>
          <t>Strict dropdowns instead of protection, controls kept in white font</t>
        </is>
      </c>
      <c r="E62" s="18" t="inlineStr"/>
      <c r="F62" s="14" t="inlineStr">
        <is>
          <t>72 validations, 54 white rows</t>
        </is>
      </c>
      <c r="G62" s="23" t="inlineStr"/>
      <c r="H62" s="15" t="inlineStr"/>
    </row>
    <row r="63">
      <c r="B63" s="5" t="inlineStr">
        <is>
          <t>DNE-13</t>
        </is>
      </c>
      <c r="C63" s="6" t="inlineStr">
        <is>
          <t>Whole model</t>
        </is>
      </c>
      <c r="D63" s="6" t="inlineStr">
        <is>
          <t>Your language and wording kept from both the 30/07 and 13/07 files</t>
        </is>
      </c>
      <c r="E63" s="19" t="inlineStr"/>
      <c r="F63" s="8" t="inlineStr">
        <is>
          <t>Verified</t>
        </is>
      </c>
      <c r="G63" s="22" t="inlineStr"/>
      <c r="H63" s="10" t="inlineStr"/>
    </row>
    <row r="64">
      <c r="B64" s="11" t="inlineStr">
        <is>
          <t>DNE-14</t>
        </is>
      </c>
      <c r="C64" s="12" t="inlineStr">
        <is>
          <t>Whole model</t>
        </is>
      </c>
      <c r="D64" s="12" t="inlineStr">
        <is>
          <t>The word wave appears nowhere</t>
        </is>
      </c>
      <c r="E64" s="18" t="inlineStr"/>
      <c r="F64" s="14" t="inlineStr">
        <is>
          <t>Verified twice across all 43 sheets</t>
        </is>
      </c>
      <c r="G64" s="23" t="inlineStr"/>
      <c r="H64" s="15" t="inlineStr"/>
    </row>
    <row r="65">
      <c r="B65" s="5" t="inlineStr">
        <is>
          <t>DNE-15</t>
        </is>
      </c>
      <c r="C65" s="6" t="inlineStr">
        <is>
          <t>Whole model</t>
        </is>
      </c>
      <c r="D65" s="6" t="inlineStr">
        <is>
          <t>Funded outside TDD architecture: Lists table, P and Q columns on every 2.x, split on 3.1</t>
        </is>
      </c>
      <c r="E65" s="19" t="inlineStr"/>
      <c r="F65" s="8" t="inlineStr">
        <is>
          <t>EGI 11.88, CTRM 3.80, AmPOS 1.40, uplift 1.30</t>
        </is>
      </c>
      <c r="G65" s="22" t="inlineStr"/>
      <c r="H65" s="10" t="inlineStr"/>
    </row>
    <row r="66">
      <c r="B66" s="11" t="inlineStr">
        <is>
          <t>DNE-16</t>
        </is>
      </c>
      <c r="C66" s="12" t="inlineStr">
        <is>
          <t>2.11</t>
        </is>
      </c>
      <c r="D66" s="12" t="inlineStr">
        <is>
          <t>Cyber uplift percentage column feeding 1.14</t>
        </is>
      </c>
      <c r="E66" s="18" t="inlineStr"/>
      <c r="F66" s="14" t="inlineStr">
        <is>
          <t>494,819 charged</t>
        </is>
      </c>
      <c r="G66" s="23" t="inlineStr"/>
      <c r="H66" s="15" t="inlineStr"/>
    </row>
    <row r="68">
      <c r="B68" s="24" t="inlineStr">
        <is>
          <t>20 decisions, 22 to build, 16 done. Nothing has been built since the file you have.</t>
        </is>
      </c>
    </row>
  </sheetData>
  <mergeCells count="5">
    <mergeCell ref="B50:H50"/>
    <mergeCell ref="B27:H27"/>
    <mergeCell ref="B68:H68"/>
    <mergeCell ref="B6:H6"/>
    <mergeCell ref="B3:H3"/>
  </mergeCells>
  <dataValidations count="1">
    <dataValidation sqref="G6:G67" showDropDown="0" showInputMessage="0" showErrorMessage="1" allowBlank="1" type="list">
      <formula1>"Open,In progress,Done,Parked"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2026-08-05T07:08:12Z</dcterms:created>
  <dcterms:modified xmlns:dcterms="http://purl.org/dc/terms/" xmlns:xsi="http://www.w3.org/2001/XMLSchema-instance" xsi:type="dcterms:W3CDTF">2026-08-05T07:08:12Z</dcterms:modified>
</cp:coreProperties>
</file>