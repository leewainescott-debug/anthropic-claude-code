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ol Retail" sheetId="1" state="visible" r:id="rId1"/>
    <sheet name="Squads" sheetId="2" state="visible" r:id="rId2"/>
    <sheet name="Data Config" sheetId="3" state="visible" r:id="rId3"/>
    <sheet name="FY26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.00;($#,##0.00);&quot;–&quot;"/>
  </numFmts>
  <fonts count="23">
    <font>
      <name val="Calibri"/>
      <family val="2"/>
      <color theme="1"/>
      <sz val="11"/>
      <scheme val="minor"/>
    </font>
    <font>
      <name val="Arial"/>
      <b val="1"/>
      <color rgb="000B2E3C"/>
      <sz val="15"/>
    </font>
    <font>
      <name val="Arial"/>
      <i val="1"/>
      <color rgb="005A6B6F"/>
      <sz val="9"/>
    </font>
    <font>
      <name val="Arial"/>
      <b val="1"/>
      <color rgb="00FFFFFF"/>
      <sz val="9"/>
    </font>
    <font>
      <name val="Arial"/>
      <color rgb="001A1A1A"/>
      <sz val="10"/>
    </font>
    <font>
      <name val="Arial"/>
      <color rgb="009AA9AC"/>
      <sz val="9"/>
    </font>
    <font>
      <name val="Arial"/>
      <b val="1"/>
      <color rgb="001C5A66"/>
      <sz val="11"/>
    </font>
    <font>
      <name val="Arial"/>
      <b val="1"/>
      <color rgb="001A1A1A"/>
      <sz val="10"/>
    </font>
    <font>
      <name val="Arial"/>
      <b val="1"/>
      <color rgb="000B2E3C"/>
      <sz val="10"/>
    </font>
    <font>
      <name val="Arial"/>
      <i val="1"/>
      <color rgb="005A6B6F"/>
      <sz val="8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color rgb="005A6B6F"/>
      <sz val="9"/>
    </font>
    <font>
      <name val="Arial"/>
      <color rgb="0030414A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B2E3C"/>
      <sz val="9"/>
    </font>
    <font>
      <name val="Arial"/>
      <color rgb="000000CC"/>
      <sz val="10"/>
    </font>
    <font>
      <name val="Arial"/>
      <i val="1"/>
      <color rgb="001A1A1A"/>
      <sz val="10"/>
    </font>
    <font>
      <name val="Arial"/>
      <color rgb="00007A33"/>
      <sz val="10"/>
    </font>
    <font>
      <name val="Arial"/>
      <b val="1"/>
      <color rgb="00FFFFFF"/>
      <sz val="10"/>
    </font>
    <font>
      <name val="Arial"/>
      <b val="1"/>
      <color rgb="001A1A1A"/>
      <sz val="11"/>
    </font>
    <font>
      <name val="Arial"/>
      <i val="1"/>
      <color rgb="0030414A"/>
      <sz val="9"/>
    </font>
  </fonts>
  <fills count="9">
    <fill>
      <patternFill/>
    </fill>
    <fill>
      <patternFill patternType="gray125"/>
    </fill>
    <fill>
      <patternFill patternType="solid">
        <fgColor rgb="001C5A66"/>
      </patternFill>
    </fill>
    <fill>
      <patternFill patternType="solid">
        <fgColor rgb="00EDF4F5"/>
      </patternFill>
    </fill>
    <fill>
      <patternFill patternType="solid">
        <fgColor rgb="00FFF6D5"/>
      </patternFill>
    </fill>
    <fill>
      <patternFill patternType="solid">
        <fgColor rgb="00CFE0E4"/>
      </patternFill>
    </fill>
    <fill>
      <patternFill patternType="solid">
        <fgColor rgb="00D9E7EA"/>
      </patternFill>
    </fill>
    <fill>
      <patternFill patternType="solid">
        <fgColor rgb="000B2E3C"/>
      </patternFill>
    </fill>
    <fill>
      <patternFill patternType="solid">
        <fgColor rgb="00E8A87C"/>
      </patternFill>
    </fill>
  </fills>
  <borders count="6">
    <border>
      <left/>
      <right/>
      <top/>
      <bottom/>
      <diagonal/>
    </border>
    <border>
      <left style="thin">
        <color rgb="00B8C9CC"/>
      </left>
      <right style="thin">
        <color rgb="00B8C9CC"/>
      </right>
      <top style="thin">
        <color rgb="00B8C9CC"/>
      </top>
      <bottom style="thin">
        <color rgb="00B8C9CC"/>
      </bottom>
    </border>
    <border>
      <left/>
      <right/>
      <top style="thin">
        <color rgb="00B8C9CC"/>
      </top>
      <bottom/>
      <diagonal/>
    </border>
    <border>
      <left/>
      <right style="thin">
        <color rgb="00B8C9CC"/>
      </right>
      <top style="thin">
        <color rgb="00B8C9CC"/>
      </top>
      <bottom/>
      <diagonal/>
    </border>
    <border>
      <left/>
      <right/>
      <top style="thin">
        <color rgb="00B8C9CC"/>
      </top>
      <bottom style="thin">
        <color rgb="00B8C9CC"/>
      </bottom>
      <diagonal/>
    </border>
    <border>
      <left/>
      <right style="thin">
        <color rgb="00B8C9CC"/>
      </right>
      <top style="thin">
        <color rgb="00B8C9CC"/>
      </top>
      <bottom style="thin">
        <color rgb="00B8C9CC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0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4" fillId="2" borderId="0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165" fontId="19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5" fontId="15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5" fontId="21" fillId="8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165" fontId="7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/>
    </xf>
    <xf numFmtId="9" fontId="17" fillId="4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right" vertical="center"/>
    </xf>
    <xf numFmtId="165" fontId="19" fillId="3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65" fontId="20" fillId="2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165" fontId="4" fillId="0" borderId="1" pivotButton="0" quotePrefix="0" xfId="0"/>
    <xf numFmtId="9" fontId="0" fillId="0" borderId="1" applyAlignment="1" pivotButton="0" quotePrefix="0" xfId="0">
      <alignment horizontal="center" vertical="center"/>
    </xf>
    <xf numFmtId="165" fontId="0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165" fontId="4" fillId="3" borderId="1" pivotButton="0" quotePrefix="0" xfId="0"/>
    <xf numFmtId="9" fontId="0" fillId="3" borderId="1" applyAlignment="1" pivotButton="0" quotePrefix="0" xfId="0">
      <alignment horizontal="center" vertical="center"/>
    </xf>
    <xf numFmtId="165" fontId="0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165" fontId="7" fillId="0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5" fontId="7" fillId="5" borderId="1" pivotButton="0" quotePrefix="0" xfId="0"/>
    <xf numFmtId="0" fontId="7" fillId="4" borderId="1" applyAlignment="1" pivotButton="0" quotePrefix="0" xfId="0">
      <alignment horizontal="left" vertical="center" wrapText="1"/>
    </xf>
    <xf numFmtId="165" fontId="4" fillId="4" borderId="1" pivotButton="0" quotePrefix="0" xfId="0"/>
    <xf numFmtId="165" fontId="7" fillId="4" borderId="1" pivotButton="0" quotePrefix="0" xfId="0"/>
    <xf numFmtId="0" fontId="8" fillId="6" borderId="1" applyAlignment="1" pivotButton="0" quotePrefix="0" xfId="0">
      <alignment horizontal="left" vertical="center" wrapText="1"/>
    </xf>
    <xf numFmtId="165" fontId="7" fillId="6" borderId="1" pivotButton="0" quotePrefix="0" xfId="0"/>
    <xf numFmtId="0" fontId="7" fillId="6" borderId="1" applyAlignment="1" pivotButton="0" quotePrefix="0" xfId="0">
      <alignment horizontal="left" vertical="center" wrapText="1"/>
    </xf>
    <xf numFmtId="165" fontId="4" fillId="6" borderId="1" pivotButton="0" quotePrefix="0" xfId="0"/>
    <xf numFmtId="165" fontId="7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5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26" customWidth="1" min="3" max="3"/>
    <col width="8" customWidth="1" min="4" max="4"/>
    <col width="11" customWidth="1" min="5" max="5"/>
    <col width="11" customWidth="1" min="6" max="6"/>
    <col width="16" customWidth="1" min="7" max="7"/>
    <col width="14" customWidth="1" min="8" max="8"/>
    <col width="14" customWidth="1" min="9" max="9"/>
  </cols>
  <sheetData>
    <row r="2" ht="32" customHeight="1">
      <c r="B2" s="1" t="inlineStr">
        <is>
          <t>Ampol Retail  —  TDD Cost Calculator</t>
        </is>
      </c>
      <c r="C2" s="2" t="n"/>
      <c r="D2" s="2" t="n"/>
      <c r="E2" s="2" t="n"/>
      <c r="F2" s="2" t="n"/>
      <c r="G2" s="2" t="n"/>
      <c r="H2" s="2" t="n"/>
      <c r="I2" s="2" t="n"/>
    </row>
    <row r="3" ht="22" customHeight="1">
      <c r="B3" s="3" t="inlineStr">
        <is>
          <t>Cost build-up: Squad → Platform → Portfolio, split into TDD-funded and Other. Compared against the TDD lights-on budget to reveal the funding gap.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B4" s="5" t="inlineStr">
        <is>
          <t>All figures $m per annum • FY2026 • Cells shaded yellow with blue text are your selections</t>
        </is>
      </c>
    </row>
    <row r="6" ht="46" customHeight="1">
      <c r="B6" s="6" t="inlineStr">
        <is>
          <t>HOW TO USE  —  For each squad choose: ①Squad Type  ②Size (XS/S/M/L)  ③On/Off (Onshore or Offshore)  ④Support %.  Total Squad Cost is looked up from the Squads sheet; Cost TDD = Total × Support %; Cost Other = Total × (1 − Support %). Platforms add a $0.165m overhead; the Portfolio adds a $0.6945m overhead. Support-% options are 0 / 20% / 100%.</t>
        </is>
      </c>
      <c r="C6" s="7" t="n"/>
      <c r="D6" s="7" t="n"/>
      <c r="E6" s="7" t="n"/>
      <c r="F6" s="7" t="n"/>
      <c r="G6" s="7" t="n"/>
      <c r="H6" s="7" t="n"/>
      <c r="I6" s="7" t="n"/>
    </row>
    <row r="8" ht="22" customHeight="1">
      <c r="B8" s="8" t="inlineStr">
        <is>
          <t>①  PORTFOLIO SUMMARY  —  Ampol Retail</t>
        </is>
      </c>
      <c r="C8" s="4" t="n"/>
      <c r="D8" s="4" t="n"/>
      <c r="E8" s="4" t="n"/>
      <c r="F8" s="4" t="n"/>
      <c r="G8" s="4" t="n"/>
      <c r="H8" s="4" t="n"/>
      <c r="I8" s="4" t="n"/>
    </row>
    <row r="9">
      <c r="B9" s="9" t="inlineStr">
        <is>
          <t>Cost component</t>
        </is>
      </c>
      <c r="C9" s="10" t="n"/>
      <c r="D9" s="10" t="n"/>
      <c r="E9" s="10" t="n"/>
      <c r="F9" s="11" t="n"/>
      <c r="G9" s="9" t="inlineStr">
        <is>
          <t>Total ($m)</t>
        </is>
      </c>
      <c r="H9" s="9" t="inlineStr">
        <is>
          <t>TDD ($m)</t>
        </is>
      </c>
      <c r="I9" s="9" t="inlineStr">
        <is>
          <t>Other ($m)</t>
        </is>
      </c>
    </row>
    <row r="10">
      <c r="B10" s="12" t="inlineStr">
        <is>
          <t>Total Portfolio Overhead</t>
        </is>
      </c>
      <c r="C10" s="13" t="n"/>
      <c r="D10" s="13" t="n"/>
      <c r="E10" s="13" t="n"/>
      <c r="F10" s="13" t="n"/>
      <c r="G10" s="14">
        <f>H10+I10</f>
        <v>0.6945</v>
      </c>
      <c r="H10" s="15">
        <f>'Data Config'!$K$11</f>
        <v>0.6945</v>
      </c>
      <c r="I10" s="16" t="inlineStr">
        <is>
          <t>0</t>
        </is>
      </c>
    </row>
    <row r="11">
      <c r="B11" s="12" t="inlineStr">
        <is>
          <t>Total Platform Overhead</t>
        </is>
      </c>
      <c r="C11" s="13" t="n"/>
      <c r="D11" s="13" t="n"/>
      <c r="E11" s="13" t="n"/>
      <c r="F11" s="13" t="n"/>
      <c r="G11" s="14">
        <f>H11+I11</f>
        <v>0.8250000000000001</v>
      </c>
      <c r="H11" s="16">
        <f>H35+H42+H49+H56+H63</f>
        <v>0.8250000000000001</v>
      </c>
      <c r="I11" s="16" t="inlineStr">
        <is>
          <t>0</t>
        </is>
      </c>
    </row>
    <row r="12">
      <c r="B12" s="12" t="inlineStr">
        <is>
          <t>Total Support Costs</t>
        </is>
      </c>
      <c r="C12" s="13" t="n"/>
      <c r="D12" s="13" t="n"/>
      <c r="E12" s="13" t="n"/>
      <c r="F12" s="13" t="n"/>
      <c r="G12" s="14">
        <f>H12+I12</f>
        <v>13.4</v>
      </c>
      <c r="H12" s="16">
        <f>H36+H43+H50+H57+H64</f>
        <v>2.68</v>
      </c>
      <c r="I12" s="16">
        <f>I36+I43+I50+I57+I64</f>
        <v>10.72</v>
      </c>
    </row>
    <row r="13">
      <c r="B13" s="17" t="inlineStr">
        <is>
          <t>TOTAL COST</t>
        </is>
      </c>
      <c r="C13" s="18" t="n"/>
      <c r="D13" s="18" t="n"/>
      <c r="E13" s="18" t="n"/>
      <c r="F13" s="18" t="n"/>
      <c r="G13" s="19">
        <f>H13+I13</f>
        <v>14.919500000000001</v>
      </c>
      <c r="H13" s="19">
        <f>SUM(H10:H12)</f>
        <v>4.1995000000000005</v>
      </c>
      <c r="I13" s="19">
        <f>SUM(I10:I12)</f>
        <v>10.72</v>
      </c>
    </row>
    <row r="15" ht="22" customHeight="1">
      <c r="B15" s="8" t="inlineStr">
        <is>
          <t>②  BUDGET &amp; VARIANCE  —  TDD Lights-On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12" t="inlineStr">
        <is>
          <t>TDD Lights-On Budget  (Ampol Retail — Data Config)</t>
        </is>
      </c>
      <c r="C16" s="13" t="n"/>
      <c r="D16" s="13" t="n"/>
      <c r="E16" s="13" t="n"/>
      <c r="F16" s="13" t="n"/>
      <c r="G16" s="13" t="n"/>
      <c r="H16" s="15">
        <f>'Data Config'!$E$12</f>
        <v>2.5</v>
      </c>
      <c r="I16" s="13" t="n"/>
    </row>
    <row r="17">
      <c r="B17" s="12" t="inlineStr">
        <is>
          <t>TDD Cost implied by squad selections  (Total TDD above)</t>
        </is>
      </c>
      <c r="C17" s="13" t="n"/>
      <c r="D17" s="13" t="n"/>
      <c r="E17" s="13" t="n"/>
      <c r="F17" s="13" t="n"/>
      <c r="G17" s="13" t="n"/>
      <c r="H17" s="16">
        <f>H13</f>
        <v>4.1995000000000005</v>
      </c>
      <c r="I17" s="13" t="n"/>
    </row>
    <row r="18">
      <c r="B18" s="20" t="inlineStr">
        <is>
          <t>VARIANCE  (Budget − TDD Cost)   →   surplus / (shortfall to fund)</t>
        </is>
      </c>
      <c r="C18" s="21" t="n"/>
      <c r="D18" s="21" t="n"/>
      <c r="E18" s="21" t="n"/>
      <c r="F18" s="21" t="n"/>
      <c r="G18" s="21" t="n"/>
      <c r="H18" s="22">
        <f>H16-H17</f>
        <v>-1.6995000000000005</v>
      </c>
      <c r="I18" s="21" t="n"/>
    </row>
    <row r="19">
      <c r="B19" s="23" t="str">
        <f>IF(H18&gt;=0,"✔ Surplus of $"&amp;TEXT(H18,"0.00")&amp;"m within the TDD lights-on allocation.","✘ Shortfall of $"&amp;TEXT(-H18,"0.00")&amp;"m — additional funding required beyond the $"&amp;TEXT(H16,"0.0")&amp;"m TDD lights-on budget.")</f>
        <v>✘ Shortfall of $1.70m — additional funding required beyond the $2.5m TDD lights-on budget.</v>
      </c>
    </row>
    <row r="21" ht="22" customHeight="1">
      <c r="B21" s="8" t="inlineStr">
        <is>
          <t>③  FY2026 RETAIL BUDGET  (envelope from the presentation pack)</t>
        </is>
      </c>
      <c r="C21" s="4" t="n"/>
      <c r="D21" s="4" t="n"/>
      <c r="E21" s="4" t="n"/>
      <c r="F21" s="4" t="n"/>
      <c r="G21" s="4" t="n"/>
      <c r="H21" s="4" t="n"/>
      <c r="I21" s="4" t="n"/>
    </row>
    <row r="22">
      <c r="B22" s="9" t="inlineStr">
        <is>
          <t>Lights On</t>
        </is>
      </c>
      <c r="C22" s="11" t="n"/>
      <c r="D22" s="9" t="inlineStr">
        <is>
          <t>Initiatives (Project OpEx)</t>
        </is>
      </c>
      <c r="E22" s="9" t="inlineStr">
        <is>
          <t>Depreciation</t>
        </is>
      </c>
      <c r="F22" s="9" t="inlineStr">
        <is>
          <t>Significant Items</t>
        </is>
      </c>
      <c r="G22" s="9" t="inlineStr">
        <is>
          <t>CapEx</t>
        </is>
      </c>
      <c r="H22" s="24" t="n"/>
      <c r="I22" s="9" t="inlineStr">
        <is>
          <t>Total FY26</t>
        </is>
      </c>
    </row>
    <row r="23">
      <c r="B23" s="15">
        <f>'FY26 Budget'!C6</f>
        <v>13.925855</v>
      </c>
      <c r="C23" s="13" t="n"/>
      <c r="D23" s="15">
        <f>'FY26 Budget'!D6</f>
        <v>1.31</v>
      </c>
      <c r="E23" s="15">
        <f>'FY26 Budget'!E6</f>
        <v>0.0</v>
      </c>
      <c r="F23" s="15">
        <f>'FY26 Budget'!F6</f>
        <v>6.845</v>
      </c>
      <c r="G23" s="15">
        <f>'FY26 Budget'!G6</f>
        <v>11.8</v>
      </c>
      <c r="H23" s="13" t="n"/>
      <c r="I23" s="25">
        <f>'FY26 Budget'!H6</f>
        <v>33.880855</v>
      </c>
    </row>
    <row r="24" ht="26" customHeight="1">
      <c r="B24" s="26" t="inlineStr">
        <is>
          <t>Note: The TDD Lights-On budget used for the variance above ($2.5m) is the TDD-funded lights-on allocation for Ampol Retail from Data Config; the table above is the full FY26 Retail technology envelope for context.</t>
        </is>
      </c>
    </row>
    <row r="27" ht="22" customHeight="1">
      <c r="B27" s="8" t="inlineStr">
        <is>
          <t>④  PLATFORM DETAIL  —  select squad type, size, shore &amp; support for every squad</t>
        </is>
      </c>
      <c r="C27" s="4" t="n"/>
      <c r="D27" s="4" t="n"/>
      <c r="E27" s="4" t="n"/>
      <c r="F27" s="4" t="n"/>
      <c r="G27" s="4" t="n"/>
      <c r="H27" s="4" t="n"/>
      <c r="I27" s="4" t="n"/>
    </row>
    <row r="29" ht="20" customHeight="1">
      <c r="B29" s="27" t="inlineStr">
        <is>
          <t>Platform 1  —  Store Operations</t>
        </is>
      </c>
      <c r="C29" s="2" t="n"/>
      <c r="D29" s="2" t="n"/>
      <c r="E29" s="2" t="n"/>
      <c r="F29" s="2" t="n"/>
      <c r="G29" s="2" t="n"/>
      <c r="H29" s="2" t="n"/>
      <c r="I29" s="2" t="n"/>
    </row>
    <row r="30" ht="26" customHeight="1">
      <c r="B30" s="9" t="inlineStr">
        <is>
          <t>Squad</t>
        </is>
      </c>
      <c r="C30" s="9" t="inlineStr">
        <is>
          <t>Squad Type</t>
        </is>
      </c>
      <c r="D30" s="9" t="inlineStr">
        <is>
          <t>Size</t>
        </is>
      </c>
      <c r="E30" s="9" t="inlineStr">
        <is>
          <t>On/Off</t>
        </is>
      </c>
      <c r="F30" s="9" t="inlineStr">
        <is>
          <t>Support %</t>
        </is>
      </c>
      <c r="G30" s="9" t="inlineStr">
        <is>
          <t>Total Squad Cost ($m)</t>
        </is>
      </c>
      <c r="H30" s="9" t="inlineStr">
        <is>
          <t>Cost TDD ($m)</t>
        </is>
      </c>
      <c r="I30" s="9" t="inlineStr">
        <is>
          <t>Cost Other ($m)</t>
        </is>
      </c>
    </row>
    <row r="31">
      <c r="B31" s="12" t="inlineStr">
        <is>
          <t>POS</t>
        </is>
      </c>
      <c r="C31" s="28" t="inlineStr">
        <is>
          <t>Configuration / Integration</t>
        </is>
      </c>
      <c r="D31" s="29" t="inlineStr">
        <is>
          <t>M</t>
        </is>
      </c>
      <c r="E31" s="29" t="inlineStr">
        <is>
          <t>Onshore</t>
        </is>
      </c>
      <c r="F31" s="30" t="n">
        <v>0.2</v>
      </c>
      <c r="G31" s="16">
        <f>IFERROR(IF($E31="Offshore",INDEX(Squads!$H$6:$H$24,MATCH($C31&amp;"|"&amp;$D31,Squads!$J$6:$J$24,0)),INDEX(Squads!$F$6:$F$24,MATCH($C31&amp;"|"&amp;$D31,Squads!$J$6:$J$24,0))),0)</f>
        <v>1.4</v>
      </c>
      <c r="H31" s="16">
        <f>G31*F31</f>
        <v>0.27999999999999997</v>
      </c>
      <c r="I31" s="16">
        <f>G31*(1-F31)</f>
        <v>1.1199999999999999</v>
      </c>
    </row>
    <row r="32">
      <c r="B32" s="12" t="inlineStr">
        <is>
          <t>Payments</t>
        </is>
      </c>
      <c r="C32" s="28" t="inlineStr">
        <is>
          <t>Configuration / Integration</t>
        </is>
      </c>
      <c r="D32" s="29" t="inlineStr">
        <is>
          <t>S</t>
        </is>
      </c>
      <c r="E32" s="29" t="inlineStr">
        <is>
          <t>Onshore</t>
        </is>
      </c>
      <c r="F32" s="30" t="n">
        <v>0.2</v>
      </c>
      <c r="G32" s="16">
        <f>IFERROR(IF($E32="Offshore",INDEX(Squads!$H$6:$H$24,MATCH($C32&amp;"|"&amp;$D32,Squads!$J$6:$J$24,0)),INDEX(Squads!$F$6:$F$24,MATCH($C32&amp;"|"&amp;$D32,Squads!$J$6:$J$24,0))),0)</f>
        <v>0.4</v>
      </c>
      <c r="H32" s="16">
        <f>G32*F32</f>
        <v>0.08000000000000002</v>
      </c>
      <c r="I32" s="16">
        <f>G32*(1-F32)</f>
        <v>0.32000000000000006</v>
      </c>
    </row>
    <row r="33">
      <c r="B33" s="12" t="inlineStr">
        <is>
          <t>Retail Operations</t>
        </is>
      </c>
      <c r="C33" s="28" t="inlineStr">
        <is>
          <t>Operations</t>
        </is>
      </c>
      <c r="D33" s="29" t="inlineStr">
        <is>
          <t>M</t>
        </is>
      </c>
      <c r="E33" s="29" t="inlineStr">
        <is>
          <t>Onshore</t>
        </is>
      </c>
      <c r="F33" s="30" t="n">
        <v>0.2</v>
      </c>
      <c r="G33" s="16">
        <f>IFERROR(IF($E33="Offshore",INDEX(Squads!$H$6:$H$24,MATCH($C33&amp;"|"&amp;$D33,Squads!$J$6:$J$24,0)),INDEX(Squads!$F$6:$F$24,MATCH($C33&amp;"|"&amp;$D33,Squads!$J$6:$J$24,0))),0)</f>
        <v>1.4</v>
      </c>
      <c r="H33" s="16">
        <f>G33*F33</f>
        <v>0.27999999999999997</v>
      </c>
      <c r="I33" s="16">
        <f>G33*(1-F33)</f>
        <v>1.1199999999999999</v>
      </c>
    </row>
    <row r="34">
      <c r="B34" s="12" t="inlineStr">
        <is>
          <t>Deployment</t>
        </is>
      </c>
      <c r="C34" s="28" t="inlineStr">
        <is>
          <t>Build and Run</t>
        </is>
      </c>
      <c r="D34" s="29" t="inlineStr">
        <is>
          <t>S</t>
        </is>
      </c>
      <c r="E34" s="29" t="inlineStr">
        <is>
          <t>Onshore</t>
        </is>
      </c>
      <c r="F34" s="30" t="n">
        <v>0.2</v>
      </c>
      <c r="G34" s="16">
        <f>IFERROR(IF($E34="Offshore",INDEX(Squads!$H$6:$H$24,MATCH($C34&amp;"|"&amp;$D34,Squads!$J$6:$J$24,0)),INDEX(Squads!$F$6:$F$24,MATCH($C34&amp;"|"&amp;$D34,Squads!$J$6:$J$24,0))),0)</f>
        <v>0.9</v>
      </c>
      <c r="H34" s="16">
        <f>G34*F34</f>
        <v>0.18000000000000002</v>
      </c>
      <c r="I34" s="16">
        <f>G34*(1-F34)</f>
        <v>0.7200000000000001</v>
      </c>
    </row>
    <row r="35">
      <c r="B35" s="31" t="inlineStr">
        <is>
          <t>Platform Overhead (TDD-funded)</t>
        </is>
      </c>
      <c r="C35" s="7" t="n"/>
      <c r="D35" s="7" t="n"/>
      <c r="E35" s="7" t="n"/>
      <c r="F35" s="7" t="n"/>
      <c r="G35" s="32">
        <f>H35+I35</f>
        <v>0.165</v>
      </c>
      <c r="H35" s="33">
        <f>'Data Config'!$K$16</f>
        <v>0.165</v>
      </c>
      <c r="I35" s="32" t="n">
        <v>0</v>
      </c>
    </row>
    <row r="36">
      <c r="B36" s="31" t="inlineStr">
        <is>
          <t>Support Cost  (Σ squads)</t>
        </is>
      </c>
      <c r="C36" s="7" t="n"/>
      <c r="D36" s="7" t="n"/>
      <c r="E36" s="7" t="n"/>
      <c r="F36" s="7" t="n"/>
      <c r="G36" s="32">
        <f>H36+I36</f>
        <v>4.1</v>
      </c>
      <c r="H36" s="32">
        <f>SUM(H31:H34)</f>
        <v>0.82</v>
      </c>
      <c r="I36" s="32">
        <f>SUM(I31:I34)</f>
        <v>3.28</v>
      </c>
    </row>
    <row r="37">
      <c r="B37" s="34" t="inlineStr">
        <is>
          <t>PLATFORM TOTAL — Store Operations</t>
        </is>
      </c>
      <c r="C37" s="35" t="n"/>
      <c r="D37" s="35" t="n"/>
      <c r="E37" s="35" t="n"/>
      <c r="F37" s="35" t="n"/>
      <c r="G37" s="36">
        <f>H37+I37</f>
        <v>4.265</v>
      </c>
      <c r="H37" s="36">
        <f>H35+H36</f>
        <v>0.985</v>
      </c>
      <c r="I37" s="36">
        <f>I35+I36</f>
        <v>3.28</v>
      </c>
    </row>
    <row r="39" ht="20" customHeight="1">
      <c r="B39" s="27" t="inlineStr">
        <is>
          <t>Platform 2  —  Merchandising / Supply Chain</t>
        </is>
      </c>
      <c r="C39" s="2" t="n"/>
      <c r="D39" s="2" t="n"/>
      <c r="E39" s="2" t="n"/>
      <c r="F39" s="2" t="n"/>
      <c r="G39" s="2" t="n"/>
      <c r="H39" s="2" t="n"/>
      <c r="I39" s="2" t="n"/>
    </row>
    <row r="40" ht="26" customHeight="1">
      <c r="B40" s="9" t="inlineStr">
        <is>
          <t>Squad</t>
        </is>
      </c>
      <c r="C40" s="9" t="inlineStr">
        <is>
          <t>Squad Type</t>
        </is>
      </c>
      <c r="D40" s="9" t="inlineStr">
        <is>
          <t>Size</t>
        </is>
      </c>
      <c r="E40" s="9" t="inlineStr">
        <is>
          <t>On/Off</t>
        </is>
      </c>
      <c r="F40" s="9" t="inlineStr">
        <is>
          <t>Support %</t>
        </is>
      </c>
      <c r="G40" s="9" t="inlineStr">
        <is>
          <t>Total Squad Cost ($m)</t>
        </is>
      </c>
      <c r="H40" s="9" t="inlineStr">
        <is>
          <t>Cost TDD ($m)</t>
        </is>
      </c>
      <c r="I40" s="9" t="inlineStr">
        <is>
          <t>Cost Other ($m)</t>
        </is>
      </c>
    </row>
    <row r="41">
      <c r="B41" s="12" t="inlineStr">
        <is>
          <t>Merchandising &amp; Supply Chain</t>
        </is>
      </c>
      <c r="C41" s="28" t="inlineStr">
        <is>
          <t>Engineering</t>
        </is>
      </c>
      <c r="D41" s="29" t="inlineStr">
        <is>
          <t>M</t>
        </is>
      </c>
      <c r="E41" s="29" t="inlineStr">
        <is>
          <t>Onshore</t>
        </is>
      </c>
      <c r="F41" s="30" t="n">
        <v>0.2</v>
      </c>
      <c r="G41" s="16">
        <f>IFERROR(IF($E41="Offshore",INDEX(Squads!$H$6:$H$24,MATCH($C41&amp;"|"&amp;$D41,Squads!$J$6:$J$24,0)),INDEX(Squads!$F$6:$F$24,MATCH($C41&amp;"|"&amp;$D41,Squads!$J$6:$J$24,0))),0)</f>
        <v>2.0</v>
      </c>
      <c r="H41" s="16">
        <f>G41*F41</f>
        <v>0.4</v>
      </c>
      <c r="I41" s="16">
        <f>G41*(1-F41)</f>
        <v>1.6</v>
      </c>
    </row>
    <row r="42">
      <c r="B42" s="31" t="inlineStr">
        <is>
          <t>Platform Overhead (TDD-funded)</t>
        </is>
      </c>
      <c r="C42" s="7" t="n"/>
      <c r="D42" s="7" t="n"/>
      <c r="E42" s="7" t="n"/>
      <c r="F42" s="7" t="n"/>
      <c r="G42" s="32">
        <f>H42+I42</f>
        <v>0.165</v>
      </c>
      <c r="H42" s="33">
        <f>'Data Config'!$K$16</f>
        <v>0.165</v>
      </c>
      <c r="I42" s="32" t="n">
        <v>0</v>
      </c>
    </row>
    <row r="43">
      <c r="B43" s="31" t="inlineStr">
        <is>
          <t>Support Cost  (Σ squads)</t>
        </is>
      </c>
      <c r="C43" s="7" t="n"/>
      <c r="D43" s="7" t="n"/>
      <c r="E43" s="7" t="n"/>
      <c r="F43" s="7" t="n"/>
      <c r="G43" s="32">
        <f>H43+I43</f>
        <v>2.0</v>
      </c>
      <c r="H43" s="32">
        <f>SUM(H41:H41)</f>
        <v>0.4</v>
      </c>
      <c r="I43" s="32">
        <f>SUM(I41:I41)</f>
        <v>1.6</v>
      </c>
    </row>
    <row r="44">
      <c r="B44" s="34" t="inlineStr">
        <is>
          <t>PLATFORM TOTAL — Merchandising / Supply Chain</t>
        </is>
      </c>
      <c r="C44" s="35" t="n"/>
      <c r="D44" s="35" t="n"/>
      <c r="E44" s="35" t="n"/>
      <c r="F44" s="35" t="n"/>
      <c r="G44" s="36">
        <f>H44+I44</f>
        <v>2.165</v>
      </c>
      <c r="H44" s="36">
        <f>H42+H43</f>
        <v>0.5650000000000001</v>
      </c>
      <c r="I44" s="36">
        <f>I42+I43</f>
        <v>1.6</v>
      </c>
    </row>
    <row r="46" ht="20" customHeight="1">
      <c r="B46" s="27" t="inlineStr">
        <is>
          <t>Platform 3  —  Pricing &amp; WFM</t>
        </is>
      </c>
      <c r="C46" s="2" t="n"/>
      <c r="D46" s="2" t="n"/>
      <c r="E46" s="2" t="n"/>
      <c r="F46" s="2" t="n"/>
      <c r="G46" s="2" t="n"/>
      <c r="H46" s="2" t="n"/>
      <c r="I46" s="2" t="n"/>
    </row>
    <row r="47" ht="26" customHeight="1">
      <c r="B47" s="9" t="inlineStr">
        <is>
          <t>Squad</t>
        </is>
      </c>
      <c r="C47" s="9" t="inlineStr">
        <is>
          <t>Squad Type</t>
        </is>
      </c>
      <c r="D47" s="9" t="inlineStr">
        <is>
          <t>Size</t>
        </is>
      </c>
      <c r="E47" s="9" t="inlineStr">
        <is>
          <t>On/Off</t>
        </is>
      </c>
      <c r="F47" s="9" t="inlineStr">
        <is>
          <t>Support %</t>
        </is>
      </c>
      <c r="G47" s="9" t="inlineStr">
        <is>
          <t>Total Squad Cost ($m)</t>
        </is>
      </c>
      <c r="H47" s="9" t="inlineStr">
        <is>
          <t>Cost TDD ($m)</t>
        </is>
      </c>
      <c r="I47" s="9" t="inlineStr">
        <is>
          <t>Cost Other ($m)</t>
        </is>
      </c>
    </row>
    <row r="48">
      <c r="B48" s="12" t="inlineStr">
        <is>
          <t>Pricing &amp; WFM</t>
        </is>
      </c>
      <c r="C48" s="28" t="inlineStr">
        <is>
          <t>Product</t>
        </is>
      </c>
      <c r="D48" s="29" t="inlineStr">
        <is>
          <t>M</t>
        </is>
      </c>
      <c r="E48" s="29" t="inlineStr">
        <is>
          <t>Onshore</t>
        </is>
      </c>
      <c r="F48" s="30" t="n">
        <v>0.2</v>
      </c>
      <c r="G48" s="16">
        <f>IFERROR(IF($E48="Offshore",INDEX(Squads!$H$6:$H$24,MATCH($C48&amp;"|"&amp;$D48,Squads!$J$6:$J$24,0)),INDEX(Squads!$F$6:$F$24,MATCH($C48&amp;"|"&amp;$D48,Squads!$J$6:$J$24,0))),0)</f>
        <v>1.9</v>
      </c>
      <c r="H48" s="16">
        <f>G48*F48</f>
        <v>0.38</v>
      </c>
      <c r="I48" s="16">
        <f>G48*(1-F48)</f>
        <v>1.52</v>
      </c>
    </row>
    <row r="49">
      <c r="B49" s="31" t="inlineStr">
        <is>
          <t>Platform Overhead (TDD-funded)</t>
        </is>
      </c>
      <c r="C49" s="7" t="n"/>
      <c r="D49" s="7" t="n"/>
      <c r="E49" s="7" t="n"/>
      <c r="F49" s="7" t="n"/>
      <c r="G49" s="32">
        <f>H49+I49</f>
        <v>0.165</v>
      </c>
      <c r="H49" s="33">
        <f>'Data Config'!$K$16</f>
        <v>0.165</v>
      </c>
      <c r="I49" s="32" t="n">
        <v>0</v>
      </c>
    </row>
    <row r="50">
      <c r="B50" s="31" t="inlineStr">
        <is>
          <t>Support Cost  (Σ squads)</t>
        </is>
      </c>
      <c r="C50" s="7" t="n"/>
      <c r="D50" s="7" t="n"/>
      <c r="E50" s="7" t="n"/>
      <c r="F50" s="7" t="n"/>
      <c r="G50" s="32">
        <f>H50+I50</f>
        <v>1.9</v>
      </c>
      <c r="H50" s="32">
        <f>SUM(H48:H48)</f>
        <v>0.38</v>
      </c>
      <c r="I50" s="32">
        <f>SUM(I48:I48)</f>
        <v>1.52</v>
      </c>
    </row>
    <row r="51">
      <c r="B51" s="34" t="inlineStr">
        <is>
          <t>PLATFORM TOTAL — Pricing &amp; WFM</t>
        </is>
      </c>
      <c r="C51" s="35" t="n"/>
      <c r="D51" s="35" t="n"/>
      <c r="E51" s="35" t="n"/>
      <c r="F51" s="35" t="n"/>
      <c r="G51" s="36">
        <f>H51+I51</f>
        <v>2.065</v>
      </c>
      <c r="H51" s="36">
        <f>H49+H50</f>
        <v>0.545</v>
      </c>
      <c r="I51" s="36">
        <f>I49+I50</f>
        <v>1.52</v>
      </c>
    </row>
    <row r="53" ht="20" customHeight="1">
      <c r="B53" s="27" t="inlineStr">
        <is>
          <t>Platform 4  —  AmPOS</t>
        </is>
      </c>
      <c r="C53" s="2" t="n"/>
      <c r="D53" s="2" t="n"/>
      <c r="E53" s="2" t="n"/>
      <c r="F53" s="2" t="n"/>
      <c r="G53" s="2" t="n"/>
      <c r="H53" s="2" t="n"/>
      <c r="I53" s="2" t="n"/>
    </row>
    <row r="54" ht="26" customHeight="1">
      <c r="B54" s="9" t="inlineStr">
        <is>
          <t>Squad</t>
        </is>
      </c>
      <c r="C54" s="9" t="inlineStr">
        <is>
          <t>Squad Type</t>
        </is>
      </c>
      <c r="D54" s="9" t="inlineStr">
        <is>
          <t>Size</t>
        </is>
      </c>
      <c r="E54" s="9" t="inlineStr">
        <is>
          <t>On/Off</t>
        </is>
      </c>
      <c r="F54" s="9" t="inlineStr">
        <is>
          <t>Support %</t>
        </is>
      </c>
      <c r="G54" s="9" t="inlineStr">
        <is>
          <t>Total Squad Cost ($m)</t>
        </is>
      </c>
      <c r="H54" s="9" t="inlineStr">
        <is>
          <t>Cost TDD ($m)</t>
        </is>
      </c>
      <c r="I54" s="9" t="inlineStr">
        <is>
          <t>Cost Other ($m)</t>
        </is>
      </c>
    </row>
    <row r="55">
      <c r="B55" s="12" t="inlineStr">
        <is>
          <t>AmPOS</t>
        </is>
      </c>
      <c r="C55" s="28" t="inlineStr">
        <is>
          <t>Engineering</t>
        </is>
      </c>
      <c r="D55" s="29" t="inlineStr">
        <is>
          <t>L</t>
        </is>
      </c>
      <c r="E55" s="29" t="inlineStr">
        <is>
          <t>Onshore</t>
        </is>
      </c>
      <c r="F55" s="30" t="n">
        <v>0.2</v>
      </c>
      <c r="G55" s="16">
        <f>IFERROR(IF($E55="Offshore",INDEX(Squads!$H$6:$H$24,MATCH($C55&amp;"|"&amp;$D55,Squads!$J$6:$J$24,0)),INDEX(Squads!$F$6:$F$24,MATCH($C55&amp;"|"&amp;$D55,Squads!$J$6:$J$24,0))),0)</f>
        <v>2.7</v>
      </c>
      <c r="H55" s="16">
        <f>G55*F55</f>
        <v>0.54</v>
      </c>
      <c r="I55" s="16">
        <f>G55*(1-F55)</f>
        <v>2.16</v>
      </c>
    </row>
    <row r="56">
      <c r="B56" s="31" t="inlineStr">
        <is>
          <t>Platform Overhead (TDD-funded)</t>
        </is>
      </c>
      <c r="C56" s="7" t="n"/>
      <c r="D56" s="7" t="n"/>
      <c r="E56" s="7" t="n"/>
      <c r="F56" s="7" t="n"/>
      <c r="G56" s="32">
        <f>H56+I56</f>
        <v>0.165</v>
      </c>
      <c r="H56" s="33">
        <f>'Data Config'!$K$16</f>
        <v>0.165</v>
      </c>
      <c r="I56" s="32" t="n">
        <v>0</v>
      </c>
    </row>
    <row r="57">
      <c r="B57" s="31" t="inlineStr">
        <is>
          <t>Support Cost  (Σ squads)</t>
        </is>
      </c>
      <c r="C57" s="7" t="n"/>
      <c r="D57" s="7" t="n"/>
      <c r="E57" s="7" t="n"/>
      <c r="F57" s="7" t="n"/>
      <c r="G57" s="32">
        <f>H57+I57</f>
        <v>2.7</v>
      </c>
      <c r="H57" s="32">
        <f>SUM(H55:H55)</f>
        <v>0.54</v>
      </c>
      <c r="I57" s="32">
        <f>SUM(I55:I55)</f>
        <v>2.16</v>
      </c>
    </row>
    <row r="58">
      <c r="B58" s="34" t="inlineStr">
        <is>
          <t>PLATFORM TOTAL — AmPOS</t>
        </is>
      </c>
      <c r="C58" s="35" t="n"/>
      <c r="D58" s="35" t="n"/>
      <c r="E58" s="35" t="n"/>
      <c r="F58" s="35" t="n"/>
      <c r="G58" s="36">
        <f>H58+I58</f>
        <v>2.865</v>
      </c>
      <c r="H58" s="36">
        <f>H56+H57</f>
        <v>0.7050000000000001</v>
      </c>
      <c r="I58" s="36">
        <f>I56+I57</f>
        <v>2.16</v>
      </c>
    </row>
    <row r="60" ht="20" customHeight="1">
      <c r="B60" s="27" t="inlineStr">
        <is>
          <t>Platform 5  —  Network / QSR</t>
        </is>
      </c>
      <c r="C60" s="2" t="n"/>
      <c r="D60" s="2" t="n"/>
      <c r="E60" s="2" t="n"/>
      <c r="F60" s="2" t="n"/>
      <c r="G60" s="2" t="n"/>
      <c r="H60" s="2" t="n"/>
      <c r="I60" s="2" t="n"/>
    </row>
    <row r="61" ht="26" customHeight="1">
      <c r="B61" s="9" t="inlineStr">
        <is>
          <t>Squad</t>
        </is>
      </c>
      <c r="C61" s="9" t="inlineStr">
        <is>
          <t>Squad Type</t>
        </is>
      </c>
      <c r="D61" s="9" t="inlineStr">
        <is>
          <t>Size</t>
        </is>
      </c>
      <c r="E61" s="9" t="inlineStr">
        <is>
          <t>On/Off</t>
        </is>
      </c>
      <c r="F61" s="9" t="inlineStr">
        <is>
          <t>Support %</t>
        </is>
      </c>
      <c r="G61" s="9" t="inlineStr">
        <is>
          <t>Total Squad Cost ($m)</t>
        </is>
      </c>
      <c r="H61" s="9" t="inlineStr">
        <is>
          <t>Cost TDD ($m)</t>
        </is>
      </c>
      <c r="I61" s="9" t="inlineStr">
        <is>
          <t>Cost Other ($m)</t>
        </is>
      </c>
    </row>
    <row r="62">
      <c r="B62" s="12" t="inlineStr">
        <is>
          <t>Network &amp; QSR</t>
        </is>
      </c>
      <c r="C62" s="28" t="inlineStr">
        <is>
          <t>Engineering</t>
        </is>
      </c>
      <c r="D62" s="29" t="inlineStr">
        <is>
          <t>L</t>
        </is>
      </c>
      <c r="E62" s="29" t="inlineStr">
        <is>
          <t>Onshore</t>
        </is>
      </c>
      <c r="F62" s="30" t="n">
        <v>0.2</v>
      </c>
      <c r="G62" s="16">
        <f>IFERROR(IF($E62="Offshore",INDEX(Squads!$H$6:$H$24,MATCH($C62&amp;"|"&amp;$D62,Squads!$J$6:$J$24,0)),INDEX(Squads!$F$6:$F$24,MATCH($C62&amp;"|"&amp;$D62,Squads!$J$6:$J$24,0))),0)</f>
        <v>2.7</v>
      </c>
      <c r="H62" s="16">
        <f>G62*F62</f>
        <v>0.54</v>
      </c>
      <c r="I62" s="16">
        <f>G62*(1-F62)</f>
        <v>2.16</v>
      </c>
    </row>
    <row r="63">
      <c r="B63" s="31" t="inlineStr">
        <is>
          <t>Platform Overhead (TDD-funded)</t>
        </is>
      </c>
      <c r="C63" s="7" t="n"/>
      <c r="D63" s="7" t="n"/>
      <c r="E63" s="7" t="n"/>
      <c r="F63" s="7" t="n"/>
      <c r="G63" s="32">
        <f>H63+I63</f>
        <v>0.165</v>
      </c>
      <c r="H63" s="33">
        <f>'Data Config'!$K$16</f>
        <v>0.165</v>
      </c>
      <c r="I63" s="32" t="n">
        <v>0</v>
      </c>
    </row>
    <row r="64">
      <c r="B64" s="31" t="inlineStr">
        <is>
          <t>Support Cost  (Σ squads)</t>
        </is>
      </c>
      <c r="C64" s="7" t="n"/>
      <c r="D64" s="7" t="n"/>
      <c r="E64" s="7" t="n"/>
      <c r="F64" s="7" t="n"/>
      <c r="G64" s="32">
        <f>H64+I64</f>
        <v>2.7</v>
      </c>
      <c r="H64" s="32">
        <f>SUM(H62:H62)</f>
        <v>0.54</v>
      </c>
      <c r="I64" s="32">
        <f>SUM(I62:I62)</f>
        <v>2.16</v>
      </c>
    </row>
    <row r="65">
      <c r="B65" s="34" t="inlineStr">
        <is>
          <t>PLATFORM TOTAL — Network / QSR</t>
        </is>
      </c>
      <c r="C65" s="35" t="n"/>
      <c r="D65" s="35" t="n"/>
      <c r="E65" s="35" t="n"/>
      <c r="F65" s="35" t="n"/>
      <c r="G65" s="36">
        <f>H65+I65</f>
        <v>2.865</v>
      </c>
      <c r="H65" s="36">
        <f>H63+H64</f>
        <v>0.7050000000000001</v>
      </c>
      <c r="I65" s="36">
        <f>I63+I64</f>
        <v>2.16</v>
      </c>
    </row>
  </sheetData>
  <mergeCells count="44">
    <mergeCell ref="B17:G17"/>
    <mergeCell ref="B3:I3"/>
    <mergeCell ref="B22:C22"/>
    <mergeCell ref="B46:I46"/>
    <mergeCell ref="B27:I27"/>
    <mergeCell ref="B56:F56"/>
    <mergeCell ref="B58:F58"/>
    <mergeCell ref="B43:F43"/>
    <mergeCell ref="B12:F12"/>
    <mergeCell ref="B21:I21"/>
    <mergeCell ref="B39:I39"/>
    <mergeCell ref="B2:I2"/>
    <mergeCell ref="B42:F42"/>
    <mergeCell ref="B11:F11"/>
    <mergeCell ref="B23:C23"/>
    <mergeCell ref="B60:I60"/>
    <mergeCell ref="B8:I8"/>
    <mergeCell ref="D22"/>
    <mergeCell ref="B57:F57"/>
    <mergeCell ref="B13:F13"/>
    <mergeCell ref="H17:I17"/>
    <mergeCell ref="B44:F44"/>
    <mergeCell ref="B53:I53"/>
    <mergeCell ref="B29:I29"/>
    <mergeCell ref="H16:I16"/>
    <mergeCell ref="B10:F10"/>
    <mergeCell ref="B37:F37"/>
    <mergeCell ref="B19:I19"/>
    <mergeCell ref="B9:F9"/>
    <mergeCell ref="B49:F49"/>
    <mergeCell ref="B65:F65"/>
    <mergeCell ref="B16:G16"/>
    <mergeCell ref="B15:I15"/>
    <mergeCell ref="B64:F64"/>
    <mergeCell ref="B6:I6"/>
    <mergeCell ref="B24:I24"/>
    <mergeCell ref="H18:I18"/>
    <mergeCell ref="B51:F51"/>
    <mergeCell ref="B63:F63"/>
    <mergeCell ref="B18:G18"/>
    <mergeCell ref="B36:F36"/>
    <mergeCell ref="B50:F50"/>
    <mergeCell ref="B4:I4"/>
    <mergeCell ref="B35:F35"/>
  </mergeCells>
  <dataValidations count="4">
    <dataValidation sqref="C31 C32 C33 C34 C41 C48 C55 C62" showDropDown="0" showInputMessage="0" showErrorMessage="0" allowBlank="1" errorTitle="Squad Type" error="Pick a squad type from the list" type="list">
      <formula1>"Engineering,Configuration / Integration,Product,Operations,Enterprise Data and Insights,Build and Run"</formula1>
    </dataValidation>
    <dataValidation sqref="D31 D32 D33 D34 D41 D48 D55 D62" showDropDown="0" showInputMessage="0" showErrorMessage="0" allowBlank="1" type="list">
      <formula1>"XS,S,M,L"</formula1>
    </dataValidation>
    <dataValidation sqref="E31 E32 E33 E34 E41 E48 E55 E62" showDropDown="0" showInputMessage="0" showErrorMessage="0" allowBlank="1" type="list">
      <formula1>"Onshore,Offshore"</formula1>
    </dataValidation>
    <dataValidation sqref="F31 F32 F33 F34 F41 F48 F55 F62" showDropDown="0" showInputMessage="0" showErrorMessage="0" allowBlank="1" type="list">
      <formula1>"0,0.2,1"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7" customWidth="1" min="3" max="3"/>
    <col width="34" customWidth="1" min="4" max="4"/>
    <col width="11" customWidth="1" min="5" max="5"/>
    <col width="16" customWidth="1" min="6" max="6"/>
    <col width="15" customWidth="1" min="7" max="7"/>
    <col width="16" customWidth="1" min="8" max="8"/>
    <col width="15" customWidth="1" min="9" max="9"/>
    <col width="22" customWidth="1" min="10" max="10"/>
  </cols>
  <sheetData>
    <row r="2">
      <c r="B2" s="37" t="inlineStr">
        <is>
          <t>Squad Reference — Cost Library</t>
        </is>
      </c>
    </row>
    <row r="3" ht="28" customHeight="1">
      <c r="B3" s="38" t="inlineStr">
        <is>
          <t>Standard squad archetypes and onshore/offshore cost per squad, per annum ($m). Offshore cost = onshore × offshore efficiency (0.4). The calculator looks up cost by Squad Type + Size.</t>
        </is>
      </c>
    </row>
    <row r="5">
      <c r="B5" s="39" t="inlineStr">
        <is>
          <t>Squad Type</t>
        </is>
      </c>
      <c r="C5" s="39" t="inlineStr">
        <is>
          <t>Size</t>
        </is>
      </c>
      <c r="D5" s="39" t="inlineStr">
        <is>
          <t>Archetype</t>
        </is>
      </c>
      <c r="E5" s="39" t="inlineStr">
        <is>
          <t># of roles</t>
        </is>
      </c>
      <c r="F5" s="39" t="inlineStr">
        <is>
          <t>Cost onshore ($m)</t>
        </is>
      </c>
      <c r="G5" s="39" t="inlineStr">
        <is>
          <t>Offshore efficiency</t>
        </is>
      </c>
      <c r="H5" s="39" t="inlineStr">
        <is>
          <t>Cost offshore ($m)</t>
        </is>
      </c>
      <c r="I5" s="39" t="inlineStr">
        <is>
          <t>Default support %</t>
        </is>
      </c>
      <c r="J5" s="39" t="inlineStr">
        <is>
          <t>Key</t>
        </is>
      </c>
    </row>
    <row r="6">
      <c r="B6" s="12" t="inlineStr">
        <is>
          <t>Engineering</t>
        </is>
      </c>
      <c r="C6" s="40" t="inlineStr">
        <is>
          <t>S</t>
        </is>
      </c>
      <c r="D6" s="41" t="inlineStr">
        <is>
          <t>Lean build squad</t>
        </is>
      </c>
      <c r="E6" s="42" t="n">
        <v>4.5</v>
      </c>
      <c r="F6" s="43" t="n">
        <v>0.8</v>
      </c>
      <c r="G6" s="44" t="n">
        <v>0.4</v>
      </c>
      <c r="H6" s="45">
        <f>F6*G6</f>
        <v>0.32000000000000006</v>
      </c>
      <c r="I6" s="44" t="n">
        <v>0.2</v>
      </c>
      <c r="J6" s="46" t="str">
        <f>B6&amp;"|"&amp;C6</f>
        <v>Engineering|S</v>
      </c>
    </row>
    <row r="7">
      <c r="B7" s="47" t="inlineStr">
        <is>
          <t>Engineering</t>
        </is>
      </c>
      <c r="C7" s="48" t="inlineStr">
        <is>
          <t>M</t>
        </is>
      </c>
      <c r="D7" s="49" t="inlineStr">
        <is>
          <t>Standard Engineering Squad</t>
        </is>
      </c>
      <c r="E7" s="50" t="n">
        <v>9</v>
      </c>
      <c r="F7" s="51" t="n">
        <v>2</v>
      </c>
      <c r="G7" s="52" t="n">
        <v>0.4</v>
      </c>
      <c r="H7" s="53">
        <f>F7*G7</f>
        <v>0.8</v>
      </c>
      <c r="I7" s="52" t="n">
        <v>0.2</v>
      </c>
      <c r="J7" s="54" t="str">
        <f>B7&amp;"|"&amp;C7</f>
        <v>Engineering|M</v>
      </c>
    </row>
    <row r="8">
      <c r="B8" s="12" t="inlineStr">
        <is>
          <t>Engineering</t>
        </is>
      </c>
      <c r="C8" s="40" t="inlineStr">
        <is>
          <t>L</t>
        </is>
      </c>
      <c r="D8" s="41" t="inlineStr">
        <is>
          <t>High-scale squad</t>
        </is>
      </c>
      <c r="E8" s="42" t="n">
        <v>12</v>
      </c>
      <c r="F8" s="43" t="n">
        <v>2.7</v>
      </c>
      <c r="G8" s="44" t="n">
        <v>0.4</v>
      </c>
      <c r="H8" s="45">
        <f>F8*G8</f>
        <v>1.08</v>
      </c>
      <c r="I8" s="44" t="n">
        <v>0.2</v>
      </c>
      <c r="J8" s="46" t="str">
        <f>B8&amp;"|"&amp;C8</f>
        <v>Engineering|L</v>
      </c>
    </row>
    <row r="9">
      <c r="B9" s="47" t="inlineStr">
        <is>
          <t>Configuration / Integration</t>
        </is>
      </c>
      <c r="C9" s="48" t="inlineStr">
        <is>
          <t>XS</t>
        </is>
      </c>
      <c r="D9" s="49" t="inlineStr">
        <is>
          <t>MS Squad</t>
        </is>
      </c>
      <c r="E9" s="50" t="n">
        <v>1</v>
      </c>
      <c r="F9" s="51" t="n">
        <v>3.2</v>
      </c>
      <c r="G9" s="52" t="n">
        <v>0.4</v>
      </c>
      <c r="H9" s="53">
        <f>F9*G9</f>
        <v>1.2800000000000002</v>
      </c>
      <c r="I9" s="52" t="n">
        <v>0.2</v>
      </c>
      <c r="J9" s="54" t="str">
        <f>B9&amp;"|"&amp;C9</f>
        <v>Configuration / Integration|XS</v>
      </c>
    </row>
    <row r="10">
      <c r="B10" s="12" t="inlineStr">
        <is>
          <t>Configuration / Integration</t>
        </is>
      </c>
      <c r="C10" s="40" t="inlineStr">
        <is>
          <t>S</t>
        </is>
      </c>
      <c r="D10" s="41" t="inlineStr">
        <is>
          <t>Simple Configuration Squad</t>
        </is>
      </c>
      <c r="E10" s="42" t="n">
        <v>6</v>
      </c>
      <c r="F10" s="43" t="n">
        <v>0.4</v>
      </c>
      <c r="G10" s="44" t="n">
        <v>0.4</v>
      </c>
      <c r="H10" s="45">
        <f>F10*G10</f>
        <v>0.16000000000000003</v>
      </c>
      <c r="I10" s="44" t="n">
        <v>0.2</v>
      </c>
      <c r="J10" s="46" t="str">
        <f>B10&amp;"|"&amp;C10</f>
        <v>Configuration / Integration|S</v>
      </c>
    </row>
    <row r="11">
      <c r="B11" s="47" t="inlineStr">
        <is>
          <t>Configuration / Integration</t>
        </is>
      </c>
      <c r="C11" s="48" t="inlineStr">
        <is>
          <t>M</t>
        </is>
      </c>
      <c r="D11" s="49" t="inlineStr">
        <is>
          <t>Standard Configuration Squad</t>
        </is>
      </c>
      <c r="E11" s="50" t="n">
        <v>9</v>
      </c>
      <c r="F11" s="51" t="n">
        <v>1.4</v>
      </c>
      <c r="G11" s="52" t="n">
        <v>0.4</v>
      </c>
      <c r="H11" s="53">
        <f>F11*G11</f>
        <v>0.5599999999999999</v>
      </c>
      <c r="I11" s="52" t="n">
        <v>0.2</v>
      </c>
      <c r="J11" s="54" t="str">
        <f>B11&amp;"|"&amp;C11</f>
        <v>Configuration / Integration|M</v>
      </c>
    </row>
    <row r="12">
      <c r="B12" s="12" t="inlineStr">
        <is>
          <t>Configuration / Integration</t>
        </is>
      </c>
      <c r="C12" s="40" t="inlineStr">
        <is>
          <t>L</t>
        </is>
      </c>
      <c r="D12" s="41" t="inlineStr">
        <is>
          <t>Complex Integration Squad</t>
        </is>
      </c>
      <c r="E12" s="42" t="n">
        <v>14</v>
      </c>
      <c r="F12" s="43" t="n">
        <v>2.1</v>
      </c>
      <c r="G12" s="44" t="n">
        <v>0.4</v>
      </c>
      <c r="H12" s="45">
        <f>F12*G12</f>
        <v>0.8400000000000001</v>
      </c>
      <c r="I12" s="44" t="n">
        <v>0.2</v>
      </c>
      <c r="J12" s="46" t="str">
        <f>B12&amp;"|"&amp;C12</f>
        <v>Configuration / Integration|L</v>
      </c>
    </row>
    <row r="13">
      <c r="B13" s="47" t="inlineStr">
        <is>
          <t>Product</t>
        </is>
      </c>
      <c r="C13" s="48" t="inlineStr">
        <is>
          <t>S</t>
        </is>
      </c>
      <c r="D13" s="49" t="inlineStr">
        <is>
          <t>Lean Product Squad</t>
        </is>
      </c>
      <c r="E13" s="50" t="n">
        <v>5.5</v>
      </c>
      <c r="F13" s="51" t="n">
        <v>1.3</v>
      </c>
      <c r="G13" s="52" t="n">
        <v>0.4</v>
      </c>
      <c r="H13" s="53">
        <f>F13*G13</f>
        <v>0.52</v>
      </c>
      <c r="I13" s="52" t="n">
        <v>0.2</v>
      </c>
      <c r="J13" s="54" t="str">
        <f>B13&amp;"|"&amp;C13</f>
        <v>Product|S</v>
      </c>
    </row>
    <row r="14">
      <c r="B14" s="12" t="inlineStr">
        <is>
          <t>Product</t>
        </is>
      </c>
      <c r="C14" s="40" t="inlineStr">
        <is>
          <t>M</t>
        </is>
      </c>
      <c r="D14" s="41" t="inlineStr">
        <is>
          <t>Balanced Product Squad</t>
        </is>
      </c>
      <c r="E14" s="42" t="n">
        <v>8.5</v>
      </c>
      <c r="F14" s="43" t="n">
        <v>1.9</v>
      </c>
      <c r="G14" s="44" t="n">
        <v>0.4</v>
      </c>
      <c r="H14" s="45">
        <f>F14*G14</f>
        <v>0.76</v>
      </c>
      <c r="I14" s="44" t="n">
        <v>0.2</v>
      </c>
      <c r="J14" s="46" t="str">
        <f>B14&amp;"|"&amp;C14</f>
        <v>Product|M</v>
      </c>
    </row>
    <row r="15">
      <c r="B15" s="47" t="inlineStr">
        <is>
          <t>Product</t>
        </is>
      </c>
      <c r="C15" s="48" t="inlineStr">
        <is>
          <t>L</t>
        </is>
      </c>
      <c r="D15" s="49" t="inlineStr">
        <is>
          <t>Scaled Product Squad</t>
        </is>
      </c>
      <c r="E15" s="50" t="n">
        <v>12</v>
      </c>
      <c r="F15" s="51" t="n">
        <v>2.8</v>
      </c>
      <c r="G15" s="52" t="n">
        <v>0.4</v>
      </c>
      <c r="H15" s="53">
        <f>F15*G15</f>
        <v>1.1199999999999999</v>
      </c>
      <c r="I15" s="52" t="n">
        <v>0.2</v>
      </c>
      <c r="J15" s="54" t="str">
        <f>B15&amp;"|"&amp;C15</f>
        <v>Product|L</v>
      </c>
    </row>
    <row r="16">
      <c r="B16" s="12" t="inlineStr">
        <is>
          <t>Operations</t>
        </is>
      </c>
      <c r="C16" s="40" t="inlineStr">
        <is>
          <t>S</t>
        </is>
      </c>
      <c r="D16" s="41" t="inlineStr">
        <is>
          <t>Lean operations squad</t>
        </is>
      </c>
      <c r="E16" s="42" t="n">
        <v>4</v>
      </c>
      <c r="F16" s="43" t="n">
        <v>0.8</v>
      </c>
      <c r="G16" s="44" t="n">
        <v>0.4</v>
      </c>
      <c r="H16" s="45">
        <f>F16*G16</f>
        <v>0.32000000000000006</v>
      </c>
      <c r="I16" s="44" t="n">
        <v>0.2</v>
      </c>
      <c r="J16" s="46" t="str">
        <f>B16&amp;"|"&amp;C16</f>
        <v>Operations|S</v>
      </c>
    </row>
    <row r="17">
      <c r="B17" s="47" t="inlineStr">
        <is>
          <t>Operations</t>
        </is>
      </c>
      <c r="C17" s="48" t="inlineStr">
        <is>
          <t>M</t>
        </is>
      </c>
      <c r="D17" s="49" t="inlineStr">
        <is>
          <t>Balanced operations squad</t>
        </is>
      </c>
      <c r="E17" s="50" t="n">
        <v>6</v>
      </c>
      <c r="F17" s="51" t="n">
        <v>1.4</v>
      </c>
      <c r="G17" s="52" t="n">
        <v>0.4</v>
      </c>
      <c r="H17" s="53">
        <f>F17*G17</f>
        <v>0.5599999999999999</v>
      </c>
      <c r="I17" s="52" t="n">
        <v>0.2</v>
      </c>
      <c r="J17" s="54" t="str">
        <f>B17&amp;"|"&amp;C17</f>
        <v>Operations|M</v>
      </c>
    </row>
    <row r="18">
      <c r="B18" s="12" t="inlineStr">
        <is>
          <t>Operations</t>
        </is>
      </c>
      <c r="C18" s="40" t="inlineStr">
        <is>
          <t>L</t>
        </is>
      </c>
      <c r="D18" s="41" t="inlineStr">
        <is>
          <t>High demand operations squad</t>
        </is>
      </c>
      <c r="E18" s="42" t="n">
        <v>10</v>
      </c>
      <c r="F18" s="43" t="n">
        <v>2.3</v>
      </c>
      <c r="G18" s="44" t="n">
        <v>0.4</v>
      </c>
      <c r="H18" s="45">
        <f>F18*G18</f>
        <v>0.9199999999999999</v>
      </c>
      <c r="I18" s="44" t="n">
        <v>0.2</v>
      </c>
      <c r="J18" s="46" t="str">
        <f>B18&amp;"|"&amp;C18</f>
        <v>Operations|L</v>
      </c>
    </row>
    <row r="19">
      <c r="B19" s="47" t="inlineStr">
        <is>
          <t>Enterprise Data and Insights</t>
        </is>
      </c>
      <c r="C19" s="48" t="inlineStr">
        <is>
          <t>S</t>
        </is>
      </c>
      <c r="D19" s="49" t="inlineStr">
        <is>
          <t>Lean Data squad</t>
        </is>
      </c>
      <c r="E19" s="50" t="n">
        <v>4</v>
      </c>
      <c r="F19" s="51" t="n">
        <v>0.9</v>
      </c>
      <c r="G19" s="52" t="n">
        <v>0.4</v>
      </c>
      <c r="H19" s="53">
        <f>F19*G19</f>
        <v>0.36000000000000004</v>
      </c>
      <c r="I19" s="52" t="n">
        <v>0.2</v>
      </c>
      <c r="J19" s="54" t="str">
        <f>B19&amp;"|"&amp;C19</f>
        <v>Enterprise Data and Insights|S</v>
      </c>
    </row>
    <row r="20">
      <c r="B20" s="12" t="inlineStr">
        <is>
          <t>Enterprise Data and Insights</t>
        </is>
      </c>
      <c r="C20" s="40" t="inlineStr">
        <is>
          <t>M</t>
        </is>
      </c>
      <c r="D20" s="41" t="inlineStr">
        <is>
          <t>Standard Data squad</t>
        </is>
      </c>
      <c r="E20" s="42" t="n">
        <v>7.5</v>
      </c>
      <c r="F20" s="43" t="n">
        <v>1.7</v>
      </c>
      <c r="G20" s="44" t="n">
        <v>0.4</v>
      </c>
      <c r="H20" s="45">
        <f>F20*G20</f>
        <v>0.68</v>
      </c>
      <c r="I20" s="44" t="n">
        <v>0.2</v>
      </c>
      <c r="J20" s="46" t="str">
        <f>B20&amp;"|"&amp;C20</f>
        <v>Enterprise Data and Insights|M</v>
      </c>
    </row>
    <row r="21">
      <c r="B21" s="47" t="inlineStr">
        <is>
          <t>Enterprise Data and Insights</t>
        </is>
      </c>
      <c r="C21" s="48" t="inlineStr">
        <is>
          <t>L</t>
        </is>
      </c>
      <c r="D21" s="49" t="inlineStr">
        <is>
          <t>Advanced Data / AI squad</t>
        </is>
      </c>
      <c r="E21" s="50" t="n">
        <v>9</v>
      </c>
      <c r="F21" s="51" t="n">
        <v>2</v>
      </c>
      <c r="G21" s="52" t="n">
        <v>0.4</v>
      </c>
      <c r="H21" s="53">
        <f>F21*G21</f>
        <v>0.8</v>
      </c>
      <c r="I21" s="52" t="n">
        <v>0.2</v>
      </c>
      <c r="J21" s="54" t="str">
        <f>B21&amp;"|"&amp;C21</f>
        <v>Enterprise Data and Insights|L</v>
      </c>
    </row>
    <row r="22">
      <c r="B22" s="12" t="inlineStr">
        <is>
          <t>Build and Run</t>
        </is>
      </c>
      <c r="C22" s="40" t="inlineStr">
        <is>
          <t>S</t>
        </is>
      </c>
      <c r="D22" s="41" t="inlineStr">
        <is>
          <t>Lean build and run squad</t>
        </is>
      </c>
      <c r="E22" s="42" t="n">
        <v>4</v>
      </c>
      <c r="F22" s="43" t="n">
        <v>0.9</v>
      </c>
      <c r="G22" s="44" t="n">
        <v>0.4</v>
      </c>
      <c r="H22" s="45">
        <f>F22*G22</f>
        <v>0.36000000000000004</v>
      </c>
      <c r="I22" s="44" t="n">
        <v>0.2</v>
      </c>
      <c r="J22" s="46" t="str">
        <f>B22&amp;"|"&amp;C22</f>
        <v>Build and Run|S</v>
      </c>
    </row>
    <row r="23">
      <c r="B23" s="47" t="inlineStr">
        <is>
          <t>Build and Run</t>
        </is>
      </c>
      <c r="C23" s="48" t="inlineStr">
        <is>
          <t>M</t>
        </is>
      </c>
      <c r="D23" s="49" t="inlineStr">
        <is>
          <t>Standard build and run squad</t>
        </is>
      </c>
      <c r="E23" s="50" t="n">
        <v>9</v>
      </c>
      <c r="F23" s="51" t="n">
        <v>2</v>
      </c>
      <c r="G23" s="52" t="n">
        <v>0.4</v>
      </c>
      <c r="H23" s="53">
        <f>F23*G23</f>
        <v>0.8</v>
      </c>
      <c r="I23" s="52" t="n">
        <v>0.2</v>
      </c>
      <c r="J23" s="54" t="str">
        <f>B23&amp;"|"&amp;C23</f>
        <v>Build and Run|M</v>
      </c>
    </row>
    <row r="24">
      <c r="B24" s="12" t="inlineStr">
        <is>
          <t>Build and Run</t>
        </is>
      </c>
      <c r="C24" s="40" t="inlineStr">
        <is>
          <t>L</t>
        </is>
      </c>
      <c r="D24" s="41" t="inlineStr">
        <is>
          <t>Scaled build and run squad</t>
        </is>
      </c>
      <c r="E24" s="42" t="n">
        <v>13</v>
      </c>
      <c r="F24" s="43" t="n">
        <v>2.8</v>
      </c>
      <c r="G24" s="44" t="n">
        <v>0.4</v>
      </c>
      <c r="H24" s="45">
        <f>F24*G24</f>
        <v>1.1199999999999999</v>
      </c>
      <c r="I24" s="44" t="n">
        <v>0.2</v>
      </c>
      <c r="J24" s="46" t="str">
        <f>B24&amp;"|"&amp;C24</f>
        <v>Build and Run|L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9" customWidth="1" min="3" max="3"/>
    <col width="9" customWidth="1" min="4" max="4"/>
    <col width="10" customWidth="1" min="5" max="5"/>
    <col width="3" customWidth="1" min="6" max="6"/>
    <col width="2" customWidth="1" min="7" max="7"/>
    <col width="26" customWidth="1" min="8" max="8"/>
    <col width="11" customWidth="1" min="9" max="9"/>
    <col width="9" customWidth="1" min="10" max="10"/>
    <col width="17" customWidth="1" min="11" max="11"/>
  </cols>
  <sheetData>
    <row r="2">
      <c r="B2" s="37" t="inlineStr">
        <is>
          <t>Data Config — Budget Allocation &amp; Overheads</t>
        </is>
      </c>
    </row>
    <row r="3" ht="28" customHeight="1">
      <c r="B3" s="38" t="inlineStr">
        <is>
          <t>TDD budget allocation by area ($m) and the role-based build-up of portfolio &amp; platform overheads. The calculator pulls Ampol Retail budget and the overhead subtotals from here.</t>
        </is>
      </c>
    </row>
    <row r="5">
      <c r="B5" s="55" t="inlineStr">
        <is>
          <t>TDD Budget Allocation ($m)</t>
        </is>
      </c>
      <c r="H5" s="55" t="inlineStr">
        <is>
          <t>Overhead Build-up — TDD funded ($m)</t>
        </is>
      </c>
    </row>
    <row r="6">
      <c r="B6" s="39" t="inlineStr">
        <is>
          <t>Area</t>
        </is>
      </c>
      <c r="C6" s="39" t="inlineStr">
        <is>
          <t>AU</t>
        </is>
      </c>
      <c r="D6" s="39" t="inlineStr">
        <is>
          <t>NZ</t>
        </is>
      </c>
      <c r="E6" s="39" t="inlineStr">
        <is>
          <t>Total</t>
        </is>
      </c>
      <c r="H6" s="39" t="inlineStr">
        <is>
          <t>Portfolio role</t>
        </is>
      </c>
      <c r="I6" s="39" t="inlineStr">
        <is>
          <t>Cost ($m)</t>
        </is>
      </c>
      <c r="J6" s="39" t="inlineStr">
        <is>
          <t>Alloc %</t>
        </is>
      </c>
      <c r="K6" s="39" t="inlineStr">
        <is>
          <t>Portfolio cost ($m)</t>
        </is>
      </c>
    </row>
    <row r="7">
      <c r="B7" s="12" t="inlineStr">
        <is>
          <t>COE - Strat Arch</t>
        </is>
      </c>
      <c r="C7" s="43" t="n">
        <v>1.5</v>
      </c>
      <c r="D7" s="43" t="n">
        <v>0.5</v>
      </c>
      <c r="E7" s="56">
        <f>SUM(C7:D7)</f>
        <v>2.0</v>
      </c>
      <c r="H7" s="12" t="inlineStr">
        <is>
          <t>Head of Tech</t>
        </is>
      </c>
      <c r="I7" s="43" t="n">
        <v>0.275</v>
      </c>
      <c r="J7" s="44" t="n">
        <v>0.3</v>
      </c>
      <c r="K7" s="45">
        <f>I7*J7</f>
        <v>0.0825</v>
      </c>
    </row>
    <row r="8">
      <c r="B8" s="12" t="inlineStr">
        <is>
          <t>COE - Cyber</t>
        </is>
      </c>
      <c r="C8" s="43" t="n">
        <v>1.5</v>
      </c>
      <c r="D8" s="43" t="n">
        <v>0.5</v>
      </c>
      <c r="E8" s="56">
        <f>SUM(C8:D8)</f>
        <v>2.0</v>
      </c>
      <c r="H8" s="12" t="inlineStr">
        <is>
          <t>Business Partner</t>
        </is>
      </c>
      <c r="I8" s="43" t="n">
        <v>0.43</v>
      </c>
      <c r="J8" s="44" t="n">
        <v>0.4</v>
      </c>
      <c r="K8" s="45">
        <f>I8*J8</f>
        <v>0.17200000000000001</v>
      </c>
    </row>
    <row r="9">
      <c r="B9" s="12" t="inlineStr">
        <is>
          <t>COE - Trans</t>
        </is>
      </c>
      <c r="C9" s="43" t="n">
        <v>1.5</v>
      </c>
      <c r="D9" s="43" t="n">
        <v>0.5</v>
      </c>
      <c r="E9" s="56">
        <f>SUM(C9:D9)</f>
        <v>2.0</v>
      </c>
      <c r="H9" s="12" t="inlineStr">
        <is>
          <t>Domain Architect</t>
        </is>
      </c>
      <c r="I9" s="43" t="n">
        <v>0.28</v>
      </c>
      <c r="J9" s="44" t="n">
        <v>0.5</v>
      </c>
      <c r="K9" s="45">
        <f>I9*J9</f>
        <v>0.14</v>
      </c>
    </row>
    <row r="10">
      <c r="B10" s="12" t="inlineStr">
        <is>
          <t>COE - BP</t>
        </is>
      </c>
      <c r="C10" s="43" t="n">
        <v>1.5</v>
      </c>
      <c r="D10" s="43" t="n">
        <v>0.5</v>
      </c>
      <c r="E10" s="56">
        <f>SUM(C10:D10)</f>
        <v>2.0</v>
      </c>
      <c r="H10" s="12" t="inlineStr">
        <is>
          <t>Leadership Overhead</t>
        </is>
      </c>
      <c r="I10" s="43" t="n">
        <v>1</v>
      </c>
      <c r="J10" s="44" t="n">
        <v>0.3</v>
      </c>
      <c r="K10" s="45">
        <f>I10*J10</f>
        <v>0.3</v>
      </c>
    </row>
    <row r="11">
      <c r="B11" s="12" t="inlineStr">
        <is>
          <t>COE - Data</t>
        </is>
      </c>
      <c r="C11" s="43" t="n">
        <v>1.5</v>
      </c>
      <c r="D11" s="43" t="n">
        <v>0.5</v>
      </c>
      <c r="E11" s="56">
        <f>SUM(C11:D11)</f>
        <v>2.0</v>
      </c>
      <c r="H11" s="57" t="inlineStr">
        <is>
          <t>Portfolio overhead subtotal</t>
        </is>
      </c>
      <c r="I11" s="58" t="n"/>
      <c r="J11" s="58" t="n"/>
      <c r="K11" s="59">
        <f>SUM(K7:K10)</f>
        <v>0.6945</v>
      </c>
    </row>
    <row r="12">
      <c r="B12" s="60" t="inlineStr">
        <is>
          <t>Ampol Retail</t>
        </is>
      </c>
      <c r="C12" s="61" t="n">
        <v>2.5</v>
      </c>
      <c r="D12" s="61" t="n"/>
      <c r="E12" s="62">
        <f>SUM(C12:D12)</f>
        <v>2.5</v>
      </c>
    </row>
    <row r="13">
      <c r="B13" s="12" t="inlineStr">
        <is>
          <t>Z Retail</t>
        </is>
      </c>
      <c r="C13" s="43" t="n"/>
      <c r="D13" s="43" t="n">
        <v>2.5</v>
      </c>
      <c r="E13" s="56">
        <f>SUM(C13:D13)</f>
        <v>2.5</v>
      </c>
      <c r="H13" s="39" t="inlineStr">
        <is>
          <t>Platform role</t>
        </is>
      </c>
      <c r="I13" s="39" t="inlineStr">
        <is>
          <t>Cost ($m)</t>
        </is>
      </c>
      <c r="J13" s="39" t="inlineStr">
        <is>
          <t>Alloc %</t>
        </is>
      </c>
      <c r="K13" s="39" t="inlineStr">
        <is>
          <t>Platform cost ($m)</t>
        </is>
      </c>
    </row>
    <row r="14">
      <c r="B14" s="12" t="inlineStr">
        <is>
          <t>Ampol Customer</t>
        </is>
      </c>
      <c r="C14" s="43" t="n">
        <v>2.5</v>
      </c>
      <c r="D14" s="43" t="n"/>
      <c r="E14" s="56">
        <f>SUM(C14:D14)</f>
        <v>2.5</v>
      </c>
      <c r="H14" s="12" t="inlineStr">
        <is>
          <t>Delivery Manager</t>
        </is>
      </c>
      <c r="I14" s="43" t="n">
        <v>0.28</v>
      </c>
      <c r="J14" s="44" t="n">
        <v>0.3</v>
      </c>
      <c r="K14" s="45">
        <f>I14*J14</f>
        <v>0.084</v>
      </c>
    </row>
    <row r="15">
      <c r="B15" s="12" t="inlineStr">
        <is>
          <t>Z Customer</t>
        </is>
      </c>
      <c r="C15" s="43" t="n">
        <v>0</v>
      </c>
      <c r="D15" s="43" t="n">
        <v>2.5</v>
      </c>
      <c r="E15" s="56">
        <f>SUM(C15:D15)</f>
        <v>2.5</v>
      </c>
      <c r="H15" s="12" t="inlineStr">
        <is>
          <t>Tech Manager</t>
        </is>
      </c>
      <c r="I15" s="43" t="n">
        <v>0.27</v>
      </c>
      <c r="J15" s="44" t="n">
        <v>0.3</v>
      </c>
      <c r="K15" s="45">
        <f>I15*J15</f>
        <v>0.081</v>
      </c>
    </row>
    <row r="16">
      <c r="B16" s="12" t="inlineStr">
        <is>
          <t>CF</t>
        </is>
      </c>
      <c r="C16" s="43" t="n">
        <v>2.5</v>
      </c>
      <c r="D16" s="43" t="n"/>
      <c r="E16" s="56">
        <f>SUM(C16:D16)</f>
        <v>2.5</v>
      </c>
      <c r="H16" s="57" t="inlineStr">
        <is>
          <t>Platform overhead subtotal</t>
        </is>
      </c>
      <c r="I16" s="58" t="n"/>
      <c r="J16" s="58" t="n"/>
      <c r="K16" s="59">
        <f>SUM(K14:K15)</f>
        <v>0.165</v>
      </c>
    </row>
    <row r="17">
      <c r="B17" s="12" t="inlineStr">
        <is>
          <t>ES &amp; B2B</t>
        </is>
      </c>
      <c r="C17" s="43" t="n">
        <v>2.5</v>
      </c>
      <c r="D17" s="43" t="n"/>
      <c r="E17" s="56">
        <f>SUM(C17:D17)</f>
        <v>2.5</v>
      </c>
      <c r="H17" s="63" t="inlineStr">
        <is>
          <t>Portfolio + platform overhead, TDD</t>
        </is>
      </c>
      <c r="I17" s="24" t="n"/>
      <c r="J17" s="24" t="n"/>
      <c r="K17" s="64">
        <f>K11+K16</f>
        <v>0.8595</v>
      </c>
    </row>
    <row r="18">
      <c r="B18" s="12" t="inlineStr">
        <is>
          <t>Infra</t>
        </is>
      </c>
      <c r="C18" s="43" t="n">
        <v>2.5</v>
      </c>
      <c r="D18" s="43" t="n"/>
      <c r="E18" s="56">
        <f>SUM(C18:D18)</f>
        <v>2.5</v>
      </c>
    </row>
    <row r="19">
      <c r="B19" s="12" t="inlineStr">
        <is>
          <t>P&amp;C</t>
        </is>
      </c>
      <c r="C19" s="43" t="n">
        <v>1</v>
      </c>
      <c r="D19" s="43" t="n">
        <v>1</v>
      </c>
      <c r="E19" s="56">
        <f>SUM(C19:D19)</f>
        <v>2.0</v>
      </c>
    </row>
    <row r="20">
      <c r="B20" s="12" t="inlineStr">
        <is>
          <t>Finance</t>
        </is>
      </c>
      <c r="C20" s="43" t="n">
        <v>1</v>
      </c>
      <c r="D20" s="43" t="n">
        <v>1</v>
      </c>
      <c r="E20" s="56">
        <f>SUM(C20:D20)</f>
        <v>2.0</v>
      </c>
    </row>
    <row r="21">
      <c r="B21" s="12" t="inlineStr">
        <is>
          <t>Legal</t>
        </is>
      </c>
      <c r="C21" s="43" t="n">
        <v>0</v>
      </c>
      <c r="D21" s="43" t="n"/>
      <c r="E21" s="56">
        <f>SUM(C21:D21)</f>
        <v>0.0</v>
      </c>
    </row>
    <row r="22">
      <c r="B22" s="12" t="inlineStr">
        <is>
          <t>TDD</t>
        </is>
      </c>
      <c r="C22" s="43" t="n">
        <v>4.5</v>
      </c>
      <c r="D22" s="43" t="n">
        <v>1</v>
      </c>
      <c r="E22" s="56">
        <f>SUM(C22:D22)</f>
        <v>5.5</v>
      </c>
    </row>
    <row r="23">
      <c r="B23" s="12" t="inlineStr">
        <is>
          <t>TDD Data</t>
        </is>
      </c>
      <c r="C23" s="43" t="n">
        <v>2.5</v>
      </c>
      <c r="D23" s="43" t="n">
        <v>1</v>
      </c>
      <c r="E23" s="56">
        <f>SUM(C23:D23)</f>
        <v>3.5</v>
      </c>
    </row>
    <row r="24">
      <c r="B24" s="12" t="inlineStr">
        <is>
          <t>TDD Cyber</t>
        </is>
      </c>
      <c r="C24" s="43" t="n">
        <v>1</v>
      </c>
      <c r="D24" s="43" t="n">
        <v>0.5</v>
      </c>
      <c r="E24" s="56">
        <f>SUM(C24:D24)</f>
        <v>1.5</v>
      </c>
    </row>
    <row r="25">
      <c r="B25" s="12" t="inlineStr">
        <is>
          <t>EG</t>
        </is>
      </c>
      <c r="C25" s="43" t="n">
        <v>0</v>
      </c>
      <c r="D25" s="43" t="n"/>
      <c r="E25" s="56">
        <f>SUM(C25:D25)</f>
        <v>0.0</v>
      </c>
    </row>
    <row r="26">
      <c r="B26" s="12" t="inlineStr">
        <is>
          <t>EGI</t>
        </is>
      </c>
      <c r="C26" s="43" t="n">
        <v>0</v>
      </c>
      <c r="D26" s="43" t="n"/>
      <c r="E26" s="56">
        <f>SUM(C26:D26)</f>
        <v>0.0</v>
      </c>
    </row>
    <row r="27">
      <c r="B27" s="57" t="inlineStr">
        <is>
          <t>Total Cost</t>
        </is>
      </c>
      <c r="C27" s="59">
        <f>SUM(C7:C26)</f>
        <v>30.0</v>
      </c>
      <c r="D27" s="59">
        <f>SUM(D7:D26)</f>
        <v>12.0</v>
      </c>
      <c r="E27" s="59">
        <f>SUM(E7:E26)</f>
        <v>42.0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</cols>
  <sheetData>
    <row r="2">
      <c r="B2" s="37" t="inlineStr">
        <is>
          <t>FY2026 Technology Budget — by Business Segment</t>
        </is>
      </c>
    </row>
    <row r="3" ht="28" customHeight="1">
      <c r="B3" s="38" t="inlineStr">
        <is>
          <t>FY2026 budget ($m) pulled from the TDD presentation pack. Total = Lights On + Initiatives (Project OpEx) + Depreciation + Significant Items + CapEx.</t>
        </is>
      </c>
    </row>
    <row r="5" ht="30" customHeight="1">
      <c r="B5" s="39" t="inlineStr">
        <is>
          <t>Business Segment</t>
        </is>
      </c>
      <c r="C5" s="39" t="inlineStr">
        <is>
          <t>Lights On</t>
        </is>
      </c>
      <c r="D5" s="39" t="inlineStr">
        <is>
          <t>Initiatives
(Project OpEx)</t>
        </is>
      </c>
      <c r="E5" s="39" t="inlineStr">
        <is>
          <t>Depreciation</t>
        </is>
      </c>
      <c r="F5" s="39" t="inlineStr">
        <is>
          <t>Significant
Items</t>
        </is>
      </c>
      <c r="G5" s="39" t="inlineStr">
        <is>
          <t>CapEx</t>
        </is>
      </c>
      <c r="H5" s="39" t="inlineStr">
        <is>
          <t>Total FY26</t>
        </is>
      </c>
    </row>
    <row r="6">
      <c r="B6" s="65" t="inlineStr">
        <is>
          <t>Retail</t>
        </is>
      </c>
      <c r="C6" s="66" t="n">
        <v>13.925855</v>
      </c>
      <c r="D6" s="66" t="n">
        <v>1.31</v>
      </c>
      <c r="E6" s="66" t="n">
        <v>0</v>
      </c>
      <c r="F6" s="66" t="n">
        <v>6.845</v>
      </c>
      <c r="G6" s="66" t="n">
        <v>11.8</v>
      </c>
      <c r="H6" s="64">
        <f>SUM(C6:G6)</f>
        <v>33.880855</v>
      </c>
    </row>
    <row r="7">
      <c r="B7" s="47" t="inlineStr">
        <is>
          <t>Z-Energy</t>
        </is>
      </c>
      <c r="C7" s="51" t="n">
        <v>52.22526</v>
      </c>
      <c r="D7" s="51" t="n">
        <v>1.44624</v>
      </c>
      <c r="E7" s="51" t="n">
        <v>11.306521</v>
      </c>
      <c r="F7" s="51" t="n">
        <v>0</v>
      </c>
      <c r="G7" s="51" t="n">
        <v>11.725494</v>
      </c>
      <c r="H7" s="67">
        <f>SUM(C7:G7)</f>
        <v>76.703515</v>
      </c>
    </row>
    <row r="8">
      <c r="B8" s="12" t="inlineStr">
        <is>
          <t>Commercial Fuels</t>
        </is>
      </c>
      <c r="C8" s="43" t="n">
        <v>13.655581</v>
      </c>
      <c r="D8" s="43" t="n">
        <v>5.861721</v>
      </c>
      <c r="E8" s="43" t="n">
        <v>0</v>
      </c>
      <c r="F8" s="43" t="n">
        <v>14.219208</v>
      </c>
      <c r="G8" s="43" t="n">
        <v>6.797713</v>
      </c>
      <c r="H8" s="56">
        <f>SUM(C8:G8)</f>
        <v>40.534223000000004</v>
      </c>
    </row>
    <row r="9">
      <c r="B9" s="47" t="inlineStr">
        <is>
          <t>Energy Solutions</t>
        </is>
      </c>
      <c r="C9" s="51" t="n">
        <v>4.041939</v>
      </c>
      <c r="D9" s="51" t="n">
        <v>0.97</v>
      </c>
      <c r="E9" s="51" t="n">
        <v>0</v>
      </c>
      <c r="F9" s="51" t="n">
        <v>0</v>
      </c>
      <c r="G9" s="51" t="n">
        <v>2.997585</v>
      </c>
      <c r="H9" s="67">
        <f>SUM(C9:G9)</f>
        <v>8.009523999999999</v>
      </c>
    </row>
    <row r="10">
      <c r="B10" s="12" t="inlineStr">
        <is>
          <t>Infrastructure</t>
        </is>
      </c>
      <c r="C10" s="43" t="n">
        <v>3.594596</v>
      </c>
      <c r="D10" s="43" t="n">
        <v>0.763362</v>
      </c>
      <c r="E10" s="43" t="n">
        <v>0</v>
      </c>
      <c r="F10" s="43" t="n">
        <v>0</v>
      </c>
      <c r="G10" s="43" t="n">
        <v>4.891418</v>
      </c>
      <c r="H10" s="56">
        <f>SUM(C10:G10)</f>
        <v>9.249376</v>
      </c>
    </row>
    <row r="11">
      <c r="B11" s="47" t="inlineStr">
        <is>
          <t>Finance &amp; Other Corp</t>
        </is>
      </c>
      <c r="C11" s="51" t="n">
        <v>2.945287</v>
      </c>
      <c r="D11" s="51" t="n">
        <v>0.935487</v>
      </c>
      <c r="E11" s="51" t="n">
        <v>0</v>
      </c>
      <c r="F11" s="51" t="n">
        <v>0</v>
      </c>
      <c r="G11" s="51" t="n">
        <v>0</v>
      </c>
      <c r="H11" s="67">
        <f>SUM(C11:G11)</f>
        <v>3.8807739999999997</v>
      </c>
    </row>
    <row r="12">
      <c r="B12" s="12" t="inlineStr">
        <is>
          <t>People &amp; Culture</t>
        </is>
      </c>
      <c r="C12" s="43" t="n">
        <v>2.148038</v>
      </c>
      <c r="D12" s="43" t="n">
        <v>1.975</v>
      </c>
      <c r="E12" s="43" t="n">
        <v>0</v>
      </c>
      <c r="F12" s="43" t="n">
        <v>1.36</v>
      </c>
      <c r="G12" s="43" t="n">
        <v>0.33</v>
      </c>
      <c r="H12" s="56">
        <f>SUM(C12:G12)</f>
        <v>5.813038000000001</v>
      </c>
    </row>
    <row r="13">
      <c r="B13" s="47" t="inlineStr">
        <is>
          <t>Customer</t>
        </is>
      </c>
      <c r="C13" s="51" t="n">
        <v>1.691533</v>
      </c>
      <c r="D13" s="51" t="n">
        <v>0</v>
      </c>
      <c r="E13" s="51" t="n">
        <v>0</v>
      </c>
      <c r="F13" s="51" t="n">
        <v>5</v>
      </c>
      <c r="G13" s="51" t="n">
        <v>5</v>
      </c>
      <c r="H13" s="67">
        <f>SUM(C13:G13)</f>
        <v>11.691533</v>
      </c>
    </row>
    <row r="14">
      <c r="B14" s="57" t="inlineStr">
        <is>
          <t>Total Technology</t>
        </is>
      </c>
      <c r="C14" s="59">
        <f>SUM(C6:C13)</f>
        <v>94.228089</v>
      </c>
      <c r="D14" s="59">
        <f>SUM(D6:D13)</f>
        <v>13.26181</v>
      </c>
      <c r="E14" s="59">
        <f>SUM(E6:E13)</f>
        <v>11.306521</v>
      </c>
      <c r="F14" s="59">
        <f>SUM(F6:F13)</f>
        <v>27.424208</v>
      </c>
      <c r="G14" s="59">
        <f>SUM(G6:G13)</f>
        <v>43.54221</v>
      </c>
      <c r="H14" s="59">
        <f>SUM(C14:G14)</f>
        <v>189.762838</v>
      </c>
    </row>
    <row r="16">
      <c r="B16" s="68" t="inlineStr">
        <is>
          <t>Source: TDD presentation pack, 'For Presentation Pack' — FY2026 Budget by segment. Depreciation shown where separately reported in the pack.</t>
        </is>
      </c>
    </row>
  </sheetData>
  <mergeCells count="3">
    <mergeCell ref="B16:H16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2026-07-20T11:19:02Z</dcterms:created>
  <dcterms:modified xsi:type="dcterms:W3CDTF">2026-07-20T11:19:02Z</dcterms:modified>
</cp:coreProperties>
</file>